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공사지원팀 업무(MH)\35.신규투자품의서\1. 투자승인품의서(년도별)\본부투자품의서(2026)\"/>
    </mc:Choice>
  </mc:AlternateContent>
  <xr:revisionPtr revIDLastSave="0" documentId="13_ncr:1_{1B3AFE50-DD41-4D72-B0B3-EFB702EAE712}" xr6:coauthVersionLast="36" xr6:coauthVersionMax="36" xr10:uidLastSave="{00000000-0000-0000-0000-000000000000}"/>
  <bookViews>
    <workbookView xWindow="0" yWindow="0" windowWidth="28695" windowHeight="11730" activeTab="2" xr2:uid="{00000000-000D-0000-FFFF-FFFF00000000}"/>
  </bookViews>
  <sheets>
    <sheet name="이월분" sheetId="1" r:id="rId1"/>
    <sheet name="취소분" sheetId="2" r:id="rId2"/>
    <sheet name="요약보고" sheetId="3" r:id="rId3"/>
    <sheet name="투자현황" sheetId="4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√">"SQRT"</definedName>
    <definedName name="Access_Button" hidden="1">"관로9701_ENG_List"</definedName>
    <definedName name="AccessDatabase" hidden="1">"D:\김상욱\기성\관로9701.mdb"</definedName>
    <definedName name="_xlnm.Print_Area" localSheetId="2">요약보고!$A$1:$I$62</definedName>
    <definedName name="_xlnm.Print_Area" localSheetId="1">취소분!$A$1:$L$110</definedName>
    <definedName name="_xlnm.Print_Area" localSheetId="3">투자현황!$A$1:$AG$28</definedName>
    <definedName name="_xlnm.Print_Titles" localSheetId="1">취소분!$1:$4</definedName>
    <definedName name="π">PI()</definedName>
    <definedName name="계획년도">[1]표지!$A$2</definedName>
    <definedName name="관경" localSheetId="0">#REF!</definedName>
    <definedName name="관경" localSheetId="1">#REF!</definedName>
    <definedName name="관경">#REF!</definedName>
    <definedName name="굴착길이" localSheetId="0">#REF!</definedName>
    <definedName name="굴착길이" localSheetId="1">#REF!</definedName>
    <definedName name="굴착길이">#REF!</definedName>
    <definedName name="단가표">[1]단가표!$A$7:$U$7</definedName>
    <definedName name="매설심도" localSheetId="0">#REF!</definedName>
    <definedName name="매설심도" localSheetId="1">#REF!</definedName>
    <definedName name="매설심도">#REF!</definedName>
    <definedName name="복구편측여유" localSheetId="0">#REF!</definedName>
    <definedName name="복구편측여유" localSheetId="1">#REF!</definedName>
    <definedName name="복구편측여유">#REF!</definedName>
    <definedName name="비파괴검사매수" localSheetId="0">#REF!</definedName>
    <definedName name="비파괴검사매수" localSheetId="1">#REF!</definedName>
    <definedName name="비파괴검사매수">#REF!</definedName>
    <definedName name="수요자부담분">[2]관로종합명세!$H$5</definedName>
    <definedName name="야간할증율">4%</definedName>
    <definedName name="율">100%</definedName>
    <definedName name="이">[3]단가표!$A$7:$U$7</definedName>
    <definedName name="이사람">[3]단가표!$A$7:$U$7</definedName>
    <definedName name="이중관관경" localSheetId="0">#REF!</definedName>
    <definedName name="이중관관경" localSheetId="1">#REF!</definedName>
    <definedName name="이중관관경">#REF!</definedName>
    <definedName name="이중관길이" localSheetId="0">#REF!</definedName>
    <definedName name="이중관길이" localSheetId="1">#REF!</definedName>
    <definedName name="이중관길이">#REF!</definedName>
    <definedName name="인상율">10%</definedName>
    <definedName name="자재Rray1" localSheetId="0">#REF!</definedName>
    <definedName name="자재Rray1" localSheetId="1">#REF!</definedName>
    <definedName name="자재Rray1">#REF!</definedName>
    <definedName name="자재Rray2" localSheetId="0">#REF!</definedName>
    <definedName name="자재Rray2" localSheetId="1">#REF!</definedName>
    <definedName name="자재Rray2">#REF!</definedName>
    <definedName name="자재관경1" localSheetId="0">#REF!</definedName>
    <definedName name="자재관경1" localSheetId="1">#REF!</definedName>
    <definedName name="자재관경1">#REF!</definedName>
    <definedName name="자재관경2" localSheetId="0">#REF!</definedName>
    <definedName name="자재관경2" localSheetId="1">#REF!</definedName>
    <definedName name="자재관경2">#REF!</definedName>
    <definedName name="자재시트1" localSheetId="0">#REF!</definedName>
    <definedName name="자재시트1" localSheetId="1">#REF!</definedName>
    <definedName name="자재시트1">#REF!</definedName>
    <definedName name="자재시트2" localSheetId="0">#REF!</definedName>
    <definedName name="자재시트2" localSheetId="1">#REF!</definedName>
    <definedName name="자재시트2">#REF!</definedName>
    <definedName name="자재용접1" localSheetId="0">#REF!</definedName>
    <definedName name="자재용접1" localSheetId="1">#REF!</definedName>
    <definedName name="자재용접1">#REF!</definedName>
    <definedName name="자재용접2" localSheetId="0">#REF!</definedName>
    <definedName name="자재용접2" localSheetId="1">#REF!</definedName>
    <definedName name="자재용접2">#REF!</definedName>
    <definedName name="자재융착1" localSheetId="0">#REF!</definedName>
    <definedName name="자재융착1" localSheetId="1">#REF!</definedName>
    <definedName name="자재융착1">#REF!</definedName>
    <definedName name="자재융착2" localSheetId="0">#REF!</definedName>
    <definedName name="자재융착2" localSheetId="1">#REF!</definedName>
    <definedName name="자재융착2">#REF!</definedName>
    <definedName name="자재절단" localSheetId="0">#REF!</definedName>
    <definedName name="자재절단" localSheetId="1">#REF!</definedName>
    <definedName name="자재절단">#REF!</definedName>
    <definedName name="재질" localSheetId="0">#REF!</definedName>
    <definedName name="재질" localSheetId="1">#REF!</definedName>
    <definedName name="재질">#REF!</definedName>
    <definedName name="저압길이" localSheetId="0">#REF!</definedName>
    <definedName name="저압길이" localSheetId="1">#REF!</definedName>
    <definedName name="저압길이">#REF!</definedName>
    <definedName name="저압노출밸브" localSheetId="0">#REF!</definedName>
    <definedName name="저압노출밸브" localSheetId="1">#REF!</definedName>
    <definedName name="저압노출밸브">#REF!</definedName>
    <definedName name="저압매몰밸브" localSheetId="0">#REF!</definedName>
    <definedName name="저압매몰밸브" localSheetId="1">#REF!</definedName>
    <definedName name="저압매몰밸브">#REF!</definedName>
    <definedName name="저압연결">[1]인상계획!$D$24</definedName>
    <definedName name="저압이설">[1]인상계획!$D$27</definedName>
    <definedName name="절단폭" localSheetId="0">#REF!</definedName>
    <definedName name="절단폭" localSheetId="1">#REF!</definedName>
    <definedName name="절단폭">#REF!</definedName>
    <definedName name="정압기">[1]인상계획!$D$31</definedName>
    <definedName name="주야구분" localSheetId="0">#REF!</definedName>
    <definedName name="주야구분" localSheetId="1">#REF!</definedName>
    <definedName name="주야구분">#REF!</definedName>
    <definedName name="중압길이" localSheetId="0">#REF!</definedName>
    <definedName name="중압길이" localSheetId="1">#REF!</definedName>
    <definedName name="중압길이">#REF!</definedName>
    <definedName name="중압노출밸브" localSheetId="0">#REF!</definedName>
    <definedName name="중압노출밸브" localSheetId="1">#REF!</definedName>
    <definedName name="중압노출밸브">#REF!</definedName>
    <definedName name="중압매몰밸브" localSheetId="0">#REF!</definedName>
    <definedName name="중압매몰밸브" localSheetId="1">#REF!</definedName>
    <definedName name="중압매몰밸브">#REF!</definedName>
    <definedName name="중압연결">[1]인상계획!$D$23</definedName>
    <definedName name="중압이설">[1]인상계획!$D$26</definedName>
    <definedName name="축대하상길이" localSheetId="0">#REF!</definedName>
    <definedName name="축대하상길이" localSheetId="1">#REF!</definedName>
    <definedName name="축대하상길이">#REF!</definedName>
    <definedName name="퍼지밸브" localSheetId="0">#REF!</definedName>
    <definedName name="퍼지밸브" localSheetId="1">#REF!</definedName>
    <definedName name="퍼지밸브">#REF!</definedName>
    <definedName name="포장종류" localSheetId="0">#REF!</definedName>
    <definedName name="포장종류" localSheetId="1">#REF!</definedName>
    <definedName name="포장종류">#REF!</definedName>
    <definedName name="합계길이" localSheetId="0">#REF!</definedName>
    <definedName name="합계길이" localSheetId="1">#REF!</definedName>
    <definedName name="합계길이">#REF!</definedName>
    <definedName name="회차" localSheetId="0">[4]품의서!$E$27</definedName>
    <definedName name="회차" localSheetId="1">[4]품의서!$E$27</definedName>
    <definedName name="회차">32</definedName>
    <definedName name="휴식각">0.1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3" l="1"/>
  <c r="G15" i="3"/>
  <c r="H14" i="3"/>
  <c r="G14" i="3"/>
  <c r="G13" i="3"/>
  <c r="H13" i="3" s="1"/>
  <c r="I13" i="3" s="1"/>
  <c r="I14" i="3" s="1"/>
  <c r="I15" i="3" s="1"/>
  <c r="I11" i="3" l="1"/>
  <c r="H11" i="3"/>
  <c r="H12" i="3"/>
  <c r="I12" i="3" s="1"/>
  <c r="G11" i="3"/>
  <c r="AH41" i="4" l="1"/>
  <c r="AH40" i="4"/>
  <c r="AH39" i="4"/>
  <c r="N28" i="4"/>
  <c r="F67" i="3" s="1"/>
  <c r="M28" i="4"/>
  <c r="L28" i="4"/>
  <c r="X27" i="4"/>
  <c r="T27" i="4"/>
  <c r="U110" i="2" s="1"/>
  <c r="S27" i="4"/>
  <c r="R27" i="4"/>
  <c r="Q27" i="4"/>
  <c r="P27" i="4"/>
  <c r="O27" i="4"/>
  <c r="J27" i="4"/>
  <c r="I27" i="4"/>
  <c r="G27" i="4"/>
  <c r="F27" i="4"/>
  <c r="D27" i="4"/>
  <c r="D28" i="4" s="1"/>
  <c r="C27" i="4"/>
  <c r="C28" i="4" s="1"/>
  <c r="Z26" i="4"/>
  <c r="AB26" i="4" s="1"/>
  <c r="W26" i="4"/>
  <c r="Z25" i="4"/>
  <c r="AB25" i="4" s="1"/>
  <c r="W25" i="4"/>
  <c r="AF24" i="4"/>
  <c r="Z24" i="4"/>
  <c r="AG24" i="4" s="1"/>
  <c r="W24" i="4"/>
  <c r="AF23" i="4"/>
  <c r="Z23" i="4"/>
  <c r="AG23" i="4" s="1"/>
  <c r="Y23" i="4"/>
  <c r="W23" i="4"/>
  <c r="U23" i="4"/>
  <c r="AF22" i="4"/>
  <c r="Z22" i="4"/>
  <c r="AG22" i="4" s="1"/>
  <c r="Y22" i="4"/>
  <c r="W22" i="4"/>
  <c r="V22" i="4"/>
  <c r="U22" i="4"/>
  <c r="AF21" i="4"/>
  <c r="Z21" i="4"/>
  <c r="AG21" i="4" s="1"/>
  <c r="Y21" i="4"/>
  <c r="W21" i="4"/>
  <c r="V21" i="4"/>
  <c r="U21" i="4"/>
  <c r="AF20" i="4"/>
  <c r="Z20" i="4"/>
  <c r="AB20" i="4" s="1"/>
  <c r="Y20" i="4"/>
  <c r="W20" i="4"/>
  <c r="V20" i="4"/>
  <c r="U20" i="4"/>
  <c r="AF19" i="4"/>
  <c r="AF27" i="4" s="1"/>
  <c r="AE19" i="4"/>
  <c r="AE27" i="4" s="1"/>
  <c r="AE28" i="4" s="1"/>
  <c r="AD19" i="4"/>
  <c r="AD27" i="4" s="1"/>
  <c r="AD28" i="4" s="1"/>
  <c r="AC19" i="4"/>
  <c r="AC27" i="4" s="1"/>
  <c r="AC28" i="4" s="1"/>
  <c r="Y18" i="4"/>
  <c r="X18" i="4"/>
  <c r="V18" i="4"/>
  <c r="U18" i="4"/>
  <c r="Z18" i="4"/>
  <c r="Z17" i="4"/>
  <c r="X17" i="4"/>
  <c r="U17" i="4"/>
  <c r="W17" i="4"/>
  <c r="Y17" i="4"/>
  <c r="T16" i="4"/>
  <c r="T19" i="4" s="1"/>
  <c r="S16" i="4"/>
  <c r="S19" i="4" s="1"/>
  <c r="R16" i="4"/>
  <c r="R19" i="4" s="1"/>
  <c r="R28" i="4" s="1"/>
  <c r="J16" i="4"/>
  <c r="J19" i="4" s="1"/>
  <c r="J28" i="4" s="1"/>
  <c r="I16" i="4"/>
  <c r="I19" i="4" s="1"/>
  <c r="I28" i="4" s="1"/>
  <c r="H16" i="4"/>
  <c r="H19" i="4" s="1"/>
  <c r="G16" i="4"/>
  <c r="G19" i="4" s="1"/>
  <c r="G28" i="4" s="1"/>
  <c r="F16" i="4"/>
  <c r="F19" i="4" s="1"/>
  <c r="AL15" i="4"/>
  <c r="AK15" i="4"/>
  <c r="AJ15" i="4"/>
  <c r="Z15" i="4"/>
  <c r="Y15" i="4"/>
  <c r="AL14" i="4"/>
  <c r="AK14" i="4"/>
  <c r="AJ14" i="4"/>
  <c r="Z14" i="4"/>
  <c r="AL13" i="4"/>
  <c r="AK13" i="4"/>
  <c r="AJ13" i="4"/>
  <c r="AL12" i="4"/>
  <c r="AK12" i="4"/>
  <c r="AJ12" i="4"/>
  <c r="AL11" i="4"/>
  <c r="AK11" i="4"/>
  <c r="AJ11" i="4"/>
  <c r="X11" i="4"/>
  <c r="U11" i="4"/>
  <c r="AL10" i="4"/>
  <c r="AK10" i="4"/>
  <c r="AJ10" i="4"/>
  <c r="Y10" i="4"/>
  <c r="X10" i="4"/>
  <c r="V10" i="4"/>
  <c r="U10" i="4"/>
  <c r="AL9" i="4"/>
  <c r="AK9" i="4"/>
  <c r="AJ9" i="4"/>
  <c r="Z9" i="4"/>
  <c r="AG9" i="4" s="1"/>
  <c r="Y9" i="4"/>
  <c r="W9" i="4"/>
  <c r="X9" i="4"/>
  <c r="G63" i="3"/>
  <c r="I63" i="3" s="1"/>
  <c r="I64" i="3" s="1"/>
  <c r="F63" i="3"/>
  <c r="H63" i="3" s="1"/>
  <c r="H64" i="3" s="1"/>
  <c r="E63" i="3"/>
  <c r="D63" i="3"/>
  <c r="Q62" i="3"/>
  <c r="F62" i="3"/>
  <c r="E62" i="3"/>
  <c r="D62" i="3"/>
  <c r="C62" i="3"/>
  <c r="B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H45" i="3"/>
  <c r="J44" i="3"/>
  <c r="I44" i="3"/>
  <c r="H44" i="3"/>
  <c r="J43" i="3"/>
  <c r="I43" i="3"/>
  <c r="H43" i="3"/>
  <c r="J42" i="3"/>
  <c r="I42" i="3"/>
  <c r="H42" i="3"/>
  <c r="J41" i="3"/>
  <c r="I41" i="3"/>
  <c r="H41" i="3"/>
  <c r="J40" i="3"/>
  <c r="I40" i="3"/>
  <c r="H40" i="3"/>
  <c r="J39" i="3"/>
  <c r="I39" i="3"/>
  <c r="H39" i="3"/>
  <c r="J38" i="3"/>
  <c r="I38" i="3"/>
  <c r="H38" i="3"/>
  <c r="J37" i="3"/>
  <c r="I37" i="3"/>
  <c r="H37" i="3"/>
  <c r="J36" i="3"/>
  <c r="I36" i="3"/>
  <c r="H36" i="3"/>
  <c r="J35" i="3"/>
  <c r="I35" i="3"/>
  <c r="H35" i="3"/>
  <c r="J34" i="3"/>
  <c r="I34" i="3"/>
  <c r="H34" i="3"/>
  <c r="J33" i="3"/>
  <c r="I33" i="3"/>
  <c r="H33" i="3"/>
  <c r="J32" i="3"/>
  <c r="I32" i="3"/>
  <c r="H32" i="3"/>
  <c r="J31" i="3"/>
  <c r="I31" i="3"/>
  <c r="H31" i="3"/>
  <c r="J30" i="3"/>
  <c r="I30" i="3"/>
  <c r="H30" i="3"/>
  <c r="J29" i="3"/>
  <c r="I29" i="3"/>
  <c r="H29" i="3"/>
  <c r="J28" i="3"/>
  <c r="I28" i="3"/>
  <c r="H28" i="3"/>
  <c r="J27" i="3"/>
  <c r="I27" i="3"/>
  <c r="H27" i="3"/>
  <c r="J26" i="3"/>
  <c r="I26" i="3"/>
  <c r="H26" i="3"/>
  <c r="J25" i="3"/>
  <c r="I25" i="3"/>
  <c r="H25" i="3"/>
  <c r="J24" i="3"/>
  <c r="I24" i="3"/>
  <c r="H24" i="3"/>
  <c r="J23" i="3"/>
  <c r="I23" i="3"/>
  <c r="H23" i="3"/>
  <c r="J22" i="3"/>
  <c r="G22" i="3" s="1"/>
  <c r="I22" i="3"/>
  <c r="H22" i="3"/>
  <c r="J21" i="3"/>
  <c r="G21" i="3" s="1"/>
  <c r="I21" i="3"/>
  <c r="H21" i="3"/>
  <c r="J20" i="3"/>
  <c r="G20" i="3" s="1"/>
  <c r="I20" i="3"/>
  <c r="H20" i="3"/>
  <c r="J19" i="3"/>
  <c r="G19" i="3" s="1"/>
  <c r="I19" i="3"/>
  <c r="H19" i="3"/>
  <c r="J18" i="3"/>
  <c r="G18" i="3" s="1"/>
  <c r="I18" i="3"/>
  <c r="H18" i="3"/>
  <c r="J17" i="3"/>
  <c r="G17" i="3" s="1"/>
  <c r="I17" i="3"/>
  <c r="H17" i="3"/>
  <c r="J16" i="3"/>
  <c r="G16" i="3" s="1"/>
  <c r="H16" i="3"/>
  <c r="I16" i="3" s="1"/>
  <c r="J15" i="3"/>
  <c r="J14" i="3"/>
  <c r="J13" i="3"/>
  <c r="J12" i="3"/>
  <c r="G12" i="3" s="1"/>
  <c r="J11" i="3"/>
  <c r="J10" i="3"/>
  <c r="G10" i="3" s="1"/>
  <c r="H10" i="3"/>
  <c r="J9" i="3"/>
  <c r="G9" i="3" s="1"/>
  <c r="H9" i="3"/>
  <c r="J8" i="3"/>
  <c r="G8" i="3"/>
  <c r="H8" i="3" s="1"/>
  <c r="J7" i="3"/>
  <c r="G7" i="3" s="1"/>
  <c r="H7" i="3" s="1"/>
  <c r="J6" i="3"/>
  <c r="H5" i="3"/>
  <c r="G112" i="2"/>
  <c r="P107" i="2"/>
  <c r="P106" i="2"/>
  <c r="L104" i="2"/>
  <c r="E104" i="2"/>
  <c r="K103" i="2"/>
  <c r="K104" i="2" s="1"/>
  <c r="J103" i="2"/>
  <c r="J104" i="2" s="1"/>
  <c r="I103" i="2"/>
  <c r="H103" i="2"/>
  <c r="H104" i="2" s="1"/>
  <c r="G103" i="2"/>
  <c r="F103" i="2"/>
  <c r="E103" i="2"/>
  <c r="R90" i="2"/>
  <c r="K81" i="2"/>
  <c r="J81" i="2"/>
  <c r="I81" i="2"/>
  <c r="H81" i="2"/>
  <c r="G81" i="2"/>
  <c r="F81" i="2"/>
  <c r="E81" i="2"/>
  <c r="R23" i="2"/>
  <c r="R22" i="2"/>
  <c r="R21" i="2"/>
  <c r="Q20" i="2"/>
  <c r="R20" i="2" s="1"/>
  <c r="P20" i="2"/>
  <c r="Q19" i="2"/>
  <c r="R19" i="2" s="1"/>
  <c r="P19" i="2"/>
  <c r="Q18" i="2"/>
  <c r="R18" i="2" s="1"/>
  <c r="P18" i="2"/>
  <c r="Q17" i="2"/>
  <c r="R17" i="2" s="1"/>
  <c r="P17" i="2"/>
  <c r="Q5" i="2"/>
  <c r="P5" i="2"/>
  <c r="L16" i="1"/>
  <c r="K16" i="1"/>
  <c r="I16" i="1"/>
  <c r="H16" i="1"/>
  <c r="G16" i="1"/>
  <c r="G17" i="1" s="1"/>
  <c r="F16" i="1"/>
  <c r="E16" i="1"/>
  <c r="J11" i="1"/>
  <c r="J16" i="1" s="1"/>
  <c r="I11" i="1"/>
  <c r="L10" i="1"/>
  <c r="K10" i="1"/>
  <c r="K17" i="1" s="1"/>
  <c r="H10" i="1"/>
  <c r="H17" i="1" s="1"/>
  <c r="G10" i="1"/>
  <c r="F10" i="1"/>
  <c r="E10" i="1"/>
  <c r="E17" i="1" s="1"/>
  <c r="J7" i="1"/>
  <c r="I7" i="1"/>
  <c r="J6" i="1"/>
  <c r="I6" i="1"/>
  <c r="J5" i="1"/>
  <c r="J10" i="1" s="1"/>
  <c r="I5" i="1"/>
  <c r="AG26" i="4" l="1"/>
  <c r="AF28" i="4"/>
  <c r="U27" i="4"/>
  <c r="F28" i="4"/>
  <c r="P24" i="2"/>
  <c r="L17" i="1"/>
  <c r="S110" i="2" s="1"/>
  <c r="I10" i="1"/>
  <c r="I17" i="1" s="1"/>
  <c r="F104" i="2"/>
  <c r="G104" i="2"/>
  <c r="R110" i="2" s="1"/>
  <c r="T110" i="2" s="1"/>
  <c r="V110" i="2" s="1"/>
  <c r="Q24" i="2"/>
  <c r="F17" i="1"/>
  <c r="I104" i="2"/>
  <c r="F66" i="3"/>
  <c r="F68" i="3" s="1"/>
  <c r="J62" i="3"/>
  <c r="AJ16" i="4"/>
  <c r="AJ19" i="4" s="1"/>
  <c r="AK16" i="4"/>
  <c r="AK19" i="4" s="1"/>
  <c r="AL16" i="4"/>
  <c r="AL19" i="4" s="1"/>
  <c r="V27" i="4"/>
  <c r="AB22" i="4"/>
  <c r="AG25" i="4"/>
  <c r="AG20" i="4"/>
  <c r="Y27" i="4"/>
  <c r="W27" i="4"/>
  <c r="U13" i="4"/>
  <c r="X13" i="4"/>
  <c r="AG15" i="4"/>
  <c r="AB15" i="4"/>
  <c r="Y13" i="4"/>
  <c r="V13" i="4"/>
  <c r="Z13" i="4"/>
  <c r="W13" i="4"/>
  <c r="AB18" i="4"/>
  <c r="AG18" i="4"/>
  <c r="S28" i="4"/>
  <c r="V11" i="4"/>
  <c r="Y11" i="4"/>
  <c r="AB14" i="4"/>
  <c r="AG14" i="4"/>
  <c r="T28" i="4"/>
  <c r="G67" i="3" s="1"/>
  <c r="J17" i="1"/>
  <c r="W11" i="4"/>
  <c r="Z11" i="4"/>
  <c r="U14" i="4"/>
  <c r="X14" i="4"/>
  <c r="X15" i="4"/>
  <c r="U15" i="4"/>
  <c r="E24" i="4"/>
  <c r="E17" i="4"/>
  <c r="E9" i="4"/>
  <c r="E22" i="4"/>
  <c r="E10" i="4"/>
  <c r="E18" i="4"/>
  <c r="E15" i="4"/>
  <c r="E11" i="4"/>
  <c r="E20" i="4"/>
  <c r="E14" i="4"/>
  <c r="E23" i="4"/>
  <c r="E25" i="4"/>
  <c r="E21" i="4"/>
  <c r="E13" i="4"/>
  <c r="E12" i="4"/>
  <c r="U12" i="4"/>
  <c r="X12" i="4"/>
  <c r="Y14" i="4"/>
  <c r="V14" i="4"/>
  <c r="V12" i="4"/>
  <c r="Y12" i="4"/>
  <c r="P28" i="4"/>
  <c r="Z12" i="4"/>
  <c r="W12" i="4"/>
  <c r="K22" i="4"/>
  <c r="K18" i="4"/>
  <c r="K15" i="4"/>
  <c r="K17" i="4"/>
  <c r="K14" i="4"/>
  <c r="K20" i="4"/>
  <c r="K10" i="4"/>
  <c r="K9" i="4"/>
  <c r="K23" i="4"/>
  <c r="K21" i="4"/>
  <c r="K13" i="4"/>
  <c r="K12" i="4"/>
  <c r="K11" i="4"/>
  <c r="K25" i="4"/>
  <c r="K26" i="4"/>
  <c r="H26" i="4"/>
  <c r="H27" i="4" s="1"/>
  <c r="H28" i="4" s="1"/>
  <c r="K24" i="4"/>
  <c r="AB9" i="4"/>
  <c r="W14" i="4"/>
  <c r="R5" i="2"/>
  <c r="R24" i="2" s="1"/>
  <c r="AB17" i="4"/>
  <c r="AB23" i="4"/>
  <c r="V15" i="4"/>
  <c r="AG17" i="4"/>
  <c r="W18" i="4"/>
  <c r="AB21" i="4"/>
  <c r="G6" i="3"/>
  <c r="U9" i="4"/>
  <c r="W15" i="4"/>
  <c r="V17" i="4"/>
  <c r="AB24" i="4"/>
  <c r="Z27" i="4"/>
  <c r="V9" i="4"/>
  <c r="O28" i="4"/>
  <c r="Y16" i="4" l="1"/>
  <c r="Y19" i="4" s="1"/>
  <c r="Y28" i="4" s="1"/>
  <c r="U16" i="4"/>
  <c r="U19" i="4" s="1"/>
  <c r="U28" i="4" s="1"/>
  <c r="AB27" i="4"/>
  <c r="X16" i="4"/>
  <c r="X19" i="4" s="1"/>
  <c r="X28" i="4" s="1"/>
  <c r="V16" i="4"/>
  <c r="V19" i="4" s="1"/>
  <c r="V28" i="4" s="1"/>
  <c r="E16" i="4"/>
  <c r="E19" i="4" s="1"/>
  <c r="AJ25" i="4"/>
  <c r="AB34" i="4"/>
  <c r="AL36" i="4" s="1"/>
  <c r="AG27" i="4"/>
  <c r="H6" i="3"/>
  <c r="G62" i="3"/>
  <c r="G66" i="3" s="1"/>
  <c r="K16" i="4"/>
  <c r="K19" i="4" s="1"/>
  <c r="AB13" i="4"/>
  <c r="AG13" i="4"/>
  <c r="E27" i="4"/>
  <c r="AG11" i="4"/>
  <c r="AB11" i="4"/>
  <c r="K27" i="4"/>
  <c r="AG12" i="4"/>
  <c r="AB12" i="4"/>
  <c r="W10" i="4"/>
  <c r="W16" i="4" s="1"/>
  <c r="W19" i="4" s="1"/>
  <c r="W28" i="4" s="1"/>
  <c r="Z10" i="4"/>
  <c r="AJ23" i="4"/>
  <c r="AI17" i="4"/>
  <c r="AJ22" i="4"/>
  <c r="Q28" i="4"/>
  <c r="AB30" i="4" s="1"/>
  <c r="K28" i="4" l="1"/>
  <c r="I6" i="3"/>
  <c r="H62" i="3"/>
  <c r="H66" i="3" s="1"/>
  <c r="AG10" i="4"/>
  <c r="AB10" i="4"/>
  <c r="AB16" i="4" s="1"/>
  <c r="AB19" i="4" s="1"/>
  <c r="AB28" i="4" s="1"/>
  <c r="AB31" i="4" s="1"/>
  <c r="Z16" i="4"/>
  <c r="E28" i="4"/>
  <c r="AK23" i="4" l="1"/>
  <c r="Z19" i="4"/>
  <c r="AG16" i="4"/>
  <c r="AK22" i="4"/>
  <c r="AI18" i="4"/>
  <c r="I7" i="3"/>
  <c r="I8" i="3" l="1"/>
  <c r="AJ24" i="4"/>
  <c r="AB33" i="4"/>
  <c r="AL35" i="4" s="1"/>
  <c r="AG19" i="4"/>
  <c r="Z28" i="4"/>
  <c r="I9" i="3" l="1"/>
  <c r="I10" i="3" s="1"/>
  <c r="AB32" i="4"/>
  <c r="AL37" i="4" s="1"/>
  <c r="AJ26" i="4"/>
  <c r="AA22" i="4"/>
  <c r="AG28" i="4"/>
  <c r="H67" i="3"/>
  <c r="H68" i="3" s="1"/>
  <c r="AJ28" i="4"/>
  <c r="AA23" i="4"/>
  <c r="AA26" i="4"/>
  <c r="AA25" i="4"/>
  <c r="AA24" i="4"/>
  <c r="AA15" i="4"/>
  <c r="AA14" i="4"/>
  <c r="AA17" i="4"/>
  <c r="AA9" i="4"/>
  <c r="AA21" i="4"/>
  <c r="AA20" i="4"/>
  <c r="AA18" i="4"/>
  <c r="AA13" i="4"/>
  <c r="AA12" i="4"/>
  <c r="AA11" i="4"/>
  <c r="AA10" i="4"/>
  <c r="AA16" i="4"/>
  <c r="I62" i="3" l="1"/>
  <c r="Z30" i="4" s="1"/>
  <c r="AA19" i="4"/>
  <c r="AA27" i="4"/>
  <c r="AA2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jhtt</author>
    <author>tc={B854E11F-940F-4D07-B0F0-8BC190E53DCC}</author>
    <author>tc={E08CA67A-B40F-4CEB-B688-0BAC1C6C8EAC}</author>
    <author>user</author>
  </authors>
  <commentList>
    <comment ref="T14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기존값에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관리
</t>
        </r>
      </text>
    </comment>
    <comment ref="T15" authorId="0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기존값에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관리
</t>
        </r>
      </text>
    </comment>
    <comment ref="I18" authorId="1" shapeId="0" xr:uid="{00000000-0006-0000-0300-000003000000}">
      <text>
        <r>
          <rPr>
            <sz val="11"/>
            <rFont val="돋움"/>
            <family val="3"/>
            <charset val="129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4234-1367</t>
        </r>
      </text>
    </comment>
    <comment ref="J18" authorId="2" shapeId="0" xr:uid="{00000000-0006-0000-0300-000004000000}">
      <text>
        <r>
          <rPr>
            <sz val="11"/>
            <rFont val="돋움"/>
            <family val="3"/>
            <charset val="129"/>
          </rPr>
  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(실천사업계획)투자한도 계산시 _ 공무팀(실천사업계획 최종본 _ 용도요약사용 but 2-3.관로공사 구간 sheet에 
투자 한도 계산시
투자보수율 소계 - 전년도 인정 이월 공사
= 2,985,850 - 1,158,404 = 1,827,446
</t>
        </r>
      </text>
    </comment>
    <comment ref="AK21" authorId="3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투자품의1차_택지이월분</t>
        </r>
      </text>
    </comment>
    <comment ref="B26" authorId="3" shapeId="0" xr:uid="{00000000-0006-0000-0300-000006000000}">
      <text>
        <r>
          <rPr>
            <b/>
            <sz val="12"/>
            <color indexed="81"/>
            <rFont val="Tahoma"/>
            <family val="2"/>
          </rPr>
          <t xml:space="preserve">20231012 </t>
        </r>
        <r>
          <rPr>
            <b/>
            <sz val="12"/>
            <color indexed="81"/>
            <rFont val="돋움"/>
            <family val="3"/>
            <charset val="129"/>
          </rPr>
          <t>박종윤과장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통화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 xml:space="preserve">삭제
</t>
        </r>
        <r>
          <rPr>
            <b/>
            <sz val="12"/>
            <color indexed="81"/>
            <rFont val="Tahoma"/>
            <family val="2"/>
          </rPr>
          <t>2024</t>
        </r>
        <r>
          <rPr>
            <b/>
            <sz val="12"/>
            <color indexed="81"/>
            <rFont val="돋움"/>
            <family val="3"/>
            <charset val="129"/>
          </rPr>
          <t>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부터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적용하기로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내부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결정</t>
        </r>
      </text>
    </comment>
  </commentList>
</comments>
</file>

<file path=xl/sharedStrings.xml><?xml version="1.0" encoding="utf-8"?>
<sst xmlns="http://schemas.openxmlformats.org/spreadsheetml/2006/main" count="191" uniqueCount="149">
  <si>
    <t>본부투자승인 공공택지 이월 현황</t>
    <phoneticPr fontId="3" type="noConversion"/>
  </si>
  <si>
    <t>구분</t>
    <phoneticPr fontId="3" type="noConversion"/>
  </si>
  <si>
    <t>승인
차수</t>
    <phoneticPr fontId="3" type="noConversion"/>
  </si>
  <si>
    <t>구간번호</t>
    <phoneticPr fontId="3" type="noConversion"/>
  </si>
  <si>
    <t>공 사 명</t>
    <phoneticPr fontId="3" type="noConversion"/>
  </si>
  <si>
    <t>본부투자 승인 내역</t>
    <phoneticPr fontId="3" type="noConversion"/>
  </si>
  <si>
    <t>이월누계현황</t>
    <phoneticPr fontId="3" type="noConversion"/>
  </si>
  <si>
    <t>금년투자(2023년)</t>
    <phoneticPr fontId="3" type="noConversion"/>
  </si>
  <si>
    <t>이 월 현 황</t>
    <phoneticPr fontId="3" type="noConversion"/>
  </si>
  <si>
    <t>비고</t>
    <phoneticPr fontId="3" type="noConversion"/>
  </si>
  <si>
    <t>길이(m)</t>
    <phoneticPr fontId="3" type="noConversion"/>
  </si>
  <si>
    <t>금액(원)</t>
    <phoneticPr fontId="3" type="noConversion"/>
  </si>
  <si>
    <t>본부투자이월구간</t>
    <phoneticPr fontId="3" type="noConversion"/>
  </si>
  <si>
    <t>소      계</t>
    <phoneticPr fontId="3" type="noConversion"/>
  </si>
  <si>
    <t>금회이월구간</t>
    <phoneticPr fontId="3" type="noConversion"/>
  </si>
  <si>
    <t/>
  </si>
  <si>
    <t>합     계</t>
    <phoneticPr fontId="3" type="noConversion"/>
  </si>
  <si>
    <t>2026년도 신규배관 투자승인 취소현황</t>
    <phoneticPr fontId="3" type="noConversion"/>
  </si>
  <si>
    <t>구분</t>
    <phoneticPr fontId="3" type="noConversion"/>
  </si>
  <si>
    <t>용도</t>
    <phoneticPr fontId="3" type="noConversion"/>
  </si>
  <si>
    <t>구간번호</t>
    <phoneticPr fontId="3" type="noConversion"/>
  </si>
  <si>
    <t>공 사 명</t>
    <phoneticPr fontId="3" type="noConversion"/>
  </si>
  <si>
    <t>관로길이</t>
    <phoneticPr fontId="3" type="noConversion"/>
  </si>
  <si>
    <t>투자금액</t>
    <phoneticPr fontId="3" type="noConversion"/>
  </si>
  <si>
    <t>시 설 분 담 금</t>
    <phoneticPr fontId="3" type="noConversion"/>
  </si>
  <si>
    <t>시설분담금</t>
    <phoneticPr fontId="3" type="noConversion"/>
  </si>
  <si>
    <t>취 소 사 유</t>
    <phoneticPr fontId="3" type="noConversion"/>
  </si>
  <si>
    <t>일반</t>
    <phoneticPr fontId="3" type="noConversion"/>
  </si>
  <si>
    <t>취사전용</t>
    <phoneticPr fontId="3" type="noConversion"/>
  </si>
  <si>
    <t>수요가부담</t>
    <phoneticPr fontId="3" type="noConversion"/>
  </si>
  <si>
    <t>기
존
취
소
구
간</t>
    <phoneticPr fontId="3" type="noConversion"/>
  </si>
  <si>
    <t>주택용</t>
    <phoneticPr fontId="3" type="noConversion"/>
  </si>
  <si>
    <t>업무용</t>
    <phoneticPr fontId="3" type="noConversion"/>
  </si>
  <si>
    <t>공동주택</t>
    <phoneticPr fontId="3" type="noConversion"/>
  </si>
  <si>
    <t>투자재원</t>
    <phoneticPr fontId="3" type="noConversion"/>
  </si>
  <si>
    <t>ROE</t>
    <phoneticPr fontId="3" type="noConversion"/>
  </si>
  <si>
    <t>공공택지</t>
    <phoneticPr fontId="3" type="noConversion"/>
  </si>
  <si>
    <t>산업용</t>
    <phoneticPr fontId="3" type="noConversion"/>
  </si>
  <si>
    <t>영업용</t>
    <phoneticPr fontId="3" type="noConversion"/>
  </si>
  <si>
    <t>소     계</t>
    <phoneticPr fontId="3" type="noConversion"/>
  </si>
  <si>
    <t xml:space="preserve">금
회
취
소
</t>
    <phoneticPr fontId="3" type="noConversion"/>
  </si>
  <si>
    <t xml:space="preserve"> ---&gt; 다음회차 작업시 금회 취소분은 기존 취소로 이동복사 할 것.</t>
    <phoneticPr fontId="3" type="noConversion"/>
  </si>
  <si>
    <t>소     계</t>
    <phoneticPr fontId="3" type="noConversion"/>
  </si>
  <si>
    <t>합     계</t>
    <phoneticPr fontId="3" type="noConversion"/>
  </si>
  <si>
    <t>수 요 개 발</t>
    <phoneticPr fontId="3" type="noConversion"/>
  </si>
  <si>
    <t>기본계획</t>
    <phoneticPr fontId="3" type="noConversion"/>
  </si>
  <si>
    <t>합 계</t>
    <phoneticPr fontId="3" type="noConversion"/>
  </si>
  <si>
    <t>취 소</t>
    <phoneticPr fontId="3" type="noConversion"/>
  </si>
  <si>
    <t>이 월</t>
    <phoneticPr fontId="3" type="noConversion"/>
  </si>
  <si>
    <t>소 계</t>
  </si>
  <si>
    <t>취 소</t>
  </si>
  <si>
    <t>금액</t>
    <phoneticPr fontId="3" type="noConversion"/>
  </si>
  <si>
    <t>2026년도 본부투자승인 현황</t>
    <phoneticPr fontId="13" type="noConversion"/>
  </si>
  <si>
    <t>차수</t>
    <phoneticPr fontId="13" type="noConversion"/>
  </si>
  <si>
    <t>건 수</t>
    <phoneticPr fontId="13" type="noConversion"/>
  </si>
  <si>
    <t>길이(m)</t>
    <phoneticPr fontId="13" type="noConversion"/>
  </si>
  <si>
    <t>관로투자금액</t>
    <phoneticPr fontId="13" type="noConversion"/>
  </si>
  <si>
    <t>시설투자금액</t>
    <phoneticPr fontId="13" type="noConversion"/>
  </si>
  <si>
    <t>투자재원</t>
    <phoneticPr fontId="13" type="noConversion"/>
  </si>
  <si>
    <t>이월,취소금액</t>
    <phoneticPr fontId="13" type="noConversion"/>
  </si>
  <si>
    <t>합   계</t>
    <phoneticPr fontId="13" type="noConversion"/>
  </si>
  <si>
    <t>누   계</t>
    <phoneticPr fontId="13" type="noConversion"/>
  </si>
  <si>
    <t>승 인 현 황</t>
    <phoneticPr fontId="13" type="noConversion"/>
  </si>
  <si>
    <t xml:space="preserve"> </t>
    <phoneticPr fontId="13" type="noConversion"/>
  </si>
  <si>
    <t>취소금액</t>
    <phoneticPr fontId="13" type="noConversion"/>
  </si>
  <si>
    <t>차수별 취소 금액</t>
    <phoneticPr fontId="13" type="noConversion"/>
  </si>
  <si>
    <t>관로공사 발주에 따른 시공도급비 감소분</t>
    <phoneticPr fontId="13" type="noConversion"/>
  </si>
  <si>
    <t>1차</t>
    <phoneticPr fontId="13" type="noConversion"/>
  </si>
  <si>
    <t>1건</t>
    <phoneticPr fontId="13" type="noConversion"/>
  </si>
  <si>
    <t>2차</t>
    <phoneticPr fontId="13" type="noConversion"/>
  </si>
  <si>
    <t>2건</t>
    <phoneticPr fontId="13" type="noConversion"/>
  </si>
  <si>
    <t>합계</t>
    <phoneticPr fontId="13" type="noConversion"/>
  </si>
  <si>
    <t>[금액단위:천원]</t>
    <phoneticPr fontId="3" type="noConversion"/>
  </si>
  <si>
    <t>구       분</t>
    <phoneticPr fontId="3" type="noConversion"/>
  </si>
  <si>
    <t>2025년 투자 실적</t>
    <phoneticPr fontId="3" type="noConversion"/>
  </si>
  <si>
    <t>2026년 당초 투자한도액</t>
    <phoneticPr fontId="3" type="noConversion"/>
  </si>
  <si>
    <t>2024년
신규투자
잔여분</t>
    <phoneticPr fontId="3" type="noConversion"/>
  </si>
  <si>
    <t>2026년 사업계획 투자한도액</t>
    <phoneticPr fontId="3" type="noConversion"/>
  </si>
  <si>
    <t>2026년 본부투자 승인내역</t>
    <phoneticPr fontId="3" type="noConversion"/>
  </si>
  <si>
    <t>2026년 본부투자
이월 및 취소분</t>
    <phoneticPr fontId="3" type="noConversion"/>
  </si>
  <si>
    <t>2025년 본부투자 누계</t>
    <phoneticPr fontId="3" type="noConversion"/>
  </si>
  <si>
    <t>2026년 본부투자 누계</t>
    <phoneticPr fontId="3" type="noConversion"/>
  </si>
  <si>
    <t>투자한도
잔   액</t>
    <phoneticPr fontId="3" type="noConversion"/>
  </si>
  <si>
    <t>시설분담금</t>
    <phoneticPr fontId="3" type="noConversion"/>
  </si>
  <si>
    <t>시설분담금</t>
    <phoneticPr fontId="3" type="noConversion"/>
  </si>
  <si>
    <t>승인비율</t>
    <phoneticPr fontId="3" type="noConversion"/>
  </si>
  <si>
    <t>규모(m)</t>
    <phoneticPr fontId="3" type="noConversion"/>
  </si>
  <si>
    <t>금액</t>
  </si>
  <si>
    <t>구성비</t>
    <phoneticPr fontId="3" type="noConversion"/>
  </si>
  <si>
    <t>구성비</t>
    <phoneticPr fontId="3" type="noConversion"/>
  </si>
  <si>
    <t>전수</t>
    <phoneticPr fontId="3" type="noConversion"/>
  </si>
  <si>
    <t>규모(m)</t>
  </si>
  <si>
    <t>전수</t>
    <phoneticPr fontId="3" type="noConversion"/>
  </si>
  <si>
    <t>전수</t>
    <phoneticPr fontId="3" type="noConversion"/>
  </si>
  <si>
    <t>일반</t>
    <phoneticPr fontId="3" type="noConversion"/>
  </si>
  <si>
    <t>취사전용</t>
    <phoneticPr fontId="3" type="noConversion"/>
  </si>
  <si>
    <t>수요가부담</t>
    <phoneticPr fontId="3" type="noConversion"/>
  </si>
  <si>
    <t>전수</t>
    <phoneticPr fontId="3" type="noConversion"/>
  </si>
  <si>
    <t>규모</t>
    <phoneticPr fontId="3" type="noConversion"/>
  </si>
  <si>
    <t>금액</t>
    <phoneticPr fontId="3" type="noConversion"/>
  </si>
  <si>
    <t>수요개발</t>
    <phoneticPr fontId="3" type="noConversion"/>
  </si>
  <si>
    <t>공공택지</t>
    <phoneticPr fontId="3" type="noConversion"/>
  </si>
  <si>
    <t>공공택지</t>
  </si>
  <si>
    <t>공동주택</t>
  </si>
  <si>
    <t>산업용</t>
    <phoneticPr fontId="3" type="noConversion"/>
  </si>
  <si>
    <t>산업용</t>
  </si>
  <si>
    <t>업무용</t>
  </si>
  <si>
    <t>영업용</t>
    <phoneticPr fontId="3" type="noConversion"/>
  </si>
  <si>
    <t>영업용</t>
  </si>
  <si>
    <t>연료전지용</t>
    <phoneticPr fontId="3" type="noConversion"/>
  </si>
  <si>
    <t>주택용</t>
  </si>
  <si>
    <t>소 계</t>
    <phoneticPr fontId="3" type="noConversion"/>
  </si>
  <si>
    <t>소계</t>
    <phoneticPr fontId="3" type="noConversion"/>
  </si>
  <si>
    <t>배관투자재원</t>
    <phoneticPr fontId="3" type="noConversion"/>
  </si>
  <si>
    <t>투자보수율가산</t>
    <phoneticPr fontId="3" type="noConversion"/>
  </si>
  <si>
    <t>합  계</t>
  </si>
  <si>
    <t>소계</t>
    <phoneticPr fontId="3" type="noConversion"/>
  </si>
  <si>
    <t>계획배관</t>
  </si>
  <si>
    <t>Loop</t>
  </si>
  <si>
    <t>이설배관</t>
  </si>
  <si>
    <t>지역
정압기</t>
    <phoneticPr fontId="3" type="noConversion"/>
  </si>
  <si>
    <t>인입배관</t>
  </si>
  <si>
    <t>수요개발</t>
    <phoneticPr fontId="3" type="noConversion"/>
  </si>
  <si>
    <t>공급시설물
개선</t>
    <phoneticPr fontId="3" type="noConversion"/>
  </si>
  <si>
    <t>전체</t>
    <phoneticPr fontId="3" type="noConversion"/>
  </si>
  <si>
    <t>소 계</t>
    <phoneticPr fontId="3" type="noConversion"/>
  </si>
  <si>
    <t>총 합 계</t>
    <phoneticPr fontId="3" type="noConversion"/>
  </si>
  <si>
    <t>구분</t>
    <phoneticPr fontId="3" type="noConversion"/>
  </si>
  <si>
    <t>투자누계(%)</t>
    <phoneticPr fontId="3" type="noConversion"/>
  </si>
  <si>
    <t>수요개발투자</t>
    <phoneticPr fontId="3" type="noConversion"/>
  </si>
  <si>
    <t>기본계획투자</t>
    <phoneticPr fontId="3" type="noConversion"/>
  </si>
  <si>
    <t>전체 투자</t>
    <phoneticPr fontId="3" type="noConversion"/>
  </si>
  <si>
    <t>3차</t>
    <phoneticPr fontId="3" type="noConversion"/>
  </si>
  <si>
    <t>4건</t>
    <phoneticPr fontId="3" type="noConversion"/>
  </si>
  <si>
    <t>4차</t>
  </si>
  <si>
    <t>1건</t>
  </si>
  <si>
    <t>5차</t>
    <phoneticPr fontId="3" type="noConversion"/>
  </si>
  <si>
    <t>1건</t>
    <phoneticPr fontId="3" type="noConversion"/>
  </si>
  <si>
    <t>6차</t>
    <phoneticPr fontId="13" type="noConversion"/>
  </si>
  <si>
    <t>12건</t>
    <phoneticPr fontId="13" type="noConversion"/>
  </si>
  <si>
    <t>7차</t>
    <phoneticPr fontId="3" type="noConversion"/>
  </si>
  <si>
    <t>8차</t>
  </si>
  <si>
    <t>10건</t>
    <phoneticPr fontId="13" type="noConversion"/>
  </si>
  <si>
    <t>9차</t>
    <phoneticPr fontId="13" type="noConversion"/>
  </si>
  <si>
    <t>10차</t>
    <phoneticPr fontId="13" type="noConversion"/>
  </si>
  <si>
    <t>6건</t>
    <phoneticPr fontId="13" type="noConversion"/>
  </si>
  <si>
    <t>11차</t>
    <phoneticPr fontId="3" type="noConversion"/>
  </si>
  <si>
    <t>5건</t>
    <phoneticPr fontId="3" type="noConversion"/>
  </si>
  <si>
    <t>금회 신청 내역(11차)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</si>
</sst>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_-* #,##0.0_-;\-* #,##0.0_-;_-* &quot;-&quot;_-;_-@_-"/>
    <numFmt numFmtId="178" formatCode="#,##0_ "/>
    <numFmt numFmtId="179" formatCode="_-* #,##0.0_-;\-* #,##0.0_-;_-* &quot;-&quot;?_-;_-@_-"/>
    <numFmt numFmtId="180" formatCode="#,##0_ ;[Red]\-#,##0\ "/>
    <numFmt numFmtId="181" formatCode="#,##0.0_);[Red]\(#,##0.0\)"/>
    <numFmt numFmtId="182" formatCode="_-* #,##0,_-;\-\ #,##0,_-;;_-@_-"/>
    <numFmt numFmtId="183" formatCode="0.0%"/>
    <numFmt numFmtId="184" formatCode="#,##0.000_ "/>
    <numFmt numFmtId="185" formatCode="0&quot;건&quot;"/>
    <numFmt numFmtId="186" formatCode="0.000_);[Red]\(0.000\)"/>
    <numFmt numFmtId="187" formatCode="_-* #,##0.0,_-;\-\ #,##0.0000,_-;;_-@_-"/>
    <numFmt numFmtId="188" formatCode="_-* #,##0.0,_-;\-\ #,##0.000,_-;;_-@_-"/>
  </numFmts>
  <fonts count="38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u/>
      <sz val="20"/>
      <name val="굴림"/>
      <family val="3"/>
      <charset val="129"/>
    </font>
    <font>
      <sz val="8"/>
      <name val="돋움"/>
      <family val="3"/>
      <charset val="129"/>
    </font>
    <font>
      <b/>
      <u/>
      <sz val="24"/>
      <name val="굴림"/>
      <family val="3"/>
      <charset val="129"/>
    </font>
    <font>
      <b/>
      <u/>
      <sz val="20"/>
      <name val="굴림"/>
      <family val="3"/>
      <charset val="129"/>
    </font>
    <font>
      <sz val="11"/>
      <name val="굴림"/>
      <family val="3"/>
      <charset val="129"/>
    </font>
    <font>
      <b/>
      <sz val="11"/>
      <name val="굴림"/>
      <family val="3"/>
      <charset val="129"/>
    </font>
    <font>
      <b/>
      <sz val="20"/>
      <name val="굴림"/>
      <family val="3"/>
      <charset val="129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indexed="8"/>
      <name val="굴림"/>
      <family val="3"/>
      <charset val="129"/>
    </font>
    <font>
      <b/>
      <sz val="26"/>
      <name val="굴림체"/>
      <family val="3"/>
      <charset val="129"/>
    </font>
    <font>
      <sz val="12"/>
      <name val="굴림체"/>
      <family val="3"/>
      <charset val="129"/>
    </font>
    <font>
      <sz val="10"/>
      <name val="돋움"/>
      <family val="3"/>
      <charset val="129"/>
    </font>
    <font>
      <b/>
      <sz val="11"/>
      <color theme="3"/>
      <name val="돋움"/>
      <family val="3"/>
      <charset val="129"/>
    </font>
    <font>
      <sz val="11"/>
      <name val="굴림체"/>
      <family val="3"/>
      <charset val="129"/>
    </font>
    <font>
      <b/>
      <sz val="10"/>
      <name val="굴림체"/>
      <family val="3"/>
      <charset val="129"/>
    </font>
    <font>
      <sz val="10"/>
      <name val="굴림체"/>
      <family val="3"/>
      <charset val="129"/>
    </font>
    <font>
      <b/>
      <sz val="10"/>
      <color theme="3"/>
      <name val="굴림"/>
      <family val="3"/>
      <charset val="129"/>
    </font>
    <font>
      <sz val="10"/>
      <color indexed="8"/>
      <name val="굴림체"/>
      <family val="3"/>
      <charset val="129"/>
    </font>
    <font>
      <b/>
      <sz val="10"/>
      <color rgb="FFFF0000"/>
      <name val="굴림"/>
      <family val="3"/>
      <charset val="129"/>
    </font>
    <font>
      <i/>
      <sz val="10"/>
      <name val="굴림"/>
      <family val="3"/>
      <charset val="129"/>
    </font>
    <font>
      <b/>
      <sz val="10"/>
      <color theme="3"/>
      <name val="돋움"/>
      <family val="3"/>
      <charset val="129"/>
    </font>
    <font>
      <b/>
      <sz val="10"/>
      <color theme="0"/>
      <name val="굴림체"/>
      <family val="3"/>
      <charset val="129"/>
    </font>
    <font>
      <b/>
      <sz val="10"/>
      <color rgb="FFFF0000"/>
      <name val="돋움"/>
      <family val="3"/>
      <charset val="129"/>
    </font>
    <font>
      <b/>
      <sz val="16"/>
      <name val="굴림"/>
      <family val="3"/>
      <charset val="129"/>
    </font>
    <font>
      <b/>
      <sz val="11"/>
      <color rgb="FF0000CC"/>
      <name val="굴림"/>
      <family val="3"/>
      <charset val="129"/>
    </font>
    <font>
      <sz val="12"/>
      <name val="굴림"/>
      <family val="3"/>
      <charset val="129"/>
    </font>
    <font>
      <sz val="9"/>
      <name val="굴림"/>
      <family val="3"/>
      <charset val="129"/>
    </font>
    <font>
      <b/>
      <sz val="11"/>
      <color indexed="12"/>
      <name val="굴림"/>
      <family val="3"/>
      <charset val="129"/>
    </font>
    <font>
      <b/>
      <sz val="11"/>
      <color rgb="FFFF0000"/>
      <name val="굴림"/>
      <family val="3"/>
      <charset val="129"/>
    </font>
    <font>
      <b/>
      <sz val="10"/>
      <color rgb="FF0000CC"/>
      <name val="굴림"/>
      <family val="3"/>
      <charset val="129"/>
    </font>
    <font>
      <b/>
      <sz val="10"/>
      <color indexed="12"/>
      <name val="굴림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2"/>
      <color indexed="81"/>
      <name val="Tahoma"/>
      <family val="2"/>
    </font>
    <font>
      <b/>
      <sz val="12"/>
      <color indexed="81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indexed="64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theme="0" tint="-0.499984740745262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thick">
        <color theme="0" tint="-0.34998626667073579"/>
      </bottom>
      <diagonal/>
    </border>
    <border>
      <left style="hair">
        <color indexed="64"/>
      </left>
      <right/>
      <top/>
      <bottom style="thick">
        <color theme="0" tint="-0.34998626667073579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633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176" fontId="5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177" fontId="6" fillId="0" borderId="0" xfId="1" applyNumberFormat="1" applyFont="1" applyFill="1" applyAlignment="1">
      <alignment horizontal="centerContinuous" vertical="center"/>
    </xf>
    <xf numFmtId="176" fontId="6" fillId="0" borderId="0" xfId="1" applyNumberFormat="1" applyFont="1" applyFill="1" applyAlignment="1">
      <alignment horizontal="centerContinuous" vertical="center"/>
    </xf>
    <xf numFmtId="177" fontId="6" fillId="2" borderId="4" xfId="1" applyNumberFormat="1" applyFont="1" applyFill="1" applyBorder="1" applyAlignment="1">
      <alignment horizontal="centerContinuous" vertical="center"/>
    </xf>
    <xf numFmtId="176" fontId="6" fillId="2" borderId="5" xfId="1" applyNumberFormat="1" applyFont="1" applyFill="1" applyBorder="1" applyAlignment="1">
      <alignment horizontal="centerContinuous" vertical="center" wrapText="1"/>
    </xf>
    <xf numFmtId="177" fontId="6" fillId="2" borderId="6" xfId="1" applyNumberFormat="1" applyFont="1" applyFill="1" applyBorder="1" applyAlignment="1">
      <alignment horizontal="centerContinuous" vertical="center"/>
    </xf>
    <xf numFmtId="176" fontId="6" fillId="2" borderId="3" xfId="1" applyNumberFormat="1" applyFont="1" applyFill="1" applyBorder="1" applyAlignment="1">
      <alignment horizontal="centerContinuous" vertical="center" wrapText="1"/>
    </xf>
    <xf numFmtId="177" fontId="6" fillId="2" borderId="10" xfId="1" applyNumberFormat="1" applyFont="1" applyFill="1" applyBorder="1" applyAlignment="1">
      <alignment horizontal="center" vertical="center"/>
    </xf>
    <xf numFmtId="176" fontId="6" fillId="2" borderId="11" xfId="1" applyNumberFormat="1" applyFont="1" applyFill="1" applyBorder="1" applyAlignment="1">
      <alignment horizontal="center" vertical="center" wrapText="1"/>
    </xf>
    <xf numFmtId="177" fontId="6" fillId="2" borderId="12" xfId="1" applyNumberFormat="1" applyFont="1" applyFill="1" applyBorder="1" applyAlignment="1">
      <alignment horizontal="center" vertical="center"/>
    </xf>
    <xf numFmtId="176" fontId="6" fillId="2" borderId="13" xfId="1" applyNumberFormat="1" applyFont="1" applyFill="1" applyBorder="1" applyAlignment="1">
      <alignment horizontal="center" vertical="center" wrapText="1"/>
    </xf>
    <xf numFmtId="0" fontId="6" fillId="0" borderId="14" xfId="3" applyBorder="1" applyAlignment="1">
      <alignment horizontal="center" vertical="center" wrapText="1"/>
    </xf>
    <xf numFmtId="0" fontId="6" fillId="0" borderId="14" xfId="3" applyBorder="1" applyAlignment="1" applyProtection="1">
      <alignment horizontal="center" vertical="center"/>
      <protection locked="0"/>
    </xf>
    <xf numFmtId="0" fontId="6" fillId="0" borderId="15" xfId="3" applyBorder="1" applyAlignment="1">
      <alignment horizontal="center" vertical="center" wrapText="1"/>
    </xf>
    <xf numFmtId="177" fontId="6" fillId="0" borderId="16" xfId="1" applyNumberFormat="1" applyFont="1" applyFill="1" applyBorder="1" applyAlignment="1" applyProtection="1">
      <alignment vertical="center"/>
    </xf>
    <xf numFmtId="176" fontId="6" fillId="0" borderId="17" xfId="1" applyNumberFormat="1" applyFont="1" applyFill="1" applyBorder="1" applyAlignment="1" applyProtection="1">
      <alignment horizontal="right" vertical="center"/>
    </xf>
    <xf numFmtId="177" fontId="6" fillId="0" borderId="18" xfId="1" applyNumberFormat="1" applyFont="1" applyFill="1" applyBorder="1" applyAlignment="1" applyProtection="1">
      <alignment vertical="center"/>
    </xf>
    <xf numFmtId="176" fontId="6" fillId="0" borderId="15" xfId="1" applyNumberFormat="1" applyFont="1" applyFill="1" applyBorder="1" applyAlignment="1" applyProtection="1">
      <alignment horizontal="right" vertical="center"/>
    </xf>
    <xf numFmtId="176" fontId="6" fillId="0" borderId="17" xfId="1" applyNumberFormat="1" applyFont="1" applyFill="1" applyBorder="1" applyAlignment="1" applyProtection="1">
      <alignment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19" xfId="3" applyBorder="1" applyAlignment="1" applyProtection="1">
      <alignment horizontal="center" vertical="center"/>
      <protection locked="0"/>
    </xf>
    <xf numFmtId="0" fontId="6" fillId="0" borderId="20" xfId="0" applyFont="1" applyBorder="1" applyAlignment="1">
      <alignment horizontal="center" vertical="center"/>
    </xf>
    <xf numFmtId="177" fontId="6" fillId="0" borderId="21" xfId="1" applyNumberFormat="1" applyFont="1" applyFill="1" applyBorder="1" applyAlignment="1" applyProtection="1">
      <alignment vertical="center"/>
      <protection locked="0"/>
    </xf>
    <xf numFmtId="176" fontId="6" fillId="0" borderId="22" xfId="1" applyNumberFormat="1" applyFont="1" applyFill="1" applyBorder="1" applyAlignment="1" applyProtection="1">
      <alignment horizontal="right" vertical="center"/>
      <protection locked="0"/>
    </xf>
    <xf numFmtId="177" fontId="6" fillId="0" borderId="23" xfId="1" applyNumberFormat="1" applyFont="1" applyFill="1" applyBorder="1" applyAlignment="1" applyProtection="1">
      <alignment vertical="center"/>
      <protection locked="0"/>
    </xf>
    <xf numFmtId="176" fontId="6" fillId="0" borderId="20" xfId="1" applyNumberFormat="1" applyFont="1" applyFill="1" applyBorder="1" applyAlignment="1" applyProtection="1">
      <alignment horizontal="right" vertical="center"/>
      <protection locked="0"/>
    </xf>
    <xf numFmtId="0" fontId="6" fillId="0" borderId="23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177" fontId="6" fillId="0" borderId="26" xfId="1" applyNumberFormat="1" applyFont="1" applyFill="1" applyBorder="1" applyAlignment="1" applyProtection="1">
      <alignment vertical="center"/>
      <protection locked="0"/>
    </xf>
    <xf numFmtId="176" fontId="6" fillId="0" borderId="27" xfId="1" applyNumberFormat="1" applyFont="1" applyFill="1" applyBorder="1" applyAlignment="1" applyProtection="1">
      <alignment horizontal="right" vertical="center"/>
      <protection locked="0"/>
    </xf>
    <xf numFmtId="177" fontId="6" fillId="0" borderId="28" xfId="1" applyNumberFormat="1" applyFont="1" applyFill="1" applyBorder="1" applyAlignment="1" applyProtection="1">
      <alignment vertical="center"/>
      <protection locked="0"/>
    </xf>
    <xf numFmtId="176" fontId="6" fillId="0" borderId="25" xfId="1" applyNumberFormat="1" applyFont="1" applyFill="1" applyBorder="1" applyAlignment="1" applyProtection="1">
      <alignment horizontal="right" vertical="center"/>
      <protection locked="0"/>
    </xf>
    <xf numFmtId="0" fontId="6" fillId="0" borderId="28" xfId="0" applyFont="1" applyBorder="1" applyAlignment="1">
      <alignment horizontal="center" vertical="center"/>
    </xf>
    <xf numFmtId="0" fontId="6" fillId="3" borderId="29" xfId="0" applyFont="1" applyFill="1" applyBorder="1" applyAlignment="1">
      <alignment horizontal="left" vertical="center"/>
    </xf>
    <xf numFmtId="177" fontId="6" fillId="3" borderId="31" xfId="1" applyNumberFormat="1" applyFont="1" applyFill="1" applyBorder="1" applyAlignment="1" applyProtection="1">
      <alignment vertical="center"/>
      <protection locked="0"/>
    </xf>
    <xf numFmtId="176" fontId="6" fillId="3" borderId="32" xfId="1" applyNumberFormat="1" applyFont="1" applyFill="1" applyBorder="1" applyAlignment="1" applyProtection="1">
      <alignment horizontal="right" vertical="center"/>
      <protection locked="0"/>
    </xf>
    <xf numFmtId="177" fontId="6" fillId="3" borderId="30" xfId="1" applyNumberFormat="1" applyFont="1" applyFill="1" applyBorder="1" applyAlignment="1" applyProtection="1">
      <alignment vertical="center"/>
      <protection locked="0"/>
    </xf>
    <xf numFmtId="176" fontId="6" fillId="3" borderId="29" xfId="1" applyNumberFormat="1" applyFont="1" applyFill="1" applyBorder="1" applyAlignment="1" applyProtection="1">
      <alignment horizontal="right" vertical="center"/>
      <protection locked="0"/>
    </xf>
    <xf numFmtId="0" fontId="6" fillId="3" borderId="30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176" fontId="6" fillId="0" borderId="21" xfId="1" applyNumberFormat="1" applyFont="1" applyFill="1" applyBorder="1" applyAlignment="1" applyProtection="1">
      <alignment vertical="center"/>
      <protection locked="0"/>
    </xf>
    <xf numFmtId="177" fontId="6" fillId="0" borderId="18" xfId="1" applyNumberFormat="1" applyFont="1" applyFill="1" applyBorder="1" applyAlignment="1" applyProtection="1">
      <alignment vertical="center"/>
      <protection locked="0"/>
    </xf>
    <xf numFmtId="176" fontId="6" fillId="0" borderId="15" xfId="1" applyNumberFormat="1" applyFont="1" applyFill="1" applyBorder="1" applyAlignment="1" applyProtection="1">
      <alignment horizontal="center" vertical="center"/>
      <protection locked="0"/>
    </xf>
    <xf numFmtId="176" fontId="6" fillId="0" borderId="15" xfId="1" applyNumberFormat="1" applyFont="1" applyFill="1" applyBorder="1" applyAlignment="1" applyProtection="1">
      <alignment horizontal="right" vertical="center"/>
      <protection locked="0"/>
    </xf>
    <xf numFmtId="176" fontId="6" fillId="0" borderId="16" xfId="1" applyNumberFormat="1" applyFont="1" applyFill="1" applyBorder="1" applyAlignment="1" applyProtection="1">
      <alignment horizontal="right" vertical="center"/>
      <protection locked="0"/>
    </xf>
    <xf numFmtId="176" fontId="6" fillId="0" borderId="17" xfId="1" applyNumberFormat="1" applyFont="1" applyFill="1" applyBorder="1" applyAlignment="1" applyProtection="1">
      <alignment horizontal="right" vertical="center"/>
      <protection locked="0"/>
    </xf>
    <xf numFmtId="0" fontId="6" fillId="0" borderId="25" xfId="0" applyFont="1" applyBorder="1" applyAlignment="1">
      <alignment horizontal="center" vertical="center"/>
    </xf>
    <xf numFmtId="176" fontId="6" fillId="0" borderId="26" xfId="1" applyNumberFormat="1" applyFont="1" applyFill="1" applyBorder="1" applyAlignment="1" applyProtection="1">
      <alignment vertical="center"/>
      <protection locked="0"/>
    </xf>
    <xf numFmtId="176" fontId="6" fillId="0" borderId="25" xfId="1" applyNumberFormat="1" applyFont="1" applyFill="1" applyBorder="1" applyAlignment="1" applyProtection="1">
      <alignment horizontal="center" vertical="center"/>
      <protection locked="0"/>
    </xf>
    <xf numFmtId="178" fontId="6" fillId="0" borderId="26" xfId="1" applyNumberFormat="1" applyFont="1" applyFill="1" applyBorder="1" applyAlignment="1" applyProtection="1">
      <alignment vertical="center"/>
      <protection locked="0"/>
    </xf>
    <xf numFmtId="0" fontId="6" fillId="0" borderId="19" xfId="3" applyBorder="1" applyAlignment="1">
      <alignment vertical="center" wrapText="1"/>
    </xf>
    <xf numFmtId="0" fontId="6" fillId="0" borderId="20" xfId="3" applyBorder="1" applyAlignment="1">
      <alignment horizontal="left" vertical="center"/>
    </xf>
    <xf numFmtId="177" fontId="6" fillId="0" borderId="21" xfId="1" applyNumberFormat="1" applyFont="1" applyFill="1" applyBorder="1" applyAlignment="1" applyProtection="1">
      <alignment vertical="center"/>
    </xf>
    <xf numFmtId="176" fontId="6" fillId="0" borderId="22" xfId="1" applyNumberFormat="1" applyFont="1" applyFill="1" applyBorder="1" applyAlignment="1" applyProtection="1">
      <alignment vertical="center"/>
    </xf>
    <xf numFmtId="177" fontId="6" fillId="0" borderId="23" xfId="1" applyNumberFormat="1" applyFont="1" applyFill="1" applyBorder="1" applyAlignment="1" applyProtection="1">
      <alignment vertical="center"/>
    </xf>
    <xf numFmtId="176" fontId="6" fillId="0" borderId="20" xfId="1" applyNumberFormat="1" applyFont="1" applyFill="1" applyBorder="1" applyAlignment="1" applyProtection="1">
      <alignment vertical="center"/>
    </xf>
    <xf numFmtId="177" fontId="6" fillId="0" borderId="21" xfId="1" applyNumberFormat="1" applyFont="1" applyFill="1" applyBorder="1" applyAlignment="1" applyProtection="1">
      <alignment horizontal="right" vertical="center"/>
    </xf>
    <xf numFmtId="0" fontId="6" fillId="0" borderId="33" xfId="3" applyBorder="1" applyAlignment="1">
      <alignment horizontal="center" vertical="center" wrapText="1"/>
    </xf>
    <xf numFmtId="0" fontId="6" fillId="0" borderId="33" xfId="3" applyBorder="1" applyAlignment="1" applyProtection="1">
      <alignment horizontal="center" vertical="center"/>
      <protection locked="0"/>
    </xf>
    <xf numFmtId="0" fontId="6" fillId="0" borderId="34" xfId="3" applyBorder="1" applyAlignment="1">
      <alignment horizontal="left" vertical="center"/>
    </xf>
    <xf numFmtId="177" fontId="6" fillId="0" borderId="35" xfId="1" applyNumberFormat="1" applyFont="1" applyFill="1" applyBorder="1" applyAlignment="1" applyProtection="1">
      <alignment vertical="center"/>
    </xf>
    <xf numFmtId="176" fontId="6" fillId="0" borderId="36" xfId="1" applyNumberFormat="1" applyFont="1" applyFill="1" applyBorder="1" applyAlignment="1" applyProtection="1">
      <alignment horizontal="right" vertical="center"/>
    </xf>
    <xf numFmtId="177" fontId="6" fillId="0" borderId="37" xfId="1" applyNumberFormat="1" applyFont="1" applyFill="1" applyBorder="1" applyAlignment="1" applyProtection="1">
      <alignment vertical="center"/>
    </xf>
    <xf numFmtId="176" fontId="6" fillId="0" borderId="34" xfId="1" applyNumberFormat="1" applyFont="1" applyFill="1" applyBorder="1" applyAlignment="1" applyProtection="1">
      <alignment horizontal="right" vertical="center"/>
    </xf>
    <xf numFmtId="0" fontId="6" fillId="0" borderId="3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4" borderId="29" xfId="3" applyFont="1" applyFill="1" applyBorder="1" applyAlignment="1">
      <alignment horizontal="left" vertical="center"/>
    </xf>
    <xf numFmtId="177" fontId="7" fillId="4" borderId="31" xfId="1" applyNumberFormat="1" applyFont="1" applyFill="1" applyBorder="1" applyAlignment="1" applyProtection="1">
      <alignment vertical="center"/>
    </xf>
    <xf numFmtId="176" fontId="7" fillId="4" borderId="32" xfId="1" applyNumberFormat="1" applyFont="1" applyFill="1" applyBorder="1" applyAlignment="1" applyProtection="1">
      <alignment vertical="center"/>
    </xf>
    <xf numFmtId="177" fontId="7" fillId="4" borderId="30" xfId="1" applyNumberFormat="1" applyFont="1" applyFill="1" applyBorder="1" applyAlignment="1" applyProtection="1">
      <alignment vertical="center"/>
    </xf>
    <xf numFmtId="176" fontId="7" fillId="4" borderId="29" xfId="1" applyNumberFormat="1" applyFont="1" applyFill="1" applyBorder="1" applyAlignment="1" applyProtection="1">
      <alignment vertical="center"/>
    </xf>
    <xf numFmtId="0" fontId="7" fillId="4" borderId="30" xfId="0" applyFont="1" applyFill="1" applyBorder="1" applyAlignment="1">
      <alignment horizontal="center" vertical="center"/>
    </xf>
    <xf numFmtId="0" fontId="7" fillId="0" borderId="0" xfId="3" applyFont="1" applyAlignment="1">
      <alignment horizontal="center" vertical="center" wrapText="1"/>
    </xf>
    <xf numFmtId="0" fontId="7" fillId="0" borderId="0" xfId="3" applyFont="1" applyAlignment="1">
      <alignment horizontal="left" vertical="center"/>
    </xf>
    <xf numFmtId="177" fontId="7" fillId="0" borderId="0" xfId="1" applyNumberFormat="1" applyFont="1" applyFill="1" applyBorder="1" applyAlignment="1" applyProtection="1">
      <alignment vertical="center"/>
    </xf>
    <xf numFmtId="176" fontId="7" fillId="0" borderId="0" xfId="1" applyNumberFormat="1" applyFont="1" applyFill="1" applyBorder="1" applyAlignment="1" applyProtection="1">
      <alignment vertical="center"/>
    </xf>
    <xf numFmtId="0" fontId="7" fillId="0" borderId="0" xfId="0" applyFont="1" applyAlignment="1">
      <alignment horizontal="center" vertical="center"/>
    </xf>
    <xf numFmtId="177" fontId="6" fillId="0" borderId="0" xfId="1" applyNumberFormat="1" applyFont="1" applyFill="1" applyAlignment="1">
      <alignment horizontal="center" vertical="center"/>
    </xf>
    <xf numFmtId="176" fontId="6" fillId="0" borderId="0" xfId="1" applyNumberFormat="1" applyFont="1" applyFill="1" applyAlignment="1">
      <alignment horizontal="center" vertical="center"/>
    </xf>
    <xf numFmtId="0" fontId="8" fillId="0" borderId="0" xfId="0" applyFont="1" applyAlignment="1">
      <alignment horizontal="centerContinuous" vertical="center"/>
    </xf>
    <xf numFmtId="41" fontId="6" fillId="0" borderId="0" xfId="1" applyFont="1" applyFill="1" applyAlignment="1">
      <alignment horizontal="centerContinuous" vertical="center"/>
    </xf>
    <xf numFmtId="0" fontId="9" fillId="2" borderId="3" xfId="1" applyNumberFormat="1" applyFont="1" applyFill="1" applyBorder="1" applyAlignment="1">
      <alignment horizontal="centerContinuous" vertical="center" wrapText="1"/>
    </xf>
    <xf numFmtId="0" fontId="9" fillId="2" borderId="38" xfId="1" applyNumberFormat="1" applyFont="1" applyFill="1" applyBorder="1" applyAlignment="1">
      <alignment horizontal="centerContinuous" vertical="center" wrapText="1"/>
    </xf>
    <xf numFmtId="0" fontId="9" fillId="0" borderId="0" xfId="0" applyFont="1" applyAlignment="1">
      <alignment horizontal="center" vertical="center"/>
    </xf>
    <xf numFmtId="0" fontId="9" fillId="2" borderId="40" xfId="1" applyNumberFormat="1" applyFont="1" applyFill="1" applyBorder="1" applyAlignment="1">
      <alignment horizontal="center" vertical="center" wrapText="1"/>
    </xf>
    <xf numFmtId="0" fontId="9" fillId="2" borderId="41" xfId="1" applyNumberFormat="1" applyFont="1" applyFill="1" applyBorder="1" applyAlignment="1">
      <alignment horizontal="center" vertical="center" wrapText="1"/>
    </xf>
    <xf numFmtId="0" fontId="9" fillId="2" borderId="42" xfId="1" applyNumberFormat="1" applyFont="1" applyFill="1" applyBorder="1" applyAlignment="1">
      <alignment horizontal="center" vertical="center" wrapText="1"/>
    </xf>
    <xf numFmtId="0" fontId="9" fillId="0" borderId="24" xfId="3" applyFont="1" applyBorder="1" applyAlignment="1">
      <alignment horizontal="center" vertical="center" wrapText="1"/>
    </xf>
    <xf numFmtId="0" fontId="9" fillId="0" borderId="24" xfId="3" applyFont="1" applyBorder="1" applyAlignment="1" applyProtection="1">
      <alignment horizontal="center" vertical="center"/>
      <protection locked="0"/>
    </xf>
    <xf numFmtId="0" fontId="9" fillId="0" borderId="19" xfId="3" applyFont="1" applyBorder="1" applyAlignment="1">
      <alignment vertical="center"/>
    </xf>
    <xf numFmtId="177" fontId="9" fillId="0" borderId="24" xfId="1" applyNumberFormat="1" applyFont="1" applyFill="1" applyBorder="1" applyAlignment="1" applyProtection="1">
      <alignment vertical="center"/>
    </xf>
    <xf numFmtId="178" fontId="9" fillId="0" borderId="24" xfId="1" applyNumberFormat="1" applyFont="1" applyFill="1" applyBorder="1" applyAlignment="1" applyProtection="1">
      <alignment vertical="center"/>
    </xf>
    <xf numFmtId="41" fontId="9" fillId="0" borderId="45" xfId="1" applyFont="1" applyFill="1" applyBorder="1" applyAlignment="1" applyProtection="1">
      <alignment vertical="center"/>
    </xf>
    <xf numFmtId="41" fontId="9" fillId="0" borderId="46" xfId="1" applyFont="1" applyFill="1" applyBorder="1" applyAlignment="1" applyProtection="1">
      <alignment vertical="center"/>
    </xf>
    <xf numFmtId="41" fontId="9" fillId="0" borderId="47" xfId="1" applyFont="1" applyFill="1" applyBorder="1" applyAlignment="1" applyProtection="1">
      <alignment vertical="center"/>
    </xf>
    <xf numFmtId="41" fontId="9" fillId="0" borderId="19" xfId="1" applyFont="1" applyFill="1" applyBorder="1" applyAlignment="1" applyProtection="1">
      <alignment vertical="center"/>
    </xf>
    <xf numFmtId="0" fontId="9" fillId="0" borderId="19" xfId="1" applyNumberFormat="1" applyFont="1" applyFill="1" applyBorder="1" applyAlignment="1" applyProtection="1">
      <alignment vertical="center" wrapText="1"/>
    </xf>
    <xf numFmtId="0" fontId="9" fillId="0" borderId="14" xfId="0" applyFont="1" applyBorder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9" fontId="9" fillId="0" borderId="0" xfId="0" applyNumberFormat="1" applyFont="1" applyAlignment="1">
      <alignment horizontal="center" vertical="center"/>
    </xf>
    <xf numFmtId="0" fontId="9" fillId="0" borderId="19" xfId="3" applyFont="1" applyBorder="1" applyAlignment="1" applyProtection="1">
      <alignment horizontal="center" vertical="center" shrinkToFit="1"/>
      <protection locked="0"/>
    </xf>
    <xf numFmtId="0" fontId="9" fillId="0" borderId="19" xfId="3" applyFont="1" applyBorder="1" applyAlignment="1" applyProtection="1">
      <alignment horizontal="center" vertical="center"/>
      <protection locked="0"/>
    </xf>
    <xf numFmtId="177" fontId="9" fillId="0" borderId="19" xfId="1" applyNumberFormat="1" applyFont="1" applyFill="1" applyBorder="1" applyAlignment="1" applyProtection="1">
      <alignment vertical="center"/>
    </xf>
    <xf numFmtId="176" fontId="9" fillId="0" borderId="19" xfId="1" applyNumberFormat="1" applyFont="1" applyFill="1" applyBorder="1" applyAlignment="1" applyProtection="1">
      <alignment vertical="center"/>
    </xf>
    <xf numFmtId="41" fontId="9" fillId="0" borderId="48" xfId="1" applyFont="1" applyFill="1" applyBorder="1" applyAlignment="1" applyProtection="1">
      <alignment vertical="center"/>
    </xf>
    <xf numFmtId="41" fontId="9" fillId="0" borderId="49" xfId="1" applyFont="1" applyFill="1" applyBorder="1" applyAlignment="1" applyProtection="1">
      <alignment vertical="center"/>
    </xf>
    <xf numFmtId="41" fontId="9" fillId="0" borderId="50" xfId="1" applyFont="1" applyFill="1" applyBorder="1" applyAlignment="1" applyProtection="1">
      <alignment vertical="center"/>
    </xf>
    <xf numFmtId="0" fontId="9" fillId="0" borderId="14" xfId="3" applyFont="1" applyBorder="1" applyAlignment="1" applyProtection="1">
      <alignment horizontal="center" vertical="center" shrinkToFit="1"/>
      <protection locked="0"/>
    </xf>
    <xf numFmtId="0" fontId="9" fillId="0" borderId="33" xfId="3" applyFont="1" applyBorder="1" applyAlignment="1" applyProtection="1">
      <alignment horizontal="center" vertical="center"/>
      <protection locked="0"/>
    </xf>
    <xf numFmtId="177" fontId="9" fillId="0" borderId="33" xfId="1" applyNumberFormat="1" applyFont="1" applyFill="1" applyBorder="1" applyAlignment="1" applyProtection="1">
      <alignment vertical="center"/>
    </xf>
    <xf numFmtId="178" fontId="9" fillId="0" borderId="33" xfId="1" applyNumberFormat="1" applyFont="1" applyFill="1" applyBorder="1" applyAlignment="1" applyProtection="1">
      <alignment vertical="center"/>
    </xf>
    <xf numFmtId="41" fontId="9" fillId="0" borderId="51" xfId="1" applyFont="1" applyFill="1" applyBorder="1" applyAlignment="1" applyProtection="1">
      <alignment vertical="center"/>
    </xf>
    <xf numFmtId="41" fontId="9" fillId="0" borderId="52" xfId="1" applyFont="1" applyFill="1" applyBorder="1" applyAlignment="1" applyProtection="1">
      <alignment vertical="center"/>
    </xf>
    <xf numFmtId="41" fontId="9" fillId="0" borderId="53" xfId="1" applyFont="1" applyFill="1" applyBorder="1" applyAlignment="1" applyProtection="1">
      <alignment vertical="center"/>
    </xf>
    <xf numFmtId="178" fontId="9" fillId="0" borderId="14" xfId="1" applyNumberFormat="1" applyFont="1" applyFill="1" applyBorder="1" applyAlignment="1" applyProtection="1">
      <alignment vertical="center"/>
    </xf>
    <xf numFmtId="0" fontId="9" fillId="0" borderId="19" xfId="0" applyFont="1" applyBorder="1" applyAlignment="1">
      <alignment horizontal="center" vertical="center"/>
    </xf>
    <xf numFmtId="178" fontId="9" fillId="0" borderId="19" xfId="1" applyNumberFormat="1" applyFont="1" applyFill="1" applyBorder="1" applyAlignment="1" applyProtection="1">
      <alignment vertical="center"/>
    </xf>
    <xf numFmtId="0" fontId="9" fillId="0" borderId="24" xfId="0" applyFont="1" applyBorder="1" applyAlignment="1">
      <alignment horizontal="center" vertical="center"/>
    </xf>
    <xf numFmtId="0" fontId="9" fillId="0" borderId="24" xfId="3" applyFont="1" applyBorder="1" applyAlignment="1" applyProtection="1">
      <alignment horizontal="center" vertical="center" shrinkToFit="1"/>
      <protection locked="0"/>
    </xf>
    <xf numFmtId="176" fontId="9" fillId="0" borderId="24" xfId="1" applyNumberFormat="1" applyFont="1" applyFill="1" applyBorder="1" applyAlignment="1" applyProtection="1">
      <alignment vertical="center"/>
    </xf>
    <xf numFmtId="178" fontId="9" fillId="0" borderId="0" xfId="0" applyNumberFormat="1" applyFont="1" applyAlignment="1">
      <alignment horizontal="center" vertical="center"/>
    </xf>
    <xf numFmtId="0" fontId="9" fillId="0" borderId="19" xfId="3" applyFont="1" applyBorder="1" applyAlignment="1">
      <alignment vertical="center" wrapText="1"/>
    </xf>
    <xf numFmtId="176" fontId="9" fillId="0" borderId="0" xfId="0" applyNumberFormat="1" applyFont="1" applyAlignment="1">
      <alignment horizontal="center" vertical="center"/>
    </xf>
    <xf numFmtId="0" fontId="9" fillId="0" borderId="19" xfId="3" applyFont="1" applyBorder="1" applyAlignment="1">
      <alignment horizontal="center" vertical="center" wrapText="1"/>
    </xf>
    <xf numFmtId="0" fontId="9" fillId="0" borderId="44" xfId="3" applyFont="1" applyBorder="1" applyAlignment="1" applyProtection="1">
      <alignment horizontal="center" vertical="center"/>
      <protection locked="0"/>
    </xf>
    <xf numFmtId="0" fontId="9" fillId="0" borderId="14" xfId="3" applyFont="1" applyBorder="1" applyAlignment="1">
      <alignment horizontal="center" vertical="center" wrapText="1"/>
    </xf>
    <xf numFmtId="0" fontId="9" fillId="0" borderId="14" xfId="3" applyFont="1" applyBorder="1" applyAlignment="1" applyProtection="1">
      <alignment horizontal="center" vertical="center"/>
      <protection locked="0"/>
    </xf>
    <xf numFmtId="177" fontId="9" fillId="0" borderId="14" xfId="1" applyNumberFormat="1" applyFont="1" applyFill="1" applyBorder="1" applyAlignment="1" applyProtection="1">
      <alignment vertical="center"/>
    </xf>
    <xf numFmtId="41" fontId="9" fillId="0" borderId="54" xfId="1" applyFont="1" applyFill="1" applyBorder="1" applyAlignment="1" applyProtection="1">
      <alignment vertical="center"/>
    </xf>
    <xf numFmtId="41" fontId="9" fillId="0" borderId="55" xfId="1" applyFont="1" applyFill="1" applyBorder="1" applyAlignment="1" applyProtection="1">
      <alignment vertical="center"/>
    </xf>
    <xf numFmtId="41" fontId="9" fillId="0" borderId="56" xfId="1" applyFont="1" applyFill="1" applyBorder="1" applyAlignment="1" applyProtection="1">
      <alignment vertical="center"/>
    </xf>
    <xf numFmtId="41" fontId="9" fillId="0" borderId="14" xfId="1" applyFont="1" applyFill="1" applyBorder="1" applyAlignment="1" applyProtection="1">
      <alignment vertical="center"/>
    </xf>
    <xf numFmtId="0" fontId="9" fillId="0" borderId="33" xfId="0" applyFont="1" applyBorder="1" applyAlignment="1">
      <alignment vertical="center" textRotation="255"/>
    </xf>
    <xf numFmtId="0" fontId="9" fillId="0" borderId="33" xfId="3" applyFont="1" applyBorder="1" applyAlignment="1">
      <alignment horizontal="center" vertical="center" wrapText="1"/>
    </xf>
    <xf numFmtId="0" fontId="9" fillId="0" borderId="14" xfId="3" applyFont="1" applyBorder="1" applyAlignment="1">
      <alignment vertical="center" wrapText="1"/>
    </xf>
    <xf numFmtId="0" fontId="9" fillId="0" borderId="14" xfId="1" applyNumberFormat="1" applyFont="1" applyFill="1" applyBorder="1" applyAlignment="1" applyProtection="1">
      <alignment vertical="center" wrapText="1"/>
    </xf>
    <xf numFmtId="0" fontId="9" fillId="0" borderId="33" xfId="0" applyFont="1" applyBorder="1" applyAlignment="1">
      <alignment horizontal="center" vertical="center"/>
    </xf>
    <xf numFmtId="0" fontId="0" fillId="0" borderId="33" xfId="0" applyBorder="1"/>
    <xf numFmtId="0" fontId="9" fillId="0" borderId="24" xfId="3" applyFont="1" applyBorder="1" applyAlignment="1">
      <alignment horizontal="left" vertical="center"/>
    </xf>
    <xf numFmtId="0" fontId="9" fillId="0" borderId="24" xfId="1" applyNumberFormat="1" applyFont="1" applyFill="1" applyBorder="1" applyAlignment="1" applyProtection="1">
      <alignment horizontal="left" vertical="center" wrapText="1"/>
    </xf>
    <xf numFmtId="41" fontId="9" fillId="0" borderId="44" xfId="1" applyFont="1" applyFill="1" applyBorder="1" applyAlignment="1" applyProtection="1">
      <alignment vertical="center"/>
    </xf>
    <xf numFmtId="0" fontId="0" fillId="0" borderId="8" xfId="0" applyBorder="1"/>
    <xf numFmtId="0" fontId="9" fillId="3" borderId="1" xfId="3" applyFont="1" applyFill="1" applyBorder="1" applyAlignment="1">
      <alignment horizontal="center" vertical="center"/>
    </xf>
    <xf numFmtId="176" fontId="9" fillId="3" borderId="1" xfId="1" applyNumberFormat="1" applyFont="1" applyFill="1" applyBorder="1" applyAlignment="1" applyProtection="1">
      <alignment vertical="center"/>
    </xf>
    <xf numFmtId="176" fontId="9" fillId="3" borderId="40" xfId="1" applyNumberFormat="1" applyFont="1" applyFill="1" applyBorder="1" applyAlignment="1" applyProtection="1">
      <alignment vertical="center"/>
    </xf>
    <xf numFmtId="176" fontId="9" fillId="3" borderId="41" xfId="1" applyNumberFormat="1" applyFont="1" applyFill="1" applyBorder="1" applyAlignment="1" applyProtection="1">
      <alignment vertical="center"/>
    </xf>
    <xf numFmtId="176" fontId="9" fillId="3" borderId="42" xfId="1" applyNumberFormat="1" applyFont="1" applyFill="1" applyBorder="1" applyAlignment="1" applyProtection="1">
      <alignment vertical="center"/>
    </xf>
    <xf numFmtId="0" fontId="9" fillId="3" borderId="1" xfId="1" applyNumberFormat="1" applyFont="1" applyFill="1" applyBorder="1" applyAlignment="1" applyProtection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176" fontId="9" fillId="0" borderId="0" xfId="0" applyNumberFormat="1" applyFont="1" applyAlignment="1">
      <alignment horizontal="left" vertical="center"/>
    </xf>
    <xf numFmtId="0" fontId="9" fillId="0" borderId="8" xfId="3" applyFont="1" applyBorder="1" applyAlignment="1">
      <alignment vertical="center" wrapText="1"/>
    </xf>
    <xf numFmtId="0" fontId="9" fillId="0" borderId="8" xfId="1" applyNumberFormat="1" applyFont="1" applyFill="1" applyBorder="1" applyAlignment="1" applyProtection="1">
      <alignment vertical="center" wrapText="1"/>
    </xf>
    <xf numFmtId="177" fontId="9" fillId="3" borderId="1" xfId="1" applyNumberFormat="1" applyFont="1" applyFill="1" applyBorder="1" applyAlignment="1" applyProtection="1">
      <alignment vertical="center"/>
    </xf>
    <xf numFmtId="178" fontId="9" fillId="3" borderId="1" xfId="1" applyNumberFormat="1" applyFont="1" applyFill="1" applyBorder="1" applyAlignment="1" applyProtection="1">
      <alignment vertical="center"/>
    </xf>
    <xf numFmtId="0" fontId="10" fillId="2" borderId="8" xfId="0" applyFont="1" applyFill="1" applyBorder="1" applyAlignment="1">
      <alignment horizontal="center" vertical="center"/>
    </xf>
    <xf numFmtId="177" fontId="10" fillId="2" borderId="8" xfId="1" applyNumberFormat="1" applyFont="1" applyFill="1" applyBorder="1" applyAlignment="1">
      <alignment vertical="center" shrinkToFit="1"/>
    </xf>
    <xf numFmtId="178" fontId="10" fillId="2" borderId="8" xfId="1" applyNumberFormat="1" applyFont="1" applyFill="1" applyBorder="1" applyAlignment="1">
      <alignment horizontal="right" vertical="center"/>
    </xf>
    <xf numFmtId="41" fontId="10" fillId="2" borderId="58" xfId="1" applyFont="1" applyFill="1" applyBorder="1" applyAlignment="1">
      <alignment horizontal="center" vertical="center"/>
    </xf>
    <xf numFmtId="41" fontId="10" fillId="2" borderId="59" xfId="1" applyFont="1" applyFill="1" applyBorder="1" applyAlignment="1">
      <alignment horizontal="center" vertical="center"/>
    </xf>
    <xf numFmtId="178" fontId="10" fillId="2" borderId="42" xfId="1" applyNumberFormat="1" applyFont="1" applyFill="1" applyBorder="1" applyAlignment="1">
      <alignment vertical="center"/>
    </xf>
    <xf numFmtId="41" fontId="11" fillId="2" borderId="9" xfId="1" applyFont="1" applyFill="1" applyBorder="1" applyAlignment="1">
      <alignment horizontal="center" vertical="center"/>
    </xf>
    <xf numFmtId="41" fontId="10" fillId="2" borderId="8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1" fontId="6" fillId="0" borderId="0" xfId="1" applyFont="1" applyFill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178" fontId="7" fillId="0" borderId="67" xfId="0" applyNumberFormat="1" applyFont="1" applyBorder="1" applyAlignment="1">
      <alignment horizontal="center" vertical="center"/>
    </xf>
    <xf numFmtId="178" fontId="7" fillId="0" borderId="68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Continuous" vertical="center"/>
    </xf>
    <xf numFmtId="176" fontId="12" fillId="0" borderId="0" xfId="0" applyNumberFormat="1" applyFont="1" applyAlignment="1">
      <alignment horizontal="centerContinuous" vertical="center"/>
    </xf>
    <xf numFmtId="176" fontId="1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78" fontId="15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176" fontId="16" fillId="0" borderId="0" xfId="0" applyNumberFormat="1" applyFont="1" applyAlignment="1">
      <alignment horizontal="center" vertical="center"/>
    </xf>
    <xf numFmtId="176" fontId="16" fillId="0" borderId="0" xfId="0" applyNumberFormat="1" applyFont="1" applyAlignment="1">
      <alignment vertical="center"/>
    </xf>
    <xf numFmtId="176" fontId="16" fillId="0" borderId="0" xfId="0" applyNumberFormat="1" applyFont="1" applyAlignment="1">
      <alignment horizontal="right" vertical="center"/>
    </xf>
    <xf numFmtId="0" fontId="17" fillId="5" borderId="1" xfId="0" applyFont="1" applyFill="1" applyBorder="1" applyAlignment="1">
      <alignment horizontal="centerContinuous" vertical="center"/>
    </xf>
    <xf numFmtId="176" fontId="17" fillId="5" borderId="1" xfId="0" applyNumberFormat="1" applyFont="1" applyFill="1" applyBorder="1" applyAlignment="1">
      <alignment horizontal="center" vertical="center"/>
    </xf>
    <xf numFmtId="176" fontId="17" fillId="5" borderId="1" xfId="0" applyNumberFormat="1" applyFont="1" applyFill="1" applyBorder="1" applyAlignment="1">
      <alignment horizontal="centerContinuous" vertical="center"/>
    </xf>
    <xf numFmtId="176" fontId="17" fillId="5" borderId="1" xfId="0" applyNumberFormat="1" applyFont="1" applyFill="1" applyBorder="1" applyAlignment="1">
      <alignment horizontal="centerContinuous" vertical="center" wrapText="1"/>
    </xf>
    <xf numFmtId="0" fontId="17" fillId="5" borderId="33" xfId="0" applyFont="1" applyFill="1" applyBorder="1" applyAlignment="1">
      <alignment horizontal="centerContinuous" vertical="center"/>
    </xf>
    <xf numFmtId="176" fontId="17" fillId="5" borderId="33" xfId="0" applyNumberFormat="1" applyFont="1" applyFill="1" applyBorder="1" applyAlignment="1">
      <alignment horizontal="centerContinuous" vertical="center"/>
    </xf>
    <xf numFmtId="176" fontId="17" fillId="5" borderId="33" xfId="0" applyNumberFormat="1" applyFont="1" applyFill="1" applyBorder="1" applyAlignment="1">
      <alignment vertical="center" shrinkToFit="1"/>
    </xf>
    <xf numFmtId="176" fontId="17" fillId="5" borderId="33" xfId="0" applyNumberFormat="1" applyFont="1" applyFill="1" applyBorder="1" applyAlignment="1">
      <alignment vertical="center" wrapText="1"/>
    </xf>
    <xf numFmtId="176" fontId="17" fillId="5" borderId="33" xfId="0" applyNumberFormat="1" applyFont="1" applyFill="1" applyBorder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0" fontId="18" fillId="6" borderId="19" xfId="0" applyFont="1" applyFill="1" applyBorder="1" applyAlignment="1">
      <alignment horizontal="center" vertical="center" wrapText="1"/>
    </xf>
    <xf numFmtId="176" fontId="18" fillId="6" borderId="14" xfId="0" applyNumberFormat="1" applyFont="1" applyFill="1" applyBorder="1" applyAlignment="1">
      <alignment horizontal="center" vertical="center"/>
    </xf>
    <xf numFmtId="176" fontId="18" fillId="6" borderId="14" xfId="0" applyNumberFormat="1" applyFont="1" applyFill="1" applyBorder="1" applyAlignment="1">
      <alignment horizontal="right" vertical="center"/>
    </xf>
    <xf numFmtId="176" fontId="18" fillId="6" borderId="19" xfId="0" applyNumberFormat="1" applyFont="1" applyFill="1" applyBorder="1" applyAlignment="1">
      <alignment horizontal="right" vertical="center" wrapText="1"/>
    </xf>
    <xf numFmtId="176" fontId="9" fillId="7" borderId="0" xfId="0" applyNumberFormat="1" applyFont="1" applyFill="1" applyAlignment="1">
      <alignment vertical="center"/>
    </xf>
    <xf numFmtId="176" fontId="9" fillId="6" borderId="69" xfId="0" applyNumberFormat="1" applyFont="1" applyFill="1" applyBorder="1" applyAlignment="1">
      <alignment vertical="center"/>
    </xf>
    <xf numFmtId="176" fontId="9" fillId="0" borderId="69" xfId="0" applyNumberFormat="1" applyFont="1" applyBorder="1" applyAlignment="1">
      <alignment vertical="center"/>
    </xf>
    <xf numFmtId="0" fontId="9" fillId="0" borderId="69" xfId="0" applyFont="1" applyBorder="1" applyAlignment="1">
      <alignment vertical="center"/>
    </xf>
    <xf numFmtId="178" fontId="19" fillId="0" borderId="69" xfId="0" applyNumberFormat="1" applyFont="1" applyBorder="1" applyAlignment="1">
      <alignment vertical="center"/>
    </xf>
    <xf numFmtId="176" fontId="9" fillId="6" borderId="39" xfId="1" applyNumberFormat="1" applyFont="1" applyFill="1" applyBorder="1" applyAlignment="1" applyProtection="1">
      <alignment vertical="center"/>
    </xf>
    <xf numFmtId="176" fontId="9" fillId="6" borderId="19" xfId="1" applyNumberFormat="1" applyFont="1" applyFill="1" applyBorder="1" applyAlignment="1" applyProtection="1">
      <alignment vertical="center"/>
    </xf>
    <xf numFmtId="176" fontId="20" fillId="6" borderId="14" xfId="0" applyNumberFormat="1" applyFont="1" applyFill="1" applyBorder="1" applyAlignment="1">
      <alignment horizontal="center" vertical="center"/>
    </xf>
    <xf numFmtId="176" fontId="20" fillId="6" borderId="14" xfId="0" applyNumberFormat="1" applyFont="1" applyFill="1" applyBorder="1" applyAlignment="1">
      <alignment horizontal="right" vertical="center"/>
    </xf>
    <xf numFmtId="176" fontId="21" fillId="6" borderId="69" xfId="0" applyNumberFormat="1" applyFont="1" applyFill="1" applyBorder="1" applyAlignment="1">
      <alignment vertical="center"/>
    </xf>
    <xf numFmtId="176" fontId="22" fillId="6" borderId="69" xfId="0" applyNumberFormat="1" applyFont="1" applyFill="1" applyBorder="1" applyAlignment="1">
      <alignment vertical="center"/>
    </xf>
    <xf numFmtId="180" fontId="18" fillId="6" borderId="19" xfId="0" applyNumberFormat="1" applyFont="1" applyFill="1" applyBorder="1" applyAlignment="1">
      <alignment horizontal="right" vertical="center" wrapText="1"/>
    </xf>
    <xf numFmtId="0" fontId="18" fillId="0" borderId="19" xfId="0" applyFont="1" applyBorder="1" applyAlignment="1">
      <alignment horizontal="center" vertical="center" wrapText="1"/>
    </xf>
    <xf numFmtId="176" fontId="18" fillId="0" borderId="14" xfId="0" applyNumberFormat="1" applyFont="1" applyBorder="1" applyAlignment="1">
      <alignment horizontal="center" vertical="center"/>
    </xf>
    <xf numFmtId="176" fontId="18" fillId="0" borderId="14" xfId="0" applyNumberFormat="1" applyFont="1" applyBorder="1" applyAlignment="1">
      <alignment horizontal="right" vertical="center"/>
    </xf>
    <xf numFmtId="176" fontId="18" fillId="0" borderId="19" xfId="0" applyNumberFormat="1" applyFont="1" applyBorder="1" applyAlignment="1">
      <alignment horizontal="right" vertical="center" wrapText="1"/>
    </xf>
    <xf numFmtId="176" fontId="20" fillId="0" borderId="14" xfId="0" applyNumberFormat="1" applyFont="1" applyBorder="1" applyAlignment="1">
      <alignment horizontal="right" vertical="center"/>
    </xf>
    <xf numFmtId="180" fontId="18" fillId="0" borderId="19" xfId="0" applyNumberFormat="1" applyFont="1" applyBorder="1" applyAlignment="1">
      <alignment horizontal="right" vertical="center" wrapText="1"/>
    </xf>
    <xf numFmtId="178" fontId="23" fillId="0" borderId="0" xfId="0" applyNumberFormat="1" applyFont="1" applyAlignment="1">
      <alignment vertical="center"/>
    </xf>
    <xf numFmtId="0" fontId="18" fillId="8" borderId="19" xfId="0" applyFont="1" applyFill="1" applyBorder="1" applyAlignment="1">
      <alignment horizontal="center" vertical="center" wrapText="1"/>
    </xf>
    <xf numFmtId="176" fontId="18" fillId="8" borderId="14" xfId="0" applyNumberFormat="1" applyFont="1" applyFill="1" applyBorder="1" applyAlignment="1">
      <alignment horizontal="center" vertical="center"/>
    </xf>
    <xf numFmtId="176" fontId="18" fillId="8" borderId="14" xfId="0" applyNumberFormat="1" applyFont="1" applyFill="1" applyBorder="1" applyAlignment="1">
      <alignment horizontal="right" vertical="center"/>
    </xf>
    <xf numFmtId="176" fontId="18" fillId="0" borderId="14" xfId="0" applyNumberFormat="1" applyFont="1" applyBorder="1" applyAlignment="1">
      <alignment horizontal="right" vertical="center" wrapText="1"/>
    </xf>
    <xf numFmtId="176" fontId="18" fillId="0" borderId="14" xfId="1" applyNumberFormat="1" applyFont="1" applyBorder="1" applyAlignment="1">
      <alignment horizontal="right" vertical="center" wrapText="1"/>
    </xf>
    <xf numFmtId="0" fontId="17" fillId="9" borderId="44" xfId="0" applyFont="1" applyFill="1" applyBorder="1" applyAlignment="1">
      <alignment horizontal="centerContinuous" vertical="center"/>
    </xf>
    <xf numFmtId="176" fontId="17" fillId="9" borderId="8" xfId="0" applyNumberFormat="1" applyFont="1" applyFill="1" applyBorder="1" applyAlignment="1">
      <alignment horizontal="center" vertical="center" shrinkToFit="1"/>
    </xf>
    <xf numFmtId="176" fontId="17" fillId="9" borderId="8" xfId="0" applyNumberFormat="1" applyFont="1" applyFill="1" applyBorder="1" applyAlignment="1">
      <alignment horizontal="right" vertical="center" shrinkToFit="1"/>
    </xf>
    <xf numFmtId="3" fontId="0" fillId="0" borderId="0" xfId="0" applyNumberFormat="1" applyAlignment="1">
      <alignment vertical="center"/>
    </xf>
    <xf numFmtId="0" fontId="18" fillId="2" borderId="70" xfId="0" applyFont="1" applyFill="1" applyBorder="1" applyAlignment="1">
      <alignment horizontal="centerContinuous" vertical="center"/>
    </xf>
    <xf numFmtId="176" fontId="18" fillId="2" borderId="59" xfId="0" applyNumberFormat="1" applyFont="1" applyFill="1" applyBorder="1" applyAlignment="1">
      <alignment horizontal="center" vertical="center" shrinkToFit="1"/>
    </xf>
    <xf numFmtId="176" fontId="18" fillId="2" borderId="59" xfId="0" applyNumberFormat="1" applyFont="1" applyFill="1" applyBorder="1" applyAlignment="1">
      <alignment vertical="center" shrinkToFit="1"/>
    </xf>
    <xf numFmtId="176" fontId="14" fillId="2" borderId="71" xfId="0" applyNumberFormat="1" applyFont="1" applyFill="1" applyBorder="1" applyAlignment="1">
      <alignment vertical="center" shrinkToFit="1"/>
    </xf>
    <xf numFmtId="176" fontId="18" fillId="2" borderId="72" xfId="0" applyNumberFormat="1" applyFont="1" applyFill="1" applyBorder="1" applyAlignment="1">
      <alignment horizontal="right" vertical="center" shrinkToFit="1"/>
    </xf>
    <xf numFmtId="0" fontId="18" fillId="0" borderId="73" xfId="0" applyFont="1" applyBorder="1" applyAlignment="1">
      <alignment horizontal="centerContinuous" vertical="center"/>
    </xf>
    <xf numFmtId="176" fontId="18" fillId="0" borderId="73" xfId="0" applyNumberFormat="1" applyFont="1" applyBorder="1" applyAlignment="1">
      <alignment horizontal="center" vertical="center"/>
    </xf>
    <xf numFmtId="176" fontId="18" fillId="0" borderId="73" xfId="0" applyNumberFormat="1" applyFont="1" applyBorder="1" applyAlignment="1">
      <alignment vertical="center"/>
    </xf>
    <xf numFmtId="176" fontId="24" fillId="0" borderId="73" xfId="0" applyNumberFormat="1" applyFont="1" applyBorder="1" applyAlignment="1">
      <alignment horizontal="right" vertical="center"/>
    </xf>
    <xf numFmtId="0" fontId="14" fillId="0" borderId="0" xfId="0" applyFont="1" applyAlignment="1">
      <alignment vertical="center"/>
    </xf>
    <xf numFmtId="176" fontId="14" fillId="0" borderId="0" xfId="0" applyNumberFormat="1" applyFont="1" applyAlignment="1">
      <alignment horizontal="right" vertical="center"/>
    </xf>
    <xf numFmtId="181" fontId="14" fillId="0" borderId="0" xfId="0" applyNumberFormat="1" applyFont="1" applyAlignment="1">
      <alignment vertical="center"/>
    </xf>
    <xf numFmtId="181" fontId="14" fillId="0" borderId="0" xfId="0" applyNumberFormat="1" applyFont="1" applyAlignment="1">
      <alignment horizontal="right" vertical="center"/>
    </xf>
    <xf numFmtId="0" fontId="14" fillId="8" borderId="0" xfId="0" applyFont="1" applyFill="1" applyAlignment="1">
      <alignment vertical="center"/>
    </xf>
    <xf numFmtId="176" fontId="14" fillId="8" borderId="0" xfId="0" applyNumberFormat="1" applyFont="1" applyFill="1" applyAlignment="1">
      <alignment horizontal="center" vertical="center"/>
    </xf>
    <xf numFmtId="176" fontId="14" fillId="8" borderId="0" xfId="0" applyNumberFormat="1" applyFont="1" applyFill="1" applyAlignment="1">
      <alignment vertical="center"/>
    </xf>
    <xf numFmtId="181" fontId="14" fillId="8" borderId="0" xfId="0" applyNumberFormat="1" applyFont="1" applyFill="1" applyAlignment="1">
      <alignment vertical="center"/>
    </xf>
    <xf numFmtId="176" fontId="25" fillId="0" borderId="0" xfId="0" applyNumberFormat="1" applyFont="1" applyAlignmen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vertical="center"/>
    </xf>
    <xf numFmtId="176" fontId="0" fillId="0" borderId="0" xfId="0" applyNumberFormat="1" applyAlignment="1">
      <alignment horizontal="right" vertical="center"/>
    </xf>
    <xf numFmtId="0" fontId="26" fillId="0" borderId="0" xfId="0" applyFont="1" applyAlignment="1">
      <alignment horizontal="centerContinuous" vertical="center"/>
    </xf>
    <xf numFmtId="0" fontId="6" fillId="0" borderId="0" xfId="0" applyFont="1" applyAlignment="1">
      <alignment vertical="center"/>
    </xf>
    <xf numFmtId="176" fontId="6" fillId="0" borderId="0" xfId="0" applyNumberFormat="1" applyFont="1" applyAlignment="1">
      <alignment horizontal="centerContinuous" vertical="center"/>
    </xf>
    <xf numFmtId="176" fontId="6" fillId="0" borderId="0" xfId="0" applyNumberFormat="1" applyFont="1" applyAlignment="1">
      <alignment horizontal="center" vertical="center"/>
    </xf>
    <xf numFmtId="182" fontId="6" fillId="0" borderId="0" xfId="0" applyNumberFormat="1" applyFont="1" applyAlignment="1">
      <alignment horizontal="center" vertical="center"/>
    </xf>
    <xf numFmtId="182" fontId="6" fillId="0" borderId="0" xfId="0" applyNumberFormat="1" applyFont="1" applyAlignment="1">
      <alignment vertical="center"/>
    </xf>
    <xf numFmtId="43" fontId="6" fillId="0" borderId="0" xfId="0" applyNumberFormat="1" applyFont="1" applyAlignment="1">
      <alignment vertical="center"/>
    </xf>
    <xf numFmtId="176" fontId="6" fillId="0" borderId="0" xfId="0" applyNumberFormat="1" applyFont="1" applyAlignment="1">
      <alignment vertical="center"/>
    </xf>
    <xf numFmtId="0" fontId="6" fillId="0" borderId="0" xfId="0" applyFont="1" applyAlignment="1">
      <alignment horizontal="right" vertical="center"/>
    </xf>
    <xf numFmtId="0" fontId="27" fillId="10" borderId="76" xfId="0" applyFont="1" applyFill="1" applyBorder="1" applyAlignment="1">
      <alignment horizontal="centerContinuous" vertical="center"/>
    </xf>
    <xf numFmtId="0" fontId="7" fillId="10" borderId="76" xfId="0" applyFont="1" applyFill="1" applyBorder="1" applyAlignment="1">
      <alignment horizontal="centerContinuous" vertical="center"/>
    </xf>
    <xf numFmtId="0" fontId="10" fillId="10" borderId="77" xfId="0" applyFont="1" applyFill="1" applyBorder="1" applyAlignment="1">
      <alignment horizontal="centerContinuous" vertical="center"/>
    </xf>
    <xf numFmtId="0" fontId="10" fillId="10" borderId="79" xfId="0" applyFont="1" applyFill="1" applyBorder="1" applyAlignment="1">
      <alignment horizontal="centerContinuous" vertical="center"/>
    </xf>
    <xf numFmtId="0" fontId="7" fillId="10" borderId="79" xfId="0" applyFont="1" applyFill="1" applyBorder="1" applyAlignment="1">
      <alignment horizontal="centerContinuous" vertical="center"/>
    </xf>
    <xf numFmtId="0" fontId="7" fillId="10" borderId="80" xfId="0" applyFont="1" applyFill="1" applyBorder="1" applyAlignment="1">
      <alignment horizontal="centerContinuous" vertical="center" wrapText="1"/>
    </xf>
    <xf numFmtId="0" fontId="7" fillId="10" borderId="79" xfId="0" applyFont="1" applyFill="1" applyBorder="1" applyAlignment="1">
      <alignment horizontal="centerContinuous" vertical="center" wrapText="1"/>
    </xf>
    <xf numFmtId="0" fontId="7" fillId="10" borderId="81" xfId="0" applyFont="1" applyFill="1" applyBorder="1" applyAlignment="1">
      <alignment horizontal="centerContinuous" vertical="center"/>
    </xf>
    <xf numFmtId="0" fontId="7" fillId="10" borderId="83" xfId="0" applyFont="1" applyFill="1" applyBorder="1" applyAlignment="1">
      <alignment horizontal="centerContinuous" vertical="center" wrapText="1"/>
    </xf>
    <xf numFmtId="0" fontId="7" fillId="10" borderId="84" xfId="0" applyFont="1" applyFill="1" applyBorder="1" applyAlignment="1">
      <alignment horizontal="centerContinuous" vertical="center" wrapText="1"/>
    </xf>
    <xf numFmtId="0" fontId="7" fillId="10" borderId="88" xfId="0" applyFont="1" applyFill="1" applyBorder="1" applyAlignment="1">
      <alignment horizontal="center" vertical="center"/>
    </xf>
    <xf numFmtId="0" fontId="7" fillId="10" borderId="89" xfId="0" applyFont="1" applyFill="1" applyBorder="1" applyAlignment="1">
      <alignment horizontal="center" vertical="center"/>
    </xf>
    <xf numFmtId="0" fontId="7" fillId="10" borderId="90" xfId="0" applyFont="1" applyFill="1" applyBorder="1" applyAlignment="1">
      <alignment horizontal="center" vertical="center"/>
    </xf>
    <xf numFmtId="0" fontId="7" fillId="10" borderId="91" xfId="0" applyFont="1" applyFill="1" applyBorder="1" applyAlignment="1">
      <alignment horizontal="center" vertical="center"/>
    </xf>
    <xf numFmtId="0" fontId="7" fillId="10" borderId="92" xfId="0" applyFont="1" applyFill="1" applyBorder="1" applyAlignment="1">
      <alignment horizontal="center" vertical="center"/>
    </xf>
    <xf numFmtId="0" fontId="7" fillId="10" borderId="93" xfId="0" applyFont="1" applyFill="1" applyBorder="1" applyAlignment="1">
      <alignment horizontal="center" vertical="center"/>
    </xf>
    <xf numFmtId="0" fontId="7" fillId="10" borderId="94" xfId="0" applyFont="1" applyFill="1" applyBorder="1" applyAlignment="1">
      <alignment horizontal="center" vertical="center"/>
    </xf>
    <xf numFmtId="0" fontId="7" fillId="10" borderId="95" xfId="0" applyFont="1" applyFill="1" applyBorder="1" applyAlignment="1">
      <alignment horizontal="center" vertical="center"/>
    </xf>
    <xf numFmtId="0" fontId="9" fillId="0" borderId="98" xfId="0" applyFont="1" applyBorder="1" applyAlignment="1">
      <alignment horizontal="centerContinuous" vertical="center"/>
    </xf>
    <xf numFmtId="178" fontId="9" fillId="10" borderId="99" xfId="0" applyNumberFormat="1" applyFont="1" applyFill="1" applyBorder="1" applyAlignment="1">
      <alignment horizontal="right" vertical="center"/>
    </xf>
    <xf numFmtId="182" fontId="9" fillId="10" borderId="81" xfId="1" applyNumberFormat="1" applyFont="1" applyFill="1" applyBorder="1" applyAlignment="1">
      <alignment vertical="center"/>
    </xf>
    <xf numFmtId="183" fontId="9" fillId="0" borderId="81" xfId="0" applyNumberFormat="1" applyFont="1" applyBorder="1" applyAlignment="1">
      <alignment horizontal="centerContinuous" vertical="center"/>
    </xf>
    <xf numFmtId="178" fontId="9" fillId="11" borderId="80" xfId="0" applyNumberFormat="1" applyFont="1" applyFill="1" applyBorder="1" applyAlignment="1">
      <alignment horizontal="right" vertical="center"/>
    </xf>
    <xf numFmtId="182" fontId="9" fillId="11" borderId="98" xfId="1" applyNumberFormat="1" applyFont="1" applyFill="1" applyBorder="1" applyAlignment="1">
      <alignment vertical="center"/>
    </xf>
    <xf numFmtId="182" fontId="9" fillId="0" borderId="79" xfId="1" applyNumberFormat="1" applyFont="1" applyFill="1" applyBorder="1" applyAlignment="1">
      <alignment vertical="center"/>
    </xf>
    <xf numFmtId="182" fontId="9" fillId="11" borderId="81" xfId="1" applyNumberFormat="1" applyFont="1" applyFill="1" applyBorder="1" applyAlignment="1">
      <alignment vertical="center"/>
    </xf>
    <xf numFmtId="176" fontId="9" fillId="0" borderId="80" xfId="1" applyNumberFormat="1" applyFont="1" applyFill="1" applyBorder="1" applyAlignment="1">
      <alignment vertical="center"/>
    </xf>
    <xf numFmtId="176" fontId="9" fillId="0" borderId="100" xfId="1" applyNumberFormat="1" applyFont="1" applyFill="1" applyBorder="1" applyAlignment="1">
      <alignment vertical="center"/>
    </xf>
    <xf numFmtId="182" fontId="9" fillId="0" borderId="81" xfId="1" applyNumberFormat="1" applyFont="1" applyFill="1" applyBorder="1" applyAlignment="1">
      <alignment vertical="center"/>
    </xf>
    <xf numFmtId="176" fontId="9" fillId="0" borderId="79" xfId="1" applyNumberFormat="1" applyFont="1" applyFill="1" applyBorder="1" applyAlignment="1">
      <alignment vertical="center"/>
    </xf>
    <xf numFmtId="178" fontId="9" fillId="0" borderId="100" xfId="1" applyNumberFormat="1" applyFont="1" applyFill="1" applyBorder="1" applyAlignment="1">
      <alignment vertical="center"/>
    </xf>
    <xf numFmtId="176" fontId="9" fillId="0" borderId="80" xfId="1" applyNumberFormat="1" applyFont="1" applyBorder="1" applyAlignment="1">
      <alignment vertical="center"/>
    </xf>
    <xf numFmtId="183" fontId="9" fillId="0" borderId="98" xfId="1" applyNumberFormat="1" applyFont="1" applyFill="1" applyBorder="1" applyAlignment="1">
      <alignment horizontal="center" vertical="center"/>
    </xf>
    <xf numFmtId="182" fontId="9" fillId="0" borderId="101" xfId="1" applyNumberFormat="1" applyFont="1" applyFill="1" applyBorder="1" applyAlignment="1">
      <alignment vertical="center"/>
    </xf>
    <xf numFmtId="182" fontId="9" fillId="0" borderId="78" xfId="1" applyNumberFormat="1" applyFont="1" applyFill="1" applyBorder="1" applyAlignment="1">
      <alignment vertical="center"/>
    </xf>
    <xf numFmtId="183" fontId="9" fillId="0" borderId="102" xfId="2" applyNumberFormat="1" applyFont="1" applyFill="1" applyBorder="1" applyAlignment="1">
      <alignment horizontal="center" vertical="center" wrapText="1"/>
    </xf>
    <xf numFmtId="178" fontId="6" fillId="0" borderId="39" xfId="0" applyNumberFormat="1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41" fontId="6" fillId="0" borderId="39" xfId="0" applyNumberFormat="1" applyFont="1" applyBorder="1" applyAlignment="1">
      <alignment horizontal="center" vertical="center"/>
    </xf>
    <xf numFmtId="178" fontId="6" fillId="0" borderId="0" xfId="0" applyNumberFormat="1" applyFont="1" applyAlignment="1">
      <alignment vertical="center"/>
    </xf>
    <xf numFmtId="0" fontId="9" fillId="0" borderId="50" xfId="0" applyFont="1" applyBorder="1" applyAlignment="1">
      <alignment horizontal="centerContinuous" vertical="center"/>
    </xf>
    <xf numFmtId="178" fontId="9" fillId="10" borderId="104" xfId="0" applyNumberFormat="1" applyFont="1" applyFill="1" applyBorder="1" applyAlignment="1">
      <alignment horizontal="right" vertical="center"/>
    </xf>
    <xf numFmtId="182" fontId="9" fillId="10" borderId="105" xfId="1" applyNumberFormat="1" applyFont="1" applyFill="1" applyBorder="1" applyAlignment="1">
      <alignment vertical="center"/>
    </xf>
    <xf numFmtId="183" fontId="9" fillId="0" borderId="105" xfId="0" applyNumberFormat="1" applyFont="1" applyBorder="1" applyAlignment="1">
      <alignment horizontal="centerContinuous" vertical="center"/>
    </xf>
    <xf numFmtId="178" fontId="9" fillId="11" borderId="48" xfId="0" applyNumberFormat="1" applyFont="1" applyFill="1" applyBorder="1" applyAlignment="1">
      <alignment horizontal="right" vertical="center"/>
    </xf>
    <xf numFmtId="182" fontId="9" fillId="11" borderId="50" xfId="1" applyNumberFormat="1" applyFont="1" applyFill="1" applyBorder="1" applyAlignment="1">
      <alignment vertical="center"/>
    </xf>
    <xf numFmtId="182" fontId="9" fillId="0" borderId="106" xfId="1" applyNumberFormat="1" applyFont="1" applyFill="1" applyBorder="1" applyAlignment="1">
      <alignment vertical="center"/>
    </xf>
    <xf numFmtId="182" fontId="9" fillId="11" borderId="105" xfId="1" applyNumberFormat="1" applyFont="1" applyFill="1" applyBorder="1" applyAlignment="1">
      <alignment vertical="center"/>
    </xf>
    <xf numFmtId="176" fontId="9" fillId="0" borderId="48" xfId="1" applyNumberFormat="1" applyFont="1" applyFill="1" applyBorder="1" applyAlignment="1">
      <alignment vertical="center"/>
    </xf>
    <xf numFmtId="176" fontId="9" fillId="0" borderId="49" xfId="1" applyNumberFormat="1" applyFont="1" applyFill="1" applyBorder="1" applyAlignment="1">
      <alignment vertical="center"/>
    </xf>
    <xf numFmtId="182" fontId="9" fillId="0" borderId="105" xfId="1" applyNumberFormat="1" applyFont="1" applyFill="1" applyBorder="1" applyAlignment="1">
      <alignment vertical="center"/>
    </xf>
    <xf numFmtId="176" fontId="9" fillId="0" borderId="106" xfId="1" applyNumberFormat="1" applyFont="1" applyFill="1" applyBorder="1" applyAlignment="1">
      <alignment vertical="center"/>
    </xf>
    <xf numFmtId="178" fontId="9" fillId="0" borderId="49" xfId="1" applyNumberFormat="1" applyFont="1" applyFill="1" applyBorder="1" applyAlignment="1">
      <alignment vertical="center"/>
    </xf>
    <xf numFmtId="183" fontId="9" fillId="0" borderId="50" xfId="1" applyNumberFormat="1" applyFont="1" applyFill="1" applyBorder="1" applyAlignment="1">
      <alignment horizontal="center" vertical="center"/>
    </xf>
    <xf numFmtId="182" fontId="9" fillId="0" borderId="19" xfId="1" applyNumberFormat="1" applyFont="1" applyFill="1" applyBorder="1" applyAlignment="1">
      <alignment vertical="center"/>
    </xf>
    <xf numFmtId="182" fontId="9" fillId="0" borderId="23" xfId="1" applyNumberFormat="1" applyFont="1" applyFill="1" applyBorder="1" applyAlignment="1">
      <alignment vertical="center"/>
    </xf>
    <xf numFmtId="183" fontId="9" fillId="0" borderId="107" xfId="2" applyNumberFormat="1" applyFont="1" applyFill="1" applyBorder="1" applyAlignment="1">
      <alignment horizontal="center" vertical="center" wrapText="1"/>
    </xf>
    <xf numFmtId="178" fontId="6" fillId="0" borderId="19" xfId="0" applyNumberFormat="1" applyFont="1" applyBorder="1" applyAlignment="1">
      <alignment horizontal="center" vertical="center"/>
    </xf>
    <xf numFmtId="41" fontId="6" fillId="0" borderId="19" xfId="0" applyNumberFormat="1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 wrapText="1"/>
    </xf>
    <xf numFmtId="178" fontId="9" fillId="10" borderId="108" xfId="0" applyNumberFormat="1" applyFont="1" applyFill="1" applyBorder="1" applyAlignment="1">
      <alignment horizontal="right" vertical="center"/>
    </xf>
    <xf numFmtId="183" fontId="9" fillId="0" borderId="105" xfId="0" applyNumberFormat="1" applyFont="1" applyBorder="1" applyAlignment="1">
      <alignment horizontal="center" vertical="center"/>
    </xf>
    <xf numFmtId="178" fontId="9" fillId="11" borderId="54" xfId="0" applyNumberFormat="1" applyFont="1" applyFill="1" applyBorder="1" applyAlignment="1">
      <alignment horizontal="right" vertical="center"/>
    </xf>
    <xf numFmtId="176" fontId="9" fillId="0" borderId="48" xfId="1" applyNumberFormat="1" applyFont="1" applyBorder="1" applyAlignment="1">
      <alignment vertical="center"/>
    </xf>
    <xf numFmtId="176" fontId="9" fillId="0" borderId="49" xfId="1" applyNumberFormat="1" applyFont="1" applyBorder="1" applyAlignment="1">
      <alignment vertical="center"/>
    </xf>
    <xf numFmtId="176" fontId="9" fillId="0" borderId="54" xfId="1" applyNumberFormat="1" applyFont="1" applyBorder="1" applyAlignment="1">
      <alignment vertical="center"/>
    </xf>
    <xf numFmtId="176" fontId="9" fillId="0" borderId="109" xfId="1" applyNumberFormat="1" applyFont="1" applyBorder="1" applyAlignment="1">
      <alignment vertical="center"/>
    </xf>
    <xf numFmtId="182" fontId="9" fillId="0" borderId="110" xfId="1" applyNumberFormat="1" applyFont="1" applyFill="1" applyBorder="1" applyAlignment="1">
      <alignment vertical="center"/>
    </xf>
    <xf numFmtId="178" fontId="9" fillId="0" borderId="49" xfId="1" applyNumberFormat="1" applyFont="1" applyBorder="1" applyAlignment="1">
      <alignment vertical="center"/>
    </xf>
    <xf numFmtId="182" fontId="9" fillId="0" borderId="14" xfId="1" applyNumberFormat="1" applyFont="1" applyFill="1" applyBorder="1" applyAlignment="1">
      <alignment vertical="center"/>
    </xf>
    <xf numFmtId="182" fontId="9" fillId="0" borderId="18" xfId="1" applyNumberFormat="1" applyFont="1" applyFill="1" applyBorder="1" applyAlignment="1">
      <alignment vertical="center"/>
    </xf>
    <xf numFmtId="183" fontId="9" fillId="0" borderId="107" xfId="2" applyNumberFormat="1" applyFont="1" applyBorder="1" applyAlignment="1">
      <alignment horizontal="center" vertical="center" wrapText="1"/>
    </xf>
    <xf numFmtId="176" fontId="6" fillId="0" borderId="19" xfId="0" applyNumberFormat="1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/>
    </xf>
    <xf numFmtId="182" fontId="9" fillId="0" borderId="24" xfId="1" applyNumberFormat="1" applyFont="1" applyFill="1" applyBorder="1" applyAlignment="1">
      <alignment vertical="center"/>
    </xf>
    <xf numFmtId="183" fontId="29" fillId="0" borderId="107" xfId="2" applyNumberFormat="1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28" fillId="0" borderId="111" xfId="0" applyFont="1" applyBorder="1" applyAlignment="1">
      <alignment vertical="center" textRotation="255"/>
    </xf>
    <xf numFmtId="0" fontId="9" fillId="0" borderId="43" xfId="0" applyFont="1" applyBorder="1" applyAlignment="1">
      <alignment horizontal="centerContinuous" vertical="center"/>
    </xf>
    <xf numFmtId="178" fontId="9" fillId="11" borderId="70" xfId="0" applyNumberFormat="1" applyFont="1" applyFill="1" applyBorder="1" applyAlignment="1">
      <alignment horizontal="right" vertical="center"/>
    </xf>
    <xf numFmtId="182" fontId="9" fillId="11" borderId="112" xfId="1" applyNumberFormat="1" applyFont="1" applyFill="1" applyBorder="1" applyAlignment="1">
      <alignment vertical="center"/>
    </xf>
    <xf numFmtId="183" fontId="9" fillId="11" borderId="112" xfId="0" applyNumberFormat="1" applyFont="1" applyFill="1" applyBorder="1" applyAlignment="1">
      <alignment horizontal="centerContinuous" vertical="center"/>
    </xf>
    <xf numFmtId="178" fontId="9" fillId="11" borderId="58" xfId="0" applyNumberFormat="1" applyFont="1" applyFill="1" applyBorder="1" applyAlignment="1">
      <alignment horizontal="right" vertical="center"/>
    </xf>
    <xf numFmtId="182" fontId="9" fillId="11" borderId="68" xfId="1" applyNumberFormat="1" applyFont="1" applyFill="1" applyBorder="1" applyAlignment="1">
      <alignment vertical="center"/>
    </xf>
    <xf numFmtId="182" fontId="9" fillId="11" borderId="113" xfId="1" applyNumberFormat="1" applyFont="1" applyFill="1" applyBorder="1" applyAlignment="1">
      <alignment vertical="center"/>
    </xf>
    <xf numFmtId="183" fontId="9" fillId="0" borderId="112" xfId="0" applyNumberFormat="1" applyFont="1" applyBorder="1" applyAlignment="1">
      <alignment horizontal="centerContinuous" vertical="center"/>
    </xf>
    <xf numFmtId="176" fontId="9" fillId="0" borderId="66" xfId="1" applyNumberFormat="1" applyFont="1" applyFill="1" applyBorder="1" applyAlignment="1">
      <alignment vertical="center"/>
    </xf>
    <xf numFmtId="176" fontId="9" fillId="0" borderId="67" xfId="1" applyNumberFormat="1" applyFont="1" applyFill="1" applyBorder="1" applyAlignment="1">
      <alignment vertical="center"/>
    </xf>
    <xf numFmtId="182" fontId="9" fillId="0" borderId="112" xfId="1" applyNumberFormat="1" applyFont="1" applyFill="1" applyBorder="1" applyAlignment="1">
      <alignment vertical="center"/>
    </xf>
    <xf numFmtId="176" fontId="9" fillId="0" borderId="58" xfId="1" applyNumberFormat="1" applyFont="1" applyFill="1" applyBorder="1" applyAlignment="1">
      <alignment vertical="center"/>
    </xf>
    <xf numFmtId="176" fontId="9" fillId="0" borderId="114" xfId="1" applyNumberFormat="1" applyFont="1" applyFill="1" applyBorder="1" applyAlignment="1">
      <alignment vertical="center"/>
    </xf>
    <xf numFmtId="182" fontId="9" fillId="0" borderId="71" xfId="1" applyNumberFormat="1" applyFont="1" applyFill="1" applyBorder="1" applyAlignment="1">
      <alignment vertical="center"/>
    </xf>
    <xf numFmtId="178" fontId="9" fillId="0" borderId="67" xfId="1" applyNumberFormat="1" applyFont="1" applyFill="1" applyBorder="1" applyAlignment="1">
      <alignment vertical="center"/>
    </xf>
    <xf numFmtId="183" fontId="9" fillId="0" borderId="68" xfId="0" applyNumberFormat="1" applyFont="1" applyBorder="1" applyAlignment="1">
      <alignment horizontal="centerContinuous" vertical="center"/>
    </xf>
    <xf numFmtId="182" fontId="10" fillId="0" borderId="8" xfId="1" applyNumberFormat="1" applyFont="1" applyFill="1" applyBorder="1" applyAlignment="1">
      <alignment vertical="center"/>
    </xf>
    <xf numFmtId="182" fontId="9" fillId="0" borderId="43" xfId="1" applyNumberFormat="1" applyFont="1" applyFill="1" applyBorder="1" applyAlignment="1">
      <alignment vertical="center"/>
    </xf>
    <xf numFmtId="182" fontId="9" fillId="0" borderId="44" xfId="1" applyNumberFormat="1" applyFont="1" applyFill="1" applyBorder="1" applyAlignment="1">
      <alignment vertical="center"/>
    </xf>
    <xf numFmtId="183" fontId="9" fillId="0" borderId="115" xfId="2" applyNumberFormat="1" applyFont="1" applyFill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right" vertical="center"/>
    </xf>
    <xf numFmtId="0" fontId="9" fillId="0" borderId="116" xfId="0" applyFont="1" applyBorder="1" applyAlignment="1">
      <alignment horizontal="centerContinuous" vertical="center"/>
    </xf>
    <xf numFmtId="0" fontId="9" fillId="0" borderId="18" xfId="0" applyFont="1" applyBorder="1" applyAlignment="1">
      <alignment horizontal="centerContinuous" vertical="center"/>
    </xf>
    <xf numFmtId="41" fontId="9" fillId="10" borderId="108" xfId="1" applyFont="1" applyFill="1" applyBorder="1" applyAlignment="1">
      <alignment vertical="center"/>
    </xf>
    <xf numFmtId="182" fontId="9" fillId="10" borderId="55" xfId="1" applyNumberFormat="1" applyFont="1" applyFill="1" applyBorder="1" applyAlignment="1">
      <alignment vertical="center"/>
    </xf>
    <xf numFmtId="183" fontId="9" fillId="0" borderId="110" xfId="1" applyNumberFormat="1" applyFont="1" applyFill="1" applyBorder="1" applyAlignment="1">
      <alignment horizontal="center" vertical="center"/>
    </xf>
    <xf numFmtId="41" fontId="9" fillId="0" borderId="54" xfId="1" applyFont="1" applyFill="1" applyBorder="1" applyAlignment="1">
      <alignment vertical="center"/>
    </xf>
    <xf numFmtId="182" fontId="9" fillId="0" borderId="56" xfId="1" applyNumberFormat="1" applyFont="1" applyFill="1" applyBorder="1" applyAlignment="1">
      <alignment vertical="center"/>
    </xf>
    <xf numFmtId="182" fontId="9" fillId="0" borderId="108" xfId="1" applyNumberFormat="1" applyFont="1" applyFill="1" applyBorder="1" applyAlignment="1">
      <alignment vertical="center"/>
    </xf>
    <xf numFmtId="41" fontId="9" fillId="6" borderId="54" xfId="1" applyFont="1" applyFill="1" applyBorder="1" applyAlignment="1">
      <alignment vertical="center"/>
    </xf>
    <xf numFmtId="182" fontId="9" fillId="6" borderId="55" xfId="1" applyNumberFormat="1" applyFont="1" applyFill="1" applyBorder="1" applyAlignment="1">
      <alignment vertical="center"/>
    </xf>
    <xf numFmtId="41" fontId="9" fillId="0" borderId="55" xfId="1" applyFont="1" applyFill="1" applyBorder="1" applyAlignment="1">
      <alignment vertical="center"/>
    </xf>
    <xf numFmtId="182" fontId="9" fillId="0" borderId="55" xfId="1" applyNumberFormat="1" applyFont="1" applyFill="1" applyBorder="1" applyAlignment="1">
      <alignment vertical="center"/>
    </xf>
    <xf numFmtId="178" fontId="9" fillId="0" borderId="109" xfId="1" applyNumberFormat="1" applyFont="1" applyFill="1" applyBorder="1" applyAlignment="1">
      <alignment vertical="center"/>
    </xf>
    <xf numFmtId="176" fontId="9" fillId="0" borderId="55" xfId="1" applyNumberFormat="1" applyFont="1" applyBorder="1" applyAlignment="1">
      <alignment vertical="center"/>
    </xf>
    <xf numFmtId="183" fontId="9" fillId="0" borderId="56" xfId="1" applyNumberFormat="1" applyFont="1" applyFill="1" applyBorder="1" applyAlignment="1">
      <alignment horizontal="center" vertical="center"/>
    </xf>
    <xf numFmtId="41" fontId="9" fillId="0" borderId="117" xfId="1" applyFont="1" applyFill="1" applyBorder="1" applyAlignment="1">
      <alignment horizontal="center" vertical="center"/>
    </xf>
    <xf numFmtId="176" fontId="6" fillId="0" borderId="118" xfId="0" applyNumberFormat="1" applyFont="1" applyBorder="1" applyAlignment="1">
      <alignment horizontal="center" vertical="center"/>
    </xf>
    <xf numFmtId="178" fontId="6" fillId="0" borderId="118" xfId="0" applyNumberFormat="1" applyFont="1" applyBorder="1" applyAlignment="1">
      <alignment horizontal="center" vertical="center"/>
    </xf>
    <xf numFmtId="0" fontId="9" fillId="0" borderId="103" xfId="0" applyFont="1" applyBorder="1" applyAlignment="1">
      <alignment horizontal="centerContinuous" vertical="center"/>
    </xf>
    <xf numFmtId="0" fontId="9" fillId="0" borderId="37" xfId="0" applyFont="1" applyBorder="1" applyAlignment="1">
      <alignment horizontal="centerContinuous" vertical="center"/>
    </xf>
    <xf numFmtId="41" fontId="9" fillId="10" borderId="119" xfId="1" applyFont="1" applyFill="1" applyBorder="1" applyAlignment="1">
      <alignment vertical="center"/>
    </xf>
    <xf numFmtId="182" fontId="9" fillId="10" borderId="52" xfId="1" applyNumberFormat="1" applyFont="1" applyFill="1" applyBorder="1" applyAlignment="1">
      <alignment vertical="center"/>
    </xf>
    <xf numFmtId="41" fontId="9" fillId="11" borderId="51" xfId="1" applyFont="1" applyFill="1" applyBorder="1" applyAlignment="1">
      <alignment vertical="center"/>
    </xf>
    <xf numFmtId="182" fontId="9" fillId="11" borderId="53" xfId="1" applyNumberFormat="1" applyFont="1" applyFill="1" applyBorder="1" applyAlignment="1">
      <alignment vertical="center"/>
    </xf>
    <xf numFmtId="182" fontId="9" fillId="0" borderId="119" xfId="1" applyNumberFormat="1" applyFont="1" applyFill="1" applyBorder="1" applyAlignment="1">
      <alignment vertical="center"/>
    </xf>
    <xf numFmtId="182" fontId="9" fillId="11" borderId="52" xfId="1" applyNumberFormat="1" applyFont="1" applyFill="1" applyBorder="1" applyAlignment="1">
      <alignment vertical="center"/>
    </xf>
    <xf numFmtId="183" fontId="9" fillId="0" borderId="120" xfId="1" applyNumberFormat="1" applyFont="1" applyFill="1" applyBorder="1" applyAlignment="1">
      <alignment horizontal="center" vertical="center"/>
    </xf>
    <xf numFmtId="41" fontId="9" fillId="0" borderId="51" xfId="1" applyFont="1" applyFill="1" applyBorder="1" applyAlignment="1">
      <alignment vertical="center"/>
    </xf>
    <xf numFmtId="41" fontId="9" fillId="0" borderId="52" xfId="1" applyFont="1" applyFill="1" applyBorder="1" applyAlignment="1">
      <alignment vertical="center"/>
    </xf>
    <xf numFmtId="182" fontId="9" fillId="0" borderId="52" xfId="1" applyNumberFormat="1" applyFont="1" applyFill="1" applyBorder="1" applyAlignment="1">
      <alignment vertical="center"/>
    </xf>
    <xf numFmtId="178" fontId="9" fillId="0" borderId="0" xfId="1" applyNumberFormat="1" applyFont="1" applyFill="1" applyBorder="1" applyAlignment="1">
      <alignment vertical="center"/>
    </xf>
    <xf numFmtId="182" fontId="9" fillId="0" borderId="120" xfId="1" applyNumberFormat="1" applyFont="1" applyFill="1" applyBorder="1" applyAlignment="1">
      <alignment vertical="center"/>
    </xf>
    <xf numFmtId="178" fontId="9" fillId="0" borderId="51" xfId="1" applyNumberFormat="1" applyFont="1" applyFill="1" applyBorder="1" applyAlignment="1">
      <alignment vertical="center"/>
    </xf>
    <xf numFmtId="176" fontId="9" fillId="0" borderId="52" xfId="1" applyNumberFormat="1" applyFont="1" applyBorder="1" applyAlignment="1">
      <alignment vertical="center"/>
    </xf>
    <xf numFmtId="183" fontId="9" fillId="0" borderId="53" xfId="1" applyNumberFormat="1" applyFont="1" applyFill="1" applyBorder="1" applyAlignment="1">
      <alignment horizontal="center" vertical="center"/>
    </xf>
    <xf numFmtId="182" fontId="9" fillId="0" borderId="33" xfId="1" applyNumberFormat="1" applyFont="1" applyFill="1" applyBorder="1" applyAlignment="1">
      <alignment vertical="center"/>
    </xf>
    <xf numFmtId="182" fontId="9" fillId="0" borderId="37" xfId="1" applyNumberFormat="1" applyFont="1" applyFill="1" applyBorder="1" applyAlignment="1">
      <alignment vertical="center"/>
    </xf>
    <xf numFmtId="183" fontId="9" fillId="0" borderId="121" xfId="2" applyNumberFormat="1" applyFont="1" applyFill="1" applyBorder="1" applyAlignment="1">
      <alignment horizontal="center" vertical="center"/>
    </xf>
    <xf numFmtId="0" fontId="10" fillId="10" borderId="122" xfId="0" applyFont="1" applyFill="1" applyBorder="1" applyAlignment="1">
      <alignment horizontal="centerContinuous" vertical="center"/>
    </xf>
    <xf numFmtId="0" fontId="10" fillId="10" borderId="123" xfId="0" applyFont="1" applyFill="1" applyBorder="1" applyAlignment="1">
      <alignment horizontal="centerContinuous" vertical="center"/>
    </xf>
    <xf numFmtId="41" fontId="10" fillId="10" borderId="124" xfId="1" applyFont="1" applyFill="1" applyBorder="1" applyAlignment="1">
      <alignment vertical="center"/>
    </xf>
    <xf numFmtId="182" fontId="10" fillId="10" borderId="125" xfId="1" applyNumberFormat="1" applyFont="1" applyFill="1" applyBorder="1" applyAlignment="1">
      <alignment vertical="center"/>
    </xf>
    <xf numFmtId="183" fontId="10" fillId="10" borderId="125" xfId="1" applyNumberFormat="1" applyFont="1" applyFill="1" applyBorder="1" applyAlignment="1">
      <alignment horizontal="center" vertical="center"/>
    </xf>
    <xf numFmtId="41" fontId="10" fillId="10" borderId="126" xfId="1" applyFont="1" applyFill="1" applyBorder="1" applyAlignment="1">
      <alignment vertical="center"/>
    </xf>
    <xf numFmtId="182" fontId="10" fillId="10" borderId="127" xfId="1" applyNumberFormat="1" applyFont="1" applyFill="1" applyBorder="1" applyAlignment="1">
      <alignment vertical="center"/>
    </xf>
    <xf numFmtId="182" fontId="10" fillId="10" borderId="128" xfId="1" applyNumberFormat="1" applyFont="1" applyFill="1" applyBorder="1" applyAlignment="1">
      <alignment vertical="center"/>
    </xf>
    <xf numFmtId="182" fontId="10" fillId="10" borderId="129" xfId="1" applyNumberFormat="1" applyFont="1" applyFill="1" applyBorder="1" applyAlignment="1">
      <alignment vertical="center"/>
    </xf>
    <xf numFmtId="183" fontId="10" fillId="10" borderId="129" xfId="1" applyNumberFormat="1" applyFont="1" applyFill="1" applyBorder="1" applyAlignment="1">
      <alignment horizontal="center" vertical="center"/>
    </xf>
    <xf numFmtId="41" fontId="10" fillId="10" borderId="130" xfId="1" applyFont="1" applyFill="1" applyBorder="1" applyAlignment="1">
      <alignment vertical="center"/>
    </xf>
    <xf numFmtId="178" fontId="10" fillId="10" borderId="126" xfId="1" applyNumberFormat="1" applyFont="1" applyFill="1" applyBorder="1" applyAlignment="1">
      <alignment vertical="center"/>
    </xf>
    <xf numFmtId="178" fontId="10" fillId="10" borderId="128" xfId="1" applyNumberFormat="1" applyFont="1" applyFill="1" applyBorder="1" applyAlignment="1">
      <alignment vertical="center"/>
    </xf>
    <xf numFmtId="176" fontId="10" fillId="10" borderId="129" xfId="1" applyNumberFormat="1" applyFont="1" applyFill="1" applyBorder="1" applyAlignment="1">
      <alignment vertical="center"/>
    </xf>
    <xf numFmtId="183" fontId="10" fillId="10" borderId="127" xfId="1" applyNumberFormat="1" applyFont="1" applyFill="1" applyBorder="1" applyAlignment="1">
      <alignment horizontal="center" vertical="center"/>
    </xf>
    <xf numFmtId="182" fontId="10" fillId="10" borderId="131" xfId="1" applyNumberFormat="1" applyFont="1" applyFill="1" applyBorder="1" applyAlignment="1">
      <alignment vertical="center"/>
    </xf>
    <xf numFmtId="183" fontId="10" fillId="10" borderId="132" xfId="1" applyNumberFormat="1" applyFont="1" applyFill="1" applyBorder="1" applyAlignment="1">
      <alignment horizontal="center" vertical="center"/>
    </xf>
    <xf numFmtId="178" fontId="30" fillId="0" borderId="1" xfId="0" applyNumberFormat="1" applyFont="1" applyBorder="1" applyAlignment="1">
      <alignment horizontal="center" vertical="center"/>
    </xf>
    <xf numFmtId="176" fontId="30" fillId="0" borderId="1" xfId="0" applyNumberFormat="1" applyFont="1" applyBorder="1" applyAlignment="1">
      <alignment horizontal="center" vertical="center"/>
    </xf>
    <xf numFmtId="178" fontId="30" fillId="0" borderId="1" xfId="0" applyNumberFormat="1" applyFont="1" applyBorder="1" applyAlignment="1">
      <alignment horizontal="right" vertical="center"/>
    </xf>
    <xf numFmtId="0" fontId="9" fillId="0" borderId="134" xfId="0" applyFont="1" applyBorder="1" applyAlignment="1">
      <alignment horizontal="centerContinuous" vertical="center"/>
    </xf>
    <xf numFmtId="178" fontId="9" fillId="10" borderId="135" xfId="0" applyNumberFormat="1" applyFont="1" applyFill="1" applyBorder="1" applyAlignment="1">
      <alignment horizontal="right" vertical="center"/>
    </xf>
    <xf numFmtId="182" fontId="9" fillId="10" borderId="136" xfId="1" applyNumberFormat="1" applyFont="1" applyFill="1" applyBorder="1" applyAlignment="1">
      <alignment vertical="center"/>
    </xf>
    <xf numFmtId="183" fontId="9" fillId="10" borderId="136" xfId="0" applyNumberFormat="1" applyFont="1" applyFill="1" applyBorder="1" applyAlignment="1">
      <alignment horizontal="centerContinuous" vertical="center"/>
    </xf>
    <xf numFmtId="178" fontId="9" fillId="11" borderId="137" xfId="0" applyNumberFormat="1" applyFont="1" applyFill="1" applyBorder="1" applyAlignment="1">
      <alignment horizontal="right" vertical="center"/>
    </xf>
    <xf numFmtId="182" fontId="9" fillId="11" borderId="134" xfId="1" applyNumberFormat="1" applyFont="1" applyFill="1" applyBorder="1" applyAlignment="1">
      <alignment vertical="center"/>
    </xf>
    <xf numFmtId="182" fontId="9" fillId="0" borderId="138" xfId="1" applyNumberFormat="1" applyFont="1" applyFill="1" applyBorder="1" applyAlignment="1">
      <alignment vertical="center"/>
    </xf>
    <xf numFmtId="182" fontId="9" fillId="11" borderId="136" xfId="1" applyNumberFormat="1" applyFont="1" applyFill="1" applyBorder="1" applyAlignment="1">
      <alignment vertical="center"/>
    </xf>
    <xf numFmtId="183" fontId="9" fillId="0" borderId="136" xfId="0" applyNumberFormat="1" applyFont="1" applyBorder="1" applyAlignment="1">
      <alignment horizontal="centerContinuous" vertical="center"/>
    </xf>
    <xf numFmtId="176" fontId="9" fillId="0" borderId="137" xfId="1" applyNumberFormat="1" applyFont="1" applyFill="1" applyBorder="1" applyAlignment="1">
      <alignment vertical="center"/>
    </xf>
    <xf numFmtId="176" fontId="9" fillId="0" borderId="139" xfId="1" applyNumberFormat="1" applyFont="1" applyFill="1" applyBorder="1" applyAlignment="1">
      <alignment vertical="center"/>
    </xf>
    <xf numFmtId="182" fontId="9" fillId="0" borderId="136" xfId="1" applyNumberFormat="1" applyFont="1" applyFill="1" applyBorder="1" applyAlignment="1">
      <alignment vertical="center"/>
    </xf>
    <xf numFmtId="176" fontId="9" fillId="6" borderId="138" xfId="1" applyNumberFormat="1" applyFont="1" applyFill="1" applyBorder="1" applyAlignment="1">
      <alignment vertical="center"/>
    </xf>
    <xf numFmtId="182" fontId="9" fillId="6" borderId="136" xfId="1" applyNumberFormat="1" applyFont="1" applyFill="1" applyBorder="1" applyAlignment="1">
      <alignment vertical="center"/>
    </xf>
    <xf numFmtId="183" fontId="9" fillId="0" borderId="134" xfId="1" applyNumberFormat="1" applyFont="1" applyFill="1" applyBorder="1" applyAlignment="1">
      <alignment horizontal="center" vertical="center"/>
    </xf>
    <xf numFmtId="182" fontId="9" fillId="0" borderId="140" xfId="1" applyNumberFormat="1" applyFont="1" applyFill="1" applyBorder="1" applyAlignment="1">
      <alignment vertical="center"/>
    </xf>
    <xf numFmtId="182" fontId="9" fillId="0" borderId="141" xfId="1" applyNumberFormat="1" applyFont="1" applyFill="1" applyBorder="1" applyAlignment="1">
      <alignment vertical="center"/>
    </xf>
    <xf numFmtId="183" fontId="9" fillId="0" borderId="142" xfId="2" applyNumberFormat="1" applyFont="1" applyFill="1" applyBorder="1" applyAlignment="1">
      <alignment horizontal="center" vertical="center" wrapText="1"/>
    </xf>
    <xf numFmtId="41" fontId="6" fillId="0" borderId="0" xfId="0" applyNumberFormat="1" applyFont="1" applyAlignment="1">
      <alignment horizontal="center" vertical="center"/>
    </xf>
    <xf numFmtId="183" fontId="9" fillId="10" borderId="105" xfId="0" applyNumberFormat="1" applyFont="1" applyFill="1" applyBorder="1" applyAlignment="1">
      <alignment horizontal="centerContinuous" vertical="center"/>
    </xf>
    <xf numFmtId="176" fontId="9" fillId="6" borderId="106" xfId="1" applyNumberFormat="1" applyFont="1" applyFill="1" applyBorder="1" applyAlignment="1">
      <alignment vertical="center"/>
    </xf>
    <xf numFmtId="182" fontId="9" fillId="6" borderId="105" xfId="1" applyNumberFormat="1" applyFont="1" applyFill="1" applyBorder="1" applyAlignment="1">
      <alignment vertical="center"/>
    </xf>
    <xf numFmtId="184" fontId="6" fillId="0" borderId="0" xfId="0" applyNumberFormat="1" applyFont="1" applyAlignment="1">
      <alignment vertical="center"/>
    </xf>
    <xf numFmtId="183" fontId="9" fillId="10" borderId="105" xfId="0" applyNumberFormat="1" applyFont="1" applyFill="1" applyBorder="1" applyAlignment="1">
      <alignment horizontal="center" vertical="center"/>
    </xf>
    <xf numFmtId="176" fontId="9" fillId="0" borderId="54" xfId="1" applyNumberFormat="1" applyFont="1" applyFill="1" applyBorder="1" applyAlignment="1">
      <alignment vertical="center"/>
    </xf>
    <xf numFmtId="176" fontId="9" fillId="6" borderId="109" xfId="1" applyNumberFormat="1" applyFont="1" applyFill="1" applyBorder="1" applyAlignment="1">
      <alignment vertical="center"/>
    </xf>
    <xf numFmtId="182" fontId="9" fillId="6" borderId="110" xfId="1" applyNumberFormat="1" applyFont="1" applyFill="1" applyBorder="1" applyAlignment="1">
      <alignment vertical="center"/>
    </xf>
    <xf numFmtId="178" fontId="31" fillId="0" borderId="0" xfId="0" applyNumberFormat="1" applyFont="1" applyAlignment="1">
      <alignment horizontal="center" vertical="center"/>
    </xf>
    <xf numFmtId="185" fontId="9" fillId="10" borderId="104" xfId="0" applyNumberFormat="1" applyFont="1" applyFill="1" applyBorder="1" applyAlignment="1">
      <alignment horizontal="right" vertical="center"/>
    </xf>
    <xf numFmtId="185" fontId="9" fillId="11" borderId="48" xfId="0" applyNumberFormat="1" applyFont="1" applyFill="1" applyBorder="1" applyAlignment="1">
      <alignment horizontal="right" vertical="center"/>
    </xf>
    <xf numFmtId="176" fontId="9" fillId="0" borderId="49" xfId="1" applyNumberFormat="1" applyFont="1" applyFill="1" applyBorder="1" applyAlignment="1">
      <alignment horizontal="right" vertical="center"/>
    </xf>
    <xf numFmtId="176" fontId="9" fillId="6" borderId="109" xfId="1" applyNumberFormat="1" applyFont="1" applyFill="1" applyBorder="1" applyAlignment="1">
      <alignment horizontal="center" vertical="center"/>
    </xf>
    <xf numFmtId="178" fontId="31" fillId="12" borderId="0" xfId="0" applyNumberFormat="1" applyFont="1" applyFill="1" applyAlignment="1">
      <alignment horizontal="center" vertical="center"/>
    </xf>
    <xf numFmtId="176" fontId="31" fillId="12" borderId="0" xfId="0" applyNumberFormat="1" applyFont="1" applyFill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182" fontId="9" fillId="10" borderId="143" xfId="1" applyNumberFormat="1" applyFont="1" applyFill="1" applyBorder="1" applyAlignment="1">
      <alignment vertical="center"/>
    </xf>
    <xf numFmtId="183" fontId="9" fillId="10" borderId="143" xfId="0" applyNumberFormat="1" applyFont="1" applyFill="1" applyBorder="1" applyAlignment="1">
      <alignment horizontal="center" vertical="center"/>
    </xf>
    <xf numFmtId="182" fontId="9" fillId="11" borderId="47" xfId="1" applyNumberFormat="1" applyFont="1" applyFill="1" applyBorder="1" applyAlignment="1">
      <alignment vertical="center"/>
    </xf>
    <xf numFmtId="182" fontId="9" fillId="0" borderId="118" xfId="1" applyNumberFormat="1" applyFont="1" applyFill="1" applyBorder="1" applyAlignment="1">
      <alignment vertical="center"/>
    </xf>
    <xf numFmtId="182" fontId="9" fillId="11" borderId="143" xfId="1" applyNumberFormat="1" applyFont="1" applyFill="1" applyBorder="1" applyAlignment="1">
      <alignment vertical="center"/>
    </xf>
    <xf numFmtId="183" fontId="9" fillId="0" borderId="143" xfId="0" applyNumberFormat="1" applyFont="1" applyBorder="1" applyAlignment="1">
      <alignment horizontal="center" vertical="center"/>
    </xf>
    <xf numFmtId="176" fontId="9" fillId="0" borderId="45" xfId="1" applyNumberFormat="1" applyFont="1" applyFill="1" applyBorder="1" applyAlignment="1">
      <alignment vertical="center"/>
    </xf>
    <xf numFmtId="176" fontId="9" fillId="0" borderId="46" xfId="1" applyNumberFormat="1" applyFont="1" applyFill="1" applyBorder="1" applyAlignment="1">
      <alignment horizontal="right" vertical="center"/>
    </xf>
    <xf numFmtId="182" fontId="9" fillId="0" borderId="143" xfId="1" applyNumberFormat="1" applyFont="1" applyFill="1" applyBorder="1" applyAlignment="1">
      <alignment vertical="center"/>
    </xf>
    <xf numFmtId="176" fontId="9" fillId="6" borderId="106" xfId="1" applyNumberFormat="1" applyFont="1" applyFill="1" applyBorder="1" applyAlignment="1">
      <alignment horizontal="right" vertical="center"/>
    </xf>
    <xf numFmtId="182" fontId="9" fillId="0" borderId="50" xfId="1" applyNumberFormat="1" applyFont="1" applyFill="1" applyBorder="1" applyAlignment="1">
      <alignment vertical="center"/>
    </xf>
    <xf numFmtId="185" fontId="9" fillId="0" borderId="49" xfId="0" applyNumberFormat="1" applyFont="1" applyBorder="1" applyAlignment="1">
      <alignment horizontal="right" vertical="center"/>
    </xf>
    <xf numFmtId="183" fontId="9" fillId="0" borderId="47" xfId="1" applyNumberFormat="1" applyFont="1" applyFill="1" applyBorder="1" applyAlignment="1">
      <alignment horizontal="center" vertical="center"/>
    </xf>
    <xf numFmtId="183" fontId="9" fillId="0" borderId="144" xfId="2" applyNumberFormat="1" applyFont="1" applyFill="1" applyBorder="1" applyAlignment="1">
      <alignment horizontal="center" vertical="center" wrapText="1"/>
    </xf>
    <xf numFmtId="183" fontId="21" fillId="0" borderId="0" xfId="0" applyNumberFormat="1" applyFont="1" applyAlignment="1">
      <alignment horizontal="center" vertical="center"/>
    </xf>
    <xf numFmtId="0" fontId="29" fillId="0" borderId="47" xfId="0" applyFont="1" applyBorder="1" applyAlignment="1">
      <alignment horizontal="center" vertical="center" wrapText="1" shrinkToFit="1"/>
    </xf>
    <xf numFmtId="185" fontId="9" fillId="10" borderId="145" xfId="0" applyNumberFormat="1" applyFont="1" applyFill="1" applyBorder="1" applyAlignment="1">
      <alignment horizontal="right" vertical="center"/>
    </xf>
    <xf numFmtId="185" fontId="9" fillId="11" borderId="45" xfId="0" applyNumberFormat="1" applyFont="1" applyFill="1" applyBorder="1" applyAlignment="1">
      <alignment horizontal="right" vertical="center"/>
    </xf>
    <xf numFmtId="176" fontId="9" fillId="0" borderId="51" xfId="1" applyNumberFormat="1" applyFont="1" applyFill="1" applyBorder="1" applyAlignment="1">
      <alignment vertical="center"/>
    </xf>
    <xf numFmtId="176" fontId="9" fillId="0" borderId="0" xfId="1" applyNumberFormat="1" applyFont="1" applyFill="1" applyBorder="1" applyAlignment="1">
      <alignment horizontal="right" vertical="center"/>
    </xf>
    <xf numFmtId="176" fontId="9" fillId="0" borderId="52" xfId="1" applyNumberFormat="1" applyFont="1" applyFill="1" applyBorder="1" applyAlignment="1">
      <alignment vertical="center"/>
    </xf>
    <xf numFmtId="185" fontId="9" fillId="0" borderId="46" xfId="0" applyNumberFormat="1" applyFont="1" applyBorder="1" applyAlignment="1">
      <alignment horizontal="right" vertical="center"/>
    </xf>
    <xf numFmtId="183" fontId="6" fillId="0" borderId="0" xfId="0" applyNumberFormat="1" applyFont="1" applyAlignment="1">
      <alignment horizontal="center" vertical="center"/>
    </xf>
    <xf numFmtId="0" fontId="9" fillId="0" borderId="68" xfId="0" applyFont="1" applyBorder="1" applyAlignment="1">
      <alignment horizontal="centerContinuous" vertical="center" wrapText="1"/>
    </xf>
    <xf numFmtId="41" fontId="9" fillId="10" borderId="147" xfId="1" applyFont="1" applyFill="1" applyBorder="1" applyAlignment="1">
      <alignment horizontal="right" vertical="center"/>
    </xf>
    <xf numFmtId="182" fontId="9" fillId="10" borderId="67" xfId="1" applyNumberFormat="1" applyFont="1" applyFill="1" applyBorder="1" applyAlignment="1">
      <alignment vertical="center"/>
    </xf>
    <xf numFmtId="183" fontId="9" fillId="10" borderId="112" xfId="1" applyNumberFormat="1" applyFont="1" applyFill="1" applyBorder="1" applyAlignment="1">
      <alignment horizontal="center" vertical="center"/>
    </xf>
    <xf numFmtId="41" fontId="9" fillId="0" borderId="66" xfId="1" applyFont="1" applyFill="1" applyBorder="1" applyAlignment="1">
      <alignment horizontal="right" vertical="center"/>
    </xf>
    <xf numFmtId="182" fontId="9" fillId="0" borderId="68" xfId="1" applyNumberFormat="1" applyFont="1" applyFill="1" applyBorder="1" applyAlignment="1">
      <alignment vertical="center"/>
    </xf>
    <xf numFmtId="182" fontId="9" fillId="0" borderId="147" xfId="1" applyNumberFormat="1" applyFont="1" applyFill="1" applyBorder="1" applyAlignment="1">
      <alignment vertical="center"/>
    </xf>
    <xf numFmtId="182" fontId="9" fillId="0" borderId="67" xfId="1" applyNumberFormat="1" applyFont="1" applyFill="1" applyBorder="1" applyAlignment="1">
      <alignment vertical="center"/>
    </xf>
    <xf numFmtId="183" fontId="9" fillId="0" borderId="112" xfId="1" applyNumberFormat="1" applyFont="1" applyFill="1" applyBorder="1" applyAlignment="1">
      <alignment horizontal="center" vertical="center"/>
    </xf>
    <xf numFmtId="41" fontId="9" fillId="0" borderId="66" xfId="1" applyFont="1" applyFill="1" applyBorder="1" applyAlignment="1">
      <alignment vertical="center"/>
    </xf>
    <xf numFmtId="41" fontId="9" fillId="0" borderId="67" xfId="1" applyFont="1" applyFill="1" applyBorder="1" applyAlignment="1">
      <alignment vertical="center"/>
    </xf>
    <xf numFmtId="41" fontId="9" fillId="0" borderId="113" xfId="1" applyFont="1" applyFill="1" applyBorder="1" applyAlignment="1">
      <alignment vertical="center"/>
    </xf>
    <xf numFmtId="183" fontId="9" fillId="0" borderId="68" xfId="1" applyNumberFormat="1" applyFont="1" applyFill="1" applyBorder="1" applyAlignment="1">
      <alignment horizontal="center" vertical="center"/>
    </xf>
    <xf numFmtId="182" fontId="9" fillId="0" borderId="12" xfId="1" applyNumberFormat="1" applyFont="1" applyFill="1" applyBorder="1" applyAlignment="1">
      <alignment vertical="center"/>
    </xf>
    <xf numFmtId="41" fontId="9" fillId="0" borderId="115" xfId="1" applyFont="1" applyFill="1" applyBorder="1" applyAlignment="1">
      <alignment horizontal="center" vertical="center" wrapText="1"/>
    </xf>
    <xf numFmtId="178" fontId="10" fillId="10" borderId="150" xfId="0" applyNumberFormat="1" applyFont="1" applyFill="1" applyBorder="1" applyAlignment="1">
      <alignment horizontal="right" vertical="center"/>
    </xf>
    <xf numFmtId="182" fontId="10" fillId="10" borderId="151" xfId="1" applyNumberFormat="1" applyFont="1" applyFill="1" applyBorder="1" applyAlignment="1">
      <alignment vertical="center"/>
    </xf>
    <xf numFmtId="183" fontId="10" fillId="10" borderId="151" xfId="0" applyNumberFormat="1" applyFont="1" applyFill="1" applyBorder="1" applyAlignment="1">
      <alignment horizontal="centerContinuous" vertical="center"/>
    </xf>
    <xf numFmtId="178" fontId="10" fillId="10" borderId="152" xfId="0" applyNumberFormat="1" applyFont="1" applyFill="1" applyBorder="1" applyAlignment="1">
      <alignment horizontal="right" vertical="center"/>
    </xf>
    <xf numFmtId="182" fontId="10" fillId="10" borderId="153" xfId="1" applyNumberFormat="1" applyFont="1" applyFill="1" applyBorder="1" applyAlignment="1">
      <alignment vertical="center"/>
    </xf>
    <xf numFmtId="182" fontId="10" fillId="10" borderId="154" xfId="1" applyNumberFormat="1" applyFont="1" applyFill="1" applyBorder="1" applyAlignment="1">
      <alignment vertical="center"/>
    </xf>
    <xf numFmtId="176" fontId="10" fillId="10" borderId="152" xfId="1" applyNumberFormat="1" applyFont="1" applyFill="1" applyBorder="1" applyAlignment="1">
      <alignment vertical="center"/>
    </xf>
    <xf numFmtId="176" fontId="10" fillId="10" borderId="155" xfId="1" applyNumberFormat="1" applyFont="1" applyFill="1" applyBorder="1" applyAlignment="1">
      <alignment vertical="center"/>
    </xf>
    <xf numFmtId="176" fontId="10" fillId="10" borderId="154" xfId="1" applyNumberFormat="1" applyFont="1" applyFill="1" applyBorder="1" applyAlignment="1">
      <alignment vertical="center"/>
    </xf>
    <xf numFmtId="183" fontId="10" fillId="10" borderId="153" xfId="0" applyNumberFormat="1" applyFont="1" applyFill="1" applyBorder="1" applyAlignment="1">
      <alignment horizontal="centerContinuous" vertical="center"/>
    </xf>
    <xf numFmtId="182" fontId="10" fillId="10" borderId="156" xfId="1" applyNumberFormat="1" applyFont="1" applyFill="1" applyBorder="1" applyAlignment="1">
      <alignment vertical="center"/>
    </xf>
    <xf numFmtId="182" fontId="10" fillId="10" borderId="149" xfId="1" applyNumberFormat="1" applyFont="1" applyFill="1" applyBorder="1" applyAlignment="1">
      <alignment vertical="center"/>
    </xf>
    <xf numFmtId="183" fontId="10" fillId="10" borderId="157" xfId="1" applyNumberFormat="1" applyFont="1" applyFill="1" applyBorder="1" applyAlignment="1">
      <alignment horizontal="center" vertical="center" wrapText="1"/>
    </xf>
    <xf numFmtId="178" fontId="6" fillId="0" borderId="0" xfId="0" applyNumberFormat="1" applyFont="1" applyAlignment="1">
      <alignment horizontal="right" vertical="center"/>
    </xf>
    <xf numFmtId="0" fontId="10" fillId="4" borderId="86" xfId="0" applyFont="1" applyFill="1" applyBorder="1" applyAlignment="1">
      <alignment horizontal="centerContinuous" vertical="center"/>
    </xf>
    <xf numFmtId="0" fontId="10" fillId="4" borderId="87" xfId="0" applyFont="1" applyFill="1" applyBorder="1" applyAlignment="1">
      <alignment horizontal="centerContinuous" vertical="center"/>
    </xf>
    <xf numFmtId="41" fontId="32" fillId="4" borderId="158" xfId="1" applyFont="1" applyFill="1" applyBorder="1" applyAlignment="1">
      <alignment vertical="center"/>
    </xf>
    <xf numFmtId="182" fontId="32" fillId="4" borderId="159" xfId="1" applyNumberFormat="1" applyFont="1" applyFill="1" applyBorder="1" applyAlignment="1">
      <alignment vertical="center"/>
    </xf>
    <xf numFmtId="183" fontId="10" fillId="4" borderId="159" xfId="1" applyNumberFormat="1" applyFont="1" applyFill="1" applyBorder="1" applyAlignment="1">
      <alignment horizontal="center" vertical="center"/>
    </xf>
    <xf numFmtId="41" fontId="10" fillId="4" borderId="160" xfId="1" applyFont="1" applyFill="1" applyBorder="1" applyAlignment="1">
      <alignment vertical="center"/>
    </xf>
    <xf numFmtId="182" fontId="10" fillId="4" borderId="161" xfId="1" applyNumberFormat="1" applyFont="1" applyFill="1" applyBorder="1" applyAlignment="1">
      <alignment vertical="center"/>
    </xf>
    <xf numFmtId="182" fontId="10" fillId="4" borderId="73" xfId="1" applyNumberFormat="1" applyFont="1" applyFill="1" applyBorder="1" applyAlignment="1">
      <alignment vertical="center"/>
    </xf>
    <xf numFmtId="182" fontId="10" fillId="4" borderId="162" xfId="1" applyNumberFormat="1" applyFont="1" applyFill="1" applyBorder="1" applyAlignment="1">
      <alignment vertical="center"/>
    </xf>
    <xf numFmtId="183" fontId="10" fillId="4" borderId="162" xfId="1" applyNumberFormat="1" applyFont="1" applyFill="1" applyBorder="1" applyAlignment="1">
      <alignment horizontal="center" vertical="center"/>
    </xf>
    <xf numFmtId="178" fontId="10" fillId="4" borderId="160" xfId="1" applyNumberFormat="1" applyFont="1" applyFill="1" applyBorder="1" applyAlignment="1">
      <alignment vertical="center"/>
    </xf>
    <xf numFmtId="178" fontId="10" fillId="4" borderId="73" xfId="1" applyNumberFormat="1" applyFont="1" applyFill="1" applyBorder="1" applyAlignment="1">
      <alignment vertical="center"/>
    </xf>
    <xf numFmtId="176" fontId="10" fillId="4" borderId="162" xfId="1" applyNumberFormat="1" applyFont="1" applyFill="1" applyBorder="1" applyAlignment="1">
      <alignment vertical="center"/>
    </xf>
    <xf numFmtId="41" fontId="10" fillId="4" borderId="163" xfId="1" applyFont="1" applyFill="1" applyBorder="1" applyAlignment="1">
      <alignment vertical="center"/>
    </xf>
    <xf numFmtId="182" fontId="10" fillId="4" borderId="162" xfId="1" applyNumberFormat="1" applyFont="1" applyFill="1" applyBorder="1" applyAlignment="1">
      <alignment vertical="center" shrinkToFit="1"/>
    </xf>
    <xf numFmtId="183" fontId="10" fillId="4" borderId="161" xfId="1" applyNumberFormat="1" applyFont="1" applyFill="1" applyBorder="1" applyAlignment="1">
      <alignment horizontal="center" vertical="center" shrinkToFit="1"/>
    </xf>
    <xf numFmtId="182" fontId="33" fillId="4" borderId="95" xfId="1" applyNumberFormat="1" applyFont="1" applyFill="1" applyBorder="1" applyAlignment="1">
      <alignment vertical="center"/>
    </xf>
    <xf numFmtId="182" fontId="10" fillId="4" borderId="95" xfId="1" applyNumberFormat="1" applyFont="1" applyFill="1" applyBorder="1" applyAlignment="1">
      <alignment vertical="center"/>
    </xf>
    <xf numFmtId="183" fontId="10" fillId="4" borderId="164" xfId="1" applyNumberFormat="1" applyFont="1" applyFill="1" applyBorder="1" applyAlignment="1">
      <alignment horizontal="center" vertical="center" wrapText="1"/>
    </xf>
    <xf numFmtId="178" fontId="10" fillId="7" borderId="0" xfId="0" applyNumberFormat="1" applyFont="1" applyFill="1" applyAlignment="1">
      <alignment horizontal="center" vertical="center" shrinkToFit="1"/>
    </xf>
    <xf numFmtId="186" fontId="6" fillId="0" borderId="0" xfId="0" applyNumberFormat="1" applyFont="1" applyAlignment="1">
      <alignment horizontal="center" vertical="center"/>
    </xf>
    <xf numFmtId="41" fontId="6" fillId="0" borderId="0" xfId="0" applyNumberFormat="1" applyFont="1" applyAlignment="1">
      <alignment vertical="center"/>
    </xf>
    <xf numFmtId="187" fontId="6" fillId="0" borderId="0" xfId="0" applyNumberFormat="1" applyFont="1" applyAlignment="1">
      <alignment vertical="center"/>
    </xf>
    <xf numFmtId="178" fontId="9" fillId="0" borderId="0" xfId="0" applyNumberFormat="1" applyFont="1" applyAlignment="1">
      <alignment vertical="center"/>
    </xf>
    <xf numFmtId="183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76" fontId="9" fillId="0" borderId="0" xfId="0" applyNumberFormat="1" applyFont="1" applyAlignment="1">
      <alignment vertical="center"/>
    </xf>
    <xf numFmtId="183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vertical="center"/>
    </xf>
    <xf numFmtId="41" fontId="6" fillId="0" borderId="0" xfId="1" applyFont="1" applyAlignment="1">
      <alignment vertical="center"/>
    </xf>
    <xf numFmtId="0" fontId="10" fillId="0" borderId="165" xfId="0" applyFont="1" applyBorder="1" applyAlignment="1">
      <alignment horizontal="center" vertical="center"/>
    </xf>
    <xf numFmtId="0" fontId="10" fillId="0" borderId="166" xfId="0" applyFont="1" applyBorder="1" applyAlignment="1">
      <alignment horizontal="center" vertical="center"/>
    </xf>
    <xf numFmtId="181" fontId="9" fillId="0" borderId="0" xfId="0" applyNumberFormat="1" applyFont="1" applyAlignment="1">
      <alignment vertical="center"/>
    </xf>
    <xf numFmtId="0" fontId="10" fillId="0" borderId="48" xfId="0" applyFont="1" applyBorder="1" applyAlignment="1">
      <alignment horizontal="center" vertical="center"/>
    </xf>
    <xf numFmtId="183" fontId="10" fillId="0" borderId="50" xfId="0" applyNumberFormat="1" applyFont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183" fontId="10" fillId="0" borderId="68" xfId="0" applyNumberFormat="1" applyFont="1" applyBorder="1" applyAlignment="1">
      <alignment horizontal="center" vertical="center"/>
    </xf>
    <xf numFmtId="176" fontId="21" fillId="0" borderId="0" xfId="0" applyNumberFormat="1" applyFont="1" applyAlignment="1">
      <alignment vertical="center" shrinkToFit="1"/>
    </xf>
    <xf numFmtId="0" fontId="31" fillId="0" borderId="0" xfId="0" applyFont="1" applyAlignment="1">
      <alignment vertical="center"/>
    </xf>
    <xf numFmtId="176" fontId="21" fillId="0" borderId="0" xfId="0" applyNumberFormat="1" applyFont="1" applyAlignment="1">
      <alignment vertical="center"/>
    </xf>
    <xf numFmtId="0" fontId="18" fillId="13" borderId="19" xfId="0" applyFont="1" applyFill="1" applyBorder="1" applyAlignment="1">
      <alignment horizontal="center" vertical="center" wrapText="1"/>
    </xf>
    <xf numFmtId="38" fontId="18" fillId="13" borderId="14" xfId="0" applyNumberFormat="1" applyFont="1" applyFill="1" applyBorder="1" applyAlignment="1">
      <alignment horizontal="center" vertical="center"/>
    </xf>
    <xf numFmtId="176" fontId="18" fillId="13" borderId="14" xfId="0" applyNumberFormat="1" applyFont="1" applyFill="1" applyBorder="1" applyAlignment="1">
      <alignment horizontal="right" vertical="center"/>
    </xf>
    <xf numFmtId="176" fontId="18" fillId="13" borderId="19" xfId="0" applyNumberFormat="1" applyFont="1" applyFill="1" applyBorder="1" applyAlignment="1">
      <alignment horizontal="right" vertical="center" wrapText="1"/>
    </xf>
    <xf numFmtId="176" fontId="18" fillId="13" borderId="14" xfId="0" applyNumberFormat="1" applyFont="1" applyFill="1" applyBorder="1" applyAlignment="1">
      <alignment horizontal="center" vertical="center"/>
    </xf>
    <xf numFmtId="41" fontId="18" fillId="6" borderId="19" xfId="1" applyFont="1" applyFill="1" applyBorder="1" applyAlignment="1">
      <alignment horizontal="right" vertical="center"/>
    </xf>
    <xf numFmtId="41" fontId="18" fillId="13" borderId="19" xfId="1" applyFont="1" applyFill="1" applyBorder="1" applyAlignment="1">
      <alignment horizontal="right" vertical="center"/>
    </xf>
    <xf numFmtId="41" fontId="18" fillId="6" borderId="14" xfId="1" applyFont="1" applyFill="1" applyBorder="1" applyAlignment="1">
      <alignment horizontal="right" vertical="center"/>
    </xf>
    <xf numFmtId="41" fontId="18" fillId="0" borderId="19" xfId="1" applyFont="1" applyBorder="1" applyAlignment="1">
      <alignment horizontal="right" vertical="center"/>
    </xf>
    <xf numFmtId="41" fontId="18" fillId="0" borderId="14" xfId="1" applyFont="1" applyBorder="1" applyAlignment="1">
      <alignment horizontal="right" vertical="center"/>
    </xf>
    <xf numFmtId="41" fontId="18" fillId="8" borderId="14" xfId="1" applyFont="1" applyFill="1" applyBorder="1" applyAlignment="1">
      <alignment horizontal="right" vertical="center"/>
    </xf>
    <xf numFmtId="176" fontId="18" fillId="6" borderId="19" xfId="0" applyNumberFormat="1" applyFont="1" applyFill="1" applyBorder="1" applyAlignment="1">
      <alignment horizontal="right" vertical="center"/>
    </xf>
    <xf numFmtId="176" fontId="18" fillId="0" borderId="19" xfId="0" applyNumberFormat="1" applyFont="1" applyFill="1" applyBorder="1" applyAlignment="1">
      <alignment horizontal="right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255"/>
    </xf>
    <xf numFmtId="0" fontId="6" fillId="3" borderId="29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7" fillId="4" borderId="29" xfId="3" applyFont="1" applyFill="1" applyBorder="1" applyAlignment="1">
      <alignment horizontal="center" vertical="center" wrapText="1"/>
    </xf>
    <xf numFmtId="0" fontId="7" fillId="4" borderId="30" xfId="3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77" fontId="9" fillId="2" borderId="2" xfId="1" applyNumberFormat="1" applyFont="1" applyFill="1" applyBorder="1" applyAlignment="1">
      <alignment horizontal="center" vertical="center"/>
    </xf>
    <xf numFmtId="177" fontId="9" fillId="2" borderId="8" xfId="1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textRotation="255"/>
    </xf>
    <xf numFmtId="0" fontId="0" fillId="0" borderId="33" xfId="0" applyBorder="1" applyAlignment="1">
      <alignment vertical="center"/>
    </xf>
    <xf numFmtId="0" fontId="9" fillId="3" borderId="29" xfId="3" applyFont="1" applyFill="1" applyBorder="1" applyAlignment="1">
      <alignment horizontal="center" vertical="center" wrapText="1"/>
    </xf>
    <xf numFmtId="0" fontId="9" fillId="3" borderId="57" xfId="3" applyFont="1" applyFill="1" applyBorder="1" applyAlignment="1">
      <alignment horizontal="center" vertical="center" wrapText="1"/>
    </xf>
    <xf numFmtId="0" fontId="9" fillId="3" borderId="30" xfId="3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7" fillId="0" borderId="6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176" fontId="9" fillId="2" borderId="2" xfId="1" applyNumberFormat="1" applyFont="1" applyFill="1" applyBorder="1" applyAlignment="1">
      <alignment horizontal="center" vertical="center" wrapText="1"/>
    </xf>
    <xf numFmtId="176" fontId="9" fillId="2" borderId="8" xfId="1" applyNumberFormat="1" applyFont="1" applyFill="1" applyBorder="1" applyAlignment="1">
      <alignment horizontal="center" vertical="center" wrapText="1"/>
    </xf>
    <xf numFmtId="0" fontId="9" fillId="2" borderId="6" xfId="1" applyNumberFormat="1" applyFont="1" applyFill="1" applyBorder="1" applyAlignment="1">
      <alignment horizontal="center" vertical="center" wrapText="1"/>
    </xf>
    <xf numFmtId="0" fontId="9" fillId="2" borderId="43" xfId="1" applyNumberFormat="1" applyFont="1" applyFill="1" applyBorder="1" applyAlignment="1">
      <alignment horizontal="center" vertical="center" wrapText="1"/>
    </xf>
    <xf numFmtId="0" fontId="9" fillId="2" borderId="2" xfId="1" applyNumberFormat="1" applyFont="1" applyFill="1" applyBorder="1" applyAlignment="1">
      <alignment horizontal="center" vertical="center" wrapText="1"/>
    </xf>
    <xf numFmtId="0" fontId="9" fillId="2" borderId="8" xfId="1" applyNumberFormat="1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/>
    </xf>
    <xf numFmtId="0" fontId="10" fillId="2" borderId="57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176" fontId="7" fillId="10" borderId="82" xfId="0" applyNumberFormat="1" applyFont="1" applyFill="1" applyBorder="1" applyAlignment="1">
      <alignment horizontal="center" vertical="center" wrapText="1"/>
    </xf>
    <xf numFmtId="176" fontId="7" fillId="10" borderId="95" xfId="0" applyNumberFormat="1" applyFont="1" applyFill="1" applyBorder="1" applyAlignment="1">
      <alignment horizontal="center" vertical="center" wrapText="1"/>
    </xf>
    <xf numFmtId="0" fontId="7" fillId="10" borderId="85" xfId="0" applyFont="1" applyFill="1" applyBorder="1" applyAlignment="1">
      <alignment horizontal="center" vertical="center" wrapText="1"/>
    </xf>
    <xf numFmtId="0" fontId="7" fillId="10" borderId="96" xfId="0" applyFont="1" applyFill="1" applyBorder="1" applyAlignment="1">
      <alignment horizontal="center" vertical="center" wrapText="1"/>
    </xf>
    <xf numFmtId="0" fontId="28" fillId="0" borderId="97" xfId="0" applyFont="1" applyBorder="1" applyAlignment="1">
      <alignment horizontal="center" vertical="center" textRotation="255"/>
    </xf>
    <xf numFmtId="0" fontId="28" fillId="0" borderId="103" xfId="0" applyFont="1" applyBorder="1" applyAlignment="1">
      <alignment horizontal="center" vertical="center" textRotation="255"/>
    </xf>
    <xf numFmtId="0" fontId="28" fillId="0" borderId="133" xfId="0" applyFont="1" applyBorder="1" applyAlignment="1">
      <alignment horizontal="center" vertical="center" textRotation="255"/>
    </xf>
    <xf numFmtId="0" fontId="28" fillId="0" borderId="146" xfId="0" applyFont="1" applyBorder="1" applyAlignment="1">
      <alignment horizontal="center" vertical="center" textRotation="255"/>
    </xf>
    <xf numFmtId="0" fontId="10" fillId="10" borderId="148" xfId="0" applyFont="1" applyFill="1" applyBorder="1" applyAlignment="1">
      <alignment horizontal="center" vertical="center"/>
    </xf>
    <xf numFmtId="0" fontId="10" fillId="10" borderId="149" xfId="0" applyFont="1" applyFill="1" applyBorder="1" applyAlignment="1">
      <alignment horizontal="center" vertical="center"/>
    </xf>
    <xf numFmtId="0" fontId="7" fillId="10" borderId="74" xfId="0" applyFont="1" applyFill="1" applyBorder="1" applyAlignment="1">
      <alignment horizontal="center" vertical="center"/>
    </xf>
    <xf numFmtId="0" fontId="7" fillId="10" borderId="75" xfId="0" applyFont="1" applyFill="1" applyBorder="1" applyAlignment="1">
      <alignment horizontal="center" vertical="center"/>
    </xf>
    <xf numFmtId="0" fontId="7" fillId="10" borderId="86" xfId="0" applyFont="1" applyFill="1" applyBorder="1" applyAlignment="1">
      <alignment horizontal="center" vertical="center"/>
    </xf>
    <xf numFmtId="0" fontId="7" fillId="10" borderId="87" xfId="0" applyFont="1" applyFill="1" applyBorder="1" applyAlignment="1">
      <alignment horizontal="center" vertical="center"/>
    </xf>
    <xf numFmtId="0" fontId="10" fillId="10" borderId="77" xfId="0" applyFont="1" applyFill="1" applyBorder="1" applyAlignment="1">
      <alignment horizontal="center" vertical="center"/>
    </xf>
    <xf numFmtId="0" fontId="10" fillId="10" borderId="78" xfId="0" applyFont="1" applyFill="1" applyBorder="1" applyAlignment="1">
      <alignment horizontal="center" vertical="center"/>
    </xf>
    <xf numFmtId="0" fontId="10" fillId="10" borderId="75" xfId="0" applyFont="1" applyFill="1" applyBorder="1" applyAlignment="1">
      <alignment horizontal="center" vertical="center" wrapText="1"/>
    </xf>
    <xf numFmtId="0" fontId="10" fillId="10" borderId="87" xfId="0" applyFont="1" applyFill="1" applyBorder="1" applyAlignment="1">
      <alignment horizontal="center" vertical="center"/>
    </xf>
    <xf numFmtId="0" fontId="7" fillId="10" borderId="82" xfId="0" applyFont="1" applyFill="1" applyBorder="1" applyAlignment="1">
      <alignment horizontal="center" vertical="center" wrapText="1"/>
    </xf>
    <xf numFmtId="0" fontId="7" fillId="10" borderId="95" xfId="0" applyFont="1" applyFill="1" applyBorder="1" applyAlignment="1">
      <alignment horizontal="center" vertical="center" wrapText="1"/>
    </xf>
  </cellXfs>
  <cellStyles count="4">
    <cellStyle name="백분율" xfId="2" builtinId="5"/>
    <cellStyle name="쉼표 [0]" xfId="1" builtinId="6"/>
    <cellStyle name="표준" xfId="0" builtinId="0"/>
    <cellStyle name="표준_2002년도본부투자승인1차분-편집" xfId="3" xr:uid="{00000000-0005-0000-0000-000003000000}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342900</xdr:colOff>
          <xdr:row>104</xdr:row>
          <xdr:rowOff>200025</xdr:rowOff>
        </xdr:from>
        <xdr:to>
          <xdr:col>11</xdr:col>
          <xdr:colOff>1631576</xdr:colOff>
          <xdr:row>107</xdr:row>
          <xdr:rowOff>256055</xdr:rowOff>
        </xdr:to>
        <xdr:pic>
          <xdr:nvPicPr>
            <xdr:cNvPr id="2" name="Picture 2">
              <a:extLst>
                <a:ext uri="{FF2B5EF4-FFF2-40B4-BE49-F238E27FC236}">
                  <a16:creationId xmlns:a16="http://schemas.microsoft.com/office/drawing/2014/main" id="{00000000-0008-0000-0100-000002E405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108:$V$110" spid="_x0000_s11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13547" y="12470466"/>
              <a:ext cx="7687235" cy="997324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242535</xdr:colOff>
      <xdr:row>1</xdr:row>
      <xdr:rowOff>2836</xdr:rowOff>
    </xdr:from>
    <xdr:to>
      <xdr:col>25</xdr:col>
      <xdr:colOff>130967</xdr:colOff>
      <xdr:row>4</xdr:row>
      <xdr:rowOff>140949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3823935" y="212386"/>
          <a:ext cx="8737157" cy="76676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en-US" altLang="ko-KR" sz="2600" b="1" i="0" strike="noStrike">
              <a:solidFill>
                <a:srgbClr val="000000"/>
              </a:solidFill>
              <a:latin typeface="궁서체"/>
              <a:ea typeface="궁서체"/>
            </a:rPr>
            <a:t>2026</a:t>
          </a:r>
          <a:r>
            <a:rPr lang="ko-KR" altLang="en-US" sz="2600" b="1" i="0" strike="noStrike">
              <a:solidFill>
                <a:srgbClr val="000000"/>
              </a:solidFill>
              <a:latin typeface="궁서체"/>
              <a:ea typeface="궁서체"/>
            </a:rPr>
            <a:t>년도 배관 투자 승인 내역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07&#45380;&#46020;/&#44288;&#47196;&#44277;&#49324;%20&#49324;&#50629;&#44228;&#54925;/2008&#45380;/&#45817;&#52488;&#49324;&#50629;&#44228;&#54925;/01-&#49324;&#50629;&#44228;&#54925;(2008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02-&#48376;&#48512;&#53804;&#51088;&#49849;&#51064;&#54788;&#54889;(&#44288;&#47196;&#47749;&#49464;-&#52572;&#49888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Owner/LOCALS~1/Temp/&#49324;&#50629;&#44228;&#54925;(20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305;&#49453;\work\WINDOWS\TEMP\&#48376;&#48512;&#53804;&#51088;&#49849;&#51064;&#54788;&#54889;(2005&#45380;40&#52264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8376;&#48512;&#53804;&#51088;&#54408;&#51032;&#49436;%202026&#45380;_02&#522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흑표지"/>
      <sheetName val="사업계획요약"/>
      <sheetName val="표지"/>
      <sheetName val="사업개요"/>
      <sheetName val="계획총괄"/>
      <sheetName val="월별계획"/>
      <sheetName val="인상계획"/>
      <sheetName val="공사구간명세"/>
      <sheetName val="할증구간명세"/>
      <sheetName val="신규투자"/>
      <sheetName val="공사구간명세 (당초)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>
        <row r="2">
          <cell r="A2">
            <v>2008</v>
          </cell>
        </row>
      </sheetData>
      <sheetData sheetId="3" refreshError="1"/>
      <sheetData sheetId="4" refreshError="1"/>
      <sheetData sheetId="5" refreshError="1"/>
      <sheetData sheetId="6" refreshError="1">
        <row r="23">
          <cell r="D23">
            <v>9544500</v>
          </cell>
        </row>
        <row r="24">
          <cell r="D24">
            <v>7423500</v>
          </cell>
        </row>
        <row r="26">
          <cell r="D26">
            <v>720700</v>
          </cell>
        </row>
        <row r="27">
          <cell r="D27">
            <v>687300</v>
          </cell>
        </row>
        <row r="31">
          <cell r="D31">
            <v>52000000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A7">
            <v>842500</v>
          </cell>
          <cell r="B7">
            <v>674000</v>
          </cell>
          <cell r="C7">
            <v>555300</v>
          </cell>
          <cell r="D7">
            <v>469500</v>
          </cell>
          <cell r="E7">
            <v>543400</v>
          </cell>
          <cell r="F7">
            <v>617300</v>
          </cell>
          <cell r="G7">
            <v>489000</v>
          </cell>
          <cell r="H7">
            <v>423900</v>
          </cell>
          <cell r="I7">
            <v>352400</v>
          </cell>
          <cell r="J7">
            <v>316300</v>
          </cell>
          <cell r="K7">
            <v>316300</v>
          </cell>
          <cell r="L7">
            <v>316300</v>
          </cell>
          <cell r="M7">
            <v>592600</v>
          </cell>
          <cell r="N7">
            <v>484900</v>
          </cell>
          <cell r="O7">
            <v>404300</v>
          </cell>
          <cell r="P7">
            <v>354200</v>
          </cell>
          <cell r="Q7">
            <v>303200</v>
          </cell>
          <cell r="R7">
            <v>303200</v>
          </cell>
          <cell r="S7">
            <v>303200</v>
          </cell>
          <cell r="T7">
            <v>303200</v>
          </cell>
          <cell r="U7">
            <v>303200</v>
          </cell>
        </row>
      </sheetData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계획"/>
      <sheetName val="기본계획 (2)"/>
      <sheetName val="관로종합명세"/>
      <sheetName val="인입관및시설투자"/>
      <sheetName val="현황"/>
      <sheetName val="현황 (실천사업계획기준)"/>
      <sheetName val="차수별현황"/>
      <sheetName val="공무팀_기본계획"/>
    </sheetNames>
    <sheetDataSet>
      <sheetData sheetId="0" refreshError="1"/>
      <sheetData sheetId="1" refreshError="1"/>
      <sheetData sheetId="2" refreshError="1">
        <row r="5">
          <cell r="H5">
            <v>4272864219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흑표지"/>
      <sheetName val="사업계획요약"/>
      <sheetName val="표지"/>
      <sheetName val="사업개요"/>
      <sheetName val="계획총괄"/>
      <sheetName val="공사구간명세"/>
      <sheetName val="월별계획"/>
      <sheetName val="할증구간명세"/>
      <sheetName val="신규투자"/>
      <sheetName val="인상계획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">
          <cell r="A7">
            <v>909000</v>
          </cell>
          <cell r="B7">
            <v>727200</v>
          </cell>
          <cell r="C7">
            <v>599100</v>
          </cell>
          <cell r="D7">
            <v>506500</v>
          </cell>
          <cell r="E7">
            <v>586300</v>
          </cell>
          <cell r="F7">
            <v>666000</v>
          </cell>
          <cell r="G7">
            <v>527600</v>
          </cell>
          <cell r="H7">
            <v>431100</v>
          </cell>
          <cell r="I7">
            <v>369800</v>
          </cell>
          <cell r="J7">
            <v>341200</v>
          </cell>
          <cell r="K7">
            <v>341200</v>
          </cell>
          <cell r="L7">
            <v>341200</v>
          </cell>
          <cell r="M7">
            <v>608600</v>
          </cell>
          <cell r="N7">
            <v>512400</v>
          </cell>
          <cell r="O7">
            <v>427200</v>
          </cell>
          <cell r="P7">
            <v>377200</v>
          </cell>
          <cell r="Q7">
            <v>325500</v>
          </cell>
          <cell r="R7">
            <v>325500</v>
          </cell>
          <cell r="S7">
            <v>325500</v>
          </cell>
          <cell r="T7">
            <v>325500</v>
          </cell>
          <cell r="U7">
            <v>325500</v>
          </cell>
        </row>
      </sheetData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의서"/>
      <sheetName val="신규투자계획서"/>
      <sheetName val="공사요약"/>
      <sheetName val="선정검토서"/>
      <sheetName val="현황"/>
      <sheetName val="기본계획"/>
      <sheetName val="종합명세"/>
      <sheetName val="16차이후"/>
      <sheetName val="1-15차"/>
      <sheetName val="현황-1"/>
    </sheetNames>
    <sheetDataSet>
      <sheetData sheetId="0">
        <row r="27">
          <cell r="E27">
            <v>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이월분"/>
      <sheetName val="취소분"/>
      <sheetName val="요약보고"/>
      <sheetName val="투자현황"/>
      <sheetName val="신규투자계획서"/>
      <sheetName val="품의서"/>
      <sheetName val="용도별분석"/>
      <sheetName val="총괄경제"/>
      <sheetName val="구간요약"/>
      <sheetName val="기본데이타"/>
      <sheetName val="공공택지"/>
      <sheetName val="공동주택"/>
      <sheetName val="산업용"/>
      <sheetName val="업무용"/>
      <sheetName val="연료전지"/>
      <sheetName val="열병합"/>
      <sheetName val="열전용설비"/>
      <sheetName val="영업용"/>
      <sheetName val="주택용"/>
      <sheetName val="투자보수율가산"/>
      <sheetName val="투자재원"/>
      <sheetName val="Sheet2"/>
      <sheetName val="카메라"/>
      <sheetName val="Sheet1"/>
      <sheetName val="투자한도 및 누계변경시 작성"/>
    </sheetNames>
    <sheetDataSet>
      <sheetData sheetId="0"/>
      <sheetData sheetId="1"/>
      <sheetData sheetId="2"/>
      <sheetData sheetId="3"/>
      <sheetData sheetId="4"/>
      <sheetData sheetId="5">
        <row r="25">
          <cell r="E25">
            <v>2</v>
          </cell>
        </row>
      </sheetData>
      <sheetData sheetId="6">
        <row r="9">
          <cell r="E9">
            <v>0</v>
          </cell>
          <cell r="H9">
            <v>0</v>
          </cell>
          <cell r="AH9">
            <v>0</v>
          </cell>
        </row>
        <row r="11">
          <cell r="E11">
            <v>142</v>
          </cell>
          <cell r="H11">
            <v>132410000</v>
          </cell>
          <cell r="AH11">
            <v>278</v>
          </cell>
        </row>
        <row r="14">
          <cell r="E14">
            <v>0</v>
          </cell>
          <cell r="H14">
            <v>0</v>
          </cell>
          <cell r="AH14">
            <v>0</v>
          </cell>
        </row>
        <row r="17">
          <cell r="E17">
            <v>141</v>
          </cell>
          <cell r="H17">
            <v>90497000</v>
          </cell>
          <cell r="AH17">
            <v>5</v>
          </cell>
        </row>
        <row r="20">
          <cell r="E20">
            <v>0</v>
          </cell>
          <cell r="H20">
            <v>0</v>
          </cell>
          <cell r="AH20">
            <v>0</v>
          </cell>
        </row>
        <row r="29">
          <cell r="E29">
            <v>0</v>
          </cell>
          <cell r="H29">
            <v>0</v>
          </cell>
          <cell r="AH29">
            <v>0</v>
          </cell>
        </row>
        <row r="32">
          <cell r="E32">
            <v>0</v>
          </cell>
          <cell r="H32">
            <v>0</v>
          </cell>
          <cell r="AH3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O19"/>
  <sheetViews>
    <sheetView zoomScale="85" workbookViewId="0">
      <selection activeCell="J9" sqref="J9"/>
    </sheetView>
  </sheetViews>
  <sheetFormatPr defaultRowHeight="30" customHeight="1" x14ac:dyDescent="0.15"/>
  <cols>
    <col min="1" max="1" width="8.88671875" style="6"/>
    <col min="2" max="2" width="12.88671875" style="6" customWidth="1"/>
    <col min="3" max="3" width="15.77734375" style="6" customWidth="1"/>
    <col min="4" max="4" width="23.21875" style="6" customWidth="1"/>
    <col min="5" max="5" width="10.77734375" style="92" customWidth="1"/>
    <col min="6" max="6" width="15.77734375" style="93" customWidth="1"/>
    <col min="7" max="7" width="8.5546875" style="92" hidden="1" customWidth="1"/>
    <col min="8" max="8" width="14.33203125" style="93" hidden="1" customWidth="1"/>
    <col min="9" max="9" width="10.77734375" style="92" customWidth="1"/>
    <col min="10" max="10" width="15.77734375" style="93" customWidth="1"/>
    <col min="11" max="11" width="10.77734375" style="92" customWidth="1"/>
    <col min="12" max="12" width="15.77734375" style="93" customWidth="1"/>
    <col min="13" max="13" width="23.77734375" style="6" customWidth="1"/>
    <col min="14" max="14" width="8.88671875" style="6"/>
    <col min="15" max="15" width="9.33203125" style="6" bestFit="1" customWidth="1"/>
    <col min="16" max="16" width="10.21875" style="6" bestFit="1" customWidth="1"/>
    <col min="17" max="16384" width="8.88671875" style="6"/>
  </cols>
  <sheetData>
    <row r="1" spans="1:15" s="1" customFormat="1" ht="55.5" customHeight="1" x14ac:dyDescent="0.15">
      <c r="B1" s="2" t="s">
        <v>0</v>
      </c>
      <c r="C1" s="3"/>
      <c r="D1" s="3"/>
      <c r="E1" s="3"/>
      <c r="F1" s="4"/>
      <c r="G1" s="3"/>
      <c r="H1" s="4"/>
      <c r="I1" s="3"/>
      <c r="J1" s="4"/>
      <c r="K1" s="3"/>
      <c r="L1" s="4"/>
      <c r="M1" s="5"/>
    </row>
    <row r="2" spans="1:15" ht="8.25" customHeight="1" x14ac:dyDescent="0.15">
      <c r="B2" s="7"/>
      <c r="C2" s="8"/>
      <c r="D2" s="8"/>
      <c r="E2" s="9"/>
      <c r="F2" s="10"/>
      <c r="G2" s="9"/>
      <c r="H2" s="10"/>
      <c r="I2" s="9"/>
      <c r="J2" s="10"/>
      <c r="K2" s="9"/>
      <c r="L2" s="10"/>
    </row>
    <row r="3" spans="1:15" ht="30" customHeight="1" x14ac:dyDescent="0.15">
      <c r="A3" s="574" t="s">
        <v>1</v>
      </c>
      <c r="B3" s="575" t="s">
        <v>2</v>
      </c>
      <c r="C3" s="577" t="s">
        <v>3</v>
      </c>
      <c r="D3" s="579" t="s">
        <v>4</v>
      </c>
      <c r="E3" s="11" t="s">
        <v>5</v>
      </c>
      <c r="F3" s="12"/>
      <c r="G3" s="13" t="s">
        <v>6</v>
      </c>
      <c r="H3" s="14"/>
      <c r="I3" s="11" t="s">
        <v>7</v>
      </c>
      <c r="J3" s="12"/>
      <c r="K3" s="11" t="s">
        <v>8</v>
      </c>
      <c r="L3" s="12"/>
      <c r="M3" s="567" t="s">
        <v>9</v>
      </c>
    </row>
    <row r="4" spans="1:15" ht="30" customHeight="1" x14ac:dyDescent="0.15">
      <c r="A4" s="574"/>
      <c r="B4" s="576"/>
      <c r="C4" s="578"/>
      <c r="D4" s="580"/>
      <c r="E4" s="15" t="s">
        <v>10</v>
      </c>
      <c r="F4" s="16" t="s">
        <v>11</v>
      </c>
      <c r="G4" s="17" t="s">
        <v>10</v>
      </c>
      <c r="H4" s="18" t="s">
        <v>11</v>
      </c>
      <c r="I4" s="15" t="s">
        <v>10</v>
      </c>
      <c r="J4" s="16" t="s">
        <v>11</v>
      </c>
      <c r="K4" s="15" t="s">
        <v>10</v>
      </c>
      <c r="L4" s="16" t="s">
        <v>11</v>
      </c>
      <c r="M4" s="568"/>
    </row>
    <row r="5" spans="1:15" ht="39.950000000000003" customHeight="1" x14ac:dyDescent="0.15">
      <c r="A5" s="569" t="s">
        <v>12</v>
      </c>
      <c r="B5" s="19"/>
      <c r="C5" s="20"/>
      <c r="D5" s="21"/>
      <c r="E5" s="22"/>
      <c r="F5" s="23"/>
      <c r="G5" s="24"/>
      <c r="H5" s="25"/>
      <c r="I5" s="22">
        <f t="shared" ref="I5:J7" si="0">E5-K5</f>
        <v>0</v>
      </c>
      <c r="J5" s="23">
        <f t="shared" si="0"/>
        <v>0</v>
      </c>
      <c r="K5" s="22"/>
      <c r="L5" s="26"/>
      <c r="M5" s="27"/>
    </row>
    <row r="6" spans="1:15" ht="39.950000000000003" customHeight="1" x14ac:dyDescent="0.15">
      <c r="A6" s="569"/>
      <c r="B6" s="28"/>
      <c r="C6" s="29"/>
      <c r="D6" s="30"/>
      <c r="E6" s="31"/>
      <c r="F6" s="32"/>
      <c r="G6" s="33"/>
      <c r="H6" s="34"/>
      <c r="I6" s="31">
        <f t="shared" si="0"/>
        <v>0</v>
      </c>
      <c r="J6" s="32">
        <f t="shared" si="0"/>
        <v>0</v>
      </c>
      <c r="K6" s="31"/>
      <c r="L6" s="32"/>
      <c r="M6" s="35"/>
    </row>
    <row r="7" spans="1:15" ht="39.950000000000003" customHeight="1" x14ac:dyDescent="0.15">
      <c r="A7" s="569"/>
      <c r="B7" s="28"/>
      <c r="C7" s="29"/>
      <c r="D7" s="30"/>
      <c r="E7" s="31"/>
      <c r="F7" s="32"/>
      <c r="G7" s="33"/>
      <c r="H7" s="34"/>
      <c r="I7" s="31">
        <f t="shared" si="0"/>
        <v>0</v>
      </c>
      <c r="J7" s="32">
        <f t="shared" si="0"/>
        <v>0</v>
      </c>
      <c r="K7" s="31"/>
      <c r="L7" s="32"/>
      <c r="M7" s="35"/>
    </row>
    <row r="8" spans="1:15" ht="39.950000000000003" customHeight="1" x14ac:dyDescent="0.15">
      <c r="A8" s="569"/>
      <c r="B8" s="28"/>
      <c r="C8" s="36"/>
      <c r="D8" s="37"/>
      <c r="E8" s="31"/>
      <c r="F8" s="32"/>
      <c r="G8" s="33"/>
      <c r="H8" s="34"/>
      <c r="I8" s="31"/>
      <c r="J8" s="32"/>
      <c r="K8" s="31"/>
      <c r="L8" s="32"/>
      <c r="M8" s="38"/>
    </row>
    <row r="9" spans="1:15" ht="39.950000000000003" customHeight="1" x14ac:dyDescent="0.15">
      <c r="A9" s="569"/>
      <c r="B9" s="39"/>
      <c r="C9" s="40"/>
      <c r="D9" s="41"/>
      <c r="E9" s="42"/>
      <c r="F9" s="43"/>
      <c r="G9" s="44"/>
      <c r="H9" s="45"/>
      <c r="I9" s="42"/>
      <c r="J9" s="43"/>
      <c r="K9" s="42"/>
      <c r="L9" s="43"/>
      <c r="M9" s="46"/>
    </row>
    <row r="10" spans="1:15" ht="39.950000000000003" customHeight="1" x14ac:dyDescent="0.15">
      <c r="A10" s="569"/>
      <c r="B10" s="570" t="s">
        <v>13</v>
      </c>
      <c r="C10" s="571"/>
      <c r="D10" s="47"/>
      <c r="E10" s="48">
        <f>SUM(E5:E9)</f>
        <v>0</v>
      </c>
      <c r="F10" s="49">
        <f t="shared" ref="F10:L10" si="1">SUM(F5:F9)</f>
        <v>0</v>
      </c>
      <c r="G10" s="50">
        <f t="shared" si="1"/>
        <v>0</v>
      </c>
      <c r="H10" s="51">
        <f t="shared" si="1"/>
        <v>0</v>
      </c>
      <c r="I10" s="48">
        <f t="shared" si="1"/>
        <v>0</v>
      </c>
      <c r="J10" s="49">
        <f t="shared" si="1"/>
        <v>0</v>
      </c>
      <c r="K10" s="48">
        <f t="shared" si="1"/>
        <v>0</v>
      </c>
      <c r="L10" s="49">
        <f t="shared" si="1"/>
        <v>0</v>
      </c>
      <c r="M10" s="52"/>
    </row>
    <row r="11" spans="1:15" ht="39.950000000000003" customHeight="1" x14ac:dyDescent="0.15">
      <c r="A11" s="569" t="s">
        <v>14</v>
      </c>
      <c r="B11" s="53"/>
      <c r="C11" s="53"/>
      <c r="D11" s="54"/>
      <c r="E11" s="55"/>
      <c r="F11" s="32"/>
      <c r="G11" s="56"/>
      <c r="H11" s="57"/>
      <c r="I11" s="58">
        <f t="shared" ref="I11:J11" si="2">E11-K11</f>
        <v>0</v>
      </c>
      <c r="J11" s="32">
        <f t="shared" si="2"/>
        <v>0</v>
      </c>
      <c r="K11" s="59"/>
      <c r="L11" s="60"/>
      <c r="M11" s="27"/>
    </row>
    <row r="12" spans="1:15" ht="39.950000000000003" customHeight="1" x14ac:dyDescent="0.15">
      <c r="A12" s="569"/>
      <c r="B12" s="40"/>
      <c r="C12" s="40"/>
      <c r="D12" s="61"/>
      <c r="E12" s="62"/>
      <c r="F12" s="43"/>
      <c r="G12" s="44"/>
      <c r="H12" s="63"/>
      <c r="I12" s="64"/>
      <c r="J12" s="43"/>
      <c r="K12" s="59"/>
      <c r="L12" s="43"/>
      <c r="M12" s="46"/>
      <c r="O12" s="6" t="s">
        <v>15</v>
      </c>
    </row>
    <row r="13" spans="1:15" ht="39.950000000000003" customHeight="1" x14ac:dyDescent="0.15">
      <c r="A13" s="569"/>
      <c r="B13" s="65"/>
      <c r="C13" s="65"/>
      <c r="D13" s="66"/>
      <c r="E13" s="67"/>
      <c r="F13" s="68"/>
      <c r="G13" s="69"/>
      <c r="H13" s="70"/>
      <c r="I13" s="67"/>
      <c r="J13" s="68"/>
      <c r="K13" s="71"/>
      <c r="L13" s="68"/>
      <c r="M13" s="38"/>
      <c r="O13" s="6" t="s">
        <v>15</v>
      </c>
    </row>
    <row r="14" spans="1:15" ht="39.950000000000003" customHeight="1" x14ac:dyDescent="0.15">
      <c r="A14" s="569"/>
      <c r="B14" s="65"/>
      <c r="C14" s="65"/>
      <c r="D14" s="66"/>
      <c r="E14" s="67"/>
      <c r="F14" s="68"/>
      <c r="G14" s="69"/>
      <c r="H14" s="70"/>
      <c r="I14" s="67"/>
      <c r="J14" s="68"/>
      <c r="K14" s="67"/>
      <c r="L14" s="68"/>
      <c r="M14" s="38"/>
      <c r="O14" s="6" t="s">
        <v>15</v>
      </c>
    </row>
    <row r="15" spans="1:15" ht="39.950000000000003" customHeight="1" x14ac:dyDescent="0.15">
      <c r="A15" s="569"/>
      <c r="B15" s="72"/>
      <c r="C15" s="73"/>
      <c r="D15" s="74"/>
      <c r="E15" s="75"/>
      <c r="F15" s="76"/>
      <c r="G15" s="77"/>
      <c r="H15" s="78"/>
      <c r="I15" s="75"/>
      <c r="J15" s="76"/>
      <c r="K15" s="75"/>
      <c r="L15" s="76"/>
      <c r="M15" s="79"/>
      <c r="O15" s="6" t="s">
        <v>15</v>
      </c>
    </row>
    <row r="16" spans="1:15" ht="39.950000000000003" customHeight="1" x14ac:dyDescent="0.15">
      <c r="A16" s="569"/>
      <c r="B16" s="570" t="s">
        <v>13</v>
      </c>
      <c r="C16" s="571"/>
      <c r="D16" s="47"/>
      <c r="E16" s="48">
        <f>SUM(E11:E15)</f>
        <v>0</v>
      </c>
      <c r="F16" s="49">
        <f t="shared" ref="F16:L16" si="3">SUM(F11:F15)</f>
        <v>0</v>
      </c>
      <c r="G16" s="50">
        <f t="shared" si="3"/>
        <v>0</v>
      </c>
      <c r="H16" s="51">
        <f t="shared" si="3"/>
        <v>0</v>
      </c>
      <c r="I16" s="48">
        <f t="shared" si="3"/>
        <v>0</v>
      </c>
      <c r="J16" s="49">
        <f t="shared" si="3"/>
        <v>0</v>
      </c>
      <c r="K16" s="48">
        <f t="shared" si="3"/>
        <v>0</v>
      </c>
      <c r="L16" s="49">
        <f t="shared" si="3"/>
        <v>0</v>
      </c>
      <c r="M16" s="52"/>
      <c r="O16" s="6" t="s">
        <v>15</v>
      </c>
    </row>
    <row r="17" spans="1:15" ht="39.950000000000003" customHeight="1" x14ac:dyDescent="0.15">
      <c r="A17" s="80"/>
      <c r="B17" s="572" t="s">
        <v>16</v>
      </c>
      <c r="C17" s="573"/>
      <c r="D17" s="81"/>
      <c r="E17" s="82">
        <f>SUM(E10,E16)</f>
        <v>0</v>
      </c>
      <c r="F17" s="83">
        <f t="shared" ref="F17:L17" si="4">SUM(F10,F16)</f>
        <v>0</v>
      </c>
      <c r="G17" s="84">
        <f t="shared" si="4"/>
        <v>0</v>
      </c>
      <c r="H17" s="85">
        <f t="shared" si="4"/>
        <v>0</v>
      </c>
      <c r="I17" s="82">
        <f t="shared" si="4"/>
        <v>0</v>
      </c>
      <c r="J17" s="83">
        <f t="shared" si="4"/>
        <v>0</v>
      </c>
      <c r="K17" s="82">
        <f t="shared" si="4"/>
        <v>0</v>
      </c>
      <c r="L17" s="83">
        <f t="shared" si="4"/>
        <v>0</v>
      </c>
      <c r="M17" s="86"/>
      <c r="O17" s="6" t="s">
        <v>15</v>
      </c>
    </row>
    <row r="18" spans="1:15" ht="39.950000000000003" customHeight="1" x14ac:dyDescent="0.15">
      <c r="B18" s="87"/>
      <c r="C18" s="87"/>
      <c r="D18" s="88"/>
      <c r="E18" s="89"/>
      <c r="F18" s="90"/>
      <c r="G18" s="89"/>
      <c r="H18" s="90"/>
      <c r="I18" s="89"/>
      <c r="J18" s="90"/>
      <c r="K18" s="89"/>
      <c r="L18" s="90"/>
      <c r="M18" s="91"/>
    </row>
    <row r="19" spans="1:15" ht="39.950000000000003" customHeight="1" x14ac:dyDescent="0.15">
      <c r="B19" s="87"/>
      <c r="C19" s="87"/>
      <c r="D19" s="88"/>
      <c r="E19" s="89"/>
      <c r="F19" s="90"/>
      <c r="G19" s="89"/>
      <c r="H19" s="90"/>
      <c r="I19" s="89"/>
      <c r="J19" s="90"/>
      <c r="K19" s="89"/>
      <c r="L19" s="90"/>
      <c r="M19" s="91"/>
    </row>
  </sheetData>
  <mergeCells count="10">
    <mergeCell ref="B17:C17"/>
    <mergeCell ref="A3:A4"/>
    <mergeCell ref="B3:B4"/>
    <mergeCell ref="C3:C4"/>
    <mergeCell ref="D3:D4"/>
    <mergeCell ref="M3:M4"/>
    <mergeCell ref="A5:A10"/>
    <mergeCell ref="B10:C10"/>
    <mergeCell ref="A11:A16"/>
    <mergeCell ref="B16:C16"/>
  </mergeCells>
  <phoneticPr fontId="3" type="noConversion"/>
  <printOptions horizontalCentered="1"/>
  <pageMargins left="0.11811023622047245" right="0.11811023622047245" top="0.51181102362204722" bottom="0.23622047244094491" header="0.35433070866141736" footer="0.31496062992125984"/>
  <pageSetup paperSize="9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113"/>
  <sheetViews>
    <sheetView zoomScale="85" zoomScaleNormal="85" workbookViewId="0">
      <selection activeCell="Q6" sqref="Q6"/>
    </sheetView>
  </sheetViews>
  <sheetFormatPr defaultRowHeight="24.95" customHeight="1" x14ac:dyDescent="0.15"/>
  <cols>
    <col min="1" max="1" width="5.44140625" style="6" customWidth="1"/>
    <col min="2" max="2" width="7.88671875" style="6" customWidth="1"/>
    <col min="3" max="3" width="7.109375" style="6" customWidth="1"/>
    <col min="4" max="4" width="13.6640625" style="6" hidden="1" customWidth="1"/>
    <col min="5" max="5" width="22.21875" style="6" bestFit="1" customWidth="1"/>
    <col min="6" max="6" width="8.88671875" style="92" bestFit="1" customWidth="1"/>
    <col min="7" max="7" width="14.33203125" style="93" customWidth="1"/>
    <col min="8" max="8" width="12.77734375" style="179" hidden="1" customWidth="1"/>
    <col min="9" max="9" width="12.21875" style="179" hidden="1" customWidth="1"/>
    <col min="10" max="10" width="12.77734375" style="179" hidden="1" customWidth="1"/>
    <col min="11" max="11" width="14.21875" style="179" customWidth="1"/>
    <col min="12" max="12" width="32.44140625" style="179" bestFit="1" customWidth="1"/>
    <col min="13" max="13" width="10.6640625" style="6" hidden="1" customWidth="1"/>
    <col min="14" max="14" width="8.88671875" style="6"/>
    <col min="15" max="15" width="9.88671875" style="6" bestFit="1" customWidth="1"/>
    <col min="16" max="16" width="12.77734375" style="6" bestFit="1" customWidth="1"/>
    <col min="17" max="17" width="12.21875" style="6" bestFit="1" customWidth="1"/>
    <col min="18" max="18" width="16.5546875" style="6" bestFit="1" customWidth="1"/>
    <col min="19" max="19" width="15.21875" style="6" bestFit="1" customWidth="1"/>
    <col min="20" max="20" width="15.33203125" style="6" customWidth="1"/>
    <col min="21" max="21" width="16.5546875" style="6" bestFit="1" customWidth="1"/>
    <col min="22" max="22" width="13.6640625" style="6" bestFit="1" customWidth="1"/>
    <col min="23" max="16384" width="8.88671875" style="6"/>
  </cols>
  <sheetData>
    <row r="1" spans="1:19" s="1" customFormat="1" ht="34.5" customHeight="1" x14ac:dyDescent="0.15">
      <c r="B1" s="94" t="s">
        <v>17</v>
      </c>
      <c r="C1" s="3"/>
      <c r="D1" s="3"/>
      <c r="E1" s="3"/>
      <c r="F1" s="3"/>
      <c r="G1" s="4"/>
      <c r="H1" s="3"/>
      <c r="I1" s="3"/>
      <c r="J1" s="3"/>
      <c r="K1" s="3"/>
      <c r="L1" s="3"/>
    </row>
    <row r="2" spans="1:19" ht="12.75" customHeight="1" x14ac:dyDescent="0.15">
      <c r="B2" s="7"/>
      <c r="C2" s="8"/>
      <c r="D2" s="8"/>
      <c r="E2" s="8"/>
      <c r="F2" s="9"/>
      <c r="G2" s="10"/>
      <c r="H2" s="95"/>
      <c r="I2" s="95"/>
      <c r="J2" s="95"/>
      <c r="K2" s="95"/>
      <c r="L2" s="95"/>
    </row>
    <row r="3" spans="1:19" s="98" customFormat="1" ht="15" customHeight="1" x14ac:dyDescent="0.15">
      <c r="A3" s="581" t="s">
        <v>18</v>
      </c>
      <c r="B3" s="590" t="s">
        <v>2</v>
      </c>
      <c r="C3" s="581" t="s">
        <v>19</v>
      </c>
      <c r="D3" s="581" t="s">
        <v>20</v>
      </c>
      <c r="E3" s="581" t="s">
        <v>21</v>
      </c>
      <c r="F3" s="583" t="s">
        <v>22</v>
      </c>
      <c r="G3" s="594" t="s">
        <v>23</v>
      </c>
      <c r="H3" s="96" t="s">
        <v>24</v>
      </c>
      <c r="I3" s="97"/>
      <c r="J3" s="97"/>
      <c r="K3" s="596" t="s">
        <v>25</v>
      </c>
      <c r="L3" s="598" t="s">
        <v>26</v>
      </c>
      <c r="M3" s="600" t="s">
        <v>9</v>
      </c>
    </row>
    <row r="4" spans="1:19" s="98" customFormat="1" ht="15" customHeight="1" x14ac:dyDescent="0.15">
      <c r="A4" s="582"/>
      <c r="B4" s="591"/>
      <c r="C4" s="582"/>
      <c r="D4" s="582"/>
      <c r="E4" s="582"/>
      <c r="F4" s="584"/>
      <c r="G4" s="595"/>
      <c r="H4" s="99" t="s">
        <v>27</v>
      </c>
      <c r="I4" s="100" t="s">
        <v>28</v>
      </c>
      <c r="J4" s="101" t="s">
        <v>29</v>
      </c>
      <c r="K4" s="597"/>
      <c r="L4" s="599"/>
      <c r="M4" s="601"/>
    </row>
    <row r="5" spans="1:19" s="98" customFormat="1" ht="21" customHeight="1" x14ac:dyDescent="0.15">
      <c r="A5" s="585" t="s">
        <v>30</v>
      </c>
      <c r="B5" s="102"/>
      <c r="C5" s="103"/>
      <c r="D5" s="103"/>
      <c r="E5" s="104"/>
      <c r="F5" s="105"/>
      <c r="G5" s="106"/>
      <c r="H5" s="107"/>
      <c r="I5" s="108"/>
      <c r="J5" s="109"/>
      <c r="K5" s="110"/>
      <c r="L5" s="111"/>
      <c r="M5" s="112"/>
      <c r="O5" s="98" t="s">
        <v>31</v>
      </c>
      <c r="P5" s="113">
        <f>F5+F19+F20+F25+F27+F28+F30</f>
        <v>0</v>
      </c>
      <c r="Q5" s="113">
        <f>G5+G19+G20+G25+G27+G28+G30</f>
        <v>0</v>
      </c>
      <c r="R5" s="114">
        <f>Q5+G88</f>
        <v>0</v>
      </c>
      <c r="S5" s="114"/>
    </row>
    <row r="6" spans="1:19" s="98" customFormat="1" ht="21" customHeight="1" x14ac:dyDescent="0.15">
      <c r="A6" s="586"/>
      <c r="B6" s="102"/>
      <c r="C6" s="103"/>
      <c r="D6" s="103"/>
      <c r="E6" s="104"/>
      <c r="F6" s="105"/>
      <c r="G6" s="106"/>
      <c r="H6" s="107"/>
      <c r="I6" s="108"/>
      <c r="J6" s="109"/>
      <c r="K6" s="110"/>
      <c r="L6" s="111"/>
      <c r="M6" s="112"/>
    </row>
    <row r="7" spans="1:19" s="98" customFormat="1" ht="21" customHeight="1" x14ac:dyDescent="0.15">
      <c r="A7" s="586"/>
      <c r="B7" s="102"/>
      <c r="C7" s="103"/>
      <c r="D7" s="103"/>
      <c r="E7" s="104"/>
      <c r="F7" s="105"/>
      <c r="G7" s="106"/>
      <c r="H7" s="107"/>
      <c r="I7" s="108"/>
      <c r="J7" s="109"/>
      <c r="K7" s="110"/>
      <c r="L7" s="111"/>
      <c r="M7" s="112"/>
    </row>
    <row r="8" spans="1:19" s="98" customFormat="1" ht="21" customHeight="1" x14ac:dyDescent="0.15">
      <c r="A8" s="586"/>
      <c r="B8" s="102"/>
      <c r="C8" s="115"/>
      <c r="D8" s="116"/>
      <c r="E8" s="104"/>
      <c r="F8" s="117"/>
      <c r="G8" s="118"/>
      <c r="H8" s="119"/>
      <c r="I8" s="120"/>
      <c r="J8" s="121"/>
      <c r="K8" s="110"/>
      <c r="L8" s="111"/>
      <c r="M8" s="112"/>
    </row>
    <row r="9" spans="1:19" s="98" customFormat="1" ht="21" customHeight="1" x14ac:dyDescent="0.15">
      <c r="A9" s="586"/>
      <c r="B9" s="102"/>
      <c r="C9" s="122"/>
      <c r="D9" s="123"/>
      <c r="E9" s="104"/>
      <c r="F9" s="124"/>
      <c r="G9" s="125"/>
      <c r="H9" s="126"/>
      <c r="I9" s="127"/>
      <c r="J9" s="128"/>
      <c r="K9" s="129"/>
      <c r="L9" s="111"/>
      <c r="M9" s="130"/>
    </row>
    <row r="10" spans="1:19" s="98" customFormat="1" ht="21" customHeight="1" x14ac:dyDescent="0.15">
      <c r="A10" s="586"/>
      <c r="B10" s="102"/>
      <c r="C10" s="115"/>
      <c r="D10" s="103"/>
      <c r="E10" s="104"/>
      <c r="F10" s="105"/>
      <c r="G10" s="106"/>
      <c r="H10" s="107"/>
      <c r="I10" s="108"/>
      <c r="J10" s="109"/>
      <c r="K10" s="131"/>
      <c r="L10" s="111"/>
      <c r="M10" s="132"/>
    </row>
    <row r="11" spans="1:19" s="98" customFormat="1" ht="21" customHeight="1" x14ac:dyDescent="0.15">
      <c r="A11" s="586"/>
      <c r="B11" s="102"/>
      <c r="C11" s="115"/>
      <c r="D11" s="103"/>
      <c r="E11" s="104"/>
      <c r="F11" s="105"/>
      <c r="G11" s="106"/>
      <c r="H11" s="107"/>
      <c r="I11" s="108"/>
      <c r="J11" s="109"/>
      <c r="K11" s="131"/>
      <c r="L11" s="111"/>
      <c r="M11" s="132"/>
    </row>
    <row r="12" spans="1:19" s="98" customFormat="1" ht="21" customHeight="1" x14ac:dyDescent="0.15">
      <c r="A12" s="586"/>
      <c r="B12" s="102"/>
      <c r="C12" s="103"/>
      <c r="D12" s="103"/>
      <c r="E12" s="104"/>
      <c r="F12" s="105"/>
      <c r="G12" s="106"/>
      <c r="H12" s="107"/>
      <c r="I12" s="108"/>
      <c r="J12" s="109"/>
      <c r="K12" s="131"/>
      <c r="L12" s="111"/>
      <c r="M12" s="132"/>
    </row>
    <row r="13" spans="1:19" s="98" customFormat="1" ht="21" customHeight="1" x14ac:dyDescent="0.15">
      <c r="A13" s="586"/>
      <c r="B13" s="102"/>
      <c r="C13" s="103"/>
      <c r="D13" s="103"/>
      <c r="E13" s="104"/>
      <c r="F13" s="105"/>
      <c r="G13" s="106"/>
      <c r="H13" s="107"/>
      <c r="I13" s="108"/>
      <c r="J13" s="109"/>
      <c r="K13" s="131"/>
      <c r="L13" s="111"/>
      <c r="M13" s="130"/>
    </row>
    <row r="14" spans="1:19" s="98" customFormat="1" ht="21" customHeight="1" x14ac:dyDescent="0.15">
      <c r="A14" s="586"/>
      <c r="B14" s="102"/>
      <c r="C14" s="133"/>
      <c r="D14" s="103"/>
      <c r="E14" s="104"/>
      <c r="F14" s="105"/>
      <c r="G14" s="106"/>
      <c r="H14" s="107"/>
      <c r="I14" s="108"/>
      <c r="J14" s="109"/>
      <c r="K14" s="131"/>
      <c r="L14" s="111"/>
      <c r="M14" s="130"/>
    </row>
    <row r="15" spans="1:19" s="98" customFormat="1" ht="21" customHeight="1" x14ac:dyDescent="0.15">
      <c r="A15" s="586"/>
      <c r="B15" s="102"/>
      <c r="C15" s="133"/>
      <c r="D15" s="103"/>
      <c r="E15" s="104"/>
      <c r="F15" s="105"/>
      <c r="G15" s="134"/>
      <c r="H15" s="107"/>
      <c r="I15" s="108"/>
      <c r="J15" s="109"/>
      <c r="K15" s="110"/>
      <c r="L15" s="111"/>
      <c r="M15" s="130"/>
    </row>
    <row r="16" spans="1:19" s="98" customFormat="1" ht="21" customHeight="1" x14ac:dyDescent="0.15">
      <c r="A16" s="586"/>
      <c r="B16" s="102"/>
      <c r="C16" s="133"/>
      <c r="D16" s="103"/>
      <c r="E16" s="104"/>
      <c r="F16" s="105"/>
      <c r="G16" s="134"/>
      <c r="H16" s="107"/>
      <c r="I16" s="108"/>
      <c r="J16" s="109"/>
      <c r="K16" s="110"/>
      <c r="L16" s="111"/>
      <c r="M16" s="130"/>
    </row>
    <row r="17" spans="1:19" s="98" customFormat="1" ht="21" customHeight="1" x14ac:dyDescent="0.15">
      <c r="A17" s="586"/>
      <c r="B17" s="102"/>
      <c r="C17" s="133"/>
      <c r="D17" s="103"/>
      <c r="E17" s="104"/>
      <c r="F17" s="105"/>
      <c r="G17" s="134"/>
      <c r="H17" s="107"/>
      <c r="I17" s="108"/>
      <c r="J17" s="109"/>
      <c r="K17" s="110"/>
      <c r="L17" s="111"/>
      <c r="M17" s="130"/>
      <c r="O17" s="98" t="s">
        <v>32</v>
      </c>
      <c r="P17" s="113">
        <f>F17</f>
        <v>0</v>
      </c>
      <c r="Q17" s="113">
        <f>G17</f>
        <v>0</v>
      </c>
      <c r="R17" s="114">
        <f>Q17+G86</f>
        <v>0</v>
      </c>
      <c r="S17" s="114"/>
    </row>
    <row r="18" spans="1:19" s="98" customFormat="1" ht="21" customHeight="1" x14ac:dyDescent="0.15">
      <c r="A18" s="586"/>
      <c r="B18" s="102"/>
      <c r="C18" s="133"/>
      <c r="D18" s="103"/>
      <c r="E18" s="104"/>
      <c r="F18" s="105"/>
      <c r="G18" s="134"/>
      <c r="H18" s="107"/>
      <c r="I18" s="108"/>
      <c r="J18" s="109"/>
      <c r="K18" s="110"/>
      <c r="L18" s="111"/>
      <c r="M18" s="130"/>
      <c r="O18" s="98" t="s">
        <v>33</v>
      </c>
      <c r="P18" s="113">
        <f>F29</f>
        <v>0</v>
      </c>
      <c r="Q18" s="113">
        <f>G29</f>
        <v>0</v>
      </c>
      <c r="R18" s="114">
        <f>Q18+G84</f>
        <v>0</v>
      </c>
      <c r="S18" s="114"/>
    </row>
    <row r="19" spans="1:19" s="98" customFormat="1" ht="21" customHeight="1" x14ac:dyDescent="0.15">
      <c r="A19" s="586"/>
      <c r="B19" s="102"/>
      <c r="C19" s="133"/>
      <c r="D19" s="103"/>
      <c r="E19" s="104"/>
      <c r="F19" s="105"/>
      <c r="G19" s="134"/>
      <c r="H19" s="107"/>
      <c r="I19" s="108"/>
      <c r="J19" s="109"/>
      <c r="K19" s="110"/>
      <c r="L19" s="111"/>
      <c r="M19" s="130"/>
      <c r="O19" s="98" t="s">
        <v>34</v>
      </c>
      <c r="P19" s="113">
        <f>F21+F22+F23+F24+F26</f>
        <v>0</v>
      </c>
      <c r="Q19" s="113">
        <f>G21+G22+G23+G24+G26</f>
        <v>0</v>
      </c>
      <c r="R19" s="114">
        <f>Q19+G89</f>
        <v>0</v>
      </c>
      <c r="S19" s="114"/>
    </row>
    <row r="20" spans="1:19" s="98" customFormat="1" ht="21" customHeight="1" x14ac:dyDescent="0.15">
      <c r="A20" s="586"/>
      <c r="B20" s="102"/>
      <c r="C20" s="133"/>
      <c r="D20" s="103"/>
      <c r="E20" s="104"/>
      <c r="F20" s="105"/>
      <c r="G20" s="134"/>
      <c r="H20" s="107"/>
      <c r="I20" s="108"/>
      <c r="J20" s="109"/>
      <c r="K20" s="110"/>
      <c r="L20" s="111"/>
      <c r="M20" s="132"/>
      <c r="O20" s="98" t="s">
        <v>35</v>
      </c>
      <c r="P20" s="113">
        <f>F18</f>
        <v>0</v>
      </c>
      <c r="Q20" s="113">
        <f>G18</f>
        <v>0</v>
      </c>
      <c r="R20" s="114">
        <f>Q20+G90</f>
        <v>0</v>
      </c>
      <c r="S20" s="114"/>
    </row>
    <row r="21" spans="1:19" s="98" customFormat="1" ht="21" customHeight="1" x14ac:dyDescent="0.15">
      <c r="A21" s="586"/>
      <c r="B21" s="102"/>
      <c r="C21" s="133"/>
      <c r="D21" s="103"/>
      <c r="E21" s="104"/>
      <c r="F21" s="105"/>
      <c r="G21" s="134"/>
      <c r="H21" s="107"/>
      <c r="I21" s="108"/>
      <c r="J21" s="109"/>
      <c r="K21" s="110"/>
      <c r="L21" s="111"/>
      <c r="M21" s="132"/>
      <c r="O21" s="98" t="s">
        <v>36</v>
      </c>
      <c r="P21" s="113"/>
      <c r="Q21" s="113"/>
      <c r="R21" s="135">
        <f>G82</f>
        <v>0</v>
      </c>
      <c r="S21" s="135"/>
    </row>
    <row r="22" spans="1:19" s="98" customFormat="1" ht="21" customHeight="1" x14ac:dyDescent="0.15">
      <c r="A22" s="586"/>
      <c r="B22" s="102"/>
      <c r="C22" s="133"/>
      <c r="D22" s="103"/>
      <c r="E22" s="104"/>
      <c r="F22" s="105"/>
      <c r="G22" s="134"/>
      <c r="H22" s="107"/>
      <c r="I22" s="108"/>
      <c r="J22" s="109"/>
      <c r="K22" s="110"/>
      <c r="L22" s="111"/>
      <c r="M22" s="132"/>
      <c r="O22" s="98" t="s">
        <v>37</v>
      </c>
      <c r="R22" s="135">
        <f>G85</f>
        <v>0</v>
      </c>
      <c r="S22" s="135"/>
    </row>
    <row r="23" spans="1:19" s="98" customFormat="1" ht="21" customHeight="1" x14ac:dyDescent="0.15">
      <c r="A23" s="586"/>
      <c r="B23" s="102"/>
      <c r="C23" s="133"/>
      <c r="D23" s="103"/>
      <c r="E23" s="104"/>
      <c r="F23" s="105"/>
      <c r="G23" s="134"/>
      <c r="H23" s="107"/>
      <c r="I23" s="108"/>
      <c r="J23" s="109"/>
      <c r="K23" s="110"/>
      <c r="L23" s="111"/>
      <c r="M23" s="132"/>
      <c r="O23" s="98" t="s">
        <v>38</v>
      </c>
      <c r="R23" s="135">
        <f>G87</f>
        <v>0</v>
      </c>
      <c r="S23" s="135"/>
    </row>
    <row r="24" spans="1:19" s="98" customFormat="1" ht="21" hidden="1" customHeight="1" x14ac:dyDescent="0.15">
      <c r="A24" s="586"/>
      <c r="B24" s="102"/>
      <c r="C24" s="133"/>
      <c r="D24" s="103"/>
      <c r="E24" s="104"/>
      <c r="F24" s="105"/>
      <c r="G24" s="134"/>
      <c r="H24" s="107"/>
      <c r="I24" s="108"/>
      <c r="J24" s="109"/>
      <c r="K24" s="110"/>
      <c r="L24" s="111"/>
      <c r="M24" s="132"/>
      <c r="P24" s="113">
        <f>SUM(P5:P23)</f>
        <v>0</v>
      </c>
      <c r="Q24" s="113">
        <f t="shared" ref="Q24:R24" si="0">SUM(Q5:Q23)</f>
        <v>0</v>
      </c>
      <c r="R24" s="113">
        <f t="shared" si="0"/>
        <v>0</v>
      </c>
      <c r="S24" s="113"/>
    </row>
    <row r="25" spans="1:19" s="98" customFormat="1" ht="21" hidden="1" customHeight="1" x14ac:dyDescent="0.15">
      <c r="A25" s="586"/>
      <c r="B25" s="102"/>
      <c r="C25" s="133"/>
      <c r="D25" s="103"/>
      <c r="E25" s="104"/>
      <c r="F25" s="105"/>
      <c r="G25" s="134"/>
      <c r="H25" s="107"/>
      <c r="I25" s="108"/>
      <c r="J25" s="109"/>
      <c r="K25" s="110"/>
      <c r="L25" s="111"/>
      <c r="M25" s="132"/>
    </row>
    <row r="26" spans="1:19" s="98" customFormat="1" ht="21" hidden="1" customHeight="1" x14ac:dyDescent="0.15">
      <c r="A26" s="586"/>
      <c r="B26" s="102"/>
      <c r="C26" s="133"/>
      <c r="D26" s="103"/>
      <c r="E26" s="104"/>
      <c r="F26" s="105"/>
      <c r="G26" s="134"/>
      <c r="H26" s="107"/>
      <c r="I26" s="108"/>
      <c r="J26" s="109"/>
      <c r="K26" s="110"/>
      <c r="L26" s="111"/>
      <c r="M26" s="132"/>
    </row>
    <row r="27" spans="1:19" s="98" customFormat="1" ht="21" hidden="1" customHeight="1" x14ac:dyDescent="0.15">
      <c r="A27" s="586"/>
      <c r="B27" s="102"/>
      <c r="C27" s="133"/>
      <c r="D27" s="103"/>
      <c r="E27" s="104"/>
      <c r="F27" s="105"/>
      <c r="G27" s="134"/>
      <c r="H27" s="107"/>
      <c r="I27" s="108"/>
      <c r="J27" s="109"/>
      <c r="K27" s="110"/>
      <c r="L27" s="111"/>
      <c r="M27" s="132"/>
    </row>
    <row r="28" spans="1:19" s="98" customFormat="1" ht="21" hidden="1" customHeight="1" x14ac:dyDescent="0.15">
      <c r="A28" s="586"/>
      <c r="B28" s="102"/>
      <c r="C28" s="133"/>
      <c r="D28" s="103"/>
      <c r="E28" s="104"/>
      <c r="F28" s="105"/>
      <c r="G28" s="134"/>
      <c r="H28" s="107"/>
      <c r="I28" s="108"/>
      <c r="J28" s="109"/>
      <c r="K28" s="110"/>
      <c r="L28" s="111"/>
      <c r="M28" s="132"/>
    </row>
    <row r="29" spans="1:19" s="98" customFormat="1" ht="21" hidden="1" customHeight="1" x14ac:dyDescent="0.15">
      <c r="A29" s="586"/>
      <c r="B29" s="102"/>
      <c r="C29" s="133"/>
      <c r="D29" s="103"/>
      <c r="E29" s="104"/>
      <c r="F29" s="105"/>
      <c r="G29" s="134"/>
      <c r="H29" s="107"/>
      <c r="I29" s="108"/>
      <c r="J29" s="109"/>
      <c r="K29" s="110"/>
      <c r="L29" s="111"/>
      <c r="M29" s="132"/>
    </row>
    <row r="30" spans="1:19" s="98" customFormat="1" ht="21" hidden="1" customHeight="1" x14ac:dyDescent="0.15">
      <c r="A30" s="586"/>
      <c r="B30" s="102"/>
      <c r="C30" s="133"/>
      <c r="D30" s="103"/>
      <c r="E30" s="104"/>
      <c r="F30" s="105"/>
      <c r="G30" s="134"/>
      <c r="H30" s="107"/>
      <c r="I30" s="108"/>
      <c r="J30" s="109"/>
      <c r="K30" s="110"/>
      <c r="L30" s="111"/>
      <c r="M30" s="132"/>
    </row>
    <row r="31" spans="1:19" s="98" customFormat="1" ht="21" hidden="1" customHeight="1" x14ac:dyDescent="0.15">
      <c r="A31" s="586"/>
      <c r="B31" s="102"/>
      <c r="C31" s="103"/>
      <c r="D31" s="103"/>
      <c r="E31" s="136"/>
      <c r="F31" s="105"/>
      <c r="G31" s="106"/>
      <c r="H31" s="107"/>
      <c r="I31" s="108"/>
      <c r="J31" s="109"/>
      <c r="K31" s="110"/>
      <c r="L31" s="111"/>
      <c r="M31" s="132"/>
    </row>
    <row r="32" spans="1:19" s="98" customFormat="1" ht="21" hidden="1" customHeight="1" x14ac:dyDescent="0.15">
      <c r="A32" s="586"/>
      <c r="B32" s="102"/>
      <c r="C32" s="103"/>
      <c r="D32" s="103"/>
      <c r="E32" s="136"/>
      <c r="F32" s="105"/>
      <c r="G32" s="106"/>
      <c r="H32" s="107"/>
      <c r="I32" s="108"/>
      <c r="J32" s="109"/>
      <c r="K32" s="110"/>
      <c r="L32" s="111"/>
      <c r="M32" s="132"/>
    </row>
    <row r="33" spans="1:16" s="98" customFormat="1" ht="21" hidden="1" customHeight="1" x14ac:dyDescent="0.15">
      <c r="A33" s="586"/>
      <c r="B33" s="102"/>
      <c r="C33" s="103"/>
      <c r="D33" s="103"/>
      <c r="E33" s="136"/>
      <c r="F33" s="105"/>
      <c r="G33" s="106"/>
      <c r="H33" s="107"/>
      <c r="I33" s="108"/>
      <c r="J33" s="109"/>
      <c r="K33" s="110"/>
      <c r="L33" s="111"/>
      <c r="M33" s="132"/>
    </row>
    <row r="34" spans="1:16" s="98" customFormat="1" ht="21" hidden="1" customHeight="1" x14ac:dyDescent="0.15">
      <c r="A34" s="586"/>
      <c r="B34" s="102"/>
      <c r="C34" s="103"/>
      <c r="D34" s="103"/>
      <c r="E34" s="136"/>
      <c r="F34" s="105"/>
      <c r="G34" s="106"/>
      <c r="H34" s="107"/>
      <c r="I34" s="108"/>
      <c r="J34" s="109"/>
      <c r="K34" s="110"/>
      <c r="L34" s="111"/>
      <c r="M34" s="132"/>
    </row>
    <row r="35" spans="1:16" s="98" customFormat="1" ht="21" hidden="1" customHeight="1" x14ac:dyDescent="0.15">
      <c r="A35" s="586"/>
      <c r="B35" s="102"/>
      <c r="C35" s="103"/>
      <c r="D35" s="103"/>
      <c r="E35" s="136"/>
      <c r="F35" s="105"/>
      <c r="G35" s="106"/>
      <c r="H35" s="107"/>
      <c r="I35" s="108"/>
      <c r="J35" s="109"/>
      <c r="K35" s="110"/>
      <c r="L35" s="111"/>
      <c r="M35" s="132"/>
    </row>
    <row r="36" spans="1:16" s="98" customFormat="1" ht="21" hidden="1" customHeight="1" x14ac:dyDescent="0.15">
      <c r="A36" s="586"/>
      <c r="B36" s="102"/>
      <c r="C36" s="103"/>
      <c r="D36" s="103"/>
      <c r="E36" s="136"/>
      <c r="F36" s="105"/>
      <c r="G36" s="106"/>
      <c r="H36" s="107"/>
      <c r="I36" s="108"/>
      <c r="J36" s="109"/>
      <c r="K36" s="110"/>
      <c r="L36" s="111"/>
      <c r="M36" s="132"/>
    </row>
    <row r="37" spans="1:16" s="98" customFormat="1" ht="21" hidden="1" customHeight="1" x14ac:dyDescent="0.15">
      <c r="A37" s="586"/>
      <c r="B37" s="102"/>
      <c r="C37" s="103"/>
      <c r="D37" s="103"/>
      <c r="E37" s="136"/>
      <c r="F37" s="105"/>
      <c r="G37" s="106"/>
      <c r="H37" s="107"/>
      <c r="I37" s="108"/>
      <c r="J37" s="109"/>
      <c r="K37" s="110"/>
      <c r="L37" s="111"/>
      <c r="M37" s="132"/>
    </row>
    <row r="38" spans="1:16" s="98" customFormat="1" ht="21" hidden="1" customHeight="1" x14ac:dyDescent="0.15">
      <c r="A38" s="586"/>
      <c r="B38" s="102"/>
      <c r="C38" s="103"/>
      <c r="D38" s="103"/>
      <c r="E38" s="136"/>
      <c r="F38" s="105"/>
      <c r="G38" s="106"/>
      <c r="H38" s="107"/>
      <c r="I38" s="108"/>
      <c r="J38" s="109"/>
      <c r="K38" s="110"/>
      <c r="L38" s="111"/>
      <c r="M38" s="132"/>
    </row>
    <row r="39" spans="1:16" s="98" customFormat="1" ht="21" hidden="1" customHeight="1" x14ac:dyDescent="0.15">
      <c r="A39" s="586"/>
      <c r="B39" s="102"/>
      <c r="C39" s="103"/>
      <c r="D39" s="103"/>
      <c r="E39" s="136"/>
      <c r="F39" s="105"/>
      <c r="G39" s="106"/>
      <c r="H39" s="107"/>
      <c r="I39" s="108"/>
      <c r="J39" s="109"/>
      <c r="K39" s="110"/>
      <c r="L39" s="111"/>
      <c r="M39" s="132"/>
      <c r="P39" s="137"/>
    </row>
    <row r="40" spans="1:16" s="98" customFormat="1" ht="21" hidden="1" customHeight="1" x14ac:dyDescent="0.15">
      <c r="A40" s="586"/>
      <c r="B40" s="102"/>
      <c r="C40" s="103"/>
      <c r="D40" s="103"/>
      <c r="E40" s="136"/>
      <c r="F40" s="105"/>
      <c r="G40" s="106"/>
      <c r="H40" s="107"/>
      <c r="I40" s="108"/>
      <c r="J40" s="109"/>
      <c r="K40" s="110"/>
      <c r="L40" s="111"/>
      <c r="M40" s="132"/>
    </row>
    <row r="41" spans="1:16" s="98" customFormat="1" ht="21" hidden="1" customHeight="1" x14ac:dyDescent="0.15">
      <c r="A41" s="586"/>
      <c r="B41" s="102"/>
      <c r="C41" s="103"/>
      <c r="D41" s="103"/>
      <c r="E41" s="136"/>
      <c r="F41" s="105"/>
      <c r="G41" s="106"/>
      <c r="H41" s="107"/>
      <c r="I41" s="108"/>
      <c r="J41" s="109"/>
      <c r="K41" s="110"/>
      <c r="L41" s="111"/>
      <c r="M41" s="132"/>
      <c r="P41" s="137"/>
    </row>
    <row r="42" spans="1:16" s="98" customFormat="1" ht="21" hidden="1" customHeight="1" x14ac:dyDescent="0.15">
      <c r="A42" s="586"/>
      <c r="B42" s="102"/>
      <c r="C42" s="103"/>
      <c r="D42" s="103"/>
      <c r="E42" s="104"/>
      <c r="F42" s="105"/>
      <c r="G42" s="106"/>
      <c r="H42" s="107"/>
      <c r="I42" s="108"/>
      <c r="J42" s="109"/>
      <c r="K42" s="110"/>
      <c r="L42" s="111"/>
      <c r="M42" s="132"/>
    </row>
    <row r="43" spans="1:16" s="98" customFormat="1" ht="21" hidden="1" customHeight="1" x14ac:dyDescent="0.15">
      <c r="A43" s="586"/>
      <c r="B43" s="102"/>
      <c r="C43" s="103"/>
      <c r="D43" s="103"/>
      <c r="E43" s="104"/>
      <c r="F43" s="105"/>
      <c r="G43" s="106"/>
      <c r="H43" s="107"/>
      <c r="I43" s="108"/>
      <c r="J43" s="109"/>
      <c r="K43" s="110"/>
      <c r="L43" s="111"/>
      <c r="M43" s="132"/>
    </row>
    <row r="44" spans="1:16" s="98" customFormat="1" ht="21" hidden="1" customHeight="1" x14ac:dyDescent="0.15">
      <c r="A44" s="586"/>
      <c r="B44" s="102"/>
      <c r="C44" s="103"/>
      <c r="D44" s="103"/>
      <c r="E44" s="104"/>
      <c r="F44" s="105"/>
      <c r="G44" s="106"/>
      <c r="H44" s="107"/>
      <c r="I44" s="108"/>
      <c r="J44" s="109"/>
      <c r="K44" s="110"/>
      <c r="L44" s="111"/>
      <c r="M44" s="132"/>
    </row>
    <row r="45" spans="1:16" s="98" customFormat="1" ht="21" hidden="1" customHeight="1" x14ac:dyDescent="0.15">
      <c r="A45" s="586"/>
      <c r="B45" s="102"/>
      <c r="C45" s="103"/>
      <c r="D45" s="103"/>
      <c r="E45" s="104"/>
      <c r="F45" s="105"/>
      <c r="G45" s="106"/>
      <c r="H45" s="107"/>
      <c r="I45" s="108"/>
      <c r="J45" s="109"/>
      <c r="K45" s="110"/>
      <c r="L45" s="111"/>
      <c r="M45" s="132"/>
    </row>
    <row r="46" spans="1:16" s="98" customFormat="1" ht="21" hidden="1" customHeight="1" x14ac:dyDescent="0.15">
      <c r="A46" s="586"/>
      <c r="B46" s="102"/>
      <c r="C46" s="103"/>
      <c r="D46" s="103"/>
      <c r="E46" s="104"/>
      <c r="F46" s="105"/>
      <c r="G46" s="106"/>
      <c r="H46" s="107"/>
      <c r="I46" s="108"/>
      <c r="J46" s="109"/>
      <c r="K46" s="110"/>
      <c r="L46" s="111"/>
      <c r="M46" s="132"/>
    </row>
    <row r="47" spans="1:16" s="98" customFormat="1" ht="21" hidden="1" customHeight="1" x14ac:dyDescent="0.15">
      <c r="A47" s="586"/>
      <c r="B47" s="102"/>
      <c r="C47" s="103"/>
      <c r="D47" s="103"/>
      <c r="E47" s="104"/>
      <c r="F47" s="105"/>
      <c r="G47" s="106"/>
      <c r="H47" s="107"/>
      <c r="I47" s="108"/>
      <c r="J47" s="109"/>
      <c r="K47" s="110"/>
      <c r="L47" s="111"/>
      <c r="M47" s="132"/>
    </row>
    <row r="48" spans="1:16" s="98" customFormat="1" ht="21" hidden="1" customHeight="1" x14ac:dyDescent="0.15">
      <c r="A48" s="586"/>
      <c r="B48" s="102"/>
      <c r="C48" s="103"/>
      <c r="D48" s="103"/>
      <c r="E48" s="104"/>
      <c r="F48" s="105"/>
      <c r="G48" s="106"/>
      <c r="H48" s="107"/>
      <c r="I48" s="108"/>
      <c r="J48" s="109"/>
      <c r="K48" s="110"/>
      <c r="L48" s="111"/>
      <c r="M48" s="132"/>
    </row>
    <row r="49" spans="1:13" s="98" customFormat="1" ht="21" hidden="1" customHeight="1" x14ac:dyDescent="0.15">
      <c r="A49" s="586"/>
      <c r="B49" s="102"/>
      <c r="C49" s="103"/>
      <c r="D49" s="103"/>
      <c r="E49" s="104"/>
      <c r="F49" s="105"/>
      <c r="G49" s="106"/>
      <c r="H49" s="107"/>
      <c r="I49" s="108"/>
      <c r="J49" s="109"/>
      <c r="K49" s="110"/>
      <c r="L49" s="111"/>
      <c r="M49" s="132"/>
    </row>
    <row r="50" spans="1:13" s="98" customFormat="1" ht="21" hidden="1" customHeight="1" x14ac:dyDescent="0.15">
      <c r="A50" s="586"/>
      <c r="B50" s="102"/>
      <c r="C50" s="103"/>
      <c r="D50" s="103"/>
      <c r="E50" s="104"/>
      <c r="F50" s="105"/>
      <c r="G50" s="106"/>
      <c r="H50" s="107"/>
      <c r="I50" s="108"/>
      <c r="J50" s="109"/>
      <c r="K50" s="110"/>
      <c r="L50" s="111"/>
      <c r="M50" s="132"/>
    </row>
    <row r="51" spans="1:13" s="98" customFormat="1" ht="21" hidden="1" customHeight="1" x14ac:dyDescent="0.15">
      <c r="A51" s="586"/>
      <c r="B51" s="102"/>
      <c r="C51" s="103"/>
      <c r="D51" s="103"/>
      <c r="E51" s="136"/>
      <c r="F51" s="105"/>
      <c r="G51" s="106"/>
      <c r="H51" s="107"/>
      <c r="I51" s="108"/>
      <c r="J51" s="109"/>
      <c r="K51" s="110"/>
      <c r="L51" s="111"/>
      <c r="M51" s="132"/>
    </row>
    <row r="52" spans="1:13" s="98" customFormat="1" ht="21" hidden="1" customHeight="1" x14ac:dyDescent="0.15">
      <c r="A52" s="586"/>
      <c r="B52" s="138"/>
      <c r="C52" s="116"/>
      <c r="D52" s="139"/>
      <c r="E52" s="136"/>
      <c r="F52" s="117"/>
      <c r="G52" s="131"/>
      <c r="H52" s="119"/>
      <c r="I52" s="120"/>
      <c r="J52" s="121"/>
      <c r="K52" s="110"/>
      <c r="L52" s="111"/>
      <c r="M52" s="132"/>
    </row>
    <row r="53" spans="1:13" s="98" customFormat="1" ht="21" hidden="1" customHeight="1" x14ac:dyDescent="0.15">
      <c r="A53" s="586"/>
      <c r="B53" s="140"/>
      <c r="C53" s="141"/>
      <c r="D53" s="141"/>
      <c r="E53" s="136"/>
      <c r="F53" s="142"/>
      <c r="G53" s="129"/>
      <c r="H53" s="143"/>
      <c r="I53" s="144"/>
      <c r="J53" s="145"/>
      <c r="K53" s="146"/>
      <c r="L53" s="111"/>
      <c r="M53" s="132"/>
    </row>
    <row r="54" spans="1:13" s="98" customFormat="1" ht="21" hidden="1" customHeight="1" x14ac:dyDescent="0.15">
      <c r="A54" s="147"/>
      <c r="B54" s="148"/>
      <c r="C54" s="123"/>
      <c r="D54" s="123"/>
      <c r="E54" s="149"/>
      <c r="F54" s="124"/>
      <c r="G54" s="125"/>
      <c r="H54" s="126"/>
      <c r="I54" s="127"/>
      <c r="J54" s="128"/>
      <c r="K54" s="146"/>
      <c r="L54" s="150"/>
      <c r="M54" s="132"/>
    </row>
    <row r="55" spans="1:13" s="98" customFormat="1" ht="21" hidden="1" customHeight="1" x14ac:dyDescent="0.15">
      <c r="A55" s="151"/>
      <c r="B55" s="102"/>
      <c r="C55" s="103"/>
      <c r="D55" s="103"/>
      <c r="E55" s="136"/>
      <c r="F55" s="105"/>
      <c r="G55" s="106"/>
      <c r="H55" s="107"/>
      <c r="I55" s="108"/>
      <c r="J55" s="109"/>
      <c r="K55" s="110"/>
      <c r="L55" s="111"/>
      <c r="M55" s="132"/>
    </row>
    <row r="56" spans="1:13" s="98" customFormat="1" ht="21" hidden="1" customHeight="1" x14ac:dyDescent="0.15">
      <c r="A56" s="152"/>
      <c r="B56" s="102"/>
      <c r="C56" s="103"/>
      <c r="D56" s="103"/>
      <c r="E56" s="153"/>
      <c r="F56" s="105"/>
      <c r="G56" s="106"/>
      <c r="H56" s="107"/>
      <c r="I56" s="108"/>
      <c r="J56" s="109"/>
      <c r="K56" s="110"/>
      <c r="L56" s="154"/>
      <c r="M56" s="132"/>
    </row>
    <row r="57" spans="1:13" s="98" customFormat="1" ht="21" hidden="1" customHeight="1" x14ac:dyDescent="0.15">
      <c r="A57" s="152"/>
      <c r="B57" s="102"/>
      <c r="C57" s="103"/>
      <c r="D57" s="103"/>
      <c r="E57" s="136"/>
      <c r="F57" s="105"/>
      <c r="G57" s="106"/>
      <c r="H57" s="107"/>
      <c r="I57" s="108"/>
      <c r="J57" s="109"/>
      <c r="K57" s="110"/>
      <c r="L57" s="111"/>
      <c r="M57" s="132"/>
    </row>
    <row r="58" spans="1:13" s="98" customFormat="1" ht="21" hidden="1" customHeight="1" x14ac:dyDescent="0.15">
      <c r="A58" s="152"/>
      <c r="B58" s="102"/>
      <c r="C58" s="103"/>
      <c r="D58" s="103"/>
      <c r="E58" s="136"/>
      <c r="F58" s="105"/>
      <c r="G58" s="106"/>
      <c r="H58" s="107"/>
      <c r="I58" s="108"/>
      <c r="J58" s="109"/>
      <c r="K58" s="110"/>
      <c r="L58" s="111"/>
      <c r="M58" s="132"/>
    </row>
    <row r="59" spans="1:13" s="98" customFormat="1" ht="21" hidden="1" customHeight="1" x14ac:dyDescent="0.15">
      <c r="A59" s="152"/>
      <c r="B59" s="102"/>
      <c r="C59" s="103"/>
      <c r="D59" s="103"/>
      <c r="E59" s="136"/>
      <c r="F59" s="105"/>
      <c r="G59" s="106"/>
      <c r="H59" s="107"/>
      <c r="I59" s="108"/>
      <c r="J59" s="109"/>
      <c r="K59" s="110"/>
      <c r="L59" s="111"/>
      <c r="M59" s="132"/>
    </row>
    <row r="60" spans="1:13" s="98" customFormat="1" ht="21" hidden="1" customHeight="1" x14ac:dyDescent="0.15">
      <c r="A60" s="152"/>
      <c r="B60" s="102"/>
      <c r="C60" s="103"/>
      <c r="D60" s="103"/>
      <c r="E60" s="136"/>
      <c r="F60" s="105"/>
      <c r="G60" s="106"/>
      <c r="H60" s="107"/>
      <c r="I60" s="108"/>
      <c r="J60" s="109"/>
      <c r="K60" s="110"/>
      <c r="L60" s="111"/>
      <c r="M60" s="132"/>
    </row>
    <row r="61" spans="1:13" s="98" customFormat="1" ht="21" hidden="1" customHeight="1" x14ac:dyDescent="0.15">
      <c r="A61" s="152"/>
      <c r="B61" s="102"/>
      <c r="C61" s="103"/>
      <c r="D61" s="103"/>
      <c r="E61" s="136"/>
      <c r="F61" s="105"/>
      <c r="G61" s="106"/>
      <c r="H61" s="107"/>
      <c r="I61" s="108"/>
      <c r="J61" s="109"/>
      <c r="K61" s="110"/>
      <c r="L61" s="111"/>
      <c r="M61" s="132"/>
    </row>
    <row r="62" spans="1:13" s="98" customFormat="1" ht="21" hidden="1" customHeight="1" x14ac:dyDescent="0.15">
      <c r="A62" s="152"/>
      <c r="B62" s="102"/>
      <c r="C62" s="103"/>
      <c r="D62" s="103"/>
      <c r="E62" s="136"/>
      <c r="F62" s="105"/>
      <c r="G62" s="106"/>
      <c r="H62" s="107"/>
      <c r="I62" s="108"/>
      <c r="J62" s="109"/>
      <c r="K62" s="110"/>
      <c r="L62" s="111"/>
      <c r="M62" s="132"/>
    </row>
    <row r="63" spans="1:13" s="98" customFormat="1" ht="21" hidden="1" customHeight="1" x14ac:dyDescent="0.15">
      <c r="A63" s="152"/>
      <c r="B63" s="102"/>
      <c r="C63" s="103"/>
      <c r="D63" s="103"/>
      <c r="E63" s="136"/>
      <c r="F63" s="105"/>
      <c r="G63" s="106"/>
      <c r="H63" s="107"/>
      <c r="I63" s="108"/>
      <c r="J63" s="109"/>
      <c r="K63" s="110"/>
      <c r="L63" s="111"/>
      <c r="M63" s="132"/>
    </row>
    <row r="64" spans="1:13" s="98" customFormat="1" ht="21" hidden="1" customHeight="1" x14ac:dyDescent="0.15">
      <c r="A64" s="152"/>
      <c r="B64" s="102"/>
      <c r="C64" s="103"/>
      <c r="D64" s="103"/>
      <c r="E64" s="136"/>
      <c r="F64" s="105"/>
      <c r="G64" s="106"/>
      <c r="H64" s="107"/>
      <c r="I64" s="108"/>
      <c r="J64" s="109"/>
      <c r="K64" s="110"/>
      <c r="L64" s="111"/>
      <c r="M64" s="132"/>
    </row>
    <row r="65" spans="1:13" s="98" customFormat="1" ht="21" hidden="1" customHeight="1" x14ac:dyDescent="0.15">
      <c r="A65" s="152"/>
      <c r="B65" s="102"/>
      <c r="C65" s="103"/>
      <c r="D65" s="103"/>
      <c r="E65" s="136"/>
      <c r="F65" s="105"/>
      <c r="G65" s="106"/>
      <c r="H65" s="107"/>
      <c r="I65" s="108"/>
      <c r="J65" s="109"/>
      <c r="K65" s="110"/>
      <c r="L65" s="111"/>
      <c r="M65" s="132"/>
    </row>
    <row r="66" spans="1:13" s="98" customFormat="1" ht="21" hidden="1" customHeight="1" x14ac:dyDescent="0.15">
      <c r="A66" s="152"/>
      <c r="B66" s="102"/>
      <c r="C66" s="103"/>
      <c r="D66" s="103"/>
      <c r="E66" s="153"/>
      <c r="F66" s="105"/>
      <c r="G66" s="134"/>
      <c r="H66" s="107"/>
      <c r="I66" s="108"/>
      <c r="J66" s="109"/>
      <c r="K66" s="110"/>
      <c r="L66" s="154"/>
      <c r="M66" s="132"/>
    </row>
    <row r="67" spans="1:13" s="98" customFormat="1" ht="21" hidden="1" customHeight="1" x14ac:dyDescent="0.15">
      <c r="A67" s="152"/>
      <c r="B67" s="102"/>
      <c r="C67" s="103"/>
      <c r="D67" s="103"/>
      <c r="E67" s="153"/>
      <c r="F67" s="105"/>
      <c r="G67" s="134"/>
      <c r="H67" s="107"/>
      <c r="I67" s="108"/>
      <c r="J67" s="109"/>
      <c r="K67" s="110"/>
      <c r="L67" s="154"/>
      <c r="M67" s="132"/>
    </row>
    <row r="68" spans="1:13" s="98" customFormat="1" ht="21" hidden="1" customHeight="1" x14ac:dyDescent="0.15">
      <c r="A68" s="152"/>
      <c r="B68" s="102"/>
      <c r="C68" s="103"/>
      <c r="D68" s="103"/>
      <c r="E68" s="153"/>
      <c r="F68" s="105"/>
      <c r="G68" s="134"/>
      <c r="H68" s="107"/>
      <c r="I68" s="108"/>
      <c r="J68" s="109"/>
      <c r="K68" s="110"/>
      <c r="L68" s="154"/>
      <c r="M68" s="132"/>
    </row>
    <row r="69" spans="1:13" s="98" customFormat="1" ht="21" hidden="1" customHeight="1" x14ac:dyDescent="0.15">
      <c r="A69" s="152"/>
      <c r="B69" s="102"/>
      <c r="C69" s="103"/>
      <c r="D69" s="103"/>
      <c r="E69" s="153"/>
      <c r="F69" s="105"/>
      <c r="G69" s="134"/>
      <c r="H69" s="107"/>
      <c r="I69" s="108"/>
      <c r="J69" s="109"/>
      <c r="K69" s="110"/>
      <c r="L69" s="154"/>
      <c r="M69" s="132"/>
    </row>
    <row r="70" spans="1:13" s="98" customFormat="1" ht="21" hidden="1" customHeight="1" x14ac:dyDescent="0.15">
      <c r="A70" s="152"/>
      <c r="B70" s="102"/>
      <c r="C70" s="103"/>
      <c r="D70" s="103"/>
      <c r="E70" s="153"/>
      <c r="F70" s="105"/>
      <c r="G70" s="134"/>
      <c r="H70" s="107"/>
      <c r="I70" s="108"/>
      <c r="J70" s="109"/>
      <c r="K70" s="110"/>
      <c r="L70" s="154"/>
      <c r="M70" s="132"/>
    </row>
    <row r="71" spans="1:13" s="98" customFormat="1" ht="21" hidden="1" customHeight="1" x14ac:dyDescent="0.15">
      <c r="A71" s="152"/>
      <c r="B71" s="102"/>
      <c r="C71" s="103"/>
      <c r="D71" s="103"/>
      <c r="E71" s="153"/>
      <c r="F71" s="105"/>
      <c r="G71" s="134"/>
      <c r="H71" s="107"/>
      <c r="I71" s="108"/>
      <c r="J71" s="109"/>
      <c r="K71" s="110"/>
      <c r="L71" s="154"/>
      <c r="M71" s="132"/>
    </row>
    <row r="72" spans="1:13" s="98" customFormat="1" ht="21" hidden="1" customHeight="1" x14ac:dyDescent="0.15">
      <c r="A72" s="152"/>
      <c r="B72" s="102"/>
      <c r="C72" s="103"/>
      <c r="D72" s="103"/>
      <c r="E72" s="153"/>
      <c r="F72" s="105"/>
      <c r="G72" s="134"/>
      <c r="H72" s="107"/>
      <c r="I72" s="108"/>
      <c r="J72" s="109"/>
      <c r="K72" s="110"/>
      <c r="L72" s="154"/>
      <c r="M72" s="132"/>
    </row>
    <row r="73" spans="1:13" s="98" customFormat="1" ht="21" hidden="1" customHeight="1" x14ac:dyDescent="0.15">
      <c r="A73" s="152"/>
      <c r="B73" s="102"/>
      <c r="C73" s="103"/>
      <c r="D73" s="103"/>
      <c r="E73" s="153"/>
      <c r="F73" s="105"/>
      <c r="G73" s="134"/>
      <c r="H73" s="107"/>
      <c r="I73" s="108"/>
      <c r="J73" s="109"/>
      <c r="K73" s="110"/>
      <c r="L73" s="154"/>
      <c r="M73" s="132"/>
    </row>
    <row r="74" spans="1:13" s="98" customFormat="1" ht="21" hidden="1" customHeight="1" x14ac:dyDescent="0.15">
      <c r="A74" s="152"/>
      <c r="B74" s="102"/>
      <c r="C74" s="103"/>
      <c r="D74" s="103"/>
      <c r="E74" s="153"/>
      <c r="F74" s="105"/>
      <c r="G74" s="134"/>
      <c r="H74" s="107"/>
      <c r="I74" s="108"/>
      <c r="J74" s="109"/>
      <c r="K74" s="110"/>
      <c r="L74" s="154"/>
      <c r="M74" s="132"/>
    </row>
    <row r="75" spans="1:13" s="98" customFormat="1" ht="21" hidden="1" customHeight="1" x14ac:dyDescent="0.15">
      <c r="A75" s="152"/>
      <c r="B75" s="102"/>
      <c r="C75" s="103"/>
      <c r="D75" s="103"/>
      <c r="E75" s="153"/>
      <c r="F75" s="105"/>
      <c r="G75" s="134"/>
      <c r="H75" s="107"/>
      <c r="I75" s="108"/>
      <c r="J75" s="109"/>
      <c r="K75" s="110"/>
      <c r="L75" s="154"/>
      <c r="M75" s="132"/>
    </row>
    <row r="76" spans="1:13" s="98" customFormat="1" ht="21" hidden="1" customHeight="1" x14ac:dyDescent="0.15">
      <c r="A76" s="152"/>
      <c r="B76" s="102"/>
      <c r="C76" s="103"/>
      <c r="D76" s="103"/>
      <c r="E76" s="153"/>
      <c r="F76" s="105"/>
      <c r="G76" s="134"/>
      <c r="H76" s="107"/>
      <c r="I76" s="108"/>
      <c r="J76" s="109"/>
      <c r="K76" s="110"/>
      <c r="L76" s="154"/>
      <c r="M76" s="132"/>
    </row>
    <row r="77" spans="1:13" s="98" customFormat="1" ht="21" hidden="1" customHeight="1" x14ac:dyDescent="0.15">
      <c r="A77" s="152"/>
      <c r="B77" s="102"/>
      <c r="C77" s="103"/>
      <c r="D77" s="103"/>
      <c r="E77" s="153"/>
      <c r="F77" s="105"/>
      <c r="G77" s="134"/>
      <c r="H77" s="107"/>
      <c r="I77" s="108"/>
      <c r="J77" s="109"/>
      <c r="K77" s="110"/>
      <c r="L77" s="154"/>
      <c r="M77" s="132"/>
    </row>
    <row r="78" spans="1:13" s="98" customFormat="1" ht="21" hidden="1" customHeight="1" x14ac:dyDescent="0.15">
      <c r="A78" s="152"/>
      <c r="B78" s="102"/>
      <c r="C78" s="103"/>
      <c r="D78" s="103"/>
      <c r="E78" s="153"/>
      <c r="F78" s="105"/>
      <c r="G78" s="134"/>
      <c r="H78" s="107"/>
      <c r="I78" s="108"/>
      <c r="J78" s="109"/>
      <c r="K78" s="110"/>
      <c r="L78" s="154"/>
      <c r="M78" s="132"/>
    </row>
    <row r="79" spans="1:13" s="98" customFormat="1" ht="21" hidden="1" customHeight="1" x14ac:dyDescent="0.15">
      <c r="A79" s="152"/>
      <c r="B79" s="102"/>
      <c r="C79" s="103"/>
      <c r="D79" s="103"/>
      <c r="E79" s="153"/>
      <c r="F79" s="105"/>
      <c r="G79" s="134"/>
      <c r="H79" s="107"/>
      <c r="I79" s="108"/>
      <c r="J79" s="109"/>
      <c r="K79" s="110"/>
      <c r="L79" s="154"/>
      <c r="M79" s="132"/>
    </row>
    <row r="80" spans="1:13" s="98" customFormat="1" ht="21" hidden="1" customHeight="1" x14ac:dyDescent="0.15">
      <c r="A80" s="152"/>
      <c r="B80" s="102"/>
      <c r="C80" s="103"/>
      <c r="D80" s="103"/>
      <c r="E80" s="153"/>
      <c r="F80" s="105"/>
      <c r="G80" s="134"/>
      <c r="H80" s="107"/>
      <c r="I80" s="108"/>
      <c r="J80" s="109"/>
      <c r="K80" s="155"/>
      <c r="L80" s="154"/>
      <c r="M80" s="132"/>
    </row>
    <row r="81" spans="1:21" s="98" customFormat="1" ht="21" customHeight="1" x14ac:dyDescent="0.15">
      <c r="A81" s="156"/>
      <c r="B81" s="587" t="s">
        <v>39</v>
      </c>
      <c r="C81" s="588"/>
      <c r="D81" s="589"/>
      <c r="E81" s="157" t="str">
        <f>COUNTA(B5:B80)&amp;" 건"</f>
        <v>0 건</v>
      </c>
      <c r="F81" s="158">
        <f t="shared" ref="F81:K81" si="1">SUM(F5:F80)</f>
        <v>0</v>
      </c>
      <c r="G81" s="158">
        <f>SUM(G5:G80)</f>
        <v>0</v>
      </c>
      <c r="H81" s="159">
        <f t="shared" si="1"/>
        <v>0</v>
      </c>
      <c r="I81" s="160">
        <f t="shared" si="1"/>
        <v>0</v>
      </c>
      <c r="J81" s="161">
        <f t="shared" si="1"/>
        <v>0</v>
      </c>
      <c r="K81" s="158">
        <f t="shared" si="1"/>
        <v>0</v>
      </c>
      <c r="L81" s="162"/>
      <c r="M81" s="163"/>
    </row>
    <row r="82" spans="1:21" s="98" customFormat="1" ht="21" customHeight="1" x14ac:dyDescent="0.15">
      <c r="A82" s="602" t="s">
        <v>40</v>
      </c>
      <c r="B82" s="102"/>
      <c r="C82" s="103"/>
      <c r="D82" s="103"/>
      <c r="E82" s="104"/>
      <c r="F82" s="105"/>
      <c r="G82" s="106"/>
      <c r="H82" s="107"/>
      <c r="I82" s="108"/>
      <c r="J82" s="109"/>
      <c r="K82" s="110"/>
      <c r="L82" s="111"/>
      <c r="M82" s="112"/>
      <c r="O82" s="164" t="s">
        <v>41</v>
      </c>
    </row>
    <row r="83" spans="1:21" s="98" customFormat="1" ht="21" customHeight="1" x14ac:dyDescent="0.15">
      <c r="A83" s="603"/>
      <c r="B83" s="102"/>
      <c r="C83" s="103"/>
      <c r="D83" s="103"/>
      <c r="E83" s="104"/>
      <c r="F83" s="105"/>
      <c r="G83" s="106"/>
      <c r="H83" s="107"/>
      <c r="I83" s="108"/>
      <c r="J83" s="109"/>
      <c r="K83" s="110"/>
      <c r="L83" s="111"/>
      <c r="M83" s="112"/>
      <c r="O83" s="164"/>
    </row>
    <row r="84" spans="1:21" s="98" customFormat="1" ht="21" customHeight="1" x14ac:dyDescent="0.15">
      <c r="A84" s="603"/>
      <c r="B84" s="102"/>
      <c r="C84" s="103"/>
      <c r="D84" s="103"/>
      <c r="E84" s="104"/>
      <c r="F84" s="105"/>
      <c r="G84" s="106"/>
      <c r="H84" s="107"/>
      <c r="I84" s="108"/>
      <c r="J84" s="109"/>
      <c r="K84" s="110"/>
      <c r="L84" s="111"/>
      <c r="M84" s="130"/>
      <c r="O84" s="137"/>
      <c r="P84" s="98">
        <v>559440000</v>
      </c>
    </row>
    <row r="85" spans="1:21" s="98" customFormat="1" ht="21" customHeight="1" x14ac:dyDescent="0.15">
      <c r="A85" s="603"/>
      <c r="B85" s="102"/>
      <c r="C85" s="103"/>
      <c r="D85" s="103"/>
      <c r="E85" s="104"/>
      <c r="F85" s="105"/>
      <c r="G85" s="106"/>
      <c r="H85" s="107"/>
      <c r="I85" s="108"/>
      <c r="J85" s="109"/>
      <c r="K85" s="110"/>
      <c r="L85" s="111"/>
      <c r="M85" s="130"/>
      <c r="O85" s="113"/>
      <c r="P85" s="113">
        <v>-160648</v>
      </c>
    </row>
    <row r="86" spans="1:21" s="98" customFormat="1" ht="21" customHeight="1" x14ac:dyDescent="0.15">
      <c r="A86" s="603"/>
      <c r="B86" s="102"/>
      <c r="C86" s="103"/>
      <c r="D86" s="103"/>
      <c r="E86" s="104"/>
      <c r="F86" s="105"/>
      <c r="G86" s="106"/>
      <c r="H86" s="107"/>
      <c r="I86" s="108"/>
      <c r="J86" s="109"/>
      <c r="K86" s="110"/>
      <c r="L86" s="111"/>
      <c r="M86" s="130"/>
      <c r="P86" s="98">
        <v>60745</v>
      </c>
      <c r="U86" s="98">
        <v>-1</v>
      </c>
    </row>
    <row r="87" spans="1:21" s="98" customFormat="1" ht="21" customHeight="1" x14ac:dyDescent="0.15">
      <c r="A87" s="603"/>
      <c r="B87" s="102"/>
      <c r="C87" s="103"/>
      <c r="D87" s="103"/>
      <c r="E87" s="104"/>
      <c r="F87" s="105"/>
      <c r="G87" s="106"/>
      <c r="H87" s="107"/>
      <c r="I87" s="108"/>
      <c r="J87" s="109"/>
      <c r="K87" s="110"/>
      <c r="L87" s="111"/>
      <c r="M87" s="130"/>
      <c r="P87" s="98">
        <v>2409041</v>
      </c>
    </row>
    <row r="88" spans="1:21" s="98" customFormat="1" ht="21" customHeight="1" x14ac:dyDescent="0.15">
      <c r="A88" s="603"/>
      <c r="B88" s="102"/>
      <c r="C88" s="103"/>
      <c r="D88" s="103"/>
      <c r="E88" s="104"/>
      <c r="F88" s="105"/>
      <c r="G88" s="106"/>
      <c r="H88" s="107"/>
      <c r="I88" s="108"/>
      <c r="J88" s="109"/>
      <c r="K88" s="110"/>
      <c r="L88" s="111"/>
      <c r="M88" s="130"/>
      <c r="P88" s="98">
        <v>14212730.699999988</v>
      </c>
      <c r="R88"/>
      <c r="S88"/>
    </row>
    <row r="89" spans="1:21" s="98" customFormat="1" ht="21" customHeight="1" x14ac:dyDescent="0.15">
      <c r="A89" s="603"/>
      <c r="B89" s="102"/>
      <c r="C89" s="103"/>
      <c r="D89" s="103"/>
      <c r="E89" s="104"/>
      <c r="F89" s="105"/>
      <c r="G89" s="106"/>
      <c r="H89" s="107"/>
      <c r="I89" s="108"/>
      <c r="J89" s="109"/>
      <c r="K89" s="110"/>
      <c r="L89" s="111"/>
      <c r="M89" s="130"/>
      <c r="O89" s="137"/>
      <c r="P89" s="98">
        <v>15580120.300000012</v>
      </c>
      <c r="R89"/>
      <c r="S89"/>
    </row>
    <row r="90" spans="1:21" s="98" customFormat="1" ht="21" customHeight="1" x14ac:dyDescent="0.15">
      <c r="A90" s="603"/>
      <c r="B90" s="102"/>
      <c r="C90" s="103"/>
      <c r="D90" s="103"/>
      <c r="E90" s="104"/>
      <c r="F90" s="105"/>
      <c r="G90" s="106"/>
      <c r="H90" s="107"/>
      <c r="I90" s="108"/>
      <c r="J90" s="109"/>
      <c r="K90" s="110"/>
      <c r="L90" s="111"/>
      <c r="M90" s="130"/>
      <c r="P90" s="98">
        <v>203432153</v>
      </c>
      <c r="R90">
        <f>368324000+89789000+37378000+68703000+38529000+49840000+12958000</f>
        <v>665521000</v>
      </c>
      <c r="S90"/>
    </row>
    <row r="91" spans="1:21" s="98" customFormat="1" ht="21" customHeight="1" x14ac:dyDescent="0.15">
      <c r="A91" s="603"/>
      <c r="B91" s="102"/>
      <c r="C91" s="103"/>
      <c r="D91" s="103"/>
      <c r="E91" s="104"/>
      <c r="F91" s="105"/>
      <c r="G91" s="106"/>
      <c r="H91" s="107"/>
      <c r="I91" s="108"/>
      <c r="J91" s="109"/>
      <c r="K91" s="110"/>
      <c r="L91" s="111"/>
      <c r="M91" s="130"/>
      <c r="Q91" s="135"/>
      <c r="R91"/>
      <c r="S91"/>
    </row>
    <row r="92" spans="1:21" s="98" customFormat="1" ht="21" customHeight="1" x14ac:dyDescent="0.15">
      <c r="A92" s="603"/>
      <c r="B92" s="102"/>
      <c r="C92" s="103"/>
      <c r="D92" s="103"/>
      <c r="E92" s="104"/>
      <c r="F92" s="105"/>
      <c r="G92" s="106"/>
      <c r="H92" s="107"/>
      <c r="I92" s="108"/>
      <c r="J92" s="109"/>
      <c r="K92" s="110"/>
      <c r="L92" s="111"/>
      <c r="M92" s="130"/>
      <c r="R92"/>
      <c r="S92"/>
    </row>
    <row r="93" spans="1:21" s="98" customFormat="1" ht="21" customHeight="1" x14ac:dyDescent="0.15">
      <c r="A93" s="603"/>
      <c r="B93" s="102"/>
      <c r="C93" s="103"/>
      <c r="D93" s="103"/>
      <c r="E93" s="104"/>
      <c r="F93" s="105"/>
      <c r="G93" s="106"/>
      <c r="H93" s="107"/>
      <c r="I93" s="108"/>
      <c r="J93" s="109"/>
      <c r="K93" s="110"/>
      <c r="L93" s="111"/>
      <c r="M93" s="130"/>
      <c r="R93"/>
      <c r="S93"/>
    </row>
    <row r="94" spans="1:21" s="98" customFormat="1" ht="21" customHeight="1" x14ac:dyDescent="0.15">
      <c r="A94" s="603"/>
      <c r="B94" s="102"/>
      <c r="C94" s="103"/>
      <c r="D94" s="103"/>
      <c r="E94" s="104"/>
      <c r="F94" s="105"/>
      <c r="G94" s="106"/>
      <c r="H94" s="107"/>
      <c r="I94" s="108"/>
      <c r="J94" s="109"/>
      <c r="K94" s="110"/>
      <c r="L94" s="111"/>
      <c r="M94" s="130"/>
      <c r="P94" s="98">
        <v>254</v>
      </c>
      <c r="Q94" s="98">
        <v>138891000</v>
      </c>
      <c r="R94"/>
      <c r="S94"/>
    </row>
    <row r="95" spans="1:21" s="98" customFormat="1" ht="21" hidden="1" customHeight="1" x14ac:dyDescent="0.15">
      <c r="A95" s="603"/>
      <c r="B95" s="102"/>
      <c r="C95" s="103"/>
      <c r="D95" s="103"/>
      <c r="E95" s="104"/>
      <c r="F95" s="105"/>
      <c r="G95" s="106"/>
      <c r="H95" s="107"/>
      <c r="I95" s="108"/>
      <c r="J95" s="109"/>
      <c r="K95" s="110"/>
      <c r="L95" s="111"/>
      <c r="M95" s="130"/>
      <c r="R95"/>
      <c r="S95"/>
    </row>
    <row r="96" spans="1:21" s="98" customFormat="1" ht="21" customHeight="1" x14ac:dyDescent="0.15">
      <c r="A96" s="603"/>
      <c r="B96" s="102"/>
      <c r="C96" s="103"/>
      <c r="D96" s="103"/>
      <c r="E96" s="104"/>
      <c r="F96" s="105"/>
      <c r="G96" s="106"/>
      <c r="H96" s="107"/>
      <c r="I96" s="108"/>
      <c r="J96" s="109"/>
      <c r="K96" s="110"/>
      <c r="L96" s="111"/>
      <c r="M96" s="130"/>
      <c r="R96"/>
      <c r="S96"/>
    </row>
    <row r="97" spans="1:22" s="98" customFormat="1" ht="21" customHeight="1" x14ac:dyDescent="0.15">
      <c r="A97" s="603"/>
      <c r="B97" s="102"/>
      <c r="C97" s="103"/>
      <c r="D97" s="103"/>
      <c r="E97" s="104"/>
      <c r="F97" s="105"/>
      <c r="G97" s="106"/>
      <c r="H97" s="107"/>
      <c r="I97" s="108"/>
      <c r="J97" s="109"/>
      <c r="K97" s="110"/>
      <c r="L97" s="111"/>
      <c r="M97" s="130"/>
      <c r="R97"/>
      <c r="S97"/>
    </row>
    <row r="98" spans="1:22" s="98" customFormat="1" ht="21" customHeight="1" x14ac:dyDescent="0.15">
      <c r="A98" s="603"/>
      <c r="B98" s="102"/>
      <c r="C98" s="103"/>
      <c r="D98" s="103"/>
      <c r="E98" s="104"/>
      <c r="F98" s="105"/>
      <c r="G98" s="106"/>
      <c r="H98" s="107"/>
      <c r="I98" s="108"/>
      <c r="J98" s="109"/>
      <c r="K98" s="110"/>
      <c r="L98" s="111"/>
      <c r="M98" s="130"/>
      <c r="R98"/>
      <c r="S98"/>
    </row>
    <row r="99" spans="1:22" s="98" customFormat="1" ht="21" customHeight="1" x14ac:dyDescent="0.15">
      <c r="A99" s="603"/>
      <c r="B99" s="102"/>
      <c r="C99" s="103"/>
      <c r="D99" s="103"/>
      <c r="E99" s="104"/>
      <c r="F99" s="105"/>
      <c r="G99" s="106"/>
      <c r="H99" s="107"/>
      <c r="I99" s="108"/>
      <c r="J99" s="109"/>
      <c r="K99" s="110"/>
      <c r="L99" s="111"/>
      <c r="M99" s="130"/>
      <c r="R99"/>
      <c r="S99"/>
    </row>
    <row r="100" spans="1:22" s="98" customFormat="1" ht="21" customHeight="1" x14ac:dyDescent="0.15">
      <c r="A100" s="603"/>
      <c r="B100" s="102"/>
      <c r="C100" s="103"/>
      <c r="D100" s="103"/>
      <c r="E100" s="104"/>
      <c r="F100" s="105"/>
      <c r="G100" s="106"/>
      <c r="H100" s="107"/>
      <c r="I100" s="108"/>
      <c r="J100" s="109"/>
      <c r="K100" s="110"/>
      <c r="L100" s="111"/>
      <c r="M100" s="130"/>
      <c r="Q100" s="137"/>
      <c r="R100"/>
      <c r="S100"/>
    </row>
    <row r="101" spans="1:22" s="98" customFormat="1" ht="21" customHeight="1" x14ac:dyDescent="0.15">
      <c r="A101" s="603"/>
      <c r="B101" s="102"/>
      <c r="C101" s="103"/>
      <c r="D101" s="103"/>
      <c r="E101" s="104"/>
      <c r="F101" s="105"/>
      <c r="G101" s="106"/>
      <c r="H101" s="107"/>
      <c r="I101" s="108"/>
      <c r="J101" s="109"/>
      <c r="K101" s="110"/>
      <c r="L101" s="111"/>
      <c r="M101" s="130"/>
      <c r="R101"/>
      <c r="S101"/>
    </row>
    <row r="102" spans="1:22" s="98" customFormat="1" ht="21" customHeight="1" x14ac:dyDescent="0.15">
      <c r="A102" s="603"/>
      <c r="B102" s="102"/>
      <c r="C102" s="103"/>
      <c r="D102" s="103"/>
      <c r="E102" s="165"/>
      <c r="F102" s="105"/>
      <c r="G102" s="134"/>
      <c r="H102" s="107"/>
      <c r="I102" s="108"/>
      <c r="J102" s="109"/>
      <c r="K102" s="110"/>
      <c r="L102" s="166"/>
      <c r="M102" s="130"/>
      <c r="R102"/>
      <c r="S102"/>
    </row>
    <row r="103" spans="1:22" s="98" customFormat="1" ht="21" customHeight="1" x14ac:dyDescent="0.15">
      <c r="A103" s="604"/>
      <c r="B103" s="587" t="s">
        <v>42</v>
      </c>
      <c r="C103" s="588"/>
      <c r="D103" s="589"/>
      <c r="E103" s="157" t="str">
        <f>COUNTA(B82:B101)&amp;" 건"</f>
        <v>0 건</v>
      </c>
      <c r="F103" s="167">
        <f>SUM(F82:F102)</f>
        <v>0</v>
      </c>
      <c r="G103" s="168">
        <f>SUM(G82:G102)</f>
        <v>0</v>
      </c>
      <c r="H103" s="159">
        <f>SUM(H82:H101)</f>
        <v>0</v>
      </c>
      <c r="I103" s="160">
        <f>SUM(I82:I101)</f>
        <v>0</v>
      </c>
      <c r="J103" s="161">
        <f>SUM(J82:J101)</f>
        <v>0</v>
      </c>
      <c r="K103" s="158">
        <f>SUM(K82:K101)</f>
        <v>0</v>
      </c>
      <c r="L103" s="162"/>
      <c r="M103" s="163"/>
      <c r="P103" s="135"/>
      <c r="R103"/>
      <c r="S103"/>
    </row>
    <row r="104" spans="1:22" s="178" customFormat="1" ht="21" customHeight="1" x14ac:dyDescent="0.15">
      <c r="A104" s="605" t="s">
        <v>43</v>
      </c>
      <c r="B104" s="606"/>
      <c r="C104" s="606"/>
      <c r="D104" s="607"/>
      <c r="E104" s="169" t="str">
        <f>COUNTA(B5:B80,B82:B101)&amp;" 건"</f>
        <v>0 건</v>
      </c>
      <c r="F104" s="170">
        <f t="shared" ref="F104:K104" si="2">F103+F81</f>
        <v>0</v>
      </c>
      <c r="G104" s="171">
        <f t="shared" si="2"/>
        <v>0</v>
      </c>
      <c r="H104" s="172">
        <f t="shared" si="2"/>
        <v>0</v>
      </c>
      <c r="I104" s="173">
        <f t="shared" si="2"/>
        <v>0</v>
      </c>
      <c r="J104" s="174">
        <f t="shared" si="2"/>
        <v>0</v>
      </c>
      <c r="K104" s="175">
        <f t="shared" si="2"/>
        <v>0</v>
      </c>
      <c r="L104" s="176">
        <f>SUM(L8:L103)</f>
        <v>0</v>
      </c>
      <c r="M104" s="177"/>
      <c r="R104"/>
      <c r="S104"/>
    </row>
    <row r="105" spans="1:22" ht="24.95" customHeight="1" x14ac:dyDescent="0.15">
      <c r="G105" s="179"/>
      <c r="P105" s="180">
        <v>665521000</v>
      </c>
    </row>
    <row r="106" spans="1:22" ht="24.95" customHeight="1" x14ac:dyDescent="0.15">
      <c r="G106" s="92"/>
      <c r="P106" s="180">
        <f>G91+G92+G96+G97</f>
        <v>0</v>
      </c>
    </row>
    <row r="107" spans="1:22" ht="24.95" customHeight="1" x14ac:dyDescent="0.15">
      <c r="G107" s="92"/>
      <c r="P107" s="180">
        <f>G94+G95</f>
        <v>0</v>
      </c>
    </row>
    <row r="108" spans="1:22" ht="24.95" customHeight="1" x14ac:dyDescent="0.15">
      <c r="G108" s="92"/>
      <c r="Q108" s="608" t="s">
        <v>18</v>
      </c>
      <c r="R108" s="610" t="s">
        <v>44</v>
      </c>
      <c r="S108" s="611"/>
      <c r="T108" s="612"/>
      <c r="U108" s="181" t="s">
        <v>45</v>
      </c>
      <c r="V108" s="592" t="s">
        <v>46</v>
      </c>
    </row>
    <row r="109" spans="1:22" ht="24.95" customHeight="1" x14ac:dyDescent="0.15">
      <c r="G109" s="92"/>
      <c r="Q109" s="609"/>
      <c r="R109" s="182" t="s">
        <v>47</v>
      </c>
      <c r="S109" s="182" t="s">
        <v>48</v>
      </c>
      <c r="T109" s="182" t="s">
        <v>49</v>
      </c>
      <c r="U109" s="182" t="s">
        <v>50</v>
      </c>
      <c r="V109" s="593"/>
    </row>
    <row r="110" spans="1:22" ht="29.25" customHeight="1" x14ac:dyDescent="0.15">
      <c r="G110" s="92"/>
      <c r="Q110" s="183" t="s">
        <v>51</v>
      </c>
      <c r="R110" s="184">
        <f>G104</f>
        <v>0</v>
      </c>
      <c r="S110" s="184">
        <f>이월분!L17</f>
        <v>0</v>
      </c>
      <c r="T110" s="184">
        <f>R110+S110</f>
        <v>0</v>
      </c>
      <c r="U110" s="184">
        <f>투자현황!T27</f>
        <v>0</v>
      </c>
      <c r="V110" s="185">
        <f>U110+T110</f>
        <v>0</v>
      </c>
    </row>
    <row r="112" spans="1:22" ht="24.95" customHeight="1" x14ac:dyDescent="0.15">
      <c r="G112" s="93">
        <f>SUM(G82:G89)</f>
        <v>0</v>
      </c>
    </row>
    <row r="113" spans="22:22" ht="24.95" customHeight="1" x14ac:dyDescent="0.15">
      <c r="V113" s="180"/>
    </row>
  </sheetData>
  <mergeCells count="18">
    <mergeCell ref="A82:A103"/>
    <mergeCell ref="B103:D103"/>
    <mergeCell ref="A104:D104"/>
    <mergeCell ref="Q108:Q109"/>
    <mergeCell ref="R108:T108"/>
    <mergeCell ref="V108:V109"/>
    <mergeCell ref="G3:G4"/>
    <mergeCell ref="K3:K4"/>
    <mergeCell ref="L3:L4"/>
    <mergeCell ref="M3:M4"/>
    <mergeCell ref="E3:E4"/>
    <mergeCell ref="F3:F4"/>
    <mergeCell ref="A5:A53"/>
    <mergeCell ref="B81:D81"/>
    <mergeCell ref="A3:A4"/>
    <mergeCell ref="B3:B4"/>
    <mergeCell ref="C3:C4"/>
    <mergeCell ref="D3:D4"/>
  </mergeCells>
  <phoneticPr fontId="3" type="noConversion"/>
  <printOptions horizontalCentered="1"/>
  <pageMargins left="0.11811023622047245" right="3.937007874015748E-2" top="0.51181102362204722" bottom="0.23622047244094491" header="0.35433070866141736" footer="0.31496062992125984"/>
  <pageSetup paperSize="9" scale="70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Q71"/>
  <sheetViews>
    <sheetView showGridLines="0" showZeros="0" tabSelected="1" workbookViewId="0">
      <pane xSplit="1" ySplit="4" topLeftCell="B5" activePane="bottomRight" state="frozen"/>
      <selection activeCell="Q6" sqref="Q6"/>
      <selection pane="topRight" activeCell="Q6" sqref="Q6"/>
      <selection pane="bottomLeft" activeCell="Q6" sqref="Q6"/>
      <selection pane="bottomRight" activeCell="E10" sqref="E10"/>
    </sheetView>
  </sheetViews>
  <sheetFormatPr defaultRowHeight="24.95" customHeight="1" outlineLevelRow="1" x14ac:dyDescent="0.15"/>
  <cols>
    <col min="1" max="1" width="6.77734375" style="189" customWidth="1"/>
    <col min="2" max="2" width="6.6640625" style="255" customWidth="1"/>
    <col min="3" max="3" width="10.77734375" style="256" customWidth="1"/>
    <col min="4" max="4" width="14.77734375" style="256" customWidth="1"/>
    <col min="5" max="7" width="13.77734375" style="256" customWidth="1"/>
    <col min="8" max="8" width="14.77734375" style="257" customWidth="1"/>
    <col min="9" max="9" width="15.77734375" style="257" customWidth="1"/>
    <col min="10" max="15" width="10.77734375" style="188" customWidth="1"/>
    <col min="16" max="16" width="14.6640625" style="189" bestFit="1" customWidth="1"/>
    <col min="17" max="17" width="12.77734375" style="190" customWidth="1"/>
    <col min="18" max="16384" width="8.88671875" style="189"/>
  </cols>
  <sheetData>
    <row r="2" spans="1:17" ht="24.95" customHeight="1" x14ac:dyDescent="0.15">
      <c r="A2" s="186" t="s">
        <v>52</v>
      </c>
      <c r="B2" s="187"/>
      <c r="C2" s="187"/>
      <c r="D2" s="187"/>
      <c r="E2" s="187"/>
      <c r="F2" s="187"/>
      <c r="G2" s="187"/>
      <c r="H2" s="187"/>
      <c r="I2" s="187"/>
    </row>
    <row r="3" spans="1:17" ht="24.95" customHeight="1" x14ac:dyDescent="0.15">
      <c r="A3" s="191"/>
      <c r="B3" s="192"/>
      <c r="C3" s="193"/>
      <c r="D3" s="193"/>
      <c r="E3" s="193"/>
      <c r="F3" s="193"/>
      <c r="G3" s="193"/>
      <c r="H3" s="194"/>
      <c r="I3" s="194"/>
    </row>
    <row r="4" spans="1:17" ht="24.95" customHeight="1" x14ac:dyDescent="0.15">
      <c r="A4" s="195" t="s">
        <v>53</v>
      </c>
      <c r="B4" s="196" t="s">
        <v>54</v>
      </c>
      <c r="C4" s="197" t="s">
        <v>55</v>
      </c>
      <c r="D4" s="197" t="s">
        <v>56</v>
      </c>
      <c r="E4" s="198" t="s">
        <v>57</v>
      </c>
      <c r="F4" s="198" t="s">
        <v>58</v>
      </c>
      <c r="G4" s="198" t="s">
        <v>59</v>
      </c>
      <c r="H4" s="196" t="s">
        <v>60</v>
      </c>
      <c r="I4" s="196" t="s">
        <v>61</v>
      </c>
    </row>
    <row r="5" spans="1:17" ht="24.95" customHeight="1" x14ac:dyDescent="0.15">
      <c r="A5" s="199" t="s">
        <v>62</v>
      </c>
      <c r="B5" s="200"/>
      <c r="C5" s="200"/>
      <c r="D5" s="201"/>
      <c r="E5" s="202">
        <v>0</v>
      </c>
      <c r="F5" s="201"/>
      <c r="G5" s="202" t="s">
        <v>63</v>
      </c>
      <c r="H5" s="201">
        <f>SUM(D5,E5,F5)</f>
        <v>0</v>
      </c>
      <c r="I5" s="203"/>
      <c r="J5" s="204" t="s">
        <v>64</v>
      </c>
      <c r="K5" s="204" t="s">
        <v>65</v>
      </c>
      <c r="Q5" s="190" t="s">
        <v>66</v>
      </c>
    </row>
    <row r="6" spans="1:17" ht="21.95" customHeight="1" x14ac:dyDescent="0.15">
      <c r="A6" s="205" t="s">
        <v>67</v>
      </c>
      <c r="B6" s="206" t="s">
        <v>68</v>
      </c>
      <c r="C6" s="559">
        <v>49</v>
      </c>
      <c r="D6" s="207">
        <v>67366000</v>
      </c>
      <c r="E6" s="207"/>
      <c r="F6" s="207"/>
      <c r="G6" s="207">
        <f t="shared" ref="G6:G22" si="0">J6</f>
        <v>0</v>
      </c>
      <c r="H6" s="208">
        <f t="shared" ref="H6:H17" si="1">IF(A6="","",SUM(D6:F6)-G6)</f>
        <v>67366000</v>
      </c>
      <c r="I6" s="208">
        <f>H6</f>
        <v>67366000</v>
      </c>
      <c r="J6" s="209">
        <f>SUM(K6:Q6)</f>
        <v>0</v>
      </c>
      <c r="K6" s="210"/>
      <c r="L6" s="210"/>
      <c r="M6" s="210"/>
      <c r="N6" s="210"/>
      <c r="O6" s="211"/>
      <c r="P6" s="212"/>
      <c r="Q6" s="213"/>
    </row>
    <row r="7" spans="1:17" ht="21.95" customHeight="1" x14ac:dyDescent="0.15">
      <c r="A7" s="205" t="s">
        <v>69</v>
      </c>
      <c r="B7" s="206" t="s">
        <v>70</v>
      </c>
      <c r="C7" s="559">
        <v>283</v>
      </c>
      <c r="D7" s="207">
        <v>222907000</v>
      </c>
      <c r="E7" s="207"/>
      <c r="F7" s="207"/>
      <c r="G7" s="207">
        <f t="shared" si="0"/>
        <v>0</v>
      </c>
      <c r="H7" s="208">
        <f t="shared" si="1"/>
        <v>222907000</v>
      </c>
      <c r="I7" s="208">
        <f t="shared" ref="I7:I61" si="2">IF(A7="","",(I6+H7))</f>
        <v>290273000</v>
      </c>
      <c r="J7" s="209">
        <f t="shared" ref="J7:J44" si="3">SUM(K7:Q7)</f>
        <v>0</v>
      </c>
      <c r="K7" s="210"/>
      <c r="L7" s="210"/>
      <c r="M7" s="210"/>
      <c r="N7" s="210"/>
      <c r="O7" s="211"/>
      <c r="P7" s="212"/>
      <c r="Q7" s="213"/>
    </row>
    <row r="8" spans="1:17" ht="21.95" customHeight="1" x14ac:dyDescent="0.15">
      <c r="A8" s="554" t="s">
        <v>132</v>
      </c>
      <c r="B8" s="555" t="s">
        <v>133</v>
      </c>
      <c r="C8" s="560">
        <v>2229</v>
      </c>
      <c r="D8" s="556">
        <v>2631473000</v>
      </c>
      <c r="E8" s="556"/>
      <c r="F8" s="556"/>
      <c r="G8" s="556">
        <f t="shared" si="0"/>
        <v>0</v>
      </c>
      <c r="H8" s="557">
        <f t="shared" si="1"/>
        <v>2631473000</v>
      </c>
      <c r="I8" s="557">
        <f t="shared" si="2"/>
        <v>2921746000</v>
      </c>
      <c r="J8" s="209">
        <f t="shared" si="3"/>
        <v>0</v>
      </c>
      <c r="K8" s="210"/>
      <c r="L8" s="210"/>
      <c r="M8" s="210"/>
      <c r="N8" s="210"/>
      <c r="O8" s="211"/>
      <c r="P8" s="212"/>
      <c r="Q8" s="213"/>
    </row>
    <row r="9" spans="1:17" ht="21.95" customHeight="1" x14ac:dyDescent="0.15">
      <c r="A9" s="205" t="s">
        <v>134</v>
      </c>
      <c r="B9" s="206" t="s">
        <v>135</v>
      </c>
      <c r="C9" s="559">
        <v>7</v>
      </c>
      <c r="D9" s="207">
        <v>19077000</v>
      </c>
      <c r="E9" s="207"/>
      <c r="F9" s="207"/>
      <c r="G9" s="207">
        <f t="shared" si="0"/>
        <v>0</v>
      </c>
      <c r="H9" s="208">
        <f t="shared" ref="H9" si="4">IF(A9="","",SUM(D9:F9)-G9)</f>
        <v>19077000</v>
      </c>
      <c r="I9" s="208">
        <f t="shared" si="2"/>
        <v>2940823000</v>
      </c>
      <c r="J9" s="209">
        <f t="shared" si="3"/>
        <v>0</v>
      </c>
      <c r="K9" s="210"/>
      <c r="L9" s="210"/>
      <c r="M9" s="210"/>
      <c r="N9" s="210"/>
      <c r="O9" s="211"/>
      <c r="P9" s="212"/>
      <c r="Q9" s="213"/>
    </row>
    <row r="10" spans="1:17" ht="21.95" customHeight="1" x14ac:dyDescent="0.15">
      <c r="A10" s="554" t="s">
        <v>136</v>
      </c>
      <c r="B10" s="558" t="s">
        <v>137</v>
      </c>
      <c r="C10" s="560">
        <v>192</v>
      </c>
      <c r="D10" s="556">
        <v>439232000</v>
      </c>
      <c r="E10" s="556"/>
      <c r="F10" s="556"/>
      <c r="G10" s="556">
        <f t="shared" si="0"/>
        <v>0</v>
      </c>
      <c r="H10" s="557">
        <f t="shared" si="1"/>
        <v>439232000</v>
      </c>
      <c r="I10" s="557">
        <f t="shared" si="2"/>
        <v>3380055000</v>
      </c>
      <c r="J10" s="209">
        <f>SUM(K10:Q10)</f>
        <v>0</v>
      </c>
      <c r="K10" s="210"/>
      <c r="L10" s="210"/>
      <c r="M10" s="210"/>
      <c r="N10" s="210"/>
      <c r="O10" s="211"/>
      <c r="P10" s="212"/>
      <c r="Q10" s="213"/>
    </row>
    <row r="11" spans="1:17" ht="21.95" customHeight="1" x14ac:dyDescent="0.15">
      <c r="A11" s="205" t="s">
        <v>138</v>
      </c>
      <c r="B11" s="206" t="s">
        <v>139</v>
      </c>
      <c r="C11" s="565">
        <v>1358</v>
      </c>
      <c r="D11" s="207">
        <v>1126967000</v>
      </c>
      <c r="E11" s="207"/>
      <c r="F11" s="207"/>
      <c r="G11" s="207">
        <f t="shared" si="0"/>
        <v>0</v>
      </c>
      <c r="H11" s="566">
        <f t="shared" si="1"/>
        <v>1126967000</v>
      </c>
      <c r="I11" s="566">
        <f t="shared" si="2"/>
        <v>4507022000</v>
      </c>
      <c r="J11" s="209">
        <f t="shared" si="3"/>
        <v>0</v>
      </c>
      <c r="K11" s="214"/>
      <c r="L11" s="215"/>
      <c r="M11" s="210"/>
      <c r="N11" s="210"/>
      <c r="O11" s="211"/>
      <c r="P11" s="212"/>
      <c r="Q11" s="213"/>
    </row>
    <row r="12" spans="1:17" ht="21.95" customHeight="1" x14ac:dyDescent="0.15">
      <c r="A12" s="554" t="s">
        <v>140</v>
      </c>
      <c r="B12" s="555" t="s">
        <v>137</v>
      </c>
      <c r="C12" s="560">
        <v>116</v>
      </c>
      <c r="D12" s="556">
        <v>188979000</v>
      </c>
      <c r="E12" s="556"/>
      <c r="F12" s="556"/>
      <c r="G12" s="556">
        <f t="shared" si="0"/>
        <v>0</v>
      </c>
      <c r="H12" s="557">
        <f t="shared" si="1"/>
        <v>188979000</v>
      </c>
      <c r="I12" s="557">
        <f t="shared" si="2"/>
        <v>4696001000</v>
      </c>
      <c r="J12" s="209">
        <f>SUM(K12:Q12)</f>
        <v>0</v>
      </c>
      <c r="K12" s="210"/>
      <c r="L12" s="210"/>
      <c r="M12" s="210"/>
      <c r="N12" s="210"/>
      <c r="O12" s="211"/>
      <c r="P12" s="212"/>
      <c r="Q12" s="213"/>
    </row>
    <row r="13" spans="1:17" ht="21.95" customHeight="1" x14ac:dyDescent="0.15">
      <c r="A13" s="205" t="s">
        <v>141</v>
      </c>
      <c r="B13" s="216" t="s">
        <v>142</v>
      </c>
      <c r="C13" s="217">
        <v>588</v>
      </c>
      <c r="D13" s="207">
        <v>428872000</v>
      </c>
      <c r="E13" s="217"/>
      <c r="F13" s="217"/>
      <c r="G13" s="207">
        <f t="shared" si="0"/>
        <v>0</v>
      </c>
      <c r="H13" s="208">
        <f>IF(A13="","",SUM(D13:F13)-G13)</f>
        <v>428872000</v>
      </c>
      <c r="I13" s="208">
        <f t="shared" si="2"/>
        <v>5124873000</v>
      </c>
      <c r="J13" s="209">
        <f t="shared" si="3"/>
        <v>0</v>
      </c>
      <c r="K13" s="210"/>
      <c r="L13" s="210"/>
      <c r="M13" s="210"/>
      <c r="N13" s="210"/>
      <c r="O13" s="211"/>
      <c r="P13" s="212"/>
      <c r="Q13" s="213"/>
    </row>
    <row r="14" spans="1:17" ht="21.95" customHeight="1" x14ac:dyDescent="0.15">
      <c r="A14" s="205" t="s">
        <v>143</v>
      </c>
      <c r="B14" s="216" t="s">
        <v>70</v>
      </c>
      <c r="C14" s="217">
        <v>59</v>
      </c>
      <c r="D14" s="207">
        <v>69443000</v>
      </c>
      <c r="E14" s="207"/>
      <c r="F14" s="207"/>
      <c r="G14" s="207">
        <f t="shared" si="0"/>
        <v>0</v>
      </c>
      <c r="H14" s="208">
        <f t="shared" ref="H14:H15" si="5">IF(A14="","",SUM(D14:F14)-G14)</f>
        <v>69443000</v>
      </c>
      <c r="I14" s="208">
        <f t="shared" si="2"/>
        <v>5194316000</v>
      </c>
      <c r="J14" s="209">
        <f t="shared" si="3"/>
        <v>0</v>
      </c>
      <c r="K14" s="210"/>
      <c r="L14" s="210"/>
      <c r="M14" s="210"/>
      <c r="N14" s="210"/>
      <c r="O14" s="211"/>
      <c r="P14" s="212"/>
      <c r="Q14" s="213"/>
    </row>
    <row r="15" spans="1:17" ht="21.95" customHeight="1" x14ac:dyDescent="0.15">
      <c r="A15" s="205" t="s">
        <v>144</v>
      </c>
      <c r="B15" s="206" t="s">
        <v>145</v>
      </c>
      <c r="C15" s="565">
        <v>291</v>
      </c>
      <c r="D15" s="207">
        <v>228501000</v>
      </c>
      <c r="E15" s="207"/>
      <c r="F15" s="207"/>
      <c r="G15" s="207">
        <f t="shared" si="0"/>
        <v>0</v>
      </c>
      <c r="H15" s="208">
        <f t="shared" si="5"/>
        <v>228501000</v>
      </c>
      <c r="I15" s="208">
        <f t="shared" si="2"/>
        <v>5422817000</v>
      </c>
      <c r="J15" s="209">
        <f t="shared" si="3"/>
        <v>0</v>
      </c>
      <c r="K15" s="210"/>
      <c r="L15" s="210"/>
      <c r="M15" s="210"/>
      <c r="N15" s="210"/>
      <c r="O15" s="211"/>
      <c r="P15" s="212"/>
      <c r="Q15" s="213"/>
    </row>
    <row r="16" spans="1:17" ht="21.95" customHeight="1" x14ac:dyDescent="0.15">
      <c r="A16" s="554" t="s">
        <v>146</v>
      </c>
      <c r="B16" s="558" t="s">
        <v>147</v>
      </c>
      <c r="C16" s="560">
        <v>262</v>
      </c>
      <c r="D16" s="556">
        <v>3169441000</v>
      </c>
      <c r="E16" s="556"/>
      <c r="F16" s="556"/>
      <c r="G16" s="556">
        <f t="shared" si="0"/>
        <v>0</v>
      </c>
      <c r="H16" s="557">
        <f t="shared" si="1"/>
        <v>3169441000</v>
      </c>
      <c r="I16" s="557">
        <f t="shared" si="2"/>
        <v>8592258000</v>
      </c>
      <c r="J16" s="209">
        <f t="shared" si="3"/>
        <v>0</v>
      </c>
      <c r="K16" s="210"/>
      <c r="L16" s="210"/>
      <c r="M16" s="210"/>
      <c r="N16" s="210"/>
      <c r="O16" s="211"/>
      <c r="P16" s="212"/>
      <c r="Q16" s="213"/>
    </row>
    <row r="17" spans="1:17" ht="21.95" customHeight="1" x14ac:dyDescent="0.15">
      <c r="A17" s="205"/>
      <c r="B17" s="206"/>
      <c r="C17" s="559"/>
      <c r="D17" s="207"/>
      <c r="E17" s="207"/>
      <c r="F17" s="207"/>
      <c r="G17" s="207">
        <f t="shared" si="0"/>
        <v>0</v>
      </c>
      <c r="H17" s="208" t="str">
        <f t="shared" si="1"/>
        <v/>
      </c>
      <c r="I17" s="208" t="str">
        <f t="shared" si="2"/>
        <v/>
      </c>
      <c r="J17" s="209">
        <f t="shared" si="3"/>
        <v>0</v>
      </c>
      <c r="K17" s="210"/>
      <c r="L17" s="210"/>
      <c r="M17" s="210"/>
      <c r="N17" s="210"/>
      <c r="O17" s="211"/>
      <c r="P17" s="211"/>
      <c r="Q17" s="213"/>
    </row>
    <row r="18" spans="1:17" ht="21.95" customHeight="1" x14ac:dyDescent="0.15">
      <c r="A18" s="205"/>
      <c r="B18" s="206"/>
      <c r="C18" s="559"/>
      <c r="D18" s="207"/>
      <c r="E18" s="207"/>
      <c r="F18" s="207"/>
      <c r="G18" s="207">
        <f t="shared" si="0"/>
        <v>0</v>
      </c>
      <c r="H18" s="208" t="str">
        <f t="shared" ref="H18:H45" si="6">IF(A18="","",SUM(D18:F18)-G18)</f>
        <v/>
      </c>
      <c r="I18" s="208" t="str">
        <f t="shared" si="2"/>
        <v/>
      </c>
      <c r="J18" s="209">
        <f t="shared" si="3"/>
        <v>0</v>
      </c>
      <c r="K18" s="218"/>
      <c r="L18" s="218"/>
      <c r="M18" s="218"/>
      <c r="N18" s="210"/>
      <c r="O18" s="211"/>
      <c r="P18" s="212"/>
      <c r="Q18" s="213"/>
    </row>
    <row r="19" spans="1:17" ht="21.95" customHeight="1" x14ac:dyDescent="0.15">
      <c r="A19" s="205"/>
      <c r="B19" s="206"/>
      <c r="C19" s="559"/>
      <c r="D19" s="207"/>
      <c r="E19" s="207"/>
      <c r="F19" s="207"/>
      <c r="G19" s="207">
        <f t="shared" si="0"/>
        <v>0</v>
      </c>
      <c r="H19" s="208" t="str">
        <f t="shared" si="6"/>
        <v/>
      </c>
      <c r="I19" s="208" t="str">
        <f t="shared" si="2"/>
        <v/>
      </c>
      <c r="J19" s="209">
        <f t="shared" si="3"/>
        <v>0</v>
      </c>
      <c r="K19" s="210"/>
      <c r="L19" s="219"/>
      <c r="M19" s="210"/>
      <c r="N19" s="210"/>
      <c r="O19" s="211"/>
      <c r="P19" s="211"/>
      <c r="Q19" s="213"/>
    </row>
    <row r="20" spans="1:17" ht="21.95" customHeight="1" x14ac:dyDescent="0.15">
      <c r="A20" s="205"/>
      <c r="B20" s="206"/>
      <c r="C20" s="559"/>
      <c r="D20" s="207"/>
      <c r="E20" s="207"/>
      <c r="F20" s="207"/>
      <c r="G20" s="207">
        <f t="shared" si="0"/>
        <v>0</v>
      </c>
      <c r="H20" s="208" t="str">
        <f t="shared" si="6"/>
        <v/>
      </c>
      <c r="I20" s="208" t="str">
        <f t="shared" si="2"/>
        <v/>
      </c>
      <c r="J20" s="209">
        <f t="shared" si="3"/>
        <v>0</v>
      </c>
      <c r="K20" s="210"/>
      <c r="L20" s="210"/>
      <c r="M20" s="210"/>
      <c r="N20" s="210"/>
      <c r="O20" s="211"/>
      <c r="P20" s="212"/>
      <c r="Q20" s="213"/>
    </row>
    <row r="21" spans="1:17" ht="21.95" customHeight="1" x14ac:dyDescent="0.15">
      <c r="A21" s="205"/>
      <c r="B21" s="206"/>
      <c r="C21" s="559"/>
      <c r="D21" s="207"/>
      <c r="E21" s="207"/>
      <c r="F21" s="207"/>
      <c r="G21" s="207">
        <f t="shared" si="0"/>
        <v>0</v>
      </c>
      <c r="H21" s="208" t="str">
        <f t="shared" si="6"/>
        <v/>
      </c>
      <c r="I21" s="208" t="str">
        <f t="shared" si="2"/>
        <v/>
      </c>
      <c r="J21" s="209">
        <f t="shared" si="3"/>
        <v>0</v>
      </c>
      <c r="K21" s="210"/>
      <c r="L21" s="210"/>
      <c r="M21" s="210"/>
      <c r="N21" s="210"/>
      <c r="O21" s="211"/>
      <c r="P21" s="212"/>
      <c r="Q21" s="213"/>
    </row>
    <row r="22" spans="1:17" ht="21.95" customHeight="1" x14ac:dyDescent="0.15">
      <c r="A22" s="205"/>
      <c r="B22" s="206"/>
      <c r="C22" s="561"/>
      <c r="D22" s="207"/>
      <c r="E22" s="207"/>
      <c r="F22" s="217"/>
      <c r="G22" s="207">
        <f t="shared" si="0"/>
        <v>0</v>
      </c>
      <c r="H22" s="220" t="str">
        <f t="shared" si="6"/>
        <v/>
      </c>
      <c r="I22" s="208" t="str">
        <f t="shared" si="2"/>
        <v/>
      </c>
      <c r="J22" s="209">
        <f t="shared" si="3"/>
        <v>0</v>
      </c>
      <c r="K22" s="210"/>
      <c r="L22" s="210"/>
      <c r="M22" s="210"/>
      <c r="N22" s="210"/>
      <c r="O22" s="211"/>
      <c r="P22" s="212"/>
      <c r="Q22" s="213"/>
    </row>
    <row r="23" spans="1:17" ht="21.95" customHeight="1" x14ac:dyDescent="0.15">
      <c r="A23" s="205"/>
      <c r="B23" s="206"/>
      <c r="C23" s="561"/>
      <c r="D23" s="207"/>
      <c r="E23" s="207"/>
      <c r="F23" s="217"/>
      <c r="G23" s="207"/>
      <c r="H23" s="220" t="str">
        <f t="shared" si="6"/>
        <v/>
      </c>
      <c r="I23" s="208" t="str">
        <f t="shared" si="2"/>
        <v/>
      </c>
      <c r="J23" s="209">
        <f t="shared" si="3"/>
        <v>0</v>
      </c>
      <c r="K23" s="210"/>
      <c r="L23" s="210"/>
      <c r="M23" s="210"/>
      <c r="N23" s="210"/>
      <c r="O23" s="211"/>
      <c r="P23" s="212"/>
      <c r="Q23" s="213"/>
    </row>
    <row r="24" spans="1:17" ht="21.95" customHeight="1" x14ac:dyDescent="0.15">
      <c r="A24" s="205"/>
      <c r="B24" s="206"/>
      <c r="C24" s="561"/>
      <c r="D24" s="207"/>
      <c r="E24" s="207"/>
      <c r="F24" s="207"/>
      <c r="G24" s="207"/>
      <c r="H24" s="220" t="str">
        <f t="shared" si="6"/>
        <v/>
      </c>
      <c r="I24" s="208" t="str">
        <f t="shared" si="2"/>
        <v/>
      </c>
      <c r="J24" s="209">
        <f t="shared" si="3"/>
        <v>0</v>
      </c>
      <c r="K24" s="219"/>
      <c r="L24" s="219"/>
      <c r="M24" s="210"/>
      <c r="N24" s="210"/>
      <c r="O24" s="211"/>
      <c r="P24" s="212"/>
      <c r="Q24" s="213"/>
    </row>
    <row r="25" spans="1:17" ht="21.95" customHeight="1" x14ac:dyDescent="0.15">
      <c r="A25" s="205"/>
      <c r="B25" s="206"/>
      <c r="C25" s="561"/>
      <c r="D25" s="207"/>
      <c r="E25" s="207"/>
      <c r="F25" s="207"/>
      <c r="G25" s="207"/>
      <c r="H25" s="208" t="str">
        <f t="shared" si="6"/>
        <v/>
      </c>
      <c r="I25" s="208" t="str">
        <f>IF(A25="","",(I24+H25))</f>
        <v/>
      </c>
      <c r="J25" s="209">
        <f t="shared" si="3"/>
        <v>0</v>
      </c>
      <c r="K25" s="219"/>
      <c r="L25" s="210"/>
      <c r="M25" s="210"/>
      <c r="N25" s="210"/>
      <c r="O25" s="211"/>
      <c r="P25" s="212"/>
      <c r="Q25" s="213"/>
    </row>
    <row r="26" spans="1:17" ht="21.95" customHeight="1" x14ac:dyDescent="0.15">
      <c r="A26" s="221"/>
      <c r="B26" s="222"/>
      <c r="C26" s="562"/>
      <c r="D26" s="223"/>
      <c r="E26" s="223"/>
      <c r="F26" s="223"/>
      <c r="G26" s="223"/>
      <c r="H26" s="224" t="str">
        <f t="shared" si="6"/>
        <v/>
      </c>
      <c r="I26" s="224" t="str">
        <f t="shared" si="2"/>
        <v/>
      </c>
      <c r="J26" s="209">
        <f t="shared" si="3"/>
        <v>0</v>
      </c>
      <c r="K26" s="210"/>
      <c r="L26" s="210"/>
      <c r="M26" s="210"/>
      <c r="N26" s="210"/>
      <c r="O26" s="211"/>
      <c r="P26" s="212"/>
      <c r="Q26" s="213"/>
    </row>
    <row r="27" spans="1:17" ht="21.95" customHeight="1" x14ac:dyDescent="0.15">
      <c r="A27" s="221"/>
      <c r="B27" s="222"/>
      <c r="C27" s="563"/>
      <c r="D27" s="223"/>
      <c r="E27" s="223"/>
      <c r="F27" s="225"/>
      <c r="G27" s="223"/>
      <c r="H27" s="226" t="str">
        <f t="shared" si="6"/>
        <v/>
      </c>
      <c r="I27" s="224" t="str">
        <f t="shared" si="2"/>
        <v/>
      </c>
      <c r="J27" s="209">
        <f t="shared" si="3"/>
        <v>0</v>
      </c>
      <c r="K27" s="210"/>
      <c r="L27" s="210"/>
      <c r="M27" s="210"/>
      <c r="N27" s="210"/>
      <c r="O27" s="211"/>
      <c r="P27" s="212"/>
      <c r="Q27" s="213"/>
    </row>
    <row r="28" spans="1:17" ht="21.95" customHeight="1" x14ac:dyDescent="0.15">
      <c r="A28" s="221"/>
      <c r="B28" s="222"/>
      <c r="C28" s="562"/>
      <c r="D28" s="223"/>
      <c r="E28" s="223"/>
      <c r="F28" s="223"/>
      <c r="G28" s="223"/>
      <c r="H28" s="226" t="str">
        <f t="shared" si="6"/>
        <v/>
      </c>
      <c r="I28" s="224" t="str">
        <f t="shared" si="2"/>
        <v/>
      </c>
      <c r="J28" s="209">
        <f t="shared" si="3"/>
        <v>0</v>
      </c>
      <c r="K28" s="210"/>
      <c r="L28" s="210"/>
      <c r="M28" s="210"/>
      <c r="N28" s="210"/>
      <c r="O28" s="211"/>
      <c r="P28" s="212"/>
      <c r="Q28" s="213"/>
    </row>
    <row r="29" spans="1:17" ht="21.95" customHeight="1" x14ac:dyDescent="0.15">
      <c r="A29" s="221"/>
      <c r="B29" s="222"/>
      <c r="C29" s="563"/>
      <c r="D29" s="223"/>
      <c r="E29" s="223"/>
      <c r="F29" s="225"/>
      <c r="G29" s="223"/>
      <c r="H29" s="226" t="str">
        <f t="shared" si="6"/>
        <v/>
      </c>
      <c r="I29" s="224" t="str">
        <f t="shared" si="2"/>
        <v/>
      </c>
      <c r="J29" s="209">
        <f t="shared" si="3"/>
        <v>0</v>
      </c>
      <c r="K29" s="210"/>
      <c r="L29" s="210"/>
      <c r="M29" s="210"/>
      <c r="N29" s="210"/>
      <c r="O29" s="211"/>
      <c r="P29" s="212"/>
      <c r="Q29" s="213"/>
    </row>
    <row r="30" spans="1:17" ht="21.95" customHeight="1" x14ac:dyDescent="0.15">
      <c r="A30" s="221"/>
      <c r="B30" s="222"/>
      <c r="C30" s="563"/>
      <c r="D30" s="223"/>
      <c r="E30" s="223"/>
      <c r="F30" s="225"/>
      <c r="G30" s="223"/>
      <c r="H30" s="224" t="str">
        <f t="shared" si="6"/>
        <v/>
      </c>
      <c r="I30" s="224" t="str">
        <f t="shared" si="2"/>
        <v/>
      </c>
      <c r="J30" s="209">
        <f t="shared" si="3"/>
        <v>0</v>
      </c>
      <c r="K30" s="210"/>
      <c r="L30" s="210"/>
      <c r="M30" s="210"/>
      <c r="N30" s="210"/>
      <c r="O30" s="211"/>
      <c r="P30" s="212"/>
      <c r="Q30" s="213"/>
    </row>
    <row r="31" spans="1:17" ht="21.95" hidden="1" customHeight="1" outlineLevel="1" x14ac:dyDescent="0.15">
      <c r="A31" s="221"/>
      <c r="B31" s="222"/>
      <c r="C31" s="563"/>
      <c r="D31" s="223"/>
      <c r="E31" s="223"/>
      <c r="F31" s="225"/>
      <c r="G31" s="223"/>
      <c r="H31" s="224" t="str">
        <f t="shared" si="6"/>
        <v/>
      </c>
      <c r="I31" s="224" t="str">
        <f t="shared" si="2"/>
        <v/>
      </c>
      <c r="J31" s="209">
        <f t="shared" si="3"/>
        <v>0</v>
      </c>
      <c r="K31" s="210"/>
      <c r="L31" s="210"/>
      <c r="M31" s="210"/>
      <c r="N31" s="210"/>
      <c r="O31" s="211"/>
      <c r="P31" s="212"/>
      <c r="Q31" s="213"/>
    </row>
    <row r="32" spans="1:17" ht="21.95" hidden="1" customHeight="1" outlineLevel="1" x14ac:dyDescent="0.15">
      <c r="A32" s="221"/>
      <c r="B32" s="222"/>
      <c r="C32" s="563"/>
      <c r="D32" s="223"/>
      <c r="E32" s="223"/>
      <c r="F32" s="225"/>
      <c r="G32" s="223"/>
      <c r="H32" s="224" t="str">
        <f t="shared" si="6"/>
        <v/>
      </c>
      <c r="I32" s="224" t="str">
        <f t="shared" si="2"/>
        <v/>
      </c>
      <c r="J32" s="209">
        <f t="shared" si="3"/>
        <v>0</v>
      </c>
      <c r="K32" s="211"/>
      <c r="L32" s="211"/>
      <c r="M32" s="211"/>
      <c r="N32" s="211"/>
      <c r="O32" s="211"/>
      <c r="P32" s="212"/>
      <c r="Q32" s="213"/>
    </row>
    <row r="33" spans="1:17" ht="21.95" hidden="1" customHeight="1" outlineLevel="1" x14ac:dyDescent="0.15">
      <c r="A33" s="221"/>
      <c r="B33" s="222"/>
      <c r="C33" s="563"/>
      <c r="D33" s="223"/>
      <c r="E33" s="223"/>
      <c r="F33" s="223"/>
      <c r="G33" s="223"/>
      <c r="H33" s="224" t="str">
        <f t="shared" si="6"/>
        <v/>
      </c>
      <c r="I33" s="224" t="str">
        <f t="shared" si="2"/>
        <v/>
      </c>
      <c r="J33" s="209">
        <f t="shared" si="3"/>
        <v>0</v>
      </c>
      <c r="K33" s="211"/>
      <c r="L33" s="211"/>
      <c r="M33" s="211"/>
      <c r="N33" s="211"/>
      <c r="O33" s="211"/>
      <c r="P33" s="212"/>
      <c r="Q33" s="213"/>
    </row>
    <row r="34" spans="1:17" ht="21.95" hidden="1" customHeight="1" outlineLevel="1" x14ac:dyDescent="0.15">
      <c r="A34" s="221"/>
      <c r="B34" s="222"/>
      <c r="C34" s="563"/>
      <c r="D34" s="223"/>
      <c r="E34" s="223"/>
      <c r="F34" s="225"/>
      <c r="G34" s="223"/>
      <c r="H34" s="224" t="str">
        <f t="shared" si="6"/>
        <v/>
      </c>
      <c r="I34" s="224" t="str">
        <f>IF(A34="","",(I33+H34))</f>
        <v/>
      </c>
      <c r="J34" s="188">
        <f t="shared" si="3"/>
        <v>0</v>
      </c>
      <c r="Q34" s="227"/>
    </row>
    <row r="35" spans="1:17" ht="21.95" hidden="1" customHeight="1" outlineLevel="1" x14ac:dyDescent="0.15">
      <c r="A35" s="221"/>
      <c r="B35" s="222"/>
      <c r="C35" s="563"/>
      <c r="D35" s="223"/>
      <c r="E35" s="223"/>
      <c r="F35" s="223"/>
      <c r="G35" s="223"/>
      <c r="H35" s="224" t="str">
        <f t="shared" si="6"/>
        <v/>
      </c>
      <c r="I35" s="224" t="str">
        <f t="shared" si="2"/>
        <v/>
      </c>
      <c r="J35" s="188">
        <f t="shared" si="3"/>
        <v>0</v>
      </c>
      <c r="Q35" s="227"/>
    </row>
    <row r="36" spans="1:17" ht="21.95" hidden="1" customHeight="1" outlineLevel="1" x14ac:dyDescent="0.15">
      <c r="A36" s="221"/>
      <c r="B36" s="222"/>
      <c r="C36" s="563"/>
      <c r="D36" s="223"/>
      <c r="E36" s="223"/>
      <c r="F36" s="225"/>
      <c r="G36" s="223"/>
      <c r="H36" s="224" t="str">
        <f t="shared" si="6"/>
        <v/>
      </c>
      <c r="I36" s="224" t="str">
        <f t="shared" si="2"/>
        <v/>
      </c>
      <c r="J36" s="188">
        <f t="shared" si="3"/>
        <v>0</v>
      </c>
      <c r="Q36" s="227"/>
    </row>
    <row r="37" spans="1:17" ht="21.95" hidden="1" customHeight="1" outlineLevel="1" x14ac:dyDescent="0.15">
      <c r="A37" s="221"/>
      <c r="B37" s="222"/>
      <c r="C37" s="563"/>
      <c r="D37" s="223"/>
      <c r="E37" s="223"/>
      <c r="F37" s="225"/>
      <c r="G37" s="223"/>
      <c r="H37" s="224" t="str">
        <f t="shared" si="6"/>
        <v/>
      </c>
      <c r="I37" s="224" t="str">
        <f t="shared" si="2"/>
        <v/>
      </c>
      <c r="J37" s="188">
        <f t="shared" si="3"/>
        <v>0</v>
      </c>
      <c r="Q37" s="227"/>
    </row>
    <row r="38" spans="1:17" ht="21.95" hidden="1" customHeight="1" outlineLevel="1" x14ac:dyDescent="0.15">
      <c r="A38" s="221"/>
      <c r="B38" s="222"/>
      <c r="C38" s="563"/>
      <c r="D38" s="223"/>
      <c r="E38" s="223"/>
      <c r="F38" s="223"/>
      <c r="G38" s="223"/>
      <c r="H38" s="224" t="str">
        <f t="shared" si="6"/>
        <v/>
      </c>
      <c r="I38" s="224" t="str">
        <f t="shared" si="2"/>
        <v/>
      </c>
      <c r="J38" s="188">
        <f t="shared" si="3"/>
        <v>0</v>
      </c>
      <c r="Q38" s="227"/>
    </row>
    <row r="39" spans="1:17" ht="21.95" hidden="1" customHeight="1" outlineLevel="1" x14ac:dyDescent="0.15">
      <c r="A39" s="221"/>
      <c r="B39" s="222"/>
      <c r="C39" s="563"/>
      <c r="D39" s="223"/>
      <c r="E39" s="223"/>
      <c r="F39" s="225"/>
      <c r="G39" s="223"/>
      <c r="H39" s="224" t="str">
        <f t="shared" si="6"/>
        <v/>
      </c>
      <c r="I39" s="224" t="str">
        <f t="shared" si="2"/>
        <v/>
      </c>
      <c r="J39" s="188">
        <f t="shared" si="3"/>
        <v>0</v>
      </c>
      <c r="Q39" s="227"/>
    </row>
    <row r="40" spans="1:17" ht="21.95" hidden="1" customHeight="1" outlineLevel="1" x14ac:dyDescent="0.15">
      <c r="A40" s="221"/>
      <c r="B40" s="222"/>
      <c r="C40" s="563"/>
      <c r="D40" s="223"/>
      <c r="E40" s="223"/>
      <c r="F40" s="223"/>
      <c r="G40" s="223"/>
      <c r="H40" s="224" t="str">
        <f t="shared" si="6"/>
        <v/>
      </c>
      <c r="I40" s="224" t="str">
        <f t="shared" si="2"/>
        <v/>
      </c>
      <c r="J40" s="188">
        <f t="shared" si="3"/>
        <v>0</v>
      </c>
      <c r="Q40" s="227"/>
    </row>
    <row r="41" spans="1:17" ht="21.95" hidden="1" customHeight="1" outlineLevel="1" x14ac:dyDescent="0.15">
      <c r="A41" s="221"/>
      <c r="B41" s="222"/>
      <c r="C41" s="563"/>
      <c r="D41" s="223"/>
      <c r="E41" s="223"/>
      <c r="F41" s="223"/>
      <c r="G41" s="223"/>
      <c r="H41" s="224" t="str">
        <f>IF(A41="","",SUM(D41:F41)-G41)</f>
        <v/>
      </c>
      <c r="I41" s="224" t="str">
        <f t="shared" si="2"/>
        <v/>
      </c>
      <c r="J41" s="188">
        <f t="shared" si="3"/>
        <v>0</v>
      </c>
      <c r="Q41" s="227"/>
    </row>
    <row r="42" spans="1:17" ht="21.95" hidden="1" customHeight="1" outlineLevel="1" x14ac:dyDescent="0.15">
      <c r="A42" s="221"/>
      <c r="B42" s="222"/>
      <c r="C42" s="563"/>
      <c r="D42" s="223"/>
      <c r="E42" s="223"/>
      <c r="F42" s="223"/>
      <c r="G42" s="223"/>
      <c r="H42" s="224" t="str">
        <f t="shared" si="6"/>
        <v/>
      </c>
      <c r="I42" s="224" t="str">
        <f t="shared" si="2"/>
        <v/>
      </c>
      <c r="J42" s="188">
        <f t="shared" si="3"/>
        <v>0</v>
      </c>
      <c r="K42"/>
      <c r="L42"/>
      <c r="Q42" s="227"/>
    </row>
    <row r="43" spans="1:17" ht="21.95" hidden="1" customHeight="1" outlineLevel="1" x14ac:dyDescent="0.15">
      <c r="A43" s="221"/>
      <c r="B43" s="222"/>
      <c r="C43" s="563"/>
      <c r="D43" s="223"/>
      <c r="E43" s="223"/>
      <c r="F43" s="223"/>
      <c r="G43" s="223"/>
      <c r="H43" s="224" t="str">
        <f t="shared" si="6"/>
        <v/>
      </c>
      <c r="I43" s="224" t="str">
        <f t="shared" si="2"/>
        <v/>
      </c>
      <c r="J43" s="188">
        <f t="shared" si="3"/>
        <v>0</v>
      </c>
      <c r="Q43" s="227"/>
    </row>
    <row r="44" spans="1:17" ht="21.95" hidden="1" customHeight="1" outlineLevel="1" x14ac:dyDescent="0.15">
      <c r="A44" s="221"/>
      <c r="B44" s="222"/>
      <c r="C44" s="563"/>
      <c r="D44" s="223"/>
      <c r="E44" s="223"/>
      <c r="F44" s="223"/>
      <c r="G44" s="223"/>
      <c r="H44" s="224" t="str">
        <f t="shared" si="6"/>
        <v/>
      </c>
      <c r="I44" s="224" t="str">
        <f t="shared" si="2"/>
        <v/>
      </c>
      <c r="J44" s="188">
        <f t="shared" si="3"/>
        <v>0</v>
      </c>
      <c r="Q44" s="227"/>
    </row>
    <row r="45" spans="1:17" ht="21.95" hidden="1" customHeight="1" outlineLevel="1" x14ac:dyDescent="0.15">
      <c r="A45" s="221"/>
      <c r="B45" s="222"/>
      <c r="C45" s="563"/>
      <c r="D45" s="223"/>
      <c r="E45" s="223"/>
      <c r="F45" s="223"/>
      <c r="G45" s="223"/>
      <c r="H45" s="224" t="str">
        <f t="shared" si="6"/>
        <v/>
      </c>
      <c r="I45" s="224" t="str">
        <f t="shared" si="2"/>
        <v/>
      </c>
      <c r="Q45" s="227"/>
    </row>
    <row r="46" spans="1:17" ht="21.95" customHeight="1" collapsed="1" x14ac:dyDescent="0.15">
      <c r="A46" s="228"/>
      <c r="B46" s="229"/>
      <c r="C46" s="564"/>
      <c r="D46" s="230"/>
      <c r="E46" s="230"/>
      <c r="F46" s="230"/>
      <c r="G46" s="223"/>
      <c r="H46" s="224"/>
      <c r="I46" s="224" t="str">
        <f t="shared" si="2"/>
        <v/>
      </c>
      <c r="Q46" s="227"/>
    </row>
    <row r="47" spans="1:17" ht="21.95" customHeight="1" x14ac:dyDescent="0.15">
      <c r="A47" s="228"/>
      <c r="B47" s="229"/>
      <c r="C47" s="564"/>
      <c r="D47" s="230"/>
      <c r="E47" s="230"/>
      <c r="F47" s="230"/>
      <c r="G47" s="223"/>
      <c r="H47" s="224"/>
      <c r="I47" s="224" t="str">
        <f t="shared" si="2"/>
        <v/>
      </c>
      <c r="Q47" s="227"/>
    </row>
    <row r="48" spans="1:17" ht="21.95" customHeight="1" x14ac:dyDescent="0.15">
      <c r="A48" s="228"/>
      <c r="B48" s="229"/>
      <c r="C48" s="564"/>
      <c r="D48" s="230"/>
      <c r="E48" s="230"/>
      <c r="F48" s="230"/>
      <c r="G48" s="223"/>
      <c r="H48" s="224"/>
      <c r="I48" s="224" t="str">
        <f t="shared" si="2"/>
        <v/>
      </c>
      <c r="Q48" s="227"/>
    </row>
    <row r="49" spans="1:17" ht="21.95" customHeight="1" x14ac:dyDescent="0.15">
      <c r="A49" s="228"/>
      <c r="B49" s="229"/>
      <c r="C49" s="564"/>
      <c r="D49" s="230"/>
      <c r="E49" s="230"/>
      <c r="F49" s="230"/>
      <c r="G49" s="223"/>
      <c r="H49" s="231"/>
      <c r="I49" s="231" t="str">
        <f t="shared" si="2"/>
        <v/>
      </c>
      <c r="Q49" s="227"/>
    </row>
    <row r="50" spans="1:17" ht="21.95" customHeight="1" x14ac:dyDescent="0.15">
      <c r="A50" s="228"/>
      <c r="B50" s="229"/>
      <c r="C50" s="564"/>
      <c r="D50" s="230"/>
      <c r="E50" s="230"/>
      <c r="F50" s="230"/>
      <c r="G50" s="223"/>
      <c r="H50" s="231"/>
      <c r="I50" s="231" t="str">
        <f t="shared" si="2"/>
        <v/>
      </c>
      <c r="Q50" s="227"/>
    </row>
    <row r="51" spans="1:17" ht="21.95" customHeight="1" x14ac:dyDescent="0.15">
      <c r="A51" s="228"/>
      <c r="B51" s="229"/>
      <c r="C51" s="564"/>
      <c r="D51" s="230"/>
      <c r="E51" s="230"/>
      <c r="F51" s="230"/>
      <c r="G51" s="223"/>
      <c r="H51" s="232"/>
      <c r="I51" s="232" t="str">
        <f t="shared" si="2"/>
        <v/>
      </c>
      <c r="Q51" s="227"/>
    </row>
    <row r="52" spans="1:17" ht="21.95" customHeight="1" x14ac:dyDescent="0.15">
      <c r="A52" s="228"/>
      <c r="B52" s="229"/>
      <c r="C52" s="564"/>
      <c r="D52" s="230"/>
      <c r="E52" s="230"/>
      <c r="F52" s="230"/>
      <c r="G52" s="223"/>
      <c r="H52" s="231"/>
      <c r="I52" s="231" t="str">
        <f t="shared" si="2"/>
        <v/>
      </c>
      <c r="Q52" s="227"/>
    </row>
    <row r="53" spans="1:17" ht="21.95" customHeight="1" x14ac:dyDescent="0.15">
      <c r="A53" s="228"/>
      <c r="B53" s="229"/>
      <c r="C53" s="564"/>
      <c r="D53" s="230"/>
      <c r="E53" s="230"/>
      <c r="F53" s="230"/>
      <c r="G53" s="223"/>
      <c r="H53" s="231"/>
      <c r="I53" s="231" t="str">
        <f t="shared" si="2"/>
        <v/>
      </c>
      <c r="Q53" s="227"/>
    </row>
    <row r="54" spans="1:17" ht="21.95" customHeight="1" x14ac:dyDescent="0.15">
      <c r="A54" s="228"/>
      <c r="B54" s="229"/>
      <c r="C54" s="564"/>
      <c r="D54" s="230"/>
      <c r="E54" s="230"/>
      <c r="F54" s="230"/>
      <c r="G54" s="223"/>
      <c r="H54" s="231"/>
      <c r="I54" s="231" t="str">
        <f t="shared" si="2"/>
        <v/>
      </c>
      <c r="Q54" s="227"/>
    </row>
    <row r="55" spans="1:17" ht="21.95" customHeight="1" x14ac:dyDescent="0.15">
      <c r="A55" s="228"/>
      <c r="B55" s="229"/>
      <c r="C55" s="564"/>
      <c r="D55" s="230"/>
      <c r="E55" s="230"/>
      <c r="F55" s="230"/>
      <c r="G55" s="223"/>
      <c r="H55" s="231"/>
      <c r="I55" s="231" t="str">
        <f t="shared" si="2"/>
        <v/>
      </c>
      <c r="Q55" s="227"/>
    </row>
    <row r="56" spans="1:17" ht="21.95" customHeight="1" x14ac:dyDescent="0.15">
      <c r="A56" s="228"/>
      <c r="B56" s="229"/>
      <c r="C56" s="564"/>
      <c r="D56" s="230"/>
      <c r="E56" s="230"/>
      <c r="F56" s="230"/>
      <c r="G56" s="223"/>
      <c r="H56" s="231"/>
      <c r="I56" s="231" t="str">
        <f t="shared" si="2"/>
        <v/>
      </c>
      <c r="Q56" s="227"/>
    </row>
    <row r="57" spans="1:17" ht="21.95" customHeight="1" x14ac:dyDescent="0.15">
      <c r="A57" s="228"/>
      <c r="B57" s="229"/>
      <c r="C57" s="564"/>
      <c r="D57" s="230"/>
      <c r="E57" s="230"/>
      <c r="F57" s="230"/>
      <c r="G57" s="223"/>
      <c r="H57" s="231"/>
      <c r="I57" s="231" t="str">
        <f t="shared" si="2"/>
        <v/>
      </c>
      <c r="Q57" s="227"/>
    </row>
    <row r="58" spans="1:17" ht="21.95" customHeight="1" x14ac:dyDescent="0.15">
      <c r="A58" s="228"/>
      <c r="B58" s="229"/>
      <c r="C58" s="564"/>
      <c r="D58" s="230"/>
      <c r="E58" s="230"/>
      <c r="F58" s="230"/>
      <c r="G58" s="223"/>
      <c r="H58" s="231"/>
      <c r="I58" s="231" t="str">
        <f t="shared" si="2"/>
        <v/>
      </c>
      <c r="Q58" s="227"/>
    </row>
    <row r="59" spans="1:17" ht="21.95" customHeight="1" x14ac:dyDescent="0.15">
      <c r="A59" s="228"/>
      <c r="B59" s="229"/>
      <c r="C59" s="564"/>
      <c r="D59" s="230"/>
      <c r="E59" s="230"/>
      <c r="F59" s="230"/>
      <c r="G59" s="223"/>
      <c r="H59" s="231"/>
      <c r="I59" s="231" t="str">
        <f t="shared" si="2"/>
        <v/>
      </c>
      <c r="Q59" s="227"/>
    </row>
    <row r="60" spans="1:17" ht="21.95" customHeight="1" x14ac:dyDescent="0.15">
      <c r="A60" s="228"/>
      <c r="B60" s="229"/>
      <c r="C60" s="564"/>
      <c r="D60" s="230"/>
      <c r="E60" s="230"/>
      <c r="F60" s="230"/>
      <c r="G60" s="223"/>
      <c r="H60" s="231"/>
      <c r="I60" s="231" t="str">
        <f t="shared" si="2"/>
        <v/>
      </c>
      <c r="Q60" s="227"/>
    </row>
    <row r="61" spans="1:17" ht="21.95" customHeight="1" x14ac:dyDescent="0.15">
      <c r="A61" s="228"/>
      <c r="B61" s="229"/>
      <c r="C61" s="564"/>
      <c r="D61" s="230"/>
      <c r="E61" s="230"/>
      <c r="F61" s="230"/>
      <c r="G61" s="223"/>
      <c r="H61" s="231"/>
      <c r="I61" s="231" t="str">
        <f t="shared" si="2"/>
        <v/>
      </c>
      <c r="Q61" s="227"/>
    </row>
    <row r="62" spans="1:17" ht="21.95" customHeight="1" x14ac:dyDescent="0.15">
      <c r="A62" s="233" t="s">
        <v>71</v>
      </c>
      <c r="B62" s="234">
        <f t="shared" ref="B62:F62" si="7">SUM(B6:B61)</f>
        <v>0</v>
      </c>
      <c r="C62" s="235">
        <f t="shared" si="7"/>
        <v>5434</v>
      </c>
      <c r="D62" s="235">
        <f>SUM(D6:D61)</f>
        <v>8592258000</v>
      </c>
      <c r="E62" s="235">
        <f t="shared" si="7"/>
        <v>0</v>
      </c>
      <c r="F62" s="235">
        <f t="shared" si="7"/>
        <v>0</v>
      </c>
      <c r="G62" s="235">
        <f>SUM(G6:G61)</f>
        <v>0</v>
      </c>
      <c r="H62" s="235">
        <f>SUM(H6:H61)</f>
        <v>8592258000</v>
      </c>
      <c r="I62" s="235">
        <f>MAX(I6:I61)</f>
        <v>8592258000</v>
      </c>
      <c r="J62" s="188">
        <f>SUM(J6:J60)</f>
        <v>0</v>
      </c>
      <c r="P62" s="236"/>
      <c r="Q62" s="227">
        <f>SUM(Q6:Q39)</f>
        <v>0</v>
      </c>
    </row>
    <row r="63" spans="1:17" ht="24.95" hidden="1" customHeight="1" x14ac:dyDescent="0.15">
      <c r="A63" s="237"/>
      <c r="B63" s="238"/>
      <c r="C63" s="239"/>
      <c r="D63" s="239" t="e">
        <f>#REF!-#REF!</f>
        <v>#REF!</v>
      </c>
      <c r="E63" s="239" t="e">
        <f>#REF!-#REF!</f>
        <v>#REF!</v>
      </c>
      <c r="F63" s="239" t="e">
        <f>#REF!-#REF!</f>
        <v>#REF!</v>
      </c>
      <c r="G63" s="240" t="e">
        <f>#REF!</f>
        <v>#REF!</v>
      </c>
      <c r="H63" s="241" t="e">
        <f>SUM(C63:E63)+F63</f>
        <v>#REF!</v>
      </c>
      <c r="I63" s="241" t="e">
        <f>SUM(D63:F63)+G63</f>
        <v>#REF!</v>
      </c>
    </row>
    <row r="64" spans="1:17" ht="24.95" hidden="1" customHeight="1" thickBot="1" x14ac:dyDescent="0.2">
      <c r="A64" s="242"/>
      <c r="B64" s="243"/>
      <c r="C64" s="244"/>
      <c r="D64" s="244"/>
      <c r="E64" s="244"/>
      <c r="F64" s="244"/>
      <c r="G64" s="244"/>
      <c r="H64" s="245" t="e">
        <f>#REF!-H63</f>
        <v>#REF!</v>
      </c>
      <c r="I64" s="245" t="e">
        <f>#REF!-I63</f>
        <v>#REF!</v>
      </c>
    </row>
    <row r="65" spans="1:16" ht="24.95" customHeight="1" x14ac:dyDescent="0.15">
      <c r="A65" s="246"/>
      <c r="B65" s="204"/>
      <c r="C65" s="188"/>
      <c r="D65" s="188"/>
      <c r="E65" s="188"/>
      <c r="F65" s="188"/>
      <c r="G65" s="188"/>
      <c r="H65" s="247"/>
      <c r="I65" s="247"/>
      <c r="P65" s="236"/>
    </row>
    <row r="66" spans="1:16" ht="24.95" customHeight="1" x14ac:dyDescent="0.15">
      <c r="A66" s="246"/>
      <c r="B66" s="204"/>
      <c r="C66" s="188"/>
      <c r="D66" s="188"/>
      <c r="E66" s="188"/>
      <c r="F66" s="248">
        <f>SUM(D62:F62)</f>
        <v>8592258000</v>
      </c>
      <c r="G66" s="248">
        <f>G62</f>
        <v>0</v>
      </c>
      <c r="H66" s="249">
        <f>H62</f>
        <v>8592258000</v>
      </c>
      <c r="I66" s="247"/>
    </row>
    <row r="67" spans="1:16" ht="24.95" customHeight="1" x14ac:dyDescent="0.15">
      <c r="A67" s="250"/>
      <c r="B67" s="251"/>
      <c r="C67" s="252"/>
      <c r="D67" s="252"/>
      <c r="E67" s="252"/>
      <c r="F67" s="253">
        <f>투자현황!N28</f>
        <v>5422817000</v>
      </c>
      <c r="G67" s="253">
        <f>투자현황!T28</f>
        <v>0</v>
      </c>
      <c r="H67" s="249">
        <f>투자현황!Z28</f>
        <v>8592258000</v>
      </c>
      <c r="I67" s="247"/>
    </row>
    <row r="68" spans="1:16" ht="24.95" customHeight="1" x14ac:dyDescent="0.15">
      <c r="A68" s="246"/>
      <c r="B68" s="204"/>
      <c r="C68" s="188"/>
      <c r="D68" s="188"/>
      <c r="E68" s="188"/>
      <c r="F68" s="254">
        <f>F66-F67</f>
        <v>3169441000</v>
      </c>
      <c r="G68" s="254"/>
      <c r="H68" s="254">
        <f>H66-H67</f>
        <v>0</v>
      </c>
      <c r="I68" s="247"/>
    </row>
    <row r="69" spans="1:16" ht="24.95" customHeight="1" x14ac:dyDescent="0.15">
      <c r="A69" s="246"/>
      <c r="B69" s="204"/>
      <c r="C69" s="188"/>
      <c r="D69" s="188"/>
      <c r="E69" s="188"/>
      <c r="F69" s="188"/>
      <c r="G69" s="188"/>
      <c r="H69" s="247"/>
      <c r="I69" s="247"/>
    </row>
    <row r="70" spans="1:16" ht="24.95" customHeight="1" x14ac:dyDescent="0.15">
      <c r="A70" s="246"/>
      <c r="B70" s="204"/>
      <c r="C70" s="188"/>
      <c r="D70" s="188"/>
      <c r="E70" s="188"/>
      <c r="F70" s="188"/>
      <c r="G70" s="188"/>
      <c r="H70" s="247"/>
      <c r="I70" s="247"/>
    </row>
    <row r="71" spans="1:16" ht="24.95" customHeight="1" x14ac:dyDescent="0.15">
      <c r="A71" s="246"/>
      <c r="B71" s="204"/>
      <c r="C71" s="188"/>
      <c r="D71" s="188"/>
      <c r="E71" s="188"/>
      <c r="F71" s="188"/>
      <c r="G71" s="188"/>
      <c r="H71" s="247"/>
      <c r="I71" s="247"/>
    </row>
  </sheetData>
  <phoneticPr fontId="3" type="noConversion"/>
  <conditionalFormatting sqref="H64:I64">
    <cfRule type="expression" dxfId="2" priority="1" stopIfTrue="1">
      <formula>SUM(#REF!&lt;&gt;$I$64)</formula>
    </cfRule>
  </conditionalFormatting>
  <pageMargins left="0.59055118110236227" right="0.51181102362204722" top="0.78740157480314965" bottom="0.39370078740157483" header="0.51181102362204722" footer="0.51181102362204722"/>
  <pageSetup paperSize="9" scale="7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AO45"/>
  <sheetViews>
    <sheetView showGridLines="0" showZeros="0" zoomScale="80" zoomScaleNormal="80" zoomScaleSheetLayoutView="85" workbookViewId="0">
      <pane xSplit="2" ySplit="8" topLeftCell="I15" activePane="bottomRight" state="frozen"/>
      <selection activeCell="Q6" sqref="Q6"/>
      <selection pane="topRight" activeCell="Q6" sqref="Q6"/>
      <selection pane="bottomLeft" activeCell="Q6" sqref="Q6"/>
      <selection pane="bottomRight" activeCell="T26" sqref="T26"/>
    </sheetView>
  </sheetViews>
  <sheetFormatPr defaultRowHeight="13.5" outlineLevelCol="1" x14ac:dyDescent="0.15"/>
  <cols>
    <col min="1" max="1" width="6.33203125" style="259" customWidth="1"/>
    <col min="2" max="2" width="8.109375" style="259" customWidth="1"/>
    <col min="3" max="3" width="8.77734375" style="259" hidden="1" customWidth="1"/>
    <col min="4" max="4" width="11.77734375" style="259" hidden="1" customWidth="1"/>
    <col min="5" max="5" width="8.33203125" style="259" hidden="1" customWidth="1"/>
    <col min="6" max="6" width="8.77734375" style="259" hidden="1" customWidth="1"/>
    <col min="7" max="7" width="11.77734375" style="259" hidden="1" customWidth="1"/>
    <col min="8" max="8" width="10.5546875" style="259" hidden="1" customWidth="1"/>
    <col min="9" max="9" width="8.77734375" style="259" customWidth="1"/>
    <col min="10" max="10" width="11.77734375" style="259" customWidth="1"/>
    <col min="11" max="11" width="6.77734375" style="259" customWidth="1"/>
    <col min="12" max="13" width="8.77734375" style="259" customWidth="1"/>
    <col min="14" max="14" width="12.77734375" style="259" bestFit="1" customWidth="1"/>
    <col min="15" max="15" width="8.77734375" style="259" customWidth="1"/>
    <col min="16" max="16" width="8.109375" style="259" customWidth="1"/>
    <col min="17" max="17" width="10.77734375" style="259" customWidth="1"/>
    <col min="18" max="18" width="8.77734375" style="259" customWidth="1"/>
    <col min="19" max="19" width="7.21875" style="259" customWidth="1"/>
    <col min="20" max="20" width="11.21875" style="259" customWidth="1"/>
    <col min="21" max="22" width="8.77734375" style="259" hidden="1" customWidth="1"/>
    <col min="23" max="23" width="11.77734375" style="259" hidden="1" customWidth="1"/>
    <col min="24" max="24" width="8.77734375" style="259" customWidth="1"/>
    <col min="25" max="25" width="9.21875" style="259" customWidth="1"/>
    <col min="26" max="26" width="11.33203125" style="259" customWidth="1"/>
    <col min="27" max="27" width="7.6640625" style="6" bestFit="1" customWidth="1"/>
    <col min="28" max="28" width="11.77734375" style="259" customWidth="1"/>
    <col min="29" max="29" width="11" style="259" hidden="1" customWidth="1"/>
    <col min="30" max="30" width="10.88671875" style="259" hidden="1" customWidth="1"/>
    <col min="31" max="31" width="11.21875" style="259" hidden="1" customWidth="1"/>
    <col min="32" max="32" width="11.21875" style="265" hidden="1" customWidth="1"/>
    <col min="33" max="33" width="13.44140625" style="259" customWidth="1"/>
    <col min="34" max="34" width="10.21875" style="259" bestFit="1" customWidth="1"/>
    <col min="35" max="35" width="11.44140625" style="6" hidden="1" customWidth="1" outlineLevel="1"/>
    <col min="36" max="36" width="15.5546875" style="180" hidden="1" customWidth="1" outlineLevel="1"/>
    <col min="37" max="37" width="14.6640625" style="6" hidden="1" customWidth="1" outlineLevel="1"/>
    <col min="38" max="38" width="17.33203125" style="6" hidden="1" customWidth="1" outlineLevel="1"/>
    <col min="39" max="39" width="8.88671875" style="259" collapsed="1"/>
    <col min="40" max="40" width="13.6640625" style="259" bestFit="1" customWidth="1"/>
    <col min="41" max="41" width="14.21875" style="259" bestFit="1" customWidth="1"/>
    <col min="42" max="16384" width="8.88671875" style="259"/>
  </cols>
  <sheetData>
    <row r="1" spans="1:40" ht="17.100000000000001" customHeight="1" x14ac:dyDescent="0.15">
      <c r="A1" s="258"/>
      <c r="B1" s="7"/>
      <c r="F1" s="7"/>
      <c r="G1" s="7"/>
      <c r="H1" s="7"/>
      <c r="I1" s="7"/>
      <c r="J1" s="7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B1" s="8"/>
      <c r="AC1" s="8"/>
      <c r="AD1" s="8"/>
      <c r="AE1" s="8"/>
      <c r="AF1" s="260"/>
    </row>
    <row r="2" spans="1:40" ht="17.100000000000001" customHeight="1" x14ac:dyDescent="0.15">
      <c r="A2" s="258"/>
      <c r="B2" s="7"/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B2" s="8"/>
      <c r="AC2" s="8"/>
      <c r="AD2" s="8"/>
      <c r="AE2" s="8"/>
      <c r="AF2" s="260"/>
      <c r="AK2" s="261"/>
    </row>
    <row r="3" spans="1:40" ht="17.100000000000001" customHeight="1" x14ac:dyDescent="0.15">
      <c r="A3" s="258"/>
      <c r="B3" s="7"/>
      <c r="F3" s="7"/>
      <c r="G3" s="7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B3" s="8"/>
      <c r="AC3" s="8"/>
      <c r="AD3" s="8"/>
      <c r="AE3" s="8"/>
      <c r="AF3" s="260"/>
    </row>
    <row r="4" spans="1:40" ht="17.100000000000001" customHeight="1" x14ac:dyDescent="0.15">
      <c r="A4" s="258"/>
      <c r="B4" s="7"/>
      <c r="F4" s="7"/>
      <c r="G4" s="7"/>
      <c r="H4" s="7"/>
      <c r="I4" s="7"/>
      <c r="J4" s="7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B4" s="8"/>
      <c r="AC4" s="8"/>
      <c r="AD4" s="8"/>
      <c r="AE4" s="8"/>
      <c r="AF4" s="260"/>
      <c r="AI4" s="262"/>
    </row>
    <row r="5" spans="1:40" ht="17.100000000000001" customHeight="1" x14ac:dyDescent="0.15">
      <c r="A5" s="258"/>
      <c r="B5" s="7"/>
      <c r="F5" s="7"/>
      <c r="G5" s="7"/>
      <c r="H5" s="7"/>
      <c r="I5" s="7"/>
      <c r="J5" s="7"/>
      <c r="K5" s="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B5" s="8"/>
      <c r="AC5" s="8"/>
      <c r="AD5" s="8"/>
      <c r="AE5" s="8"/>
      <c r="AF5" s="260"/>
    </row>
    <row r="6" spans="1:40" ht="24.95" customHeight="1" thickBot="1" x14ac:dyDescent="0.2">
      <c r="N6" s="263"/>
      <c r="Q6" s="264"/>
      <c r="AB6" s="259">
        <v>0</v>
      </c>
      <c r="AG6" s="266" t="s">
        <v>72</v>
      </c>
    </row>
    <row r="7" spans="1:40" ht="30" customHeight="1" thickTop="1" x14ac:dyDescent="0.15">
      <c r="A7" s="623" t="s">
        <v>73</v>
      </c>
      <c r="B7" s="624"/>
      <c r="C7" s="267" t="s">
        <v>74</v>
      </c>
      <c r="D7" s="268"/>
      <c r="E7" s="268"/>
      <c r="F7" s="627" t="s">
        <v>75</v>
      </c>
      <c r="G7" s="628"/>
      <c r="H7" s="629" t="s">
        <v>76</v>
      </c>
      <c r="I7" s="269" t="s">
        <v>77</v>
      </c>
      <c r="J7" s="270"/>
      <c r="K7" s="271"/>
      <c r="L7" s="272" t="s">
        <v>78</v>
      </c>
      <c r="M7" s="273"/>
      <c r="N7" s="273"/>
      <c r="O7" s="272" t="s">
        <v>148</v>
      </c>
      <c r="P7" s="273"/>
      <c r="Q7" s="274"/>
      <c r="R7" s="272" t="s">
        <v>79</v>
      </c>
      <c r="S7" s="273"/>
      <c r="T7" s="273"/>
      <c r="U7" s="272" t="s">
        <v>80</v>
      </c>
      <c r="V7" s="273"/>
      <c r="W7" s="273"/>
      <c r="X7" s="272" t="s">
        <v>81</v>
      </c>
      <c r="Y7" s="273"/>
      <c r="Z7" s="273"/>
      <c r="AA7" s="274"/>
      <c r="AB7" s="631" t="s">
        <v>82</v>
      </c>
      <c r="AC7" s="275" t="s">
        <v>83</v>
      </c>
      <c r="AD7" s="276"/>
      <c r="AE7" s="276"/>
      <c r="AF7" s="613" t="s">
        <v>84</v>
      </c>
      <c r="AG7" s="615" t="s">
        <v>85</v>
      </c>
    </row>
    <row r="8" spans="1:40" ht="30" customHeight="1" thickBot="1" x14ac:dyDescent="0.2">
      <c r="A8" s="625"/>
      <c r="B8" s="626"/>
      <c r="C8" s="277" t="s">
        <v>86</v>
      </c>
      <c r="D8" s="278" t="s">
        <v>87</v>
      </c>
      <c r="E8" s="279" t="s">
        <v>88</v>
      </c>
      <c r="F8" s="280" t="s">
        <v>86</v>
      </c>
      <c r="G8" s="281" t="s">
        <v>87</v>
      </c>
      <c r="H8" s="630"/>
      <c r="I8" s="280" t="s">
        <v>86</v>
      </c>
      <c r="J8" s="278" t="s">
        <v>87</v>
      </c>
      <c r="K8" s="279" t="s">
        <v>89</v>
      </c>
      <c r="L8" s="280" t="s">
        <v>90</v>
      </c>
      <c r="M8" s="282" t="s">
        <v>91</v>
      </c>
      <c r="N8" s="282" t="s">
        <v>87</v>
      </c>
      <c r="O8" s="280" t="s">
        <v>92</v>
      </c>
      <c r="P8" s="282" t="s">
        <v>91</v>
      </c>
      <c r="Q8" s="279" t="s">
        <v>51</v>
      </c>
      <c r="R8" s="280" t="s">
        <v>92</v>
      </c>
      <c r="S8" s="282" t="s">
        <v>91</v>
      </c>
      <c r="T8" s="282" t="s">
        <v>87</v>
      </c>
      <c r="U8" s="280" t="s">
        <v>93</v>
      </c>
      <c r="V8" s="282" t="s">
        <v>91</v>
      </c>
      <c r="W8" s="282" t="s">
        <v>87</v>
      </c>
      <c r="X8" s="280" t="s">
        <v>90</v>
      </c>
      <c r="Y8" s="282" t="s">
        <v>91</v>
      </c>
      <c r="Z8" s="282" t="s">
        <v>87</v>
      </c>
      <c r="AA8" s="283" t="s">
        <v>88</v>
      </c>
      <c r="AB8" s="632"/>
      <c r="AC8" s="284" t="s">
        <v>94</v>
      </c>
      <c r="AD8" s="284" t="s">
        <v>95</v>
      </c>
      <c r="AE8" s="284" t="s">
        <v>96</v>
      </c>
      <c r="AF8" s="614"/>
      <c r="AG8" s="616"/>
      <c r="AJ8" s="180" t="s">
        <v>97</v>
      </c>
      <c r="AK8" s="6" t="s">
        <v>98</v>
      </c>
      <c r="AL8" s="6" t="s">
        <v>99</v>
      </c>
    </row>
    <row r="9" spans="1:40" ht="33" customHeight="1" x14ac:dyDescent="0.15">
      <c r="A9" s="617" t="s">
        <v>100</v>
      </c>
      <c r="B9" s="285" t="s">
        <v>101</v>
      </c>
      <c r="C9" s="286">
        <v>3653</v>
      </c>
      <c r="D9" s="287">
        <v>2510347000</v>
      </c>
      <c r="E9" s="288">
        <f t="shared" ref="E9:E15" si="0">D9/$D$28</f>
        <v>0.10826891073500461</v>
      </c>
      <c r="F9" s="289">
        <v>1556</v>
      </c>
      <c r="G9" s="290">
        <v>1055430560.2184962</v>
      </c>
      <c r="H9" s="291"/>
      <c r="I9" s="289">
        <v>1556</v>
      </c>
      <c r="J9" s="292">
        <v>1055430560.2184962</v>
      </c>
      <c r="K9" s="288">
        <f>J9/$J$28</f>
        <v>7.0994232290626846E-2</v>
      </c>
      <c r="L9" s="293">
        <v>2542</v>
      </c>
      <c r="M9" s="294">
        <v>172</v>
      </c>
      <c r="N9" s="295">
        <v>153713000</v>
      </c>
      <c r="O9" s="293"/>
      <c r="P9" s="296"/>
      <c r="Q9" s="295"/>
      <c r="R9" s="293"/>
      <c r="S9" s="297"/>
      <c r="T9" s="295"/>
      <c r="U9" s="293">
        <f t="shared" ref="U9:W15" si="1">L9+O9</f>
        <v>2542</v>
      </c>
      <c r="V9" s="294">
        <f t="shared" si="1"/>
        <v>172</v>
      </c>
      <c r="W9" s="295">
        <f t="shared" si="1"/>
        <v>153713000</v>
      </c>
      <c r="X9" s="298">
        <f t="shared" ref="X9:Z15" si="2">L9+O9-R9</f>
        <v>2542</v>
      </c>
      <c r="Y9" s="294">
        <f t="shared" si="2"/>
        <v>172</v>
      </c>
      <c r="Z9" s="295">
        <f t="shared" si="2"/>
        <v>153713000</v>
      </c>
      <c r="AA9" s="299">
        <f t="shared" ref="AA9:AA18" si="3">Z9/$Z$28</f>
        <v>1.7889709550155501E-2</v>
      </c>
      <c r="AB9" s="300">
        <f t="shared" ref="AB9:AB15" si="4">J9-Z9</f>
        <v>901717560.2184962</v>
      </c>
      <c r="AC9" s="301"/>
      <c r="AD9" s="301"/>
      <c r="AE9" s="301"/>
      <c r="AF9" s="300"/>
      <c r="AG9" s="302">
        <f>IFERROR(Z9/J9,"")</f>
        <v>0.14564008831445832</v>
      </c>
      <c r="AI9" s="303" t="s">
        <v>102</v>
      </c>
      <c r="AJ9" s="303">
        <f>[5]용도별분석!AH9</f>
        <v>0</v>
      </c>
      <c r="AK9" s="304">
        <f>[5]용도별분석!E9</f>
        <v>0</v>
      </c>
      <c r="AL9" s="305">
        <f>[5]용도별분석!H9</f>
        <v>0</v>
      </c>
      <c r="AN9" s="306"/>
    </row>
    <row r="10" spans="1:40" ht="33" customHeight="1" x14ac:dyDescent="0.15">
      <c r="A10" s="618"/>
      <c r="B10" s="307" t="s">
        <v>33</v>
      </c>
      <c r="C10" s="308">
        <v>921</v>
      </c>
      <c r="D10" s="309">
        <v>1397023000</v>
      </c>
      <c r="E10" s="310">
        <f t="shared" si="0"/>
        <v>6.0252291209840048E-2</v>
      </c>
      <c r="F10" s="311">
        <v>906</v>
      </c>
      <c r="G10" s="312">
        <v>851196752.39789021</v>
      </c>
      <c r="H10" s="313"/>
      <c r="I10" s="311">
        <v>906</v>
      </c>
      <c r="J10" s="314">
        <v>851196752.39789021</v>
      </c>
      <c r="K10" s="310">
        <f t="shared" ref="K10:K15" si="5">J10/$J$28</f>
        <v>5.7256310592572496E-2</v>
      </c>
      <c r="L10" s="315">
        <v>5425</v>
      </c>
      <c r="M10" s="316">
        <v>236</v>
      </c>
      <c r="N10" s="317">
        <v>376532000</v>
      </c>
      <c r="O10" s="315"/>
      <c r="P10" s="318"/>
      <c r="Q10" s="317"/>
      <c r="R10" s="315"/>
      <c r="S10" s="319"/>
      <c r="T10" s="317"/>
      <c r="U10" s="315">
        <f t="shared" si="1"/>
        <v>5425</v>
      </c>
      <c r="V10" s="316">
        <f t="shared" si="1"/>
        <v>236</v>
      </c>
      <c r="W10" s="317">
        <f t="shared" si="1"/>
        <v>376532000</v>
      </c>
      <c r="X10" s="315">
        <f t="shared" si="2"/>
        <v>5425</v>
      </c>
      <c r="Y10" s="316">
        <f t="shared" si="2"/>
        <v>236</v>
      </c>
      <c r="Z10" s="317">
        <f t="shared" si="2"/>
        <v>376532000</v>
      </c>
      <c r="AA10" s="320">
        <f t="shared" si="3"/>
        <v>4.3822240905708375E-2</v>
      </c>
      <c r="AB10" s="321">
        <f t="shared" si="4"/>
        <v>474664752.39789021</v>
      </c>
      <c r="AC10" s="322"/>
      <c r="AD10" s="322"/>
      <c r="AE10" s="322"/>
      <c r="AF10" s="321"/>
      <c r="AG10" s="323">
        <f t="shared" ref="AG10:AG28" si="6">IFERROR(Z10/J10,"")</f>
        <v>0.4423560110389036</v>
      </c>
      <c r="AI10" s="324" t="s">
        <v>103</v>
      </c>
      <c r="AJ10" s="324">
        <f>[5]용도별분석!AH11</f>
        <v>278</v>
      </c>
      <c r="AK10" s="324">
        <f>[5]용도별분석!E11</f>
        <v>142</v>
      </c>
      <c r="AL10" s="325">
        <f>[5]용도별분석!H11</f>
        <v>132410000</v>
      </c>
      <c r="AN10" s="306"/>
    </row>
    <row r="11" spans="1:40" ht="33" customHeight="1" x14ac:dyDescent="0.15">
      <c r="A11" s="618"/>
      <c r="B11" s="326" t="s">
        <v>104</v>
      </c>
      <c r="C11" s="327">
        <v>595</v>
      </c>
      <c r="D11" s="309">
        <v>450233000</v>
      </c>
      <c r="E11" s="328">
        <f t="shared" si="0"/>
        <v>1.9418126851368886E-2</v>
      </c>
      <c r="F11" s="329">
        <v>325</v>
      </c>
      <c r="G11" s="312">
        <v>287568274.41395813</v>
      </c>
      <c r="H11" s="313"/>
      <c r="I11" s="329">
        <v>325</v>
      </c>
      <c r="J11" s="314">
        <v>287568274.41395813</v>
      </c>
      <c r="K11" s="328">
        <f t="shared" si="5"/>
        <v>1.934346952103869E-2</v>
      </c>
      <c r="L11" s="330">
        <v>0</v>
      </c>
      <c r="M11" s="331">
        <v>0</v>
      </c>
      <c r="N11" s="317">
        <v>0</v>
      </c>
      <c r="O11" s="332"/>
      <c r="P11" s="333"/>
      <c r="Q11" s="334"/>
      <c r="R11" s="330"/>
      <c r="S11" s="335"/>
      <c r="T11" s="317"/>
      <c r="U11" s="330">
        <f t="shared" si="1"/>
        <v>0</v>
      </c>
      <c r="V11" s="331">
        <f>M11+P11</f>
        <v>0</v>
      </c>
      <c r="W11" s="317">
        <f t="shared" si="1"/>
        <v>0</v>
      </c>
      <c r="X11" s="330">
        <f t="shared" si="2"/>
        <v>0</v>
      </c>
      <c r="Y11" s="331">
        <f t="shared" si="2"/>
        <v>0</v>
      </c>
      <c r="Z11" s="317">
        <f t="shared" si="2"/>
        <v>0</v>
      </c>
      <c r="AA11" s="320">
        <f t="shared" si="3"/>
        <v>0</v>
      </c>
      <c r="AB11" s="336">
        <f t="shared" si="4"/>
        <v>287568274.41395813</v>
      </c>
      <c r="AC11" s="337"/>
      <c r="AD11" s="337"/>
      <c r="AE11" s="337"/>
      <c r="AF11" s="321"/>
      <c r="AG11" s="338">
        <f t="shared" si="6"/>
        <v>0</v>
      </c>
      <c r="AI11" s="324" t="s">
        <v>105</v>
      </c>
      <c r="AJ11" s="324">
        <f>[5]용도별분석!AH14</f>
        <v>0</v>
      </c>
      <c r="AK11" s="339">
        <f>[5]용도별분석!E14</f>
        <v>0</v>
      </c>
      <c r="AL11" s="325">
        <f>[5]용도별분석!H14</f>
        <v>0</v>
      </c>
      <c r="AN11" s="306"/>
    </row>
    <row r="12" spans="1:40" ht="33" customHeight="1" x14ac:dyDescent="0.15">
      <c r="A12" s="618"/>
      <c r="B12" s="326" t="s">
        <v>32</v>
      </c>
      <c r="C12" s="327">
        <v>514</v>
      </c>
      <c r="D12" s="309">
        <v>651328000</v>
      </c>
      <c r="E12" s="328">
        <f t="shared" si="0"/>
        <v>2.8091165520626862E-2</v>
      </c>
      <c r="F12" s="329">
        <v>498</v>
      </c>
      <c r="G12" s="312">
        <v>439429508.22024024</v>
      </c>
      <c r="H12" s="313"/>
      <c r="I12" s="329">
        <v>498</v>
      </c>
      <c r="J12" s="314">
        <v>439429508.22024024</v>
      </c>
      <c r="K12" s="328">
        <f t="shared" si="5"/>
        <v>2.9558515508102432E-2</v>
      </c>
      <c r="L12" s="330">
        <v>10</v>
      </c>
      <c r="M12" s="331">
        <v>155</v>
      </c>
      <c r="N12" s="317">
        <v>128275000</v>
      </c>
      <c r="O12" s="332"/>
      <c r="P12" s="333"/>
      <c r="Q12" s="334"/>
      <c r="R12" s="330"/>
      <c r="S12" s="335"/>
      <c r="T12" s="317"/>
      <c r="U12" s="330">
        <f t="shared" si="1"/>
        <v>10</v>
      </c>
      <c r="V12" s="331">
        <f t="shared" si="1"/>
        <v>155</v>
      </c>
      <c r="W12" s="317">
        <f t="shared" si="1"/>
        <v>128275000</v>
      </c>
      <c r="X12" s="330">
        <f t="shared" si="2"/>
        <v>10</v>
      </c>
      <c r="Y12" s="331">
        <f t="shared" si="2"/>
        <v>155</v>
      </c>
      <c r="Z12" s="317">
        <f t="shared" si="2"/>
        <v>128275000</v>
      </c>
      <c r="AA12" s="320">
        <f t="shared" si="3"/>
        <v>1.4929137369943966E-2</v>
      </c>
      <c r="AB12" s="336">
        <f t="shared" si="4"/>
        <v>311154508.22024024</v>
      </c>
      <c r="AC12" s="337"/>
      <c r="AD12" s="337"/>
      <c r="AE12" s="337"/>
      <c r="AF12" s="321"/>
      <c r="AG12" s="338">
        <f t="shared" si="6"/>
        <v>0.2919125766486057</v>
      </c>
      <c r="AI12" s="324" t="s">
        <v>106</v>
      </c>
      <c r="AJ12" s="324">
        <f>[5]용도별분석!AH17</f>
        <v>5</v>
      </c>
      <c r="AK12" s="339">
        <f>[5]용도별분석!E17</f>
        <v>141</v>
      </c>
      <c r="AL12" s="325">
        <f>[5]용도별분석!H17</f>
        <v>90497000</v>
      </c>
      <c r="AN12" s="306"/>
    </row>
    <row r="13" spans="1:40" ht="33" customHeight="1" x14ac:dyDescent="0.15">
      <c r="A13" s="618"/>
      <c r="B13" s="340" t="s">
        <v>107</v>
      </c>
      <c r="C13" s="308">
        <v>3</v>
      </c>
      <c r="D13" s="309">
        <v>18447000</v>
      </c>
      <c r="E13" s="328">
        <f t="shared" si="0"/>
        <v>7.9560180179418622E-4</v>
      </c>
      <c r="F13" s="311">
        <v>275</v>
      </c>
      <c r="G13" s="312">
        <v>182956113.44624606</v>
      </c>
      <c r="H13" s="313"/>
      <c r="I13" s="311">
        <v>275</v>
      </c>
      <c r="J13" s="314">
        <v>182956113.44624606</v>
      </c>
      <c r="K13" s="328">
        <f t="shared" si="5"/>
        <v>1.2306663561366001E-2</v>
      </c>
      <c r="L13" s="330">
        <v>8</v>
      </c>
      <c r="M13" s="331">
        <v>76</v>
      </c>
      <c r="N13" s="317">
        <v>116322000</v>
      </c>
      <c r="O13" s="330"/>
      <c r="P13" s="333"/>
      <c r="Q13" s="334"/>
      <c r="R13" s="330"/>
      <c r="S13" s="335"/>
      <c r="T13" s="317"/>
      <c r="U13" s="330">
        <f t="shared" si="1"/>
        <v>8</v>
      </c>
      <c r="V13" s="331">
        <f t="shared" si="1"/>
        <v>76</v>
      </c>
      <c r="W13" s="317">
        <f t="shared" si="1"/>
        <v>116322000</v>
      </c>
      <c r="X13" s="330">
        <f t="shared" si="2"/>
        <v>8</v>
      </c>
      <c r="Y13" s="331">
        <f t="shared" si="2"/>
        <v>76</v>
      </c>
      <c r="Z13" s="317">
        <f t="shared" si="2"/>
        <v>116322000</v>
      </c>
      <c r="AA13" s="320">
        <f t="shared" si="3"/>
        <v>1.3538001303033498E-2</v>
      </c>
      <c r="AB13" s="336">
        <f t="shared" si="4"/>
        <v>66634113.446246058</v>
      </c>
      <c r="AC13" s="337"/>
      <c r="AD13" s="337"/>
      <c r="AE13" s="337"/>
      <c r="AF13" s="321"/>
      <c r="AG13" s="338">
        <f t="shared" si="6"/>
        <v>0.63579181809727459</v>
      </c>
      <c r="AI13" s="324" t="s">
        <v>108</v>
      </c>
      <c r="AJ13" s="324">
        <f>[5]용도별분석!AH29</f>
        <v>0</v>
      </c>
      <c r="AK13" s="339">
        <f>[5]용도별분석!E29</f>
        <v>0</v>
      </c>
      <c r="AL13" s="325">
        <f>[5]용도별분석!H29</f>
        <v>0</v>
      </c>
      <c r="AN13" s="306"/>
    </row>
    <row r="14" spans="1:40" ht="33" customHeight="1" x14ac:dyDescent="0.15">
      <c r="A14" s="618"/>
      <c r="B14" s="341" t="s">
        <v>109</v>
      </c>
      <c r="C14" s="308">
        <v>0</v>
      </c>
      <c r="D14" s="309">
        <v>0</v>
      </c>
      <c r="E14" s="328">
        <f t="shared" si="0"/>
        <v>0</v>
      </c>
      <c r="F14" s="311">
        <v>735</v>
      </c>
      <c r="G14" s="312">
        <v>610435479.83068216</v>
      </c>
      <c r="H14" s="313"/>
      <c r="I14" s="311">
        <v>735</v>
      </c>
      <c r="J14" s="314">
        <v>610435479.83068216</v>
      </c>
      <c r="K14" s="328">
        <f t="shared" si="5"/>
        <v>4.106134490228136E-2</v>
      </c>
      <c r="L14" s="330">
        <v>1</v>
      </c>
      <c r="M14" s="331">
        <v>470</v>
      </c>
      <c r="N14" s="317">
        <v>474456000</v>
      </c>
      <c r="O14" s="330"/>
      <c r="P14" s="333"/>
      <c r="Q14" s="334"/>
      <c r="R14" s="330"/>
      <c r="S14" s="335"/>
      <c r="T14" s="317"/>
      <c r="U14" s="330">
        <f t="shared" si="1"/>
        <v>1</v>
      </c>
      <c r="V14" s="331">
        <f t="shared" si="1"/>
        <v>470</v>
      </c>
      <c r="W14" s="317">
        <f t="shared" si="1"/>
        <v>474456000</v>
      </c>
      <c r="X14" s="330">
        <f t="shared" si="2"/>
        <v>1</v>
      </c>
      <c r="Y14" s="331">
        <f t="shared" si="2"/>
        <v>470</v>
      </c>
      <c r="Z14" s="317">
        <f t="shared" si="2"/>
        <v>474456000</v>
      </c>
      <c r="AA14" s="320">
        <f t="shared" si="3"/>
        <v>5.5219012278262591E-2</v>
      </c>
      <c r="AB14" s="336">
        <f t="shared" si="4"/>
        <v>135979479.83068216</v>
      </c>
      <c r="AC14" s="337"/>
      <c r="AD14" s="337"/>
      <c r="AE14" s="337"/>
      <c r="AF14" s="342"/>
      <c r="AG14" s="343">
        <f t="shared" si="6"/>
        <v>0.7772418472982614</v>
      </c>
      <c r="AI14" s="324" t="s">
        <v>109</v>
      </c>
      <c r="AJ14" s="324">
        <f>[5]용도별분석!AH20</f>
        <v>0</v>
      </c>
      <c r="AK14" s="339">
        <f>[5]용도별분석!E20</f>
        <v>0</v>
      </c>
      <c r="AL14" s="325">
        <f>[5]용도별분석!H20</f>
        <v>0</v>
      </c>
      <c r="AN14" s="306"/>
    </row>
    <row r="15" spans="1:40" ht="33" customHeight="1" x14ac:dyDescent="0.15">
      <c r="A15" s="618"/>
      <c r="B15" s="344" t="s">
        <v>31</v>
      </c>
      <c r="C15" s="308">
        <v>6377</v>
      </c>
      <c r="D15" s="309">
        <v>4653481000</v>
      </c>
      <c r="E15" s="328">
        <f t="shared" si="0"/>
        <v>0.20070026932373891</v>
      </c>
      <c r="F15" s="311"/>
      <c r="G15" s="312"/>
      <c r="H15" s="313"/>
      <c r="I15" s="311"/>
      <c r="J15" s="314"/>
      <c r="K15" s="328">
        <f t="shared" si="5"/>
        <v>0</v>
      </c>
      <c r="L15" s="330">
        <v>28</v>
      </c>
      <c r="M15" s="331">
        <v>16</v>
      </c>
      <c r="N15" s="317">
        <v>20205000</v>
      </c>
      <c r="O15" s="330"/>
      <c r="P15" s="333"/>
      <c r="Q15" s="334"/>
      <c r="R15" s="330"/>
      <c r="S15" s="335"/>
      <c r="T15" s="317"/>
      <c r="U15" s="330">
        <f t="shared" si="1"/>
        <v>28</v>
      </c>
      <c r="V15" s="331">
        <f t="shared" si="1"/>
        <v>16</v>
      </c>
      <c r="W15" s="317">
        <f t="shared" si="1"/>
        <v>20205000</v>
      </c>
      <c r="X15" s="330">
        <f t="shared" si="2"/>
        <v>28</v>
      </c>
      <c r="Y15" s="331">
        <f t="shared" si="2"/>
        <v>16</v>
      </c>
      <c r="Z15" s="317">
        <f t="shared" si="2"/>
        <v>20205000</v>
      </c>
      <c r="AA15" s="320">
        <f t="shared" si="3"/>
        <v>2.3515355335000415E-3</v>
      </c>
      <c r="AB15" s="336">
        <f t="shared" si="4"/>
        <v>-20205000</v>
      </c>
      <c r="AC15" s="337"/>
      <c r="AD15" s="337"/>
      <c r="AE15" s="337"/>
      <c r="AF15" s="342"/>
      <c r="AG15" s="343" t="str">
        <f t="shared" si="6"/>
        <v/>
      </c>
      <c r="AI15" s="324" t="s">
        <v>110</v>
      </c>
      <c r="AJ15" s="324">
        <f>[5]용도별분석!AH32</f>
        <v>0</v>
      </c>
      <c r="AK15" s="339">
        <f>[5]용도별분석!E32</f>
        <v>0</v>
      </c>
      <c r="AL15" s="325">
        <f>[5]용도별분석!H32</f>
        <v>0</v>
      </c>
      <c r="AN15" s="306"/>
    </row>
    <row r="16" spans="1:40" ht="33" customHeight="1" x14ac:dyDescent="0.15">
      <c r="A16" s="345"/>
      <c r="B16" s="346" t="s">
        <v>111</v>
      </c>
      <c r="C16" s="347">
        <v>15603</v>
      </c>
      <c r="D16" s="348">
        <v>10662598000</v>
      </c>
      <c r="E16" s="349">
        <f>SUM(E9:E15)</f>
        <v>0.41752636544237354</v>
      </c>
      <c r="F16" s="350">
        <f>SUM(F9:F15)</f>
        <v>4295</v>
      </c>
      <c r="G16" s="351">
        <f>SUM(G9:G15)</f>
        <v>3427016688.527513</v>
      </c>
      <c r="H16" s="352">
        <f t="shared" ref="H16" si="7">SUM(H9:H15)</f>
        <v>0</v>
      </c>
      <c r="I16" s="350">
        <f>SUM(I9:I15)</f>
        <v>4295</v>
      </c>
      <c r="J16" s="348">
        <f>SUM(J9:J15)</f>
        <v>3427016688.527513</v>
      </c>
      <c r="K16" s="353">
        <f t="shared" ref="K16:Z16" si="8">SUM(K9:K15)</f>
        <v>0.23052053637598782</v>
      </c>
      <c r="L16" s="354">
        <v>8014</v>
      </c>
      <c r="M16" s="355">
        <v>1125</v>
      </c>
      <c r="N16" s="356">
        <v>1269503000</v>
      </c>
      <c r="O16" s="357"/>
      <c r="P16" s="358"/>
      <c r="Q16" s="359"/>
      <c r="R16" s="354">
        <f>SUM(R9:R15)</f>
        <v>0</v>
      </c>
      <c r="S16" s="360">
        <f>SUM(S9:S15)</f>
        <v>0</v>
      </c>
      <c r="T16" s="356">
        <f>SUM(T9:T15)</f>
        <v>0</v>
      </c>
      <c r="U16" s="354">
        <f t="shared" si="8"/>
        <v>8014</v>
      </c>
      <c r="V16" s="355">
        <f t="shared" si="8"/>
        <v>1125</v>
      </c>
      <c r="W16" s="356">
        <f t="shared" si="8"/>
        <v>1269503000</v>
      </c>
      <c r="X16" s="354">
        <f t="shared" si="8"/>
        <v>8014</v>
      </c>
      <c r="Y16" s="355">
        <f t="shared" si="8"/>
        <v>1125</v>
      </c>
      <c r="Z16" s="356">
        <f t="shared" si="8"/>
        <v>1269503000</v>
      </c>
      <c r="AA16" s="361">
        <f t="shared" si="3"/>
        <v>0.14774963694060397</v>
      </c>
      <c r="AB16" s="362">
        <f>SUM(AB9:AB15)</f>
        <v>2157513688.527513</v>
      </c>
      <c r="AC16" s="363"/>
      <c r="AD16" s="363"/>
      <c r="AE16" s="363"/>
      <c r="AF16" s="364"/>
      <c r="AG16" s="365">
        <f t="shared" si="6"/>
        <v>0.37043969008084043</v>
      </c>
      <c r="AI16" s="366" t="s">
        <v>112</v>
      </c>
      <c r="AJ16" s="366">
        <f>SUM(AJ9:AJ15)</f>
        <v>283</v>
      </c>
      <c r="AK16" s="367">
        <f>SUM(AK9:AK15)</f>
        <v>283</v>
      </c>
      <c r="AL16" s="368">
        <f>SUM(AL9:AL15)</f>
        <v>222907000</v>
      </c>
      <c r="AN16" s="306"/>
    </row>
    <row r="17" spans="1:41" ht="33" customHeight="1" x14ac:dyDescent="0.15">
      <c r="A17" s="369" t="s">
        <v>113</v>
      </c>
      <c r="B17" s="370"/>
      <c r="C17" s="371">
        <v>0</v>
      </c>
      <c r="D17" s="372">
        <v>0</v>
      </c>
      <c r="E17" s="373">
        <f>D17/$D$28</f>
        <v>0</v>
      </c>
      <c r="F17" s="374"/>
      <c r="G17" s="375"/>
      <c r="H17" s="376"/>
      <c r="I17" s="377"/>
      <c r="J17" s="378"/>
      <c r="K17" s="373">
        <f>J17/J28</f>
        <v>0</v>
      </c>
      <c r="L17" s="374">
        <v>0</v>
      </c>
      <c r="M17" s="379">
        <v>0</v>
      </c>
      <c r="N17" s="380">
        <v>0</v>
      </c>
      <c r="O17" s="374"/>
      <c r="P17" s="381"/>
      <c r="Q17" s="334"/>
      <c r="R17" s="374"/>
      <c r="S17" s="379"/>
      <c r="T17" s="380"/>
      <c r="U17" s="374">
        <f t="shared" ref="U17:W18" si="9">L17+O17</f>
        <v>0</v>
      </c>
      <c r="V17" s="379">
        <f t="shared" si="9"/>
        <v>0</v>
      </c>
      <c r="W17" s="380">
        <f t="shared" si="9"/>
        <v>0</v>
      </c>
      <c r="X17" s="374">
        <f t="shared" ref="X17:Z26" si="10">L17+O17-R17</f>
        <v>0</v>
      </c>
      <c r="Y17" s="382">
        <f t="shared" si="10"/>
        <v>0</v>
      </c>
      <c r="Z17" s="334">
        <f t="shared" si="10"/>
        <v>0</v>
      </c>
      <c r="AA17" s="383">
        <f t="shared" si="3"/>
        <v>0</v>
      </c>
      <c r="AB17" s="336">
        <f>J17-Z17</f>
        <v>0</v>
      </c>
      <c r="AC17" s="337"/>
      <c r="AD17" s="337"/>
      <c r="AE17" s="337"/>
      <c r="AF17" s="336"/>
      <c r="AG17" s="384" t="str">
        <f t="shared" si="6"/>
        <v/>
      </c>
      <c r="AI17" s="385">
        <f>Y16-Y9+S16</f>
        <v>953</v>
      </c>
      <c r="AJ17" s="386"/>
      <c r="AK17" s="385"/>
      <c r="AL17" s="386"/>
      <c r="AN17" s="306"/>
    </row>
    <row r="18" spans="1:41" ht="33" customHeight="1" x14ac:dyDescent="0.15">
      <c r="A18" s="387" t="s">
        <v>114</v>
      </c>
      <c r="B18" s="388"/>
      <c r="C18" s="389">
        <v>3051</v>
      </c>
      <c r="D18" s="390">
        <v>1879144000</v>
      </c>
      <c r="E18" s="373">
        <f>D18/$D$28</f>
        <v>8.1045717581760407E-2</v>
      </c>
      <c r="F18" s="391">
        <v>3004</v>
      </c>
      <c r="G18" s="392">
        <v>1695844011.6687703</v>
      </c>
      <c r="H18" s="393"/>
      <c r="I18" s="391">
        <v>3004</v>
      </c>
      <c r="J18" s="394">
        <v>1695844011.6687703</v>
      </c>
      <c r="K18" s="395">
        <f>J18/J28</f>
        <v>0.11407206521304147</v>
      </c>
      <c r="L18" s="396">
        <v>0</v>
      </c>
      <c r="M18" s="397">
        <v>1510</v>
      </c>
      <c r="N18" s="398">
        <v>893630000</v>
      </c>
      <c r="O18" s="396"/>
      <c r="P18" s="399"/>
      <c r="Q18" s="400"/>
      <c r="R18" s="396"/>
      <c r="S18" s="397"/>
      <c r="T18" s="398"/>
      <c r="U18" s="396">
        <f t="shared" si="9"/>
        <v>0</v>
      </c>
      <c r="V18" s="397">
        <f t="shared" si="9"/>
        <v>1510</v>
      </c>
      <c r="W18" s="398">
        <f t="shared" si="9"/>
        <v>893630000</v>
      </c>
      <c r="X18" s="401">
        <f>L18+O18-R18</f>
        <v>0</v>
      </c>
      <c r="Y18" s="402">
        <f t="shared" si="10"/>
        <v>1510</v>
      </c>
      <c r="Z18" s="400">
        <f t="shared" si="10"/>
        <v>893630000</v>
      </c>
      <c r="AA18" s="403">
        <f t="shared" si="3"/>
        <v>0.10400409298696571</v>
      </c>
      <c r="AB18" s="404">
        <f>J18-Z18</f>
        <v>802214011.66877031</v>
      </c>
      <c r="AC18" s="405"/>
      <c r="AD18" s="405"/>
      <c r="AE18" s="405"/>
      <c r="AF18" s="404"/>
      <c r="AG18" s="406">
        <f t="shared" si="6"/>
        <v>0.52695294723518615</v>
      </c>
      <c r="AI18" s="262">
        <f>Z16-Z9+T16</f>
        <v>1115790000</v>
      </c>
      <c r="AK18" s="261"/>
      <c r="AL18" s="180"/>
      <c r="AN18" s="306"/>
    </row>
    <row r="19" spans="1:41" ht="33" customHeight="1" thickBot="1" x14ac:dyDescent="0.2">
      <c r="A19" s="407" t="s">
        <v>115</v>
      </c>
      <c r="B19" s="408"/>
      <c r="C19" s="409">
        <v>19948</v>
      </c>
      <c r="D19" s="410">
        <v>14431426000</v>
      </c>
      <c r="E19" s="411">
        <f>SUM(E16+SUM(E17:E18))</f>
        <v>0.49857208302413392</v>
      </c>
      <c r="F19" s="412">
        <f>F16+F17+F18</f>
        <v>7299</v>
      </c>
      <c r="G19" s="413">
        <f>G16+G17+G18</f>
        <v>5122860700.1962833</v>
      </c>
      <c r="H19" s="414">
        <f>SUM(H16+SUM(H17:H18))</f>
        <v>0</v>
      </c>
      <c r="I19" s="412">
        <f>I16+I17+I18</f>
        <v>7299</v>
      </c>
      <c r="J19" s="415">
        <f>J16+J17+J18</f>
        <v>5122860700.1962833</v>
      </c>
      <c r="K19" s="416">
        <f>SUM(K16+SUM(K17:K18))</f>
        <v>0.34459260158902927</v>
      </c>
      <c r="L19" s="412">
        <v>8014</v>
      </c>
      <c r="M19" s="417">
        <v>2635</v>
      </c>
      <c r="N19" s="415">
        <v>2163133000</v>
      </c>
      <c r="O19" s="418"/>
      <c r="P19" s="419"/>
      <c r="Q19" s="415"/>
      <c r="R19" s="412">
        <f t="shared" ref="R19:T19" si="11">SUM(R16:R18)</f>
        <v>0</v>
      </c>
      <c r="S19" s="420">
        <f t="shared" si="11"/>
        <v>0</v>
      </c>
      <c r="T19" s="415">
        <f t="shared" si="11"/>
        <v>0</v>
      </c>
      <c r="U19" s="412">
        <f t="shared" ref="U19:AB19" si="12">SUM(U16:U18)</f>
        <v>8014</v>
      </c>
      <c r="V19" s="417">
        <f t="shared" si="12"/>
        <v>2635</v>
      </c>
      <c r="W19" s="415">
        <f t="shared" si="12"/>
        <v>2163133000</v>
      </c>
      <c r="X19" s="412">
        <f t="shared" si="12"/>
        <v>8014</v>
      </c>
      <c r="Y19" s="417">
        <f t="shared" si="12"/>
        <v>2635</v>
      </c>
      <c r="Z19" s="415">
        <f t="shared" si="12"/>
        <v>2163133000</v>
      </c>
      <c r="AA19" s="421">
        <f t="shared" si="12"/>
        <v>0.25175372992756967</v>
      </c>
      <c r="AB19" s="422">
        <f t="shared" si="12"/>
        <v>2959727700.1962833</v>
      </c>
      <c r="AC19" s="422" t="e">
        <f>AC16+#REF!+AC17</f>
        <v>#REF!</v>
      </c>
      <c r="AD19" s="422" t="e">
        <f>AD16+#REF!+AD17</f>
        <v>#REF!</v>
      </c>
      <c r="AE19" s="422" t="e">
        <f>AE16+#REF!+AE17</f>
        <v>#REF!</v>
      </c>
      <c r="AF19" s="422" t="e">
        <f>AF16+#REF!+AF17</f>
        <v>#REF!</v>
      </c>
      <c r="AG19" s="423">
        <f t="shared" si="6"/>
        <v>0.42225098955298923</v>
      </c>
      <c r="AI19" s="424" t="s">
        <v>116</v>
      </c>
      <c r="AJ19" s="424">
        <f>AJ16</f>
        <v>283</v>
      </c>
      <c r="AK19" s="425">
        <f>AK16</f>
        <v>283</v>
      </c>
      <c r="AL19" s="426">
        <f>AL16</f>
        <v>222907000</v>
      </c>
      <c r="AN19" s="306"/>
    </row>
    <row r="20" spans="1:41" ht="33" customHeight="1" thickTop="1" x14ac:dyDescent="0.15">
      <c r="A20" s="619" t="s">
        <v>45</v>
      </c>
      <c r="B20" s="427" t="s">
        <v>117</v>
      </c>
      <c r="C20" s="428">
        <v>2100</v>
      </c>
      <c r="D20" s="429">
        <v>2809538000</v>
      </c>
      <c r="E20" s="430">
        <f t="shared" ref="E20:E25" si="13">D20/$D$28</f>
        <v>0.12117273784405239</v>
      </c>
      <c r="F20" s="431">
        <v>2828</v>
      </c>
      <c r="G20" s="432">
        <v>2031952013.8088017</v>
      </c>
      <c r="H20" s="433"/>
      <c r="I20" s="431">
        <v>2828</v>
      </c>
      <c r="J20" s="434">
        <v>2031952013.8088017</v>
      </c>
      <c r="K20" s="435">
        <f>J20/$J$28</f>
        <v>0.13668059151317818</v>
      </c>
      <c r="L20" s="436"/>
      <c r="M20" s="437">
        <v>2345</v>
      </c>
      <c r="N20" s="438">
        <v>1083876000</v>
      </c>
      <c r="O20" s="436"/>
      <c r="P20" s="439">
        <v>23</v>
      </c>
      <c r="Q20" s="440">
        <v>93728000</v>
      </c>
      <c r="R20" s="436"/>
      <c r="S20" s="437"/>
      <c r="T20" s="438"/>
      <c r="U20" s="436">
        <f t="shared" ref="U20:W26" si="14">L20+O20</f>
        <v>0</v>
      </c>
      <c r="V20" s="437">
        <f t="shared" si="14"/>
        <v>2368</v>
      </c>
      <c r="W20" s="438">
        <f t="shared" si="14"/>
        <v>1177604000</v>
      </c>
      <c r="X20" s="436"/>
      <c r="Y20" s="437">
        <f t="shared" si="10"/>
        <v>2368</v>
      </c>
      <c r="Z20" s="438">
        <f>N20+Q20-T20</f>
        <v>1177604000</v>
      </c>
      <c r="AA20" s="441">
        <f t="shared" ref="AA20:AA26" si="15">Z20/$Z$28</f>
        <v>0.13705407821785612</v>
      </c>
      <c r="AB20" s="442">
        <f t="shared" ref="AB20:AB26" si="16">J20-Z20</f>
        <v>854348013.80880165</v>
      </c>
      <c r="AC20" s="443"/>
      <c r="AD20" s="443"/>
      <c r="AE20" s="443"/>
      <c r="AF20" s="442">
        <f>SUM(AC20:AE20)</f>
        <v>0</v>
      </c>
      <c r="AG20" s="444">
        <f t="shared" si="6"/>
        <v>0.57954321361784267</v>
      </c>
      <c r="AI20" s="180"/>
      <c r="AL20" s="445"/>
      <c r="AN20" s="306"/>
    </row>
    <row r="21" spans="1:41" ht="33" customHeight="1" x14ac:dyDescent="0.15">
      <c r="A21" s="618"/>
      <c r="B21" s="307" t="s">
        <v>118</v>
      </c>
      <c r="C21" s="308">
        <v>272</v>
      </c>
      <c r="D21" s="309">
        <v>228087000</v>
      </c>
      <c r="E21" s="446">
        <f t="shared" si="13"/>
        <v>9.8371783035632113E-3</v>
      </c>
      <c r="F21" s="311">
        <v>749</v>
      </c>
      <c r="G21" s="312">
        <v>626987840.18014777</v>
      </c>
      <c r="H21" s="313"/>
      <c r="I21" s="311">
        <v>749</v>
      </c>
      <c r="J21" s="314">
        <v>626987840.18014777</v>
      </c>
      <c r="K21" s="310">
        <f t="shared" ref="K21:K25" si="17">J21/$J$28</f>
        <v>4.2174750331213463E-2</v>
      </c>
      <c r="L21" s="315"/>
      <c r="M21" s="316">
        <v>0</v>
      </c>
      <c r="N21" s="317">
        <v>0</v>
      </c>
      <c r="O21" s="315"/>
      <c r="P21" s="447"/>
      <c r="Q21" s="448"/>
      <c r="R21" s="315"/>
      <c r="S21" s="316"/>
      <c r="T21" s="317"/>
      <c r="U21" s="315">
        <f t="shared" si="14"/>
        <v>0</v>
      </c>
      <c r="V21" s="316">
        <f t="shared" si="14"/>
        <v>0</v>
      </c>
      <c r="W21" s="317">
        <f t="shared" si="14"/>
        <v>0</v>
      </c>
      <c r="X21" s="315"/>
      <c r="Y21" s="316">
        <f t="shared" si="10"/>
        <v>0</v>
      </c>
      <c r="Z21" s="317">
        <f t="shared" si="10"/>
        <v>0</v>
      </c>
      <c r="AA21" s="320">
        <f t="shared" si="15"/>
        <v>0</v>
      </c>
      <c r="AB21" s="321">
        <f t="shared" si="16"/>
        <v>626987840.18014777</v>
      </c>
      <c r="AC21" s="322"/>
      <c r="AD21" s="322"/>
      <c r="AE21" s="322"/>
      <c r="AF21" s="321">
        <f>SUM(AC21:AE21)</f>
        <v>0</v>
      </c>
      <c r="AG21" s="323">
        <f t="shared" si="6"/>
        <v>0</v>
      </c>
      <c r="AI21" s="180"/>
      <c r="AK21" s="180"/>
      <c r="AL21" s="445"/>
      <c r="AN21" s="449"/>
    </row>
    <row r="22" spans="1:41" ht="33" customHeight="1" x14ac:dyDescent="0.15">
      <c r="A22" s="618"/>
      <c r="B22" s="326" t="s">
        <v>119</v>
      </c>
      <c r="C22" s="327">
        <v>40</v>
      </c>
      <c r="D22" s="309">
        <v>22356000</v>
      </c>
      <c r="E22" s="450">
        <f t="shared" si="13"/>
        <v>9.641933041096562E-4</v>
      </c>
      <c r="F22" s="329">
        <v>624</v>
      </c>
      <c r="G22" s="312">
        <v>766452498.56619942</v>
      </c>
      <c r="H22" s="313"/>
      <c r="I22" s="329">
        <v>624</v>
      </c>
      <c r="J22" s="314">
        <v>766452498.56619942</v>
      </c>
      <c r="K22" s="328">
        <f t="shared" si="17"/>
        <v>5.1555932501779492E-2</v>
      </c>
      <c r="L22" s="315"/>
      <c r="M22" s="316">
        <v>192</v>
      </c>
      <c r="N22" s="317">
        <v>439232000</v>
      </c>
      <c r="O22" s="451"/>
      <c r="P22" s="452">
        <v>239</v>
      </c>
      <c r="Q22" s="453">
        <v>693576000</v>
      </c>
      <c r="R22" s="315"/>
      <c r="S22" s="316"/>
      <c r="T22" s="317"/>
      <c r="U22" s="315">
        <f t="shared" si="14"/>
        <v>0</v>
      </c>
      <c r="V22" s="316">
        <f t="shared" si="14"/>
        <v>431</v>
      </c>
      <c r="W22" s="317">
        <f t="shared" si="14"/>
        <v>1132808000</v>
      </c>
      <c r="X22" s="315"/>
      <c r="Y22" s="316">
        <f t="shared" si="10"/>
        <v>431</v>
      </c>
      <c r="Z22" s="317">
        <f t="shared" si="10"/>
        <v>1132808000</v>
      </c>
      <c r="AA22" s="320">
        <f t="shared" si="15"/>
        <v>0.13184054761856545</v>
      </c>
      <c r="AB22" s="336">
        <f t="shared" si="16"/>
        <v>-366355501.43380058</v>
      </c>
      <c r="AC22" s="337"/>
      <c r="AD22" s="337"/>
      <c r="AE22" s="337"/>
      <c r="AF22" s="321">
        <f>SUM(AC22:AE22)</f>
        <v>0</v>
      </c>
      <c r="AG22" s="323">
        <f t="shared" si="6"/>
        <v>1.4779885278202378</v>
      </c>
      <c r="AI22" s="454"/>
      <c r="AJ22" s="180">
        <f>Y16-S16-AJ21</f>
        <v>1125</v>
      </c>
      <c r="AK22" s="261">
        <f>Z16-T16-AK21</f>
        <v>1269503000</v>
      </c>
      <c r="AL22" s="445"/>
      <c r="AN22" s="306"/>
    </row>
    <row r="23" spans="1:41" ht="33" customHeight="1" x14ac:dyDescent="0.15">
      <c r="A23" s="618"/>
      <c r="B23" s="326" t="s">
        <v>120</v>
      </c>
      <c r="C23" s="455">
        <v>0</v>
      </c>
      <c r="D23" s="309">
        <v>750428000</v>
      </c>
      <c r="E23" s="450">
        <f t="shared" si="13"/>
        <v>3.2365255538396899E-2</v>
      </c>
      <c r="F23" s="456">
        <v>3</v>
      </c>
      <c r="G23" s="312">
        <v>338045022.59392422</v>
      </c>
      <c r="H23" s="313"/>
      <c r="I23" s="456">
        <v>3</v>
      </c>
      <c r="J23" s="314">
        <v>338045022.59392422</v>
      </c>
      <c r="K23" s="328">
        <f t="shared" si="17"/>
        <v>2.2738821257700662E-2</v>
      </c>
      <c r="L23" s="315"/>
      <c r="M23" s="457">
        <v>0</v>
      </c>
      <c r="N23" s="317">
        <v>109867000</v>
      </c>
      <c r="O23" s="451"/>
      <c r="P23" s="458"/>
      <c r="Q23" s="453">
        <v>205427000</v>
      </c>
      <c r="R23" s="315"/>
      <c r="S23" s="457"/>
      <c r="T23" s="317"/>
      <c r="U23" s="315">
        <f t="shared" si="14"/>
        <v>0</v>
      </c>
      <c r="V23" s="457"/>
      <c r="W23" s="317">
        <f t="shared" si="14"/>
        <v>315294000</v>
      </c>
      <c r="X23" s="315"/>
      <c r="Y23" s="316">
        <f>M23+P23</f>
        <v>0</v>
      </c>
      <c r="Z23" s="317">
        <f t="shared" si="10"/>
        <v>315294000</v>
      </c>
      <c r="AA23" s="320">
        <f t="shared" si="15"/>
        <v>3.6695127171460631E-2</v>
      </c>
      <c r="AB23" s="336">
        <f t="shared" si="16"/>
        <v>22751022.593924224</v>
      </c>
      <c r="AC23" s="337"/>
      <c r="AD23" s="337"/>
      <c r="AE23" s="337"/>
      <c r="AF23" s="321">
        <f>SUM(AC23:AE23)</f>
        <v>0</v>
      </c>
      <c r="AG23" s="323">
        <f t="shared" si="6"/>
        <v>0.93269824705789606</v>
      </c>
      <c r="AI23" s="180"/>
      <c r="AJ23" s="459">
        <f>Y16+S16-AJ21</f>
        <v>1125</v>
      </c>
      <c r="AK23" s="460">
        <f>Z16+T16-AK21</f>
        <v>1269503000</v>
      </c>
      <c r="AL23" s="445"/>
      <c r="AN23" s="306"/>
    </row>
    <row r="24" spans="1:41" ht="33" customHeight="1" x14ac:dyDescent="0.15">
      <c r="A24" s="618"/>
      <c r="B24" s="461" t="s">
        <v>121</v>
      </c>
      <c r="C24" s="455"/>
      <c r="D24" s="462">
        <v>3522977000</v>
      </c>
      <c r="E24" s="463">
        <f t="shared" si="13"/>
        <v>0.15194269251799625</v>
      </c>
      <c r="F24" s="456">
        <v>856.64700000000005</v>
      </c>
      <c r="G24" s="464">
        <v>3230129037.5884838</v>
      </c>
      <c r="H24" s="465"/>
      <c r="I24" s="456">
        <v>856.64700000000005</v>
      </c>
      <c r="J24" s="466">
        <v>3230129037.5884838</v>
      </c>
      <c r="K24" s="467">
        <f t="shared" si="17"/>
        <v>0.21727675876258654</v>
      </c>
      <c r="L24" s="468"/>
      <c r="M24" s="469"/>
      <c r="N24" s="470">
        <v>1076709000</v>
      </c>
      <c r="O24" s="315"/>
      <c r="P24" s="471"/>
      <c r="Q24" s="448">
        <v>1076710000</v>
      </c>
      <c r="R24" s="315"/>
      <c r="S24" s="316"/>
      <c r="T24" s="472"/>
      <c r="U24" s="468"/>
      <c r="V24" s="469"/>
      <c r="W24" s="470">
        <f t="shared" si="14"/>
        <v>2153419000</v>
      </c>
      <c r="X24" s="468"/>
      <c r="Y24" s="473"/>
      <c r="Z24" s="470">
        <f t="shared" si="10"/>
        <v>2153419000</v>
      </c>
      <c r="AA24" s="474">
        <f t="shared" si="15"/>
        <v>0.25062317728354994</v>
      </c>
      <c r="AB24" s="321">
        <f t="shared" si="16"/>
        <v>1076710037.5884838</v>
      </c>
      <c r="AC24" s="405"/>
      <c r="AD24" s="405"/>
      <c r="AE24" s="405"/>
      <c r="AF24" s="342">
        <f>SUM(AC24:AE24)</f>
        <v>0</v>
      </c>
      <c r="AG24" s="475">
        <f t="shared" si="6"/>
        <v>0.6666665557137238</v>
      </c>
      <c r="AI24" s="180"/>
      <c r="AJ24" s="476">
        <f>Z19/J19</f>
        <v>0.42225098955298923</v>
      </c>
      <c r="AK24" s="261" t="s">
        <v>122</v>
      </c>
      <c r="AL24" s="445"/>
      <c r="AN24" s="306"/>
    </row>
    <row r="25" spans="1:41" ht="33" customHeight="1" x14ac:dyDescent="0.15">
      <c r="A25" s="618"/>
      <c r="B25" s="477" t="s">
        <v>123</v>
      </c>
      <c r="C25" s="478"/>
      <c r="D25" s="462">
        <v>1421410000</v>
      </c>
      <c r="E25" s="463">
        <f t="shared" si="13"/>
        <v>6.1304079638330039E-2</v>
      </c>
      <c r="F25" s="479">
        <v>95</v>
      </c>
      <c r="G25" s="464">
        <v>2749999724.3606791</v>
      </c>
      <c r="H25" s="465"/>
      <c r="I25" s="479">
        <v>95</v>
      </c>
      <c r="J25" s="466">
        <v>2749999724.3606791</v>
      </c>
      <c r="K25" s="467">
        <f t="shared" si="17"/>
        <v>0.18498054404451234</v>
      </c>
      <c r="L25" s="468"/>
      <c r="M25" s="469"/>
      <c r="N25" s="470">
        <v>550000000</v>
      </c>
      <c r="O25" s="480"/>
      <c r="P25" s="481"/>
      <c r="Q25" s="400">
        <v>1100000000</v>
      </c>
      <c r="R25" s="480"/>
      <c r="S25" s="482"/>
      <c r="T25" s="400"/>
      <c r="U25" s="468"/>
      <c r="V25" s="469"/>
      <c r="W25" s="470">
        <f t="shared" si="14"/>
        <v>1650000000</v>
      </c>
      <c r="X25" s="468"/>
      <c r="Y25" s="483"/>
      <c r="Z25" s="470">
        <f t="shared" si="10"/>
        <v>1650000000</v>
      </c>
      <c r="AA25" s="474">
        <f t="shared" si="15"/>
        <v>0.19203333978099821</v>
      </c>
      <c r="AB25" s="404">
        <f t="shared" si="16"/>
        <v>1099999724.3606791</v>
      </c>
      <c r="AC25" s="405"/>
      <c r="AD25" s="405"/>
      <c r="AE25" s="405"/>
      <c r="AF25" s="342"/>
      <c r="AG25" s="475">
        <f t="shared" si="6"/>
        <v>0.60000006013949425</v>
      </c>
      <c r="AI25" s="180"/>
      <c r="AJ25" s="484">
        <f>Z27/J27</f>
        <v>0.65983284862421832</v>
      </c>
      <c r="AK25" s="261" t="s">
        <v>45</v>
      </c>
      <c r="AL25" s="445"/>
      <c r="AN25" s="306"/>
    </row>
    <row r="26" spans="1:41" ht="33" customHeight="1" x14ac:dyDescent="0.15">
      <c r="A26" s="620"/>
      <c r="B26" s="485"/>
      <c r="C26" s="486"/>
      <c r="D26" s="487">
        <v>0</v>
      </c>
      <c r="E26" s="488"/>
      <c r="F26" s="489"/>
      <c r="G26" s="490"/>
      <c r="H26" s="491">
        <f>G26/$J$28</f>
        <v>0</v>
      </c>
      <c r="I26" s="489"/>
      <c r="J26" s="492"/>
      <c r="K26" s="493">
        <f>J26/$J$28</f>
        <v>0</v>
      </c>
      <c r="L26" s="494"/>
      <c r="M26" s="495"/>
      <c r="N26" s="492">
        <v>0</v>
      </c>
      <c r="O26" s="494"/>
      <c r="P26" s="496"/>
      <c r="Q26" s="356"/>
      <c r="R26" s="494"/>
      <c r="S26" s="495"/>
      <c r="T26" s="492"/>
      <c r="U26" s="494"/>
      <c r="V26" s="495"/>
      <c r="W26" s="492">
        <f t="shared" si="14"/>
        <v>0</v>
      </c>
      <c r="X26" s="494"/>
      <c r="Y26" s="495"/>
      <c r="Z26" s="492">
        <f t="shared" si="10"/>
        <v>0</v>
      </c>
      <c r="AA26" s="497">
        <f t="shared" si="15"/>
        <v>0</v>
      </c>
      <c r="AB26" s="364">
        <f t="shared" si="16"/>
        <v>0</v>
      </c>
      <c r="AC26" s="498"/>
      <c r="AD26" s="498"/>
      <c r="AE26" s="498"/>
      <c r="AF26" s="364"/>
      <c r="AG26" s="499" t="str">
        <f t="shared" si="6"/>
        <v/>
      </c>
      <c r="AJ26" s="484">
        <f>Z28/J28</f>
        <v>0.57796389771650536</v>
      </c>
      <c r="AK26" s="261" t="s">
        <v>124</v>
      </c>
      <c r="AL26" s="180"/>
      <c r="AN26" s="306"/>
    </row>
    <row r="27" spans="1:41" ht="33" customHeight="1" thickBot="1" x14ac:dyDescent="0.2">
      <c r="A27" s="621" t="s">
        <v>125</v>
      </c>
      <c r="B27" s="622"/>
      <c r="C27" s="500">
        <f>SUM(C20:C22)</f>
        <v>2412</v>
      </c>
      <c r="D27" s="501">
        <f>SUM(D20:D26)</f>
        <v>8754796000</v>
      </c>
      <c r="E27" s="502">
        <f>SUM(E20:E26)</f>
        <v>0.3775861371464484</v>
      </c>
      <c r="F27" s="503">
        <f>SUM(F20:F22)</f>
        <v>4201</v>
      </c>
      <c r="G27" s="504">
        <f>SUM(G20:G26)</f>
        <v>9743566137.0982361</v>
      </c>
      <c r="H27" s="505">
        <f>SUM(H20:H26)</f>
        <v>0</v>
      </c>
      <c r="I27" s="503">
        <f>SUM(I20:I22)</f>
        <v>4201</v>
      </c>
      <c r="J27" s="501">
        <f>SUM(J20:J26)</f>
        <v>9743566137.0982361</v>
      </c>
      <c r="K27" s="502">
        <f>SUM(K20:K26)</f>
        <v>0.65540739841097073</v>
      </c>
      <c r="L27" s="506">
        <v>0</v>
      </c>
      <c r="M27" s="507">
        <v>2537</v>
      </c>
      <c r="N27" s="501">
        <v>3259684000</v>
      </c>
      <c r="O27" s="506">
        <f>SUM(O20:O24)</f>
        <v>0</v>
      </c>
      <c r="P27" s="508">
        <f>SUM(P20:P24)</f>
        <v>262</v>
      </c>
      <c r="Q27" s="501">
        <f>SUM(Q20:Q26)</f>
        <v>3169441000</v>
      </c>
      <c r="R27" s="506">
        <f>SUM(R20:R24)</f>
        <v>0</v>
      </c>
      <c r="S27" s="507">
        <f>SUM(S20:S24)</f>
        <v>0</v>
      </c>
      <c r="T27" s="501">
        <f>SUM(T20:T26)</f>
        <v>0</v>
      </c>
      <c r="U27" s="506">
        <f>SUM(U20:U24)</f>
        <v>0</v>
      </c>
      <c r="V27" s="507">
        <f>SUM(V20:V22)</f>
        <v>2799</v>
      </c>
      <c r="W27" s="501">
        <f>SUM(W20:W26)</f>
        <v>6429125000</v>
      </c>
      <c r="X27" s="506">
        <f>SUM(X20:X24)</f>
        <v>0</v>
      </c>
      <c r="Y27" s="507">
        <f>SUM(Y20:Y22)</f>
        <v>2799</v>
      </c>
      <c r="Z27" s="501">
        <f>SUM(Z20:Z26)</f>
        <v>6429125000</v>
      </c>
      <c r="AA27" s="509">
        <f>SUM(AA20:AA26)</f>
        <v>0.74824627007243028</v>
      </c>
      <c r="AB27" s="510">
        <f>SUM(AB20:AB26)</f>
        <v>3314441137.0982356</v>
      </c>
      <c r="AC27" s="511" t="e">
        <f>SUM(AC17:AC22)</f>
        <v>#REF!</v>
      </c>
      <c r="AD27" s="511" t="e">
        <f>SUM(AD17:AD22)</f>
        <v>#REF!</v>
      </c>
      <c r="AE27" s="511" t="e">
        <f>SUM(AE17:AE22)</f>
        <v>#REF!</v>
      </c>
      <c r="AF27" s="510" t="e">
        <f>SUM(AF17:AF22)</f>
        <v>#REF!</v>
      </c>
      <c r="AG27" s="512">
        <f t="shared" si="6"/>
        <v>0.65983284862421832</v>
      </c>
      <c r="AI27" s="180"/>
      <c r="AK27" s="261"/>
      <c r="AL27" s="513"/>
      <c r="AN27" s="306"/>
    </row>
    <row r="28" spans="1:41" ht="33" customHeight="1" thickTop="1" thickBot="1" x14ac:dyDescent="0.2">
      <c r="A28" s="514" t="s">
        <v>126</v>
      </c>
      <c r="B28" s="515"/>
      <c r="C28" s="516">
        <f>C19+C27</f>
        <v>22360</v>
      </c>
      <c r="D28" s="517">
        <f>SUM(D19,D27)</f>
        <v>23186222000</v>
      </c>
      <c r="E28" s="518">
        <f>SUM(E19,E27)</f>
        <v>0.87615822017058231</v>
      </c>
      <c r="F28" s="519">
        <f t="shared" ref="F28:Z28" si="18">F27+F19</f>
        <v>11500</v>
      </c>
      <c r="G28" s="520">
        <f t="shared" si="18"/>
        <v>14866426837.294519</v>
      </c>
      <c r="H28" s="521">
        <f t="shared" si="18"/>
        <v>0</v>
      </c>
      <c r="I28" s="519">
        <f t="shared" si="18"/>
        <v>11500</v>
      </c>
      <c r="J28" s="522">
        <f t="shared" si="18"/>
        <v>14866426837.294519</v>
      </c>
      <c r="K28" s="523">
        <f t="shared" si="18"/>
        <v>1</v>
      </c>
      <c r="L28" s="524">
        <f t="shared" si="18"/>
        <v>8014</v>
      </c>
      <c r="M28" s="525">
        <f t="shared" si="18"/>
        <v>5172</v>
      </c>
      <c r="N28" s="522">
        <f t="shared" si="18"/>
        <v>5422817000</v>
      </c>
      <c r="O28" s="524">
        <f t="shared" si="18"/>
        <v>0</v>
      </c>
      <c r="P28" s="525">
        <f t="shared" si="18"/>
        <v>262</v>
      </c>
      <c r="Q28" s="522">
        <f t="shared" si="18"/>
        <v>3169441000</v>
      </c>
      <c r="R28" s="519">
        <f t="shared" si="18"/>
        <v>0</v>
      </c>
      <c r="S28" s="526">
        <f t="shared" si="18"/>
        <v>0</v>
      </c>
      <c r="T28" s="522">
        <f t="shared" si="18"/>
        <v>0</v>
      </c>
      <c r="U28" s="519">
        <f t="shared" si="18"/>
        <v>8014</v>
      </c>
      <c r="V28" s="527">
        <f t="shared" si="18"/>
        <v>5434</v>
      </c>
      <c r="W28" s="522">
        <f t="shared" si="18"/>
        <v>8592258000</v>
      </c>
      <c r="X28" s="519">
        <f t="shared" si="18"/>
        <v>8014</v>
      </c>
      <c r="Y28" s="527">
        <f t="shared" si="18"/>
        <v>5434</v>
      </c>
      <c r="Z28" s="528">
        <f t="shared" si="18"/>
        <v>8592258000</v>
      </c>
      <c r="AA28" s="529">
        <f t="shared" ref="AA28" si="19">SUM(AA19,AA27)</f>
        <v>1</v>
      </c>
      <c r="AB28" s="530">
        <f>ROUND(SUM(AB19,AB27),0)</f>
        <v>6274168837</v>
      </c>
      <c r="AC28" s="531" t="e">
        <f>SUM(AC22+SUM(AC23:AC27))</f>
        <v>#REF!</v>
      </c>
      <c r="AD28" s="531" t="e">
        <f>SUM(AD22+SUM(AD23:AD27))</f>
        <v>#REF!</v>
      </c>
      <c r="AE28" s="531" t="e">
        <f>SUM(AE22+SUM(AE23:AE27))</f>
        <v>#REF!</v>
      </c>
      <c r="AF28" s="531" t="e">
        <f>SUM(AF22+SUM(AF23:AF27))</f>
        <v>#REF!</v>
      </c>
      <c r="AG28" s="532">
        <f t="shared" si="6"/>
        <v>0.57796389771650536</v>
      </c>
      <c r="AJ28" s="533">
        <f>Z28</f>
        <v>8592258000</v>
      </c>
      <c r="AK28" s="261"/>
      <c r="AL28" s="534"/>
      <c r="AN28" s="306"/>
      <c r="AO28" s="306"/>
    </row>
    <row r="29" spans="1:41" ht="15" customHeight="1" x14ac:dyDescent="0.15">
      <c r="B29" s="6"/>
      <c r="AL29" s="534"/>
    </row>
    <row r="30" spans="1:41" ht="20.100000000000001" customHeight="1" x14ac:dyDescent="0.15">
      <c r="B30" s="6"/>
      <c r="G30" s="306"/>
      <c r="J30" s="306"/>
      <c r="N30" s="263"/>
      <c r="Y30" s="535"/>
      <c r="Z30" s="536" t="b">
        <f>Z28=요약보고!I62</f>
        <v>1</v>
      </c>
      <c r="AB30" s="263">
        <f>ROUND((J28-N28-Q28+T28),0)</f>
        <v>6274168837</v>
      </c>
    </row>
    <row r="31" spans="1:41" ht="20.100000000000001" customHeight="1" x14ac:dyDescent="0.15">
      <c r="J31" s="263"/>
      <c r="N31" s="263"/>
      <c r="AB31" s="263">
        <f>AB28-AB30</f>
        <v>0</v>
      </c>
    </row>
    <row r="32" spans="1:41" ht="20.100000000000001" customHeight="1" x14ac:dyDescent="0.15">
      <c r="G32" s="537"/>
      <c r="H32" s="538"/>
      <c r="J32" s="537"/>
      <c r="K32" s="538"/>
      <c r="M32" s="539"/>
      <c r="N32" s="540"/>
      <c r="Q32" s="537"/>
      <c r="T32" s="263"/>
      <c r="AB32" s="541">
        <f>Z28/J28</f>
        <v>0.57796389771650536</v>
      </c>
      <c r="AG32" s="266" t="s">
        <v>124</v>
      </c>
    </row>
    <row r="33" spans="6:38" ht="20.100000000000001" customHeight="1" x14ac:dyDescent="0.15">
      <c r="G33" s="537"/>
      <c r="H33" s="538"/>
      <c r="J33" s="537"/>
      <c r="K33" s="538"/>
      <c r="N33" s="540"/>
      <c r="Q33" s="540"/>
      <c r="T33" s="263"/>
      <c r="Z33" s="263"/>
      <c r="AB33" s="541">
        <f>Z19/J19</f>
        <v>0.42225098955298923</v>
      </c>
      <c r="AG33" s="266" t="s">
        <v>100</v>
      </c>
    </row>
    <row r="34" spans="6:38" ht="20.100000000000001" customHeight="1" x14ac:dyDescent="0.15">
      <c r="G34" s="537"/>
      <c r="H34" s="539"/>
      <c r="J34" s="537"/>
      <c r="K34" s="539"/>
      <c r="N34" s="540"/>
      <c r="Q34" s="540"/>
      <c r="T34" s="542"/>
      <c r="Z34" s="543"/>
      <c r="AB34" s="541">
        <f>Z27/J27</f>
        <v>0.65983284862421832</v>
      </c>
      <c r="AG34" s="266" t="s">
        <v>45</v>
      </c>
      <c r="AK34" s="544" t="s">
        <v>127</v>
      </c>
      <c r="AL34" s="545" t="s">
        <v>128</v>
      </c>
    </row>
    <row r="35" spans="6:38" ht="20.100000000000001" customHeight="1" x14ac:dyDescent="0.15">
      <c r="N35" s="546"/>
      <c r="AK35" s="547" t="s">
        <v>129</v>
      </c>
      <c r="AL35" s="548">
        <f>AB33</f>
        <v>0.42225098955298923</v>
      </c>
    </row>
    <row r="36" spans="6:38" ht="20.100000000000001" customHeight="1" x14ac:dyDescent="0.15">
      <c r="AK36" s="547" t="s">
        <v>130</v>
      </c>
      <c r="AL36" s="548">
        <f>AB34</f>
        <v>0.65983284862421832</v>
      </c>
    </row>
    <row r="37" spans="6:38" ht="20.100000000000001" customHeight="1" x14ac:dyDescent="0.15">
      <c r="G37" s="537"/>
      <c r="J37" s="537"/>
      <c r="AK37" s="549" t="s">
        <v>131</v>
      </c>
      <c r="AL37" s="550">
        <f>AB32</f>
        <v>0.57796389771650536</v>
      </c>
    </row>
    <row r="38" spans="6:38" ht="20.100000000000001" customHeight="1" x14ac:dyDescent="0.15">
      <c r="F38" s="265"/>
      <c r="G38" s="551"/>
      <c r="H38" s="552"/>
      <c r="I38" s="265"/>
      <c r="J38" s="551"/>
      <c r="K38" s="552"/>
      <c r="L38" s="552"/>
      <c r="M38" s="552"/>
      <c r="N38" s="552"/>
      <c r="O38" s="552"/>
      <c r="P38" s="552"/>
    </row>
    <row r="39" spans="6:38" ht="20.100000000000001" customHeight="1" x14ac:dyDescent="0.15">
      <c r="F39" s="265"/>
      <c r="G39" s="551"/>
      <c r="H39" s="552"/>
      <c r="I39" s="265"/>
      <c r="J39" s="551"/>
      <c r="K39" s="552"/>
      <c r="L39" s="552"/>
      <c r="M39" s="552"/>
      <c r="N39" s="552"/>
      <c r="O39" s="552"/>
      <c r="P39" s="552"/>
      <c r="AH39" s="259">
        <f>10908669800-10741377000</f>
        <v>167292800</v>
      </c>
    </row>
    <row r="40" spans="6:38" ht="20.100000000000001" customHeight="1" x14ac:dyDescent="0.15">
      <c r="F40" s="265"/>
      <c r="G40" s="553"/>
      <c r="H40" s="552"/>
      <c r="I40" s="265"/>
      <c r="J40" s="553"/>
      <c r="K40" s="552"/>
      <c r="L40" s="552"/>
      <c r="M40" s="552"/>
      <c r="N40" s="552"/>
      <c r="O40" s="552"/>
      <c r="P40" s="552"/>
      <c r="AH40" s="259">
        <f>818047800-650755000</f>
        <v>167292800</v>
      </c>
    </row>
    <row r="41" spans="6:38" ht="20.100000000000001" customHeight="1" x14ac:dyDescent="0.15">
      <c r="F41" s="540"/>
      <c r="G41" s="540"/>
      <c r="I41" s="540"/>
      <c r="J41" s="540"/>
      <c r="AH41" s="259">
        <f>215530800-48238000</f>
        <v>167292800</v>
      </c>
    </row>
    <row r="42" spans="6:38" ht="20.100000000000001" customHeight="1" x14ac:dyDescent="0.15"/>
    <row r="45" spans="6:38" x14ac:dyDescent="0.15">
      <c r="G45" s="306"/>
      <c r="J45" s="306"/>
    </row>
  </sheetData>
  <mergeCells count="9">
    <mergeCell ref="AF7:AF8"/>
    <mergeCell ref="AG7:AG8"/>
    <mergeCell ref="A9:A15"/>
    <mergeCell ref="A20:A26"/>
    <mergeCell ref="A27:B27"/>
    <mergeCell ref="A7:B8"/>
    <mergeCell ref="F7:G7"/>
    <mergeCell ref="H7:H8"/>
    <mergeCell ref="AB7:AB8"/>
  </mergeCells>
  <phoneticPr fontId="3" type="noConversion"/>
  <conditionalFormatting sqref="AB28">
    <cfRule type="cellIs" dxfId="1" priority="1" stopIfTrue="1" operator="lessThan">
      <formula>$AB$30</formula>
    </cfRule>
    <cfRule type="cellIs" dxfId="0" priority="2" stopIfTrue="1" operator="greaterThan">
      <formula>$AB$30</formula>
    </cfRule>
  </conditionalFormatting>
  <printOptions horizontalCentered="1"/>
  <pageMargins left="0" right="0" top="0.31496062992125984" bottom="0" header="0.51181102362204722" footer="0.51181102362204722"/>
  <pageSetup paperSize="9" scale="65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이월분</vt:lpstr>
      <vt:lpstr>취소분</vt:lpstr>
      <vt:lpstr>요약보고</vt:lpstr>
      <vt:lpstr>투자현황</vt:lpstr>
      <vt:lpstr>요약보고!Print_Area</vt:lpstr>
      <vt:lpstr>취소분!Print_Area</vt:lpstr>
      <vt:lpstr>투자현황!Print_Area</vt:lpstr>
      <vt:lpstr>취소분!Print_Titles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2026-07-03T07:48:41Z</cp:lastPrinted>
  <dcterms:created xsi:type="dcterms:W3CDTF">2026-02-20T01:07:52Z</dcterms:created>
  <dcterms:modified xsi:type="dcterms:W3CDTF">2026-07-03T07:58:41Z</dcterms:modified>
</cp:coreProperties>
</file>