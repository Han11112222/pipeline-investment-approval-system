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5.배관투자\2026년_15차\"/>
    </mc:Choice>
  </mc:AlternateContent>
  <xr:revisionPtr revIDLastSave="0" documentId="13_ncr:1_{CEE7BF94-FD4E-4DC7-A48C-C462276299BC}" xr6:coauthVersionLast="47" xr6:coauthVersionMax="47" xr10:uidLastSave="{00000000-0000-0000-0000-000000000000}"/>
  <bookViews>
    <workbookView xWindow="-28920" yWindow="3900" windowWidth="29040" windowHeight="15720" xr2:uid="{53480245-9D4D-48DD-81EF-0242260A39E5}"/>
  </bookViews>
  <sheets>
    <sheet name="2" sheetId="2" r:id="rId1"/>
    <sheet name="raw" sheetId="1" r:id="rId2"/>
  </sheets>
  <definedNames>
    <definedName name="_xlnm._FilterDatabase" localSheetId="0" hidden="1">'2'!$C$4:$BS$11</definedName>
    <definedName name="_xlnm._FilterDatabase" localSheetId="1" hidden="1">raw!$A$4:$BR$68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7" i="2" l="1"/>
  <c r="BP17" i="2"/>
  <c r="BQ16" i="2"/>
  <c r="BP16" i="2"/>
  <c r="BQ15" i="2"/>
  <c r="BP15" i="2"/>
  <c r="BP18" i="2" s="1"/>
  <c r="BQ12" i="2"/>
  <c r="BP12" i="2"/>
  <c r="G18" i="2"/>
  <c r="G17" i="2"/>
  <c r="F17" i="2"/>
  <c r="G16" i="2"/>
  <c r="F16" i="2"/>
  <c r="G15" i="2"/>
  <c r="F15" i="2"/>
  <c r="F18" i="2" s="1"/>
  <c r="F19" i="2" s="1"/>
  <c r="G12" i="2"/>
  <c r="G19" i="2" s="1"/>
  <c r="F12" i="2"/>
  <c r="BP19" i="2" l="1"/>
  <c r="BQ18" i="2"/>
  <c r="BQ19" i="2" s="1"/>
</calcChain>
</file>

<file path=xl/sharedStrings.xml><?xml version="1.0" encoding="utf-8"?>
<sst xmlns="http://schemas.openxmlformats.org/spreadsheetml/2006/main" count="422" uniqueCount="159">
  <si>
    <t xml:space="preserve">  구간명</t>
  </si>
  <si>
    <t xml:space="preserve">  분석시행번호</t>
  </si>
  <si>
    <t xml:space="preserve">  관리번호</t>
  </si>
  <si>
    <t xml:space="preserve">  분석단계</t>
  </si>
  <si>
    <t>투자내역</t>
  </si>
  <si>
    <t>가    정    용  [ (전,월) ]</t>
  </si>
  <si>
    <t>일    반    용  [ MJ / (전,월) ]</t>
  </si>
  <si>
    <t>산  업  용 [ MJ / (전,월) ]</t>
  </si>
  <si>
    <t>연 료 전 지 [ MJ / (전,월) ]</t>
  </si>
  <si>
    <t>열  병  합 [ MJ / (전,월) ]</t>
  </si>
  <si>
    <t>열전용설비 [ MJ / (전,월) ]</t>
  </si>
  <si>
    <t>수 요  전 수 계</t>
  </si>
  <si>
    <t>용도별 표준가스 소비량 합계</t>
  </si>
  <si>
    <t xml:space="preserve">  계</t>
  </si>
  <si>
    <t xml:space="preserve"> 시설분담금</t>
  </si>
  <si>
    <t>기타이익 (수요가부담   공사비 등)</t>
  </si>
  <si>
    <t>연    간        판    매    량 [ MJ / 년 ]</t>
  </si>
  <si>
    <t>연    간 판 매 액 [원 / 년]</t>
  </si>
  <si>
    <t>연    간 판매원가 [원 / 년]</t>
  </si>
  <si>
    <t>연    간 판매수익 [원 / 년]</t>
  </si>
  <si>
    <t>경제성분석</t>
  </si>
  <si>
    <t xml:space="preserve">길이  (m) </t>
  </si>
  <si>
    <t xml:space="preserve">배관투자금액  (원) </t>
  </si>
  <si>
    <t>공동주택전수</t>
  </si>
  <si>
    <t>단독주택전수</t>
  </si>
  <si>
    <t>원룸전수</t>
  </si>
  <si>
    <t>중앙난방(중집)</t>
  </si>
  <si>
    <t>일반용(영업1)</t>
  </si>
  <si>
    <t>일반용(영업2)</t>
  </si>
  <si>
    <t>업무난방</t>
  </si>
  <si>
    <t>냉난방</t>
  </si>
  <si>
    <t>주  택  용</t>
  </si>
  <si>
    <t>주  택  용  외</t>
  </si>
  <si>
    <t>가정용</t>
  </si>
  <si>
    <t>일반용</t>
  </si>
  <si>
    <t xml:space="preserve"> 산업용(MJ)</t>
  </si>
  <si>
    <t xml:space="preserve"> 연료전지(MJ)</t>
  </si>
  <si>
    <t xml:space="preserve"> 열병합(MJ)</t>
  </si>
  <si>
    <t xml:space="preserve"> 열전용설비(MJ)</t>
  </si>
  <si>
    <t xml:space="preserve"> 계 (MJ)</t>
  </si>
  <si>
    <t>회 수 년 수</t>
  </si>
  <si>
    <t>NPV (원)</t>
  </si>
  <si>
    <t>IRR (%)</t>
  </si>
  <si>
    <t>100m 환산 세대수</t>
  </si>
  <si>
    <t>주택용 인입관비 배분액</t>
  </si>
  <si>
    <t>취사</t>
  </si>
  <si>
    <t>난방</t>
  </si>
  <si>
    <t>전수</t>
  </si>
  <si>
    <t>판매열량(MJ)</t>
  </si>
  <si>
    <t>난방판매(MJ)</t>
  </si>
  <si>
    <t>냉방판매(MJ)</t>
  </si>
  <si>
    <t>중앙</t>
  </si>
  <si>
    <t>일반용1</t>
  </si>
  <si>
    <t>일반용2</t>
  </si>
  <si>
    <t>냉난방용</t>
  </si>
  <si>
    <t>산업용</t>
  </si>
  <si>
    <t>연료전지</t>
  </si>
  <si>
    <t>열병합</t>
  </si>
  <si>
    <t>열전용설비</t>
  </si>
  <si>
    <t>일반</t>
  </si>
  <si>
    <t>취사전용</t>
  </si>
  <si>
    <t>수요가부담금</t>
  </si>
  <si>
    <t>총시설분담금</t>
  </si>
  <si>
    <t>취사용(MJ)</t>
  </si>
  <si>
    <t>개별난방용(MJ)</t>
  </si>
  <si>
    <t>중앙난방용(MJ)</t>
  </si>
  <si>
    <t>일반용(영업1)(MJ)</t>
  </si>
  <si>
    <t>일반용(영업2)(MJ)</t>
  </si>
  <si>
    <t>업무난방용(MJ)</t>
  </si>
  <si>
    <t>냉방용난방(MJ)</t>
  </si>
  <si>
    <t>냉방용냉방(MJ)</t>
  </si>
  <si>
    <t>평리동 1114-16번지R</t>
  </si>
  <si>
    <t>2026-2A00047</t>
  </si>
  <si>
    <t>수요조사후분석</t>
  </si>
  <si>
    <t>기본설계후</t>
  </si>
  <si>
    <t>봉덕동 578-4번지 K</t>
  </si>
  <si>
    <t>대신동 894번지R</t>
  </si>
  <si>
    <t>2026-2A00026</t>
  </si>
  <si>
    <t>율암동 (주)만재푸드</t>
  </si>
  <si>
    <t>2026-2A00054</t>
  </si>
  <si>
    <t>비산동 136-2번지R</t>
  </si>
  <si>
    <t>2026-2A00039</t>
  </si>
  <si>
    <t>월암동 성서그린에너지 연료전지</t>
  </si>
  <si>
    <t>2026-2A00045</t>
  </si>
  <si>
    <t>한도초과</t>
  </si>
  <si>
    <t>지저동 858-24번지(L구간)</t>
  </si>
  <si>
    <t>진량읍 부기리마을 지자체</t>
  </si>
  <si>
    <t>2026-2A00053</t>
  </si>
  <si>
    <t>파동 391-8번지(L구간)</t>
  </si>
  <si>
    <t>하양읍 도리리마을 지자체</t>
  </si>
  <si>
    <t>2026-2A00052</t>
  </si>
  <si>
    <t>대가야읍 고아리 15-6지자체</t>
  </si>
  <si>
    <t>2026-2A00036</t>
  </si>
  <si>
    <t>대가야읍 고아리 80-1지자체</t>
  </si>
  <si>
    <t>2026-2A00033</t>
  </si>
  <si>
    <t>대가야읍 지산리 60-1지자체</t>
  </si>
  <si>
    <t>2026-2A00035</t>
  </si>
  <si>
    <t>대가야읍 지산리 3-1지자체</t>
  </si>
  <si>
    <t>2026-2A00034</t>
  </si>
  <si>
    <t>신천동 448-25번지(K구간)</t>
  </si>
  <si>
    <t>방촌LH참여형가로주택정비사업</t>
  </si>
  <si>
    <t>2026-2C00051</t>
  </si>
  <si>
    <t>청솔로가로주택정비사업</t>
  </si>
  <si>
    <t>2026-2C00050</t>
  </si>
  <si>
    <t>동성로1가 주상복합</t>
  </si>
  <si>
    <t>2026-2A00040</t>
  </si>
  <si>
    <t>신서동 517-15번지R</t>
  </si>
  <si>
    <t>2026-2A00050</t>
  </si>
  <si>
    <t>인교동 크레텍책임(주)</t>
  </si>
  <si>
    <t>2026-2C00099</t>
  </si>
  <si>
    <t>노원동2가 265-12번지(K구간)</t>
  </si>
  <si>
    <t>대명동 1551-21번지(K구간)</t>
  </si>
  <si>
    <t>한마음메디케어요양원 인입</t>
  </si>
  <si>
    <t>2026-2C00098</t>
  </si>
  <si>
    <t>신천동 149-1번지(L구간)</t>
  </si>
  <si>
    <t>대명동 603-6번지(K 구간)</t>
  </si>
  <si>
    <t>대명동 1646-2번지(L구간)</t>
  </si>
  <si>
    <t>화원읍 등푸른화덕고등어 인입</t>
  </si>
  <si>
    <t>2026-2A00051</t>
  </si>
  <si>
    <t>본리자이(달서자이제니크) 인입</t>
  </si>
  <si>
    <t>2026-2A00037</t>
  </si>
  <si>
    <t>제2임대형지식산업센터 인입</t>
  </si>
  <si>
    <t>2026-2C00097</t>
  </si>
  <si>
    <t>파동 388번지(K구간)</t>
  </si>
  <si>
    <t>원대동3가 1442-9 (K구간)</t>
  </si>
  <si>
    <t>방촌동 925-49번지(K구간)</t>
  </si>
  <si>
    <t>현풍읍 청구장목욕탕 인입</t>
  </si>
  <si>
    <t>2026-2C00100</t>
  </si>
  <si>
    <t>수성동3가 200-7번지R</t>
  </si>
  <si>
    <t>2026-2A00056</t>
  </si>
  <si>
    <t>수성동3가 222-9번지R</t>
  </si>
  <si>
    <t>2026-2A00055</t>
  </si>
  <si>
    <t>두산동 124-14번지(L구간)</t>
  </si>
  <si>
    <t>봉덕동 1114-19번지R</t>
  </si>
  <si>
    <t>2026-2A00021</t>
  </si>
  <si>
    <t>황금동 범어공원풀비체 인입</t>
  </si>
  <si>
    <t>노원동1가 355번지(K구간)</t>
  </si>
  <si>
    <t>상동 288-2번지(K구간)</t>
  </si>
  <si>
    <t>용도</t>
  </si>
  <si>
    <t>구청</t>
  </si>
  <si>
    <t>공동주택</t>
  </si>
  <si>
    <t>공동주택</t>
    <phoneticPr fontId="18" type="noConversion"/>
  </si>
  <si>
    <t>업무용</t>
  </si>
  <si>
    <t>업무용</t>
    <phoneticPr fontId="18" type="noConversion"/>
  </si>
  <si>
    <t>ROE</t>
  </si>
  <si>
    <t>ROE</t>
    <phoneticPr fontId="18" type="noConversion"/>
  </si>
  <si>
    <t>수성구</t>
    <phoneticPr fontId="18" type="noConversion"/>
  </si>
  <si>
    <t>남구</t>
    <phoneticPr fontId="18" type="noConversion"/>
  </si>
  <si>
    <t>동구</t>
    <phoneticPr fontId="18" type="noConversion"/>
  </si>
  <si>
    <t>중구</t>
    <phoneticPr fontId="18" type="noConversion"/>
  </si>
  <si>
    <t>달성군</t>
    <phoneticPr fontId="18" type="noConversion"/>
  </si>
  <si>
    <t>청솔로가로주택정비사업</t>
    <phoneticPr fontId="18" type="noConversion"/>
  </si>
  <si>
    <t>소계</t>
  </si>
  <si>
    <t>ROE제외</t>
  </si>
  <si>
    <t>동성로1가주상복합</t>
  </si>
  <si>
    <t>현풍읍청구장목욕탕인입</t>
  </si>
  <si>
    <t>수성동3가200-7번지R</t>
  </si>
  <si>
    <t>수성동3가222-9번지R</t>
  </si>
  <si>
    <t>봉덕동1114-19번지R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</si>
</sst>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4" fontId="0" fillId="33" borderId="0" xfId="0" applyNumberFormat="1" applyFill="1">
      <alignment vertical="center"/>
    </xf>
    <xf numFmtId="41" fontId="0" fillId="0" borderId="0" xfId="42" applyFont="1">
      <alignment vertical="center"/>
    </xf>
    <xf numFmtId="0" fontId="0" fillId="34" borderId="0" xfId="0" applyFill="1">
      <alignment vertical="center"/>
    </xf>
    <xf numFmtId="41" fontId="0" fillId="34" borderId="0" xfId="42" applyFon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2" xr:uid="{12040F7D-16E9-41D1-A86E-A825D03BDBF4}"/>
    <cellStyle name="쉼표 [0] 3" xfId="43" xr:uid="{CE00EF83-EBCF-431B-8920-35088AAEFFC5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2D6A-4B3D-4250-B91D-36FF46A56285}">
  <dimension ref="A1:BS19"/>
  <sheetViews>
    <sheetView tabSelected="1" workbookViewId="0">
      <selection activeCell="C16" sqref="C16"/>
    </sheetView>
  </sheetViews>
  <sheetFormatPr defaultRowHeight="16.5" x14ac:dyDescent="0.3"/>
  <cols>
    <col min="3" max="3" width="33.125" customWidth="1"/>
    <col min="5" max="5" width="26.75" customWidth="1"/>
    <col min="7" max="7" width="15.625" customWidth="1"/>
    <col min="68" max="69" width="14" customWidth="1"/>
  </cols>
  <sheetData>
    <row r="1" spans="1:71" x14ac:dyDescent="0.3">
      <c r="C1" t="s">
        <v>0</v>
      </c>
      <c r="D1" t="s">
        <v>2</v>
      </c>
      <c r="E1" t="s">
        <v>3</v>
      </c>
      <c r="F1" t="s">
        <v>4</v>
      </c>
      <c r="H1" t="s">
        <v>5</v>
      </c>
      <c r="P1" t="s">
        <v>6</v>
      </c>
      <c r="Y1" t="s">
        <v>7</v>
      </c>
      <c r="AA1" t="s">
        <v>8</v>
      </c>
      <c r="AC1" t="s">
        <v>9</v>
      </c>
      <c r="AE1" t="s">
        <v>10</v>
      </c>
      <c r="AG1" t="s">
        <v>11</v>
      </c>
      <c r="AH1" t="s">
        <v>12</v>
      </c>
      <c r="AS1" t="s">
        <v>13</v>
      </c>
      <c r="AT1" t="s">
        <v>14</v>
      </c>
      <c r="AX1" t="s">
        <v>15</v>
      </c>
      <c r="AY1" t="s">
        <v>16</v>
      </c>
      <c r="BL1" t="s">
        <v>17</v>
      </c>
      <c r="BM1" t="s">
        <v>18</v>
      </c>
      <c r="BN1" t="s">
        <v>19</v>
      </c>
      <c r="BO1" t="s">
        <v>20</v>
      </c>
    </row>
    <row r="2" spans="1:71" x14ac:dyDescent="0.3">
      <c r="F2" t="s">
        <v>21</v>
      </c>
      <c r="G2" t="s">
        <v>22</v>
      </c>
      <c r="H2" t="s">
        <v>23</v>
      </c>
      <c r="J2" t="s">
        <v>24</v>
      </c>
      <c r="L2" t="s">
        <v>25</v>
      </c>
      <c r="N2" t="s">
        <v>26</v>
      </c>
      <c r="P2" t="s">
        <v>27</v>
      </c>
      <c r="R2" t="s">
        <v>28</v>
      </c>
      <c r="T2" t="s">
        <v>29</v>
      </c>
      <c r="V2" t="s">
        <v>30</v>
      </c>
      <c r="AH2" t="s">
        <v>31</v>
      </c>
      <c r="AK2" t="s">
        <v>32</v>
      </c>
      <c r="AY2" t="s">
        <v>33</v>
      </c>
      <c r="BB2" t="s">
        <v>34</v>
      </c>
      <c r="BG2" t="s">
        <v>35</v>
      </c>
      <c r="BH2" t="s">
        <v>36</v>
      </c>
      <c r="BI2" t="s">
        <v>37</v>
      </c>
      <c r="BJ2" t="s">
        <v>38</v>
      </c>
      <c r="BK2" t="s">
        <v>39</v>
      </c>
      <c r="BO2" t="s">
        <v>40</v>
      </c>
      <c r="BP2" t="s">
        <v>41</v>
      </c>
      <c r="BQ2" t="s">
        <v>42</v>
      </c>
      <c r="BR2" t="s">
        <v>43</v>
      </c>
      <c r="BS2" t="s">
        <v>44</v>
      </c>
    </row>
    <row r="4" spans="1:71" x14ac:dyDescent="0.3">
      <c r="A4" t="s">
        <v>138</v>
      </c>
      <c r="B4" t="s">
        <v>139</v>
      </c>
      <c r="H4" t="s">
        <v>45</v>
      </c>
      <c r="I4" t="s">
        <v>46</v>
      </c>
      <c r="J4" t="s">
        <v>45</v>
      </c>
      <c r="K4" t="s">
        <v>46</v>
      </c>
      <c r="L4" t="s">
        <v>45</v>
      </c>
      <c r="M4" t="s">
        <v>46</v>
      </c>
      <c r="N4" t="s">
        <v>47</v>
      </c>
      <c r="O4" t="s">
        <v>48</v>
      </c>
      <c r="P4" t="s">
        <v>47</v>
      </c>
      <c r="Q4" t="s">
        <v>48</v>
      </c>
      <c r="R4" t="s">
        <v>47</v>
      </c>
      <c r="S4" t="s">
        <v>48</v>
      </c>
      <c r="T4" t="s">
        <v>47</v>
      </c>
      <c r="U4" t="s">
        <v>49</v>
      </c>
      <c r="V4" t="s">
        <v>47</v>
      </c>
      <c r="W4" t="s">
        <v>49</v>
      </c>
      <c r="X4" t="s">
        <v>50</v>
      </c>
      <c r="Y4" t="s">
        <v>47</v>
      </c>
      <c r="Z4" t="s">
        <v>48</v>
      </c>
      <c r="AA4" t="s">
        <v>47</v>
      </c>
      <c r="AB4" t="s">
        <v>48</v>
      </c>
      <c r="AC4" t="s">
        <v>47</v>
      </c>
      <c r="AD4" t="s">
        <v>48</v>
      </c>
      <c r="AE4" t="s">
        <v>47</v>
      </c>
      <c r="AF4" t="s">
        <v>48</v>
      </c>
      <c r="AH4" t="s">
        <v>45</v>
      </c>
      <c r="AI4" t="s">
        <v>46</v>
      </c>
      <c r="AJ4" t="s">
        <v>51</v>
      </c>
      <c r="AK4" t="s">
        <v>52</v>
      </c>
      <c r="AL4" t="s">
        <v>53</v>
      </c>
      <c r="AM4" t="s">
        <v>29</v>
      </c>
      <c r="AN4" t="s">
        <v>54</v>
      </c>
      <c r="AO4" t="s">
        <v>55</v>
      </c>
      <c r="AP4" t="s">
        <v>56</v>
      </c>
      <c r="AQ4" t="s">
        <v>57</v>
      </c>
      <c r="AR4" t="s">
        <v>58</v>
      </c>
      <c r="AT4" t="s">
        <v>59</v>
      </c>
      <c r="AU4" t="s">
        <v>60</v>
      </c>
      <c r="AV4" t="s">
        <v>61</v>
      </c>
      <c r="AW4" t="s">
        <v>62</v>
      </c>
      <c r="AY4" t="s">
        <v>63</v>
      </c>
      <c r="AZ4" t="s">
        <v>64</v>
      </c>
      <c r="BA4" t="s">
        <v>65</v>
      </c>
      <c r="BB4" t="s">
        <v>66</v>
      </c>
      <c r="BC4" t="s">
        <v>67</v>
      </c>
      <c r="BD4" t="s">
        <v>68</v>
      </c>
      <c r="BE4" t="s">
        <v>69</v>
      </c>
      <c r="BF4" t="s">
        <v>70</v>
      </c>
    </row>
    <row r="5" spans="1:71" s="3" customFormat="1" x14ac:dyDescent="0.3">
      <c r="A5" s="3" t="s">
        <v>141</v>
      </c>
      <c r="B5" s="3" t="s">
        <v>148</v>
      </c>
      <c r="C5" s="3" t="s">
        <v>100</v>
      </c>
      <c r="D5" s="3" t="s">
        <v>101</v>
      </c>
      <c r="E5" s="3" t="s">
        <v>74</v>
      </c>
      <c r="F5" s="3">
        <v>12</v>
      </c>
      <c r="G5" s="4">
        <v>36195000</v>
      </c>
      <c r="H5" s="3">
        <v>0</v>
      </c>
      <c r="I5" s="3">
        <v>176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176</v>
      </c>
      <c r="AH5" s="3">
        <v>0</v>
      </c>
      <c r="AI5" s="3">
        <v>704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704</v>
      </c>
      <c r="AT5" s="4">
        <v>16001920</v>
      </c>
      <c r="AU5" s="3">
        <v>0</v>
      </c>
      <c r="AV5" s="3">
        <v>0</v>
      </c>
      <c r="AW5" s="4">
        <v>16001920</v>
      </c>
      <c r="AX5" s="3">
        <v>0</v>
      </c>
      <c r="AY5" s="3">
        <v>0</v>
      </c>
      <c r="AZ5" s="4">
        <v>4608384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4">
        <v>4608384</v>
      </c>
      <c r="BL5" s="4">
        <v>109560642</v>
      </c>
      <c r="BM5" s="4">
        <v>96082502</v>
      </c>
      <c r="BN5" s="4">
        <v>13478140</v>
      </c>
      <c r="BO5" s="3">
        <v>3</v>
      </c>
      <c r="BP5" s="4">
        <v>115197640</v>
      </c>
      <c r="BQ5" s="3">
        <v>47.98</v>
      </c>
      <c r="BR5" s="5">
        <v>1466.7</v>
      </c>
      <c r="BS5" s="3">
        <v>0</v>
      </c>
    </row>
    <row r="6" spans="1:71" s="3" customFormat="1" x14ac:dyDescent="0.3">
      <c r="A6" s="3" t="s">
        <v>141</v>
      </c>
      <c r="B6" s="3" t="s">
        <v>146</v>
      </c>
      <c r="C6" s="3" t="s">
        <v>151</v>
      </c>
      <c r="D6" s="3" t="s">
        <v>103</v>
      </c>
      <c r="E6" s="3" t="s">
        <v>74</v>
      </c>
      <c r="F6" s="3">
        <v>11</v>
      </c>
      <c r="G6" s="4">
        <v>24968000</v>
      </c>
      <c r="H6" s="3">
        <v>0</v>
      </c>
      <c r="I6" s="3">
        <v>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90</v>
      </c>
      <c r="AH6" s="3">
        <v>0</v>
      </c>
      <c r="AI6" s="3">
        <v>360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360</v>
      </c>
      <c r="AT6" s="4">
        <v>8182800</v>
      </c>
      <c r="AU6" s="3">
        <v>0</v>
      </c>
      <c r="AV6" s="3">
        <v>0</v>
      </c>
      <c r="AW6" s="4">
        <v>8182800</v>
      </c>
      <c r="AX6" s="3">
        <v>0</v>
      </c>
      <c r="AY6" s="3">
        <v>0</v>
      </c>
      <c r="AZ6" s="4">
        <v>2356560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4">
        <v>2356560</v>
      </c>
      <c r="BL6" s="4">
        <v>56025328</v>
      </c>
      <c r="BM6" s="4">
        <v>49133097</v>
      </c>
      <c r="BN6" s="4">
        <v>6892231</v>
      </c>
      <c r="BO6" s="3">
        <v>4</v>
      </c>
      <c r="BP6" s="4">
        <v>52039397</v>
      </c>
      <c r="BQ6" s="3">
        <v>29.33</v>
      </c>
      <c r="BR6" s="3">
        <v>818.2</v>
      </c>
      <c r="BS6" s="3">
        <v>0</v>
      </c>
    </row>
    <row r="7" spans="1:71" s="3" customFormat="1" x14ac:dyDescent="0.3">
      <c r="A7" s="3" t="s">
        <v>141</v>
      </c>
      <c r="B7" s="3" t="s">
        <v>149</v>
      </c>
      <c r="C7" s="3" t="s">
        <v>154</v>
      </c>
      <c r="D7" s="3" t="s">
        <v>105</v>
      </c>
      <c r="E7" s="3" t="s">
        <v>74</v>
      </c>
      <c r="F7" s="3">
        <v>34</v>
      </c>
      <c r="G7" s="4">
        <v>41047000</v>
      </c>
      <c r="H7" s="3">
        <v>0</v>
      </c>
      <c r="I7" s="3">
        <v>174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174</v>
      </c>
      <c r="AH7" s="3">
        <v>0</v>
      </c>
      <c r="AI7" s="3">
        <v>696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696</v>
      </c>
      <c r="AT7" s="4">
        <v>15820080</v>
      </c>
      <c r="AU7" s="3">
        <v>0</v>
      </c>
      <c r="AV7" s="3">
        <v>0</v>
      </c>
      <c r="AW7" s="4">
        <v>15820080</v>
      </c>
      <c r="AX7" s="3">
        <v>0</v>
      </c>
      <c r="AY7" s="3">
        <v>0</v>
      </c>
      <c r="AZ7" s="4">
        <v>4556016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4">
        <v>4556016</v>
      </c>
      <c r="BL7" s="4">
        <v>108315635</v>
      </c>
      <c r="BM7" s="4">
        <v>94990655</v>
      </c>
      <c r="BN7" s="4">
        <v>13324980</v>
      </c>
      <c r="BO7" s="3">
        <v>4</v>
      </c>
      <c r="BP7" s="4">
        <v>104289241</v>
      </c>
      <c r="BQ7" s="3">
        <v>36.74</v>
      </c>
      <c r="BR7" s="3">
        <v>511.8</v>
      </c>
      <c r="BS7" s="3">
        <v>0</v>
      </c>
    </row>
    <row r="8" spans="1:71" s="3" customFormat="1" x14ac:dyDescent="0.3">
      <c r="A8" s="3" t="s">
        <v>143</v>
      </c>
      <c r="B8" s="3" t="s">
        <v>150</v>
      </c>
      <c r="C8" s="3" t="s">
        <v>155</v>
      </c>
      <c r="D8" s="3" t="s">
        <v>127</v>
      </c>
      <c r="E8" s="3" t="s">
        <v>74</v>
      </c>
      <c r="F8" s="3">
        <v>6</v>
      </c>
      <c r="G8" s="4">
        <v>14755000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</v>
      </c>
      <c r="S8" s="4">
        <v>100346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1</v>
      </c>
      <c r="AH8" s="3">
        <v>0</v>
      </c>
      <c r="AI8" s="3">
        <v>0</v>
      </c>
      <c r="AJ8" s="3">
        <v>0</v>
      </c>
      <c r="AK8" s="3">
        <v>0</v>
      </c>
      <c r="AL8" s="3">
        <v>44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44</v>
      </c>
      <c r="AT8" s="4">
        <v>1000120</v>
      </c>
      <c r="AU8" s="3">
        <v>0</v>
      </c>
      <c r="AV8" s="3">
        <v>0</v>
      </c>
      <c r="AW8" s="4">
        <v>1000120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4">
        <v>1204160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4">
        <v>1204160</v>
      </c>
      <c r="BL8" s="4">
        <v>27656183</v>
      </c>
      <c r="BM8" s="4">
        <v>22987896</v>
      </c>
      <c r="BN8" s="4">
        <v>4668287</v>
      </c>
      <c r="BO8" s="3">
        <v>5</v>
      </c>
      <c r="BP8" s="4">
        <v>37127706</v>
      </c>
      <c r="BQ8" s="3">
        <v>26.45</v>
      </c>
      <c r="BR8" s="3">
        <v>183.3</v>
      </c>
      <c r="BS8" s="3">
        <v>0</v>
      </c>
    </row>
    <row r="9" spans="1:71" s="3" customFormat="1" x14ac:dyDescent="0.3">
      <c r="A9" s="3" t="s">
        <v>145</v>
      </c>
      <c r="B9" s="3" t="s">
        <v>146</v>
      </c>
      <c r="C9" s="3" t="s">
        <v>156</v>
      </c>
      <c r="D9" s="3" t="s">
        <v>129</v>
      </c>
      <c r="E9" s="3" t="s">
        <v>74</v>
      </c>
      <c r="F9" s="3">
        <v>188</v>
      </c>
      <c r="G9" s="4">
        <v>124726000</v>
      </c>
      <c r="H9" s="3">
        <v>0</v>
      </c>
      <c r="I9" s="3">
        <v>0</v>
      </c>
      <c r="J9" s="3">
        <v>0</v>
      </c>
      <c r="K9" s="3">
        <v>40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40</v>
      </c>
      <c r="AH9" s="3">
        <v>0</v>
      </c>
      <c r="AI9" s="3">
        <v>166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166</v>
      </c>
      <c r="AT9" s="4">
        <v>3773180</v>
      </c>
      <c r="AU9" s="3">
        <v>0</v>
      </c>
      <c r="AV9" s="4">
        <v>18309468</v>
      </c>
      <c r="AW9" s="4">
        <v>22082648</v>
      </c>
      <c r="AX9" s="3">
        <v>0</v>
      </c>
      <c r="AY9" s="3">
        <v>0</v>
      </c>
      <c r="AZ9" s="4">
        <v>1082400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4">
        <v>1082400</v>
      </c>
      <c r="BL9" s="4">
        <v>25733172</v>
      </c>
      <c r="BM9" s="4">
        <v>22567481</v>
      </c>
      <c r="BN9" s="4">
        <v>3165691</v>
      </c>
      <c r="BO9" s="3">
        <v>31</v>
      </c>
      <c r="BP9" s="4">
        <v>-99622777</v>
      </c>
      <c r="BQ9" s="3">
        <v>-12.85</v>
      </c>
      <c r="BR9" s="3">
        <v>14.7</v>
      </c>
      <c r="BS9" s="3">
        <v>0</v>
      </c>
    </row>
    <row r="10" spans="1:71" s="3" customFormat="1" x14ac:dyDescent="0.3">
      <c r="A10" s="3" t="s">
        <v>145</v>
      </c>
      <c r="B10" s="3" t="s">
        <v>146</v>
      </c>
      <c r="C10" s="3" t="s">
        <v>157</v>
      </c>
      <c r="D10" s="3" t="s">
        <v>131</v>
      </c>
      <c r="E10" s="3" t="s">
        <v>74</v>
      </c>
      <c r="F10" s="3">
        <v>198</v>
      </c>
      <c r="G10" s="4">
        <v>120188000</v>
      </c>
      <c r="H10" s="3">
        <v>0</v>
      </c>
      <c r="I10" s="3">
        <v>0</v>
      </c>
      <c r="J10" s="3">
        <v>0</v>
      </c>
      <c r="K10" s="3">
        <v>44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44</v>
      </c>
      <c r="AH10" s="3">
        <v>0</v>
      </c>
      <c r="AI10" s="3">
        <v>176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176</v>
      </c>
      <c r="AT10" s="4">
        <v>4000480</v>
      </c>
      <c r="AU10" s="3">
        <v>0</v>
      </c>
      <c r="AV10" s="4">
        <v>19934816</v>
      </c>
      <c r="AW10" s="4">
        <v>23935296</v>
      </c>
      <c r="AX10" s="3">
        <v>0</v>
      </c>
      <c r="AY10" s="3">
        <v>0</v>
      </c>
      <c r="AZ10" s="4">
        <v>1190640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4">
        <v>1190640</v>
      </c>
      <c r="BL10" s="4">
        <v>28306500</v>
      </c>
      <c r="BM10" s="4">
        <v>24824235</v>
      </c>
      <c r="BN10" s="4">
        <v>3482265</v>
      </c>
      <c r="BO10" s="3">
        <v>31</v>
      </c>
      <c r="BP10" s="4">
        <v>-92735002</v>
      </c>
      <c r="BQ10" s="3">
        <v>-12.05</v>
      </c>
      <c r="BR10" s="3">
        <v>14.3</v>
      </c>
      <c r="BS10" s="3">
        <v>0</v>
      </c>
    </row>
    <row r="11" spans="1:71" s="3" customFormat="1" x14ac:dyDescent="0.3">
      <c r="A11" s="3" t="s">
        <v>145</v>
      </c>
      <c r="B11" s="3" t="s">
        <v>147</v>
      </c>
      <c r="C11" s="3" t="s">
        <v>158</v>
      </c>
      <c r="D11" s="3" t="s">
        <v>134</v>
      </c>
      <c r="E11" s="3" t="s">
        <v>74</v>
      </c>
      <c r="F11" s="3">
        <v>118</v>
      </c>
      <c r="G11" s="4">
        <v>53843000</v>
      </c>
      <c r="H11" s="3">
        <v>0</v>
      </c>
      <c r="I11" s="3">
        <v>0</v>
      </c>
      <c r="J11" s="3">
        <v>0</v>
      </c>
      <c r="K11" s="3">
        <v>18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18</v>
      </c>
      <c r="AH11" s="3">
        <v>0</v>
      </c>
      <c r="AI11" s="3">
        <v>72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72</v>
      </c>
      <c r="AT11" s="4">
        <v>1636560</v>
      </c>
      <c r="AU11" s="3">
        <v>0</v>
      </c>
      <c r="AV11" s="4">
        <v>13311936</v>
      </c>
      <c r="AW11" s="4">
        <v>14948496</v>
      </c>
      <c r="AX11" s="3">
        <v>0</v>
      </c>
      <c r="AY11" s="3">
        <v>0</v>
      </c>
      <c r="AZ11" s="4">
        <v>487080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4">
        <v>487080</v>
      </c>
      <c r="BL11" s="4">
        <v>11579931</v>
      </c>
      <c r="BM11" s="4">
        <v>10155369</v>
      </c>
      <c r="BN11" s="4">
        <v>1424562</v>
      </c>
      <c r="BO11" s="3">
        <v>31</v>
      </c>
      <c r="BP11" s="4">
        <v>-45125368</v>
      </c>
      <c r="BQ11" s="3">
        <v>-999.99</v>
      </c>
      <c r="BR11" s="3">
        <v>10.5</v>
      </c>
      <c r="BS11" s="3">
        <v>0</v>
      </c>
    </row>
    <row r="12" spans="1:71" x14ac:dyDescent="0.3">
      <c r="E12" s="3" t="s">
        <v>152</v>
      </c>
      <c r="F12" s="6">
        <f>SUM(F5:F11)</f>
        <v>567</v>
      </c>
      <c r="G12" s="6">
        <f>SUM(G5:G11)</f>
        <v>415722000</v>
      </c>
      <c r="BO12" s="3" t="s">
        <v>152</v>
      </c>
      <c r="BP12" s="6">
        <f>SUM(BP5:BP11)</f>
        <v>71170837</v>
      </c>
      <c r="BQ12" s="6">
        <f>SUM(BQ5:BQ11)</f>
        <v>-884.39</v>
      </c>
    </row>
    <row r="14" spans="1:71" x14ac:dyDescent="0.3">
      <c r="E14" s="7"/>
      <c r="F14" s="6"/>
      <c r="G14" s="6"/>
      <c r="BO14" s="7"/>
      <c r="BP14" s="6"/>
      <c r="BQ14" s="6"/>
    </row>
    <row r="15" spans="1:71" x14ac:dyDescent="0.3">
      <c r="E15" s="7" t="s">
        <v>140</v>
      </c>
      <c r="F15" s="8">
        <f>F5+F6+F7</f>
        <v>57</v>
      </c>
      <c r="G15" s="8">
        <f>G5+G6+G7</f>
        <v>102210000</v>
      </c>
      <c r="BO15" s="7" t="s">
        <v>140</v>
      </c>
      <c r="BP15" s="8">
        <f>BP5+BP6+BP7</f>
        <v>271526278</v>
      </c>
      <c r="BQ15" s="8">
        <f>BQ5+BQ6+BQ7</f>
        <v>114.05000000000001</v>
      </c>
    </row>
    <row r="16" spans="1:71" x14ac:dyDescent="0.3">
      <c r="E16" s="7" t="s">
        <v>142</v>
      </c>
      <c r="F16" s="8">
        <f>F8</f>
        <v>6</v>
      </c>
      <c r="G16" s="8">
        <f>G8</f>
        <v>14755000</v>
      </c>
      <c r="BO16" s="7" t="s">
        <v>142</v>
      </c>
      <c r="BP16" s="8">
        <f>BP8</f>
        <v>37127706</v>
      </c>
      <c r="BQ16" s="8">
        <f>BQ8</f>
        <v>26.45</v>
      </c>
    </row>
    <row r="17" spans="5:69" x14ac:dyDescent="0.3">
      <c r="E17" s="7" t="s">
        <v>144</v>
      </c>
      <c r="F17" s="8">
        <f>SUM(F9:F11)</f>
        <v>504</v>
      </c>
      <c r="G17" s="8">
        <f>SUM(G9:G11)</f>
        <v>298757000</v>
      </c>
      <c r="BO17" s="7" t="s">
        <v>144</v>
      </c>
      <c r="BP17" s="8">
        <f>SUM(BP9:BP11)</f>
        <v>-237483147</v>
      </c>
      <c r="BQ17" s="8">
        <f>SUM(BQ9:BQ11)</f>
        <v>-1024.8900000000001</v>
      </c>
    </row>
    <row r="18" spans="5:69" x14ac:dyDescent="0.3">
      <c r="E18" s="7" t="s">
        <v>153</v>
      </c>
      <c r="F18" s="8">
        <f>SUM(F15:F16)</f>
        <v>63</v>
      </c>
      <c r="G18" s="8">
        <f>SUM(G15:G16)</f>
        <v>116965000</v>
      </c>
      <c r="BO18" s="7" t="s">
        <v>153</v>
      </c>
      <c r="BP18" s="8">
        <f>SUM(BP15:BP16)</f>
        <v>308653984</v>
      </c>
      <c r="BQ18" s="8">
        <f>SUM(BQ15:BQ16)</f>
        <v>140.5</v>
      </c>
    </row>
    <row r="19" spans="5:69" x14ac:dyDescent="0.3">
      <c r="E19" s="7"/>
      <c r="F19" s="8" t="b">
        <f>F12=F17+F18</f>
        <v>1</v>
      </c>
      <c r="G19" s="8" t="b">
        <f>G12=G17+G18</f>
        <v>1</v>
      </c>
      <c r="BO19" s="7"/>
      <c r="BP19" s="8" t="b">
        <f>BP12=BP17+BP18</f>
        <v>1</v>
      </c>
      <c r="BQ19" s="8" t="b">
        <f>BQ12=BQ17+BQ18</f>
        <v>1</v>
      </c>
    </row>
  </sheetData>
  <autoFilter ref="C4:BS11" xr:uid="{8309F41F-3920-4B6E-A7FE-2FBF02CCA0BA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F41F-3920-4B6E-A7FE-2FBF02CCA0BA}">
  <sheetPr filterMode="1"/>
  <dimension ref="A1:BR68"/>
  <sheetViews>
    <sheetView workbookViewId="0">
      <selection activeCell="A53" sqref="A53"/>
    </sheetView>
  </sheetViews>
  <sheetFormatPr defaultRowHeight="16.5" x14ac:dyDescent="0.3"/>
  <cols>
    <col min="1" max="1" width="33.125" customWidth="1"/>
    <col min="4" max="4" width="26.75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O1" t="s">
        <v>6</v>
      </c>
      <c r="X1" t="s">
        <v>7</v>
      </c>
      <c r="Z1" t="s">
        <v>8</v>
      </c>
      <c r="AB1" t="s">
        <v>9</v>
      </c>
      <c r="AD1" t="s">
        <v>10</v>
      </c>
      <c r="AF1" t="s">
        <v>11</v>
      </c>
      <c r="AG1" t="s">
        <v>12</v>
      </c>
      <c r="AR1" t="s">
        <v>13</v>
      </c>
      <c r="AS1" t="s">
        <v>14</v>
      </c>
      <c r="AW1" t="s">
        <v>15</v>
      </c>
      <c r="AX1" t="s">
        <v>16</v>
      </c>
      <c r="BK1" t="s">
        <v>17</v>
      </c>
      <c r="BL1" t="s">
        <v>18</v>
      </c>
      <c r="BM1" t="s">
        <v>19</v>
      </c>
      <c r="BN1" t="s">
        <v>20</v>
      </c>
    </row>
    <row r="2" spans="1:70" x14ac:dyDescent="0.3">
      <c r="E2" t="s">
        <v>21</v>
      </c>
      <c r="F2" t="s">
        <v>22</v>
      </c>
      <c r="G2" t="s">
        <v>23</v>
      </c>
      <c r="I2" t="s">
        <v>24</v>
      </c>
      <c r="K2" t="s">
        <v>25</v>
      </c>
      <c r="M2" t="s">
        <v>26</v>
      </c>
      <c r="O2" t="s">
        <v>27</v>
      </c>
      <c r="Q2" t="s">
        <v>28</v>
      </c>
      <c r="S2" t="s">
        <v>29</v>
      </c>
      <c r="U2" t="s">
        <v>30</v>
      </c>
      <c r="AG2" t="s">
        <v>31</v>
      </c>
      <c r="AJ2" t="s">
        <v>32</v>
      </c>
      <c r="AX2" t="s">
        <v>33</v>
      </c>
      <c r="BA2" t="s">
        <v>34</v>
      </c>
      <c r="BF2" t="s">
        <v>35</v>
      </c>
      <c r="BG2" t="s">
        <v>36</v>
      </c>
      <c r="BH2" t="s">
        <v>37</v>
      </c>
      <c r="BI2" t="s">
        <v>38</v>
      </c>
      <c r="BJ2" t="s">
        <v>39</v>
      </c>
      <c r="BN2" t="s">
        <v>40</v>
      </c>
      <c r="BO2" t="s">
        <v>41</v>
      </c>
      <c r="BP2" t="s">
        <v>42</v>
      </c>
      <c r="BQ2" t="s">
        <v>43</v>
      </c>
      <c r="BR2" t="s">
        <v>44</v>
      </c>
    </row>
    <row r="4" spans="1:70" x14ac:dyDescent="0.3">
      <c r="G4" t="s">
        <v>45</v>
      </c>
      <c r="H4" t="s">
        <v>46</v>
      </c>
      <c r="I4" t="s">
        <v>45</v>
      </c>
      <c r="J4" t="s">
        <v>46</v>
      </c>
      <c r="K4" t="s">
        <v>45</v>
      </c>
      <c r="L4" t="s">
        <v>46</v>
      </c>
      <c r="M4" t="s">
        <v>47</v>
      </c>
      <c r="N4" t="s">
        <v>48</v>
      </c>
      <c r="O4" t="s">
        <v>47</v>
      </c>
      <c r="P4" t="s">
        <v>48</v>
      </c>
      <c r="Q4" t="s">
        <v>47</v>
      </c>
      <c r="R4" t="s">
        <v>48</v>
      </c>
      <c r="S4" t="s">
        <v>47</v>
      </c>
      <c r="T4" t="s">
        <v>49</v>
      </c>
      <c r="U4" t="s">
        <v>47</v>
      </c>
      <c r="V4" t="s">
        <v>49</v>
      </c>
      <c r="W4" t="s">
        <v>50</v>
      </c>
      <c r="X4" t="s">
        <v>47</v>
      </c>
      <c r="Y4" t="s">
        <v>48</v>
      </c>
      <c r="Z4" t="s">
        <v>47</v>
      </c>
      <c r="AA4" t="s">
        <v>48</v>
      </c>
      <c r="AB4" t="s">
        <v>47</v>
      </c>
      <c r="AC4" t="s">
        <v>48</v>
      </c>
      <c r="AD4" t="s">
        <v>47</v>
      </c>
      <c r="AE4" t="s">
        <v>48</v>
      </c>
      <c r="AG4" t="s">
        <v>45</v>
      </c>
      <c r="AH4" t="s">
        <v>46</v>
      </c>
      <c r="AI4" t="s">
        <v>51</v>
      </c>
      <c r="AJ4" t="s">
        <v>52</v>
      </c>
      <c r="AK4" t="s">
        <v>53</v>
      </c>
      <c r="AL4" t="s">
        <v>29</v>
      </c>
      <c r="AM4" t="s">
        <v>54</v>
      </c>
      <c r="AN4" t="s">
        <v>55</v>
      </c>
      <c r="AO4" t="s">
        <v>56</v>
      </c>
      <c r="AP4" t="s">
        <v>57</v>
      </c>
      <c r="AQ4" t="s">
        <v>58</v>
      </c>
      <c r="AS4" t="s">
        <v>59</v>
      </c>
      <c r="AT4" t="s">
        <v>60</v>
      </c>
      <c r="AU4" t="s">
        <v>61</v>
      </c>
      <c r="AV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67</v>
      </c>
      <c r="BC4" t="s">
        <v>68</v>
      </c>
      <c r="BD4" t="s">
        <v>69</v>
      </c>
      <c r="BE4" t="s">
        <v>70</v>
      </c>
    </row>
    <row r="5" spans="1:70" hidden="1" x14ac:dyDescent="0.3">
      <c r="A5" t="s">
        <v>71</v>
      </c>
      <c r="B5">
        <v>10011581</v>
      </c>
      <c r="C5" t="s">
        <v>72</v>
      </c>
      <c r="D5" t="s">
        <v>73</v>
      </c>
      <c r="E5">
        <v>30</v>
      </c>
      <c r="F5" s="1">
        <v>11172270</v>
      </c>
      <c r="G5">
        <v>0</v>
      </c>
      <c r="H5">
        <v>0</v>
      </c>
      <c r="I5">
        <v>0</v>
      </c>
      <c r="J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</v>
      </c>
      <c r="AG5">
        <v>0</v>
      </c>
      <c r="AH5">
        <v>16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16</v>
      </c>
      <c r="AS5" s="1">
        <v>363680</v>
      </c>
      <c r="AT5">
        <v>0</v>
      </c>
      <c r="AU5" s="1">
        <v>2044592</v>
      </c>
      <c r="AV5" s="1">
        <v>2408272</v>
      </c>
      <c r="AW5">
        <v>0</v>
      </c>
      <c r="AX5">
        <v>0</v>
      </c>
      <c r="AY5" s="1">
        <v>111504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s="1">
        <v>111504</v>
      </c>
      <c r="BK5" s="1">
        <v>2635516</v>
      </c>
      <c r="BL5" s="1">
        <v>2324800</v>
      </c>
      <c r="BM5" s="1">
        <v>310716</v>
      </c>
      <c r="BN5">
        <v>31</v>
      </c>
      <c r="BO5" s="1">
        <v>-11207032</v>
      </c>
      <c r="BP5">
        <v>-999.99</v>
      </c>
      <c r="BQ5">
        <v>13.3</v>
      </c>
      <c r="BR5">
        <v>0</v>
      </c>
    </row>
    <row r="6" spans="1:70" x14ac:dyDescent="0.3">
      <c r="A6" t="s">
        <v>71</v>
      </c>
      <c r="B6">
        <v>10011581</v>
      </c>
      <c r="C6" t="s">
        <v>72</v>
      </c>
      <c r="D6" t="s">
        <v>74</v>
      </c>
      <c r="E6">
        <v>30</v>
      </c>
      <c r="F6" s="1">
        <v>22312000</v>
      </c>
      <c r="G6">
        <v>0</v>
      </c>
      <c r="H6">
        <v>0</v>
      </c>
      <c r="I6">
        <v>0</v>
      </c>
      <c r="J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4</v>
      </c>
      <c r="AG6">
        <v>0</v>
      </c>
      <c r="AH6">
        <v>16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16</v>
      </c>
      <c r="AS6" s="1">
        <v>363680</v>
      </c>
      <c r="AT6">
        <v>0</v>
      </c>
      <c r="AU6" s="1">
        <v>2044592</v>
      </c>
      <c r="AV6" s="1">
        <v>2408272</v>
      </c>
      <c r="AW6">
        <v>0</v>
      </c>
      <c r="AX6">
        <v>0</v>
      </c>
      <c r="AY6" s="1">
        <v>111504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s="1">
        <v>111504</v>
      </c>
      <c r="BK6" s="1">
        <v>2635516</v>
      </c>
      <c r="BL6" s="1">
        <v>2324800</v>
      </c>
      <c r="BM6" s="1">
        <v>310716</v>
      </c>
      <c r="BN6">
        <v>31</v>
      </c>
      <c r="BO6" s="1">
        <v>-21128995</v>
      </c>
      <c r="BP6">
        <v>-999.99</v>
      </c>
      <c r="BQ6">
        <v>13.3</v>
      </c>
      <c r="BR6">
        <v>0</v>
      </c>
    </row>
    <row r="7" spans="1:70" hidden="1" x14ac:dyDescent="0.3">
      <c r="A7" t="s">
        <v>75</v>
      </c>
      <c r="B7">
        <v>10011589</v>
      </c>
      <c r="D7" t="s">
        <v>73</v>
      </c>
      <c r="F7" s="1">
        <v>5016000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6</v>
      </c>
      <c r="AS7" s="1">
        <v>136380</v>
      </c>
      <c r="AT7">
        <v>0</v>
      </c>
      <c r="AU7" s="1">
        <v>965706</v>
      </c>
      <c r="AV7" s="1">
        <v>1102086</v>
      </c>
      <c r="AW7">
        <v>0</v>
      </c>
      <c r="AX7">
        <v>0</v>
      </c>
      <c r="AY7" s="1">
        <v>27876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 s="1">
        <v>27876</v>
      </c>
      <c r="BK7" s="1">
        <v>658879</v>
      </c>
      <c r="BL7" s="1">
        <v>581200</v>
      </c>
      <c r="BM7" s="1">
        <v>77679</v>
      </c>
      <c r="BN7">
        <v>1</v>
      </c>
      <c r="BO7" s="1">
        <v>1971377</v>
      </c>
      <c r="BP7">
        <v>-4.08</v>
      </c>
      <c r="BQ7">
        <v>12.5</v>
      </c>
      <c r="BR7">
        <v>0</v>
      </c>
    </row>
    <row r="8" spans="1:70" hidden="1" x14ac:dyDescent="0.3">
      <c r="A8" t="s">
        <v>76</v>
      </c>
      <c r="B8">
        <v>10011590</v>
      </c>
      <c r="C8" t="s">
        <v>77</v>
      </c>
      <c r="D8" t="s">
        <v>73</v>
      </c>
      <c r="E8">
        <v>223</v>
      </c>
      <c r="F8" s="1">
        <v>81384905</v>
      </c>
      <c r="G8">
        <v>0</v>
      </c>
      <c r="H8">
        <v>0</v>
      </c>
      <c r="I8">
        <v>0</v>
      </c>
      <c r="J8">
        <v>23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23</v>
      </c>
      <c r="AG8">
        <v>0</v>
      </c>
      <c r="AH8">
        <v>92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92</v>
      </c>
      <c r="AS8" s="1">
        <v>2091160</v>
      </c>
      <c r="AT8">
        <v>0</v>
      </c>
      <c r="AU8" s="1">
        <v>17367668</v>
      </c>
      <c r="AV8" s="1">
        <v>19458828</v>
      </c>
      <c r="AW8">
        <v>0</v>
      </c>
      <c r="AX8">
        <v>0</v>
      </c>
      <c r="AY8" s="1">
        <v>641148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s="1">
        <v>641148</v>
      </c>
      <c r="BK8" s="1">
        <v>15154224</v>
      </c>
      <c r="BL8" s="1">
        <v>13367605</v>
      </c>
      <c r="BM8" s="1">
        <v>1786619</v>
      </c>
      <c r="BN8">
        <v>31</v>
      </c>
      <c r="BO8" s="1">
        <v>-85278406</v>
      </c>
      <c r="BP8">
        <v>-999.99</v>
      </c>
      <c r="BQ8">
        <v>10.3</v>
      </c>
      <c r="BR8">
        <v>0</v>
      </c>
    </row>
    <row r="9" spans="1:70" x14ac:dyDescent="0.3">
      <c r="A9" t="s">
        <v>76</v>
      </c>
      <c r="B9">
        <v>10011590</v>
      </c>
      <c r="C9" t="s">
        <v>77</v>
      </c>
      <c r="D9" t="s">
        <v>74</v>
      </c>
      <c r="E9">
        <v>223</v>
      </c>
      <c r="F9" s="1">
        <v>136743000</v>
      </c>
      <c r="G9">
        <v>0</v>
      </c>
      <c r="H9">
        <v>0</v>
      </c>
      <c r="I9">
        <v>0</v>
      </c>
      <c r="J9">
        <v>23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23</v>
      </c>
      <c r="AG9">
        <v>0</v>
      </c>
      <c r="AH9">
        <v>92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92</v>
      </c>
      <c r="AS9" s="1">
        <v>2091160</v>
      </c>
      <c r="AT9">
        <v>0</v>
      </c>
      <c r="AU9" s="1">
        <v>17367668</v>
      </c>
      <c r="AV9" s="1">
        <v>19458828</v>
      </c>
      <c r="AW9">
        <v>0</v>
      </c>
      <c r="AX9">
        <v>0</v>
      </c>
      <c r="AY9" s="1">
        <v>641148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 s="1">
        <v>641148</v>
      </c>
      <c r="BK9" s="1">
        <v>15154224</v>
      </c>
      <c r="BL9" s="1">
        <v>13367605</v>
      </c>
      <c r="BM9" s="1">
        <v>1786619</v>
      </c>
      <c r="BN9">
        <v>31</v>
      </c>
      <c r="BO9" s="1">
        <v>-135137102</v>
      </c>
      <c r="BP9">
        <v>-999.99</v>
      </c>
      <c r="BQ9">
        <v>10.3</v>
      </c>
      <c r="BR9">
        <v>0</v>
      </c>
    </row>
    <row r="10" spans="1:70" hidden="1" x14ac:dyDescent="0.3">
      <c r="A10" t="s">
        <v>78</v>
      </c>
      <c r="B10">
        <v>10011591</v>
      </c>
      <c r="C10" t="s">
        <v>79</v>
      </c>
      <c r="D10" t="s">
        <v>73</v>
      </c>
      <c r="E10">
        <v>26</v>
      </c>
      <c r="F10" s="1">
        <v>33000000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 s="1">
        <v>213551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40</v>
      </c>
      <c r="AO10">
        <v>0</v>
      </c>
      <c r="AP10">
        <v>0</v>
      </c>
      <c r="AQ10">
        <v>0</v>
      </c>
      <c r="AR10">
        <v>40</v>
      </c>
      <c r="AS10" s="1">
        <v>909200</v>
      </c>
      <c r="AT10">
        <v>0</v>
      </c>
      <c r="AU10">
        <v>0</v>
      </c>
      <c r="AV10" s="1">
        <v>909200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 s="1">
        <v>2562619</v>
      </c>
      <c r="BG10">
        <v>0</v>
      </c>
      <c r="BH10">
        <v>0</v>
      </c>
      <c r="BI10">
        <v>0</v>
      </c>
      <c r="BJ10" s="1">
        <v>2562619</v>
      </c>
      <c r="BK10" s="1">
        <v>47264432</v>
      </c>
      <c r="BL10" s="1">
        <v>43751337</v>
      </c>
      <c r="BM10" s="1">
        <v>3513095</v>
      </c>
      <c r="BN10">
        <v>26</v>
      </c>
      <c r="BO10" s="1">
        <v>2246261</v>
      </c>
      <c r="BP10">
        <v>6.8</v>
      </c>
      <c r="BQ10">
        <v>35.700000000000003</v>
      </c>
      <c r="BR10">
        <v>0</v>
      </c>
    </row>
    <row r="11" spans="1:70" x14ac:dyDescent="0.3">
      <c r="A11" t="s">
        <v>78</v>
      </c>
      <c r="B11">
        <v>10011591</v>
      </c>
      <c r="C11" t="s">
        <v>79</v>
      </c>
      <c r="D11" t="s">
        <v>74</v>
      </c>
      <c r="E11">
        <v>28</v>
      </c>
      <c r="F11" s="1">
        <v>30421000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 s="1">
        <v>213551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40</v>
      </c>
      <c r="AO11">
        <v>0</v>
      </c>
      <c r="AP11">
        <v>0</v>
      </c>
      <c r="AQ11">
        <v>0</v>
      </c>
      <c r="AR11">
        <v>40</v>
      </c>
      <c r="AS11" s="1">
        <v>909200</v>
      </c>
      <c r="AT11">
        <v>0</v>
      </c>
      <c r="AU11">
        <v>0</v>
      </c>
      <c r="AV11" s="1">
        <v>909200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s="1">
        <v>2562619</v>
      </c>
      <c r="BG11">
        <v>0</v>
      </c>
      <c r="BH11">
        <v>0</v>
      </c>
      <c r="BI11">
        <v>0</v>
      </c>
      <c r="BJ11" s="1">
        <v>2562619</v>
      </c>
      <c r="BK11" s="1">
        <v>47264432</v>
      </c>
      <c r="BL11" s="1">
        <v>43751337</v>
      </c>
      <c r="BM11" s="1">
        <v>3513095</v>
      </c>
      <c r="BN11">
        <v>23</v>
      </c>
      <c r="BO11" s="1">
        <v>4107792</v>
      </c>
      <c r="BP11">
        <v>7.43</v>
      </c>
      <c r="BQ11">
        <v>35.700000000000003</v>
      </c>
      <c r="BR11">
        <v>0</v>
      </c>
    </row>
    <row r="12" spans="1:70" hidden="1" x14ac:dyDescent="0.3">
      <c r="A12" t="s">
        <v>80</v>
      </c>
      <c r="B12">
        <v>10011592</v>
      </c>
      <c r="C12" t="s">
        <v>81</v>
      </c>
      <c r="D12" t="s">
        <v>73</v>
      </c>
      <c r="E12">
        <v>87</v>
      </c>
      <c r="F12" s="1">
        <v>26468358</v>
      </c>
      <c r="G12">
        <v>0</v>
      </c>
      <c r="H12">
        <v>0</v>
      </c>
      <c r="I12">
        <v>0</v>
      </c>
      <c r="J12">
        <v>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24</v>
      </c>
      <c r="AG12">
        <v>0</v>
      </c>
      <c r="AH12">
        <v>96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96</v>
      </c>
      <c r="AS12" s="1">
        <v>2182080</v>
      </c>
      <c r="AT12">
        <v>0</v>
      </c>
      <c r="AU12" s="1">
        <v>1933824</v>
      </c>
      <c r="AV12" s="1">
        <v>4115904</v>
      </c>
      <c r="AW12">
        <v>0</v>
      </c>
      <c r="AX12">
        <v>0</v>
      </c>
      <c r="AY12" s="1">
        <v>669024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 s="1">
        <v>669024</v>
      </c>
      <c r="BK12" s="1">
        <v>15813106</v>
      </c>
      <c r="BL12" s="1">
        <v>13948809</v>
      </c>
      <c r="BM12" s="1">
        <v>1864297</v>
      </c>
      <c r="BN12">
        <v>31</v>
      </c>
      <c r="BO12" s="1">
        <v>-18924916</v>
      </c>
      <c r="BP12">
        <v>-5.91</v>
      </c>
      <c r="BQ12">
        <v>27.6</v>
      </c>
      <c r="BR12">
        <v>0</v>
      </c>
    </row>
    <row r="13" spans="1:70" x14ac:dyDescent="0.3">
      <c r="A13" t="s">
        <v>80</v>
      </c>
      <c r="B13">
        <v>10011592</v>
      </c>
      <c r="C13" t="s">
        <v>81</v>
      </c>
      <c r="D13" t="s">
        <v>74</v>
      </c>
      <c r="E13">
        <v>87</v>
      </c>
      <c r="F13" s="1">
        <v>53474000</v>
      </c>
      <c r="G13">
        <v>0</v>
      </c>
      <c r="H13">
        <v>0</v>
      </c>
      <c r="I13">
        <v>0</v>
      </c>
      <c r="J13">
        <v>24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24</v>
      </c>
      <c r="AG13">
        <v>0</v>
      </c>
      <c r="AH13">
        <v>96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96</v>
      </c>
      <c r="AS13" s="1">
        <v>2182080</v>
      </c>
      <c r="AT13">
        <v>0</v>
      </c>
      <c r="AU13" s="1">
        <v>1933824</v>
      </c>
      <c r="AV13" s="1">
        <v>4115904</v>
      </c>
      <c r="AW13">
        <v>0</v>
      </c>
      <c r="AX13">
        <v>0</v>
      </c>
      <c r="AY13" s="1">
        <v>669024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 s="1">
        <v>669024</v>
      </c>
      <c r="BK13" s="1">
        <v>15813106</v>
      </c>
      <c r="BL13" s="1">
        <v>13948809</v>
      </c>
      <c r="BM13" s="1">
        <v>1864297</v>
      </c>
      <c r="BN13">
        <v>31</v>
      </c>
      <c r="BO13" s="1">
        <v>-43247756</v>
      </c>
      <c r="BP13">
        <v>-6.91</v>
      </c>
      <c r="BQ13">
        <v>27.6</v>
      </c>
      <c r="BR13">
        <v>0</v>
      </c>
    </row>
    <row r="14" spans="1:70" hidden="1" x14ac:dyDescent="0.3">
      <c r="A14" t="s">
        <v>82</v>
      </c>
      <c r="B14">
        <v>10011593</v>
      </c>
      <c r="C14" t="s">
        <v>83</v>
      </c>
      <c r="D14" t="s">
        <v>73</v>
      </c>
      <c r="E14">
        <v>38</v>
      </c>
      <c r="F14" s="1">
        <v>18287842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 s="1">
        <v>11130656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400</v>
      </c>
      <c r="AP14">
        <v>0</v>
      </c>
      <c r="AQ14">
        <v>0</v>
      </c>
      <c r="AR14">
        <v>400</v>
      </c>
      <c r="AS14" s="1">
        <v>9092000</v>
      </c>
      <c r="AT14">
        <v>0</v>
      </c>
      <c r="AU14">
        <v>0</v>
      </c>
      <c r="AV14" s="1">
        <v>9092000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s="1">
        <v>133567875</v>
      </c>
      <c r="BH14">
        <v>0</v>
      </c>
      <c r="BI14">
        <v>0</v>
      </c>
      <c r="BJ14" s="1">
        <v>133567875</v>
      </c>
      <c r="BK14" s="1">
        <v>2102585417</v>
      </c>
      <c r="BL14" s="1">
        <v>1980437596</v>
      </c>
      <c r="BM14" s="1">
        <v>122147821</v>
      </c>
      <c r="BN14">
        <v>1</v>
      </c>
      <c r="BO14" s="1">
        <v>1274456506</v>
      </c>
      <c r="BP14" t="s">
        <v>84</v>
      </c>
      <c r="BQ14">
        <v>263.2</v>
      </c>
      <c r="BR14">
        <v>0</v>
      </c>
    </row>
    <row r="15" spans="1:70" x14ac:dyDescent="0.3">
      <c r="A15" t="s">
        <v>82</v>
      </c>
      <c r="B15">
        <v>10011593</v>
      </c>
      <c r="C15" t="s">
        <v>83</v>
      </c>
      <c r="D15" t="s">
        <v>74</v>
      </c>
      <c r="E15">
        <v>38</v>
      </c>
      <c r="F15" s="1">
        <v>56766000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 s="1">
        <v>11130656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400</v>
      </c>
      <c r="AP15">
        <v>0</v>
      </c>
      <c r="AQ15">
        <v>0</v>
      </c>
      <c r="AR15">
        <v>400</v>
      </c>
      <c r="AS15" s="1">
        <v>9092000</v>
      </c>
      <c r="AT15">
        <v>0</v>
      </c>
      <c r="AU15">
        <v>0</v>
      </c>
      <c r="AV15" s="1">
        <v>9092000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 s="1">
        <v>133567875</v>
      </c>
      <c r="BH15">
        <v>0</v>
      </c>
      <c r="BI15">
        <v>0</v>
      </c>
      <c r="BJ15" s="1">
        <v>133567875</v>
      </c>
      <c r="BK15" s="1">
        <v>2102585417</v>
      </c>
      <c r="BL15" s="1">
        <v>1980437596</v>
      </c>
      <c r="BM15" s="1">
        <v>122147821</v>
      </c>
      <c r="BN15">
        <v>1</v>
      </c>
      <c r="BO15" s="1">
        <v>1239800863</v>
      </c>
      <c r="BP15">
        <v>199.35</v>
      </c>
      <c r="BQ15">
        <v>263.2</v>
      </c>
      <c r="BR15">
        <v>0</v>
      </c>
    </row>
    <row r="16" spans="1:70" hidden="1" x14ac:dyDescent="0.3">
      <c r="A16" t="s">
        <v>85</v>
      </c>
      <c r="B16">
        <v>10011594</v>
      </c>
      <c r="D16" t="s">
        <v>73</v>
      </c>
      <c r="F16" s="1">
        <v>10450000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4</v>
      </c>
      <c r="AG16">
        <v>0</v>
      </c>
      <c r="AH16">
        <v>16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16</v>
      </c>
      <c r="AS16" s="1">
        <v>363680</v>
      </c>
      <c r="AT16">
        <v>0</v>
      </c>
      <c r="AU16" s="1">
        <v>1489008</v>
      </c>
      <c r="AV16" s="1">
        <v>1852688</v>
      </c>
      <c r="AW16">
        <v>0</v>
      </c>
      <c r="AX16">
        <v>0</v>
      </c>
      <c r="AY16" s="1">
        <v>111504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 s="1">
        <v>111504</v>
      </c>
      <c r="BK16" s="1">
        <v>2635516</v>
      </c>
      <c r="BL16" s="1">
        <v>2324800</v>
      </c>
      <c r="BM16" s="1">
        <v>310716</v>
      </c>
      <c r="BN16">
        <v>1</v>
      </c>
      <c r="BO16" s="1">
        <v>5329880</v>
      </c>
      <c r="BP16">
        <v>-0.7</v>
      </c>
      <c r="BQ16">
        <v>16</v>
      </c>
      <c r="BR16">
        <v>0</v>
      </c>
    </row>
    <row r="17" spans="1:70" hidden="1" x14ac:dyDescent="0.3">
      <c r="A17" t="s">
        <v>86</v>
      </c>
      <c r="B17">
        <v>10011596</v>
      </c>
      <c r="C17" t="s">
        <v>87</v>
      </c>
      <c r="D17" t="s">
        <v>73</v>
      </c>
      <c r="E17">
        <v>930</v>
      </c>
      <c r="F17" s="1">
        <v>322378522</v>
      </c>
      <c r="G17">
        <v>0</v>
      </c>
      <c r="H17">
        <v>0</v>
      </c>
      <c r="I17">
        <v>0</v>
      </c>
      <c r="J17">
        <v>74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74</v>
      </c>
      <c r="AG17">
        <v>0</v>
      </c>
      <c r="AH17">
        <v>296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296</v>
      </c>
      <c r="AS17" s="1">
        <v>6728080</v>
      </c>
      <c r="AT17">
        <v>0</v>
      </c>
      <c r="AU17">
        <v>0</v>
      </c>
      <c r="AV17" s="1">
        <v>6728080</v>
      </c>
      <c r="AW17" s="1">
        <v>489245000</v>
      </c>
      <c r="AX17">
        <v>0</v>
      </c>
      <c r="AY17" s="1">
        <v>2062824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 s="1">
        <v>2062824</v>
      </c>
      <c r="BK17" s="1">
        <v>48757064</v>
      </c>
      <c r="BL17" s="1">
        <v>43008812</v>
      </c>
      <c r="BM17" s="1">
        <v>5748252</v>
      </c>
      <c r="BN17">
        <v>1</v>
      </c>
      <c r="BO17" s="1">
        <v>139096402</v>
      </c>
      <c r="BP17" t="s">
        <v>84</v>
      </c>
      <c r="BQ17">
        <v>6.5</v>
      </c>
      <c r="BR17">
        <v>0</v>
      </c>
    </row>
    <row r="18" spans="1:70" x14ac:dyDescent="0.3">
      <c r="A18" t="s">
        <v>86</v>
      </c>
      <c r="B18">
        <v>10011596</v>
      </c>
      <c r="C18" t="s">
        <v>87</v>
      </c>
      <c r="D18" t="s">
        <v>74</v>
      </c>
      <c r="E18">
        <v>930</v>
      </c>
      <c r="F18" s="1">
        <v>489245000</v>
      </c>
      <c r="G18">
        <v>0</v>
      </c>
      <c r="H18">
        <v>0</v>
      </c>
      <c r="I18">
        <v>0</v>
      </c>
      <c r="J18">
        <v>74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74</v>
      </c>
      <c r="AG18">
        <v>0</v>
      </c>
      <c r="AH18">
        <v>296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296</v>
      </c>
      <c r="AS18" s="1">
        <v>6728080</v>
      </c>
      <c r="AT18">
        <v>0</v>
      </c>
      <c r="AU18">
        <v>0</v>
      </c>
      <c r="AV18" s="1">
        <v>6728080</v>
      </c>
      <c r="AW18" s="1">
        <v>489245000</v>
      </c>
      <c r="AX18">
        <v>0</v>
      </c>
      <c r="AY18" s="1">
        <v>2062824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 s="1">
        <v>2062824</v>
      </c>
      <c r="BK18" s="1">
        <v>48757064</v>
      </c>
      <c r="BL18" s="1">
        <v>43008812</v>
      </c>
      <c r="BM18" s="1">
        <v>5748252</v>
      </c>
      <c r="BN18">
        <v>31</v>
      </c>
      <c r="BO18" s="1">
        <v>-94829844</v>
      </c>
      <c r="BP18">
        <v>-999.99</v>
      </c>
      <c r="BQ18">
        <v>6.5</v>
      </c>
      <c r="BR18">
        <v>0</v>
      </c>
    </row>
    <row r="19" spans="1:70" hidden="1" x14ac:dyDescent="0.3">
      <c r="A19" t="s">
        <v>88</v>
      </c>
      <c r="B19">
        <v>10011597</v>
      </c>
      <c r="D19" t="s">
        <v>73</v>
      </c>
      <c r="F19" s="1">
        <v>9196000</v>
      </c>
      <c r="G19">
        <v>0</v>
      </c>
      <c r="H19">
        <v>0</v>
      </c>
      <c r="I19">
        <v>0</v>
      </c>
      <c r="J19">
        <v>10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10</v>
      </c>
      <c r="AG19">
        <v>0</v>
      </c>
      <c r="AH19">
        <v>40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40</v>
      </c>
      <c r="AS19" s="1">
        <v>909200</v>
      </c>
      <c r="AT19">
        <v>0</v>
      </c>
      <c r="AU19">
        <v>0</v>
      </c>
      <c r="AV19" s="1">
        <v>909200</v>
      </c>
      <c r="AW19">
        <v>0</v>
      </c>
      <c r="AX19">
        <v>0</v>
      </c>
      <c r="AY19" s="1">
        <v>274680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 s="1">
        <v>274680</v>
      </c>
      <c r="BK19" s="1">
        <v>6530295</v>
      </c>
      <c r="BL19" s="1">
        <v>5726938</v>
      </c>
      <c r="BM19" s="1">
        <v>803357</v>
      </c>
      <c r="BN19">
        <v>1</v>
      </c>
      <c r="BO19" s="1">
        <v>8950580</v>
      </c>
      <c r="BP19">
        <v>5.58</v>
      </c>
      <c r="BQ19">
        <v>45.5</v>
      </c>
      <c r="BR19">
        <v>0</v>
      </c>
    </row>
    <row r="20" spans="1:70" hidden="1" x14ac:dyDescent="0.3">
      <c r="A20" t="s">
        <v>89</v>
      </c>
      <c r="B20">
        <v>10011598</v>
      </c>
      <c r="C20" t="s">
        <v>90</v>
      </c>
      <c r="D20" t="s">
        <v>73</v>
      </c>
      <c r="E20">
        <v>431</v>
      </c>
      <c r="F20" s="1">
        <v>203438221</v>
      </c>
      <c r="G20">
        <v>0</v>
      </c>
      <c r="H20">
        <v>0</v>
      </c>
      <c r="I20">
        <v>0</v>
      </c>
      <c r="J20">
        <v>49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49</v>
      </c>
      <c r="AG20">
        <v>0</v>
      </c>
      <c r="AH20">
        <v>196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196</v>
      </c>
      <c r="AS20" s="1">
        <v>4455080</v>
      </c>
      <c r="AT20">
        <v>0</v>
      </c>
      <c r="AU20">
        <v>0</v>
      </c>
      <c r="AV20" s="1">
        <v>4455080</v>
      </c>
      <c r="AW20" s="1">
        <v>219644000</v>
      </c>
      <c r="AX20">
        <v>0</v>
      </c>
      <c r="AY20" s="1">
        <v>1365924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 s="1">
        <v>1365924</v>
      </c>
      <c r="BK20" s="1">
        <v>32285078</v>
      </c>
      <c r="BL20" s="1">
        <v>28478807</v>
      </c>
      <c r="BM20" s="1">
        <v>3806271</v>
      </c>
      <c r="BN20">
        <v>1</v>
      </c>
      <c r="BO20" s="1">
        <v>57879308</v>
      </c>
      <c r="BP20" t="s">
        <v>84</v>
      </c>
      <c r="BQ20">
        <v>6.5</v>
      </c>
      <c r="BR20">
        <v>0</v>
      </c>
    </row>
    <row r="21" spans="1:70" x14ac:dyDescent="0.3">
      <c r="A21" t="s">
        <v>89</v>
      </c>
      <c r="B21">
        <v>10011598</v>
      </c>
      <c r="C21" t="s">
        <v>90</v>
      </c>
      <c r="D21" t="s">
        <v>74</v>
      </c>
      <c r="E21">
        <v>431</v>
      </c>
      <c r="F21" s="1">
        <v>219644000</v>
      </c>
      <c r="G21">
        <v>0</v>
      </c>
      <c r="H21">
        <v>0</v>
      </c>
      <c r="I21">
        <v>0</v>
      </c>
      <c r="J21">
        <v>49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49</v>
      </c>
      <c r="AG21">
        <v>0</v>
      </c>
      <c r="AH21">
        <v>196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196</v>
      </c>
      <c r="AS21" s="1">
        <v>4455080</v>
      </c>
      <c r="AT21">
        <v>0</v>
      </c>
      <c r="AU21">
        <v>0</v>
      </c>
      <c r="AV21" s="1">
        <v>4455080</v>
      </c>
      <c r="AW21" s="1">
        <v>219644000</v>
      </c>
      <c r="AX21">
        <v>0</v>
      </c>
      <c r="AY21" s="1">
        <v>1365924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 s="1">
        <v>1365924</v>
      </c>
      <c r="BK21" s="1">
        <v>32285078</v>
      </c>
      <c r="BL21" s="1">
        <v>28478807</v>
      </c>
      <c r="BM21" s="1">
        <v>3806271</v>
      </c>
      <c r="BN21">
        <v>1</v>
      </c>
      <c r="BO21" s="1">
        <v>-30532213</v>
      </c>
      <c r="BP21" t="s">
        <v>84</v>
      </c>
      <c r="BQ21">
        <v>6.5</v>
      </c>
      <c r="BR21">
        <v>0</v>
      </c>
    </row>
    <row r="22" spans="1:70" hidden="1" x14ac:dyDescent="0.3">
      <c r="A22" t="s">
        <v>91</v>
      </c>
      <c r="B22">
        <v>10011599</v>
      </c>
      <c r="C22" t="s">
        <v>92</v>
      </c>
      <c r="D22" t="s">
        <v>73</v>
      </c>
      <c r="E22">
        <v>118</v>
      </c>
      <c r="F22" s="1">
        <v>31803596</v>
      </c>
      <c r="G22">
        <v>0</v>
      </c>
      <c r="H22">
        <v>0</v>
      </c>
      <c r="I22">
        <v>0</v>
      </c>
      <c r="J22">
        <v>17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17</v>
      </c>
      <c r="AG22">
        <v>0</v>
      </c>
      <c r="AH22">
        <v>68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68</v>
      </c>
      <c r="AS22" s="1">
        <v>1545640</v>
      </c>
      <c r="AT22">
        <v>0</v>
      </c>
      <c r="AU22">
        <v>0</v>
      </c>
      <c r="AV22" s="1">
        <v>1545640</v>
      </c>
      <c r="AW22" s="1">
        <v>75870000</v>
      </c>
      <c r="AX22">
        <v>0</v>
      </c>
      <c r="AY22" s="1">
        <v>473892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 s="1">
        <v>473892</v>
      </c>
      <c r="BK22" s="1">
        <v>11200943</v>
      </c>
      <c r="BL22" s="1">
        <v>9880400</v>
      </c>
      <c r="BM22" s="1">
        <v>1320543</v>
      </c>
      <c r="BN22">
        <v>1</v>
      </c>
      <c r="BO22" s="1">
        <v>-7731544</v>
      </c>
      <c r="BP22" t="s">
        <v>84</v>
      </c>
      <c r="BQ22">
        <v>14.4</v>
      </c>
      <c r="BR22">
        <v>0</v>
      </c>
    </row>
    <row r="23" spans="1:70" x14ac:dyDescent="0.3">
      <c r="A23" t="s">
        <v>91</v>
      </c>
      <c r="B23">
        <v>10011599</v>
      </c>
      <c r="C23" t="s">
        <v>92</v>
      </c>
      <c r="D23" t="s">
        <v>74</v>
      </c>
      <c r="E23">
        <v>118</v>
      </c>
      <c r="F23" s="1">
        <v>75870000</v>
      </c>
      <c r="G23">
        <v>0</v>
      </c>
      <c r="H23">
        <v>0</v>
      </c>
      <c r="I23">
        <v>0</v>
      </c>
      <c r="J23">
        <v>17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17</v>
      </c>
      <c r="AG23">
        <v>0</v>
      </c>
      <c r="AH23">
        <v>68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68</v>
      </c>
      <c r="AS23" s="1">
        <v>1545640</v>
      </c>
      <c r="AT23">
        <v>0</v>
      </c>
      <c r="AU23">
        <v>0</v>
      </c>
      <c r="AV23" s="1">
        <v>1545640</v>
      </c>
      <c r="AW23" s="1">
        <v>75870000</v>
      </c>
      <c r="AX23">
        <v>0</v>
      </c>
      <c r="AY23" s="1">
        <v>473892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 s="1">
        <v>473892</v>
      </c>
      <c r="BK23" s="1">
        <v>11200943</v>
      </c>
      <c r="BL23" s="1">
        <v>9880400</v>
      </c>
      <c r="BM23" s="1">
        <v>1320543</v>
      </c>
      <c r="BN23">
        <v>1</v>
      </c>
      <c r="BO23" s="1">
        <v>-3353874</v>
      </c>
      <c r="BP23" t="s">
        <v>84</v>
      </c>
      <c r="BQ23">
        <v>14.4</v>
      </c>
      <c r="BR23">
        <v>0</v>
      </c>
    </row>
    <row r="24" spans="1:70" hidden="1" x14ac:dyDescent="0.3">
      <c r="A24" t="s">
        <v>93</v>
      </c>
      <c r="B24">
        <v>10011600</v>
      </c>
      <c r="C24" t="s">
        <v>94</v>
      </c>
      <c r="D24" t="s">
        <v>73</v>
      </c>
      <c r="E24">
        <v>68</v>
      </c>
      <c r="F24" s="1">
        <v>20687912</v>
      </c>
      <c r="G24">
        <v>0</v>
      </c>
      <c r="H24">
        <v>0</v>
      </c>
      <c r="I24">
        <v>0</v>
      </c>
      <c r="J24">
        <v>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9</v>
      </c>
      <c r="AG24">
        <v>0</v>
      </c>
      <c r="AH24">
        <v>36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36</v>
      </c>
      <c r="AS24" s="1">
        <v>818280</v>
      </c>
      <c r="AT24">
        <v>0</v>
      </c>
      <c r="AU24">
        <v>0</v>
      </c>
      <c r="AV24" s="1">
        <v>818280</v>
      </c>
      <c r="AW24" s="1">
        <v>56805000</v>
      </c>
      <c r="AX24">
        <v>0</v>
      </c>
      <c r="AY24" s="1">
        <v>250884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 s="1">
        <v>250884</v>
      </c>
      <c r="BK24" s="1">
        <v>5979454</v>
      </c>
      <c r="BL24" s="1">
        <v>5274502</v>
      </c>
      <c r="BM24" s="1">
        <v>704952</v>
      </c>
      <c r="BN24">
        <v>1</v>
      </c>
      <c r="BO24" s="1">
        <v>-5015096</v>
      </c>
      <c r="BP24" t="s">
        <v>84</v>
      </c>
      <c r="BQ24">
        <v>13.2</v>
      </c>
      <c r="BR24">
        <v>0</v>
      </c>
    </row>
    <row r="25" spans="1:70" x14ac:dyDescent="0.3">
      <c r="A25" t="s">
        <v>93</v>
      </c>
      <c r="B25">
        <v>10011600</v>
      </c>
      <c r="C25" t="s">
        <v>94</v>
      </c>
      <c r="D25" t="s">
        <v>74</v>
      </c>
      <c r="E25">
        <v>68</v>
      </c>
      <c r="F25" s="1">
        <v>56805000</v>
      </c>
      <c r="G25">
        <v>0</v>
      </c>
      <c r="H25">
        <v>0</v>
      </c>
      <c r="I25">
        <v>0</v>
      </c>
      <c r="J25">
        <v>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9</v>
      </c>
      <c r="AG25">
        <v>0</v>
      </c>
      <c r="AH25">
        <v>36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36</v>
      </c>
      <c r="AS25" s="1">
        <v>818280</v>
      </c>
      <c r="AT25">
        <v>0</v>
      </c>
      <c r="AU25">
        <v>0</v>
      </c>
      <c r="AV25" s="1">
        <v>818280</v>
      </c>
      <c r="AW25" s="1">
        <v>56805000</v>
      </c>
      <c r="AX25">
        <v>0</v>
      </c>
      <c r="AY25" s="1">
        <v>250884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 s="1">
        <v>250884</v>
      </c>
      <c r="BK25" s="1">
        <v>5929912</v>
      </c>
      <c r="BL25" s="1">
        <v>5230801</v>
      </c>
      <c r="BM25" s="1">
        <v>699111</v>
      </c>
      <c r="BN25">
        <v>1</v>
      </c>
      <c r="BO25" s="1">
        <v>-1397932</v>
      </c>
      <c r="BP25" t="s">
        <v>84</v>
      </c>
      <c r="BQ25">
        <v>13.2</v>
      </c>
      <c r="BR25">
        <v>0</v>
      </c>
    </row>
    <row r="26" spans="1:70" hidden="1" x14ac:dyDescent="0.3">
      <c r="A26" t="s">
        <v>95</v>
      </c>
      <c r="B26">
        <v>10011601</v>
      </c>
      <c r="C26" t="s">
        <v>96</v>
      </c>
      <c r="D26" t="s">
        <v>73</v>
      </c>
      <c r="E26">
        <v>241</v>
      </c>
      <c r="F26" s="1">
        <v>68972222</v>
      </c>
      <c r="G26">
        <v>0</v>
      </c>
      <c r="H26">
        <v>0</v>
      </c>
      <c r="I26">
        <v>0</v>
      </c>
      <c r="J26">
        <v>10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10</v>
      </c>
      <c r="AG26">
        <v>0</v>
      </c>
      <c r="AH26">
        <v>40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40</v>
      </c>
      <c r="AS26" s="1">
        <v>909200</v>
      </c>
      <c r="AT26">
        <v>0</v>
      </c>
      <c r="AU26">
        <v>0</v>
      </c>
      <c r="AV26" s="1">
        <v>909200</v>
      </c>
      <c r="AW26" s="1">
        <v>139279000</v>
      </c>
      <c r="AX26">
        <v>0</v>
      </c>
      <c r="AY26" s="1">
        <v>278760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 s="1">
        <v>278760</v>
      </c>
      <c r="BK26" s="1">
        <v>6588791</v>
      </c>
      <c r="BL26" s="1">
        <v>5812001</v>
      </c>
      <c r="BM26" s="1">
        <v>776790</v>
      </c>
      <c r="BN26">
        <v>31</v>
      </c>
      <c r="BO26" s="1">
        <v>-39128552</v>
      </c>
      <c r="BP26">
        <v>-999.99</v>
      </c>
      <c r="BQ26">
        <v>4.0999999999999996</v>
      </c>
      <c r="BR26">
        <v>0</v>
      </c>
    </row>
    <row r="27" spans="1:70" x14ac:dyDescent="0.3">
      <c r="A27" t="s">
        <v>95</v>
      </c>
      <c r="B27">
        <v>10011601</v>
      </c>
      <c r="C27" t="s">
        <v>96</v>
      </c>
      <c r="D27" t="s">
        <v>74</v>
      </c>
      <c r="E27">
        <v>241</v>
      </c>
      <c r="F27" s="1">
        <v>139279000</v>
      </c>
      <c r="G27">
        <v>0</v>
      </c>
      <c r="H27">
        <v>0</v>
      </c>
      <c r="I27">
        <v>0</v>
      </c>
      <c r="J27">
        <v>10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10</v>
      </c>
      <c r="AG27">
        <v>0</v>
      </c>
      <c r="AH27">
        <v>40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40</v>
      </c>
      <c r="AS27" s="1">
        <v>909200</v>
      </c>
      <c r="AT27">
        <v>0</v>
      </c>
      <c r="AU27">
        <v>0</v>
      </c>
      <c r="AV27" s="1">
        <v>909200</v>
      </c>
      <c r="AW27" s="1">
        <v>139279000</v>
      </c>
      <c r="AX27">
        <v>0</v>
      </c>
      <c r="AY27" s="1">
        <v>278760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 s="1">
        <v>278760</v>
      </c>
      <c r="BK27" s="1">
        <v>6588791</v>
      </c>
      <c r="BL27" s="1">
        <v>5812001</v>
      </c>
      <c r="BM27" s="1">
        <v>776790</v>
      </c>
      <c r="BN27">
        <v>31</v>
      </c>
      <c r="BO27" s="1">
        <v>-32144104</v>
      </c>
      <c r="BP27">
        <v>-999.99</v>
      </c>
      <c r="BQ27">
        <v>4.0999999999999996</v>
      </c>
      <c r="BR27">
        <v>0</v>
      </c>
    </row>
    <row r="28" spans="1:70" hidden="1" x14ac:dyDescent="0.3">
      <c r="A28" t="s">
        <v>97</v>
      </c>
      <c r="B28">
        <v>10011602</v>
      </c>
      <c r="C28" t="s">
        <v>98</v>
      </c>
      <c r="D28" t="s">
        <v>73</v>
      </c>
      <c r="E28">
        <v>203</v>
      </c>
      <c r="F28" s="1">
        <v>70267238</v>
      </c>
      <c r="G28">
        <v>0</v>
      </c>
      <c r="H28">
        <v>0</v>
      </c>
      <c r="I28">
        <v>0</v>
      </c>
      <c r="J28">
        <v>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17</v>
      </c>
      <c r="AG28">
        <v>0</v>
      </c>
      <c r="AH28">
        <v>68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68</v>
      </c>
      <c r="AS28" s="1">
        <v>1545640</v>
      </c>
      <c r="AT28">
        <v>0</v>
      </c>
      <c r="AU28">
        <v>0</v>
      </c>
      <c r="AV28" s="1">
        <v>1545640</v>
      </c>
      <c r="AW28" s="1">
        <v>131577000</v>
      </c>
      <c r="AX28">
        <v>0</v>
      </c>
      <c r="AY28" s="1">
        <v>473892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 s="1">
        <v>473892</v>
      </c>
      <c r="BK28" s="1">
        <v>11200949</v>
      </c>
      <c r="BL28" s="1">
        <v>9880404</v>
      </c>
      <c r="BM28" s="1">
        <v>1320545</v>
      </c>
      <c r="BN28">
        <v>31</v>
      </c>
      <c r="BO28" s="1">
        <v>-23514276</v>
      </c>
      <c r="BP28">
        <v>-999.99</v>
      </c>
      <c r="BQ28">
        <v>8.4</v>
      </c>
      <c r="BR28">
        <v>0</v>
      </c>
    </row>
    <row r="29" spans="1:70" x14ac:dyDescent="0.3">
      <c r="A29" t="s">
        <v>97</v>
      </c>
      <c r="B29">
        <v>10011602</v>
      </c>
      <c r="C29" t="s">
        <v>98</v>
      </c>
      <c r="D29" t="s">
        <v>74</v>
      </c>
      <c r="E29">
        <v>203</v>
      </c>
      <c r="F29" s="1">
        <v>131577000</v>
      </c>
      <c r="G29">
        <v>0</v>
      </c>
      <c r="H29">
        <v>0</v>
      </c>
      <c r="I29">
        <v>0</v>
      </c>
      <c r="J29">
        <v>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17</v>
      </c>
      <c r="AG29">
        <v>0</v>
      </c>
      <c r="AH29">
        <v>68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68</v>
      </c>
      <c r="AS29" s="1">
        <v>1545640</v>
      </c>
      <c r="AT29">
        <v>0</v>
      </c>
      <c r="AU29">
        <v>0</v>
      </c>
      <c r="AV29" s="1">
        <v>1545640</v>
      </c>
      <c r="AW29" s="1">
        <v>131577000</v>
      </c>
      <c r="AX29">
        <v>0</v>
      </c>
      <c r="AY29" s="1">
        <v>473892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 s="1">
        <v>473892</v>
      </c>
      <c r="BK29" s="1">
        <v>11200949</v>
      </c>
      <c r="BL29" s="1">
        <v>9880404</v>
      </c>
      <c r="BM29" s="1">
        <v>1320545</v>
      </c>
      <c r="BN29">
        <v>1</v>
      </c>
      <c r="BO29" s="1">
        <v>-17423618</v>
      </c>
      <c r="BP29" t="s">
        <v>84</v>
      </c>
      <c r="BQ29">
        <v>8.4</v>
      </c>
      <c r="BR29">
        <v>0</v>
      </c>
    </row>
    <row r="30" spans="1:70" hidden="1" x14ac:dyDescent="0.3">
      <c r="A30" t="s">
        <v>99</v>
      </c>
      <c r="B30">
        <v>10011603</v>
      </c>
      <c r="D30" t="s">
        <v>73</v>
      </c>
      <c r="F30" s="1">
        <v>7524000</v>
      </c>
      <c r="G30">
        <v>0</v>
      </c>
      <c r="H30">
        <v>0</v>
      </c>
      <c r="I30">
        <v>0</v>
      </c>
      <c r="J30">
        <v>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4</v>
      </c>
      <c r="AG30">
        <v>0</v>
      </c>
      <c r="AH30">
        <v>16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16</v>
      </c>
      <c r="AS30" s="1">
        <v>363680</v>
      </c>
      <c r="AT30">
        <v>0</v>
      </c>
      <c r="AU30" s="1">
        <v>711200</v>
      </c>
      <c r="AV30" s="1">
        <v>1074880</v>
      </c>
      <c r="AW30">
        <v>0</v>
      </c>
      <c r="AX30">
        <v>0</v>
      </c>
      <c r="AY30" s="1">
        <v>111504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 s="1">
        <v>111504</v>
      </c>
      <c r="BK30" s="1">
        <v>2635518</v>
      </c>
      <c r="BL30" s="1">
        <v>2324802</v>
      </c>
      <c r="BM30" s="1">
        <v>310716</v>
      </c>
      <c r="BN30">
        <v>1</v>
      </c>
      <c r="BO30" s="1">
        <v>4552072</v>
      </c>
      <c r="BP30">
        <v>1.18</v>
      </c>
      <c r="BQ30">
        <v>22.2</v>
      </c>
      <c r="BR30">
        <v>0</v>
      </c>
    </row>
    <row r="31" spans="1:70" hidden="1" x14ac:dyDescent="0.3">
      <c r="A31" t="s">
        <v>100</v>
      </c>
      <c r="B31">
        <v>10011604</v>
      </c>
      <c r="C31" t="s">
        <v>101</v>
      </c>
      <c r="D31" t="s">
        <v>73</v>
      </c>
      <c r="E31">
        <v>12</v>
      </c>
      <c r="F31" s="1">
        <v>7993368</v>
      </c>
      <c r="G31">
        <v>0</v>
      </c>
      <c r="H31">
        <v>176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176</v>
      </c>
      <c r="AG31">
        <v>0</v>
      </c>
      <c r="AH31">
        <v>704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704</v>
      </c>
      <c r="AS31" s="1">
        <v>16001920</v>
      </c>
      <c r="AT31">
        <v>0</v>
      </c>
      <c r="AU31">
        <v>0</v>
      </c>
      <c r="AV31" s="1">
        <v>16001920</v>
      </c>
      <c r="AW31">
        <v>0</v>
      </c>
      <c r="AX31">
        <v>0</v>
      </c>
      <c r="AY31" s="1">
        <v>4608384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 s="1">
        <v>4608384</v>
      </c>
      <c r="BK31" s="1">
        <v>108924225</v>
      </c>
      <c r="BL31" s="1">
        <v>96082502</v>
      </c>
      <c r="BM31" s="1">
        <v>12841723</v>
      </c>
      <c r="BN31">
        <v>1</v>
      </c>
      <c r="BO31" s="1">
        <v>150263916</v>
      </c>
      <c r="BP31" t="s">
        <v>84</v>
      </c>
      <c r="BQ31" s="2">
        <v>1466.7</v>
      </c>
      <c r="BR31">
        <v>0</v>
      </c>
    </row>
    <row r="32" spans="1:70" s="3" customFormat="1" x14ac:dyDescent="0.3">
      <c r="A32" s="3" t="s">
        <v>100</v>
      </c>
      <c r="B32" s="3">
        <v>10011604</v>
      </c>
      <c r="C32" s="3" t="s">
        <v>101</v>
      </c>
      <c r="D32" s="3" t="s">
        <v>74</v>
      </c>
      <c r="E32" s="3">
        <v>12</v>
      </c>
      <c r="F32" s="4">
        <v>36195000</v>
      </c>
      <c r="G32" s="3">
        <v>0</v>
      </c>
      <c r="H32" s="3">
        <v>176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176</v>
      </c>
      <c r="AG32" s="3">
        <v>0</v>
      </c>
      <c r="AH32" s="3">
        <v>704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704</v>
      </c>
      <c r="AS32" s="4">
        <v>16001920</v>
      </c>
      <c r="AT32" s="3">
        <v>0</v>
      </c>
      <c r="AU32" s="3">
        <v>0</v>
      </c>
      <c r="AV32" s="4">
        <v>16001920</v>
      </c>
      <c r="AW32" s="3">
        <v>0</v>
      </c>
      <c r="AX32" s="3">
        <v>0</v>
      </c>
      <c r="AY32" s="4">
        <v>4608384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4">
        <v>4608384</v>
      </c>
      <c r="BK32" s="4">
        <v>109560642</v>
      </c>
      <c r="BL32" s="4">
        <v>96082502</v>
      </c>
      <c r="BM32" s="4">
        <v>13478140</v>
      </c>
      <c r="BN32" s="3">
        <v>3</v>
      </c>
      <c r="BO32" s="4">
        <v>115197640</v>
      </c>
      <c r="BP32" s="3">
        <v>47.98</v>
      </c>
      <c r="BQ32" s="5">
        <v>1466.7</v>
      </c>
      <c r="BR32" s="3">
        <v>0</v>
      </c>
    </row>
    <row r="33" spans="1:70" hidden="1" x14ac:dyDescent="0.3">
      <c r="A33" t="s">
        <v>102</v>
      </c>
      <c r="B33">
        <v>10011605</v>
      </c>
      <c r="C33" t="s">
        <v>103</v>
      </c>
      <c r="D33" t="s">
        <v>73</v>
      </c>
      <c r="E33">
        <v>11</v>
      </c>
      <c r="F33" s="1">
        <v>6221545</v>
      </c>
      <c r="G33">
        <v>0</v>
      </c>
      <c r="H33">
        <v>90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90</v>
      </c>
      <c r="AG33">
        <v>0</v>
      </c>
      <c r="AH33">
        <v>360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360</v>
      </c>
      <c r="AS33" s="1">
        <v>8182800</v>
      </c>
      <c r="AT33">
        <v>0</v>
      </c>
      <c r="AU33">
        <v>0</v>
      </c>
      <c r="AV33" s="1">
        <v>8182800</v>
      </c>
      <c r="AW33">
        <v>0</v>
      </c>
      <c r="AX33">
        <v>0</v>
      </c>
      <c r="AY33" s="1">
        <v>2356560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 s="1">
        <v>2356560</v>
      </c>
      <c r="BK33" s="1">
        <v>55699887</v>
      </c>
      <c r="BL33" s="1">
        <v>49133097</v>
      </c>
      <c r="BM33" s="1">
        <v>6566790</v>
      </c>
      <c r="BN33">
        <v>1</v>
      </c>
      <c r="BO33" s="1">
        <v>73795750</v>
      </c>
      <c r="BP33" t="s">
        <v>84</v>
      </c>
      <c r="BQ33">
        <v>818.2</v>
      </c>
      <c r="BR33">
        <v>0</v>
      </c>
    </row>
    <row r="34" spans="1:70" s="3" customFormat="1" x14ac:dyDescent="0.3">
      <c r="A34" s="3" t="s">
        <v>102</v>
      </c>
      <c r="B34" s="3">
        <v>10011605</v>
      </c>
      <c r="C34" s="3" t="s">
        <v>103</v>
      </c>
      <c r="D34" s="3" t="s">
        <v>74</v>
      </c>
      <c r="E34" s="3">
        <v>11</v>
      </c>
      <c r="F34" s="4">
        <v>24968000</v>
      </c>
      <c r="G34" s="3">
        <v>0</v>
      </c>
      <c r="H34" s="3">
        <v>90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90</v>
      </c>
      <c r="AG34" s="3">
        <v>0</v>
      </c>
      <c r="AH34" s="3">
        <v>360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360</v>
      </c>
      <c r="AS34" s="4">
        <v>8182800</v>
      </c>
      <c r="AT34" s="3">
        <v>0</v>
      </c>
      <c r="AU34" s="3">
        <v>0</v>
      </c>
      <c r="AV34" s="4">
        <v>8182800</v>
      </c>
      <c r="AW34" s="3">
        <v>0</v>
      </c>
      <c r="AX34" s="3">
        <v>0</v>
      </c>
      <c r="AY34" s="4">
        <v>2356560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4">
        <v>2356560</v>
      </c>
      <c r="BK34" s="4">
        <v>56025328</v>
      </c>
      <c r="BL34" s="4">
        <v>49133097</v>
      </c>
      <c r="BM34" s="4">
        <v>6892231</v>
      </c>
      <c r="BN34" s="3">
        <v>4</v>
      </c>
      <c r="BO34" s="4">
        <v>52039397</v>
      </c>
      <c r="BP34" s="3">
        <v>29.33</v>
      </c>
      <c r="BQ34" s="3">
        <v>818.2</v>
      </c>
      <c r="BR34" s="3">
        <v>0</v>
      </c>
    </row>
    <row r="35" spans="1:70" hidden="1" x14ac:dyDescent="0.3">
      <c r="A35" t="s">
        <v>104</v>
      </c>
      <c r="B35">
        <v>10011606</v>
      </c>
      <c r="C35" t="s">
        <v>105</v>
      </c>
      <c r="D35" t="s">
        <v>73</v>
      </c>
      <c r="E35">
        <v>34</v>
      </c>
      <c r="F35" s="1">
        <v>17868823</v>
      </c>
      <c r="G35">
        <v>0</v>
      </c>
      <c r="H35">
        <v>174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174</v>
      </c>
      <c r="AG35">
        <v>0</v>
      </c>
      <c r="AH35">
        <v>696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696</v>
      </c>
      <c r="AS35" s="1">
        <v>15820080</v>
      </c>
      <c r="AT35">
        <v>0</v>
      </c>
      <c r="AU35">
        <v>0</v>
      </c>
      <c r="AV35" s="1">
        <v>15820080</v>
      </c>
      <c r="AW35">
        <v>0</v>
      </c>
      <c r="AX35">
        <v>0</v>
      </c>
      <c r="AY35" s="1">
        <v>4556016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 s="1">
        <v>4556016</v>
      </c>
      <c r="BK35" s="1">
        <v>107686449</v>
      </c>
      <c r="BL35" s="1">
        <v>94990655</v>
      </c>
      <c r="BM35" s="1">
        <v>12695794</v>
      </c>
      <c r="BN35">
        <v>1</v>
      </c>
      <c r="BO35" s="1">
        <v>134474769</v>
      </c>
      <c r="BP35">
        <v>491.91</v>
      </c>
      <c r="BQ35">
        <v>511.8</v>
      </c>
      <c r="BR35">
        <v>0</v>
      </c>
    </row>
    <row r="36" spans="1:70" s="3" customFormat="1" x14ac:dyDescent="0.3">
      <c r="A36" s="3" t="s">
        <v>104</v>
      </c>
      <c r="B36" s="3">
        <v>10011606</v>
      </c>
      <c r="C36" s="3" t="s">
        <v>105</v>
      </c>
      <c r="D36" s="3" t="s">
        <v>74</v>
      </c>
      <c r="E36" s="3">
        <v>34</v>
      </c>
      <c r="F36" s="4">
        <v>41047000</v>
      </c>
      <c r="G36" s="3">
        <v>0</v>
      </c>
      <c r="H36" s="3">
        <v>174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174</v>
      </c>
      <c r="AG36" s="3">
        <v>0</v>
      </c>
      <c r="AH36" s="3">
        <v>696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696</v>
      </c>
      <c r="AS36" s="4">
        <v>15820080</v>
      </c>
      <c r="AT36" s="3">
        <v>0</v>
      </c>
      <c r="AU36" s="3">
        <v>0</v>
      </c>
      <c r="AV36" s="4">
        <v>15820080</v>
      </c>
      <c r="AW36" s="3">
        <v>0</v>
      </c>
      <c r="AX36" s="3">
        <v>0</v>
      </c>
      <c r="AY36" s="4">
        <v>4556016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4">
        <v>4556016</v>
      </c>
      <c r="BK36" s="4">
        <v>108315635</v>
      </c>
      <c r="BL36" s="4">
        <v>94990655</v>
      </c>
      <c r="BM36" s="4">
        <v>13324980</v>
      </c>
      <c r="BN36" s="3">
        <v>4</v>
      </c>
      <c r="BO36" s="4">
        <v>104289241</v>
      </c>
      <c r="BP36" s="3">
        <v>36.74</v>
      </c>
      <c r="BQ36" s="3">
        <v>511.8</v>
      </c>
      <c r="BR36" s="3">
        <v>0</v>
      </c>
    </row>
    <row r="37" spans="1:70" hidden="1" x14ac:dyDescent="0.3">
      <c r="A37" t="s">
        <v>106</v>
      </c>
      <c r="B37">
        <v>10011607</v>
      </c>
      <c r="C37" t="s">
        <v>107</v>
      </c>
      <c r="D37" t="s">
        <v>73</v>
      </c>
      <c r="E37">
        <v>98</v>
      </c>
      <c r="F37" s="1">
        <v>42303612</v>
      </c>
      <c r="G37">
        <v>0</v>
      </c>
      <c r="H37">
        <v>0</v>
      </c>
      <c r="I37">
        <v>0</v>
      </c>
      <c r="J37">
        <v>11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11</v>
      </c>
      <c r="AG37">
        <v>0</v>
      </c>
      <c r="AH37">
        <v>44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44</v>
      </c>
      <c r="AS37" s="1">
        <v>1000120</v>
      </c>
      <c r="AT37">
        <v>0</v>
      </c>
      <c r="AU37" s="1">
        <v>8456052</v>
      </c>
      <c r="AV37" s="1">
        <v>9456172</v>
      </c>
      <c r="AW37">
        <v>0</v>
      </c>
      <c r="AX37">
        <v>0</v>
      </c>
      <c r="AY37" s="1">
        <v>304188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 s="1">
        <v>304188</v>
      </c>
      <c r="BK37" s="1">
        <v>7231825</v>
      </c>
      <c r="BL37" s="1">
        <v>6342167</v>
      </c>
      <c r="BM37" s="1">
        <v>889658</v>
      </c>
      <c r="BN37">
        <v>31</v>
      </c>
      <c r="BO37" s="1">
        <v>-37434072</v>
      </c>
      <c r="BP37">
        <v>-999.99</v>
      </c>
      <c r="BQ37">
        <v>10.199999999999999</v>
      </c>
      <c r="BR37">
        <v>0</v>
      </c>
    </row>
    <row r="38" spans="1:70" x14ac:dyDescent="0.3">
      <c r="A38" t="s">
        <v>106</v>
      </c>
      <c r="B38">
        <v>10011607</v>
      </c>
      <c r="C38" t="s">
        <v>107</v>
      </c>
      <c r="D38" t="s">
        <v>74</v>
      </c>
      <c r="E38">
        <v>98</v>
      </c>
      <c r="F38" s="1">
        <v>64064000</v>
      </c>
      <c r="G38">
        <v>0</v>
      </c>
      <c r="H38">
        <v>0</v>
      </c>
      <c r="I38">
        <v>0</v>
      </c>
      <c r="J38">
        <v>11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11</v>
      </c>
      <c r="AG38">
        <v>0</v>
      </c>
      <c r="AH38">
        <v>44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44</v>
      </c>
      <c r="AS38" s="1">
        <v>1000120</v>
      </c>
      <c r="AT38">
        <v>0</v>
      </c>
      <c r="AU38" s="1">
        <v>8456052</v>
      </c>
      <c r="AV38" s="1">
        <v>9456172</v>
      </c>
      <c r="AW38">
        <v>0</v>
      </c>
      <c r="AX38">
        <v>0</v>
      </c>
      <c r="AY38" s="1">
        <v>304188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 s="1">
        <v>304188</v>
      </c>
      <c r="BK38" s="1">
        <v>7231825</v>
      </c>
      <c r="BL38" s="1">
        <v>6342167</v>
      </c>
      <c r="BM38" s="1">
        <v>889658</v>
      </c>
      <c r="BN38">
        <v>31</v>
      </c>
      <c r="BO38" s="1">
        <v>-60716284</v>
      </c>
      <c r="BP38">
        <v>-999.99</v>
      </c>
      <c r="BQ38">
        <v>10.199999999999999</v>
      </c>
      <c r="BR38">
        <v>0</v>
      </c>
    </row>
    <row r="39" spans="1:70" hidden="1" x14ac:dyDescent="0.3">
      <c r="A39" t="s">
        <v>108</v>
      </c>
      <c r="B39">
        <v>10011608</v>
      </c>
      <c r="C39" t="s">
        <v>109</v>
      </c>
      <c r="D39" t="s">
        <v>73</v>
      </c>
      <c r="E39">
        <v>7</v>
      </c>
      <c r="F39" s="1">
        <v>18700000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 s="1">
        <v>21893</v>
      </c>
      <c r="W39" s="1">
        <v>27367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40</v>
      </c>
      <c r="AN39">
        <v>0</v>
      </c>
      <c r="AO39">
        <v>0</v>
      </c>
      <c r="AP39">
        <v>0</v>
      </c>
      <c r="AQ39">
        <v>0</v>
      </c>
      <c r="AR39">
        <v>40</v>
      </c>
      <c r="AS39" s="1">
        <v>909200</v>
      </c>
      <c r="AT39">
        <v>0</v>
      </c>
      <c r="AU39">
        <v>0</v>
      </c>
      <c r="AV39" s="1">
        <v>909200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s="1">
        <v>262726</v>
      </c>
      <c r="BE39" s="1">
        <v>328408</v>
      </c>
      <c r="BF39">
        <v>0</v>
      </c>
      <c r="BG39">
        <v>0</v>
      </c>
      <c r="BH39">
        <v>0</v>
      </c>
      <c r="BI39">
        <v>0</v>
      </c>
      <c r="BJ39" s="1">
        <v>591134</v>
      </c>
      <c r="BK39" s="1">
        <v>13498127</v>
      </c>
      <c r="BL39" s="1">
        <v>11672987</v>
      </c>
      <c r="BM39" s="1">
        <v>1825140</v>
      </c>
      <c r="BN39">
        <v>23</v>
      </c>
      <c r="BO39" s="1">
        <v>2287370</v>
      </c>
      <c r="BP39">
        <v>7.02</v>
      </c>
      <c r="BQ39">
        <v>142.9</v>
      </c>
      <c r="BR39">
        <v>0</v>
      </c>
    </row>
    <row r="40" spans="1:70" x14ac:dyDescent="0.3">
      <c r="A40" t="s">
        <v>108</v>
      </c>
      <c r="B40">
        <v>10011608</v>
      </c>
      <c r="C40" t="s">
        <v>109</v>
      </c>
      <c r="D40" t="s">
        <v>74</v>
      </c>
      <c r="E40">
        <v>7</v>
      </c>
      <c r="F40" s="1">
        <v>18704000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 s="1">
        <v>21893</v>
      </c>
      <c r="W40" s="1">
        <v>27367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40</v>
      </c>
      <c r="AN40">
        <v>0</v>
      </c>
      <c r="AO40">
        <v>0</v>
      </c>
      <c r="AP40">
        <v>0</v>
      </c>
      <c r="AQ40">
        <v>0</v>
      </c>
      <c r="AR40">
        <v>40</v>
      </c>
      <c r="AS40" s="1">
        <v>909200</v>
      </c>
      <c r="AT40">
        <v>0</v>
      </c>
      <c r="AU40">
        <v>0</v>
      </c>
      <c r="AV40" s="1">
        <v>909200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s="1">
        <v>262726</v>
      </c>
      <c r="BE40" s="1">
        <v>328408</v>
      </c>
      <c r="BF40">
        <v>0</v>
      </c>
      <c r="BG40">
        <v>0</v>
      </c>
      <c r="BH40">
        <v>0</v>
      </c>
      <c r="BI40">
        <v>0</v>
      </c>
      <c r="BJ40" s="1">
        <v>591134</v>
      </c>
      <c r="BK40" s="1">
        <v>13498127</v>
      </c>
      <c r="BL40" s="1">
        <v>11672987</v>
      </c>
      <c r="BM40" s="1">
        <v>1825140</v>
      </c>
      <c r="BN40">
        <v>23</v>
      </c>
      <c r="BO40" s="1">
        <v>2283780</v>
      </c>
      <c r="BP40">
        <v>7.02</v>
      </c>
      <c r="BQ40">
        <v>142.9</v>
      </c>
      <c r="BR40">
        <v>0</v>
      </c>
    </row>
    <row r="41" spans="1:70" hidden="1" x14ac:dyDescent="0.3">
      <c r="A41" t="s">
        <v>110</v>
      </c>
      <c r="B41">
        <v>10011609</v>
      </c>
      <c r="D41" t="s">
        <v>73</v>
      </c>
      <c r="F41" s="1">
        <v>3344000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4</v>
      </c>
      <c r="AS41" s="1">
        <v>90920</v>
      </c>
      <c r="AT41">
        <v>0</v>
      </c>
      <c r="AU41" s="1">
        <v>566704</v>
      </c>
      <c r="AV41" s="1">
        <v>657624</v>
      </c>
      <c r="AW41">
        <v>0</v>
      </c>
      <c r="AX41">
        <v>0</v>
      </c>
      <c r="AY41" s="1">
        <v>27876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 s="1">
        <v>27876</v>
      </c>
      <c r="BK41" s="1">
        <v>658879</v>
      </c>
      <c r="BL41" s="1">
        <v>581200</v>
      </c>
      <c r="BM41" s="1">
        <v>77679</v>
      </c>
      <c r="BN41">
        <v>1</v>
      </c>
      <c r="BO41" s="1">
        <v>1526915</v>
      </c>
      <c r="BP41">
        <v>-2.0299999999999998</v>
      </c>
      <c r="BQ41">
        <v>12.5</v>
      </c>
      <c r="BR41">
        <v>0</v>
      </c>
    </row>
    <row r="42" spans="1:70" hidden="1" x14ac:dyDescent="0.3">
      <c r="A42" t="s">
        <v>111</v>
      </c>
      <c r="B42">
        <v>10011610</v>
      </c>
      <c r="D42" t="s">
        <v>73</v>
      </c>
      <c r="F42" s="1">
        <v>5852000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 s="1">
        <v>7887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</v>
      </c>
      <c r="AG42">
        <v>0</v>
      </c>
      <c r="AH42">
        <v>4</v>
      </c>
      <c r="AI42">
        <v>0</v>
      </c>
      <c r="AJ42">
        <v>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8</v>
      </c>
      <c r="AS42" s="1">
        <v>181840</v>
      </c>
      <c r="AT42">
        <v>0</v>
      </c>
      <c r="AU42" s="1">
        <v>792520</v>
      </c>
      <c r="AV42" s="1">
        <v>974360</v>
      </c>
      <c r="AW42">
        <v>0</v>
      </c>
      <c r="AX42">
        <v>0</v>
      </c>
      <c r="AY42" s="1">
        <v>27876</v>
      </c>
      <c r="AZ42">
        <v>0</v>
      </c>
      <c r="BA42" s="1">
        <v>94652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 s="1">
        <v>122528</v>
      </c>
      <c r="BK42" s="1">
        <v>2815439</v>
      </c>
      <c r="BL42" s="1">
        <v>2388144</v>
      </c>
      <c r="BM42" s="1">
        <v>427295</v>
      </c>
      <c r="BN42">
        <v>1</v>
      </c>
      <c r="BO42" s="1">
        <v>5472241</v>
      </c>
      <c r="BP42">
        <v>5.4</v>
      </c>
      <c r="BQ42">
        <v>14.3</v>
      </c>
      <c r="BR42">
        <v>0</v>
      </c>
    </row>
    <row r="43" spans="1:70" hidden="1" x14ac:dyDescent="0.3">
      <c r="A43" t="s">
        <v>112</v>
      </c>
      <c r="B43">
        <v>10011613</v>
      </c>
      <c r="C43" t="s">
        <v>113</v>
      </c>
      <c r="D43" t="s">
        <v>73</v>
      </c>
      <c r="E43">
        <v>3</v>
      </c>
      <c r="F43" s="1">
        <v>1533018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 s="1">
        <v>73458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0</v>
      </c>
      <c r="AH43">
        <v>0</v>
      </c>
      <c r="AI43">
        <v>0</v>
      </c>
      <c r="AJ43">
        <v>56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56</v>
      </c>
      <c r="AS43" s="1">
        <v>1272880</v>
      </c>
      <c r="AT43">
        <v>0</v>
      </c>
      <c r="AU43">
        <v>0</v>
      </c>
      <c r="AV43" s="1">
        <v>1272880</v>
      </c>
      <c r="AW43">
        <v>0</v>
      </c>
      <c r="AX43">
        <v>0</v>
      </c>
      <c r="AY43">
        <v>0</v>
      </c>
      <c r="AZ43">
        <v>0</v>
      </c>
      <c r="BA43" s="1">
        <v>881507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 s="1">
        <v>881507</v>
      </c>
      <c r="BK43" s="1">
        <v>20084343</v>
      </c>
      <c r="BL43" s="1">
        <v>16828321</v>
      </c>
      <c r="BM43" s="1">
        <v>3256022</v>
      </c>
      <c r="BN43">
        <v>1</v>
      </c>
      <c r="BO43" s="1">
        <v>33473534</v>
      </c>
      <c r="BP43">
        <v>957.25</v>
      </c>
      <c r="BQ43">
        <v>700</v>
      </c>
      <c r="BR43">
        <v>0</v>
      </c>
    </row>
    <row r="44" spans="1:70" x14ac:dyDescent="0.3">
      <c r="A44" t="s">
        <v>112</v>
      </c>
      <c r="B44">
        <v>10011613</v>
      </c>
      <c r="C44" t="s">
        <v>113</v>
      </c>
      <c r="D44" t="s">
        <v>74</v>
      </c>
      <c r="E44">
        <v>2</v>
      </c>
      <c r="F44" s="1">
        <v>14731000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 s="1">
        <v>73458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0</v>
      </c>
      <c r="AJ44">
        <v>56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56</v>
      </c>
      <c r="AS44" s="1">
        <v>1272880</v>
      </c>
      <c r="AT44">
        <v>0</v>
      </c>
      <c r="AU44">
        <v>0</v>
      </c>
      <c r="AV44" s="1">
        <v>1272880</v>
      </c>
      <c r="AW44">
        <v>0</v>
      </c>
      <c r="AX44">
        <v>0</v>
      </c>
      <c r="AY44">
        <v>0</v>
      </c>
      <c r="AZ44">
        <v>0</v>
      </c>
      <c r="BA44" s="1">
        <v>881507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 s="1">
        <v>881507</v>
      </c>
      <c r="BK44" s="1">
        <v>20245747</v>
      </c>
      <c r="BL44" s="1">
        <v>16828321</v>
      </c>
      <c r="BM44" s="1">
        <v>3417426</v>
      </c>
      <c r="BN44">
        <v>7</v>
      </c>
      <c r="BO44" s="1">
        <v>24480241</v>
      </c>
      <c r="BP44">
        <v>20.09</v>
      </c>
      <c r="BQ44">
        <v>700</v>
      </c>
      <c r="BR44">
        <v>0</v>
      </c>
    </row>
    <row r="45" spans="1:70" hidden="1" x14ac:dyDescent="0.3">
      <c r="A45" t="s">
        <v>114</v>
      </c>
      <c r="B45">
        <v>10011615</v>
      </c>
      <c r="D45" t="s">
        <v>73</v>
      </c>
      <c r="F45" s="1">
        <v>12122000</v>
      </c>
      <c r="G45">
        <v>0</v>
      </c>
      <c r="H45">
        <v>0</v>
      </c>
      <c r="I45">
        <v>0</v>
      </c>
      <c r="J45">
        <v>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6</v>
      </c>
      <c r="AG45">
        <v>0</v>
      </c>
      <c r="AH45">
        <v>24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24</v>
      </c>
      <c r="AS45" s="1">
        <v>545520</v>
      </c>
      <c r="AT45">
        <v>0</v>
      </c>
      <c r="AU45" s="1">
        <v>1289040</v>
      </c>
      <c r="AV45" s="1">
        <v>1834560</v>
      </c>
      <c r="AW45">
        <v>0</v>
      </c>
      <c r="AX45">
        <v>0</v>
      </c>
      <c r="AY45" s="1">
        <v>162360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 s="1">
        <v>162360</v>
      </c>
      <c r="BK45" s="1">
        <v>3859977</v>
      </c>
      <c r="BL45" s="1">
        <v>3385123</v>
      </c>
      <c r="BM45" s="1">
        <v>474854</v>
      </c>
      <c r="BN45">
        <v>1</v>
      </c>
      <c r="BO45" s="1">
        <v>6581349</v>
      </c>
      <c r="BP45">
        <v>-0.06</v>
      </c>
      <c r="BQ45">
        <v>20.7</v>
      </c>
      <c r="BR45">
        <v>0</v>
      </c>
    </row>
    <row r="46" spans="1:70" hidden="1" x14ac:dyDescent="0.3">
      <c r="A46" t="s">
        <v>115</v>
      </c>
      <c r="B46">
        <v>10011617</v>
      </c>
      <c r="D46" t="s">
        <v>73</v>
      </c>
      <c r="F46" s="1">
        <v>8360000</v>
      </c>
      <c r="G46">
        <v>0</v>
      </c>
      <c r="H46">
        <v>0</v>
      </c>
      <c r="I46">
        <v>0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</v>
      </c>
      <c r="AG46">
        <v>0</v>
      </c>
      <c r="AH46">
        <v>12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12</v>
      </c>
      <c r="AS46" s="1">
        <v>272760</v>
      </c>
      <c r="AT46">
        <v>0</v>
      </c>
      <c r="AU46" s="1">
        <v>1255656</v>
      </c>
      <c r="AV46" s="1">
        <v>1528416</v>
      </c>
      <c r="AW46">
        <v>0</v>
      </c>
      <c r="AX46">
        <v>0</v>
      </c>
      <c r="AY46" s="1">
        <v>81180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 s="1">
        <v>81180</v>
      </c>
      <c r="BK46" s="1">
        <v>1929989</v>
      </c>
      <c r="BL46" s="1">
        <v>1692562</v>
      </c>
      <c r="BM46" s="1">
        <v>237427</v>
      </c>
      <c r="BN46">
        <v>1</v>
      </c>
      <c r="BO46" s="1">
        <v>3901803</v>
      </c>
      <c r="BP46">
        <v>-1.8</v>
      </c>
      <c r="BQ46">
        <v>15</v>
      </c>
      <c r="BR46">
        <v>0</v>
      </c>
    </row>
    <row r="47" spans="1:70" hidden="1" x14ac:dyDescent="0.3">
      <c r="A47" t="s">
        <v>116</v>
      </c>
      <c r="B47">
        <v>10011618</v>
      </c>
      <c r="D47" t="s">
        <v>73</v>
      </c>
      <c r="F47" s="1">
        <v>11286000</v>
      </c>
      <c r="G47">
        <v>0</v>
      </c>
      <c r="H47">
        <v>0</v>
      </c>
      <c r="I47">
        <v>0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10</v>
      </c>
      <c r="AG47">
        <v>0</v>
      </c>
      <c r="AH47">
        <v>40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40</v>
      </c>
      <c r="AS47" s="1">
        <v>909200</v>
      </c>
      <c r="AT47">
        <v>0</v>
      </c>
      <c r="AU47">
        <v>0</v>
      </c>
      <c r="AV47" s="1">
        <v>909200</v>
      </c>
      <c r="AW47">
        <v>0</v>
      </c>
      <c r="AX47">
        <v>0</v>
      </c>
      <c r="AY47" s="1">
        <v>270600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 s="1">
        <v>270600</v>
      </c>
      <c r="BK47" s="1">
        <v>6433297</v>
      </c>
      <c r="BL47" s="1">
        <v>5641872</v>
      </c>
      <c r="BM47" s="1">
        <v>791425</v>
      </c>
      <c r="BN47">
        <v>1</v>
      </c>
      <c r="BO47" s="1">
        <v>8820529</v>
      </c>
      <c r="BP47">
        <v>3.53</v>
      </c>
      <c r="BQ47">
        <v>37</v>
      </c>
      <c r="BR47">
        <v>0</v>
      </c>
    </row>
    <row r="48" spans="1:70" hidden="1" x14ac:dyDescent="0.3">
      <c r="A48" t="s">
        <v>117</v>
      </c>
      <c r="B48">
        <v>10011620</v>
      </c>
      <c r="C48" t="s">
        <v>118</v>
      </c>
      <c r="D48" t="s">
        <v>73</v>
      </c>
      <c r="E48">
        <v>41</v>
      </c>
      <c r="F48" s="1">
        <v>15562743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 s="1">
        <v>101647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50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50</v>
      </c>
      <c r="AS48" s="1">
        <v>1136500</v>
      </c>
      <c r="AT48">
        <v>0</v>
      </c>
      <c r="AU48">
        <v>0</v>
      </c>
      <c r="AV48" s="1">
        <v>1136500</v>
      </c>
      <c r="AW48">
        <v>0</v>
      </c>
      <c r="AX48">
        <v>0</v>
      </c>
      <c r="AY48">
        <v>0</v>
      </c>
      <c r="AZ48">
        <v>0</v>
      </c>
      <c r="BA48" s="1">
        <v>1219774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 s="1">
        <v>1219774</v>
      </c>
      <c r="BK48" s="1">
        <v>28014793</v>
      </c>
      <c r="BL48" s="1">
        <v>23285973</v>
      </c>
      <c r="BM48" s="1">
        <v>4728820</v>
      </c>
      <c r="BN48">
        <v>6</v>
      </c>
      <c r="BO48" s="1">
        <v>29490375</v>
      </c>
      <c r="BP48">
        <v>21.73</v>
      </c>
      <c r="BQ48">
        <v>30.5</v>
      </c>
      <c r="BR48">
        <v>0</v>
      </c>
    </row>
    <row r="49" spans="1:70" x14ac:dyDescent="0.3">
      <c r="A49" t="s">
        <v>117</v>
      </c>
      <c r="B49">
        <v>10011620</v>
      </c>
      <c r="C49" t="s">
        <v>118</v>
      </c>
      <c r="D49" t="s">
        <v>74</v>
      </c>
      <c r="E49">
        <v>41</v>
      </c>
      <c r="F49" s="1">
        <v>29504000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 s="1">
        <v>101647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50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50</v>
      </c>
      <c r="AS49" s="1">
        <v>1136500</v>
      </c>
      <c r="AT49">
        <v>0</v>
      </c>
      <c r="AU49">
        <v>0</v>
      </c>
      <c r="AV49" s="1">
        <v>1136500</v>
      </c>
      <c r="AW49">
        <v>0</v>
      </c>
      <c r="AX49">
        <v>0</v>
      </c>
      <c r="AY49">
        <v>0</v>
      </c>
      <c r="AZ49">
        <v>0</v>
      </c>
      <c r="BA49" s="1">
        <v>1219774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 s="1">
        <v>1219774</v>
      </c>
      <c r="BK49" s="1">
        <v>28014793</v>
      </c>
      <c r="BL49" s="1">
        <v>23285973</v>
      </c>
      <c r="BM49" s="1">
        <v>4728820</v>
      </c>
      <c r="BN49">
        <v>13</v>
      </c>
      <c r="BO49" s="1">
        <v>16977722</v>
      </c>
      <c r="BP49">
        <v>10.93</v>
      </c>
      <c r="BQ49">
        <v>30.5</v>
      </c>
      <c r="BR49">
        <v>0</v>
      </c>
    </row>
    <row r="50" spans="1:70" hidden="1" x14ac:dyDescent="0.3">
      <c r="A50" t="s">
        <v>119</v>
      </c>
      <c r="B50">
        <v>10011621</v>
      </c>
      <c r="C50" t="s">
        <v>120</v>
      </c>
      <c r="D50" t="s">
        <v>73</v>
      </c>
      <c r="E50">
        <v>26</v>
      </c>
      <c r="F50" s="1">
        <v>13310726</v>
      </c>
      <c r="G50">
        <v>0</v>
      </c>
      <c r="H50">
        <v>438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438</v>
      </c>
      <c r="AG50">
        <v>0</v>
      </c>
      <c r="AH50" s="1">
        <v>1752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1">
        <v>1752</v>
      </c>
      <c r="AS50" s="1">
        <v>39822960</v>
      </c>
      <c r="AT50">
        <v>0</v>
      </c>
      <c r="AU50">
        <v>0</v>
      </c>
      <c r="AV50" s="1">
        <v>39822960</v>
      </c>
      <c r="AW50">
        <v>0</v>
      </c>
      <c r="AX50">
        <v>0</v>
      </c>
      <c r="AY50" s="1">
        <v>11468592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 s="1">
        <v>11468592</v>
      </c>
      <c r="BK50" s="1">
        <v>272656599</v>
      </c>
      <c r="BL50" s="1">
        <v>239114408</v>
      </c>
      <c r="BM50" s="1">
        <v>33542191</v>
      </c>
      <c r="BN50">
        <v>1</v>
      </c>
      <c r="BO50" s="1">
        <v>356435130</v>
      </c>
      <c r="BP50" t="s">
        <v>84</v>
      </c>
      <c r="BQ50" s="2">
        <v>1684.6</v>
      </c>
      <c r="BR50">
        <v>0</v>
      </c>
    </row>
    <row r="51" spans="1:70" x14ac:dyDescent="0.3">
      <c r="A51" t="s">
        <v>119</v>
      </c>
      <c r="B51">
        <v>10011621</v>
      </c>
      <c r="C51" t="s">
        <v>120</v>
      </c>
      <c r="D51" t="s">
        <v>74</v>
      </c>
      <c r="E51">
        <v>26</v>
      </c>
      <c r="F51" s="1">
        <v>37734000</v>
      </c>
      <c r="G51">
        <v>0</v>
      </c>
      <c r="H51">
        <v>438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438</v>
      </c>
      <c r="AG51">
        <v>0</v>
      </c>
      <c r="AH51" s="1">
        <v>1752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1">
        <v>1752</v>
      </c>
      <c r="AS51" s="1">
        <v>39822960</v>
      </c>
      <c r="AT51">
        <v>0</v>
      </c>
      <c r="AU51">
        <v>0</v>
      </c>
      <c r="AV51" s="1">
        <v>39822960</v>
      </c>
      <c r="AW51">
        <v>0</v>
      </c>
      <c r="AX51">
        <v>0</v>
      </c>
      <c r="AY51" s="1">
        <v>11468592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 s="1">
        <v>11468592</v>
      </c>
      <c r="BK51" s="1">
        <v>272656599</v>
      </c>
      <c r="BL51" s="1">
        <v>239114408</v>
      </c>
      <c r="BM51" s="1">
        <v>33542191</v>
      </c>
      <c r="BN51">
        <v>1</v>
      </c>
      <c r="BO51" s="1">
        <v>334514571</v>
      </c>
      <c r="BP51" t="s">
        <v>84</v>
      </c>
      <c r="BQ51" s="2">
        <v>1684.6</v>
      </c>
      <c r="BR51">
        <v>0</v>
      </c>
    </row>
    <row r="52" spans="1:70" hidden="1" x14ac:dyDescent="0.3">
      <c r="A52" t="s">
        <v>121</v>
      </c>
      <c r="B52">
        <v>10011622</v>
      </c>
      <c r="C52" t="s">
        <v>122</v>
      </c>
      <c r="D52" t="s">
        <v>73</v>
      </c>
      <c r="E52">
        <v>11</v>
      </c>
      <c r="F52" s="1">
        <v>6749732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 s="1">
        <v>25189</v>
      </c>
      <c r="W52" s="1">
        <v>31486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40</v>
      </c>
      <c r="AN52">
        <v>0</v>
      </c>
      <c r="AO52">
        <v>0</v>
      </c>
      <c r="AP52">
        <v>0</v>
      </c>
      <c r="AQ52">
        <v>0</v>
      </c>
      <c r="AR52">
        <v>40</v>
      </c>
      <c r="AS52" s="1">
        <v>909200</v>
      </c>
      <c r="AT52">
        <v>0</v>
      </c>
      <c r="AU52">
        <v>0</v>
      </c>
      <c r="AV52" s="1">
        <v>909200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s="1">
        <v>302272</v>
      </c>
      <c r="BE52" s="1">
        <v>377840</v>
      </c>
      <c r="BF52">
        <v>0</v>
      </c>
      <c r="BG52">
        <v>0</v>
      </c>
      <c r="BH52">
        <v>0</v>
      </c>
      <c r="BI52">
        <v>0</v>
      </c>
      <c r="BJ52" s="1">
        <v>680112</v>
      </c>
      <c r="BK52" s="1">
        <v>13609804</v>
      </c>
      <c r="BL52" s="1">
        <v>11769563</v>
      </c>
      <c r="BM52" s="1">
        <v>1840241</v>
      </c>
      <c r="BN52">
        <v>6</v>
      </c>
      <c r="BO52" s="1">
        <v>12296685</v>
      </c>
      <c r="BP52">
        <v>22.17</v>
      </c>
      <c r="BQ52">
        <v>90.9</v>
      </c>
      <c r="BR52">
        <v>0</v>
      </c>
    </row>
    <row r="53" spans="1:70" x14ac:dyDescent="0.3">
      <c r="A53" t="s">
        <v>121</v>
      </c>
      <c r="B53">
        <v>10011622</v>
      </c>
      <c r="C53" t="s">
        <v>122</v>
      </c>
      <c r="D53" t="s">
        <v>74</v>
      </c>
      <c r="E53">
        <v>11</v>
      </c>
      <c r="F53" s="1">
        <v>23116000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 s="1">
        <v>25189</v>
      </c>
      <c r="W53" s="1">
        <v>31486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40</v>
      </c>
      <c r="AN53">
        <v>0</v>
      </c>
      <c r="AO53">
        <v>0</v>
      </c>
      <c r="AP53">
        <v>0</v>
      </c>
      <c r="AQ53">
        <v>0</v>
      </c>
      <c r="AR53">
        <v>40</v>
      </c>
      <c r="AS53" s="1">
        <v>909200</v>
      </c>
      <c r="AT53">
        <v>0</v>
      </c>
      <c r="AU53">
        <v>0</v>
      </c>
      <c r="AV53" s="1">
        <v>909200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s="1">
        <v>302272</v>
      </c>
      <c r="BE53" s="1">
        <v>377840</v>
      </c>
      <c r="BF53">
        <v>0</v>
      </c>
      <c r="BG53">
        <v>0</v>
      </c>
      <c r="BH53">
        <v>0</v>
      </c>
      <c r="BI53">
        <v>0</v>
      </c>
      <c r="BJ53" s="1">
        <v>680112</v>
      </c>
      <c r="BK53" s="1">
        <v>15529874</v>
      </c>
      <c r="BL53" s="1">
        <v>13430012</v>
      </c>
      <c r="BM53" s="1">
        <v>2099862</v>
      </c>
      <c r="BN53">
        <v>29</v>
      </c>
      <c r="BO53" s="1">
        <v>437200</v>
      </c>
      <c r="BP53">
        <v>6.04</v>
      </c>
      <c r="BQ53">
        <v>90.9</v>
      </c>
      <c r="BR53">
        <v>0</v>
      </c>
    </row>
    <row r="54" spans="1:70" hidden="1" x14ac:dyDescent="0.3">
      <c r="A54" t="s">
        <v>123</v>
      </c>
      <c r="B54">
        <v>10011623</v>
      </c>
      <c r="D54" t="s">
        <v>73</v>
      </c>
      <c r="F54" s="1">
        <v>6688000</v>
      </c>
      <c r="G54">
        <v>0</v>
      </c>
      <c r="H54">
        <v>0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</v>
      </c>
      <c r="AG54">
        <v>0</v>
      </c>
      <c r="AH54">
        <v>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8</v>
      </c>
      <c r="AS54" s="1">
        <v>181840</v>
      </c>
      <c r="AT54">
        <v>0</v>
      </c>
      <c r="AU54" s="1">
        <v>1133408</v>
      </c>
      <c r="AV54" s="1">
        <v>1315248</v>
      </c>
      <c r="AW54">
        <v>0</v>
      </c>
      <c r="AX54">
        <v>0</v>
      </c>
      <c r="AY54" s="1">
        <v>54120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 s="1">
        <v>54120</v>
      </c>
      <c r="BK54" s="1">
        <v>1286659</v>
      </c>
      <c r="BL54" s="1">
        <v>1128374</v>
      </c>
      <c r="BM54" s="1">
        <v>158285</v>
      </c>
      <c r="BN54">
        <v>1</v>
      </c>
      <c r="BO54" s="1">
        <v>2897511</v>
      </c>
      <c r="BP54">
        <v>-2.73</v>
      </c>
      <c r="BQ54">
        <v>12.5</v>
      </c>
      <c r="BR54">
        <v>0</v>
      </c>
    </row>
    <row r="55" spans="1:70" hidden="1" x14ac:dyDescent="0.3">
      <c r="A55" t="s">
        <v>124</v>
      </c>
      <c r="B55">
        <v>10011625</v>
      </c>
      <c r="D55" t="s">
        <v>73</v>
      </c>
      <c r="F55" s="1">
        <v>8360000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10</v>
      </c>
      <c r="AS55" s="1">
        <v>227300</v>
      </c>
      <c r="AT55">
        <v>0</v>
      </c>
      <c r="AU55" s="1">
        <v>1763710</v>
      </c>
      <c r="AV55" s="1">
        <v>1991010</v>
      </c>
      <c r="AW55">
        <v>0</v>
      </c>
      <c r="AX55">
        <v>0</v>
      </c>
      <c r="AY55" s="1">
        <v>27060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 s="1">
        <v>27060</v>
      </c>
      <c r="BK55" s="1">
        <v>643329</v>
      </c>
      <c r="BL55" s="1">
        <v>564187</v>
      </c>
      <c r="BM55" s="1">
        <v>79142</v>
      </c>
      <c r="BN55">
        <v>1</v>
      </c>
      <c r="BO55" s="1">
        <v>2782134</v>
      </c>
      <c r="BP55">
        <v>-7.03</v>
      </c>
      <c r="BQ55">
        <v>12.5</v>
      </c>
      <c r="BR55">
        <v>0</v>
      </c>
    </row>
    <row r="56" spans="1:70" hidden="1" x14ac:dyDescent="0.3">
      <c r="A56" t="s">
        <v>125</v>
      </c>
      <c r="B56">
        <v>10011626</v>
      </c>
      <c r="D56" t="s">
        <v>73</v>
      </c>
      <c r="F56" s="1">
        <v>12540000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</v>
      </c>
      <c r="AS56" s="1">
        <v>90920</v>
      </c>
      <c r="AT56">
        <v>0</v>
      </c>
      <c r="AU56" s="1">
        <v>3011236</v>
      </c>
      <c r="AV56" s="1">
        <v>3102156</v>
      </c>
      <c r="AW56">
        <v>0</v>
      </c>
      <c r="AX56">
        <v>0</v>
      </c>
      <c r="AY56" s="1">
        <v>27060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 s="1">
        <v>27060</v>
      </c>
      <c r="BK56" s="1">
        <v>643329</v>
      </c>
      <c r="BL56" s="1">
        <v>564187</v>
      </c>
      <c r="BM56" s="1">
        <v>79142</v>
      </c>
      <c r="BN56">
        <v>1</v>
      </c>
      <c r="BO56" s="1">
        <v>3893280</v>
      </c>
      <c r="BP56">
        <v>-8.75</v>
      </c>
      <c r="BQ56">
        <v>3.3</v>
      </c>
      <c r="BR56">
        <v>0</v>
      </c>
    </row>
    <row r="57" spans="1:70" hidden="1" x14ac:dyDescent="0.3">
      <c r="A57" t="s">
        <v>126</v>
      </c>
      <c r="B57">
        <v>10011627</v>
      </c>
      <c r="C57" t="s">
        <v>127</v>
      </c>
      <c r="D57" t="s">
        <v>73</v>
      </c>
      <c r="E57">
        <v>6</v>
      </c>
      <c r="F57" s="1">
        <v>3322716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 s="1">
        <v>100346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44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44</v>
      </c>
      <c r="AS57" s="1">
        <v>1000120</v>
      </c>
      <c r="AT57">
        <v>0</v>
      </c>
      <c r="AU57">
        <v>0</v>
      </c>
      <c r="AV57" s="1">
        <v>1000120</v>
      </c>
      <c r="AW57">
        <v>0</v>
      </c>
      <c r="AX57">
        <v>0</v>
      </c>
      <c r="AY57">
        <v>0</v>
      </c>
      <c r="AZ57">
        <v>0</v>
      </c>
      <c r="BA57">
        <v>0</v>
      </c>
      <c r="BB57" s="1">
        <v>1204160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 s="1">
        <v>1204160</v>
      </c>
      <c r="BK57" s="1">
        <v>27656183</v>
      </c>
      <c r="BL57" s="1">
        <v>22987896</v>
      </c>
      <c r="BM57" s="1">
        <v>4668287</v>
      </c>
      <c r="BN57">
        <v>1</v>
      </c>
      <c r="BO57" s="1">
        <v>47388505</v>
      </c>
      <c r="BP57">
        <v>153.16999999999999</v>
      </c>
      <c r="BQ57">
        <v>183.3</v>
      </c>
      <c r="BR57">
        <v>0</v>
      </c>
    </row>
    <row r="58" spans="1:70" s="3" customFormat="1" x14ac:dyDescent="0.3">
      <c r="A58" s="3" t="s">
        <v>126</v>
      </c>
      <c r="B58" s="3">
        <v>10011627</v>
      </c>
      <c r="C58" s="3" t="s">
        <v>127</v>
      </c>
      <c r="D58" s="3" t="s">
        <v>74</v>
      </c>
      <c r="E58" s="3">
        <v>6</v>
      </c>
      <c r="F58" s="4">
        <v>14755000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</v>
      </c>
      <c r="R58" s="4">
        <v>100346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1</v>
      </c>
      <c r="AG58" s="3">
        <v>0</v>
      </c>
      <c r="AH58" s="3">
        <v>0</v>
      </c>
      <c r="AI58" s="3">
        <v>0</v>
      </c>
      <c r="AJ58" s="3">
        <v>0</v>
      </c>
      <c r="AK58" s="3">
        <v>44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44</v>
      </c>
      <c r="AS58" s="4">
        <v>1000120</v>
      </c>
      <c r="AT58" s="3">
        <v>0</v>
      </c>
      <c r="AU58" s="3">
        <v>0</v>
      </c>
      <c r="AV58" s="4">
        <v>1000120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4">
        <v>1204160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4">
        <v>1204160</v>
      </c>
      <c r="BK58" s="4">
        <v>27656183</v>
      </c>
      <c r="BL58" s="4">
        <v>22987896</v>
      </c>
      <c r="BM58" s="4">
        <v>4668287</v>
      </c>
      <c r="BN58" s="3">
        <v>5</v>
      </c>
      <c r="BO58" s="4">
        <v>37127706</v>
      </c>
      <c r="BP58" s="3">
        <v>26.45</v>
      </c>
      <c r="BQ58" s="3">
        <v>183.3</v>
      </c>
      <c r="BR58" s="3">
        <v>0</v>
      </c>
    </row>
    <row r="59" spans="1:70" hidden="1" x14ac:dyDescent="0.3">
      <c r="A59" t="s">
        <v>128</v>
      </c>
      <c r="B59">
        <v>10011628</v>
      </c>
      <c r="C59" t="s">
        <v>129</v>
      </c>
      <c r="D59" t="s">
        <v>73</v>
      </c>
      <c r="E59">
        <v>188</v>
      </c>
      <c r="F59" s="1">
        <v>99764644</v>
      </c>
      <c r="G59">
        <v>0</v>
      </c>
      <c r="H59">
        <v>0</v>
      </c>
      <c r="I59">
        <v>0</v>
      </c>
      <c r="J59">
        <v>40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40</v>
      </c>
      <c r="AG59">
        <v>0</v>
      </c>
      <c r="AH59">
        <v>166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166</v>
      </c>
      <c r="AS59" s="1">
        <v>3773180</v>
      </c>
      <c r="AT59">
        <v>0</v>
      </c>
      <c r="AU59" s="1">
        <v>18309468</v>
      </c>
      <c r="AV59" s="1">
        <v>22082648</v>
      </c>
      <c r="AW59">
        <v>0</v>
      </c>
      <c r="AX59">
        <v>0</v>
      </c>
      <c r="AY59" s="1">
        <v>1082400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 s="1">
        <v>1082400</v>
      </c>
      <c r="BK59" s="1">
        <v>25733172</v>
      </c>
      <c r="BL59" s="1">
        <v>22567481</v>
      </c>
      <c r="BM59" s="1">
        <v>3165691</v>
      </c>
      <c r="BN59">
        <v>31</v>
      </c>
      <c r="BO59" s="1">
        <v>-41953622</v>
      </c>
      <c r="BP59">
        <v>-999.99</v>
      </c>
      <c r="BQ59">
        <v>14.7</v>
      </c>
      <c r="BR59">
        <v>0</v>
      </c>
    </row>
    <row r="60" spans="1:70" s="3" customFormat="1" x14ac:dyDescent="0.3">
      <c r="A60" s="3" t="s">
        <v>128</v>
      </c>
      <c r="B60" s="3">
        <v>10011628</v>
      </c>
      <c r="C60" s="3" t="s">
        <v>129</v>
      </c>
      <c r="D60" s="3" t="s">
        <v>74</v>
      </c>
      <c r="E60" s="3">
        <v>188</v>
      </c>
      <c r="F60" s="4">
        <v>124726000</v>
      </c>
      <c r="G60" s="3">
        <v>0</v>
      </c>
      <c r="H60" s="3">
        <v>0</v>
      </c>
      <c r="I60" s="3">
        <v>0</v>
      </c>
      <c r="J60" s="3">
        <v>40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40</v>
      </c>
      <c r="AG60" s="3">
        <v>0</v>
      </c>
      <c r="AH60" s="3">
        <v>166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166</v>
      </c>
      <c r="AS60" s="4">
        <v>3773180</v>
      </c>
      <c r="AT60" s="3">
        <v>0</v>
      </c>
      <c r="AU60" s="4">
        <v>18309468</v>
      </c>
      <c r="AV60" s="4">
        <v>22082648</v>
      </c>
      <c r="AW60" s="3">
        <v>0</v>
      </c>
      <c r="AX60" s="3">
        <v>0</v>
      </c>
      <c r="AY60" s="4">
        <v>1082400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4">
        <v>1082400</v>
      </c>
      <c r="BK60" s="4">
        <v>25733172</v>
      </c>
      <c r="BL60" s="4">
        <v>22567481</v>
      </c>
      <c r="BM60" s="4">
        <v>3165691</v>
      </c>
      <c r="BN60" s="3">
        <v>31</v>
      </c>
      <c r="BO60" s="4">
        <v>-99622777</v>
      </c>
      <c r="BP60" s="3">
        <v>-12.85</v>
      </c>
      <c r="BQ60" s="3">
        <v>14.7</v>
      </c>
      <c r="BR60" s="3">
        <v>0</v>
      </c>
    </row>
    <row r="61" spans="1:70" hidden="1" x14ac:dyDescent="0.3">
      <c r="A61" t="s">
        <v>130</v>
      </c>
      <c r="B61">
        <v>10011629</v>
      </c>
      <c r="C61" t="s">
        <v>131</v>
      </c>
      <c r="D61" t="s">
        <v>73</v>
      </c>
      <c r="E61">
        <v>196</v>
      </c>
      <c r="F61" s="1">
        <v>72662592</v>
      </c>
      <c r="G61">
        <v>0</v>
      </c>
      <c r="H61">
        <v>0</v>
      </c>
      <c r="I61">
        <v>0</v>
      </c>
      <c r="J61">
        <v>44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44</v>
      </c>
      <c r="AG61">
        <v>0</v>
      </c>
      <c r="AH61">
        <v>176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176</v>
      </c>
      <c r="AS61" s="1">
        <v>4000480</v>
      </c>
      <c r="AT61">
        <v>0</v>
      </c>
      <c r="AU61" s="1">
        <v>19934816</v>
      </c>
      <c r="AV61" s="1">
        <v>23935296</v>
      </c>
      <c r="AW61">
        <v>0</v>
      </c>
      <c r="AX61">
        <v>0</v>
      </c>
      <c r="AY61" s="1">
        <v>1190640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 s="1">
        <v>1190640</v>
      </c>
      <c r="BK61" s="1">
        <v>28306500</v>
      </c>
      <c r="BL61" s="1">
        <v>24824235</v>
      </c>
      <c r="BM61" s="1">
        <v>3482265</v>
      </c>
      <c r="BN61">
        <v>31</v>
      </c>
      <c r="BO61" s="1">
        <v>-32702815</v>
      </c>
      <c r="BP61">
        <v>-999.99</v>
      </c>
      <c r="BQ61">
        <v>14.3</v>
      </c>
      <c r="BR61">
        <v>0</v>
      </c>
    </row>
    <row r="62" spans="1:70" s="3" customFormat="1" x14ac:dyDescent="0.3">
      <c r="A62" s="3" t="s">
        <v>130</v>
      </c>
      <c r="B62" s="3">
        <v>10011629</v>
      </c>
      <c r="C62" s="3" t="s">
        <v>131</v>
      </c>
      <c r="D62" s="3" t="s">
        <v>74</v>
      </c>
      <c r="E62" s="3">
        <v>198</v>
      </c>
      <c r="F62" s="4">
        <v>120188000</v>
      </c>
      <c r="G62" s="3">
        <v>0</v>
      </c>
      <c r="H62" s="3">
        <v>0</v>
      </c>
      <c r="I62" s="3">
        <v>0</v>
      </c>
      <c r="J62" s="3">
        <v>44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44</v>
      </c>
      <c r="AG62" s="3">
        <v>0</v>
      </c>
      <c r="AH62" s="3">
        <v>176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176</v>
      </c>
      <c r="AS62" s="4">
        <v>4000480</v>
      </c>
      <c r="AT62" s="3">
        <v>0</v>
      </c>
      <c r="AU62" s="4">
        <v>19934816</v>
      </c>
      <c r="AV62" s="4">
        <v>23935296</v>
      </c>
      <c r="AW62" s="3">
        <v>0</v>
      </c>
      <c r="AX62" s="3">
        <v>0</v>
      </c>
      <c r="AY62" s="4">
        <v>1190640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4">
        <v>1190640</v>
      </c>
      <c r="BK62" s="4">
        <v>28306500</v>
      </c>
      <c r="BL62" s="4">
        <v>24824235</v>
      </c>
      <c r="BM62" s="4">
        <v>3482265</v>
      </c>
      <c r="BN62" s="3">
        <v>31</v>
      </c>
      <c r="BO62" s="4">
        <v>-92735002</v>
      </c>
      <c r="BP62" s="3">
        <v>-12.05</v>
      </c>
      <c r="BQ62" s="3">
        <v>14.3</v>
      </c>
      <c r="BR62" s="3">
        <v>0</v>
      </c>
    </row>
    <row r="63" spans="1:70" hidden="1" x14ac:dyDescent="0.3">
      <c r="A63" t="s">
        <v>132</v>
      </c>
      <c r="B63">
        <v>10011630</v>
      </c>
      <c r="D63" t="s">
        <v>73</v>
      </c>
      <c r="F63" s="1">
        <v>25080000</v>
      </c>
      <c r="G63">
        <v>0</v>
      </c>
      <c r="H63">
        <v>0</v>
      </c>
      <c r="I63">
        <v>0</v>
      </c>
      <c r="J63">
        <v>11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11</v>
      </c>
      <c r="AG63">
        <v>0</v>
      </c>
      <c r="AH63">
        <v>44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44</v>
      </c>
      <c r="AS63" s="1">
        <v>1000120</v>
      </c>
      <c r="AT63">
        <v>0</v>
      </c>
      <c r="AU63" s="1">
        <v>3122504</v>
      </c>
      <c r="AV63" s="1">
        <v>4122624</v>
      </c>
      <c r="AW63">
        <v>0</v>
      </c>
      <c r="AX63">
        <v>0</v>
      </c>
      <c r="AY63" s="1">
        <v>297660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 s="1">
        <v>297660</v>
      </c>
      <c r="BK63" s="1">
        <v>7076626</v>
      </c>
      <c r="BL63" s="1">
        <v>6206059</v>
      </c>
      <c r="BM63" s="1">
        <v>870567</v>
      </c>
      <c r="BN63">
        <v>1</v>
      </c>
      <c r="BO63" s="1">
        <v>12825091</v>
      </c>
      <c r="BP63">
        <v>-0.73</v>
      </c>
      <c r="BQ63">
        <v>18.3</v>
      </c>
      <c r="BR63">
        <v>0</v>
      </c>
    </row>
    <row r="64" spans="1:70" hidden="1" x14ac:dyDescent="0.3">
      <c r="A64" t="s">
        <v>133</v>
      </c>
      <c r="B64">
        <v>10011631</v>
      </c>
      <c r="C64" t="s">
        <v>134</v>
      </c>
      <c r="D64" t="s">
        <v>73</v>
      </c>
      <c r="E64">
        <v>118</v>
      </c>
      <c r="F64" s="1">
        <v>55793336</v>
      </c>
      <c r="G64">
        <v>0</v>
      </c>
      <c r="H64">
        <v>0</v>
      </c>
      <c r="I64">
        <v>0</v>
      </c>
      <c r="J64">
        <v>18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18</v>
      </c>
      <c r="AG64">
        <v>0</v>
      </c>
      <c r="AH64">
        <v>72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72</v>
      </c>
      <c r="AS64" s="1">
        <v>1636560</v>
      </c>
      <c r="AT64">
        <v>0</v>
      </c>
      <c r="AU64" s="1">
        <v>13311936</v>
      </c>
      <c r="AV64" s="1">
        <v>14948496</v>
      </c>
      <c r="AW64">
        <v>0</v>
      </c>
      <c r="AX64">
        <v>0</v>
      </c>
      <c r="AY64" s="1">
        <v>487080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 s="1">
        <v>487080</v>
      </c>
      <c r="BK64" s="1">
        <v>11579931</v>
      </c>
      <c r="BL64" s="1">
        <v>10155369</v>
      </c>
      <c r="BM64" s="1">
        <v>1424562</v>
      </c>
      <c r="BN64">
        <v>31</v>
      </c>
      <c r="BO64" s="1">
        <v>-25866513</v>
      </c>
      <c r="BP64">
        <v>-999.99</v>
      </c>
      <c r="BQ64">
        <v>10.5</v>
      </c>
      <c r="BR64">
        <v>0</v>
      </c>
    </row>
    <row r="65" spans="1:70" s="3" customFormat="1" x14ac:dyDescent="0.3">
      <c r="A65" s="3" t="s">
        <v>133</v>
      </c>
      <c r="B65" s="3">
        <v>10011631</v>
      </c>
      <c r="C65" s="3" t="s">
        <v>134</v>
      </c>
      <c r="D65" s="3" t="s">
        <v>74</v>
      </c>
      <c r="E65" s="3">
        <v>118</v>
      </c>
      <c r="F65" s="4">
        <v>53843000</v>
      </c>
      <c r="G65" s="3">
        <v>0</v>
      </c>
      <c r="H65" s="3">
        <v>0</v>
      </c>
      <c r="I65" s="3">
        <v>0</v>
      </c>
      <c r="J65" s="3">
        <v>18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18</v>
      </c>
      <c r="AG65" s="3">
        <v>0</v>
      </c>
      <c r="AH65" s="3">
        <v>72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72</v>
      </c>
      <c r="AS65" s="4">
        <v>1636560</v>
      </c>
      <c r="AT65" s="3">
        <v>0</v>
      </c>
      <c r="AU65" s="4">
        <v>13311936</v>
      </c>
      <c r="AV65" s="4">
        <v>14948496</v>
      </c>
      <c r="AW65" s="3">
        <v>0</v>
      </c>
      <c r="AX65" s="3">
        <v>0</v>
      </c>
      <c r="AY65" s="4">
        <v>487080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4">
        <v>487080</v>
      </c>
      <c r="BK65" s="4">
        <v>11579931</v>
      </c>
      <c r="BL65" s="4">
        <v>10155369</v>
      </c>
      <c r="BM65" s="4">
        <v>1424562</v>
      </c>
      <c r="BN65" s="3">
        <v>31</v>
      </c>
      <c r="BO65" s="4">
        <v>-45125368</v>
      </c>
      <c r="BP65" s="3">
        <v>-999.99</v>
      </c>
      <c r="BQ65" s="3">
        <v>10.5</v>
      </c>
      <c r="BR65" s="3">
        <v>0</v>
      </c>
    </row>
    <row r="66" spans="1:70" hidden="1" x14ac:dyDescent="0.3">
      <c r="A66" t="s">
        <v>135</v>
      </c>
      <c r="B66">
        <v>10011632</v>
      </c>
      <c r="D66" t="s">
        <v>73</v>
      </c>
      <c r="E66">
        <v>6</v>
      </c>
      <c r="F66" s="1">
        <v>3996684</v>
      </c>
      <c r="G66">
        <v>0</v>
      </c>
      <c r="H66">
        <v>124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124</v>
      </c>
      <c r="AG66">
        <v>0</v>
      </c>
      <c r="AH66">
        <v>496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496</v>
      </c>
      <c r="AS66" s="1">
        <v>11274080</v>
      </c>
      <c r="AT66">
        <v>0</v>
      </c>
      <c r="AU66">
        <v>0</v>
      </c>
      <c r="AV66" s="1">
        <v>11274080</v>
      </c>
      <c r="AW66">
        <v>0</v>
      </c>
      <c r="AX66">
        <v>0</v>
      </c>
      <c r="AY66" s="1">
        <v>3599367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 s="1">
        <v>3599367</v>
      </c>
      <c r="BK66" s="1">
        <v>85572070</v>
      </c>
      <c r="BL66" s="1">
        <v>75045002</v>
      </c>
      <c r="BM66" s="1">
        <v>10527068</v>
      </c>
      <c r="BN66">
        <v>1</v>
      </c>
      <c r="BO66" s="1">
        <v>100967600</v>
      </c>
      <c r="BP66" t="s">
        <v>84</v>
      </c>
      <c r="BQ66" s="2">
        <v>2066.6999999999998</v>
      </c>
      <c r="BR66">
        <v>0</v>
      </c>
    </row>
    <row r="67" spans="1:70" hidden="1" x14ac:dyDescent="0.3">
      <c r="A67" t="s">
        <v>136</v>
      </c>
      <c r="B67">
        <v>10011633</v>
      </c>
      <c r="D67" t="s">
        <v>73</v>
      </c>
      <c r="F67" s="1">
        <v>4598000</v>
      </c>
      <c r="G67">
        <v>0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8</v>
      </c>
      <c r="AS67" s="1">
        <v>181840</v>
      </c>
      <c r="AT67">
        <v>0</v>
      </c>
      <c r="AU67" s="1">
        <v>577832</v>
      </c>
      <c r="AV67" s="1">
        <v>759672</v>
      </c>
      <c r="AW67">
        <v>0</v>
      </c>
      <c r="AX67">
        <v>0</v>
      </c>
      <c r="AY67" s="1">
        <v>54120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 s="1">
        <v>54120</v>
      </c>
      <c r="BK67" s="1">
        <v>1286659</v>
      </c>
      <c r="BL67" s="1">
        <v>1128374</v>
      </c>
      <c r="BM67" s="1">
        <v>158285</v>
      </c>
      <c r="BN67">
        <v>1</v>
      </c>
      <c r="BO67" s="1">
        <v>2341935</v>
      </c>
      <c r="BP67">
        <v>-0.77</v>
      </c>
      <c r="BQ67">
        <v>18.2</v>
      </c>
      <c r="BR67">
        <v>0</v>
      </c>
    </row>
    <row r="68" spans="1:70" hidden="1" x14ac:dyDescent="0.3">
      <c r="A68" t="s">
        <v>137</v>
      </c>
      <c r="B68">
        <v>10011634</v>
      </c>
      <c r="D68" t="s">
        <v>73</v>
      </c>
      <c r="F68" s="1">
        <v>3762000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</v>
      </c>
      <c r="AG68">
        <v>0</v>
      </c>
      <c r="AH68">
        <v>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8</v>
      </c>
      <c r="AS68" s="1">
        <v>181840</v>
      </c>
      <c r="AT68">
        <v>0</v>
      </c>
      <c r="AU68" s="1">
        <v>355600</v>
      </c>
      <c r="AV68" s="1">
        <v>537440</v>
      </c>
      <c r="AW68">
        <v>0</v>
      </c>
      <c r="AX68">
        <v>0</v>
      </c>
      <c r="AY68" s="1">
        <v>54120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 s="1">
        <v>54120</v>
      </c>
      <c r="BK68" s="1">
        <v>1286659</v>
      </c>
      <c r="BL68" s="1">
        <v>1128374</v>
      </c>
      <c r="BM68" s="1">
        <v>158285</v>
      </c>
      <c r="BN68">
        <v>1</v>
      </c>
      <c r="BO68" s="1">
        <v>2119703</v>
      </c>
      <c r="BP68">
        <v>0.34</v>
      </c>
      <c r="BQ68">
        <v>22.2</v>
      </c>
      <c r="BR68">
        <v>0</v>
      </c>
    </row>
  </sheetData>
  <autoFilter ref="A4:BR68" xr:uid="{8309F41F-3920-4B6E-A7FE-2FBF02CCA0BA}">
    <filterColumn colId="3">
      <filters>
        <filter val="기본설계후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2026-09-11T01:05:45Z</dcterms:created>
  <dcterms:modified xsi:type="dcterms:W3CDTF">2026-09-11T02:03:32Z</dcterms:modified>
</cp:coreProperties>
</file>