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\Desktop\0. 마케팅기획팀\2026\0. 스터디\2026\streamlit_study\본부투자_결재 대시보드\"/>
    </mc:Choice>
  </mc:AlternateContent>
  <xr:revisionPtr revIDLastSave="0" documentId="13_ncr:1_{5FC1D09F-3418-41FD-B9BA-5D3F427C42EE}" xr6:coauthVersionLast="47" xr6:coauthVersionMax="47" xr10:uidLastSave="{00000000-0000-0000-0000-000000000000}"/>
  <bookViews>
    <workbookView xWindow="-120" yWindow="-120" windowWidth="29040" windowHeight="15720" tabRatio="706" xr2:uid="{52DB04C7-9C9F-49E4-9549-92AEDDAE85FD}"/>
  </bookViews>
  <sheets>
    <sheet name="Sheet2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24" i="3" l="1"/>
  <c r="BQ25" i="3"/>
  <c r="F23" i="3"/>
  <c r="F22" i="3"/>
  <c r="F21" i="3"/>
  <c r="F20" i="3"/>
  <c r="F19" i="3"/>
  <c r="F24" i="3" s="1"/>
  <c r="F18" i="3"/>
  <c r="F25" i="3" s="1"/>
  <c r="BP23" i="3" l="1"/>
  <c r="BP22" i="3"/>
  <c r="BP21" i="3"/>
  <c r="BP20" i="3"/>
  <c r="BP24" i="3" s="1"/>
  <c r="BP19" i="3"/>
  <c r="BP18" i="3"/>
  <c r="H25" i="3"/>
  <c r="G25" i="3"/>
  <c r="G24" i="3"/>
  <c r="G23" i="3"/>
  <c r="G18" i="3"/>
  <c r="BP25" i="3" l="1"/>
  <c r="G22" i="3" l="1"/>
  <c r="G21" i="3"/>
  <c r="G20" i="3"/>
  <c r="G19" i="3"/>
  <c r="H24" i="3" l="1"/>
</calcChain>
</file>

<file path=xl/sharedStrings.xml><?xml version="1.0" encoding="utf-8"?>
<sst xmlns="http://schemas.openxmlformats.org/spreadsheetml/2006/main" count="164" uniqueCount="109">
  <si>
    <t xml:space="preserve">  구간명</t>
  </si>
  <si>
    <t xml:space="preserve">  관리번호</t>
  </si>
  <si>
    <t xml:space="preserve">  분석단계</t>
  </si>
  <si>
    <t>투자내역</t>
  </si>
  <si>
    <t>가    정    용  [ (전,월) ]</t>
  </si>
  <si>
    <t>일    반    용  [ MJ / (전,월) ]</t>
  </si>
  <si>
    <t>산  업  용 [ MJ / (전,월) ]</t>
  </si>
  <si>
    <t>연 료 전 지 [ MJ / (전,월) ]</t>
  </si>
  <si>
    <t>열  병  합 [ MJ / (전,월) ]</t>
  </si>
  <si>
    <t>열전용설비 [ MJ / (전,월) ]</t>
  </si>
  <si>
    <t>수 요  전 수 계</t>
  </si>
  <si>
    <t>용도별 표준가스 소비량 합계</t>
  </si>
  <si>
    <t xml:space="preserve">  계</t>
  </si>
  <si>
    <t xml:space="preserve"> 시설분담금</t>
  </si>
  <si>
    <t>기타이익 (수요가부담   공사비 등)</t>
  </si>
  <si>
    <t>연    간        판    매    량 [ MJ / 년 ]</t>
  </si>
  <si>
    <t>연    간 판 매 액 [원 / 년]</t>
  </si>
  <si>
    <t>연    간 판매원가 [원 / 년]</t>
  </si>
  <si>
    <t>연    간 판매수익 [원 / 년]</t>
  </si>
  <si>
    <t>경제성분석</t>
  </si>
  <si>
    <t xml:space="preserve">길이  (m) </t>
  </si>
  <si>
    <t xml:space="preserve">배관투자금액  (원) </t>
  </si>
  <si>
    <t>공동주택전수</t>
  </si>
  <si>
    <t>단독주택전수</t>
  </si>
  <si>
    <t>원룸전수</t>
  </si>
  <si>
    <t>중앙난방(중집)</t>
  </si>
  <si>
    <t>일반용(영업1)</t>
  </si>
  <si>
    <t>일반용(영업2)</t>
  </si>
  <si>
    <t>업무난방</t>
  </si>
  <si>
    <t>냉난방</t>
  </si>
  <si>
    <t>주  택  용</t>
  </si>
  <si>
    <t>주  택  용  외</t>
  </si>
  <si>
    <t>가정용</t>
  </si>
  <si>
    <t>일반용</t>
  </si>
  <si>
    <t xml:space="preserve"> 산업용(MJ)</t>
  </si>
  <si>
    <t xml:space="preserve"> 연료전지(MJ)</t>
  </si>
  <si>
    <t xml:space="preserve"> 열병합(MJ)</t>
  </si>
  <si>
    <t xml:space="preserve"> 열전용설비(MJ)</t>
  </si>
  <si>
    <t xml:space="preserve"> 계 (MJ)</t>
  </si>
  <si>
    <t>회 수 년 수</t>
  </si>
  <si>
    <t>NPV (원)</t>
  </si>
  <si>
    <t>IRR (%)</t>
  </si>
  <si>
    <t>100m 환산 세대수</t>
  </si>
  <si>
    <t>주택용 인입관비 배분액</t>
  </si>
  <si>
    <t>취사</t>
  </si>
  <si>
    <t>난방</t>
  </si>
  <si>
    <t>전수</t>
  </si>
  <si>
    <t>판매열량(MJ)</t>
  </si>
  <si>
    <t>난방판매(MJ)</t>
  </si>
  <si>
    <t>냉방판매(MJ)</t>
  </si>
  <si>
    <t>중앙</t>
  </si>
  <si>
    <t>일반용1</t>
  </si>
  <si>
    <t>일반용2</t>
  </si>
  <si>
    <t>냉난방용</t>
  </si>
  <si>
    <t>산업용</t>
  </si>
  <si>
    <t>연료전지</t>
  </si>
  <si>
    <t>열병합</t>
  </si>
  <si>
    <t>열전용설비</t>
  </si>
  <si>
    <t>일반</t>
  </si>
  <si>
    <t>취사전용</t>
  </si>
  <si>
    <t>수요가부담금</t>
  </si>
  <si>
    <t>총시설분담금</t>
  </si>
  <si>
    <t>취사용(MJ)</t>
  </si>
  <si>
    <t>개별난방용(MJ)</t>
  </si>
  <si>
    <t>중앙난방용(MJ)</t>
  </si>
  <si>
    <t>일반용(영업1)(MJ)</t>
  </si>
  <si>
    <t>일반용(영업2)(MJ)</t>
  </si>
  <si>
    <t>업무난방용(MJ)</t>
  </si>
  <si>
    <t>냉방용난방(MJ)</t>
  </si>
  <si>
    <t>냉방용냉방(MJ)</t>
  </si>
  <si>
    <t>기본설계후</t>
  </si>
  <si>
    <t>2026-2A00008</t>
  </si>
  <si>
    <t>2026-2A00010</t>
  </si>
  <si>
    <t>2026-2A00013</t>
  </si>
  <si>
    <t>2026-2A00006</t>
  </si>
  <si>
    <t>2026-2A00020</t>
  </si>
  <si>
    <t>2026-2A00017</t>
  </si>
  <si>
    <t>2026-2A00007</t>
  </si>
  <si>
    <t>2026-2A00019</t>
  </si>
  <si>
    <t>2026-2A00030</t>
  </si>
  <si>
    <t>2026-2A00031</t>
  </si>
  <si>
    <t>2026-2A00011</t>
  </si>
  <si>
    <t>용도</t>
    <phoneticPr fontId="18" type="noConversion"/>
  </si>
  <si>
    <t>구청</t>
    <phoneticPr fontId="18" type="noConversion"/>
  </si>
  <si>
    <t>공동주택</t>
    <phoneticPr fontId="18" type="noConversion"/>
  </si>
  <si>
    <t>달서구</t>
    <phoneticPr fontId="18" type="noConversion"/>
  </si>
  <si>
    <t>ROE</t>
    <phoneticPr fontId="18" type="noConversion"/>
  </si>
  <si>
    <t>북구</t>
    <phoneticPr fontId="18" type="noConversion"/>
  </si>
  <si>
    <t>영업용</t>
    <phoneticPr fontId="18" type="noConversion"/>
  </si>
  <si>
    <t>연료전지</t>
    <phoneticPr fontId="18" type="noConversion"/>
  </si>
  <si>
    <t>동구</t>
    <phoneticPr fontId="18" type="noConversion"/>
  </si>
  <si>
    <t>서구</t>
    <phoneticPr fontId="18" type="noConversion"/>
  </si>
  <si>
    <t>경산시</t>
    <phoneticPr fontId="18" type="noConversion"/>
  </si>
  <si>
    <t>중구</t>
    <phoneticPr fontId="18" type="noConversion"/>
  </si>
  <si>
    <t>월성주공5단지개별난방전환</t>
  </si>
  <si>
    <t>사정동191-1번지R</t>
  </si>
  <si>
    <t>압량읍부적리278-4번지R</t>
  </si>
  <si>
    <t>방촌동974-10번지R</t>
  </si>
  <si>
    <t>인교동164-4번지R</t>
  </si>
  <si>
    <t>내당동417-13번지R</t>
  </si>
  <si>
    <t>신천동194-15번지R</t>
  </si>
  <si>
    <t>비산동409-29번지R</t>
  </si>
  <si>
    <t>율하동율하스마트산단연료전지</t>
  </si>
  <si>
    <t>어반폴트레마리스인입</t>
  </si>
  <si>
    <t>이곡동1000-346번지R</t>
  </si>
  <si>
    <t>ROE제외</t>
    <phoneticPr fontId="18" type="noConversion"/>
  </si>
  <si>
    <t>이천동대구연호공공택지</t>
    <phoneticPr fontId="18" type="noConversion"/>
  </si>
  <si>
    <t>공공택지</t>
    <phoneticPr fontId="18" type="noConversion"/>
  </si>
  <si>
    <t>수성구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</si>
</sst>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3" fontId="0" fillId="0" borderId="0" xfId="0" applyNumberFormat="1">
      <alignment vertical="center"/>
    </xf>
    <xf numFmtId="4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3" fontId="0" fillId="35" borderId="0" xfId="0" applyNumberFormat="1" applyFill="1">
      <alignment vertical="center"/>
    </xf>
    <xf numFmtId="3" fontId="0" fillId="36" borderId="0" xfId="0" applyNumberFormat="1" applyFill="1">
      <alignment vertical="center"/>
    </xf>
    <xf numFmtId="0" fontId="0" fillId="36" borderId="0" xfId="0" applyFill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C5F29-049A-4FDF-9343-654B280D5A5A}">
  <dimension ref="A1:BS25"/>
  <sheetViews>
    <sheetView tabSelected="1" workbookViewId="0">
      <selection activeCell="J20" sqref="J20"/>
    </sheetView>
  </sheetViews>
  <sheetFormatPr defaultRowHeight="16.5" x14ac:dyDescent="0.3"/>
  <cols>
    <col min="1" max="1" width="10.375" customWidth="1"/>
    <col min="3" max="3" width="24.625" customWidth="1"/>
    <col min="7" max="7" width="14.25" customWidth="1"/>
    <col min="46" max="49" width="11.75" customWidth="1"/>
    <col min="68" max="68" width="22.625" customWidth="1"/>
  </cols>
  <sheetData>
    <row r="1" spans="1:71" x14ac:dyDescent="0.3">
      <c r="C1" t="s">
        <v>0</v>
      </c>
      <c r="D1" t="s">
        <v>1</v>
      </c>
      <c r="E1" t="s">
        <v>2</v>
      </c>
      <c r="F1" t="s">
        <v>3</v>
      </c>
      <c r="H1" t="s">
        <v>4</v>
      </c>
      <c r="P1" t="s">
        <v>5</v>
      </c>
      <c r="Y1" t="s">
        <v>6</v>
      </c>
      <c r="AA1" t="s">
        <v>7</v>
      </c>
      <c r="AC1" t="s">
        <v>8</v>
      </c>
      <c r="AE1" t="s">
        <v>9</v>
      </c>
      <c r="AG1" t="s">
        <v>10</v>
      </c>
      <c r="AH1" t="s">
        <v>11</v>
      </c>
      <c r="AS1" t="s">
        <v>12</v>
      </c>
      <c r="AT1" t="s">
        <v>13</v>
      </c>
      <c r="AX1" t="s">
        <v>14</v>
      </c>
      <c r="AY1" t="s">
        <v>15</v>
      </c>
      <c r="BL1" t="s">
        <v>16</v>
      </c>
      <c r="BM1" t="s">
        <v>17</v>
      </c>
      <c r="BN1" t="s">
        <v>18</v>
      </c>
      <c r="BO1" t="s">
        <v>19</v>
      </c>
    </row>
    <row r="2" spans="1:71" x14ac:dyDescent="0.3">
      <c r="F2" t="s">
        <v>20</v>
      </c>
      <c r="G2" t="s">
        <v>21</v>
      </c>
      <c r="H2" t="s">
        <v>22</v>
      </c>
      <c r="J2" t="s">
        <v>23</v>
      </c>
      <c r="L2" t="s">
        <v>24</v>
      </c>
      <c r="N2" t="s">
        <v>25</v>
      </c>
      <c r="P2" t="s">
        <v>26</v>
      </c>
      <c r="R2" t="s">
        <v>27</v>
      </c>
      <c r="T2" t="s">
        <v>28</v>
      </c>
      <c r="V2" t="s">
        <v>29</v>
      </c>
      <c r="AH2" t="s">
        <v>30</v>
      </c>
      <c r="AK2" t="s">
        <v>31</v>
      </c>
      <c r="AY2" t="s">
        <v>32</v>
      </c>
      <c r="BB2" t="s">
        <v>33</v>
      </c>
      <c r="BG2" t="s">
        <v>34</v>
      </c>
      <c r="BH2" t="s">
        <v>35</v>
      </c>
      <c r="BI2" t="s">
        <v>36</v>
      </c>
      <c r="BJ2" t="s">
        <v>37</v>
      </c>
      <c r="BK2" t="s">
        <v>38</v>
      </c>
      <c r="BO2" t="s">
        <v>39</v>
      </c>
      <c r="BP2" t="s">
        <v>40</v>
      </c>
      <c r="BQ2" t="s">
        <v>41</v>
      </c>
      <c r="BR2" t="s">
        <v>42</v>
      </c>
      <c r="BS2" t="s">
        <v>43</v>
      </c>
    </row>
    <row r="4" spans="1:71" x14ac:dyDescent="0.3">
      <c r="A4" t="s">
        <v>82</v>
      </c>
      <c r="B4" t="s">
        <v>83</v>
      </c>
      <c r="H4" t="s">
        <v>44</v>
      </c>
      <c r="I4" t="s">
        <v>45</v>
      </c>
      <c r="J4" t="s">
        <v>44</v>
      </c>
      <c r="K4" t="s">
        <v>45</v>
      </c>
      <c r="L4" t="s">
        <v>44</v>
      </c>
      <c r="M4" t="s">
        <v>45</v>
      </c>
      <c r="N4" t="s">
        <v>46</v>
      </c>
      <c r="O4" t="s">
        <v>47</v>
      </c>
      <c r="P4" t="s">
        <v>46</v>
      </c>
      <c r="Q4" t="s">
        <v>47</v>
      </c>
      <c r="R4" t="s">
        <v>46</v>
      </c>
      <c r="S4" t="s">
        <v>47</v>
      </c>
      <c r="T4" t="s">
        <v>46</v>
      </c>
      <c r="U4" t="s">
        <v>48</v>
      </c>
      <c r="V4" t="s">
        <v>46</v>
      </c>
      <c r="W4" t="s">
        <v>48</v>
      </c>
      <c r="X4" t="s">
        <v>49</v>
      </c>
      <c r="Y4" t="s">
        <v>46</v>
      </c>
      <c r="Z4" t="s">
        <v>47</v>
      </c>
      <c r="AA4" t="s">
        <v>46</v>
      </c>
      <c r="AB4" t="s">
        <v>47</v>
      </c>
      <c r="AC4" t="s">
        <v>46</v>
      </c>
      <c r="AD4" t="s">
        <v>47</v>
      </c>
      <c r="AE4" t="s">
        <v>46</v>
      </c>
      <c r="AF4" t="s">
        <v>47</v>
      </c>
      <c r="AH4" t="s">
        <v>44</v>
      </c>
      <c r="AI4" t="s">
        <v>45</v>
      </c>
      <c r="AJ4" t="s">
        <v>50</v>
      </c>
      <c r="AK4" t="s">
        <v>51</v>
      </c>
      <c r="AL4" t="s">
        <v>52</v>
      </c>
      <c r="AM4" t="s">
        <v>28</v>
      </c>
      <c r="AN4" t="s">
        <v>53</v>
      </c>
      <c r="AO4" t="s">
        <v>54</v>
      </c>
      <c r="AP4" t="s">
        <v>55</v>
      </c>
      <c r="AQ4" t="s">
        <v>56</v>
      </c>
      <c r="AR4" t="s">
        <v>57</v>
      </c>
      <c r="AT4" t="s">
        <v>58</v>
      </c>
      <c r="AU4" t="s">
        <v>59</v>
      </c>
      <c r="AV4" t="s">
        <v>60</v>
      </c>
      <c r="AW4" t="s">
        <v>61</v>
      </c>
      <c r="AY4" t="s">
        <v>62</v>
      </c>
      <c r="AZ4" t="s">
        <v>63</v>
      </c>
      <c r="BA4" t="s">
        <v>64</v>
      </c>
      <c r="BB4" t="s">
        <v>65</v>
      </c>
      <c r="BC4" t="s">
        <v>66</v>
      </c>
      <c r="BD4" t="s">
        <v>67</v>
      </c>
      <c r="BE4" t="s">
        <v>68</v>
      </c>
      <c r="BF4" t="s">
        <v>69</v>
      </c>
    </row>
    <row r="5" spans="1:71" x14ac:dyDescent="0.3">
      <c r="A5" t="s">
        <v>84</v>
      </c>
      <c r="B5" t="s">
        <v>85</v>
      </c>
      <c r="C5" s="3" t="s">
        <v>94</v>
      </c>
      <c r="D5" t="s">
        <v>71</v>
      </c>
      <c r="E5" t="s">
        <v>70</v>
      </c>
      <c r="F5">
        <v>25</v>
      </c>
      <c r="G5" s="1">
        <v>63179000</v>
      </c>
      <c r="H5">
        <v>0</v>
      </c>
      <c r="I5" s="1">
        <v>1740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1">
        <v>1740</v>
      </c>
      <c r="AH5">
        <v>0</v>
      </c>
      <c r="AI5" s="1">
        <v>6960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 s="1">
        <v>6960</v>
      </c>
      <c r="AT5" s="6">
        <v>158200800</v>
      </c>
      <c r="AU5" s="7">
        <v>0</v>
      </c>
      <c r="AV5" s="7">
        <v>0</v>
      </c>
      <c r="AW5" s="6">
        <v>158200800</v>
      </c>
      <c r="AX5" s="1">
        <v>-158200800</v>
      </c>
      <c r="AY5">
        <v>0</v>
      </c>
      <c r="AZ5" s="1">
        <v>45560160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 s="1">
        <v>45560160</v>
      </c>
      <c r="BL5" s="1">
        <v>1076864497</v>
      </c>
      <c r="BM5" s="1">
        <v>949906555</v>
      </c>
      <c r="BN5" s="1">
        <v>126957942</v>
      </c>
      <c r="BO5">
        <v>1</v>
      </c>
      <c r="BP5" s="1">
        <v>1363230703</v>
      </c>
      <c r="BQ5">
        <v>166.66</v>
      </c>
      <c r="BR5" s="2">
        <v>6960</v>
      </c>
      <c r="BS5">
        <v>0</v>
      </c>
    </row>
    <row r="6" spans="1:71" x14ac:dyDescent="0.3">
      <c r="A6" t="s">
        <v>89</v>
      </c>
      <c r="B6" t="s">
        <v>90</v>
      </c>
      <c r="C6" s="3" t="s">
        <v>102</v>
      </c>
      <c r="D6" t="s">
        <v>79</v>
      </c>
      <c r="E6" t="s">
        <v>70</v>
      </c>
      <c r="F6">
        <v>470</v>
      </c>
      <c r="G6" s="1">
        <v>474456000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1</v>
      </c>
      <c r="AB6" s="1">
        <v>43621788</v>
      </c>
      <c r="AC6">
        <v>0</v>
      </c>
      <c r="AD6">
        <v>0</v>
      </c>
      <c r="AE6">
        <v>0</v>
      </c>
      <c r="AF6">
        <v>0</v>
      </c>
      <c r="AG6">
        <v>1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 s="1">
        <v>1567</v>
      </c>
      <c r="AQ6">
        <v>0</v>
      </c>
      <c r="AR6">
        <v>0</v>
      </c>
      <c r="AS6" s="1">
        <v>1567</v>
      </c>
      <c r="AT6" s="6">
        <v>35617910</v>
      </c>
      <c r="AU6" s="7">
        <v>0</v>
      </c>
      <c r="AV6" s="7">
        <v>0</v>
      </c>
      <c r="AW6" s="6">
        <v>35617910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 s="1">
        <v>523461466</v>
      </c>
      <c r="BI6">
        <v>0</v>
      </c>
      <c r="BJ6">
        <v>0</v>
      </c>
      <c r="BK6" s="1">
        <v>523461466</v>
      </c>
      <c r="BL6" s="1">
        <v>8240173359</v>
      </c>
      <c r="BM6" s="1">
        <v>7761467848</v>
      </c>
      <c r="BN6" s="1">
        <v>478705511</v>
      </c>
      <c r="BO6">
        <v>2</v>
      </c>
      <c r="BP6" s="1">
        <v>4558036087</v>
      </c>
      <c r="BQ6">
        <v>84.05</v>
      </c>
      <c r="BR6">
        <v>83.4</v>
      </c>
      <c r="BS6">
        <v>0</v>
      </c>
    </row>
    <row r="7" spans="1:71" x14ac:dyDescent="0.3">
      <c r="A7" t="s">
        <v>88</v>
      </c>
      <c r="B7" t="s">
        <v>87</v>
      </c>
      <c r="C7" s="3" t="s">
        <v>103</v>
      </c>
      <c r="D7" t="s">
        <v>80</v>
      </c>
      <c r="E7" t="s">
        <v>70</v>
      </c>
      <c r="F7">
        <v>35</v>
      </c>
      <c r="G7" s="1">
        <v>61362000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 s="1">
        <v>132941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1</v>
      </c>
      <c r="AH7">
        <v>0</v>
      </c>
      <c r="AI7">
        <v>0</v>
      </c>
      <c r="AJ7">
        <v>0</v>
      </c>
      <c r="AK7">
        <v>78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78</v>
      </c>
      <c r="AT7" s="6">
        <v>1772940</v>
      </c>
      <c r="AU7" s="7">
        <v>0</v>
      </c>
      <c r="AV7" s="7">
        <v>0</v>
      </c>
      <c r="AW7" s="6">
        <v>1772940</v>
      </c>
      <c r="AX7">
        <v>0</v>
      </c>
      <c r="AY7">
        <v>0</v>
      </c>
      <c r="AZ7">
        <v>0</v>
      </c>
      <c r="BA7">
        <v>0</v>
      </c>
      <c r="BB7" s="1">
        <v>1595293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 s="1">
        <v>1595293</v>
      </c>
      <c r="BL7" s="1">
        <v>36347315</v>
      </c>
      <c r="BM7" s="1">
        <v>30454781</v>
      </c>
      <c r="BN7" s="1">
        <v>5892534</v>
      </c>
      <c r="BO7">
        <v>30</v>
      </c>
      <c r="BP7" s="1">
        <v>632006</v>
      </c>
      <c r="BQ7">
        <v>6.25</v>
      </c>
      <c r="BR7">
        <v>55.7</v>
      </c>
      <c r="BS7">
        <v>0</v>
      </c>
    </row>
    <row r="8" spans="1:71" x14ac:dyDescent="0.3">
      <c r="A8" t="s">
        <v>86</v>
      </c>
      <c r="B8" t="s">
        <v>92</v>
      </c>
      <c r="C8" s="3" t="s">
        <v>95</v>
      </c>
      <c r="D8" t="s">
        <v>72</v>
      </c>
      <c r="E8" t="s">
        <v>70</v>
      </c>
      <c r="F8">
        <v>151</v>
      </c>
      <c r="G8" s="1">
        <v>71533000</v>
      </c>
      <c r="H8">
        <v>0</v>
      </c>
      <c r="I8">
        <v>0</v>
      </c>
      <c r="J8">
        <v>0</v>
      </c>
      <c r="K8">
        <v>17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17</v>
      </c>
      <c r="AH8">
        <v>0</v>
      </c>
      <c r="AI8">
        <v>70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70</v>
      </c>
      <c r="AT8" s="1">
        <v>1591100</v>
      </c>
      <c r="AU8">
        <v>0</v>
      </c>
      <c r="AV8" s="1">
        <v>11255230</v>
      </c>
      <c r="AW8" s="1">
        <v>12846330</v>
      </c>
      <c r="AX8">
        <v>0</v>
      </c>
      <c r="AY8">
        <v>0</v>
      </c>
      <c r="AZ8" s="1">
        <v>473892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 s="1">
        <v>473892</v>
      </c>
      <c r="BL8" s="1">
        <v>11200946</v>
      </c>
      <c r="BM8" s="1">
        <v>9880402</v>
      </c>
      <c r="BN8" s="1">
        <v>1320544</v>
      </c>
      <c r="BO8">
        <v>31</v>
      </c>
      <c r="BP8" s="1">
        <v>-71627930</v>
      </c>
      <c r="BQ8">
        <v>-999.99</v>
      </c>
      <c r="BR8">
        <v>11.6</v>
      </c>
      <c r="BS8">
        <v>0</v>
      </c>
    </row>
    <row r="9" spans="1:71" x14ac:dyDescent="0.3">
      <c r="A9" t="s">
        <v>86</v>
      </c>
      <c r="B9" t="s">
        <v>92</v>
      </c>
      <c r="C9" s="3" t="s">
        <v>96</v>
      </c>
      <c r="D9" t="s">
        <v>73</v>
      </c>
      <c r="E9" t="s">
        <v>70</v>
      </c>
      <c r="F9">
        <v>63</v>
      </c>
      <c r="G9" s="1">
        <v>45289000</v>
      </c>
      <c r="H9">
        <v>0</v>
      </c>
      <c r="I9">
        <v>0</v>
      </c>
      <c r="J9">
        <v>0</v>
      </c>
      <c r="K9">
        <v>9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9</v>
      </c>
      <c r="AH9">
        <v>0</v>
      </c>
      <c r="AI9">
        <v>38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38</v>
      </c>
      <c r="AT9" s="1">
        <v>863740</v>
      </c>
      <c r="AU9">
        <v>0</v>
      </c>
      <c r="AV9" s="1">
        <v>4054828</v>
      </c>
      <c r="AW9" s="1">
        <v>4918568</v>
      </c>
      <c r="AX9">
        <v>0</v>
      </c>
      <c r="AY9">
        <v>0</v>
      </c>
      <c r="AZ9" s="1">
        <v>250884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 s="1">
        <v>250884</v>
      </c>
      <c r="BL9" s="1">
        <v>5929917</v>
      </c>
      <c r="BM9" s="1">
        <v>5230804</v>
      </c>
      <c r="BN9" s="1">
        <v>699113</v>
      </c>
      <c r="BO9">
        <v>31</v>
      </c>
      <c r="BP9" s="1">
        <v>-42577482</v>
      </c>
      <c r="BQ9">
        <v>-999.99</v>
      </c>
      <c r="BR9">
        <v>15.1</v>
      </c>
      <c r="BS9">
        <v>0</v>
      </c>
    </row>
    <row r="10" spans="1:71" x14ac:dyDescent="0.3">
      <c r="A10" t="s">
        <v>86</v>
      </c>
      <c r="B10" t="s">
        <v>90</v>
      </c>
      <c r="C10" s="3" t="s">
        <v>97</v>
      </c>
      <c r="D10" t="s">
        <v>74</v>
      </c>
      <c r="E10" t="s">
        <v>70</v>
      </c>
      <c r="F10">
        <v>34</v>
      </c>
      <c r="G10" s="1">
        <v>23706000</v>
      </c>
      <c r="H10">
        <v>0</v>
      </c>
      <c r="I10">
        <v>0</v>
      </c>
      <c r="J10">
        <v>0</v>
      </c>
      <c r="K10">
        <v>6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6</v>
      </c>
      <c r="AH10">
        <v>0</v>
      </c>
      <c r="AI10">
        <v>24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24</v>
      </c>
      <c r="AT10" s="1">
        <v>545520</v>
      </c>
      <c r="AU10">
        <v>0</v>
      </c>
      <c r="AV10" s="1">
        <v>4622496</v>
      </c>
      <c r="AW10" s="1">
        <v>5168016</v>
      </c>
      <c r="AX10">
        <v>0</v>
      </c>
      <c r="AY10">
        <v>0</v>
      </c>
      <c r="AZ10" s="1">
        <v>167256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 s="1">
        <v>167256</v>
      </c>
      <c r="BL10" s="1">
        <v>3953275</v>
      </c>
      <c r="BM10" s="1">
        <v>3487201</v>
      </c>
      <c r="BN10" s="1">
        <v>466074</v>
      </c>
      <c r="BO10">
        <v>31</v>
      </c>
      <c r="BP10" s="1">
        <v>-18808701</v>
      </c>
      <c r="BQ10">
        <v>-999.99</v>
      </c>
      <c r="BR10">
        <v>10.199999999999999</v>
      </c>
      <c r="BS10">
        <v>0</v>
      </c>
    </row>
    <row r="11" spans="1:71" x14ac:dyDescent="0.3">
      <c r="A11" t="s">
        <v>86</v>
      </c>
      <c r="B11" t="s">
        <v>93</v>
      </c>
      <c r="C11" s="3" t="s">
        <v>98</v>
      </c>
      <c r="D11" t="s">
        <v>75</v>
      </c>
      <c r="E11" t="s">
        <v>70</v>
      </c>
      <c r="F11">
        <v>64</v>
      </c>
      <c r="G11" s="1">
        <v>36484000</v>
      </c>
      <c r="H11">
        <v>0</v>
      </c>
      <c r="I11">
        <v>0</v>
      </c>
      <c r="J11">
        <v>0</v>
      </c>
      <c r="K11">
        <v>21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21</v>
      </c>
      <c r="AH11">
        <v>0</v>
      </c>
      <c r="AI11">
        <v>84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84</v>
      </c>
      <c r="AT11" s="1">
        <v>1909320</v>
      </c>
      <c r="AU11">
        <v>0</v>
      </c>
      <c r="AV11" s="1">
        <v>344820</v>
      </c>
      <c r="AW11" s="1">
        <v>2254140</v>
      </c>
      <c r="AX11">
        <v>0</v>
      </c>
      <c r="AY11">
        <v>0</v>
      </c>
      <c r="AZ11" s="1">
        <v>585396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 s="1">
        <v>585396</v>
      </c>
      <c r="BL11" s="1">
        <v>13836474</v>
      </c>
      <c r="BM11" s="1">
        <v>12205211</v>
      </c>
      <c r="BN11" s="1">
        <v>1631263</v>
      </c>
      <c r="BO11">
        <v>31</v>
      </c>
      <c r="BP11" s="1">
        <v>-27110648</v>
      </c>
      <c r="BQ11">
        <v>-4.42</v>
      </c>
      <c r="BR11">
        <v>32.799999999999997</v>
      </c>
      <c r="BS11">
        <v>0</v>
      </c>
    </row>
    <row r="12" spans="1:71" x14ac:dyDescent="0.3">
      <c r="A12" t="s">
        <v>86</v>
      </c>
      <c r="B12" t="s">
        <v>91</v>
      </c>
      <c r="C12" s="3" t="s">
        <v>99</v>
      </c>
      <c r="D12" t="s">
        <v>76</v>
      </c>
      <c r="E12" t="s">
        <v>70</v>
      </c>
      <c r="F12">
        <v>150</v>
      </c>
      <c r="G12" s="1">
        <v>65466000</v>
      </c>
      <c r="H12">
        <v>0</v>
      </c>
      <c r="I12">
        <v>0</v>
      </c>
      <c r="J12">
        <v>0</v>
      </c>
      <c r="K12">
        <v>11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11</v>
      </c>
      <c r="AH12">
        <v>0</v>
      </c>
      <c r="AI12">
        <v>48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48</v>
      </c>
      <c r="AT12" s="1">
        <v>1091040</v>
      </c>
      <c r="AU12">
        <v>0</v>
      </c>
      <c r="AV12" s="1">
        <v>13031952</v>
      </c>
      <c r="AW12" s="1">
        <v>14122992</v>
      </c>
      <c r="AX12">
        <v>0</v>
      </c>
      <c r="AY12">
        <v>0</v>
      </c>
      <c r="AZ12" s="1">
        <v>306636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 s="1">
        <v>306636</v>
      </c>
      <c r="BL12" s="1">
        <v>7247673</v>
      </c>
      <c r="BM12" s="1">
        <v>6393204</v>
      </c>
      <c r="BN12" s="1">
        <v>854469</v>
      </c>
      <c r="BO12">
        <v>31</v>
      </c>
      <c r="BP12" s="1">
        <v>-69872148</v>
      </c>
      <c r="BQ12">
        <v>-999.99</v>
      </c>
      <c r="BR12">
        <v>8</v>
      </c>
      <c r="BS12">
        <v>0</v>
      </c>
    </row>
    <row r="13" spans="1:71" x14ac:dyDescent="0.3">
      <c r="A13" t="s">
        <v>86</v>
      </c>
      <c r="B13" t="s">
        <v>90</v>
      </c>
      <c r="C13" s="3" t="s">
        <v>100</v>
      </c>
      <c r="D13" t="s">
        <v>77</v>
      </c>
      <c r="E13" t="s">
        <v>70</v>
      </c>
      <c r="F13">
        <v>90</v>
      </c>
      <c r="G13" s="1">
        <v>49331000</v>
      </c>
      <c r="H13">
        <v>0</v>
      </c>
      <c r="I13">
        <v>0</v>
      </c>
      <c r="J13">
        <v>0</v>
      </c>
      <c r="K13">
        <v>16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16</v>
      </c>
      <c r="AH13">
        <v>0</v>
      </c>
      <c r="AI13">
        <v>64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64</v>
      </c>
      <c r="AT13" s="1">
        <v>1454720</v>
      </c>
      <c r="AU13">
        <v>0</v>
      </c>
      <c r="AV13" s="1">
        <v>4844864</v>
      </c>
      <c r="AW13" s="1">
        <v>6299584</v>
      </c>
      <c r="AX13">
        <v>0</v>
      </c>
      <c r="AY13">
        <v>0</v>
      </c>
      <c r="AZ13" s="1">
        <v>446016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 s="1">
        <v>446016</v>
      </c>
      <c r="BL13" s="1">
        <v>10542070</v>
      </c>
      <c r="BM13" s="1">
        <v>9299206</v>
      </c>
      <c r="BN13" s="1">
        <v>1242864</v>
      </c>
      <c r="BO13">
        <v>31</v>
      </c>
      <c r="BP13" s="1">
        <v>-44978947</v>
      </c>
      <c r="BQ13">
        <v>-999.99</v>
      </c>
      <c r="BR13">
        <v>17.8</v>
      </c>
      <c r="BS13">
        <v>0</v>
      </c>
    </row>
    <row r="14" spans="1:71" x14ac:dyDescent="0.3">
      <c r="A14" t="s">
        <v>86</v>
      </c>
      <c r="B14" t="s">
        <v>91</v>
      </c>
      <c r="C14" s="3" t="s">
        <v>101</v>
      </c>
      <c r="D14" t="s">
        <v>78</v>
      </c>
      <c r="E14" t="s">
        <v>70</v>
      </c>
      <c r="F14">
        <v>54</v>
      </c>
      <c r="G14" s="1">
        <v>38837000</v>
      </c>
      <c r="H14">
        <v>0</v>
      </c>
      <c r="I14">
        <v>0</v>
      </c>
      <c r="J14">
        <v>0</v>
      </c>
      <c r="K14">
        <v>18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18</v>
      </c>
      <c r="AH14">
        <v>0</v>
      </c>
      <c r="AI14">
        <v>72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72</v>
      </c>
      <c r="AT14" s="1">
        <v>1636560</v>
      </c>
      <c r="AU14">
        <v>0</v>
      </c>
      <c r="AV14" s="1">
        <v>2533752</v>
      </c>
      <c r="AW14" s="1">
        <v>4170312</v>
      </c>
      <c r="AX14">
        <v>0</v>
      </c>
      <c r="AY14">
        <v>0</v>
      </c>
      <c r="AZ14" s="1">
        <v>501768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 s="1">
        <v>501768</v>
      </c>
      <c r="BL14" s="1">
        <v>11859830</v>
      </c>
      <c r="BM14" s="1">
        <v>10461607</v>
      </c>
      <c r="BN14" s="1">
        <v>1398223</v>
      </c>
      <c r="BO14">
        <v>31</v>
      </c>
      <c r="BP14" s="1">
        <v>-27615314</v>
      </c>
      <c r="BQ14">
        <v>-4.53</v>
      </c>
      <c r="BR14">
        <v>24</v>
      </c>
      <c r="BS14">
        <v>0</v>
      </c>
    </row>
    <row r="15" spans="1:71" x14ac:dyDescent="0.3">
      <c r="A15" t="s">
        <v>86</v>
      </c>
      <c r="B15" t="s">
        <v>85</v>
      </c>
      <c r="C15" s="3" t="s">
        <v>104</v>
      </c>
      <c r="D15" t="s">
        <v>81</v>
      </c>
      <c r="E15" t="s">
        <v>70</v>
      </c>
      <c r="F15">
        <v>50</v>
      </c>
      <c r="G15" s="1">
        <v>43611000</v>
      </c>
      <c r="H15">
        <v>0</v>
      </c>
      <c r="I15">
        <v>0</v>
      </c>
      <c r="J15">
        <v>0</v>
      </c>
      <c r="K15">
        <v>10</v>
      </c>
      <c r="L15">
        <v>0</v>
      </c>
      <c r="M15">
        <v>0</v>
      </c>
      <c r="N15">
        <v>0</v>
      </c>
      <c r="O15">
        <v>0</v>
      </c>
      <c r="P15">
        <v>1</v>
      </c>
      <c r="Q15" s="1">
        <v>16306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11</v>
      </c>
      <c r="AH15">
        <v>0</v>
      </c>
      <c r="AI15">
        <v>40</v>
      </c>
      <c r="AJ15">
        <v>0</v>
      </c>
      <c r="AK15">
        <v>10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50</v>
      </c>
      <c r="AT15" s="1">
        <v>1136500</v>
      </c>
      <c r="AU15">
        <v>0</v>
      </c>
      <c r="AV15" s="1">
        <v>1231400</v>
      </c>
      <c r="AW15" s="1">
        <v>2367900</v>
      </c>
      <c r="AX15">
        <v>0</v>
      </c>
      <c r="AY15">
        <v>0</v>
      </c>
      <c r="AZ15" s="1">
        <v>278760</v>
      </c>
      <c r="BA15">
        <v>0</v>
      </c>
      <c r="BB15" s="1">
        <v>195681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 s="1">
        <v>474441</v>
      </c>
      <c r="BL15" s="1">
        <v>11047211</v>
      </c>
      <c r="BM15" s="1">
        <v>9547632</v>
      </c>
      <c r="BN15" s="1">
        <v>1499579</v>
      </c>
      <c r="BO15">
        <v>31</v>
      </c>
      <c r="BP15" s="1">
        <v>-32177653</v>
      </c>
      <c r="BQ15">
        <v>-4.13</v>
      </c>
      <c r="BR15">
        <v>25</v>
      </c>
      <c r="BS15">
        <v>0</v>
      </c>
    </row>
    <row r="16" spans="1:71" x14ac:dyDescent="0.3">
      <c r="A16" t="s">
        <v>107</v>
      </c>
      <c r="B16" t="s">
        <v>108</v>
      </c>
      <c r="C16" s="4" t="s">
        <v>106</v>
      </c>
      <c r="F16">
        <v>172</v>
      </c>
      <c r="G16" s="1">
        <v>153713000</v>
      </c>
      <c r="I16">
        <v>2542</v>
      </c>
      <c r="Q16" s="1"/>
      <c r="AG16">
        <v>2542</v>
      </c>
      <c r="AI16">
        <v>10168</v>
      </c>
      <c r="AS16">
        <v>10168</v>
      </c>
      <c r="AT16" s="6">
        <v>231118640</v>
      </c>
      <c r="AU16" s="7"/>
      <c r="AV16" s="6"/>
      <c r="AW16" s="6">
        <v>231118640</v>
      </c>
      <c r="AZ16" s="1">
        <v>66559728</v>
      </c>
      <c r="BB16" s="1"/>
      <c r="BK16" s="1">
        <v>66559728</v>
      </c>
      <c r="BL16" s="1">
        <v>1573212386</v>
      </c>
      <c r="BM16" s="1">
        <v>1387737048</v>
      </c>
      <c r="BN16" s="1">
        <v>185475338</v>
      </c>
      <c r="BO16">
        <v>4</v>
      </c>
      <c r="BP16" s="1">
        <v>1740264041.9472842</v>
      </c>
      <c r="BQ16">
        <v>52.056018389181993</v>
      </c>
      <c r="BR16">
        <v>1477.9069767441861</v>
      </c>
    </row>
    <row r="17" spans="3:69" x14ac:dyDescent="0.3">
      <c r="C17" s="4"/>
      <c r="G17" s="1"/>
      <c r="Q17" s="1"/>
      <c r="AT17" s="1"/>
      <c r="AV17" s="1"/>
      <c r="AW17" s="1"/>
      <c r="AZ17" s="1"/>
      <c r="BB17" s="1"/>
      <c r="BK17" s="1"/>
      <c r="BL17" s="1"/>
      <c r="BM17" s="1"/>
      <c r="BN17" s="1"/>
      <c r="BP17" s="1"/>
    </row>
    <row r="18" spans="3:69" x14ac:dyDescent="0.3">
      <c r="F18" s="1">
        <f>SUM(F5:F16)</f>
        <v>1358</v>
      </c>
      <c r="G18" s="1">
        <f>SUM(G5:G16)</f>
        <v>1126967000</v>
      </c>
      <c r="BP18" s="1">
        <f>SUM(BP5:BP16)</f>
        <v>7327394014.9472847</v>
      </c>
    </row>
    <row r="19" spans="3:69" x14ac:dyDescent="0.3">
      <c r="E19" t="s">
        <v>84</v>
      </c>
      <c r="F19" s="1">
        <f t="shared" ref="F19:G21" si="0">F5</f>
        <v>25</v>
      </c>
      <c r="G19" s="1">
        <f t="shared" si="0"/>
        <v>63179000</v>
      </c>
      <c r="BO19" t="s">
        <v>84</v>
      </c>
      <c r="BP19" s="1">
        <f>BP5</f>
        <v>1363230703</v>
      </c>
    </row>
    <row r="20" spans="3:69" x14ac:dyDescent="0.3">
      <c r="E20" t="s">
        <v>89</v>
      </c>
      <c r="F20" s="1">
        <f t="shared" si="0"/>
        <v>470</v>
      </c>
      <c r="G20" s="1">
        <f t="shared" si="0"/>
        <v>474456000</v>
      </c>
      <c r="BO20" t="s">
        <v>89</v>
      </c>
      <c r="BP20" s="1">
        <f>BP6</f>
        <v>4558036087</v>
      </c>
    </row>
    <row r="21" spans="3:69" x14ac:dyDescent="0.3">
      <c r="E21" t="s">
        <v>88</v>
      </c>
      <c r="F21" s="1">
        <f t="shared" si="0"/>
        <v>35</v>
      </c>
      <c r="G21" s="1">
        <f t="shared" si="0"/>
        <v>61362000</v>
      </c>
      <c r="BO21" t="s">
        <v>88</v>
      </c>
      <c r="BP21" s="1">
        <f>BP7</f>
        <v>632006</v>
      </c>
    </row>
    <row r="22" spans="3:69" x14ac:dyDescent="0.3">
      <c r="E22" t="s">
        <v>86</v>
      </c>
      <c r="F22" s="1">
        <f>SUM(F8:F15)</f>
        <v>656</v>
      </c>
      <c r="G22" s="1">
        <f>SUM(G8:G15)</f>
        <v>374257000</v>
      </c>
      <c r="BO22" t="s">
        <v>86</v>
      </c>
      <c r="BP22" s="1">
        <f>SUM(BP8:BP15)</f>
        <v>-334768823</v>
      </c>
    </row>
    <row r="23" spans="3:69" x14ac:dyDescent="0.3">
      <c r="E23" t="s">
        <v>107</v>
      </c>
      <c r="F23" s="1">
        <f>F16</f>
        <v>172</v>
      </c>
      <c r="G23" s="1">
        <f>G16</f>
        <v>153713000</v>
      </c>
      <c r="BO23" t="s">
        <v>107</v>
      </c>
      <c r="BP23" s="1">
        <f>BP16</f>
        <v>1740264041.9472842</v>
      </c>
    </row>
    <row r="24" spans="3:69" x14ac:dyDescent="0.3">
      <c r="F24" s="1">
        <f>SUM(F19:F23)</f>
        <v>1358</v>
      </c>
      <c r="G24" s="1">
        <f>SUM(G19:G23)</f>
        <v>1126967000</v>
      </c>
      <c r="H24" t="b">
        <f>G24=G18</f>
        <v>1</v>
      </c>
      <c r="BP24" s="1">
        <f>SUM(BP19:BP23)</f>
        <v>7327394014.9472847</v>
      </c>
      <c r="BQ24" t="b">
        <f>BP24=BP18</f>
        <v>1</v>
      </c>
    </row>
    <row r="25" spans="3:69" x14ac:dyDescent="0.3">
      <c r="E25" t="s">
        <v>105</v>
      </c>
      <c r="F25" s="5">
        <f>F18-F22</f>
        <v>702</v>
      </c>
      <c r="G25" s="5">
        <f>G18-G22</f>
        <v>752710000</v>
      </c>
      <c r="H25" t="b">
        <f>(G18-G22)=G25</f>
        <v>1</v>
      </c>
      <c r="BO25" t="s">
        <v>105</v>
      </c>
      <c r="BP25" s="5">
        <f>BP18-BP22</f>
        <v>7662162837.9472847</v>
      </c>
      <c r="BQ25" t="b">
        <f>(BP18-BP22)=BP25</f>
        <v>1</v>
      </c>
    </row>
  </sheetData>
  <sortState xmlns:xlrd2="http://schemas.microsoft.com/office/spreadsheetml/2017/richdata2" ref="A6:BS15">
    <sortCondition ref="A8:A15"/>
  </sortState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최 한엽</cp:lastModifiedBy>
  <dcterms:created xsi:type="dcterms:W3CDTF">2026-04-20T02:01:07Z</dcterms:created>
  <dcterms:modified xsi:type="dcterms:W3CDTF">2026-04-20T07:37:19Z</dcterms:modified>
</cp:coreProperties>
</file>