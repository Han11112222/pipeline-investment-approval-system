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5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drawings/drawing6.xml" ContentType="application/vnd.openxmlformats-officedocument.drawing+xml"/>
  <Override PartName="/xl/comments1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5.배관투자\2026년_9차\"/>
    </mc:Choice>
  </mc:AlternateContent>
  <xr:revisionPtr revIDLastSave="0" documentId="13_ncr:1_{C3244AA0-4300-4568-948D-2646822B8390}" xr6:coauthVersionLast="47" xr6:coauthVersionMax="47" xr10:uidLastSave="{00000000-0000-0000-0000-000000000000}"/>
  <bookViews>
    <workbookView xWindow="-120" yWindow="-120" windowWidth="29040" windowHeight="15720" tabRatio="804" activeTab="3" xr2:uid="{00000000-000D-0000-FFFF-FFFF00000000}"/>
  </bookViews>
  <sheets>
    <sheet name="이월분" sheetId="34" r:id="rId1"/>
    <sheet name="취소분" sheetId="31" r:id="rId2"/>
    <sheet name="요약보고" sheetId="11" r:id="rId3"/>
    <sheet name="투자현황" sheetId="58" r:id="rId4"/>
    <sheet name="신규투자계획서" sheetId="7" r:id="rId5"/>
    <sheet name="품의서" sheetId="8" r:id="rId6"/>
    <sheet name="용도별분석" sheetId="10" r:id="rId7"/>
    <sheet name="총괄경제" sheetId="25" r:id="rId8"/>
    <sheet name="구간요약" sheetId="24" r:id="rId9"/>
    <sheet name="기본데이타" sheetId="9" r:id="rId10"/>
    <sheet name="공공택지" sheetId="33" r:id="rId11"/>
    <sheet name="공동주택" sheetId="50" r:id="rId12"/>
    <sheet name="산업용" sheetId="51" r:id="rId13"/>
    <sheet name="업무용" sheetId="52" r:id="rId14"/>
    <sheet name="연료전지" sheetId="63" r:id="rId15"/>
    <sheet name="열병합" sheetId="64" r:id="rId16"/>
    <sheet name="열전용설비" sheetId="65" r:id="rId17"/>
    <sheet name="영업용" sheetId="53" r:id="rId18"/>
    <sheet name="주택용" sheetId="54" r:id="rId19"/>
    <sheet name="투자보수율가산" sheetId="59" r:id="rId20"/>
    <sheet name="투자재원" sheetId="55" r:id="rId21"/>
    <sheet name="Sheet2" sheetId="62" r:id="rId22"/>
    <sheet name="카메라" sheetId="57" r:id="rId23"/>
    <sheet name="Sheet1" sheetId="41" r:id="rId24"/>
    <sheet name="투자한도 및 누계변경시 작성" sheetId="61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8">구간요약!$C$1:$AH$279</definedName>
    <definedName name="_xlnm.Print_Area" localSheetId="9">기본데이타!$B$4:$BV$78</definedName>
    <definedName name="_xlnm.Print_Area" localSheetId="4">신규투자계획서!$A$1:$J$129</definedName>
    <definedName name="_xlnm.Print_Area" localSheetId="2">요약보고!$A$1:$I$62</definedName>
    <definedName name="_xlnm.Print_Area" localSheetId="6">용도별분석!$C$1:$BT$39</definedName>
    <definedName name="_xlnm.Print_Area" localSheetId="7">총괄경제!$C$1:$BR$226</definedName>
    <definedName name="_xlnm.Print_Area" localSheetId="1">취소분!$A$1:$L$110</definedName>
    <definedName name="_xlnm.Print_Area" localSheetId="24">'투자한도 및 누계변경시 작성'!$A$1:$AL$29</definedName>
    <definedName name="_xlnm.Print_Area" localSheetId="3">투자현황!$A$1:$AG$28</definedName>
    <definedName name="_xlnm.Print_Area" localSheetId="5">품의서!$A$1:$H$47</definedName>
    <definedName name="_xlnm.Print_Titles" localSheetId="10">공공택지!$B:$C</definedName>
    <definedName name="_xlnm.Print_Titles" localSheetId="11">공동주택!$B:$C</definedName>
    <definedName name="_xlnm.Print_Titles" localSheetId="8">구간요약!$C:$D,구간요약!$1:$7</definedName>
    <definedName name="_xlnm.Print_Titles" localSheetId="9">기본데이타!$B:$F</definedName>
    <definedName name="_xlnm.Print_Titles" localSheetId="12">산업용!$B:$C</definedName>
    <definedName name="_xlnm.Print_Titles" localSheetId="4">신규투자계획서!$4:$4</definedName>
    <definedName name="_xlnm.Print_Titles" localSheetId="13">업무용!$B:$C</definedName>
    <definedName name="_xlnm.Print_Titles" localSheetId="14">연료전지!$B:$C</definedName>
    <definedName name="_xlnm.Print_Titles" localSheetId="15">열병합!$B:$C</definedName>
    <definedName name="_xlnm.Print_Titles" localSheetId="16">열전용설비!$B:$C</definedName>
    <definedName name="_xlnm.Print_Titles" localSheetId="17">영업용!$B:$C</definedName>
    <definedName name="_xlnm.Print_Titles" localSheetId="6">용도별분석!$C:$D</definedName>
    <definedName name="_xlnm.Print_Titles" localSheetId="18">주택용!$B:$C</definedName>
    <definedName name="_xlnm.Print_Titles" localSheetId="7">총괄경제!$C:$D,총괄경제!$1:$6</definedName>
    <definedName name="_xlnm.Print_Titles" localSheetId="1">취소분!$1:$4</definedName>
    <definedName name="_xlnm.Print_Titles" localSheetId="19">투자보수율가산!$B:$C</definedName>
    <definedName name="_xlnm.Print_Titles" localSheetId="20">투자재원!$B:$C</definedName>
    <definedName name="π">PI()</definedName>
    <definedName name="계획년도">[1]표지!$A$2</definedName>
    <definedName name="관경" localSheetId="14">#REF!</definedName>
    <definedName name="관경" localSheetId="15">#REF!</definedName>
    <definedName name="관경" localSheetId="16">#REF!</definedName>
    <definedName name="관경" localSheetId="0">#REF!</definedName>
    <definedName name="관경" localSheetId="1">#REF!</definedName>
    <definedName name="관경" localSheetId="19">#REF!</definedName>
    <definedName name="관경" localSheetId="24">#REF!</definedName>
    <definedName name="관경">#REF!</definedName>
    <definedName name="굴착길이" localSheetId="14">#REF!</definedName>
    <definedName name="굴착길이" localSheetId="15">#REF!</definedName>
    <definedName name="굴착길이" localSheetId="16">#REF!</definedName>
    <definedName name="굴착길이" localSheetId="0">#REF!</definedName>
    <definedName name="굴착길이" localSheetId="1">#REF!</definedName>
    <definedName name="굴착길이" localSheetId="19">#REF!</definedName>
    <definedName name="굴착길이" localSheetId="24">#REF!</definedName>
    <definedName name="굴착길이">#REF!</definedName>
    <definedName name="기본">기본데이타!$F$10:$BV$103</definedName>
    <definedName name="단가표">[1]단가표!$A$7:$U$7</definedName>
    <definedName name="매설심도" localSheetId="14">#REF!</definedName>
    <definedName name="매설심도" localSheetId="15">#REF!</definedName>
    <definedName name="매설심도" localSheetId="16">#REF!</definedName>
    <definedName name="매설심도" localSheetId="0">#REF!</definedName>
    <definedName name="매설심도" localSheetId="1">#REF!</definedName>
    <definedName name="매설심도" localSheetId="19">#REF!</definedName>
    <definedName name="매설심도" localSheetId="24">#REF!</definedName>
    <definedName name="매설심도">#REF!</definedName>
    <definedName name="복구편측여유" localSheetId="14">#REF!</definedName>
    <definedName name="복구편측여유" localSheetId="15">#REF!</definedName>
    <definedName name="복구편측여유" localSheetId="16">#REF!</definedName>
    <definedName name="복구편측여유" localSheetId="0">#REF!</definedName>
    <definedName name="복구편측여유" localSheetId="1">#REF!</definedName>
    <definedName name="복구편측여유" localSheetId="19">#REF!</definedName>
    <definedName name="복구편측여유" localSheetId="24">#REF!</definedName>
    <definedName name="복구편측여유">#REF!</definedName>
    <definedName name="비파괴검사매수" localSheetId="14">#REF!</definedName>
    <definedName name="비파괴검사매수" localSheetId="15">#REF!</definedName>
    <definedName name="비파괴검사매수" localSheetId="16">#REF!</definedName>
    <definedName name="비파괴검사매수" localSheetId="0">#REF!</definedName>
    <definedName name="비파괴검사매수" localSheetId="1">#REF!</definedName>
    <definedName name="비파괴검사매수" localSheetId="19">#REF!</definedName>
    <definedName name="비파괴검사매수" localSheetId="24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 localSheetId="14">#REF!</definedName>
    <definedName name="이중관관경" localSheetId="15">#REF!</definedName>
    <definedName name="이중관관경" localSheetId="16">#REF!</definedName>
    <definedName name="이중관관경" localSheetId="0">#REF!</definedName>
    <definedName name="이중관관경" localSheetId="1">#REF!</definedName>
    <definedName name="이중관관경" localSheetId="19">#REF!</definedName>
    <definedName name="이중관관경" localSheetId="24">#REF!</definedName>
    <definedName name="이중관관경">#REF!</definedName>
    <definedName name="이중관길이" localSheetId="14">#REF!</definedName>
    <definedName name="이중관길이" localSheetId="15">#REF!</definedName>
    <definedName name="이중관길이" localSheetId="16">#REF!</definedName>
    <definedName name="이중관길이" localSheetId="0">#REF!</definedName>
    <definedName name="이중관길이" localSheetId="1">#REF!</definedName>
    <definedName name="이중관길이" localSheetId="19">#REF!</definedName>
    <definedName name="이중관길이" localSheetId="24">#REF!</definedName>
    <definedName name="이중관길이">#REF!</definedName>
    <definedName name="인상율">10%</definedName>
    <definedName name="자재Rray1" localSheetId="14">#REF!</definedName>
    <definedName name="자재Rray1" localSheetId="15">#REF!</definedName>
    <definedName name="자재Rray1" localSheetId="16">#REF!</definedName>
    <definedName name="자재Rray1" localSheetId="0">#REF!</definedName>
    <definedName name="자재Rray1" localSheetId="1">#REF!</definedName>
    <definedName name="자재Rray1" localSheetId="19">#REF!</definedName>
    <definedName name="자재Rray1" localSheetId="24">#REF!</definedName>
    <definedName name="자재Rray1">#REF!</definedName>
    <definedName name="자재Rray2" localSheetId="14">#REF!</definedName>
    <definedName name="자재Rray2" localSheetId="15">#REF!</definedName>
    <definedName name="자재Rray2" localSheetId="16">#REF!</definedName>
    <definedName name="자재Rray2" localSheetId="0">#REF!</definedName>
    <definedName name="자재Rray2" localSheetId="1">#REF!</definedName>
    <definedName name="자재Rray2" localSheetId="19">#REF!</definedName>
    <definedName name="자재Rray2" localSheetId="24">#REF!</definedName>
    <definedName name="자재Rray2">#REF!</definedName>
    <definedName name="자재관경1" localSheetId="14">#REF!</definedName>
    <definedName name="자재관경1" localSheetId="15">#REF!</definedName>
    <definedName name="자재관경1" localSheetId="16">#REF!</definedName>
    <definedName name="자재관경1" localSheetId="0">#REF!</definedName>
    <definedName name="자재관경1" localSheetId="1">#REF!</definedName>
    <definedName name="자재관경1" localSheetId="19">#REF!</definedName>
    <definedName name="자재관경1" localSheetId="24">#REF!</definedName>
    <definedName name="자재관경1">#REF!</definedName>
    <definedName name="자재관경2" localSheetId="14">#REF!</definedName>
    <definedName name="자재관경2" localSheetId="15">#REF!</definedName>
    <definedName name="자재관경2" localSheetId="16">#REF!</definedName>
    <definedName name="자재관경2" localSheetId="0">#REF!</definedName>
    <definedName name="자재관경2" localSheetId="1">#REF!</definedName>
    <definedName name="자재관경2" localSheetId="19">#REF!</definedName>
    <definedName name="자재관경2" localSheetId="24">#REF!</definedName>
    <definedName name="자재관경2">#REF!</definedName>
    <definedName name="자재시트1" localSheetId="14">#REF!</definedName>
    <definedName name="자재시트1" localSheetId="15">#REF!</definedName>
    <definedName name="자재시트1" localSheetId="16">#REF!</definedName>
    <definedName name="자재시트1" localSheetId="0">#REF!</definedName>
    <definedName name="자재시트1" localSheetId="1">#REF!</definedName>
    <definedName name="자재시트1" localSheetId="19">#REF!</definedName>
    <definedName name="자재시트1" localSheetId="24">#REF!</definedName>
    <definedName name="자재시트1">#REF!</definedName>
    <definedName name="자재시트2" localSheetId="14">#REF!</definedName>
    <definedName name="자재시트2" localSheetId="15">#REF!</definedName>
    <definedName name="자재시트2" localSheetId="16">#REF!</definedName>
    <definedName name="자재시트2" localSheetId="0">#REF!</definedName>
    <definedName name="자재시트2" localSheetId="1">#REF!</definedName>
    <definedName name="자재시트2" localSheetId="19">#REF!</definedName>
    <definedName name="자재시트2" localSheetId="24">#REF!</definedName>
    <definedName name="자재시트2">#REF!</definedName>
    <definedName name="자재용접1" localSheetId="14">#REF!</definedName>
    <definedName name="자재용접1" localSheetId="15">#REF!</definedName>
    <definedName name="자재용접1" localSheetId="16">#REF!</definedName>
    <definedName name="자재용접1" localSheetId="0">#REF!</definedName>
    <definedName name="자재용접1" localSheetId="1">#REF!</definedName>
    <definedName name="자재용접1" localSheetId="19">#REF!</definedName>
    <definedName name="자재용접1" localSheetId="24">#REF!</definedName>
    <definedName name="자재용접1">#REF!</definedName>
    <definedName name="자재용접2" localSheetId="14">#REF!</definedName>
    <definedName name="자재용접2" localSheetId="15">#REF!</definedName>
    <definedName name="자재용접2" localSheetId="16">#REF!</definedName>
    <definedName name="자재용접2" localSheetId="0">#REF!</definedName>
    <definedName name="자재용접2" localSheetId="1">#REF!</definedName>
    <definedName name="자재용접2" localSheetId="19">#REF!</definedName>
    <definedName name="자재용접2" localSheetId="24">#REF!</definedName>
    <definedName name="자재용접2">#REF!</definedName>
    <definedName name="자재융착1" localSheetId="14">#REF!</definedName>
    <definedName name="자재융착1" localSheetId="15">#REF!</definedName>
    <definedName name="자재융착1" localSheetId="16">#REF!</definedName>
    <definedName name="자재융착1" localSheetId="0">#REF!</definedName>
    <definedName name="자재융착1" localSheetId="1">#REF!</definedName>
    <definedName name="자재융착1" localSheetId="19">#REF!</definedName>
    <definedName name="자재융착1" localSheetId="24">#REF!</definedName>
    <definedName name="자재융착1">#REF!</definedName>
    <definedName name="자재융착2" localSheetId="14">#REF!</definedName>
    <definedName name="자재융착2" localSheetId="15">#REF!</definedName>
    <definedName name="자재융착2" localSheetId="16">#REF!</definedName>
    <definedName name="자재융착2" localSheetId="0">#REF!</definedName>
    <definedName name="자재융착2" localSheetId="1">#REF!</definedName>
    <definedName name="자재융착2" localSheetId="19">#REF!</definedName>
    <definedName name="자재융착2" localSheetId="24">#REF!</definedName>
    <definedName name="자재융착2">#REF!</definedName>
    <definedName name="자재절단" localSheetId="14">#REF!</definedName>
    <definedName name="자재절단" localSheetId="15">#REF!</definedName>
    <definedName name="자재절단" localSheetId="16">#REF!</definedName>
    <definedName name="자재절단" localSheetId="0">#REF!</definedName>
    <definedName name="자재절단" localSheetId="1">#REF!</definedName>
    <definedName name="자재절단" localSheetId="19">#REF!</definedName>
    <definedName name="자재절단" localSheetId="24">#REF!</definedName>
    <definedName name="자재절단">#REF!</definedName>
    <definedName name="재질" localSheetId="14">#REF!</definedName>
    <definedName name="재질" localSheetId="15">#REF!</definedName>
    <definedName name="재질" localSheetId="16">#REF!</definedName>
    <definedName name="재질" localSheetId="0">#REF!</definedName>
    <definedName name="재질" localSheetId="1">#REF!</definedName>
    <definedName name="재질" localSheetId="19">#REF!</definedName>
    <definedName name="재질" localSheetId="24">#REF!</definedName>
    <definedName name="재질">#REF!</definedName>
    <definedName name="저압길이" localSheetId="14">#REF!</definedName>
    <definedName name="저압길이" localSheetId="15">#REF!</definedName>
    <definedName name="저압길이" localSheetId="16">#REF!</definedName>
    <definedName name="저압길이" localSheetId="0">#REF!</definedName>
    <definedName name="저압길이" localSheetId="1">#REF!</definedName>
    <definedName name="저압길이" localSheetId="19">#REF!</definedName>
    <definedName name="저압길이" localSheetId="24">#REF!</definedName>
    <definedName name="저압길이">#REF!</definedName>
    <definedName name="저압노출밸브" localSheetId="14">#REF!</definedName>
    <definedName name="저압노출밸브" localSheetId="15">#REF!</definedName>
    <definedName name="저압노출밸브" localSheetId="16">#REF!</definedName>
    <definedName name="저압노출밸브" localSheetId="0">#REF!</definedName>
    <definedName name="저압노출밸브" localSheetId="1">#REF!</definedName>
    <definedName name="저압노출밸브" localSheetId="19">#REF!</definedName>
    <definedName name="저압노출밸브" localSheetId="24">#REF!</definedName>
    <definedName name="저압노출밸브">#REF!</definedName>
    <definedName name="저압매몰밸브" localSheetId="14">#REF!</definedName>
    <definedName name="저압매몰밸브" localSheetId="15">#REF!</definedName>
    <definedName name="저압매몰밸브" localSheetId="16">#REF!</definedName>
    <definedName name="저압매몰밸브" localSheetId="0">#REF!</definedName>
    <definedName name="저압매몰밸브" localSheetId="1">#REF!</definedName>
    <definedName name="저압매몰밸브" localSheetId="19">#REF!</definedName>
    <definedName name="저압매몰밸브" localSheetId="24">#REF!</definedName>
    <definedName name="저압매몰밸브">#REF!</definedName>
    <definedName name="저압연결">[1]인상계획!$D$24</definedName>
    <definedName name="저압이설">[1]인상계획!$D$27</definedName>
    <definedName name="절단폭" localSheetId="14">#REF!</definedName>
    <definedName name="절단폭" localSheetId="15">#REF!</definedName>
    <definedName name="절단폭" localSheetId="16">#REF!</definedName>
    <definedName name="절단폭" localSheetId="0">#REF!</definedName>
    <definedName name="절단폭" localSheetId="1">#REF!</definedName>
    <definedName name="절단폭" localSheetId="19">#REF!</definedName>
    <definedName name="절단폭" localSheetId="24">#REF!</definedName>
    <definedName name="절단폭">#REF!</definedName>
    <definedName name="정압기">[1]인상계획!$D$31</definedName>
    <definedName name="주야구분" localSheetId="14">#REF!</definedName>
    <definedName name="주야구분" localSheetId="15">#REF!</definedName>
    <definedName name="주야구분" localSheetId="16">#REF!</definedName>
    <definedName name="주야구분" localSheetId="0">#REF!</definedName>
    <definedName name="주야구분" localSheetId="1">#REF!</definedName>
    <definedName name="주야구분" localSheetId="19">#REF!</definedName>
    <definedName name="주야구분" localSheetId="24">#REF!</definedName>
    <definedName name="주야구분">#REF!</definedName>
    <definedName name="중압길이" localSheetId="14">#REF!</definedName>
    <definedName name="중압길이" localSheetId="15">#REF!</definedName>
    <definedName name="중압길이" localSheetId="16">#REF!</definedName>
    <definedName name="중압길이" localSheetId="0">#REF!</definedName>
    <definedName name="중압길이" localSheetId="1">#REF!</definedName>
    <definedName name="중압길이" localSheetId="19">#REF!</definedName>
    <definedName name="중압길이" localSheetId="24">#REF!</definedName>
    <definedName name="중압길이">#REF!</definedName>
    <definedName name="중압노출밸브" localSheetId="14">#REF!</definedName>
    <definedName name="중압노출밸브" localSheetId="15">#REF!</definedName>
    <definedName name="중압노출밸브" localSheetId="16">#REF!</definedName>
    <definedName name="중압노출밸브" localSheetId="0">#REF!</definedName>
    <definedName name="중압노출밸브" localSheetId="1">#REF!</definedName>
    <definedName name="중압노출밸브" localSheetId="19">#REF!</definedName>
    <definedName name="중압노출밸브" localSheetId="24">#REF!</definedName>
    <definedName name="중압노출밸브">#REF!</definedName>
    <definedName name="중압매몰밸브" localSheetId="14">#REF!</definedName>
    <definedName name="중압매몰밸브" localSheetId="15">#REF!</definedName>
    <definedName name="중압매몰밸브" localSheetId="16">#REF!</definedName>
    <definedName name="중압매몰밸브" localSheetId="0">#REF!</definedName>
    <definedName name="중압매몰밸브" localSheetId="1">#REF!</definedName>
    <definedName name="중압매몰밸브" localSheetId="19">#REF!</definedName>
    <definedName name="중압매몰밸브" localSheetId="24">#REF!</definedName>
    <definedName name="중압매몰밸브">#REF!</definedName>
    <definedName name="중압연결">[1]인상계획!$D$23</definedName>
    <definedName name="중압이설">[1]인상계획!$D$26</definedName>
    <definedName name="축대하상길이" localSheetId="14">#REF!</definedName>
    <definedName name="축대하상길이" localSheetId="15">#REF!</definedName>
    <definedName name="축대하상길이" localSheetId="16">#REF!</definedName>
    <definedName name="축대하상길이" localSheetId="0">#REF!</definedName>
    <definedName name="축대하상길이" localSheetId="1">#REF!</definedName>
    <definedName name="축대하상길이" localSheetId="19">#REF!</definedName>
    <definedName name="축대하상길이" localSheetId="24">#REF!</definedName>
    <definedName name="축대하상길이">#REF!</definedName>
    <definedName name="퍼지밸브" localSheetId="14">#REF!</definedName>
    <definedName name="퍼지밸브" localSheetId="15">#REF!</definedName>
    <definedName name="퍼지밸브" localSheetId="16">#REF!</definedName>
    <definedName name="퍼지밸브" localSheetId="0">#REF!</definedName>
    <definedName name="퍼지밸브" localSheetId="1">#REF!</definedName>
    <definedName name="퍼지밸브" localSheetId="19">#REF!</definedName>
    <definedName name="퍼지밸브" localSheetId="24">#REF!</definedName>
    <definedName name="퍼지밸브">#REF!</definedName>
    <definedName name="포장종류" localSheetId="14">#REF!</definedName>
    <definedName name="포장종류" localSheetId="15">#REF!</definedName>
    <definedName name="포장종류" localSheetId="16">#REF!</definedName>
    <definedName name="포장종류" localSheetId="0">#REF!</definedName>
    <definedName name="포장종류" localSheetId="1">#REF!</definedName>
    <definedName name="포장종류" localSheetId="19">#REF!</definedName>
    <definedName name="포장종류" localSheetId="24">#REF!</definedName>
    <definedName name="포장종류">#REF!</definedName>
    <definedName name="합계길이" localSheetId="14">#REF!</definedName>
    <definedName name="합계길이" localSheetId="15">#REF!</definedName>
    <definedName name="합계길이" localSheetId="16">#REF!</definedName>
    <definedName name="합계길이" localSheetId="0">#REF!</definedName>
    <definedName name="합계길이" localSheetId="1">#REF!</definedName>
    <definedName name="합계길이" localSheetId="19">#REF!</definedName>
    <definedName name="합계길이" localSheetId="24">#REF!</definedName>
    <definedName name="합계길이">#REF!</definedName>
    <definedName name="회차" localSheetId="0">[4]품의서!$E$27</definedName>
    <definedName name="회차" localSheetId="1">[4]품의서!$E$27</definedName>
    <definedName name="회차">32</definedName>
    <definedName name="휴식각">0.1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59" l="1"/>
  <c r="H8" i="59"/>
  <c r="I8" i="59"/>
  <c r="J8" i="59"/>
  <c r="K8" i="59"/>
  <c r="L8" i="59"/>
  <c r="M8" i="59"/>
  <c r="N8" i="59"/>
  <c r="O8" i="59"/>
  <c r="P8" i="59"/>
  <c r="Q8" i="59"/>
  <c r="R8" i="59"/>
  <c r="S8" i="59"/>
  <c r="T8" i="59"/>
  <c r="U8" i="59"/>
  <c r="V8" i="59"/>
  <c r="W8" i="59"/>
  <c r="X8" i="59"/>
  <c r="Y8" i="59"/>
  <c r="Z8" i="59"/>
  <c r="AA8" i="59"/>
  <c r="AB8" i="59"/>
  <c r="AC8" i="59"/>
  <c r="AD8" i="59"/>
  <c r="AE8" i="59"/>
  <c r="AF8" i="59"/>
  <c r="AG8" i="59"/>
  <c r="AH8" i="59"/>
  <c r="AI8" i="59"/>
  <c r="AJ8" i="59"/>
  <c r="AK8" i="59"/>
  <c r="AL8" i="59"/>
  <c r="AM8" i="59"/>
  <c r="AN8" i="59"/>
  <c r="AO8" i="59"/>
  <c r="AP8" i="59"/>
  <c r="AQ8" i="59"/>
  <c r="AR8" i="59"/>
  <c r="AS8" i="59"/>
  <c r="AT8" i="59"/>
  <c r="AU8" i="59"/>
  <c r="AV8" i="59"/>
  <c r="AW8" i="59"/>
  <c r="AX8" i="59"/>
  <c r="AY8" i="59"/>
  <c r="AZ8" i="59"/>
  <c r="BA8" i="59"/>
  <c r="BB8" i="59"/>
  <c r="BC8" i="59"/>
  <c r="BD8" i="59"/>
  <c r="BE8" i="59"/>
  <c r="BF8" i="59"/>
  <c r="BG8" i="59"/>
  <c r="BH8" i="59"/>
  <c r="BI8" i="59"/>
  <c r="BJ8" i="59"/>
  <c r="BK8" i="59"/>
  <c r="BL8" i="59"/>
  <c r="BM8" i="59"/>
  <c r="BN8" i="59"/>
  <c r="BO8" i="59"/>
  <c r="BP8" i="59"/>
  <c r="BQ8" i="59"/>
  <c r="BR8" i="59"/>
  <c r="BS8" i="59"/>
  <c r="BT8" i="59"/>
  <c r="AG7" i="59"/>
  <c r="BS7" i="10" l="1"/>
  <c r="D76" i="7" l="1"/>
  <c r="BR7" i="10" l="1"/>
  <c r="BQ7" i="10" l="1"/>
  <c r="BR7" i="33" l="1"/>
  <c r="BQ7" i="33" l="1"/>
  <c r="BO7" i="33"/>
  <c r="BP7" i="33" l="1"/>
  <c r="BP102" i="25" l="1"/>
  <c r="BO8" i="33"/>
  <c r="K33" i="8" l="1"/>
  <c r="D8" i="7" l="1"/>
  <c r="BR7" i="51" l="1"/>
  <c r="BQ7" i="51"/>
  <c r="BP7" i="51"/>
  <c r="BO7" i="51"/>
  <c r="C2" i="24"/>
  <c r="AH90" i="24" l="1"/>
  <c r="AG90" i="24"/>
  <c r="AF90" i="24"/>
  <c r="AE90" i="24"/>
  <c r="AD90" i="24"/>
  <c r="AC90" i="24"/>
  <c r="AB90" i="24"/>
  <c r="AA90" i="24"/>
  <c r="Z90" i="24"/>
  <c r="Y90" i="24"/>
  <c r="X90" i="24"/>
  <c r="W90" i="24"/>
  <c r="V90" i="24"/>
  <c r="U90" i="24"/>
  <c r="T90" i="24"/>
  <c r="S90" i="24"/>
  <c r="R90" i="24"/>
  <c r="Q90" i="24"/>
  <c r="P90" i="24"/>
  <c r="O90" i="24"/>
  <c r="N90" i="24"/>
  <c r="M90" i="24"/>
  <c r="L90" i="24"/>
  <c r="K90" i="24"/>
  <c r="J90" i="24"/>
  <c r="I90" i="24"/>
  <c r="H90" i="24"/>
  <c r="G90" i="24"/>
  <c r="F90" i="24"/>
  <c r="E90" i="24"/>
  <c r="D90" i="24"/>
  <c r="BR7" i="54" l="1"/>
  <c r="BQ7" i="54"/>
  <c r="BP7" i="54"/>
  <c r="AH144" i="24" l="1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D221" i="24" l="1"/>
  <c r="E221" i="24"/>
  <c r="F221" i="24"/>
  <c r="G221" i="24"/>
  <c r="H221" i="24"/>
  <c r="I221" i="24"/>
  <c r="J221" i="24"/>
  <c r="K221" i="24"/>
  <c r="L221" i="24"/>
  <c r="M221" i="24"/>
  <c r="N221" i="24"/>
  <c r="O221" i="24"/>
  <c r="P221" i="24"/>
  <c r="Q221" i="24"/>
  <c r="R221" i="24"/>
  <c r="S221" i="24"/>
  <c r="T221" i="24"/>
  <c r="U221" i="24"/>
  <c r="V221" i="24"/>
  <c r="W221" i="24"/>
  <c r="X221" i="24"/>
  <c r="Y221" i="24"/>
  <c r="Z221" i="24"/>
  <c r="AA221" i="24"/>
  <c r="AB221" i="24"/>
  <c r="AC221" i="24"/>
  <c r="AD221" i="24"/>
  <c r="AE221" i="24"/>
  <c r="AF221" i="24"/>
  <c r="AG221" i="24"/>
  <c r="AH221" i="24"/>
  <c r="D222" i="24"/>
  <c r="E222" i="24"/>
  <c r="F222" i="24"/>
  <c r="G222" i="24"/>
  <c r="H222" i="24"/>
  <c r="I222" i="24"/>
  <c r="J222" i="24"/>
  <c r="K222" i="24"/>
  <c r="L222" i="24"/>
  <c r="M222" i="24"/>
  <c r="N222" i="24"/>
  <c r="O222" i="24"/>
  <c r="P222" i="24"/>
  <c r="Q222" i="24"/>
  <c r="R222" i="24"/>
  <c r="S222" i="24"/>
  <c r="T222" i="24"/>
  <c r="U222" i="24"/>
  <c r="V222" i="24"/>
  <c r="W222" i="24"/>
  <c r="X222" i="24"/>
  <c r="Y222" i="24"/>
  <c r="Z222" i="24"/>
  <c r="AA222" i="24"/>
  <c r="AB222" i="24"/>
  <c r="AC222" i="24"/>
  <c r="AD222" i="24"/>
  <c r="AE222" i="24"/>
  <c r="AF222" i="24"/>
  <c r="AG222" i="24"/>
  <c r="AH222" i="24"/>
  <c r="D223" i="24"/>
  <c r="E223" i="24"/>
  <c r="F223" i="24"/>
  <c r="G223" i="24"/>
  <c r="H223" i="24"/>
  <c r="I223" i="24"/>
  <c r="J223" i="24"/>
  <c r="K223" i="24"/>
  <c r="L223" i="24"/>
  <c r="M223" i="24"/>
  <c r="N223" i="24"/>
  <c r="O223" i="24"/>
  <c r="P223" i="24"/>
  <c r="Q223" i="24"/>
  <c r="R223" i="24"/>
  <c r="S223" i="24"/>
  <c r="T223" i="24"/>
  <c r="U223" i="24"/>
  <c r="V223" i="24"/>
  <c r="W223" i="24"/>
  <c r="X223" i="24"/>
  <c r="Y223" i="24"/>
  <c r="Z223" i="24"/>
  <c r="AA223" i="24"/>
  <c r="AB223" i="24"/>
  <c r="AC223" i="24"/>
  <c r="AD223" i="24"/>
  <c r="AE223" i="24"/>
  <c r="AF223" i="24"/>
  <c r="AG223" i="24"/>
  <c r="AH223" i="24"/>
  <c r="D224" i="24"/>
  <c r="E224" i="24"/>
  <c r="F224" i="24"/>
  <c r="G224" i="24"/>
  <c r="H224" i="24"/>
  <c r="I224" i="24"/>
  <c r="J224" i="24"/>
  <c r="K224" i="24"/>
  <c r="L224" i="24"/>
  <c r="M224" i="24"/>
  <c r="N224" i="24"/>
  <c r="O224" i="24"/>
  <c r="P224" i="24"/>
  <c r="Q224" i="24"/>
  <c r="R224" i="24"/>
  <c r="S224" i="24"/>
  <c r="T224" i="24"/>
  <c r="U224" i="24"/>
  <c r="V224" i="24"/>
  <c r="W224" i="24"/>
  <c r="X224" i="24"/>
  <c r="Y224" i="24"/>
  <c r="Z224" i="24"/>
  <c r="AA224" i="24"/>
  <c r="AB224" i="24"/>
  <c r="AC224" i="24"/>
  <c r="AD224" i="24"/>
  <c r="AE224" i="24"/>
  <c r="AF224" i="24"/>
  <c r="AG224" i="24"/>
  <c r="AH224" i="24"/>
  <c r="D225" i="24"/>
  <c r="E225" i="24"/>
  <c r="F225" i="24"/>
  <c r="G225" i="24"/>
  <c r="H225" i="24"/>
  <c r="I225" i="24"/>
  <c r="J225" i="24"/>
  <c r="K225" i="24"/>
  <c r="L225" i="24"/>
  <c r="M225" i="24"/>
  <c r="N225" i="24"/>
  <c r="O225" i="24"/>
  <c r="P225" i="24"/>
  <c r="Q225" i="24"/>
  <c r="R225" i="24"/>
  <c r="S225" i="24"/>
  <c r="T225" i="24"/>
  <c r="U225" i="24"/>
  <c r="V225" i="24"/>
  <c r="W225" i="24"/>
  <c r="X225" i="24"/>
  <c r="Y225" i="24"/>
  <c r="Z225" i="24"/>
  <c r="AA225" i="24"/>
  <c r="AB225" i="24"/>
  <c r="AC225" i="24"/>
  <c r="AD225" i="24"/>
  <c r="AE225" i="24"/>
  <c r="AF225" i="24"/>
  <c r="AG225" i="24"/>
  <c r="AH225" i="24"/>
  <c r="D226" i="24"/>
  <c r="E226" i="24"/>
  <c r="F226" i="24"/>
  <c r="G226" i="24"/>
  <c r="H226" i="24"/>
  <c r="I226" i="24"/>
  <c r="J226" i="24"/>
  <c r="K226" i="24"/>
  <c r="L226" i="24"/>
  <c r="M226" i="24"/>
  <c r="N226" i="24"/>
  <c r="O226" i="24"/>
  <c r="P226" i="24"/>
  <c r="Q226" i="24"/>
  <c r="R226" i="24"/>
  <c r="S226" i="24"/>
  <c r="T226" i="24"/>
  <c r="U226" i="24"/>
  <c r="V226" i="24"/>
  <c r="W226" i="24"/>
  <c r="X226" i="24"/>
  <c r="Y226" i="24"/>
  <c r="Z226" i="24"/>
  <c r="AA226" i="24"/>
  <c r="AB226" i="24"/>
  <c r="AC226" i="24"/>
  <c r="AD226" i="24"/>
  <c r="AE226" i="24"/>
  <c r="AF226" i="24"/>
  <c r="AG226" i="24"/>
  <c r="AH226" i="24"/>
  <c r="D227" i="24"/>
  <c r="E227" i="24"/>
  <c r="F227" i="24"/>
  <c r="G227" i="24"/>
  <c r="H227" i="24"/>
  <c r="I227" i="24"/>
  <c r="J227" i="24"/>
  <c r="K227" i="24"/>
  <c r="L227" i="24"/>
  <c r="M227" i="24"/>
  <c r="N227" i="24"/>
  <c r="O227" i="24"/>
  <c r="P227" i="24"/>
  <c r="Q227" i="24"/>
  <c r="R227" i="24"/>
  <c r="S227" i="24"/>
  <c r="T227" i="24"/>
  <c r="U227" i="24"/>
  <c r="V227" i="24"/>
  <c r="W227" i="24"/>
  <c r="X227" i="24"/>
  <c r="Y227" i="24"/>
  <c r="Z227" i="24"/>
  <c r="AA227" i="24"/>
  <c r="AB227" i="24"/>
  <c r="AC227" i="24"/>
  <c r="AD227" i="24"/>
  <c r="AE227" i="24"/>
  <c r="AF227" i="24"/>
  <c r="AG227" i="24"/>
  <c r="AH227" i="24"/>
  <c r="D228" i="24"/>
  <c r="E228" i="24"/>
  <c r="F228" i="24"/>
  <c r="G228" i="24"/>
  <c r="H228" i="24"/>
  <c r="I228" i="24"/>
  <c r="J228" i="24"/>
  <c r="K228" i="24"/>
  <c r="L228" i="24"/>
  <c r="M228" i="24"/>
  <c r="N228" i="24"/>
  <c r="O228" i="24"/>
  <c r="P228" i="24"/>
  <c r="Q228" i="24"/>
  <c r="R228" i="24"/>
  <c r="S228" i="24"/>
  <c r="T228" i="24"/>
  <c r="U228" i="24"/>
  <c r="V228" i="24"/>
  <c r="W228" i="24"/>
  <c r="X228" i="24"/>
  <c r="Y228" i="24"/>
  <c r="Z228" i="24"/>
  <c r="AA228" i="24"/>
  <c r="AB228" i="24"/>
  <c r="AC228" i="24"/>
  <c r="AD228" i="24"/>
  <c r="AE228" i="24"/>
  <c r="AF228" i="24"/>
  <c r="AG228" i="24"/>
  <c r="AH228" i="24"/>
  <c r="D229" i="24"/>
  <c r="E229" i="24"/>
  <c r="F229" i="24"/>
  <c r="G229" i="24"/>
  <c r="H229" i="24"/>
  <c r="I229" i="24"/>
  <c r="J229" i="24"/>
  <c r="K229" i="24"/>
  <c r="L229" i="24"/>
  <c r="M229" i="24"/>
  <c r="N229" i="24"/>
  <c r="O229" i="24"/>
  <c r="P229" i="24"/>
  <c r="Q229" i="24"/>
  <c r="R229" i="24"/>
  <c r="S229" i="24"/>
  <c r="T229" i="24"/>
  <c r="U229" i="24"/>
  <c r="V229" i="24"/>
  <c r="W229" i="24"/>
  <c r="X229" i="24"/>
  <c r="Y229" i="24"/>
  <c r="Z229" i="24"/>
  <c r="AA229" i="24"/>
  <c r="AB229" i="24"/>
  <c r="AC229" i="24"/>
  <c r="AD229" i="24"/>
  <c r="AE229" i="24"/>
  <c r="AF229" i="24"/>
  <c r="AG229" i="24"/>
  <c r="AH229" i="24"/>
  <c r="D230" i="24"/>
  <c r="E230" i="24"/>
  <c r="F230" i="24"/>
  <c r="G230" i="24"/>
  <c r="H230" i="24"/>
  <c r="I230" i="24"/>
  <c r="J230" i="24"/>
  <c r="K230" i="24"/>
  <c r="L230" i="24"/>
  <c r="M230" i="24"/>
  <c r="N230" i="24"/>
  <c r="O230" i="24"/>
  <c r="P230" i="24"/>
  <c r="Q230" i="24"/>
  <c r="R230" i="24"/>
  <c r="S230" i="24"/>
  <c r="T230" i="24"/>
  <c r="U230" i="24"/>
  <c r="V230" i="24"/>
  <c r="W230" i="24"/>
  <c r="X230" i="24"/>
  <c r="Y230" i="24"/>
  <c r="Z230" i="24"/>
  <c r="AA230" i="24"/>
  <c r="AB230" i="24"/>
  <c r="AC230" i="24"/>
  <c r="AD230" i="24"/>
  <c r="AE230" i="24"/>
  <c r="AF230" i="24"/>
  <c r="AG230" i="24"/>
  <c r="AH230" i="24"/>
  <c r="D231" i="24"/>
  <c r="E231" i="24"/>
  <c r="F231" i="24"/>
  <c r="G231" i="24"/>
  <c r="H231" i="24"/>
  <c r="I231" i="24"/>
  <c r="J231" i="24"/>
  <c r="K231" i="24"/>
  <c r="L231" i="24"/>
  <c r="M231" i="24"/>
  <c r="N231" i="24"/>
  <c r="O231" i="24"/>
  <c r="P231" i="24"/>
  <c r="Q231" i="24"/>
  <c r="R231" i="24"/>
  <c r="S231" i="24"/>
  <c r="T231" i="24"/>
  <c r="U231" i="24"/>
  <c r="V231" i="24"/>
  <c r="W231" i="24"/>
  <c r="X231" i="24"/>
  <c r="Y231" i="24"/>
  <c r="Z231" i="24"/>
  <c r="AA231" i="24"/>
  <c r="AB231" i="24"/>
  <c r="AC231" i="24"/>
  <c r="AD231" i="24"/>
  <c r="AE231" i="24"/>
  <c r="AF231" i="24"/>
  <c r="AG231" i="24"/>
  <c r="AH231" i="24"/>
  <c r="D232" i="24"/>
  <c r="E232" i="24"/>
  <c r="F232" i="24"/>
  <c r="G232" i="24"/>
  <c r="H232" i="24"/>
  <c r="I232" i="24"/>
  <c r="J232" i="24"/>
  <c r="K232" i="24"/>
  <c r="L232" i="24"/>
  <c r="M232" i="24"/>
  <c r="N232" i="24"/>
  <c r="O232" i="24"/>
  <c r="P232" i="24"/>
  <c r="Q232" i="24"/>
  <c r="R232" i="24"/>
  <c r="S232" i="24"/>
  <c r="T232" i="24"/>
  <c r="U232" i="24"/>
  <c r="V232" i="24"/>
  <c r="W232" i="24"/>
  <c r="X232" i="24"/>
  <c r="Y232" i="24"/>
  <c r="Z232" i="24"/>
  <c r="AA232" i="24"/>
  <c r="AB232" i="24"/>
  <c r="AC232" i="24"/>
  <c r="AD232" i="24"/>
  <c r="AE232" i="24"/>
  <c r="AF232" i="24"/>
  <c r="AG232" i="24"/>
  <c r="AH232" i="24"/>
  <c r="D233" i="24"/>
  <c r="E233" i="24"/>
  <c r="F233" i="24"/>
  <c r="G233" i="24"/>
  <c r="H233" i="24"/>
  <c r="I233" i="24"/>
  <c r="J233" i="24"/>
  <c r="K233" i="24"/>
  <c r="L233" i="24"/>
  <c r="M233" i="24"/>
  <c r="N233" i="24"/>
  <c r="O233" i="24"/>
  <c r="P233" i="24"/>
  <c r="Q233" i="24"/>
  <c r="R233" i="24"/>
  <c r="S233" i="24"/>
  <c r="T233" i="24"/>
  <c r="U233" i="24"/>
  <c r="V233" i="24"/>
  <c r="W233" i="24"/>
  <c r="X233" i="24"/>
  <c r="Y233" i="24"/>
  <c r="Z233" i="24"/>
  <c r="AA233" i="24"/>
  <c r="AB233" i="24"/>
  <c r="AC233" i="24"/>
  <c r="AD233" i="24"/>
  <c r="AE233" i="24"/>
  <c r="AF233" i="24"/>
  <c r="AG233" i="24"/>
  <c r="AH233" i="24"/>
  <c r="D234" i="24"/>
  <c r="E234" i="24"/>
  <c r="F234" i="24"/>
  <c r="G234" i="24"/>
  <c r="H234" i="24"/>
  <c r="I234" i="24"/>
  <c r="J234" i="24"/>
  <c r="K234" i="24"/>
  <c r="L234" i="24"/>
  <c r="M234" i="24"/>
  <c r="N234" i="24"/>
  <c r="O234" i="24"/>
  <c r="P234" i="24"/>
  <c r="Q234" i="24"/>
  <c r="R234" i="24"/>
  <c r="S234" i="24"/>
  <c r="T234" i="24"/>
  <c r="U234" i="24"/>
  <c r="V234" i="24"/>
  <c r="W234" i="24"/>
  <c r="X234" i="24"/>
  <c r="Y234" i="24"/>
  <c r="Z234" i="24"/>
  <c r="AA234" i="24"/>
  <c r="AB234" i="24"/>
  <c r="AC234" i="24"/>
  <c r="AD234" i="24"/>
  <c r="AE234" i="24"/>
  <c r="AF234" i="24"/>
  <c r="AG234" i="24"/>
  <c r="AH234" i="24"/>
  <c r="D235" i="24"/>
  <c r="E235" i="24"/>
  <c r="F235" i="24"/>
  <c r="G235" i="24"/>
  <c r="H235" i="24"/>
  <c r="I235" i="24"/>
  <c r="J235" i="24"/>
  <c r="K235" i="24"/>
  <c r="L235" i="24"/>
  <c r="M235" i="24"/>
  <c r="N235" i="24"/>
  <c r="O235" i="24"/>
  <c r="P235" i="24"/>
  <c r="Q235" i="24"/>
  <c r="R235" i="24"/>
  <c r="S235" i="24"/>
  <c r="T235" i="24"/>
  <c r="U235" i="24"/>
  <c r="V235" i="24"/>
  <c r="W235" i="24"/>
  <c r="X235" i="24"/>
  <c r="Y235" i="24"/>
  <c r="Z235" i="24"/>
  <c r="AA235" i="24"/>
  <c r="AB235" i="24"/>
  <c r="AC235" i="24"/>
  <c r="AD235" i="24"/>
  <c r="AE235" i="24"/>
  <c r="AF235" i="24"/>
  <c r="AG235" i="24"/>
  <c r="AH235" i="24"/>
  <c r="D236" i="24"/>
  <c r="E236" i="24"/>
  <c r="F236" i="24"/>
  <c r="G236" i="24"/>
  <c r="H236" i="24"/>
  <c r="I236" i="24"/>
  <c r="J236" i="24"/>
  <c r="K236" i="24"/>
  <c r="L236" i="24"/>
  <c r="M236" i="24"/>
  <c r="N236" i="24"/>
  <c r="O236" i="24"/>
  <c r="P236" i="24"/>
  <c r="Q236" i="24"/>
  <c r="R236" i="24"/>
  <c r="S236" i="24"/>
  <c r="T236" i="24"/>
  <c r="U236" i="24"/>
  <c r="V236" i="24"/>
  <c r="W236" i="24"/>
  <c r="X236" i="24"/>
  <c r="Y236" i="24"/>
  <c r="Z236" i="24"/>
  <c r="AA236" i="24"/>
  <c r="AB236" i="24"/>
  <c r="AC236" i="24"/>
  <c r="AD236" i="24"/>
  <c r="AE236" i="24"/>
  <c r="AF236" i="24"/>
  <c r="AG236" i="24"/>
  <c r="AH236" i="24"/>
  <c r="D237" i="24"/>
  <c r="E237" i="24"/>
  <c r="F237" i="24"/>
  <c r="G237" i="24"/>
  <c r="H237" i="24"/>
  <c r="I237" i="24"/>
  <c r="J237" i="24"/>
  <c r="K237" i="24"/>
  <c r="L237" i="24"/>
  <c r="M237" i="24"/>
  <c r="N237" i="24"/>
  <c r="O237" i="24"/>
  <c r="P237" i="24"/>
  <c r="Q237" i="24"/>
  <c r="R237" i="24"/>
  <c r="S237" i="24"/>
  <c r="T237" i="24"/>
  <c r="U237" i="24"/>
  <c r="V237" i="24"/>
  <c r="W237" i="24"/>
  <c r="X237" i="24"/>
  <c r="Y237" i="24"/>
  <c r="Z237" i="24"/>
  <c r="AA237" i="24"/>
  <c r="AB237" i="24"/>
  <c r="AC237" i="24"/>
  <c r="AD237" i="24"/>
  <c r="AE237" i="24"/>
  <c r="AF237" i="24"/>
  <c r="AG237" i="24"/>
  <c r="AH237" i="24"/>
  <c r="D238" i="24"/>
  <c r="E238" i="24"/>
  <c r="F238" i="24"/>
  <c r="G238" i="24"/>
  <c r="H238" i="24"/>
  <c r="I238" i="24"/>
  <c r="J238" i="24"/>
  <c r="K238" i="24"/>
  <c r="L238" i="24"/>
  <c r="M238" i="24"/>
  <c r="N238" i="24"/>
  <c r="O238" i="24"/>
  <c r="P238" i="24"/>
  <c r="Q238" i="24"/>
  <c r="R238" i="24"/>
  <c r="S238" i="24"/>
  <c r="T238" i="24"/>
  <c r="U238" i="24"/>
  <c r="V238" i="24"/>
  <c r="W238" i="24"/>
  <c r="X238" i="24"/>
  <c r="Y238" i="24"/>
  <c r="Z238" i="24"/>
  <c r="AA238" i="24"/>
  <c r="AB238" i="24"/>
  <c r="AC238" i="24"/>
  <c r="AD238" i="24"/>
  <c r="AE238" i="24"/>
  <c r="AF238" i="24"/>
  <c r="AG238" i="24"/>
  <c r="AH238" i="24"/>
  <c r="D239" i="24"/>
  <c r="E239" i="24"/>
  <c r="F239" i="24"/>
  <c r="G239" i="24"/>
  <c r="H239" i="24"/>
  <c r="I239" i="24"/>
  <c r="J239" i="24"/>
  <c r="K239" i="24"/>
  <c r="L239" i="24"/>
  <c r="M239" i="24"/>
  <c r="N239" i="24"/>
  <c r="O239" i="24"/>
  <c r="P239" i="24"/>
  <c r="Q239" i="24"/>
  <c r="R239" i="24"/>
  <c r="S239" i="24"/>
  <c r="T239" i="24"/>
  <c r="U239" i="24"/>
  <c r="V239" i="24"/>
  <c r="W239" i="24"/>
  <c r="X239" i="24"/>
  <c r="Y239" i="24"/>
  <c r="Z239" i="24"/>
  <c r="AA239" i="24"/>
  <c r="AB239" i="24"/>
  <c r="AC239" i="24"/>
  <c r="AD239" i="24"/>
  <c r="AE239" i="24"/>
  <c r="AF239" i="24"/>
  <c r="AG239" i="24"/>
  <c r="AH239" i="24"/>
  <c r="D240" i="24"/>
  <c r="E240" i="24"/>
  <c r="F240" i="24"/>
  <c r="G240" i="24"/>
  <c r="H240" i="24"/>
  <c r="I240" i="24"/>
  <c r="J240" i="24"/>
  <c r="K240" i="24"/>
  <c r="L240" i="24"/>
  <c r="M240" i="24"/>
  <c r="N240" i="24"/>
  <c r="O240" i="24"/>
  <c r="P240" i="24"/>
  <c r="Q240" i="24"/>
  <c r="R240" i="24"/>
  <c r="S240" i="24"/>
  <c r="T240" i="24"/>
  <c r="U240" i="24"/>
  <c r="V240" i="24"/>
  <c r="W240" i="24"/>
  <c r="X240" i="24"/>
  <c r="Y240" i="24"/>
  <c r="Z240" i="24"/>
  <c r="AA240" i="24"/>
  <c r="AB240" i="24"/>
  <c r="AC240" i="24"/>
  <c r="AD240" i="24"/>
  <c r="AE240" i="24"/>
  <c r="AF240" i="24"/>
  <c r="AG240" i="24"/>
  <c r="AH240" i="24"/>
  <c r="D241" i="24"/>
  <c r="E241" i="24"/>
  <c r="F241" i="24"/>
  <c r="G241" i="24"/>
  <c r="H241" i="24"/>
  <c r="I241" i="24"/>
  <c r="J241" i="24"/>
  <c r="K241" i="24"/>
  <c r="L241" i="24"/>
  <c r="M241" i="24"/>
  <c r="N241" i="24"/>
  <c r="O241" i="24"/>
  <c r="P241" i="24"/>
  <c r="Q241" i="24"/>
  <c r="R241" i="24"/>
  <c r="S241" i="24"/>
  <c r="T241" i="24"/>
  <c r="U241" i="24"/>
  <c r="V241" i="24"/>
  <c r="W241" i="24"/>
  <c r="X241" i="24"/>
  <c r="Y241" i="24"/>
  <c r="Z241" i="24"/>
  <c r="AA241" i="24"/>
  <c r="AB241" i="24"/>
  <c r="AC241" i="24"/>
  <c r="AD241" i="24"/>
  <c r="AE241" i="24"/>
  <c r="AF241" i="24"/>
  <c r="AG241" i="24"/>
  <c r="AH241" i="24"/>
  <c r="D242" i="24"/>
  <c r="E242" i="24"/>
  <c r="F242" i="24"/>
  <c r="G242" i="24"/>
  <c r="H242" i="24"/>
  <c r="I242" i="24"/>
  <c r="J242" i="24"/>
  <c r="K242" i="24"/>
  <c r="L242" i="24"/>
  <c r="M242" i="24"/>
  <c r="N242" i="24"/>
  <c r="O242" i="24"/>
  <c r="P242" i="24"/>
  <c r="Q242" i="24"/>
  <c r="R242" i="24"/>
  <c r="S242" i="24"/>
  <c r="T242" i="24"/>
  <c r="U242" i="24"/>
  <c r="V242" i="24"/>
  <c r="W242" i="24"/>
  <c r="X242" i="24"/>
  <c r="Y242" i="24"/>
  <c r="Z242" i="24"/>
  <c r="AA242" i="24"/>
  <c r="AB242" i="24"/>
  <c r="AC242" i="24"/>
  <c r="AD242" i="24"/>
  <c r="AE242" i="24"/>
  <c r="AF242" i="24"/>
  <c r="AG242" i="24"/>
  <c r="AH242" i="24"/>
  <c r="D243" i="24"/>
  <c r="E243" i="24"/>
  <c r="F243" i="24"/>
  <c r="G243" i="24"/>
  <c r="H243" i="24"/>
  <c r="I243" i="24"/>
  <c r="J243" i="24"/>
  <c r="K243" i="24"/>
  <c r="L243" i="24"/>
  <c r="M243" i="24"/>
  <c r="N243" i="24"/>
  <c r="O243" i="24"/>
  <c r="P243" i="24"/>
  <c r="Q243" i="24"/>
  <c r="R243" i="24"/>
  <c r="S243" i="24"/>
  <c r="T243" i="24"/>
  <c r="U243" i="24"/>
  <c r="V243" i="24"/>
  <c r="W243" i="24"/>
  <c r="X243" i="24"/>
  <c r="Y243" i="24"/>
  <c r="Z243" i="24"/>
  <c r="AA243" i="24"/>
  <c r="AB243" i="24"/>
  <c r="AC243" i="24"/>
  <c r="AD243" i="24"/>
  <c r="AE243" i="24"/>
  <c r="AF243" i="24"/>
  <c r="AG243" i="24"/>
  <c r="AH243" i="24"/>
  <c r="D244" i="24"/>
  <c r="E244" i="24"/>
  <c r="F244" i="24"/>
  <c r="G244" i="24"/>
  <c r="H244" i="24"/>
  <c r="I244" i="24"/>
  <c r="J244" i="24"/>
  <c r="K244" i="24"/>
  <c r="L244" i="24"/>
  <c r="M244" i="24"/>
  <c r="N244" i="24"/>
  <c r="O244" i="24"/>
  <c r="P244" i="24"/>
  <c r="Q244" i="24"/>
  <c r="R244" i="24"/>
  <c r="S244" i="24"/>
  <c r="T244" i="24"/>
  <c r="U244" i="24"/>
  <c r="V244" i="24"/>
  <c r="W244" i="24"/>
  <c r="X244" i="24"/>
  <c r="Y244" i="24"/>
  <c r="Z244" i="24"/>
  <c r="AA244" i="24"/>
  <c r="AB244" i="24"/>
  <c r="AC244" i="24"/>
  <c r="AD244" i="24"/>
  <c r="AE244" i="24"/>
  <c r="AF244" i="24"/>
  <c r="AG244" i="24"/>
  <c r="AH244" i="24"/>
  <c r="D245" i="24"/>
  <c r="E245" i="24"/>
  <c r="F245" i="24"/>
  <c r="G245" i="24"/>
  <c r="H245" i="24"/>
  <c r="I245" i="24"/>
  <c r="J245" i="24"/>
  <c r="K245" i="24"/>
  <c r="L245" i="24"/>
  <c r="M245" i="24"/>
  <c r="N245" i="24"/>
  <c r="O245" i="24"/>
  <c r="P245" i="24"/>
  <c r="Q245" i="24"/>
  <c r="R245" i="24"/>
  <c r="S245" i="24"/>
  <c r="T245" i="24"/>
  <c r="U245" i="24"/>
  <c r="V245" i="24"/>
  <c r="W245" i="24"/>
  <c r="X245" i="24"/>
  <c r="Y245" i="24"/>
  <c r="Z245" i="24"/>
  <c r="AA245" i="24"/>
  <c r="AB245" i="24"/>
  <c r="AC245" i="24"/>
  <c r="AD245" i="24"/>
  <c r="AE245" i="24"/>
  <c r="AF245" i="24"/>
  <c r="AG245" i="24"/>
  <c r="AH245" i="24"/>
  <c r="D246" i="24"/>
  <c r="E246" i="24"/>
  <c r="F246" i="24"/>
  <c r="G246" i="24"/>
  <c r="H246" i="24"/>
  <c r="I246" i="24"/>
  <c r="J246" i="24"/>
  <c r="K246" i="24"/>
  <c r="L246" i="24"/>
  <c r="M246" i="24"/>
  <c r="N246" i="24"/>
  <c r="O246" i="24"/>
  <c r="P246" i="24"/>
  <c r="Q246" i="24"/>
  <c r="R246" i="24"/>
  <c r="S246" i="24"/>
  <c r="T246" i="24"/>
  <c r="U246" i="24"/>
  <c r="V246" i="24"/>
  <c r="W246" i="24"/>
  <c r="X246" i="24"/>
  <c r="Y246" i="24"/>
  <c r="Z246" i="24"/>
  <c r="AA246" i="24"/>
  <c r="AB246" i="24"/>
  <c r="AC246" i="24"/>
  <c r="AD246" i="24"/>
  <c r="AE246" i="24"/>
  <c r="AF246" i="24"/>
  <c r="AG246" i="24"/>
  <c r="AH246" i="24"/>
  <c r="D247" i="24"/>
  <c r="E247" i="24"/>
  <c r="F247" i="24"/>
  <c r="G247" i="24"/>
  <c r="H247" i="24"/>
  <c r="I247" i="24"/>
  <c r="J247" i="24"/>
  <c r="K247" i="24"/>
  <c r="L247" i="24"/>
  <c r="M247" i="24"/>
  <c r="N247" i="24"/>
  <c r="O247" i="24"/>
  <c r="P247" i="24"/>
  <c r="Q247" i="24"/>
  <c r="R247" i="24"/>
  <c r="S247" i="24"/>
  <c r="T247" i="24"/>
  <c r="U247" i="24"/>
  <c r="V247" i="24"/>
  <c r="W247" i="24"/>
  <c r="X247" i="24"/>
  <c r="Y247" i="24"/>
  <c r="Z247" i="24"/>
  <c r="AA247" i="24"/>
  <c r="AB247" i="24"/>
  <c r="AC247" i="24"/>
  <c r="AD247" i="24"/>
  <c r="AE247" i="24"/>
  <c r="AF247" i="24"/>
  <c r="AG247" i="24"/>
  <c r="AH247" i="24"/>
  <c r="D248" i="24"/>
  <c r="E248" i="24"/>
  <c r="F248" i="24"/>
  <c r="G248" i="24"/>
  <c r="H248" i="24"/>
  <c r="I248" i="24"/>
  <c r="J248" i="24"/>
  <c r="K248" i="24"/>
  <c r="L248" i="24"/>
  <c r="M248" i="24"/>
  <c r="N248" i="24"/>
  <c r="O248" i="24"/>
  <c r="P248" i="24"/>
  <c r="Q248" i="24"/>
  <c r="R248" i="24"/>
  <c r="S248" i="24"/>
  <c r="T248" i="24"/>
  <c r="U248" i="24"/>
  <c r="V248" i="24"/>
  <c r="W248" i="24"/>
  <c r="X248" i="24"/>
  <c r="Y248" i="24"/>
  <c r="Z248" i="24"/>
  <c r="AA248" i="24"/>
  <c r="AB248" i="24"/>
  <c r="AC248" i="24"/>
  <c r="AD248" i="24"/>
  <c r="AE248" i="24"/>
  <c r="AF248" i="24"/>
  <c r="AG248" i="24"/>
  <c r="AH248" i="24"/>
  <c r="G27" i="58" l="1"/>
  <c r="O7" i="58"/>
  <c r="O27" i="58"/>
  <c r="D99" i="25" l="1"/>
  <c r="E99" i="25"/>
  <c r="F99" i="25"/>
  <c r="G99" i="25"/>
  <c r="H99" i="25"/>
  <c r="I99" i="25"/>
  <c r="J99" i="25"/>
  <c r="K99" i="25"/>
  <c r="L99" i="25"/>
  <c r="M99" i="25"/>
  <c r="N99" i="25"/>
  <c r="O99" i="25"/>
  <c r="P99" i="25"/>
  <c r="Q99" i="25"/>
  <c r="R99" i="25"/>
  <c r="S99" i="25"/>
  <c r="T99" i="25"/>
  <c r="U99" i="25"/>
  <c r="V99" i="25"/>
  <c r="W99" i="25"/>
  <c r="X99" i="25"/>
  <c r="Y99" i="25"/>
  <c r="Z99" i="25"/>
  <c r="AA99" i="25"/>
  <c r="AB99" i="25"/>
  <c r="AC99" i="25"/>
  <c r="AD99" i="25"/>
  <c r="AE99" i="25"/>
  <c r="AF99" i="25"/>
  <c r="AG99" i="25"/>
  <c r="AH99" i="25"/>
  <c r="AI99" i="25"/>
  <c r="AJ99" i="25"/>
  <c r="AK99" i="25"/>
  <c r="AL99" i="25"/>
  <c r="AM99" i="25"/>
  <c r="AN99" i="25"/>
  <c r="AO99" i="25"/>
  <c r="AP99" i="25"/>
  <c r="AQ99" i="25"/>
  <c r="AR99" i="25"/>
  <c r="AS99" i="25"/>
  <c r="AV99" i="25" s="1"/>
  <c r="AT99" i="25"/>
  <c r="AU99" i="25"/>
  <c r="AW99" i="25"/>
  <c r="AX99" i="25"/>
  <c r="AY99" i="25"/>
  <c r="AZ99" i="25"/>
  <c r="BA99" i="25"/>
  <c r="BB99" i="25"/>
  <c r="BC99" i="25"/>
  <c r="BD99" i="25"/>
  <c r="BE99" i="25"/>
  <c r="BF99" i="25"/>
  <c r="BG99" i="25"/>
  <c r="BH99" i="25"/>
  <c r="BI99" i="25"/>
  <c r="BJ99" i="25"/>
  <c r="BK99" i="25"/>
  <c r="BL99" i="25"/>
  <c r="BM99" i="25"/>
  <c r="BN99" i="25"/>
  <c r="BO99" i="25"/>
  <c r="BP99" i="25"/>
  <c r="BQ99" i="25"/>
  <c r="BR99" i="25"/>
  <c r="D100" i="25"/>
  <c r="E100" i="25"/>
  <c r="F100" i="25"/>
  <c r="G100" i="25"/>
  <c r="H100" i="25"/>
  <c r="I100" i="25"/>
  <c r="J100" i="25"/>
  <c r="K100" i="25"/>
  <c r="L100" i="25"/>
  <c r="M100" i="25"/>
  <c r="N100" i="25"/>
  <c r="O100" i="25"/>
  <c r="P100" i="25"/>
  <c r="Q100" i="25"/>
  <c r="R100" i="25"/>
  <c r="S100" i="25"/>
  <c r="T100" i="25"/>
  <c r="U100" i="25"/>
  <c r="V100" i="25"/>
  <c r="W100" i="25"/>
  <c r="X100" i="25"/>
  <c r="Y100" i="25"/>
  <c r="Z100" i="25"/>
  <c r="AA100" i="25"/>
  <c r="AB100" i="25"/>
  <c r="AC100" i="25"/>
  <c r="AD100" i="25"/>
  <c r="AE100" i="25"/>
  <c r="AF100" i="25"/>
  <c r="AG100" i="25"/>
  <c r="AH100" i="25"/>
  <c r="AI100" i="25"/>
  <c r="AJ100" i="25"/>
  <c r="AK100" i="25"/>
  <c r="AL100" i="25"/>
  <c r="AM100" i="25"/>
  <c r="AN100" i="25"/>
  <c r="AO100" i="25"/>
  <c r="AP100" i="25"/>
  <c r="AQ100" i="25"/>
  <c r="AR100" i="25"/>
  <c r="AS100" i="25"/>
  <c r="AV100" i="25" s="1"/>
  <c r="AT100" i="25"/>
  <c r="AU100" i="25"/>
  <c r="AW100" i="25"/>
  <c r="AX100" i="25"/>
  <c r="AY100" i="25"/>
  <c r="AZ100" i="25"/>
  <c r="BA100" i="25"/>
  <c r="BB100" i="25"/>
  <c r="BC100" i="25"/>
  <c r="BD100" i="25"/>
  <c r="BE100" i="25"/>
  <c r="BF100" i="25"/>
  <c r="BG100" i="25"/>
  <c r="BH100" i="25"/>
  <c r="BI100" i="25"/>
  <c r="BJ100" i="25"/>
  <c r="BK100" i="25"/>
  <c r="BL100" i="25"/>
  <c r="BM100" i="25"/>
  <c r="BN100" i="25"/>
  <c r="BO100" i="25"/>
  <c r="BP100" i="25"/>
  <c r="BQ100" i="25"/>
  <c r="BR100" i="25"/>
  <c r="D101" i="25"/>
  <c r="E101" i="25"/>
  <c r="F101" i="25"/>
  <c r="G101" i="25"/>
  <c r="H101" i="25"/>
  <c r="I101" i="25"/>
  <c r="J101" i="25"/>
  <c r="K101" i="25"/>
  <c r="L101" i="25"/>
  <c r="M101" i="25"/>
  <c r="N101" i="25"/>
  <c r="O101" i="25"/>
  <c r="P101" i="25"/>
  <c r="Q101" i="25"/>
  <c r="R101" i="25"/>
  <c r="S101" i="25"/>
  <c r="T101" i="25"/>
  <c r="U101" i="25"/>
  <c r="V101" i="25"/>
  <c r="W101" i="25"/>
  <c r="X101" i="25"/>
  <c r="Y101" i="25"/>
  <c r="Z101" i="25"/>
  <c r="AA101" i="25"/>
  <c r="AB101" i="25"/>
  <c r="AC101" i="25"/>
  <c r="AD101" i="25"/>
  <c r="AE101" i="25"/>
  <c r="AF101" i="25"/>
  <c r="AG101" i="25"/>
  <c r="AH101" i="25"/>
  <c r="AI101" i="25"/>
  <c r="AJ101" i="25"/>
  <c r="AK101" i="25"/>
  <c r="AL101" i="25"/>
  <c r="AM101" i="25"/>
  <c r="AN101" i="25"/>
  <c r="AO101" i="25"/>
  <c r="AP101" i="25"/>
  <c r="AQ101" i="25"/>
  <c r="AR101" i="25"/>
  <c r="AS101" i="25"/>
  <c r="AV101" i="25" s="1"/>
  <c r="AT101" i="25"/>
  <c r="AU101" i="25"/>
  <c r="AW101" i="25"/>
  <c r="AX101" i="25"/>
  <c r="AY101" i="25"/>
  <c r="AZ101" i="25"/>
  <c r="BA101" i="25"/>
  <c r="BB101" i="25"/>
  <c r="BC101" i="25"/>
  <c r="BD101" i="25"/>
  <c r="BE101" i="25"/>
  <c r="BF101" i="25"/>
  <c r="BG101" i="25"/>
  <c r="BH101" i="25"/>
  <c r="BI101" i="25"/>
  <c r="BJ101" i="25"/>
  <c r="BK101" i="25"/>
  <c r="BL101" i="25"/>
  <c r="BM101" i="25"/>
  <c r="BN101" i="25"/>
  <c r="BO101" i="25"/>
  <c r="BP101" i="25"/>
  <c r="BQ101" i="25"/>
  <c r="BR101" i="25"/>
  <c r="AF145" i="24"/>
  <c r="AF146" i="24"/>
  <c r="D18" i="24"/>
  <c r="E18" i="24"/>
  <c r="F18" i="24"/>
  <c r="G18" i="24"/>
  <c r="H18" i="24"/>
  <c r="I18" i="24"/>
  <c r="J18" i="24"/>
  <c r="K18" i="24"/>
  <c r="L18" i="24"/>
  <c r="M18" i="24"/>
  <c r="N18" i="24"/>
  <c r="O18" i="24"/>
  <c r="P18" i="24"/>
  <c r="Q18" i="24"/>
  <c r="R18" i="24"/>
  <c r="S18" i="24"/>
  <c r="T18" i="24"/>
  <c r="U18" i="24"/>
  <c r="V18" i="24"/>
  <c r="W18" i="24"/>
  <c r="X18" i="24"/>
  <c r="Y18" i="24"/>
  <c r="Z18" i="24"/>
  <c r="AA18" i="24"/>
  <c r="AB18" i="24"/>
  <c r="AC18" i="24"/>
  <c r="AD18" i="24"/>
  <c r="AE18" i="24"/>
  <c r="AF18" i="24"/>
  <c r="AG18" i="24"/>
  <c r="AH18" i="24"/>
  <c r="AH19" i="24" l="1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BP171" i="25" l="1"/>
  <c r="BP172" i="25"/>
  <c r="BO7" i="54" l="1"/>
  <c r="AF147" i="24" l="1"/>
  <c r="BP103" i="25" l="1"/>
  <c r="D21" i="25" l="1"/>
  <c r="J27" i="58" l="1"/>
  <c r="I27" i="58"/>
  <c r="J16" i="58" l="1"/>
  <c r="J19" i="58" s="1"/>
  <c r="J28" i="58" s="1"/>
  <c r="I16" i="58"/>
  <c r="I19" i="58" s="1"/>
  <c r="I28" i="58" s="1"/>
  <c r="K12" i="58" l="1"/>
  <c r="K21" i="58"/>
  <c r="K17" i="58"/>
  <c r="K13" i="58"/>
  <c r="K22" i="58"/>
  <c r="K10" i="58"/>
  <c r="K14" i="58"/>
  <c r="K23" i="58"/>
  <c r="K24" i="58"/>
  <c r="K18" i="58"/>
  <c r="K15" i="58"/>
  <c r="K25" i="58"/>
  <c r="K26" i="58"/>
  <c r="K11" i="58"/>
  <c r="K20" i="58"/>
  <c r="K9" i="58"/>
  <c r="D49" i="25"/>
  <c r="K16" i="58" l="1"/>
  <c r="K19" i="58" s="1"/>
  <c r="K27" i="58"/>
  <c r="D27" i="58"/>
  <c r="C27" i="58"/>
  <c r="K28" i="58" l="1"/>
  <c r="AE9" i="24"/>
  <c r="H26" i="11" l="1"/>
  <c r="BS7" i="9" l="1"/>
  <c r="I11" i="34" l="1"/>
  <c r="E103" i="31" l="1"/>
  <c r="J11" i="34" l="1"/>
  <c r="H7" i="9" l="1"/>
  <c r="F27" i="58" l="1"/>
  <c r="G16" i="58"/>
  <c r="G19" i="58" s="1"/>
  <c r="G28" i="58" s="1"/>
  <c r="F16" i="58"/>
  <c r="F19" i="58" s="1"/>
  <c r="F28" i="58" l="1"/>
  <c r="H16" i="58"/>
  <c r="H19" i="58" s="1"/>
  <c r="BO8" i="25"/>
  <c r="BP8" i="25"/>
  <c r="BQ8" i="25"/>
  <c r="BO9" i="25"/>
  <c r="BP9" i="25"/>
  <c r="BQ9" i="25"/>
  <c r="BO10" i="25"/>
  <c r="BP10" i="25"/>
  <c r="BQ10" i="25"/>
  <c r="D41" i="7" l="1"/>
  <c r="J7" i="34" l="1"/>
  <c r="I7" i="34"/>
  <c r="J6" i="34"/>
  <c r="I6" i="34"/>
  <c r="G112" i="31" l="1"/>
  <c r="J5" i="34" l="1"/>
  <c r="I5" i="34"/>
  <c r="R90" i="31" l="1"/>
  <c r="AH41" i="58" l="1"/>
  <c r="AH40" i="58"/>
  <c r="AH39" i="58"/>
  <c r="BM7" i="9" l="1"/>
  <c r="BL7" i="9"/>
  <c r="BK7" i="9"/>
  <c r="BJ7" i="9"/>
  <c r="AU7" i="9"/>
  <c r="AT7" i="9"/>
  <c r="AS7" i="9"/>
  <c r="AH130" i="24"/>
  <c r="AG130" i="24"/>
  <c r="AF130" i="24"/>
  <c r="D130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AH125" i="24"/>
  <c r="AG125" i="24"/>
  <c r="AF125" i="24"/>
  <c r="AE125" i="24"/>
  <c r="AD125" i="24"/>
  <c r="AC125" i="24"/>
  <c r="AB125" i="24"/>
  <c r="AA125" i="24"/>
  <c r="Z125" i="24"/>
  <c r="Y125" i="24"/>
  <c r="X125" i="24"/>
  <c r="W125" i="24"/>
  <c r="V125" i="24"/>
  <c r="U125" i="24"/>
  <c r="T125" i="24"/>
  <c r="S125" i="24"/>
  <c r="R125" i="24"/>
  <c r="Q125" i="24"/>
  <c r="P125" i="24"/>
  <c r="O125" i="24"/>
  <c r="N125" i="24"/>
  <c r="M125" i="24"/>
  <c r="L125" i="24"/>
  <c r="K125" i="24"/>
  <c r="J125" i="24"/>
  <c r="I125" i="24"/>
  <c r="H125" i="24"/>
  <c r="G125" i="24"/>
  <c r="F125" i="24"/>
  <c r="E125" i="24"/>
  <c r="D125" i="24"/>
  <c r="AH124" i="24"/>
  <c r="AG124" i="24"/>
  <c r="AF124" i="24"/>
  <c r="AE124" i="24"/>
  <c r="AD124" i="24"/>
  <c r="AC124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K124" i="24"/>
  <c r="J124" i="24"/>
  <c r="I124" i="24"/>
  <c r="H124" i="24"/>
  <c r="G124" i="24"/>
  <c r="F124" i="24"/>
  <c r="E124" i="24"/>
  <c r="D124" i="24"/>
  <c r="AH123" i="24"/>
  <c r="AG123" i="24"/>
  <c r="AF123" i="24"/>
  <c r="AE123" i="24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K123" i="24"/>
  <c r="J123" i="24"/>
  <c r="I123" i="24"/>
  <c r="H123" i="24"/>
  <c r="G123" i="24"/>
  <c r="F123" i="24"/>
  <c r="E123" i="24"/>
  <c r="D123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AH117" i="24"/>
  <c r="D117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AH114" i="24"/>
  <c r="AG114" i="24"/>
  <c r="AF114" i="24"/>
  <c r="AE114" i="24"/>
  <c r="AD114" i="24"/>
  <c r="AC114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K114" i="24"/>
  <c r="J114" i="24"/>
  <c r="I114" i="24"/>
  <c r="H114" i="24"/>
  <c r="G114" i="24"/>
  <c r="F114" i="24"/>
  <c r="E114" i="24"/>
  <c r="D114" i="24"/>
  <c r="AH113" i="24"/>
  <c r="AG113" i="24"/>
  <c r="AF113" i="24"/>
  <c r="AE113" i="24"/>
  <c r="AD113" i="24"/>
  <c r="AC113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K113" i="24"/>
  <c r="J113" i="24"/>
  <c r="I113" i="24"/>
  <c r="H113" i="24"/>
  <c r="G113" i="24"/>
  <c r="F113" i="24"/>
  <c r="E113" i="24"/>
  <c r="D113" i="24"/>
  <c r="AH112" i="24"/>
  <c r="AG112" i="24"/>
  <c r="AF112" i="24"/>
  <c r="AE112" i="24"/>
  <c r="AD112" i="24"/>
  <c r="AC112" i="24"/>
  <c r="AB112" i="24"/>
  <c r="AA112" i="24"/>
  <c r="Z112" i="24"/>
  <c r="Y112" i="24"/>
  <c r="X112" i="24"/>
  <c r="W112" i="24"/>
  <c r="V112" i="24"/>
  <c r="U112" i="24"/>
  <c r="T112" i="24"/>
  <c r="S112" i="24"/>
  <c r="R112" i="24"/>
  <c r="Q112" i="24"/>
  <c r="P112" i="24"/>
  <c r="O112" i="24"/>
  <c r="N112" i="24"/>
  <c r="M112" i="24"/>
  <c r="L112" i="24"/>
  <c r="K112" i="24"/>
  <c r="J112" i="24"/>
  <c r="I112" i="24"/>
  <c r="H112" i="24"/>
  <c r="G112" i="24"/>
  <c r="F112" i="24"/>
  <c r="E112" i="24"/>
  <c r="D112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AH104" i="24"/>
  <c r="D104" i="24"/>
  <c r="AH103" i="24"/>
  <c r="AG103" i="24"/>
  <c r="AF103" i="24"/>
  <c r="AE103" i="24"/>
  <c r="AD103" i="24"/>
  <c r="AC103" i="24"/>
  <c r="AB103" i="24"/>
  <c r="AA103" i="24"/>
  <c r="Z103" i="24"/>
  <c r="Y103" i="24"/>
  <c r="X103" i="24"/>
  <c r="W103" i="24"/>
  <c r="V103" i="24"/>
  <c r="U103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H103" i="24"/>
  <c r="G103" i="24"/>
  <c r="F103" i="24"/>
  <c r="E103" i="24"/>
  <c r="D103" i="24"/>
  <c r="AH102" i="24"/>
  <c r="AG102" i="24"/>
  <c r="AF102" i="24"/>
  <c r="AE102" i="24"/>
  <c r="AD102" i="24"/>
  <c r="AC102" i="24"/>
  <c r="AB102" i="24"/>
  <c r="AA102" i="24"/>
  <c r="Z102" i="24"/>
  <c r="Y102" i="24"/>
  <c r="X102" i="24"/>
  <c r="W102" i="24"/>
  <c r="V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F102" i="24"/>
  <c r="E102" i="24"/>
  <c r="D102" i="24"/>
  <c r="AH101" i="24"/>
  <c r="AG101" i="24"/>
  <c r="AF101" i="24"/>
  <c r="AE101" i="24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I101" i="24"/>
  <c r="H101" i="24"/>
  <c r="G101" i="24"/>
  <c r="F101" i="24"/>
  <c r="E101" i="24"/>
  <c r="D101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AH92" i="24"/>
  <c r="AG92" i="24"/>
  <c r="AF92" i="24"/>
  <c r="AE92" i="24"/>
  <c r="AD92" i="24"/>
  <c r="AC92" i="24"/>
  <c r="AB92" i="24"/>
  <c r="AA92" i="24"/>
  <c r="Z92" i="24"/>
  <c r="Y92" i="24"/>
  <c r="X92" i="24"/>
  <c r="W92" i="24"/>
  <c r="V92" i="24"/>
  <c r="U92" i="24"/>
  <c r="T92" i="24"/>
  <c r="S92" i="24"/>
  <c r="R92" i="24"/>
  <c r="Q92" i="24"/>
  <c r="P92" i="24"/>
  <c r="O92" i="24"/>
  <c r="N92" i="24"/>
  <c r="M92" i="24"/>
  <c r="L92" i="24"/>
  <c r="K92" i="24"/>
  <c r="J92" i="24"/>
  <c r="I92" i="24"/>
  <c r="H92" i="24"/>
  <c r="G92" i="24"/>
  <c r="F92" i="24"/>
  <c r="E92" i="24"/>
  <c r="D92" i="24"/>
  <c r="T276" i="24"/>
  <c r="T275" i="24"/>
  <c r="T274" i="24"/>
  <c r="T273" i="24"/>
  <c r="T272" i="24"/>
  <c r="T271" i="24"/>
  <c r="T270" i="24"/>
  <c r="T269" i="24"/>
  <c r="T268" i="24"/>
  <c r="T267" i="24"/>
  <c r="T266" i="24"/>
  <c r="T265" i="24"/>
  <c r="T264" i="24"/>
  <c r="T263" i="24"/>
  <c r="T262" i="24"/>
  <c r="T261" i="24"/>
  <c r="T260" i="24"/>
  <c r="T259" i="24"/>
  <c r="T258" i="24"/>
  <c r="T257" i="24"/>
  <c r="T256" i="24"/>
  <c r="T255" i="24"/>
  <c r="T254" i="24"/>
  <c r="T253" i="24"/>
  <c r="T252" i="24"/>
  <c r="T251" i="24"/>
  <c r="T250" i="24"/>
  <c r="T220" i="24"/>
  <c r="T219" i="24"/>
  <c r="T217" i="24"/>
  <c r="T216" i="24"/>
  <c r="T215" i="24"/>
  <c r="T214" i="24"/>
  <c r="T213" i="24"/>
  <c r="T212" i="24"/>
  <c r="T211" i="24"/>
  <c r="T210" i="24"/>
  <c r="T209" i="24"/>
  <c r="T208" i="24"/>
  <c r="T207" i="24"/>
  <c r="T206" i="24"/>
  <c r="T205" i="24"/>
  <c r="T204" i="24"/>
  <c r="T203" i="24"/>
  <c r="T202" i="24"/>
  <c r="T201" i="24"/>
  <c r="T200" i="24"/>
  <c r="T199" i="24"/>
  <c r="T198" i="24"/>
  <c r="T197" i="24"/>
  <c r="T196" i="24"/>
  <c r="T195" i="24"/>
  <c r="T194" i="24"/>
  <c r="T193" i="24"/>
  <c r="T192" i="24"/>
  <c r="T191" i="24"/>
  <c r="T190" i="24"/>
  <c r="T189" i="24"/>
  <c r="T188" i="24"/>
  <c r="T187" i="24"/>
  <c r="T186" i="24"/>
  <c r="T185" i="24"/>
  <c r="T184" i="24"/>
  <c r="T183" i="24"/>
  <c r="T182" i="24"/>
  <c r="T181" i="24"/>
  <c r="T180" i="24"/>
  <c r="T179" i="24"/>
  <c r="T178" i="24"/>
  <c r="T177" i="24"/>
  <c r="T176" i="24"/>
  <c r="T175" i="24"/>
  <c r="T174" i="24"/>
  <c r="T173" i="24"/>
  <c r="T172" i="24"/>
  <c r="T171" i="24"/>
  <c r="T170" i="24"/>
  <c r="T169" i="24"/>
  <c r="T168" i="24"/>
  <c r="T167" i="24"/>
  <c r="T166" i="24"/>
  <c r="T165" i="24"/>
  <c r="T164" i="24"/>
  <c r="T163" i="24"/>
  <c r="T162" i="24"/>
  <c r="T161" i="24"/>
  <c r="T160" i="24"/>
  <c r="T159" i="24"/>
  <c r="T158" i="24"/>
  <c r="T157" i="24"/>
  <c r="T156" i="24"/>
  <c r="T155" i="24"/>
  <c r="T154" i="24"/>
  <c r="T153" i="24"/>
  <c r="T152" i="24"/>
  <c r="T151" i="24"/>
  <c r="T150" i="24"/>
  <c r="T149" i="24"/>
  <c r="T148" i="24"/>
  <c r="T147" i="24"/>
  <c r="T146" i="24"/>
  <c r="T145" i="24"/>
  <c r="T142" i="24"/>
  <c r="T141" i="24"/>
  <c r="T140" i="24"/>
  <c r="T139" i="24"/>
  <c r="T138" i="24"/>
  <c r="T137" i="24"/>
  <c r="T136" i="24"/>
  <c r="T135" i="24"/>
  <c r="T134" i="24"/>
  <c r="T133" i="24"/>
  <c r="T132" i="24"/>
  <c r="T131" i="24"/>
  <c r="T89" i="24"/>
  <c r="T88" i="24"/>
  <c r="T87" i="24"/>
  <c r="T86" i="24"/>
  <c r="T85" i="24"/>
  <c r="T84" i="24"/>
  <c r="T83" i="24"/>
  <c r="T82" i="24"/>
  <c r="T81" i="24"/>
  <c r="T80" i="24"/>
  <c r="T79" i="24"/>
  <c r="T78" i="24"/>
  <c r="T77" i="24"/>
  <c r="T76" i="24"/>
  <c r="T75" i="24"/>
  <c r="T74" i="24"/>
  <c r="T73" i="24"/>
  <c r="T72" i="24"/>
  <c r="T71" i="24"/>
  <c r="T70" i="24"/>
  <c r="T69" i="24"/>
  <c r="T68" i="24"/>
  <c r="T67" i="24"/>
  <c r="T66" i="24"/>
  <c r="T65" i="24"/>
  <c r="T64" i="24"/>
  <c r="T63" i="24"/>
  <c r="T62" i="24"/>
  <c r="T61" i="24"/>
  <c r="T60" i="24"/>
  <c r="T59" i="24"/>
  <c r="T58" i="24"/>
  <c r="T57" i="24"/>
  <c r="T56" i="24"/>
  <c r="T55" i="24"/>
  <c r="T54" i="24"/>
  <c r="T53" i="24"/>
  <c r="T52" i="24"/>
  <c r="T51" i="24"/>
  <c r="T50" i="24"/>
  <c r="T49" i="24"/>
  <c r="T48" i="24"/>
  <c r="T47" i="24"/>
  <c r="T46" i="24"/>
  <c r="T45" i="24"/>
  <c r="T43" i="24"/>
  <c r="T42" i="24"/>
  <c r="T41" i="24"/>
  <c r="T40" i="24"/>
  <c r="T39" i="24"/>
  <c r="T38" i="24"/>
  <c r="T37" i="24"/>
  <c r="T36" i="24"/>
  <c r="T35" i="24"/>
  <c r="T34" i="24"/>
  <c r="T33" i="24"/>
  <c r="T17" i="24"/>
  <c r="T16" i="24"/>
  <c r="T15" i="24"/>
  <c r="T13" i="24"/>
  <c r="T12" i="24"/>
  <c r="T11" i="24"/>
  <c r="T10" i="24"/>
  <c r="T9" i="24"/>
  <c r="T8" i="24"/>
  <c r="S276" i="24"/>
  <c r="S275" i="24"/>
  <c r="S274" i="24"/>
  <c r="S273" i="24"/>
  <c r="S272" i="24"/>
  <c r="S271" i="24"/>
  <c r="S270" i="24"/>
  <c r="S269" i="24"/>
  <c r="S268" i="24"/>
  <c r="S267" i="24"/>
  <c r="S266" i="24"/>
  <c r="S265" i="24"/>
  <c r="S264" i="24"/>
  <c r="S263" i="24"/>
  <c r="S262" i="24"/>
  <c r="S261" i="24"/>
  <c r="S260" i="24"/>
  <c r="S259" i="24"/>
  <c r="S258" i="24"/>
  <c r="S257" i="24"/>
  <c r="S256" i="24"/>
  <c r="S255" i="24"/>
  <c r="S254" i="24"/>
  <c r="S253" i="24"/>
  <c r="S252" i="24"/>
  <c r="S251" i="24"/>
  <c r="S250" i="24"/>
  <c r="S220" i="24"/>
  <c r="S219" i="24"/>
  <c r="S217" i="24"/>
  <c r="S216" i="24"/>
  <c r="S215" i="24"/>
  <c r="S214" i="24"/>
  <c r="S213" i="24"/>
  <c r="S212" i="24"/>
  <c r="S211" i="24"/>
  <c r="S210" i="24"/>
  <c r="S209" i="24"/>
  <c r="S208" i="24"/>
  <c r="S207" i="24"/>
  <c r="S206" i="24"/>
  <c r="S205" i="24"/>
  <c r="S204" i="24"/>
  <c r="S203" i="24"/>
  <c r="S202" i="24"/>
  <c r="S201" i="24"/>
  <c r="S200" i="24"/>
  <c r="S199" i="24"/>
  <c r="S198" i="24"/>
  <c r="S197" i="24"/>
  <c r="S196" i="24"/>
  <c r="S195" i="24"/>
  <c r="S194" i="24"/>
  <c r="S193" i="24"/>
  <c r="S192" i="24"/>
  <c r="S191" i="24"/>
  <c r="S190" i="24"/>
  <c r="S189" i="24"/>
  <c r="S188" i="24"/>
  <c r="S187" i="24"/>
  <c r="S186" i="24"/>
  <c r="S185" i="24"/>
  <c r="S184" i="24"/>
  <c r="S183" i="24"/>
  <c r="S182" i="24"/>
  <c r="S181" i="24"/>
  <c r="S180" i="24"/>
  <c r="S179" i="24"/>
  <c r="S178" i="24"/>
  <c r="S177" i="24"/>
  <c r="S176" i="24"/>
  <c r="S175" i="24"/>
  <c r="S174" i="24"/>
  <c r="S173" i="24"/>
  <c r="S172" i="24"/>
  <c r="S171" i="24"/>
  <c r="S170" i="24"/>
  <c r="S169" i="24"/>
  <c r="S168" i="24"/>
  <c r="S167" i="24"/>
  <c r="S166" i="24"/>
  <c r="S165" i="24"/>
  <c r="S164" i="24"/>
  <c r="S163" i="24"/>
  <c r="S162" i="24"/>
  <c r="S161" i="24"/>
  <c r="S160" i="24"/>
  <c r="S159" i="24"/>
  <c r="S158" i="24"/>
  <c r="S157" i="24"/>
  <c r="S156" i="24"/>
  <c r="S155" i="24"/>
  <c r="S154" i="24"/>
  <c r="S153" i="24"/>
  <c r="S152" i="24"/>
  <c r="S151" i="24"/>
  <c r="S150" i="24"/>
  <c r="S149" i="24"/>
  <c r="S148" i="24"/>
  <c r="S147" i="24"/>
  <c r="S146" i="24"/>
  <c r="S145" i="24"/>
  <c r="S142" i="24"/>
  <c r="S141" i="24"/>
  <c r="S140" i="24"/>
  <c r="S139" i="24"/>
  <c r="S138" i="24"/>
  <c r="S137" i="24"/>
  <c r="S136" i="24"/>
  <c r="S135" i="24"/>
  <c r="S134" i="24"/>
  <c r="S133" i="24"/>
  <c r="S132" i="24"/>
  <c r="S131" i="24"/>
  <c r="S89" i="24"/>
  <c r="S88" i="24"/>
  <c r="S87" i="24"/>
  <c r="S86" i="24"/>
  <c r="S85" i="24"/>
  <c r="S84" i="24"/>
  <c r="S83" i="24"/>
  <c r="S82" i="24"/>
  <c r="S81" i="24"/>
  <c r="S80" i="24"/>
  <c r="S79" i="24"/>
  <c r="S78" i="24"/>
  <c r="S77" i="24"/>
  <c r="S76" i="24"/>
  <c r="S75" i="24"/>
  <c r="S74" i="24"/>
  <c r="S73" i="24"/>
  <c r="S72" i="24"/>
  <c r="S71" i="24"/>
  <c r="S70" i="24"/>
  <c r="S69" i="24"/>
  <c r="S68" i="24"/>
  <c r="S67" i="24"/>
  <c r="S66" i="24"/>
  <c r="S65" i="24"/>
  <c r="S64" i="24"/>
  <c r="S63" i="24"/>
  <c r="S62" i="24"/>
  <c r="S61" i="24"/>
  <c r="S60" i="24"/>
  <c r="S59" i="24"/>
  <c r="S58" i="24"/>
  <c r="S57" i="24"/>
  <c r="S56" i="24"/>
  <c r="S55" i="24"/>
  <c r="S54" i="24"/>
  <c r="S53" i="24"/>
  <c r="S52" i="24"/>
  <c r="S51" i="24"/>
  <c r="S50" i="24"/>
  <c r="S49" i="24"/>
  <c r="S48" i="24"/>
  <c r="S47" i="24"/>
  <c r="S46" i="24"/>
  <c r="S45" i="24"/>
  <c r="S43" i="24"/>
  <c r="S42" i="24"/>
  <c r="S41" i="24"/>
  <c r="S40" i="24"/>
  <c r="S39" i="24"/>
  <c r="S38" i="24"/>
  <c r="S37" i="24"/>
  <c r="S36" i="24"/>
  <c r="S35" i="24"/>
  <c r="S34" i="24"/>
  <c r="S33" i="24"/>
  <c r="S17" i="24"/>
  <c r="S16" i="24"/>
  <c r="S15" i="24"/>
  <c r="S13" i="24"/>
  <c r="S12" i="24"/>
  <c r="S11" i="24"/>
  <c r="S10" i="24"/>
  <c r="S9" i="24"/>
  <c r="S8" i="24"/>
  <c r="R276" i="24"/>
  <c r="R275" i="24"/>
  <c r="R274" i="24"/>
  <c r="R273" i="24"/>
  <c r="R272" i="24"/>
  <c r="R271" i="24"/>
  <c r="R270" i="24"/>
  <c r="R269" i="24"/>
  <c r="R268" i="24"/>
  <c r="R267" i="24"/>
  <c r="R266" i="24"/>
  <c r="R265" i="24"/>
  <c r="R264" i="24"/>
  <c r="R263" i="24"/>
  <c r="R262" i="24"/>
  <c r="R261" i="24"/>
  <c r="R260" i="24"/>
  <c r="R259" i="24"/>
  <c r="R258" i="24"/>
  <c r="R257" i="24"/>
  <c r="R256" i="24"/>
  <c r="R255" i="24"/>
  <c r="R254" i="24"/>
  <c r="R253" i="24"/>
  <c r="R252" i="24"/>
  <c r="R251" i="24"/>
  <c r="R250" i="24"/>
  <c r="R220" i="24"/>
  <c r="R219" i="24"/>
  <c r="R217" i="24"/>
  <c r="R216" i="24"/>
  <c r="R215" i="24"/>
  <c r="R214" i="24"/>
  <c r="R213" i="24"/>
  <c r="R212" i="24"/>
  <c r="R211" i="24"/>
  <c r="R210" i="24"/>
  <c r="R209" i="24"/>
  <c r="R208" i="24"/>
  <c r="R207" i="24"/>
  <c r="R206" i="24"/>
  <c r="R205" i="24"/>
  <c r="R204" i="24"/>
  <c r="R203" i="24"/>
  <c r="R202" i="24"/>
  <c r="R201" i="24"/>
  <c r="R200" i="24"/>
  <c r="R199" i="24"/>
  <c r="R198" i="24"/>
  <c r="R197" i="24"/>
  <c r="R196" i="24"/>
  <c r="R195" i="24"/>
  <c r="R194" i="24"/>
  <c r="R193" i="24"/>
  <c r="R192" i="24"/>
  <c r="R191" i="24"/>
  <c r="R190" i="24"/>
  <c r="R189" i="24"/>
  <c r="R188" i="24"/>
  <c r="R187" i="24"/>
  <c r="R186" i="24"/>
  <c r="R185" i="24"/>
  <c r="R184" i="24"/>
  <c r="R183" i="24"/>
  <c r="R182" i="24"/>
  <c r="R181" i="24"/>
  <c r="R180" i="24"/>
  <c r="R179" i="24"/>
  <c r="R178" i="24"/>
  <c r="R177" i="24"/>
  <c r="R176" i="24"/>
  <c r="R175" i="24"/>
  <c r="R174" i="24"/>
  <c r="R173" i="24"/>
  <c r="R172" i="24"/>
  <c r="R171" i="24"/>
  <c r="R170" i="24"/>
  <c r="R169" i="24"/>
  <c r="R168" i="24"/>
  <c r="R167" i="24"/>
  <c r="R166" i="24"/>
  <c r="R165" i="24"/>
  <c r="R164" i="24"/>
  <c r="R163" i="24"/>
  <c r="R162" i="24"/>
  <c r="R161" i="24"/>
  <c r="R160" i="24"/>
  <c r="R159" i="24"/>
  <c r="R158" i="24"/>
  <c r="R157" i="24"/>
  <c r="R156" i="24"/>
  <c r="R155" i="24"/>
  <c r="R154" i="24"/>
  <c r="R153" i="24"/>
  <c r="R152" i="24"/>
  <c r="R151" i="24"/>
  <c r="R150" i="24"/>
  <c r="R149" i="24"/>
  <c r="R148" i="24"/>
  <c r="R147" i="24"/>
  <c r="R146" i="24"/>
  <c r="R145" i="24"/>
  <c r="R142" i="24"/>
  <c r="R141" i="24"/>
  <c r="R140" i="24"/>
  <c r="R139" i="24"/>
  <c r="R138" i="24"/>
  <c r="R137" i="24"/>
  <c r="R136" i="24"/>
  <c r="R135" i="24"/>
  <c r="R134" i="24"/>
  <c r="R133" i="24"/>
  <c r="R132" i="24"/>
  <c r="R131" i="24"/>
  <c r="R89" i="24"/>
  <c r="R88" i="24"/>
  <c r="R87" i="24"/>
  <c r="R86" i="24"/>
  <c r="R85" i="24"/>
  <c r="R84" i="24"/>
  <c r="R83" i="24"/>
  <c r="R82" i="24"/>
  <c r="R81" i="24"/>
  <c r="R80" i="24"/>
  <c r="R79" i="24"/>
  <c r="R78" i="24"/>
  <c r="R77" i="24"/>
  <c r="R76" i="24"/>
  <c r="R75" i="24"/>
  <c r="R74" i="24"/>
  <c r="R73" i="24"/>
  <c r="R72" i="24"/>
  <c r="R71" i="24"/>
  <c r="R70" i="24"/>
  <c r="R69" i="24"/>
  <c r="R68" i="24"/>
  <c r="R67" i="24"/>
  <c r="R66" i="24"/>
  <c r="R65" i="24"/>
  <c r="R64" i="24"/>
  <c r="R63" i="24"/>
  <c r="R62" i="24"/>
  <c r="R61" i="24"/>
  <c r="R60" i="24"/>
  <c r="R59" i="24"/>
  <c r="R58" i="24"/>
  <c r="R57" i="24"/>
  <c r="R56" i="24"/>
  <c r="R55" i="24"/>
  <c r="R54" i="24"/>
  <c r="R53" i="24"/>
  <c r="R52" i="24"/>
  <c r="R51" i="24"/>
  <c r="R50" i="24"/>
  <c r="R49" i="24"/>
  <c r="R48" i="24"/>
  <c r="R47" i="24"/>
  <c r="R46" i="24"/>
  <c r="R45" i="24"/>
  <c r="R43" i="24"/>
  <c r="R42" i="24"/>
  <c r="R41" i="24"/>
  <c r="R40" i="24"/>
  <c r="R39" i="24"/>
  <c r="R38" i="24"/>
  <c r="R37" i="24"/>
  <c r="R36" i="24"/>
  <c r="R35" i="24"/>
  <c r="R34" i="24"/>
  <c r="R33" i="24"/>
  <c r="R17" i="24"/>
  <c r="R16" i="24"/>
  <c r="R15" i="24"/>
  <c r="R13" i="24"/>
  <c r="R12" i="24"/>
  <c r="R11" i="24"/>
  <c r="R10" i="24"/>
  <c r="R9" i="24"/>
  <c r="R8" i="24"/>
  <c r="BR85" i="25"/>
  <c r="BQ85" i="25"/>
  <c r="BP85" i="25"/>
  <c r="BO85" i="25"/>
  <c r="BN85" i="25"/>
  <c r="BM85" i="25"/>
  <c r="BL85" i="25"/>
  <c r="BK85" i="25"/>
  <c r="BJ85" i="25"/>
  <c r="BI85" i="25"/>
  <c r="BH85" i="25"/>
  <c r="BG85" i="25"/>
  <c r="BF85" i="25"/>
  <c r="BE85" i="25"/>
  <c r="BD85" i="25"/>
  <c r="BC85" i="25"/>
  <c r="BB85" i="25"/>
  <c r="BA85" i="25"/>
  <c r="AZ85" i="25"/>
  <c r="AY85" i="25"/>
  <c r="AX85" i="25"/>
  <c r="AW85" i="25"/>
  <c r="AU85" i="25"/>
  <c r="AT85" i="25"/>
  <c r="AS85" i="25"/>
  <c r="AV85" i="25" s="1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BR84" i="25"/>
  <c r="BQ84" i="25"/>
  <c r="BP84" i="25"/>
  <c r="BO84" i="25"/>
  <c r="BN84" i="25"/>
  <c r="BM84" i="25"/>
  <c r="BL84" i="25"/>
  <c r="BK84" i="25"/>
  <c r="BJ84" i="25"/>
  <c r="BI84" i="25"/>
  <c r="BH84" i="25"/>
  <c r="BG84" i="25"/>
  <c r="BF84" i="25"/>
  <c r="BE84" i="25"/>
  <c r="BD84" i="25"/>
  <c r="BC84" i="25"/>
  <c r="BB84" i="25"/>
  <c r="BA84" i="25"/>
  <c r="AZ84" i="25"/>
  <c r="AY84" i="25"/>
  <c r="AX84" i="25"/>
  <c r="AW84" i="25"/>
  <c r="AU84" i="25"/>
  <c r="AT84" i="25"/>
  <c r="AS84" i="25"/>
  <c r="AV84" i="25" s="1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BR83" i="25"/>
  <c r="BQ83" i="25"/>
  <c r="BP83" i="25"/>
  <c r="BO83" i="25"/>
  <c r="BN83" i="25"/>
  <c r="BM83" i="25"/>
  <c r="BL83" i="25"/>
  <c r="BK83" i="25"/>
  <c r="BJ83" i="25"/>
  <c r="BI83" i="25"/>
  <c r="BH83" i="25"/>
  <c r="BG83" i="25"/>
  <c r="BF83" i="25"/>
  <c r="BE83" i="25"/>
  <c r="BD83" i="25"/>
  <c r="BC83" i="25"/>
  <c r="BB83" i="25"/>
  <c r="BA83" i="25"/>
  <c r="AZ83" i="25"/>
  <c r="AY83" i="25"/>
  <c r="AX83" i="25"/>
  <c r="AW83" i="25"/>
  <c r="AU83" i="25"/>
  <c r="AT83" i="25"/>
  <c r="AS83" i="25"/>
  <c r="AV83" i="25" s="1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BR82" i="25"/>
  <c r="BQ82" i="25"/>
  <c r="BP82" i="25"/>
  <c r="BO82" i="25"/>
  <c r="BN82" i="25"/>
  <c r="BM82" i="25"/>
  <c r="BL82" i="25"/>
  <c r="BK82" i="25"/>
  <c r="BJ82" i="25"/>
  <c r="BI82" i="25"/>
  <c r="BH82" i="25"/>
  <c r="BG82" i="25"/>
  <c r="BF82" i="25"/>
  <c r="BE82" i="25"/>
  <c r="BD82" i="25"/>
  <c r="BC82" i="25"/>
  <c r="BB82" i="25"/>
  <c r="BA82" i="25"/>
  <c r="AZ82" i="25"/>
  <c r="AY82" i="25"/>
  <c r="AX82" i="25"/>
  <c r="AW82" i="25"/>
  <c r="AU82" i="25"/>
  <c r="AT82" i="25"/>
  <c r="AS82" i="25"/>
  <c r="AV82" i="25" s="1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BR81" i="25"/>
  <c r="BQ81" i="25"/>
  <c r="BP81" i="25"/>
  <c r="BO81" i="25"/>
  <c r="BN81" i="25"/>
  <c r="BM81" i="25"/>
  <c r="BL81" i="25"/>
  <c r="BK81" i="25"/>
  <c r="BJ81" i="25"/>
  <c r="BI81" i="25"/>
  <c r="BH81" i="25"/>
  <c r="BG81" i="25"/>
  <c r="BF81" i="25"/>
  <c r="BE81" i="25"/>
  <c r="BD81" i="25"/>
  <c r="BC81" i="25"/>
  <c r="BB81" i="25"/>
  <c r="BA81" i="25"/>
  <c r="AZ81" i="25"/>
  <c r="AY81" i="25"/>
  <c r="AX81" i="25"/>
  <c r="AW81" i="25"/>
  <c r="AU81" i="25"/>
  <c r="AT81" i="25"/>
  <c r="AS81" i="25"/>
  <c r="AV81" i="25" s="1"/>
  <c r="AR81" i="25"/>
  <c r="AQ81" i="25"/>
  <c r="AP81" i="25"/>
  <c r="AO81" i="25"/>
  <c r="AN81" i="25"/>
  <c r="AM81" i="25"/>
  <c r="AL81" i="25"/>
  <c r="AK81" i="25"/>
  <c r="AJ81" i="25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BR80" i="25"/>
  <c r="BQ80" i="25"/>
  <c r="BP80" i="25"/>
  <c r="BO80" i="25"/>
  <c r="BN80" i="25"/>
  <c r="BM80" i="25"/>
  <c r="BL80" i="25"/>
  <c r="BK80" i="25"/>
  <c r="BJ80" i="25"/>
  <c r="BI80" i="25"/>
  <c r="BH80" i="25"/>
  <c r="BG80" i="25"/>
  <c r="BF80" i="25"/>
  <c r="BE80" i="25"/>
  <c r="BD80" i="25"/>
  <c r="BC80" i="25"/>
  <c r="BB80" i="25"/>
  <c r="BA80" i="25"/>
  <c r="AZ80" i="25"/>
  <c r="AY80" i="25"/>
  <c r="AX80" i="25"/>
  <c r="AW80" i="25"/>
  <c r="AU80" i="25"/>
  <c r="AT80" i="25"/>
  <c r="AS80" i="25"/>
  <c r="AV80" i="25" s="1"/>
  <c r="AR80" i="25"/>
  <c r="AQ80" i="25"/>
  <c r="AP80" i="25"/>
  <c r="AO80" i="25"/>
  <c r="AN80" i="25"/>
  <c r="AM80" i="25"/>
  <c r="AL80" i="25"/>
  <c r="AK80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BR79" i="25"/>
  <c r="BQ79" i="25"/>
  <c r="BP79" i="25"/>
  <c r="BO79" i="25"/>
  <c r="BN79" i="25"/>
  <c r="BM79" i="25"/>
  <c r="BL79" i="25"/>
  <c r="BK79" i="25"/>
  <c r="BJ79" i="25"/>
  <c r="BI79" i="25"/>
  <c r="BH79" i="25"/>
  <c r="BG79" i="25"/>
  <c r="BF79" i="25"/>
  <c r="BE79" i="25"/>
  <c r="BD79" i="25"/>
  <c r="BC79" i="25"/>
  <c r="BB79" i="25"/>
  <c r="BA79" i="25"/>
  <c r="AZ79" i="25"/>
  <c r="AY79" i="25"/>
  <c r="AX79" i="25"/>
  <c r="AW79" i="25"/>
  <c r="AU79" i="25"/>
  <c r="AT79" i="25"/>
  <c r="AS79" i="25"/>
  <c r="AV79" i="25" s="1"/>
  <c r="AR79" i="25"/>
  <c r="AQ79" i="25"/>
  <c r="AP79" i="25"/>
  <c r="AO79" i="25"/>
  <c r="AN79" i="25"/>
  <c r="AM79" i="25"/>
  <c r="AL79" i="25"/>
  <c r="AK79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BR78" i="25"/>
  <c r="BQ78" i="25"/>
  <c r="BP78" i="25"/>
  <c r="BO78" i="25"/>
  <c r="BN78" i="25"/>
  <c r="BM78" i="25"/>
  <c r="BL78" i="25"/>
  <c r="BK78" i="25"/>
  <c r="BJ78" i="25"/>
  <c r="BI78" i="25"/>
  <c r="BH78" i="25"/>
  <c r="BG78" i="25"/>
  <c r="BF78" i="25"/>
  <c r="BE78" i="25"/>
  <c r="BD78" i="25"/>
  <c r="BC78" i="25"/>
  <c r="BB78" i="25"/>
  <c r="BA78" i="25"/>
  <c r="AZ78" i="25"/>
  <c r="AY78" i="25"/>
  <c r="AX78" i="25"/>
  <c r="AW78" i="25"/>
  <c r="AU78" i="25"/>
  <c r="AT78" i="25"/>
  <c r="AS78" i="25"/>
  <c r="AV78" i="25" s="1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BR77" i="25"/>
  <c r="BQ77" i="25"/>
  <c r="BP77" i="25"/>
  <c r="BO77" i="25"/>
  <c r="BN77" i="25"/>
  <c r="BM77" i="25"/>
  <c r="BL77" i="25"/>
  <c r="BK77" i="25"/>
  <c r="BJ77" i="25"/>
  <c r="BI77" i="25"/>
  <c r="BH77" i="25"/>
  <c r="BG77" i="25"/>
  <c r="BF77" i="25"/>
  <c r="BE77" i="25"/>
  <c r="BD77" i="25"/>
  <c r="BC77" i="25"/>
  <c r="BB77" i="25"/>
  <c r="BA77" i="25"/>
  <c r="AZ77" i="25"/>
  <c r="AY77" i="25"/>
  <c r="AX77" i="25"/>
  <c r="AW77" i="25"/>
  <c r="AU77" i="25"/>
  <c r="AT77" i="25"/>
  <c r="AS77" i="25"/>
  <c r="AV77" i="25" s="1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BR76" i="25"/>
  <c r="BQ76" i="25"/>
  <c r="BP76" i="25"/>
  <c r="BO76" i="25"/>
  <c r="BN76" i="25"/>
  <c r="BM76" i="25"/>
  <c r="BL76" i="25"/>
  <c r="BK76" i="25"/>
  <c r="BJ76" i="25"/>
  <c r="BI76" i="25"/>
  <c r="BH76" i="25"/>
  <c r="BG76" i="25"/>
  <c r="BF76" i="25"/>
  <c r="BE76" i="25"/>
  <c r="BD76" i="25"/>
  <c r="BC76" i="25"/>
  <c r="BB76" i="25"/>
  <c r="BA76" i="25"/>
  <c r="AZ76" i="25"/>
  <c r="AY76" i="25"/>
  <c r="AX76" i="25"/>
  <c r="AW76" i="25"/>
  <c r="AU76" i="25"/>
  <c r="AT76" i="25"/>
  <c r="AS76" i="25"/>
  <c r="AV76" i="25" s="1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BR75" i="25"/>
  <c r="BQ75" i="25"/>
  <c r="BP75" i="25"/>
  <c r="BO75" i="25"/>
  <c r="BN75" i="25"/>
  <c r="BM75" i="25"/>
  <c r="BL75" i="25"/>
  <c r="BK75" i="25"/>
  <c r="BJ75" i="25"/>
  <c r="BI75" i="25"/>
  <c r="BH75" i="25"/>
  <c r="BG75" i="25"/>
  <c r="BF75" i="25"/>
  <c r="BE75" i="25"/>
  <c r="BD75" i="25"/>
  <c r="BC75" i="25"/>
  <c r="BB75" i="25"/>
  <c r="BA75" i="25"/>
  <c r="AZ75" i="25"/>
  <c r="AY75" i="25"/>
  <c r="AX75" i="25"/>
  <c r="AW75" i="25"/>
  <c r="AU75" i="25"/>
  <c r="AT75" i="25"/>
  <c r="AS75" i="25"/>
  <c r="AV75" i="25" s="1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BR74" i="25"/>
  <c r="BQ74" i="25"/>
  <c r="BP74" i="25"/>
  <c r="BO74" i="25"/>
  <c r="BN74" i="25"/>
  <c r="BM74" i="25"/>
  <c r="BL74" i="25"/>
  <c r="BK74" i="25"/>
  <c r="BJ74" i="25"/>
  <c r="BI74" i="25"/>
  <c r="BH74" i="25"/>
  <c r="BG74" i="25"/>
  <c r="BF74" i="25"/>
  <c r="BE74" i="25"/>
  <c r="BD74" i="25"/>
  <c r="BC74" i="25"/>
  <c r="BB74" i="25"/>
  <c r="BA74" i="25"/>
  <c r="AZ74" i="25"/>
  <c r="AY74" i="25"/>
  <c r="AX74" i="25"/>
  <c r="AW74" i="25"/>
  <c r="AU74" i="25"/>
  <c r="AT74" i="25"/>
  <c r="AS74" i="25"/>
  <c r="AV74" i="25" s="1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BR73" i="25"/>
  <c r="BQ73" i="25"/>
  <c r="BP73" i="25"/>
  <c r="BO73" i="25"/>
  <c r="BN73" i="25"/>
  <c r="BM73" i="25"/>
  <c r="BL73" i="25"/>
  <c r="BK73" i="25"/>
  <c r="BJ73" i="25"/>
  <c r="BI73" i="25"/>
  <c r="BH73" i="25"/>
  <c r="BG73" i="25"/>
  <c r="BF73" i="25"/>
  <c r="BE73" i="25"/>
  <c r="BD73" i="25"/>
  <c r="BC73" i="25"/>
  <c r="BB73" i="25"/>
  <c r="BA73" i="25"/>
  <c r="AZ73" i="25"/>
  <c r="AY73" i="25"/>
  <c r="AX73" i="25"/>
  <c r="AW73" i="25"/>
  <c r="AU73" i="25"/>
  <c r="AT73" i="25"/>
  <c r="AS73" i="25"/>
  <c r="AV73" i="25" s="1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BR72" i="25"/>
  <c r="BQ72" i="25"/>
  <c r="BP72" i="25"/>
  <c r="BO72" i="25"/>
  <c r="BN72" i="25"/>
  <c r="BM72" i="25"/>
  <c r="BL72" i="25"/>
  <c r="BK72" i="25"/>
  <c r="BJ72" i="25"/>
  <c r="BI72" i="25"/>
  <c r="BH72" i="25"/>
  <c r="BG72" i="25"/>
  <c r="BF72" i="25"/>
  <c r="BE72" i="25"/>
  <c r="BD72" i="25"/>
  <c r="BC72" i="25"/>
  <c r="BB72" i="25"/>
  <c r="BA72" i="25"/>
  <c r="AZ72" i="25"/>
  <c r="AY72" i="25"/>
  <c r="AX72" i="25"/>
  <c r="AW72" i="25"/>
  <c r="AU72" i="25"/>
  <c r="AT72" i="25"/>
  <c r="AS72" i="25"/>
  <c r="AV72" i="25" s="1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BR71" i="25"/>
  <c r="BQ71" i="25"/>
  <c r="BP71" i="25"/>
  <c r="BO71" i="25"/>
  <c r="BN71" i="25"/>
  <c r="BM71" i="25"/>
  <c r="BL71" i="25"/>
  <c r="BK71" i="25"/>
  <c r="BJ71" i="25"/>
  <c r="BI71" i="25"/>
  <c r="BH71" i="25"/>
  <c r="BG71" i="25"/>
  <c r="BF71" i="25"/>
  <c r="BE71" i="25"/>
  <c r="BD71" i="25"/>
  <c r="BC71" i="25"/>
  <c r="BB71" i="25"/>
  <c r="BA71" i="25"/>
  <c r="AZ71" i="25"/>
  <c r="AY71" i="25"/>
  <c r="AX71" i="25"/>
  <c r="AW71" i="25"/>
  <c r="AU71" i="25"/>
  <c r="AT71" i="25"/>
  <c r="AS71" i="25"/>
  <c r="AV71" i="25" s="1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BR70" i="25"/>
  <c r="BQ70" i="25"/>
  <c r="BP70" i="25"/>
  <c r="BO70" i="25"/>
  <c r="BN70" i="25"/>
  <c r="BM70" i="25"/>
  <c r="BL70" i="25"/>
  <c r="BK70" i="25"/>
  <c r="BJ70" i="25"/>
  <c r="BI70" i="25"/>
  <c r="BH70" i="25"/>
  <c r="BG70" i="25"/>
  <c r="BF70" i="25"/>
  <c r="BE70" i="25"/>
  <c r="BD70" i="25"/>
  <c r="BC70" i="25"/>
  <c r="BB70" i="25"/>
  <c r="BA70" i="25"/>
  <c r="AZ70" i="25"/>
  <c r="AY70" i="25"/>
  <c r="AX70" i="25"/>
  <c r="AW70" i="25"/>
  <c r="AU70" i="25"/>
  <c r="AT70" i="25"/>
  <c r="AS70" i="25"/>
  <c r="AV70" i="25" s="1"/>
  <c r="AR70" i="25"/>
  <c r="AQ70" i="25"/>
  <c r="AP70" i="25"/>
  <c r="AO70" i="25"/>
  <c r="AN70" i="25"/>
  <c r="AM70" i="25"/>
  <c r="AL70" i="25"/>
  <c r="AK70" i="25"/>
  <c r="AJ70" i="25"/>
  <c r="AI70" i="25"/>
  <c r="AH70" i="25"/>
  <c r="AG70" i="25"/>
  <c r="AF70" i="25"/>
  <c r="AE70" i="25"/>
  <c r="AD70" i="25"/>
  <c r="AC70" i="25"/>
  <c r="AB70" i="25"/>
  <c r="AA70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BR69" i="25"/>
  <c r="BQ69" i="25"/>
  <c r="BP69" i="25"/>
  <c r="BO69" i="25"/>
  <c r="BN69" i="25"/>
  <c r="BM69" i="25"/>
  <c r="BL69" i="25"/>
  <c r="BK69" i="25"/>
  <c r="BJ69" i="25"/>
  <c r="BI69" i="25"/>
  <c r="BH69" i="25"/>
  <c r="BG69" i="25"/>
  <c r="BF69" i="25"/>
  <c r="BE69" i="25"/>
  <c r="BD69" i="25"/>
  <c r="BC69" i="25"/>
  <c r="BB69" i="25"/>
  <c r="BA69" i="25"/>
  <c r="AZ69" i="25"/>
  <c r="AY69" i="25"/>
  <c r="AX69" i="25"/>
  <c r="AW69" i="25"/>
  <c r="AU69" i="25"/>
  <c r="AT69" i="25"/>
  <c r="AS69" i="25"/>
  <c r="AV69" i="25" s="1"/>
  <c r="AR69" i="25"/>
  <c r="AQ69" i="25"/>
  <c r="AP69" i="25"/>
  <c r="AO69" i="25"/>
  <c r="AN69" i="25"/>
  <c r="AM69" i="25"/>
  <c r="AL69" i="25"/>
  <c r="AK69" i="25"/>
  <c r="AJ69" i="25"/>
  <c r="AI69" i="25"/>
  <c r="AH69" i="25"/>
  <c r="AG69" i="25"/>
  <c r="AF69" i="25"/>
  <c r="AE69" i="25"/>
  <c r="AD69" i="25"/>
  <c r="AC69" i="25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BR68" i="25"/>
  <c r="BQ68" i="25"/>
  <c r="BP68" i="25"/>
  <c r="BO68" i="25"/>
  <c r="BN68" i="25"/>
  <c r="BM68" i="25"/>
  <c r="BL68" i="25"/>
  <c r="BK68" i="25"/>
  <c r="BJ68" i="25"/>
  <c r="BI68" i="25"/>
  <c r="BH68" i="25"/>
  <c r="BG68" i="25"/>
  <c r="BF68" i="25"/>
  <c r="BE68" i="25"/>
  <c r="BD68" i="25"/>
  <c r="BC68" i="25"/>
  <c r="BB68" i="25"/>
  <c r="BA68" i="25"/>
  <c r="AZ68" i="25"/>
  <c r="AY68" i="25"/>
  <c r="AX68" i="25"/>
  <c r="AW68" i="25"/>
  <c r="AU68" i="25"/>
  <c r="AT68" i="25"/>
  <c r="AS68" i="25"/>
  <c r="AV68" i="25" s="1"/>
  <c r="AR68" i="25"/>
  <c r="AQ68" i="25"/>
  <c r="AP68" i="25"/>
  <c r="AO68" i="25"/>
  <c r="AN68" i="25"/>
  <c r="AM68" i="25"/>
  <c r="AL68" i="25"/>
  <c r="AK68" i="25"/>
  <c r="AJ68" i="25"/>
  <c r="AI68" i="25"/>
  <c r="AH68" i="25"/>
  <c r="AG68" i="25"/>
  <c r="AF68" i="25"/>
  <c r="AE68" i="25"/>
  <c r="AD68" i="25"/>
  <c r="AC68" i="25"/>
  <c r="AB68" i="25"/>
  <c r="AA68" i="25"/>
  <c r="Z68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BR67" i="25"/>
  <c r="BQ67" i="25"/>
  <c r="BP67" i="25"/>
  <c r="BO67" i="25"/>
  <c r="BN67" i="25"/>
  <c r="BM67" i="25"/>
  <c r="BL67" i="25"/>
  <c r="BK67" i="25"/>
  <c r="BJ67" i="25"/>
  <c r="BI67" i="25"/>
  <c r="BH67" i="25"/>
  <c r="BG67" i="25"/>
  <c r="BF67" i="25"/>
  <c r="BE67" i="25"/>
  <c r="BD67" i="25"/>
  <c r="BC67" i="25"/>
  <c r="BB67" i="25"/>
  <c r="BA67" i="25"/>
  <c r="AZ67" i="25"/>
  <c r="AY67" i="25"/>
  <c r="AX67" i="25"/>
  <c r="AW67" i="25"/>
  <c r="AU67" i="25"/>
  <c r="AT67" i="25"/>
  <c r="AS67" i="25"/>
  <c r="AV67" i="25" s="1"/>
  <c r="AR67" i="25"/>
  <c r="AQ67" i="25"/>
  <c r="AP67" i="25"/>
  <c r="AO67" i="25"/>
  <c r="AN67" i="25"/>
  <c r="AM67" i="25"/>
  <c r="AL67" i="25"/>
  <c r="AK67" i="25"/>
  <c r="AJ67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BR66" i="25"/>
  <c r="BQ66" i="25"/>
  <c r="BP66" i="25"/>
  <c r="BO66" i="25"/>
  <c r="BN66" i="25"/>
  <c r="BM66" i="25"/>
  <c r="BL66" i="25"/>
  <c r="BK66" i="25"/>
  <c r="BJ66" i="25"/>
  <c r="BI66" i="25"/>
  <c r="BH66" i="25"/>
  <c r="BG66" i="25"/>
  <c r="BF66" i="25"/>
  <c r="BE66" i="25"/>
  <c r="BD66" i="25"/>
  <c r="BC66" i="25"/>
  <c r="BB66" i="25"/>
  <c r="BA66" i="25"/>
  <c r="AZ66" i="25"/>
  <c r="AY66" i="25"/>
  <c r="AX66" i="25"/>
  <c r="AW66" i="25"/>
  <c r="AU66" i="25"/>
  <c r="AT66" i="25"/>
  <c r="AS66" i="25"/>
  <c r="AV66" i="25" s="1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BR65" i="25"/>
  <c r="BQ65" i="25"/>
  <c r="BP65" i="25"/>
  <c r="BO65" i="25"/>
  <c r="BN65" i="25"/>
  <c r="BM65" i="25"/>
  <c r="BL65" i="25"/>
  <c r="BK65" i="25"/>
  <c r="BJ65" i="25"/>
  <c r="BI65" i="25"/>
  <c r="BH65" i="25"/>
  <c r="BG65" i="25"/>
  <c r="BF65" i="25"/>
  <c r="BE65" i="25"/>
  <c r="BD65" i="25"/>
  <c r="BC65" i="25"/>
  <c r="BB65" i="25"/>
  <c r="BA65" i="25"/>
  <c r="AZ65" i="25"/>
  <c r="AY65" i="25"/>
  <c r="AX65" i="25"/>
  <c r="AW65" i="25"/>
  <c r="AU65" i="25"/>
  <c r="AT65" i="25"/>
  <c r="AS65" i="25"/>
  <c r="AV65" i="25" s="1"/>
  <c r="AR65" i="25"/>
  <c r="AQ65" i="25"/>
  <c r="AP65" i="25"/>
  <c r="AO65" i="25"/>
  <c r="AN65" i="25"/>
  <c r="AM65" i="25"/>
  <c r="AL65" i="25"/>
  <c r="AK65" i="25"/>
  <c r="AJ65" i="25"/>
  <c r="AI65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BR64" i="25"/>
  <c r="BQ64" i="25"/>
  <c r="BP64" i="25"/>
  <c r="BO64" i="25"/>
  <c r="BN64" i="25"/>
  <c r="BM64" i="25"/>
  <c r="BL64" i="25"/>
  <c r="BK64" i="25"/>
  <c r="BJ64" i="25"/>
  <c r="BI64" i="25"/>
  <c r="BH64" i="25"/>
  <c r="BG64" i="25"/>
  <c r="BF64" i="25"/>
  <c r="BE64" i="25"/>
  <c r="BD64" i="25"/>
  <c r="BC64" i="25"/>
  <c r="BB64" i="25"/>
  <c r="BA64" i="25"/>
  <c r="AZ64" i="25"/>
  <c r="AY64" i="25"/>
  <c r="AX64" i="25"/>
  <c r="AW64" i="25"/>
  <c r="AU64" i="25"/>
  <c r="AT64" i="25"/>
  <c r="AS64" i="25"/>
  <c r="AV64" i="25" s="1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BR63" i="25"/>
  <c r="BQ63" i="25"/>
  <c r="BP63" i="25"/>
  <c r="BO63" i="25"/>
  <c r="BN63" i="25"/>
  <c r="BM63" i="25"/>
  <c r="BL63" i="25"/>
  <c r="BK63" i="25"/>
  <c r="BJ63" i="25"/>
  <c r="BI63" i="25"/>
  <c r="BH63" i="25"/>
  <c r="BG63" i="25"/>
  <c r="BF63" i="25"/>
  <c r="BE63" i="25"/>
  <c r="BD63" i="25"/>
  <c r="BC63" i="25"/>
  <c r="BB63" i="25"/>
  <c r="BA63" i="25"/>
  <c r="AZ63" i="25"/>
  <c r="AY63" i="25"/>
  <c r="AX63" i="25"/>
  <c r="AW63" i="25"/>
  <c r="AU63" i="25"/>
  <c r="AT63" i="25"/>
  <c r="AS63" i="25"/>
  <c r="AV63" i="25" s="1"/>
  <c r="AR63" i="25"/>
  <c r="AQ63" i="25"/>
  <c r="AP63" i="25"/>
  <c r="AO63" i="25"/>
  <c r="AN63" i="25"/>
  <c r="AM63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BR62" i="25"/>
  <c r="BQ62" i="25"/>
  <c r="BP62" i="25"/>
  <c r="BO62" i="25"/>
  <c r="BN62" i="25"/>
  <c r="BM62" i="25"/>
  <c r="BL62" i="25"/>
  <c r="BK62" i="25"/>
  <c r="BJ62" i="25"/>
  <c r="BI62" i="25"/>
  <c r="BH62" i="25"/>
  <c r="BG62" i="25"/>
  <c r="BF62" i="25"/>
  <c r="BE62" i="25"/>
  <c r="BD62" i="25"/>
  <c r="BC62" i="25"/>
  <c r="BB62" i="25"/>
  <c r="BA62" i="25"/>
  <c r="AZ62" i="25"/>
  <c r="AY62" i="25"/>
  <c r="AX62" i="25"/>
  <c r="AW62" i="25"/>
  <c r="AU62" i="25"/>
  <c r="AT62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BI226" i="25"/>
  <c r="BI225" i="25"/>
  <c r="BI224" i="25"/>
  <c r="BI223" i="25"/>
  <c r="BI222" i="25"/>
  <c r="BI221" i="25"/>
  <c r="BI220" i="25"/>
  <c r="BI219" i="25"/>
  <c r="BI218" i="25"/>
  <c r="BI217" i="25"/>
  <c r="BI216" i="25"/>
  <c r="BI215" i="25"/>
  <c r="BI214" i="25"/>
  <c r="BI213" i="25"/>
  <c r="BI212" i="25"/>
  <c r="BI211" i="25"/>
  <c r="BI210" i="25"/>
  <c r="BI209" i="25"/>
  <c r="BI208" i="25"/>
  <c r="BI207" i="25"/>
  <c r="BI206" i="25"/>
  <c r="BI205" i="25"/>
  <c r="BI204" i="25"/>
  <c r="BI203" i="25"/>
  <c r="BI202" i="25"/>
  <c r="BI201" i="25"/>
  <c r="BI200" i="25"/>
  <c r="BI199" i="25"/>
  <c r="BI198" i="25"/>
  <c r="BI197" i="25"/>
  <c r="BI196" i="25"/>
  <c r="BI195" i="25"/>
  <c r="BI194" i="25"/>
  <c r="BI193" i="25"/>
  <c r="BI192" i="25"/>
  <c r="BI191" i="25"/>
  <c r="BI190" i="25"/>
  <c r="BI189" i="25"/>
  <c r="BI188" i="25"/>
  <c r="BI187" i="25"/>
  <c r="BI186" i="25"/>
  <c r="BI185" i="25"/>
  <c r="BI184" i="25"/>
  <c r="BI183" i="25"/>
  <c r="BI182" i="25"/>
  <c r="BI181" i="25"/>
  <c r="BI180" i="25"/>
  <c r="BI179" i="25"/>
  <c r="BI178" i="25"/>
  <c r="BI177" i="25"/>
  <c r="BI176" i="25"/>
  <c r="BI175" i="25"/>
  <c r="BI174" i="25"/>
  <c r="BI173" i="25"/>
  <c r="BI172" i="25"/>
  <c r="BI171" i="25"/>
  <c r="BI170" i="25"/>
  <c r="BI169" i="25"/>
  <c r="BI168" i="25"/>
  <c r="BI167" i="25"/>
  <c r="BI166" i="25"/>
  <c r="BI165" i="25"/>
  <c r="BI164" i="25"/>
  <c r="BI163" i="25"/>
  <c r="BI162" i="25"/>
  <c r="BI161" i="25"/>
  <c r="BI160" i="25"/>
  <c r="BI159" i="25"/>
  <c r="BI158" i="25"/>
  <c r="BI157" i="25"/>
  <c r="BI156" i="25"/>
  <c r="BI155" i="25"/>
  <c r="BI154" i="25"/>
  <c r="BI153" i="25"/>
  <c r="BI152" i="25"/>
  <c r="BI151" i="25"/>
  <c r="BI150" i="25"/>
  <c r="BI149" i="25"/>
  <c r="BI148" i="25"/>
  <c r="BI147" i="25"/>
  <c r="BI146" i="25"/>
  <c r="BI145" i="25"/>
  <c r="BI144" i="25"/>
  <c r="BI143" i="25"/>
  <c r="BI142" i="25"/>
  <c r="BI141" i="25"/>
  <c r="BI140" i="25"/>
  <c r="BI139" i="25"/>
  <c r="BI138" i="25"/>
  <c r="BI137" i="25"/>
  <c r="BI136" i="25"/>
  <c r="BI135" i="25"/>
  <c r="BI134" i="25"/>
  <c r="BI133" i="25"/>
  <c r="BI132" i="25"/>
  <c r="BI131" i="25"/>
  <c r="BI130" i="25"/>
  <c r="BI129" i="25"/>
  <c r="BI128" i="25"/>
  <c r="BI127" i="25"/>
  <c r="BI126" i="25"/>
  <c r="BI125" i="25"/>
  <c r="BI124" i="25"/>
  <c r="BI123" i="25"/>
  <c r="BI122" i="25"/>
  <c r="BI121" i="25"/>
  <c r="BI120" i="25"/>
  <c r="BI119" i="25"/>
  <c r="BI118" i="25"/>
  <c r="BI117" i="25"/>
  <c r="BI116" i="25"/>
  <c r="BI115" i="25"/>
  <c r="BI114" i="25"/>
  <c r="BI113" i="25"/>
  <c r="BI112" i="25"/>
  <c r="BI111" i="25"/>
  <c r="BI110" i="25"/>
  <c r="BI109" i="25"/>
  <c r="BI108" i="25"/>
  <c r="BI107" i="25"/>
  <c r="BI106" i="25"/>
  <c r="BI105" i="25"/>
  <c r="BI104" i="25"/>
  <c r="BI103" i="25"/>
  <c r="BI102" i="25"/>
  <c r="BI98" i="25"/>
  <c r="BI97" i="25"/>
  <c r="BI96" i="25"/>
  <c r="BI95" i="25"/>
  <c r="BI94" i="25"/>
  <c r="BI93" i="25"/>
  <c r="BI92" i="25"/>
  <c r="BI91" i="25"/>
  <c r="BI90" i="25"/>
  <c r="BI89" i="25"/>
  <c r="BI88" i="25"/>
  <c r="BI87" i="25"/>
  <c r="BI86" i="25"/>
  <c r="BI61" i="25"/>
  <c r="BI60" i="25"/>
  <c r="BI59" i="25"/>
  <c r="BI58" i="25"/>
  <c r="BI57" i="25"/>
  <c r="BI56" i="25"/>
  <c r="BI55" i="25"/>
  <c r="BI54" i="25"/>
  <c r="BI53" i="25"/>
  <c r="BI52" i="25"/>
  <c r="BI51" i="25"/>
  <c r="BI50" i="25"/>
  <c r="BI49" i="25"/>
  <c r="BI48" i="25"/>
  <c r="BI47" i="25"/>
  <c r="BI46" i="25"/>
  <c r="BI45" i="25"/>
  <c r="BI44" i="25"/>
  <c r="BI43" i="25"/>
  <c r="BI42" i="25"/>
  <c r="BI41" i="25"/>
  <c r="BI40" i="25"/>
  <c r="BI39" i="25"/>
  <c r="BI38" i="25"/>
  <c r="BI37" i="25"/>
  <c r="BI36" i="25"/>
  <c r="BI35" i="25"/>
  <c r="BI34" i="25"/>
  <c r="BI33" i="25"/>
  <c r="BI32" i="25"/>
  <c r="BI31" i="25"/>
  <c r="BI30" i="25"/>
  <c r="BI29" i="25"/>
  <c r="BI28" i="25"/>
  <c r="BI27" i="25"/>
  <c r="BI26" i="25"/>
  <c r="BI25" i="25"/>
  <c r="BI24" i="25"/>
  <c r="BI23" i="25"/>
  <c r="BI22" i="25"/>
  <c r="BI21" i="25"/>
  <c r="BI20" i="25"/>
  <c r="BI19" i="25"/>
  <c r="BI18" i="25"/>
  <c r="BI17" i="25"/>
  <c r="BI16" i="25"/>
  <c r="BI15" i="25"/>
  <c r="BI14" i="25"/>
  <c r="BI13" i="25"/>
  <c r="BI12" i="25"/>
  <c r="BI11" i="25"/>
  <c r="BI10" i="25"/>
  <c r="BI9" i="25"/>
  <c r="BI8" i="25"/>
  <c r="BH226" i="25"/>
  <c r="BH225" i="25"/>
  <c r="BH224" i="25"/>
  <c r="BH223" i="25"/>
  <c r="BH222" i="25"/>
  <c r="BH221" i="25"/>
  <c r="BH220" i="25"/>
  <c r="BH219" i="25"/>
  <c r="BH218" i="25"/>
  <c r="BH217" i="25"/>
  <c r="BH216" i="25"/>
  <c r="BH215" i="25"/>
  <c r="BH214" i="25"/>
  <c r="BH213" i="25"/>
  <c r="BH212" i="25"/>
  <c r="BH211" i="25"/>
  <c r="BH210" i="25"/>
  <c r="BH209" i="25"/>
  <c r="BH208" i="25"/>
  <c r="BH207" i="25"/>
  <c r="BH206" i="25"/>
  <c r="BH205" i="25"/>
  <c r="BH204" i="25"/>
  <c r="BH203" i="25"/>
  <c r="BH202" i="25"/>
  <c r="BH201" i="25"/>
  <c r="BH200" i="25"/>
  <c r="BH199" i="25"/>
  <c r="BH198" i="25"/>
  <c r="BH197" i="25"/>
  <c r="BH196" i="25"/>
  <c r="BH195" i="25"/>
  <c r="BH194" i="25"/>
  <c r="BH193" i="25"/>
  <c r="BH192" i="25"/>
  <c r="BH191" i="25"/>
  <c r="BH190" i="25"/>
  <c r="BH189" i="25"/>
  <c r="BH188" i="25"/>
  <c r="BH187" i="25"/>
  <c r="BH186" i="25"/>
  <c r="BH185" i="25"/>
  <c r="BH184" i="25"/>
  <c r="BH183" i="25"/>
  <c r="BH182" i="25"/>
  <c r="BH181" i="25"/>
  <c r="BH180" i="25"/>
  <c r="BH179" i="25"/>
  <c r="BH178" i="25"/>
  <c r="BH177" i="25"/>
  <c r="BH176" i="25"/>
  <c r="BH175" i="25"/>
  <c r="BH174" i="25"/>
  <c r="BH173" i="25"/>
  <c r="BH172" i="25"/>
  <c r="BH171" i="25"/>
  <c r="BH170" i="25"/>
  <c r="BH169" i="25"/>
  <c r="BH168" i="25"/>
  <c r="BH167" i="25"/>
  <c r="BH166" i="25"/>
  <c r="BH165" i="25"/>
  <c r="BH164" i="25"/>
  <c r="BH163" i="25"/>
  <c r="BH162" i="25"/>
  <c r="BH161" i="25"/>
  <c r="BH160" i="25"/>
  <c r="BH159" i="25"/>
  <c r="BH158" i="25"/>
  <c r="BH157" i="25"/>
  <c r="BH156" i="25"/>
  <c r="BH155" i="25"/>
  <c r="BH154" i="25"/>
  <c r="BH153" i="25"/>
  <c r="BH152" i="25"/>
  <c r="BH151" i="25"/>
  <c r="BH150" i="25"/>
  <c r="BH149" i="25"/>
  <c r="BH148" i="25"/>
  <c r="BH147" i="25"/>
  <c r="BH146" i="25"/>
  <c r="BH145" i="25"/>
  <c r="BH144" i="25"/>
  <c r="BH143" i="25"/>
  <c r="BH142" i="25"/>
  <c r="BH141" i="25"/>
  <c r="BH140" i="25"/>
  <c r="BH139" i="25"/>
  <c r="BH138" i="25"/>
  <c r="BH137" i="25"/>
  <c r="BH136" i="25"/>
  <c r="BH135" i="25"/>
  <c r="BH134" i="25"/>
  <c r="BH133" i="25"/>
  <c r="BH132" i="25"/>
  <c r="BH131" i="25"/>
  <c r="BH130" i="25"/>
  <c r="BH129" i="25"/>
  <c r="BH128" i="25"/>
  <c r="BH127" i="25"/>
  <c r="BH126" i="25"/>
  <c r="BH125" i="25"/>
  <c r="BH124" i="25"/>
  <c r="BH123" i="25"/>
  <c r="BH122" i="25"/>
  <c r="BH121" i="25"/>
  <c r="BH120" i="25"/>
  <c r="BH119" i="25"/>
  <c r="BH118" i="25"/>
  <c r="BH117" i="25"/>
  <c r="BH116" i="25"/>
  <c r="BH115" i="25"/>
  <c r="BH114" i="25"/>
  <c r="BH113" i="25"/>
  <c r="BH112" i="25"/>
  <c r="BH111" i="25"/>
  <c r="BH110" i="25"/>
  <c r="BH109" i="25"/>
  <c r="BH108" i="25"/>
  <c r="BH107" i="25"/>
  <c r="BH106" i="25"/>
  <c r="BH105" i="25"/>
  <c r="BH104" i="25"/>
  <c r="BH103" i="25"/>
  <c r="BH102" i="25"/>
  <c r="BH98" i="25"/>
  <c r="BH97" i="25"/>
  <c r="BH96" i="25"/>
  <c r="BH95" i="25"/>
  <c r="BH94" i="25"/>
  <c r="BH93" i="25"/>
  <c r="BH92" i="25"/>
  <c r="BH91" i="25"/>
  <c r="BH90" i="25"/>
  <c r="BH89" i="25"/>
  <c r="BH88" i="25"/>
  <c r="BH87" i="25"/>
  <c r="BH86" i="25"/>
  <c r="BH61" i="25"/>
  <c r="BH60" i="25"/>
  <c r="BH59" i="25"/>
  <c r="BH58" i="25"/>
  <c r="BH57" i="25"/>
  <c r="BH56" i="25"/>
  <c r="BH55" i="25"/>
  <c r="BH54" i="25"/>
  <c r="BH53" i="25"/>
  <c r="BH52" i="25"/>
  <c r="BH51" i="25"/>
  <c r="BH50" i="25"/>
  <c r="BH49" i="25"/>
  <c r="BH48" i="25"/>
  <c r="BH47" i="25"/>
  <c r="BH46" i="25"/>
  <c r="BH45" i="25"/>
  <c r="BH44" i="25"/>
  <c r="BH43" i="25"/>
  <c r="BH42" i="25"/>
  <c r="BH41" i="25"/>
  <c r="BH40" i="25"/>
  <c r="BH39" i="25"/>
  <c r="BH38" i="25"/>
  <c r="BH37" i="25"/>
  <c r="BH36" i="25"/>
  <c r="BH35" i="25"/>
  <c r="BH34" i="25"/>
  <c r="BH33" i="25"/>
  <c r="BH32" i="25"/>
  <c r="BH31" i="25"/>
  <c r="BH30" i="25"/>
  <c r="BH29" i="25"/>
  <c r="BH28" i="25"/>
  <c r="BH27" i="25"/>
  <c r="BH26" i="25"/>
  <c r="BH25" i="25"/>
  <c r="BH24" i="25"/>
  <c r="BH23" i="25"/>
  <c r="BH22" i="25"/>
  <c r="BH21" i="25"/>
  <c r="BH20" i="25"/>
  <c r="BH19" i="25"/>
  <c r="BH18" i="25"/>
  <c r="BH17" i="25"/>
  <c r="BH16" i="25"/>
  <c r="BH15" i="25"/>
  <c r="BH14" i="25"/>
  <c r="BH13" i="25"/>
  <c r="BH12" i="25"/>
  <c r="BH11" i="25"/>
  <c r="BH10" i="25"/>
  <c r="BH9" i="25"/>
  <c r="BH8" i="25"/>
  <c r="BG226" i="25"/>
  <c r="BG225" i="25"/>
  <c r="BG224" i="25"/>
  <c r="BG223" i="25"/>
  <c r="BG222" i="25"/>
  <c r="BG221" i="25"/>
  <c r="BG220" i="25"/>
  <c r="BG219" i="25"/>
  <c r="BG218" i="25"/>
  <c r="BG217" i="25"/>
  <c r="BG216" i="25"/>
  <c r="BG215" i="25"/>
  <c r="BG214" i="25"/>
  <c r="BG213" i="25"/>
  <c r="BG212" i="25"/>
  <c r="BG211" i="25"/>
  <c r="BG210" i="25"/>
  <c r="BG209" i="25"/>
  <c r="BG208" i="25"/>
  <c r="BG207" i="25"/>
  <c r="BG206" i="25"/>
  <c r="BG205" i="25"/>
  <c r="BG204" i="25"/>
  <c r="BG203" i="25"/>
  <c r="BG202" i="25"/>
  <c r="BG201" i="25"/>
  <c r="BG200" i="25"/>
  <c r="BG199" i="25"/>
  <c r="BG198" i="25"/>
  <c r="BG197" i="25"/>
  <c r="BG196" i="25"/>
  <c r="BG195" i="25"/>
  <c r="BG194" i="25"/>
  <c r="BG193" i="25"/>
  <c r="BG192" i="25"/>
  <c r="BG191" i="25"/>
  <c r="BG190" i="25"/>
  <c r="BG189" i="25"/>
  <c r="BG188" i="25"/>
  <c r="BG187" i="25"/>
  <c r="BG186" i="25"/>
  <c r="BG185" i="25"/>
  <c r="BG184" i="25"/>
  <c r="BG183" i="25"/>
  <c r="BG182" i="25"/>
  <c r="BG181" i="25"/>
  <c r="BG180" i="25"/>
  <c r="BG179" i="25"/>
  <c r="BG178" i="25"/>
  <c r="BG177" i="25"/>
  <c r="BG176" i="25"/>
  <c r="BG175" i="25"/>
  <c r="BG174" i="25"/>
  <c r="BG173" i="25"/>
  <c r="BG172" i="25"/>
  <c r="BG171" i="25"/>
  <c r="BG170" i="25"/>
  <c r="BG169" i="25"/>
  <c r="BG168" i="25"/>
  <c r="BG167" i="25"/>
  <c r="BG166" i="25"/>
  <c r="BG165" i="25"/>
  <c r="BG164" i="25"/>
  <c r="BG163" i="25"/>
  <c r="BG162" i="25"/>
  <c r="BG161" i="25"/>
  <c r="BG160" i="25"/>
  <c r="BG159" i="25"/>
  <c r="BG158" i="25"/>
  <c r="BG157" i="25"/>
  <c r="BG156" i="25"/>
  <c r="BG155" i="25"/>
  <c r="BG154" i="25"/>
  <c r="BG153" i="25"/>
  <c r="BG152" i="25"/>
  <c r="BG151" i="25"/>
  <c r="BG150" i="25"/>
  <c r="BG149" i="25"/>
  <c r="BG148" i="25"/>
  <c r="BG147" i="25"/>
  <c r="BG146" i="25"/>
  <c r="BG145" i="25"/>
  <c r="BG144" i="25"/>
  <c r="BG143" i="25"/>
  <c r="BG142" i="25"/>
  <c r="BG141" i="25"/>
  <c r="BG140" i="25"/>
  <c r="BG139" i="25"/>
  <c r="BG138" i="25"/>
  <c r="BG137" i="25"/>
  <c r="BG136" i="25"/>
  <c r="BG135" i="25"/>
  <c r="BG134" i="25"/>
  <c r="BG133" i="25"/>
  <c r="BG132" i="25"/>
  <c r="BG131" i="25"/>
  <c r="BG130" i="25"/>
  <c r="BG129" i="25"/>
  <c r="BG128" i="25"/>
  <c r="BG127" i="25"/>
  <c r="BG126" i="25"/>
  <c r="BG125" i="25"/>
  <c r="BG124" i="25"/>
  <c r="BG123" i="25"/>
  <c r="BG122" i="25"/>
  <c r="BG121" i="25"/>
  <c r="BG120" i="25"/>
  <c r="BG119" i="25"/>
  <c r="BG118" i="25"/>
  <c r="BG117" i="25"/>
  <c r="BG116" i="25"/>
  <c r="BG115" i="25"/>
  <c r="BG114" i="25"/>
  <c r="BG113" i="25"/>
  <c r="BG112" i="25"/>
  <c r="BG111" i="25"/>
  <c r="BG110" i="25"/>
  <c r="BG109" i="25"/>
  <c r="BG108" i="25"/>
  <c r="BG107" i="25"/>
  <c r="BG106" i="25"/>
  <c r="BG105" i="25"/>
  <c r="BG104" i="25"/>
  <c r="BG103" i="25"/>
  <c r="BG102" i="25"/>
  <c r="BG98" i="25"/>
  <c r="BG97" i="25"/>
  <c r="BG96" i="25"/>
  <c r="BG95" i="25"/>
  <c r="BG94" i="25"/>
  <c r="BG93" i="25"/>
  <c r="BG92" i="25"/>
  <c r="BG91" i="25"/>
  <c r="BG90" i="25"/>
  <c r="BG89" i="25"/>
  <c r="BG88" i="25"/>
  <c r="BG87" i="25"/>
  <c r="BG86" i="25"/>
  <c r="BG61" i="25"/>
  <c r="BG60" i="25"/>
  <c r="BG59" i="25"/>
  <c r="BG58" i="25"/>
  <c r="BG57" i="25"/>
  <c r="BG56" i="25"/>
  <c r="BG55" i="25"/>
  <c r="BG54" i="25"/>
  <c r="BG53" i="25"/>
  <c r="BG52" i="25"/>
  <c r="BG51" i="25"/>
  <c r="BG50" i="25"/>
  <c r="BG49" i="25"/>
  <c r="BG48" i="25"/>
  <c r="BG47" i="25"/>
  <c r="BG46" i="25"/>
  <c r="BG45" i="25"/>
  <c r="BG44" i="25"/>
  <c r="BG43" i="25"/>
  <c r="BG42" i="25"/>
  <c r="BG41" i="25"/>
  <c r="BG40" i="25"/>
  <c r="BG39" i="25"/>
  <c r="BG38" i="25"/>
  <c r="BG37" i="25"/>
  <c r="BG36" i="25"/>
  <c r="BG35" i="25"/>
  <c r="BG34" i="25"/>
  <c r="BG33" i="25"/>
  <c r="BG32" i="25"/>
  <c r="BG31" i="25"/>
  <c r="BG30" i="25"/>
  <c r="BG29" i="25"/>
  <c r="BG28" i="25"/>
  <c r="BG27" i="25"/>
  <c r="BG26" i="25"/>
  <c r="BG25" i="25"/>
  <c r="BG24" i="25"/>
  <c r="BG23" i="25"/>
  <c r="BG22" i="25"/>
  <c r="BG21" i="25"/>
  <c r="BG20" i="25"/>
  <c r="BG19" i="25"/>
  <c r="BG18" i="25"/>
  <c r="BG17" i="25"/>
  <c r="BG16" i="25"/>
  <c r="BG15" i="25"/>
  <c r="BG14" i="25"/>
  <c r="BG13" i="25"/>
  <c r="BG12" i="25"/>
  <c r="BG11" i="25"/>
  <c r="BG10" i="25"/>
  <c r="BG9" i="25"/>
  <c r="BG8" i="25"/>
  <c r="AQ226" i="25"/>
  <c r="AQ225" i="25"/>
  <c r="AQ224" i="25"/>
  <c r="AQ223" i="25"/>
  <c r="AQ222" i="25"/>
  <c r="AQ221" i="25"/>
  <c r="AQ220" i="25"/>
  <c r="AQ219" i="25"/>
  <c r="AQ218" i="25"/>
  <c r="AQ217" i="25"/>
  <c r="AQ216" i="25"/>
  <c r="AQ215" i="25"/>
  <c r="AQ214" i="25"/>
  <c r="AQ213" i="25"/>
  <c r="AQ212" i="25"/>
  <c r="AQ211" i="25"/>
  <c r="AQ210" i="25"/>
  <c r="AQ209" i="25"/>
  <c r="AQ208" i="25"/>
  <c r="AQ207" i="25"/>
  <c r="AQ206" i="25"/>
  <c r="AQ205" i="25"/>
  <c r="AQ204" i="25"/>
  <c r="AQ203" i="25"/>
  <c r="AQ202" i="25"/>
  <c r="AQ201" i="25"/>
  <c r="AQ200" i="25"/>
  <c r="AQ199" i="25"/>
  <c r="AQ198" i="25"/>
  <c r="AQ197" i="25"/>
  <c r="AQ196" i="25"/>
  <c r="AQ195" i="25"/>
  <c r="AQ194" i="25"/>
  <c r="AQ193" i="25"/>
  <c r="AQ192" i="25"/>
  <c r="AQ191" i="25"/>
  <c r="AQ190" i="25"/>
  <c r="AQ189" i="25"/>
  <c r="AQ188" i="25"/>
  <c r="AQ187" i="25"/>
  <c r="AQ186" i="25"/>
  <c r="AQ185" i="25"/>
  <c r="AQ184" i="25"/>
  <c r="AQ183" i="25"/>
  <c r="AQ182" i="25"/>
  <c r="AQ181" i="25"/>
  <c r="AQ180" i="25"/>
  <c r="AQ179" i="25"/>
  <c r="AQ178" i="25"/>
  <c r="AQ177" i="25"/>
  <c r="AQ176" i="25"/>
  <c r="AQ175" i="25"/>
  <c r="AQ174" i="25"/>
  <c r="AQ173" i="25"/>
  <c r="AQ172" i="25"/>
  <c r="AQ171" i="25"/>
  <c r="AQ170" i="25"/>
  <c r="AQ169" i="25"/>
  <c r="AQ168" i="25"/>
  <c r="AQ167" i="25"/>
  <c r="AQ166" i="25"/>
  <c r="AQ165" i="25"/>
  <c r="AQ164" i="25"/>
  <c r="AQ163" i="25"/>
  <c r="AQ162" i="25"/>
  <c r="AQ161" i="25"/>
  <c r="AQ160" i="25"/>
  <c r="AQ159" i="25"/>
  <c r="AQ158" i="25"/>
  <c r="AQ157" i="25"/>
  <c r="AQ156" i="25"/>
  <c r="AQ155" i="25"/>
  <c r="AQ154" i="25"/>
  <c r="AQ153" i="25"/>
  <c r="AQ152" i="25"/>
  <c r="AQ151" i="25"/>
  <c r="AQ150" i="25"/>
  <c r="AQ149" i="25"/>
  <c r="AQ148" i="25"/>
  <c r="AQ147" i="25"/>
  <c r="AQ146" i="25"/>
  <c r="AQ145" i="25"/>
  <c r="AQ144" i="25"/>
  <c r="AQ143" i="25"/>
  <c r="AQ142" i="25"/>
  <c r="AQ141" i="25"/>
  <c r="AQ140" i="25"/>
  <c r="AQ139" i="25"/>
  <c r="AQ138" i="25"/>
  <c r="AQ137" i="25"/>
  <c r="AQ136" i="25"/>
  <c r="AQ135" i="25"/>
  <c r="AQ134" i="25"/>
  <c r="AQ133" i="25"/>
  <c r="AQ132" i="25"/>
  <c r="AQ131" i="25"/>
  <c r="AQ130" i="25"/>
  <c r="AQ129" i="25"/>
  <c r="AQ128" i="25"/>
  <c r="AQ127" i="25"/>
  <c r="AQ126" i="25"/>
  <c r="AQ125" i="25"/>
  <c r="AQ124" i="25"/>
  <c r="AQ123" i="25"/>
  <c r="AQ122" i="25"/>
  <c r="AQ121" i="25"/>
  <c r="AQ120" i="25"/>
  <c r="AQ119" i="25"/>
  <c r="AQ118" i="25"/>
  <c r="AQ117" i="25"/>
  <c r="AQ116" i="25"/>
  <c r="AQ115" i="25"/>
  <c r="AQ114" i="25"/>
  <c r="AQ113" i="25"/>
  <c r="AQ112" i="25"/>
  <c r="AQ111" i="25"/>
  <c r="AQ110" i="25"/>
  <c r="AQ109" i="25"/>
  <c r="AQ108" i="25"/>
  <c r="AQ107" i="25"/>
  <c r="AQ106" i="25"/>
  <c r="AQ105" i="25"/>
  <c r="AQ104" i="25"/>
  <c r="AQ103" i="25"/>
  <c r="AQ102" i="25"/>
  <c r="AQ98" i="25"/>
  <c r="AQ97" i="25"/>
  <c r="AQ96" i="25"/>
  <c r="AQ95" i="25"/>
  <c r="AQ94" i="25"/>
  <c r="AQ93" i="25"/>
  <c r="AQ92" i="25"/>
  <c r="AQ91" i="25"/>
  <c r="AQ90" i="25"/>
  <c r="AQ89" i="25"/>
  <c r="AQ88" i="25"/>
  <c r="AQ87" i="25"/>
  <c r="AQ86" i="25"/>
  <c r="AQ61" i="25"/>
  <c r="AQ60" i="25"/>
  <c r="AQ59" i="25"/>
  <c r="AQ58" i="25"/>
  <c r="AQ57" i="25"/>
  <c r="AQ56" i="25"/>
  <c r="AQ55" i="25"/>
  <c r="AQ54" i="25"/>
  <c r="AQ53" i="25"/>
  <c r="AQ52" i="25"/>
  <c r="AQ51" i="25"/>
  <c r="AQ50" i="25"/>
  <c r="AQ49" i="25"/>
  <c r="AQ48" i="25"/>
  <c r="AQ47" i="25"/>
  <c r="AQ46" i="25"/>
  <c r="AQ45" i="25"/>
  <c r="AQ44" i="25"/>
  <c r="AQ43" i="25"/>
  <c r="AQ42" i="25"/>
  <c r="AQ41" i="25"/>
  <c r="AQ40" i="25"/>
  <c r="AQ39" i="25"/>
  <c r="AQ38" i="25"/>
  <c r="AQ37" i="25"/>
  <c r="AQ36" i="25"/>
  <c r="AQ35" i="25"/>
  <c r="AQ34" i="25"/>
  <c r="AQ33" i="25"/>
  <c r="AQ32" i="25"/>
  <c r="AQ31" i="25"/>
  <c r="AQ30" i="25"/>
  <c r="AQ29" i="25"/>
  <c r="AQ28" i="25"/>
  <c r="AQ27" i="25"/>
  <c r="AQ26" i="25"/>
  <c r="AQ25" i="25"/>
  <c r="AQ24" i="25"/>
  <c r="AQ23" i="25"/>
  <c r="AQ22" i="25"/>
  <c r="AQ21" i="25"/>
  <c r="AQ20" i="25"/>
  <c r="AQ19" i="25"/>
  <c r="AQ18" i="25"/>
  <c r="AQ17" i="25"/>
  <c r="AQ16" i="25"/>
  <c r="AQ15" i="25"/>
  <c r="AQ14" i="25"/>
  <c r="AQ13" i="25"/>
  <c r="AQ12" i="25"/>
  <c r="AQ11" i="25"/>
  <c r="AQ10" i="25"/>
  <c r="AQ9" i="25"/>
  <c r="AQ8" i="25"/>
  <c r="AP226" i="25"/>
  <c r="AP225" i="25"/>
  <c r="AP224" i="25"/>
  <c r="AP223" i="25"/>
  <c r="AP222" i="25"/>
  <c r="AP221" i="25"/>
  <c r="AP220" i="25"/>
  <c r="AP219" i="25"/>
  <c r="AP218" i="25"/>
  <c r="AP217" i="25"/>
  <c r="AP216" i="25"/>
  <c r="AP215" i="25"/>
  <c r="AP214" i="25"/>
  <c r="AP213" i="25"/>
  <c r="AP212" i="25"/>
  <c r="AP211" i="25"/>
  <c r="AP210" i="25"/>
  <c r="AP209" i="25"/>
  <c r="AP208" i="25"/>
  <c r="AP207" i="25"/>
  <c r="AP206" i="25"/>
  <c r="AP205" i="25"/>
  <c r="AP204" i="25"/>
  <c r="AP203" i="25"/>
  <c r="AP202" i="25"/>
  <c r="AP201" i="25"/>
  <c r="AP200" i="25"/>
  <c r="AP199" i="25"/>
  <c r="AP198" i="25"/>
  <c r="AP197" i="25"/>
  <c r="AP196" i="25"/>
  <c r="AP195" i="25"/>
  <c r="AP194" i="25"/>
  <c r="AP193" i="25"/>
  <c r="AP192" i="25"/>
  <c r="AP191" i="25"/>
  <c r="AP190" i="25"/>
  <c r="AP189" i="25"/>
  <c r="AP188" i="25"/>
  <c r="AP187" i="25"/>
  <c r="AP186" i="25"/>
  <c r="AP185" i="25"/>
  <c r="AP184" i="25"/>
  <c r="AP183" i="25"/>
  <c r="AP182" i="25"/>
  <c r="AP181" i="25"/>
  <c r="AP180" i="25"/>
  <c r="AP179" i="25"/>
  <c r="AP178" i="25"/>
  <c r="AP177" i="25"/>
  <c r="AP176" i="25"/>
  <c r="AP175" i="25"/>
  <c r="AP174" i="25"/>
  <c r="AP173" i="25"/>
  <c r="AP172" i="25"/>
  <c r="AP171" i="25"/>
  <c r="AP170" i="25"/>
  <c r="AP169" i="25"/>
  <c r="AP168" i="25"/>
  <c r="AP167" i="25"/>
  <c r="AP166" i="25"/>
  <c r="AP165" i="25"/>
  <c r="AP164" i="25"/>
  <c r="AP163" i="25"/>
  <c r="AP162" i="25"/>
  <c r="AP161" i="25"/>
  <c r="AP160" i="25"/>
  <c r="AP159" i="25"/>
  <c r="AP158" i="25"/>
  <c r="AP157" i="25"/>
  <c r="AP156" i="25"/>
  <c r="AP155" i="25"/>
  <c r="AP154" i="25"/>
  <c r="AP153" i="25"/>
  <c r="AP152" i="25"/>
  <c r="AP151" i="25"/>
  <c r="AP150" i="25"/>
  <c r="AP149" i="25"/>
  <c r="AP148" i="25"/>
  <c r="AP147" i="25"/>
  <c r="AP146" i="25"/>
  <c r="AP145" i="25"/>
  <c r="AP144" i="25"/>
  <c r="AP143" i="25"/>
  <c r="AP142" i="25"/>
  <c r="AP141" i="25"/>
  <c r="AP140" i="25"/>
  <c r="AP139" i="25"/>
  <c r="AP138" i="25"/>
  <c r="AP137" i="25"/>
  <c r="AP136" i="25"/>
  <c r="AP135" i="25"/>
  <c r="AP134" i="25"/>
  <c r="AP133" i="25"/>
  <c r="AP132" i="25"/>
  <c r="AP131" i="25"/>
  <c r="AP130" i="25"/>
  <c r="AP129" i="25"/>
  <c r="AP128" i="25"/>
  <c r="AP127" i="25"/>
  <c r="AP126" i="25"/>
  <c r="AP125" i="25"/>
  <c r="AP124" i="25"/>
  <c r="AP123" i="25"/>
  <c r="AP122" i="25"/>
  <c r="AP121" i="25"/>
  <c r="AP120" i="25"/>
  <c r="AP119" i="25"/>
  <c r="AP118" i="25"/>
  <c r="AP117" i="25"/>
  <c r="AP116" i="25"/>
  <c r="AP115" i="25"/>
  <c r="AP114" i="25"/>
  <c r="AP113" i="25"/>
  <c r="AP112" i="25"/>
  <c r="AP111" i="25"/>
  <c r="AP110" i="25"/>
  <c r="AP109" i="25"/>
  <c r="AP108" i="25"/>
  <c r="AP107" i="25"/>
  <c r="AP106" i="25"/>
  <c r="AP105" i="25"/>
  <c r="AP104" i="25"/>
  <c r="AP103" i="25"/>
  <c r="AP102" i="25"/>
  <c r="AP98" i="25"/>
  <c r="AP97" i="25"/>
  <c r="AP96" i="25"/>
  <c r="AP95" i="25"/>
  <c r="AP94" i="25"/>
  <c r="AP93" i="25"/>
  <c r="AP92" i="25"/>
  <c r="AP91" i="25"/>
  <c r="AP90" i="25"/>
  <c r="AP89" i="25"/>
  <c r="AP88" i="25"/>
  <c r="AP87" i="25"/>
  <c r="AP86" i="25"/>
  <c r="AP61" i="25"/>
  <c r="AP60" i="25"/>
  <c r="AP59" i="25"/>
  <c r="AP58" i="25"/>
  <c r="AP57" i="25"/>
  <c r="AP56" i="25"/>
  <c r="AP55" i="25"/>
  <c r="AP54" i="25"/>
  <c r="AP53" i="25"/>
  <c r="AP52" i="25"/>
  <c r="AP51" i="25"/>
  <c r="AP50" i="25"/>
  <c r="AP49" i="25"/>
  <c r="AP48" i="25"/>
  <c r="AP47" i="25"/>
  <c r="AP46" i="25"/>
  <c r="AP45" i="25"/>
  <c r="AP44" i="25"/>
  <c r="AP43" i="25"/>
  <c r="AP42" i="25"/>
  <c r="AP41" i="25"/>
  <c r="AP40" i="25"/>
  <c r="AP39" i="25"/>
  <c r="AP38" i="25"/>
  <c r="AP37" i="25"/>
  <c r="AP36" i="25"/>
  <c r="AP35" i="25"/>
  <c r="AP34" i="25"/>
  <c r="AP33" i="25"/>
  <c r="AP32" i="25"/>
  <c r="AP31" i="25"/>
  <c r="AP30" i="25"/>
  <c r="AP29" i="25"/>
  <c r="AP28" i="25"/>
  <c r="AP27" i="25"/>
  <c r="AP26" i="25"/>
  <c r="AP25" i="25"/>
  <c r="AP24" i="25"/>
  <c r="AP23" i="25"/>
  <c r="AP22" i="25"/>
  <c r="AP21" i="25"/>
  <c r="AP20" i="25"/>
  <c r="AP19" i="25"/>
  <c r="AP18" i="25"/>
  <c r="AP17" i="25"/>
  <c r="AP16" i="25"/>
  <c r="AP15" i="25"/>
  <c r="AP14" i="25"/>
  <c r="AP13" i="25"/>
  <c r="AP12" i="25"/>
  <c r="AP11" i="25"/>
  <c r="AP10" i="25"/>
  <c r="AP9" i="25"/>
  <c r="AP8" i="25"/>
  <c r="AO226" i="25"/>
  <c r="AO225" i="25"/>
  <c r="AO224" i="25"/>
  <c r="AO223" i="25"/>
  <c r="AO222" i="25"/>
  <c r="AO221" i="25"/>
  <c r="AO220" i="25"/>
  <c r="AO219" i="25"/>
  <c r="AO218" i="25"/>
  <c r="AO217" i="25"/>
  <c r="AO216" i="25"/>
  <c r="AO215" i="25"/>
  <c r="AO214" i="25"/>
  <c r="AO213" i="25"/>
  <c r="AO212" i="25"/>
  <c r="AO211" i="25"/>
  <c r="AO210" i="25"/>
  <c r="AO209" i="25"/>
  <c r="AO208" i="25"/>
  <c r="AO207" i="25"/>
  <c r="AO206" i="25"/>
  <c r="AO205" i="25"/>
  <c r="AO204" i="25"/>
  <c r="AO203" i="25"/>
  <c r="AO202" i="25"/>
  <c r="AO201" i="25"/>
  <c r="AO200" i="25"/>
  <c r="AO199" i="25"/>
  <c r="AO198" i="25"/>
  <c r="AO197" i="25"/>
  <c r="AO196" i="25"/>
  <c r="AO195" i="25"/>
  <c r="AO194" i="25"/>
  <c r="AO193" i="25"/>
  <c r="AO192" i="25"/>
  <c r="AO191" i="25"/>
  <c r="AO190" i="25"/>
  <c r="AO189" i="25"/>
  <c r="AO188" i="25"/>
  <c r="AO187" i="25"/>
  <c r="AO186" i="25"/>
  <c r="AO185" i="25"/>
  <c r="AO184" i="25"/>
  <c r="AO183" i="25"/>
  <c r="AO182" i="25"/>
  <c r="AO181" i="25"/>
  <c r="AO180" i="25"/>
  <c r="AO179" i="25"/>
  <c r="AO178" i="25"/>
  <c r="AO177" i="25"/>
  <c r="AO176" i="25"/>
  <c r="AO175" i="25"/>
  <c r="AO174" i="25"/>
  <c r="AO173" i="25"/>
  <c r="AO172" i="25"/>
  <c r="AO171" i="25"/>
  <c r="AO170" i="25"/>
  <c r="AO169" i="25"/>
  <c r="AO168" i="25"/>
  <c r="AO167" i="25"/>
  <c r="AO166" i="25"/>
  <c r="AO165" i="25"/>
  <c r="AO164" i="25"/>
  <c r="AO163" i="25"/>
  <c r="AO162" i="25"/>
  <c r="AO161" i="25"/>
  <c r="AO160" i="25"/>
  <c r="AO159" i="25"/>
  <c r="AO158" i="25"/>
  <c r="AO157" i="25"/>
  <c r="AO156" i="25"/>
  <c r="AO155" i="25"/>
  <c r="AO154" i="25"/>
  <c r="AO153" i="25"/>
  <c r="AO152" i="25"/>
  <c r="AO151" i="25"/>
  <c r="AO150" i="25"/>
  <c r="AO149" i="25"/>
  <c r="AO148" i="25"/>
  <c r="AO147" i="25"/>
  <c r="AO146" i="25"/>
  <c r="AO145" i="25"/>
  <c r="AO144" i="25"/>
  <c r="AO143" i="25"/>
  <c r="AO142" i="25"/>
  <c r="AO141" i="25"/>
  <c r="AO140" i="25"/>
  <c r="AO139" i="25"/>
  <c r="AO138" i="25"/>
  <c r="AO137" i="25"/>
  <c r="AO136" i="25"/>
  <c r="AO135" i="25"/>
  <c r="AO134" i="25"/>
  <c r="AO133" i="25"/>
  <c r="AO132" i="25"/>
  <c r="AO131" i="25"/>
  <c r="AO130" i="25"/>
  <c r="AO129" i="25"/>
  <c r="AO128" i="25"/>
  <c r="AO127" i="25"/>
  <c r="AO126" i="25"/>
  <c r="AO125" i="25"/>
  <c r="AO124" i="25"/>
  <c r="AO123" i="25"/>
  <c r="AO122" i="25"/>
  <c r="AO121" i="25"/>
  <c r="AO120" i="25"/>
  <c r="AO119" i="25"/>
  <c r="AO118" i="25"/>
  <c r="AO117" i="25"/>
  <c r="AO116" i="25"/>
  <c r="AO115" i="25"/>
  <c r="AO114" i="25"/>
  <c r="AO113" i="25"/>
  <c r="AO112" i="25"/>
  <c r="AO111" i="25"/>
  <c r="AO110" i="25"/>
  <c r="AO109" i="25"/>
  <c r="AO108" i="25"/>
  <c r="AO107" i="25"/>
  <c r="AO106" i="25"/>
  <c r="AO105" i="25"/>
  <c r="AO104" i="25"/>
  <c r="AO103" i="25"/>
  <c r="AO102" i="25"/>
  <c r="AO98" i="25"/>
  <c r="AO97" i="25"/>
  <c r="AO96" i="25"/>
  <c r="AO95" i="25"/>
  <c r="AO94" i="25"/>
  <c r="AO93" i="25"/>
  <c r="AO92" i="25"/>
  <c r="AO91" i="25"/>
  <c r="AO90" i="25"/>
  <c r="AO89" i="25"/>
  <c r="AO88" i="25"/>
  <c r="AO87" i="25"/>
  <c r="AO86" i="25"/>
  <c r="AO61" i="25"/>
  <c r="AO60" i="25"/>
  <c r="AO59" i="25"/>
  <c r="AO58" i="25"/>
  <c r="AO57" i="25"/>
  <c r="AO56" i="25"/>
  <c r="AO55" i="25"/>
  <c r="AO54" i="25"/>
  <c r="AO53" i="25"/>
  <c r="AO52" i="25"/>
  <c r="AO51" i="25"/>
  <c r="AO50" i="25"/>
  <c r="AO49" i="25"/>
  <c r="AO48" i="25"/>
  <c r="AO47" i="25"/>
  <c r="AO46" i="25"/>
  <c r="AO45" i="25"/>
  <c r="AO44" i="25"/>
  <c r="AO43" i="25"/>
  <c r="AO42" i="25"/>
  <c r="AO41" i="25"/>
  <c r="AO40" i="25"/>
  <c r="AO39" i="25"/>
  <c r="AO38" i="25"/>
  <c r="AO37" i="25"/>
  <c r="AO36" i="25"/>
  <c r="AO35" i="25"/>
  <c r="AO34" i="25"/>
  <c r="AO33" i="25"/>
  <c r="AO32" i="25"/>
  <c r="AO31" i="25"/>
  <c r="AO30" i="25"/>
  <c r="AO29" i="25"/>
  <c r="AO28" i="25"/>
  <c r="AO27" i="25"/>
  <c r="AO26" i="25"/>
  <c r="AO25" i="25"/>
  <c r="AO24" i="25"/>
  <c r="AO23" i="25"/>
  <c r="AO22" i="25"/>
  <c r="AO21" i="25"/>
  <c r="AO20" i="25"/>
  <c r="AO19" i="25"/>
  <c r="AO18" i="25"/>
  <c r="AO17" i="25"/>
  <c r="AO16" i="25"/>
  <c r="AO15" i="25"/>
  <c r="AO14" i="25"/>
  <c r="AO13" i="25"/>
  <c r="AO12" i="25"/>
  <c r="AO11" i="25"/>
  <c r="AO10" i="25"/>
  <c r="AO9" i="25"/>
  <c r="AO8" i="25"/>
  <c r="AE226" i="25"/>
  <c r="AD226" i="25"/>
  <c r="AE225" i="25"/>
  <c r="AD225" i="25"/>
  <c r="AE224" i="25"/>
  <c r="AD224" i="25"/>
  <c r="AE223" i="25"/>
  <c r="AD223" i="25"/>
  <c r="AE222" i="25"/>
  <c r="AD222" i="25"/>
  <c r="AE221" i="25"/>
  <c r="AD221" i="25"/>
  <c r="AE220" i="25"/>
  <c r="AD220" i="25"/>
  <c r="AE219" i="25"/>
  <c r="AD219" i="25"/>
  <c r="AE218" i="25"/>
  <c r="AD218" i="25"/>
  <c r="AE217" i="25"/>
  <c r="AD217" i="25"/>
  <c r="AE216" i="25"/>
  <c r="AD216" i="25"/>
  <c r="AE215" i="25"/>
  <c r="AD215" i="25"/>
  <c r="AE214" i="25"/>
  <c r="AD214" i="25"/>
  <c r="AE213" i="25"/>
  <c r="AD213" i="25"/>
  <c r="AE212" i="25"/>
  <c r="AD212" i="25"/>
  <c r="AE211" i="25"/>
  <c r="AD211" i="25"/>
  <c r="AE210" i="25"/>
  <c r="AD210" i="25"/>
  <c r="AE209" i="25"/>
  <c r="AD209" i="25"/>
  <c r="AE208" i="25"/>
  <c r="AD208" i="25"/>
  <c r="AE207" i="25"/>
  <c r="AD207" i="25"/>
  <c r="AE206" i="25"/>
  <c r="AD206" i="25"/>
  <c r="AE205" i="25"/>
  <c r="AD205" i="25"/>
  <c r="AE204" i="25"/>
  <c r="AD204" i="25"/>
  <c r="AE203" i="25"/>
  <c r="AD203" i="25"/>
  <c r="AE202" i="25"/>
  <c r="AD202" i="25"/>
  <c r="AE201" i="25"/>
  <c r="AD201" i="25"/>
  <c r="AE200" i="25"/>
  <c r="AD200" i="25"/>
  <c r="AE199" i="25"/>
  <c r="AD199" i="25"/>
  <c r="AE198" i="25"/>
  <c r="AD198" i="25"/>
  <c r="AE197" i="25"/>
  <c r="AD197" i="25"/>
  <c r="AE196" i="25"/>
  <c r="AD196" i="25"/>
  <c r="AE195" i="25"/>
  <c r="AD195" i="25"/>
  <c r="AE194" i="25"/>
  <c r="AD194" i="25"/>
  <c r="AE193" i="25"/>
  <c r="AD193" i="25"/>
  <c r="AE192" i="25"/>
  <c r="AD192" i="25"/>
  <c r="AE191" i="25"/>
  <c r="AD191" i="25"/>
  <c r="AE190" i="25"/>
  <c r="AD190" i="25"/>
  <c r="AE189" i="25"/>
  <c r="AD189" i="25"/>
  <c r="AE188" i="25"/>
  <c r="AD188" i="25"/>
  <c r="AE187" i="25"/>
  <c r="AD187" i="25"/>
  <c r="AE186" i="25"/>
  <c r="AD186" i="25"/>
  <c r="AE185" i="25"/>
  <c r="AD185" i="25"/>
  <c r="AE184" i="25"/>
  <c r="AD184" i="25"/>
  <c r="AE183" i="25"/>
  <c r="AD183" i="25"/>
  <c r="AE182" i="25"/>
  <c r="AD182" i="25"/>
  <c r="AE181" i="25"/>
  <c r="AD181" i="25"/>
  <c r="AE180" i="25"/>
  <c r="AD180" i="25"/>
  <c r="AE179" i="25"/>
  <c r="AD179" i="25"/>
  <c r="AE178" i="25"/>
  <c r="AD178" i="25"/>
  <c r="AE177" i="25"/>
  <c r="AD177" i="25"/>
  <c r="AE176" i="25"/>
  <c r="AD176" i="25"/>
  <c r="AE175" i="25"/>
  <c r="AD175" i="25"/>
  <c r="AE174" i="25"/>
  <c r="AD174" i="25"/>
  <c r="AE173" i="25"/>
  <c r="AD173" i="25"/>
  <c r="AE172" i="25"/>
  <c r="AD172" i="25"/>
  <c r="AE171" i="25"/>
  <c r="AD171" i="25"/>
  <c r="AE170" i="25"/>
  <c r="AD170" i="25"/>
  <c r="AE169" i="25"/>
  <c r="AD169" i="25"/>
  <c r="AE168" i="25"/>
  <c r="AD168" i="25"/>
  <c r="AE167" i="25"/>
  <c r="AD167" i="25"/>
  <c r="AE166" i="25"/>
  <c r="AD166" i="25"/>
  <c r="AE165" i="25"/>
  <c r="AD165" i="25"/>
  <c r="AE164" i="25"/>
  <c r="AD164" i="25"/>
  <c r="AE163" i="25"/>
  <c r="AD163" i="25"/>
  <c r="AE162" i="25"/>
  <c r="AD162" i="25"/>
  <c r="AE161" i="25"/>
  <c r="AD161" i="25"/>
  <c r="AE160" i="25"/>
  <c r="AD160" i="25"/>
  <c r="AE159" i="25"/>
  <c r="AD159" i="25"/>
  <c r="AE158" i="25"/>
  <c r="AD158" i="25"/>
  <c r="AE157" i="25"/>
  <c r="AD157" i="25"/>
  <c r="AE156" i="25"/>
  <c r="AD156" i="25"/>
  <c r="AE155" i="25"/>
  <c r="AD155" i="25"/>
  <c r="AE154" i="25"/>
  <c r="AD154" i="25"/>
  <c r="AE153" i="25"/>
  <c r="AD153" i="25"/>
  <c r="AE152" i="25"/>
  <c r="AD152" i="25"/>
  <c r="AE151" i="25"/>
  <c r="AD151" i="25"/>
  <c r="AE150" i="25"/>
  <c r="AD150" i="25"/>
  <c r="AE149" i="25"/>
  <c r="AD149" i="25"/>
  <c r="AE148" i="25"/>
  <c r="AD148" i="25"/>
  <c r="AE147" i="25"/>
  <c r="AD147" i="25"/>
  <c r="AE146" i="25"/>
  <c r="AD146" i="25"/>
  <c r="AE145" i="25"/>
  <c r="AD145" i="25"/>
  <c r="AE144" i="25"/>
  <c r="AD144" i="25"/>
  <c r="AE143" i="25"/>
  <c r="AD143" i="25"/>
  <c r="AE142" i="25"/>
  <c r="AD142" i="25"/>
  <c r="AE141" i="25"/>
  <c r="AD141" i="25"/>
  <c r="AE140" i="25"/>
  <c r="AD140" i="25"/>
  <c r="AE139" i="25"/>
  <c r="AD139" i="25"/>
  <c r="AE138" i="25"/>
  <c r="AD138" i="25"/>
  <c r="AE137" i="25"/>
  <c r="AD137" i="25"/>
  <c r="AE136" i="25"/>
  <c r="AD136" i="25"/>
  <c r="AE135" i="25"/>
  <c r="AD135" i="25"/>
  <c r="AE134" i="25"/>
  <c r="AD134" i="25"/>
  <c r="AE133" i="25"/>
  <c r="AD133" i="25"/>
  <c r="AE132" i="25"/>
  <c r="AD132" i="25"/>
  <c r="AE131" i="25"/>
  <c r="AD131" i="25"/>
  <c r="AE130" i="25"/>
  <c r="AD130" i="25"/>
  <c r="AE129" i="25"/>
  <c r="AD129" i="25"/>
  <c r="AE128" i="25"/>
  <c r="AD128" i="25"/>
  <c r="AE127" i="25"/>
  <c r="AD127" i="25"/>
  <c r="AE126" i="25"/>
  <c r="AD126" i="25"/>
  <c r="AE125" i="25"/>
  <c r="AD125" i="25"/>
  <c r="AE124" i="25"/>
  <c r="AD124" i="25"/>
  <c r="AE123" i="25"/>
  <c r="AD123" i="25"/>
  <c r="AE122" i="25"/>
  <c r="AD122" i="25"/>
  <c r="AE121" i="25"/>
  <c r="AD121" i="25"/>
  <c r="AE120" i="25"/>
  <c r="AD120" i="25"/>
  <c r="AE119" i="25"/>
  <c r="AD119" i="25"/>
  <c r="AE118" i="25"/>
  <c r="AD118" i="25"/>
  <c r="AE117" i="25"/>
  <c r="AD117" i="25"/>
  <c r="AE116" i="25"/>
  <c r="AD116" i="25"/>
  <c r="AE115" i="25"/>
  <c r="AD115" i="25"/>
  <c r="AE114" i="25"/>
  <c r="AD114" i="25"/>
  <c r="AE113" i="25"/>
  <c r="AD113" i="25"/>
  <c r="AE112" i="25"/>
  <c r="AD112" i="25"/>
  <c r="AE111" i="25"/>
  <c r="AD111" i="25"/>
  <c r="AE110" i="25"/>
  <c r="AD110" i="25"/>
  <c r="AE109" i="25"/>
  <c r="AD109" i="25"/>
  <c r="AE108" i="25"/>
  <c r="AD108" i="25"/>
  <c r="AE107" i="25"/>
  <c r="AD107" i="25"/>
  <c r="AE106" i="25"/>
  <c r="AD106" i="25"/>
  <c r="AE105" i="25"/>
  <c r="AD105" i="25"/>
  <c r="AE104" i="25"/>
  <c r="AD104" i="25"/>
  <c r="AE103" i="25"/>
  <c r="AD103" i="25"/>
  <c r="AE102" i="25"/>
  <c r="AD102" i="25"/>
  <c r="AE98" i="25"/>
  <c r="AD98" i="25"/>
  <c r="AE97" i="25"/>
  <c r="AD97" i="25"/>
  <c r="AE96" i="25"/>
  <c r="AD96" i="25"/>
  <c r="AE95" i="25"/>
  <c r="AD95" i="25"/>
  <c r="AE94" i="25"/>
  <c r="AD94" i="25"/>
  <c r="AE93" i="25"/>
  <c r="AD93" i="25"/>
  <c r="AE92" i="25"/>
  <c r="AD92" i="25"/>
  <c r="AE91" i="25"/>
  <c r="AD91" i="25"/>
  <c r="AE90" i="25"/>
  <c r="AD90" i="25"/>
  <c r="AE89" i="25"/>
  <c r="AD89" i="25"/>
  <c r="AE88" i="25"/>
  <c r="AD88" i="25"/>
  <c r="AE87" i="25"/>
  <c r="AD87" i="25"/>
  <c r="AE86" i="25"/>
  <c r="AD86" i="25"/>
  <c r="AE61" i="25"/>
  <c r="AD61" i="25"/>
  <c r="AE60" i="25"/>
  <c r="AD60" i="25"/>
  <c r="AE59" i="25"/>
  <c r="AD59" i="25"/>
  <c r="AE58" i="25"/>
  <c r="AD58" i="25"/>
  <c r="AE57" i="25"/>
  <c r="AD57" i="25"/>
  <c r="AE56" i="25"/>
  <c r="AD56" i="25"/>
  <c r="AE55" i="25"/>
  <c r="AD55" i="25"/>
  <c r="AE54" i="25"/>
  <c r="AD54" i="25"/>
  <c r="AE53" i="25"/>
  <c r="AD53" i="25"/>
  <c r="AE52" i="25"/>
  <c r="AD52" i="25"/>
  <c r="AE51" i="25"/>
  <c r="AD51" i="25"/>
  <c r="AE50" i="25"/>
  <c r="AD50" i="25"/>
  <c r="AE49" i="25"/>
  <c r="AD49" i="25"/>
  <c r="AE48" i="25"/>
  <c r="AD48" i="25"/>
  <c r="AE47" i="25"/>
  <c r="AD47" i="25"/>
  <c r="AE46" i="25"/>
  <c r="AD46" i="25"/>
  <c r="AE45" i="25"/>
  <c r="AD45" i="25"/>
  <c r="AE44" i="25"/>
  <c r="AD44" i="25"/>
  <c r="AE43" i="25"/>
  <c r="AD43" i="25"/>
  <c r="AE42" i="25"/>
  <c r="AD42" i="25"/>
  <c r="AE41" i="25"/>
  <c r="AD41" i="25"/>
  <c r="AE40" i="25"/>
  <c r="AD40" i="25"/>
  <c r="AE39" i="25"/>
  <c r="AD39" i="25"/>
  <c r="AE38" i="25"/>
  <c r="AD38" i="25"/>
  <c r="AE37" i="25"/>
  <c r="AD37" i="25"/>
  <c r="AE36" i="25"/>
  <c r="AD36" i="25"/>
  <c r="AE35" i="25"/>
  <c r="AD35" i="25"/>
  <c r="AE34" i="25"/>
  <c r="AD34" i="25"/>
  <c r="AE33" i="25"/>
  <c r="AD33" i="25"/>
  <c r="AE32" i="25"/>
  <c r="AD32" i="25"/>
  <c r="AE31" i="25"/>
  <c r="AD31" i="25"/>
  <c r="AE30" i="25"/>
  <c r="AD30" i="25"/>
  <c r="AE29" i="25"/>
  <c r="AD29" i="25"/>
  <c r="AE28" i="25"/>
  <c r="AD28" i="25"/>
  <c r="AE27" i="25"/>
  <c r="AD27" i="25"/>
  <c r="AE26" i="25"/>
  <c r="AD26" i="25"/>
  <c r="AE25" i="25"/>
  <c r="AD25" i="25"/>
  <c r="AE24" i="25"/>
  <c r="AD24" i="25"/>
  <c r="AE23" i="25"/>
  <c r="AD23" i="25"/>
  <c r="AE22" i="25"/>
  <c r="AD22" i="25"/>
  <c r="AE21" i="25"/>
  <c r="AD21" i="25"/>
  <c r="AE20" i="25"/>
  <c r="AD20" i="25"/>
  <c r="AE19" i="25"/>
  <c r="AD19" i="25"/>
  <c r="AE18" i="25"/>
  <c r="AD18" i="25"/>
  <c r="AE17" i="25"/>
  <c r="AD17" i="25"/>
  <c r="AE16" i="25"/>
  <c r="AD16" i="25"/>
  <c r="AE15" i="25"/>
  <c r="AD15" i="25"/>
  <c r="AE14" i="25"/>
  <c r="AD14" i="25"/>
  <c r="AE13" i="25"/>
  <c r="AD13" i="25"/>
  <c r="AE12" i="25"/>
  <c r="AD12" i="25"/>
  <c r="AE11" i="25"/>
  <c r="AD11" i="25"/>
  <c r="AE10" i="25"/>
  <c r="AD10" i="25"/>
  <c r="AE9" i="25"/>
  <c r="AD9" i="25"/>
  <c r="AE8" i="25"/>
  <c r="AD8" i="25"/>
  <c r="AC226" i="25"/>
  <c r="AB226" i="25"/>
  <c r="AC225" i="25"/>
  <c r="AB225" i="25"/>
  <c r="AC224" i="25"/>
  <c r="AB224" i="25"/>
  <c r="AC223" i="25"/>
  <c r="AB223" i="25"/>
  <c r="AC222" i="25"/>
  <c r="AB222" i="25"/>
  <c r="AC221" i="25"/>
  <c r="AB221" i="25"/>
  <c r="AC220" i="25"/>
  <c r="AB220" i="25"/>
  <c r="AC219" i="25"/>
  <c r="AB219" i="25"/>
  <c r="AC218" i="25"/>
  <c r="AB218" i="25"/>
  <c r="AC217" i="25"/>
  <c r="AB217" i="25"/>
  <c r="AC216" i="25"/>
  <c r="AB216" i="25"/>
  <c r="AC215" i="25"/>
  <c r="AB215" i="25"/>
  <c r="AC214" i="25"/>
  <c r="AB214" i="25"/>
  <c r="AC213" i="25"/>
  <c r="AB213" i="25"/>
  <c r="AC212" i="25"/>
  <c r="AB212" i="25"/>
  <c r="AC211" i="25"/>
  <c r="AB211" i="25"/>
  <c r="AC210" i="25"/>
  <c r="AB210" i="25"/>
  <c r="AC209" i="25"/>
  <c r="AB209" i="25"/>
  <c r="AC208" i="25"/>
  <c r="AB208" i="25"/>
  <c r="AC207" i="25"/>
  <c r="AB207" i="25"/>
  <c r="AC206" i="25"/>
  <c r="AB206" i="25"/>
  <c r="AC205" i="25"/>
  <c r="AB205" i="25"/>
  <c r="AC204" i="25"/>
  <c r="AB204" i="25"/>
  <c r="AC203" i="25"/>
  <c r="AB203" i="25"/>
  <c r="AC202" i="25"/>
  <c r="AB202" i="25"/>
  <c r="AC201" i="25"/>
  <c r="AB201" i="25"/>
  <c r="AC200" i="25"/>
  <c r="AB200" i="25"/>
  <c r="AC199" i="25"/>
  <c r="AB199" i="25"/>
  <c r="AC198" i="25"/>
  <c r="AB198" i="25"/>
  <c r="AC197" i="25"/>
  <c r="AB197" i="25"/>
  <c r="AC196" i="25"/>
  <c r="AB196" i="25"/>
  <c r="AC195" i="25"/>
  <c r="AB195" i="25"/>
  <c r="AC194" i="25"/>
  <c r="AB194" i="25"/>
  <c r="AC193" i="25"/>
  <c r="AB193" i="25"/>
  <c r="AC192" i="25"/>
  <c r="AB192" i="25"/>
  <c r="AC191" i="25"/>
  <c r="AB191" i="25"/>
  <c r="AC190" i="25"/>
  <c r="AB190" i="25"/>
  <c r="AC189" i="25"/>
  <c r="AB189" i="25"/>
  <c r="AC188" i="25"/>
  <c r="AB188" i="25"/>
  <c r="AC187" i="25"/>
  <c r="AB187" i="25"/>
  <c r="AC186" i="25"/>
  <c r="AB186" i="25"/>
  <c r="AC185" i="25"/>
  <c r="AB185" i="25"/>
  <c r="AC184" i="25"/>
  <c r="AB184" i="25"/>
  <c r="AC183" i="25"/>
  <c r="AB183" i="25"/>
  <c r="AC182" i="25"/>
  <c r="AB182" i="25"/>
  <c r="AC181" i="25"/>
  <c r="AB181" i="25"/>
  <c r="AC180" i="25"/>
  <c r="AB180" i="25"/>
  <c r="AC179" i="25"/>
  <c r="AB179" i="25"/>
  <c r="AC178" i="25"/>
  <c r="AB178" i="25"/>
  <c r="AC177" i="25"/>
  <c r="AB177" i="25"/>
  <c r="AC176" i="25"/>
  <c r="AB176" i="25"/>
  <c r="AC175" i="25"/>
  <c r="AB175" i="25"/>
  <c r="AC174" i="25"/>
  <c r="AB174" i="25"/>
  <c r="AC173" i="25"/>
  <c r="AB173" i="25"/>
  <c r="AC172" i="25"/>
  <c r="AB172" i="25"/>
  <c r="AC171" i="25"/>
  <c r="AB171" i="25"/>
  <c r="AC170" i="25"/>
  <c r="AB170" i="25"/>
  <c r="AC169" i="25"/>
  <c r="AB169" i="25"/>
  <c r="AC168" i="25"/>
  <c r="AB168" i="25"/>
  <c r="AC167" i="25"/>
  <c r="AB167" i="25"/>
  <c r="AC166" i="25"/>
  <c r="AB166" i="25"/>
  <c r="AC165" i="25"/>
  <c r="AB165" i="25"/>
  <c r="AC164" i="25"/>
  <c r="AB164" i="25"/>
  <c r="AC163" i="25"/>
  <c r="AB163" i="25"/>
  <c r="AC162" i="25"/>
  <c r="AB162" i="25"/>
  <c r="AC161" i="25"/>
  <c r="AB161" i="25"/>
  <c r="AC160" i="25"/>
  <c r="AB160" i="25"/>
  <c r="AC159" i="25"/>
  <c r="AB159" i="25"/>
  <c r="AC158" i="25"/>
  <c r="AB158" i="25"/>
  <c r="AC157" i="25"/>
  <c r="AB157" i="25"/>
  <c r="AC156" i="25"/>
  <c r="AB156" i="25"/>
  <c r="AC155" i="25"/>
  <c r="AB155" i="25"/>
  <c r="AC154" i="25"/>
  <c r="AB154" i="25"/>
  <c r="AC153" i="25"/>
  <c r="AB153" i="25"/>
  <c r="AC152" i="25"/>
  <c r="AB152" i="25"/>
  <c r="AC151" i="25"/>
  <c r="AB151" i="25"/>
  <c r="AC150" i="25"/>
  <c r="AB150" i="25"/>
  <c r="AC149" i="25"/>
  <c r="AB149" i="25"/>
  <c r="AC148" i="25"/>
  <c r="AB148" i="25"/>
  <c r="AC147" i="25"/>
  <c r="AB147" i="25"/>
  <c r="AC146" i="25"/>
  <c r="AB146" i="25"/>
  <c r="AC145" i="25"/>
  <c r="AB145" i="25"/>
  <c r="AC144" i="25"/>
  <c r="AB144" i="25"/>
  <c r="AC143" i="25"/>
  <c r="AB143" i="25"/>
  <c r="AC142" i="25"/>
  <c r="AB142" i="25"/>
  <c r="AC141" i="25"/>
  <c r="AB141" i="25"/>
  <c r="AC140" i="25"/>
  <c r="AB140" i="25"/>
  <c r="AC139" i="25"/>
  <c r="AB139" i="25"/>
  <c r="AC138" i="25"/>
  <c r="AB138" i="25"/>
  <c r="AC137" i="25"/>
  <c r="AB137" i="25"/>
  <c r="AC136" i="25"/>
  <c r="AB136" i="25"/>
  <c r="AC135" i="25"/>
  <c r="AB135" i="25"/>
  <c r="AC134" i="25"/>
  <c r="AB134" i="25"/>
  <c r="AC133" i="25"/>
  <c r="AB133" i="25"/>
  <c r="AC132" i="25"/>
  <c r="AB132" i="25"/>
  <c r="AC131" i="25"/>
  <c r="AB131" i="25"/>
  <c r="AC130" i="25"/>
  <c r="AB130" i="25"/>
  <c r="AC129" i="25"/>
  <c r="AB129" i="25"/>
  <c r="AC128" i="25"/>
  <c r="AB128" i="25"/>
  <c r="AC127" i="25"/>
  <c r="AB127" i="25"/>
  <c r="AC126" i="25"/>
  <c r="AB126" i="25"/>
  <c r="AC125" i="25"/>
  <c r="AB125" i="25"/>
  <c r="AC124" i="25"/>
  <c r="AB124" i="25"/>
  <c r="AC123" i="25"/>
  <c r="AB123" i="25"/>
  <c r="AC122" i="25"/>
  <c r="AB122" i="25"/>
  <c r="AC121" i="25"/>
  <c r="AB121" i="25"/>
  <c r="AC120" i="25"/>
  <c r="AB120" i="25"/>
  <c r="AC119" i="25"/>
  <c r="AB119" i="25"/>
  <c r="AC118" i="25"/>
  <c r="AB118" i="25"/>
  <c r="AC117" i="25"/>
  <c r="AB117" i="25"/>
  <c r="AC116" i="25"/>
  <c r="AB116" i="25"/>
  <c r="AC115" i="25"/>
  <c r="AB115" i="25"/>
  <c r="AC114" i="25"/>
  <c r="AB114" i="25"/>
  <c r="AC113" i="25"/>
  <c r="AB113" i="25"/>
  <c r="AC112" i="25"/>
  <c r="AB112" i="25"/>
  <c r="AC111" i="25"/>
  <c r="AB111" i="25"/>
  <c r="AC110" i="25"/>
  <c r="AB110" i="25"/>
  <c r="AC109" i="25"/>
  <c r="AB109" i="25"/>
  <c r="AC108" i="25"/>
  <c r="AB108" i="25"/>
  <c r="AC107" i="25"/>
  <c r="AB107" i="25"/>
  <c r="AC106" i="25"/>
  <c r="AB106" i="25"/>
  <c r="AC105" i="25"/>
  <c r="AB105" i="25"/>
  <c r="AC104" i="25"/>
  <c r="AB104" i="25"/>
  <c r="AC103" i="25"/>
  <c r="AB103" i="25"/>
  <c r="AC102" i="25"/>
  <c r="AB102" i="25"/>
  <c r="AC98" i="25"/>
  <c r="AB98" i="25"/>
  <c r="AC97" i="25"/>
  <c r="AB97" i="25"/>
  <c r="AC96" i="25"/>
  <c r="AB96" i="25"/>
  <c r="AC95" i="25"/>
  <c r="AB95" i="25"/>
  <c r="AC94" i="25"/>
  <c r="AB94" i="25"/>
  <c r="AC93" i="25"/>
  <c r="AB93" i="25"/>
  <c r="AC92" i="25"/>
  <c r="AB92" i="25"/>
  <c r="AC91" i="25"/>
  <c r="AB91" i="25"/>
  <c r="AC90" i="25"/>
  <c r="AB90" i="25"/>
  <c r="AC89" i="25"/>
  <c r="AB89" i="25"/>
  <c r="AC88" i="25"/>
  <c r="AB88" i="25"/>
  <c r="AC87" i="25"/>
  <c r="AB87" i="25"/>
  <c r="AC86" i="25"/>
  <c r="AB86" i="25"/>
  <c r="AC61" i="25"/>
  <c r="AB61" i="25"/>
  <c r="AC60" i="25"/>
  <c r="AB60" i="25"/>
  <c r="AC59" i="25"/>
  <c r="AB59" i="25"/>
  <c r="AC58" i="25"/>
  <c r="AB58" i="25"/>
  <c r="AC57" i="25"/>
  <c r="AB57" i="25"/>
  <c r="AC56" i="25"/>
  <c r="AB56" i="25"/>
  <c r="AC55" i="25"/>
  <c r="AB55" i="25"/>
  <c r="AC54" i="25"/>
  <c r="AB54" i="25"/>
  <c r="AC53" i="25"/>
  <c r="AB53" i="25"/>
  <c r="AC52" i="25"/>
  <c r="AB52" i="25"/>
  <c r="AC51" i="25"/>
  <c r="AB51" i="25"/>
  <c r="AC50" i="25"/>
  <c r="AB50" i="25"/>
  <c r="AC49" i="25"/>
  <c r="AB49" i="25"/>
  <c r="AC48" i="25"/>
  <c r="AB48" i="25"/>
  <c r="AC47" i="25"/>
  <c r="AB47" i="25"/>
  <c r="AC46" i="25"/>
  <c r="AB46" i="25"/>
  <c r="AC45" i="25"/>
  <c r="AB45" i="25"/>
  <c r="AC44" i="25"/>
  <c r="AB44" i="25"/>
  <c r="AC43" i="25"/>
  <c r="AB43" i="25"/>
  <c r="AC42" i="25"/>
  <c r="AB42" i="25"/>
  <c r="AC41" i="25"/>
  <c r="AB41" i="25"/>
  <c r="AC40" i="25"/>
  <c r="AB40" i="25"/>
  <c r="AC39" i="25"/>
  <c r="AB39" i="25"/>
  <c r="AC38" i="25"/>
  <c r="AB38" i="25"/>
  <c r="AC37" i="25"/>
  <c r="AB37" i="25"/>
  <c r="AC36" i="25"/>
  <c r="AB36" i="25"/>
  <c r="AC35" i="25"/>
  <c r="AB35" i="25"/>
  <c r="AC34" i="25"/>
  <c r="AB34" i="25"/>
  <c r="AC33" i="25"/>
  <c r="AB33" i="25"/>
  <c r="AC32" i="25"/>
  <c r="AB32" i="25"/>
  <c r="AC31" i="25"/>
  <c r="AB31" i="25"/>
  <c r="AC30" i="25"/>
  <c r="AB30" i="25"/>
  <c r="AC29" i="25"/>
  <c r="AB29" i="25"/>
  <c r="AC28" i="25"/>
  <c r="AB28" i="25"/>
  <c r="AC27" i="25"/>
  <c r="AB27" i="25"/>
  <c r="AC26" i="25"/>
  <c r="AB26" i="25"/>
  <c r="AC25" i="25"/>
  <c r="AB25" i="25"/>
  <c r="AC24" i="25"/>
  <c r="AB24" i="25"/>
  <c r="AC23" i="25"/>
  <c r="AB23" i="25"/>
  <c r="AC22" i="25"/>
  <c r="AB22" i="25"/>
  <c r="AC21" i="25"/>
  <c r="AB21" i="25"/>
  <c r="AC20" i="25"/>
  <c r="AB20" i="25"/>
  <c r="AC19" i="25"/>
  <c r="AB19" i="25"/>
  <c r="AC18" i="25"/>
  <c r="AB18" i="25"/>
  <c r="AC17" i="25"/>
  <c r="AB17" i="25"/>
  <c r="AC16" i="25"/>
  <c r="AB16" i="25"/>
  <c r="AC15" i="25"/>
  <c r="AB15" i="25"/>
  <c r="AC14" i="25"/>
  <c r="AB14" i="25"/>
  <c r="AC13" i="25"/>
  <c r="AB13" i="25"/>
  <c r="AC12" i="25"/>
  <c r="AB12" i="25"/>
  <c r="AC11" i="25"/>
  <c r="AB11" i="25"/>
  <c r="AC10" i="25"/>
  <c r="AB10" i="25"/>
  <c r="AC9" i="25"/>
  <c r="AB9" i="25"/>
  <c r="AC8" i="25"/>
  <c r="AB8" i="25"/>
  <c r="AA226" i="25"/>
  <c r="Z226" i="25"/>
  <c r="AA225" i="25"/>
  <c r="Z225" i="25"/>
  <c r="AA224" i="25"/>
  <c r="Z224" i="25"/>
  <c r="AA223" i="25"/>
  <c r="Z223" i="25"/>
  <c r="AA222" i="25"/>
  <c r="Z222" i="25"/>
  <c r="AA221" i="25"/>
  <c r="Z221" i="25"/>
  <c r="AA220" i="25"/>
  <c r="Z220" i="25"/>
  <c r="AA219" i="25"/>
  <c r="Z219" i="25"/>
  <c r="AA218" i="25"/>
  <c r="Z218" i="25"/>
  <c r="AA217" i="25"/>
  <c r="Z217" i="25"/>
  <c r="AA216" i="25"/>
  <c r="Z216" i="25"/>
  <c r="AA215" i="25"/>
  <c r="Z215" i="25"/>
  <c r="AA214" i="25"/>
  <c r="Z214" i="25"/>
  <c r="AA213" i="25"/>
  <c r="Z213" i="25"/>
  <c r="AA212" i="25"/>
  <c r="Z212" i="25"/>
  <c r="AA211" i="25"/>
  <c r="Z211" i="25"/>
  <c r="AA210" i="25"/>
  <c r="Z210" i="25"/>
  <c r="AA209" i="25"/>
  <c r="Z209" i="25"/>
  <c r="AA208" i="25"/>
  <c r="Z208" i="25"/>
  <c r="AA207" i="25"/>
  <c r="Z207" i="25"/>
  <c r="AA206" i="25"/>
  <c r="Z206" i="25"/>
  <c r="AA205" i="25"/>
  <c r="Z205" i="25"/>
  <c r="AA204" i="25"/>
  <c r="Z204" i="25"/>
  <c r="AA203" i="25"/>
  <c r="Z203" i="25"/>
  <c r="AA202" i="25"/>
  <c r="Z202" i="25"/>
  <c r="AA201" i="25"/>
  <c r="Z201" i="25"/>
  <c r="AA200" i="25"/>
  <c r="Z200" i="25"/>
  <c r="AA199" i="25"/>
  <c r="Z199" i="25"/>
  <c r="AA198" i="25"/>
  <c r="Z198" i="25"/>
  <c r="AA197" i="25"/>
  <c r="Z197" i="25"/>
  <c r="AA196" i="25"/>
  <c r="Z196" i="25"/>
  <c r="AA195" i="25"/>
  <c r="Z195" i="25"/>
  <c r="AA194" i="25"/>
  <c r="Z194" i="25"/>
  <c r="AA193" i="25"/>
  <c r="Z193" i="25"/>
  <c r="AA192" i="25"/>
  <c r="Z192" i="25"/>
  <c r="AA191" i="25"/>
  <c r="Z191" i="25"/>
  <c r="AA190" i="25"/>
  <c r="Z190" i="25"/>
  <c r="AA189" i="25"/>
  <c r="Z189" i="25"/>
  <c r="AA188" i="25"/>
  <c r="Z188" i="25"/>
  <c r="AA187" i="25"/>
  <c r="Z187" i="25"/>
  <c r="AA186" i="25"/>
  <c r="Z186" i="25"/>
  <c r="AA185" i="25"/>
  <c r="Z185" i="25"/>
  <c r="AA184" i="25"/>
  <c r="Z184" i="25"/>
  <c r="AA183" i="25"/>
  <c r="Z183" i="25"/>
  <c r="AA182" i="25"/>
  <c r="Z182" i="25"/>
  <c r="AA181" i="25"/>
  <c r="Z181" i="25"/>
  <c r="AA180" i="25"/>
  <c r="Z180" i="25"/>
  <c r="AA179" i="25"/>
  <c r="Z179" i="25"/>
  <c r="AA178" i="25"/>
  <c r="Z178" i="25"/>
  <c r="AA177" i="25"/>
  <c r="Z177" i="25"/>
  <c r="AA176" i="25"/>
  <c r="Z176" i="25"/>
  <c r="AA175" i="25"/>
  <c r="Z175" i="25"/>
  <c r="AA174" i="25"/>
  <c r="Z174" i="25"/>
  <c r="AA173" i="25"/>
  <c r="Z173" i="25"/>
  <c r="AA172" i="25"/>
  <c r="Z172" i="25"/>
  <c r="AA171" i="25"/>
  <c r="Z171" i="25"/>
  <c r="AA170" i="25"/>
  <c r="Z170" i="25"/>
  <c r="AA169" i="25"/>
  <c r="Z169" i="25"/>
  <c r="AA168" i="25"/>
  <c r="Z168" i="25"/>
  <c r="AA167" i="25"/>
  <c r="Z167" i="25"/>
  <c r="AA166" i="25"/>
  <c r="Z166" i="25"/>
  <c r="AA165" i="25"/>
  <c r="Z165" i="25"/>
  <c r="AA164" i="25"/>
  <c r="Z164" i="25"/>
  <c r="AA163" i="25"/>
  <c r="Z163" i="25"/>
  <c r="AA162" i="25"/>
  <c r="Z162" i="25"/>
  <c r="AA161" i="25"/>
  <c r="Z161" i="25"/>
  <c r="AA160" i="25"/>
  <c r="Z160" i="25"/>
  <c r="AA159" i="25"/>
  <c r="Z159" i="25"/>
  <c r="AA158" i="25"/>
  <c r="Z158" i="25"/>
  <c r="AA157" i="25"/>
  <c r="Z157" i="25"/>
  <c r="AA156" i="25"/>
  <c r="Z156" i="25"/>
  <c r="AA155" i="25"/>
  <c r="Z155" i="25"/>
  <c r="AA154" i="25"/>
  <c r="Z154" i="25"/>
  <c r="AA153" i="25"/>
  <c r="Z153" i="25"/>
  <c r="AA152" i="25"/>
  <c r="Z152" i="25"/>
  <c r="AA151" i="25"/>
  <c r="Z151" i="25"/>
  <c r="AA150" i="25"/>
  <c r="Z150" i="25"/>
  <c r="AA149" i="25"/>
  <c r="Z149" i="25"/>
  <c r="AA148" i="25"/>
  <c r="Z148" i="25"/>
  <c r="AA147" i="25"/>
  <c r="Z147" i="25"/>
  <c r="AA146" i="25"/>
  <c r="Z146" i="25"/>
  <c r="AA145" i="25"/>
  <c r="Z145" i="25"/>
  <c r="AA144" i="25"/>
  <c r="Z144" i="25"/>
  <c r="AA143" i="25"/>
  <c r="Z143" i="25"/>
  <c r="AA142" i="25"/>
  <c r="Z142" i="25"/>
  <c r="AA141" i="25"/>
  <c r="Z141" i="25"/>
  <c r="AA140" i="25"/>
  <c r="Z140" i="25"/>
  <c r="AA139" i="25"/>
  <c r="Z139" i="25"/>
  <c r="AA138" i="25"/>
  <c r="Z138" i="25"/>
  <c r="AA137" i="25"/>
  <c r="Z137" i="25"/>
  <c r="AA136" i="25"/>
  <c r="Z136" i="25"/>
  <c r="AA135" i="25"/>
  <c r="Z135" i="25"/>
  <c r="AA134" i="25"/>
  <c r="Z134" i="25"/>
  <c r="AA133" i="25"/>
  <c r="Z133" i="25"/>
  <c r="AA132" i="25"/>
  <c r="Z132" i="25"/>
  <c r="AA131" i="25"/>
  <c r="Z131" i="25"/>
  <c r="AA130" i="25"/>
  <c r="Z130" i="25"/>
  <c r="AA129" i="25"/>
  <c r="Z129" i="25"/>
  <c r="AA128" i="25"/>
  <c r="Z128" i="25"/>
  <c r="AA127" i="25"/>
  <c r="Z127" i="25"/>
  <c r="AA126" i="25"/>
  <c r="Z126" i="25"/>
  <c r="AA125" i="25"/>
  <c r="Z125" i="25"/>
  <c r="AA124" i="25"/>
  <c r="Z124" i="25"/>
  <c r="AA123" i="25"/>
  <c r="Z123" i="25"/>
  <c r="AA122" i="25"/>
  <c r="Z122" i="25"/>
  <c r="AA121" i="25"/>
  <c r="Z121" i="25"/>
  <c r="AA120" i="25"/>
  <c r="Z120" i="25"/>
  <c r="AA119" i="25"/>
  <c r="Z119" i="25"/>
  <c r="AA118" i="25"/>
  <c r="Z118" i="25"/>
  <c r="AA117" i="25"/>
  <c r="Z117" i="25"/>
  <c r="AA116" i="25"/>
  <c r="Z116" i="25"/>
  <c r="AA115" i="25"/>
  <c r="Z115" i="25"/>
  <c r="AA114" i="25"/>
  <c r="Z114" i="25"/>
  <c r="AA113" i="25"/>
  <c r="Z113" i="25"/>
  <c r="AA112" i="25"/>
  <c r="Z112" i="25"/>
  <c r="AA111" i="25"/>
  <c r="Z111" i="25"/>
  <c r="AA110" i="25"/>
  <c r="Z110" i="25"/>
  <c r="AA109" i="25"/>
  <c r="Z109" i="25"/>
  <c r="AA108" i="25"/>
  <c r="Z108" i="25"/>
  <c r="AA107" i="25"/>
  <c r="Z107" i="25"/>
  <c r="AA106" i="25"/>
  <c r="Z106" i="25"/>
  <c r="AA105" i="25"/>
  <c r="Z105" i="25"/>
  <c r="AA104" i="25"/>
  <c r="Z104" i="25"/>
  <c r="AA103" i="25"/>
  <c r="Z103" i="25"/>
  <c r="AA102" i="25"/>
  <c r="Z102" i="25"/>
  <c r="AA98" i="25"/>
  <c r="Z98" i="25"/>
  <c r="AA97" i="25"/>
  <c r="Z97" i="25"/>
  <c r="AA96" i="25"/>
  <c r="Z96" i="25"/>
  <c r="AA95" i="25"/>
  <c r="Z95" i="25"/>
  <c r="AA94" i="25"/>
  <c r="Z94" i="25"/>
  <c r="AA93" i="25"/>
  <c r="Z93" i="25"/>
  <c r="AA92" i="25"/>
  <c r="Z92" i="25"/>
  <c r="AA91" i="25"/>
  <c r="Z91" i="25"/>
  <c r="AA90" i="25"/>
  <c r="Z90" i="25"/>
  <c r="AA89" i="25"/>
  <c r="Z89" i="25"/>
  <c r="AA88" i="25"/>
  <c r="Z88" i="25"/>
  <c r="AA87" i="25"/>
  <c r="Z87" i="25"/>
  <c r="AA86" i="25"/>
  <c r="Z86" i="25"/>
  <c r="AA61" i="25"/>
  <c r="Z61" i="25"/>
  <c r="AA60" i="25"/>
  <c r="Z60" i="25"/>
  <c r="AA59" i="25"/>
  <c r="Z59" i="25"/>
  <c r="AA58" i="25"/>
  <c r="Z58" i="25"/>
  <c r="AA57" i="25"/>
  <c r="Z57" i="25"/>
  <c r="AA56" i="25"/>
  <c r="Z56" i="25"/>
  <c r="AA55" i="25"/>
  <c r="Z55" i="25"/>
  <c r="AA54" i="25"/>
  <c r="Z54" i="25"/>
  <c r="AA53" i="25"/>
  <c r="Z53" i="25"/>
  <c r="AA52" i="25"/>
  <c r="Z52" i="25"/>
  <c r="AA51" i="25"/>
  <c r="Z51" i="25"/>
  <c r="AA50" i="25"/>
  <c r="Z50" i="25"/>
  <c r="AA49" i="25"/>
  <c r="Z49" i="25"/>
  <c r="AA48" i="25"/>
  <c r="Z48" i="25"/>
  <c r="AA47" i="25"/>
  <c r="Z47" i="25"/>
  <c r="AA46" i="25"/>
  <c r="Z46" i="25"/>
  <c r="AA45" i="25"/>
  <c r="Z45" i="25"/>
  <c r="AA44" i="25"/>
  <c r="Z44" i="25"/>
  <c r="AA43" i="25"/>
  <c r="Z43" i="25"/>
  <c r="AA42" i="25"/>
  <c r="Z42" i="25"/>
  <c r="AA41" i="25"/>
  <c r="Z41" i="25"/>
  <c r="AA40" i="25"/>
  <c r="Z40" i="25"/>
  <c r="AA39" i="25"/>
  <c r="Z39" i="25"/>
  <c r="AA38" i="25"/>
  <c r="Z38" i="25"/>
  <c r="AA37" i="25"/>
  <c r="Z37" i="25"/>
  <c r="AA36" i="25"/>
  <c r="Z36" i="25"/>
  <c r="AA35" i="25"/>
  <c r="Z35" i="25"/>
  <c r="AA34" i="25"/>
  <c r="Z34" i="25"/>
  <c r="AA33" i="25"/>
  <c r="Z33" i="25"/>
  <c r="AA32" i="25"/>
  <c r="Z32" i="25"/>
  <c r="AA31" i="25"/>
  <c r="Z31" i="25"/>
  <c r="AA30" i="25"/>
  <c r="Z30" i="25"/>
  <c r="AA29" i="25"/>
  <c r="Z29" i="25"/>
  <c r="AA28" i="25"/>
  <c r="Z28" i="25"/>
  <c r="AA27" i="25"/>
  <c r="Z27" i="25"/>
  <c r="AA26" i="25"/>
  <c r="Z26" i="25"/>
  <c r="AA25" i="25"/>
  <c r="Z25" i="25"/>
  <c r="AA24" i="25"/>
  <c r="Z24" i="25"/>
  <c r="AA23" i="25"/>
  <c r="Z23" i="25"/>
  <c r="AA22" i="25"/>
  <c r="Z22" i="25"/>
  <c r="AA21" i="25"/>
  <c r="Z21" i="25"/>
  <c r="AA20" i="25"/>
  <c r="Z20" i="25"/>
  <c r="AA19" i="25"/>
  <c r="Z19" i="25"/>
  <c r="AA18" i="25"/>
  <c r="Z18" i="25"/>
  <c r="AA17" i="25"/>
  <c r="Z17" i="25"/>
  <c r="AA16" i="25"/>
  <c r="Z16" i="25"/>
  <c r="AA15" i="25"/>
  <c r="Z15" i="25"/>
  <c r="AA14" i="25"/>
  <c r="Z14" i="25"/>
  <c r="AA13" i="25"/>
  <c r="Z13" i="25"/>
  <c r="AA12" i="25"/>
  <c r="Z12" i="25"/>
  <c r="AA11" i="25"/>
  <c r="Z11" i="25"/>
  <c r="AA10" i="25"/>
  <c r="Z10" i="25"/>
  <c r="AA9" i="25"/>
  <c r="Z9" i="25"/>
  <c r="AA8" i="25"/>
  <c r="Z8" i="25"/>
  <c r="AW66" i="65"/>
  <c r="AW65" i="65"/>
  <c r="AW64" i="65"/>
  <c r="AW63" i="65"/>
  <c r="AW62" i="65"/>
  <c r="AW61" i="65"/>
  <c r="AW60" i="65"/>
  <c r="AW59" i="65"/>
  <c r="AW58" i="65"/>
  <c r="AW57" i="65"/>
  <c r="AW56" i="65"/>
  <c r="AW55" i="65"/>
  <c r="AV54" i="65"/>
  <c r="AU54" i="65"/>
  <c r="AT54" i="65"/>
  <c r="AW54" i="65" s="1"/>
  <c r="AV53" i="65"/>
  <c r="AU53" i="65"/>
  <c r="AT53" i="65"/>
  <c r="AW53" i="65" s="1"/>
  <c r="AV52" i="65"/>
  <c r="AU52" i="65"/>
  <c r="AT52" i="65"/>
  <c r="AW52" i="65" s="1"/>
  <c r="AV51" i="65"/>
  <c r="AU51" i="65"/>
  <c r="AT51" i="65"/>
  <c r="AW51" i="65" s="1"/>
  <c r="AV50" i="65"/>
  <c r="AU50" i="65"/>
  <c r="AT50" i="65"/>
  <c r="AW50" i="65" s="1"/>
  <c r="AV49" i="65"/>
  <c r="AU49" i="65"/>
  <c r="AT49" i="65"/>
  <c r="AW49" i="65" s="1"/>
  <c r="AV48" i="65"/>
  <c r="AU48" i="65"/>
  <c r="AT48" i="65"/>
  <c r="AW48" i="65" s="1"/>
  <c r="AV47" i="65"/>
  <c r="AU47" i="65"/>
  <c r="AT47" i="65"/>
  <c r="AW47" i="65" s="1"/>
  <c r="AV46" i="65"/>
  <c r="AU46" i="65"/>
  <c r="AT46" i="65"/>
  <c r="AW46" i="65" s="1"/>
  <c r="AV45" i="65"/>
  <c r="AU45" i="65"/>
  <c r="AT45" i="65"/>
  <c r="AW45" i="65" s="1"/>
  <c r="AV44" i="65"/>
  <c r="AU44" i="65"/>
  <c r="AT44" i="65"/>
  <c r="AW44" i="65" s="1"/>
  <c r="AV43" i="65"/>
  <c r="AU43" i="65"/>
  <c r="AT43" i="65"/>
  <c r="AW43" i="65" s="1"/>
  <c r="AV42" i="65"/>
  <c r="AU42" i="65"/>
  <c r="AT42" i="65"/>
  <c r="AW42" i="65" s="1"/>
  <c r="AV41" i="65"/>
  <c r="AU41" i="65"/>
  <c r="AT41" i="65"/>
  <c r="AW41" i="65" s="1"/>
  <c r="AV40" i="65"/>
  <c r="AU40" i="65"/>
  <c r="AT40" i="65"/>
  <c r="AW40" i="65" s="1"/>
  <c r="AV39" i="65"/>
  <c r="AU39" i="65"/>
  <c r="AT39" i="65"/>
  <c r="AW39" i="65" s="1"/>
  <c r="AV38" i="65"/>
  <c r="AU38" i="65"/>
  <c r="AT38" i="65"/>
  <c r="AW38" i="65" s="1"/>
  <c r="AV37" i="65"/>
  <c r="AU37" i="65"/>
  <c r="AT37" i="65"/>
  <c r="AW37" i="65" s="1"/>
  <c r="AV36" i="65"/>
  <c r="AU36" i="65"/>
  <c r="AT36" i="65"/>
  <c r="AW36" i="65" s="1"/>
  <c r="AV35" i="65"/>
  <c r="AU35" i="65"/>
  <c r="AT35" i="65"/>
  <c r="AW35" i="65" s="1"/>
  <c r="AV34" i="65"/>
  <c r="AU34" i="65"/>
  <c r="AT34" i="65"/>
  <c r="AW34" i="65" s="1"/>
  <c r="BT33" i="65"/>
  <c r="BS33" i="65"/>
  <c r="BR33" i="65"/>
  <c r="BQ33" i="65"/>
  <c r="BP33" i="65"/>
  <c r="BO33" i="65"/>
  <c r="BN33" i="65"/>
  <c r="BM33" i="65"/>
  <c r="BL33" i="65"/>
  <c r="BK33" i="65"/>
  <c r="BJ33" i="65"/>
  <c r="BI33" i="65"/>
  <c r="BH33" i="65"/>
  <c r="BG33" i="65"/>
  <c r="BF33" i="65"/>
  <c r="BE33" i="65"/>
  <c r="BD33" i="65"/>
  <c r="BC33" i="65"/>
  <c r="BB33" i="65"/>
  <c r="BA33" i="65"/>
  <c r="AZ33" i="65"/>
  <c r="AY33" i="65"/>
  <c r="AX33" i="65"/>
  <c r="AV33" i="65"/>
  <c r="AU33" i="65"/>
  <c r="AT33" i="65"/>
  <c r="AW33" i="65" s="1"/>
  <c r="AS33" i="65"/>
  <c r="AR33" i="65"/>
  <c r="AQ33" i="65"/>
  <c r="AP33" i="65"/>
  <c r="AO33" i="65"/>
  <c r="AN33" i="65"/>
  <c r="AM33" i="65"/>
  <c r="AL33" i="65"/>
  <c r="AK33" i="65"/>
  <c r="AJ33" i="65"/>
  <c r="AI33" i="65"/>
  <c r="AH33" i="65"/>
  <c r="AG33" i="65"/>
  <c r="AF33" i="65"/>
  <c r="AE33" i="65"/>
  <c r="AD33" i="65"/>
  <c r="AC33" i="65"/>
  <c r="AB33" i="65"/>
  <c r="AA33" i="65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H33" i="65"/>
  <c r="G33" i="65"/>
  <c r="F33" i="65"/>
  <c r="E33" i="65"/>
  <c r="D33" i="65"/>
  <c r="C33" i="65"/>
  <c r="BT32" i="65"/>
  <c r="BS32" i="65"/>
  <c r="BR32" i="65"/>
  <c r="BQ32" i="65"/>
  <c r="BP32" i="65"/>
  <c r="BO32" i="65"/>
  <c r="BN32" i="65"/>
  <c r="BM32" i="65"/>
  <c r="BL32" i="65"/>
  <c r="BK32" i="65"/>
  <c r="BJ32" i="65"/>
  <c r="BI32" i="65"/>
  <c r="BH32" i="65"/>
  <c r="BG32" i="65"/>
  <c r="BF32" i="65"/>
  <c r="BE32" i="65"/>
  <c r="BD32" i="65"/>
  <c r="BC32" i="65"/>
  <c r="BB32" i="65"/>
  <c r="BA32" i="65"/>
  <c r="AZ32" i="65"/>
  <c r="AY32" i="65"/>
  <c r="AX32" i="65"/>
  <c r="AV32" i="65"/>
  <c r="AU32" i="65"/>
  <c r="AT32" i="65"/>
  <c r="AW32" i="65" s="1"/>
  <c r="AS32" i="65"/>
  <c r="AR32" i="65"/>
  <c r="AQ32" i="65"/>
  <c r="AP32" i="65"/>
  <c r="AO32" i="65"/>
  <c r="AN32" i="65"/>
  <c r="AM32" i="65"/>
  <c r="AL32" i="65"/>
  <c r="AK32" i="65"/>
  <c r="AJ32" i="65"/>
  <c r="AI32" i="65"/>
  <c r="AH32" i="65"/>
  <c r="AG32" i="65"/>
  <c r="AF32" i="65"/>
  <c r="AE32" i="65"/>
  <c r="AD32" i="65"/>
  <c r="AC32" i="65"/>
  <c r="AB32" i="65"/>
  <c r="AA32" i="65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H32" i="65"/>
  <c r="G32" i="65"/>
  <c r="F32" i="65"/>
  <c r="E32" i="65"/>
  <c r="D32" i="65"/>
  <c r="C32" i="65"/>
  <c r="BT31" i="65"/>
  <c r="BS31" i="65"/>
  <c r="BR31" i="65"/>
  <c r="BQ31" i="65"/>
  <c r="BP31" i="65"/>
  <c r="BO31" i="65"/>
  <c r="BN31" i="65"/>
  <c r="BM31" i="65"/>
  <c r="BL31" i="65"/>
  <c r="BK31" i="65"/>
  <c r="BJ31" i="65"/>
  <c r="BI31" i="65"/>
  <c r="BH31" i="65"/>
  <c r="BG31" i="65"/>
  <c r="BF31" i="65"/>
  <c r="BE31" i="65"/>
  <c r="BD31" i="65"/>
  <c r="BC31" i="65"/>
  <c r="BB31" i="65"/>
  <c r="BA31" i="65"/>
  <c r="AZ31" i="65"/>
  <c r="AY31" i="65"/>
  <c r="AX31" i="65"/>
  <c r="AV31" i="65"/>
  <c r="AU31" i="65"/>
  <c r="AT31" i="65"/>
  <c r="AW31" i="65" s="1"/>
  <c r="AS31" i="65"/>
  <c r="AR31" i="65"/>
  <c r="AQ31" i="65"/>
  <c r="AP31" i="65"/>
  <c r="AO31" i="65"/>
  <c r="AN31" i="65"/>
  <c r="AM31" i="65"/>
  <c r="AL31" i="65"/>
  <c r="AK31" i="65"/>
  <c r="AJ31" i="65"/>
  <c r="AI31" i="65"/>
  <c r="AH31" i="65"/>
  <c r="AG31" i="65"/>
  <c r="AF31" i="65"/>
  <c r="AE31" i="65"/>
  <c r="AD31" i="65"/>
  <c r="AC31" i="65"/>
  <c r="AB31" i="65"/>
  <c r="AA31" i="65"/>
  <c r="Z31" i="65"/>
  <c r="Y31" i="65"/>
  <c r="X31" i="65"/>
  <c r="W31" i="65"/>
  <c r="V31" i="65"/>
  <c r="U31" i="65"/>
  <c r="T31" i="65"/>
  <c r="S31" i="65"/>
  <c r="R31" i="65"/>
  <c r="Q31" i="65"/>
  <c r="P31" i="65"/>
  <c r="O31" i="65"/>
  <c r="N31" i="65"/>
  <c r="M31" i="65"/>
  <c r="L31" i="65"/>
  <c r="K31" i="65"/>
  <c r="J31" i="65"/>
  <c r="I31" i="65"/>
  <c r="H31" i="65"/>
  <c r="G31" i="65"/>
  <c r="F31" i="65"/>
  <c r="E31" i="65"/>
  <c r="D31" i="65"/>
  <c r="C31" i="65"/>
  <c r="BT30" i="65"/>
  <c r="BS30" i="65"/>
  <c r="BR30" i="65"/>
  <c r="BQ30" i="65"/>
  <c r="BP30" i="65"/>
  <c r="BO30" i="65"/>
  <c r="BN30" i="65"/>
  <c r="BM30" i="65"/>
  <c r="BL30" i="65"/>
  <c r="BK30" i="65"/>
  <c r="BJ30" i="65"/>
  <c r="BI30" i="65"/>
  <c r="BH30" i="65"/>
  <c r="BG30" i="65"/>
  <c r="BF30" i="65"/>
  <c r="BE30" i="65"/>
  <c r="BD30" i="65"/>
  <c r="BC30" i="65"/>
  <c r="BB30" i="65"/>
  <c r="BA30" i="65"/>
  <c r="AZ30" i="65"/>
  <c r="AY30" i="65"/>
  <c r="AX30" i="65"/>
  <c r="AV30" i="65"/>
  <c r="AU30" i="65"/>
  <c r="AT30" i="65"/>
  <c r="AW30" i="65" s="1"/>
  <c r="AS30" i="65"/>
  <c r="AR30" i="65"/>
  <c r="AQ30" i="65"/>
  <c r="AP30" i="65"/>
  <c r="AO30" i="65"/>
  <c r="AN30" i="65"/>
  <c r="AM30" i="65"/>
  <c r="AL30" i="65"/>
  <c r="AK30" i="65"/>
  <c r="AJ30" i="65"/>
  <c r="AI30" i="65"/>
  <c r="AH30" i="65"/>
  <c r="AG30" i="65"/>
  <c r="AF30" i="65"/>
  <c r="AE30" i="65"/>
  <c r="AD30" i="65"/>
  <c r="AC30" i="65"/>
  <c r="AB30" i="65"/>
  <c r="AA30" i="65"/>
  <c r="Z30" i="65"/>
  <c r="Y30" i="65"/>
  <c r="X30" i="65"/>
  <c r="W30" i="65"/>
  <c r="V30" i="65"/>
  <c r="U30" i="65"/>
  <c r="T30" i="65"/>
  <c r="S30" i="65"/>
  <c r="R30" i="65"/>
  <c r="Q30" i="65"/>
  <c r="P30" i="65"/>
  <c r="O30" i="65"/>
  <c r="N30" i="65"/>
  <c r="M30" i="65"/>
  <c r="L30" i="65"/>
  <c r="K30" i="65"/>
  <c r="J30" i="65"/>
  <c r="I30" i="65"/>
  <c r="H30" i="65"/>
  <c r="G30" i="65"/>
  <c r="F30" i="65"/>
  <c r="E30" i="65"/>
  <c r="D30" i="65"/>
  <c r="C30" i="65"/>
  <c r="BT29" i="65"/>
  <c r="BS29" i="65"/>
  <c r="BR29" i="65"/>
  <c r="BQ29" i="65"/>
  <c r="BP29" i="65"/>
  <c r="BO29" i="65"/>
  <c r="BN29" i="65"/>
  <c r="BM29" i="65"/>
  <c r="BL29" i="65"/>
  <c r="BK29" i="65"/>
  <c r="BJ29" i="65"/>
  <c r="BI29" i="65"/>
  <c r="BH29" i="65"/>
  <c r="BG29" i="65"/>
  <c r="BF29" i="65"/>
  <c r="BE29" i="65"/>
  <c r="BD29" i="65"/>
  <c r="BC29" i="65"/>
  <c r="BB29" i="65"/>
  <c r="BA29" i="65"/>
  <c r="AZ29" i="65"/>
  <c r="AY29" i="65"/>
  <c r="AX29" i="65"/>
  <c r="AV29" i="65"/>
  <c r="AU29" i="65"/>
  <c r="AT29" i="65"/>
  <c r="AW29" i="65" s="1"/>
  <c r="AS29" i="65"/>
  <c r="AR29" i="65"/>
  <c r="AQ29" i="65"/>
  <c r="AP29" i="65"/>
  <c r="AO29" i="65"/>
  <c r="AN29" i="65"/>
  <c r="AM29" i="65"/>
  <c r="AL29" i="65"/>
  <c r="AK29" i="65"/>
  <c r="AJ29" i="65"/>
  <c r="AI29" i="65"/>
  <c r="AH29" i="65"/>
  <c r="AG29" i="65"/>
  <c r="AF29" i="65"/>
  <c r="AE29" i="65"/>
  <c r="AD29" i="65"/>
  <c r="AC29" i="65"/>
  <c r="AB29" i="65"/>
  <c r="AA29" i="65"/>
  <c r="Z29" i="65"/>
  <c r="Y29" i="65"/>
  <c r="X29" i="65"/>
  <c r="W29" i="65"/>
  <c r="V29" i="65"/>
  <c r="U29" i="65"/>
  <c r="T29" i="65"/>
  <c r="S29" i="65"/>
  <c r="R29" i="65"/>
  <c r="Q29" i="65"/>
  <c r="P29" i="65"/>
  <c r="O29" i="65"/>
  <c r="N29" i="65"/>
  <c r="M29" i="65"/>
  <c r="L29" i="65"/>
  <c r="K29" i="65"/>
  <c r="J29" i="65"/>
  <c r="I29" i="65"/>
  <c r="H29" i="65"/>
  <c r="G29" i="65"/>
  <c r="F29" i="65"/>
  <c r="E29" i="65"/>
  <c r="D29" i="65"/>
  <c r="C29" i="65"/>
  <c r="BT28" i="65"/>
  <c r="BS28" i="65"/>
  <c r="BR28" i="65"/>
  <c r="BQ28" i="65"/>
  <c r="BP28" i="65"/>
  <c r="BO28" i="65"/>
  <c r="BN28" i="65"/>
  <c r="BM28" i="65"/>
  <c r="BL28" i="65"/>
  <c r="BK28" i="65"/>
  <c r="BJ28" i="65"/>
  <c r="BI28" i="65"/>
  <c r="BH28" i="65"/>
  <c r="BG28" i="65"/>
  <c r="BF28" i="65"/>
  <c r="BE28" i="65"/>
  <c r="BD28" i="65"/>
  <c r="BC28" i="65"/>
  <c r="BB28" i="65"/>
  <c r="BA28" i="65"/>
  <c r="AZ28" i="65"/>
  <c r="AY28" i="65"/>
  <c r="AX28" i="65"/>
  <c r="AV28" i="65"/>
  <c r="AU28" i="65"/>
  <c r="AT28" i="65"/>
  <c r="AW28" i="65" s="1"/>
  <c r="AS28" i="65"/>
  <c r="AR28" i="65"/>
  <c r="AQ28" i="65"/>
  <c r="AP28" i="65"/>
  <c r="AO28" i="65"/>
  <c r="AN28" i="65"/>
  <c r="AM28" i="65"/>
  <c r="AL28" i="65"/>
  <c r="AK28" i="65"/>
  <c r="AJ28" i="65"/>
  <c r="AI28" i="65"/>
  <c r="AH28" i="65"/>
  <c r="AG28" i="65"/>
  <c r="AF28" i="65"/>
  <c r="AE28" i="65"/>
  <c r="AD28" i="65"/>
  <c r="AC28" i="65"/>
  <c r="AB28" i="65"/>
  <c r="AA28" i="65"/>
  <c r="Z28" i="65"/>
  <c r="Y28" i="65"/>
  <c r="X28" i="65"/>
  <c r="W28" i="65"/>
  <c r="V28" i="65"/>
  <c r="U28" i="65"/>
  <c r="T28" i="65"/>
  <c r="S28" i="65"/>
  <c r="R28" i="65"/>
  <c r="Q28" i="65"/>
  <c r="P28" i="65"/>
  <c r="O28" i="65"/>
  <c r="N28" i="65"/>
  <c r="M28" i="65"/>
  <c r="L28" i="65"/>
  <c r="K28" i="65"/>
  <c r="J28" i="65"/>
  <c r="I28" i="65"/>
  <c r="H28" i="65"/>
  <c r="G28" i="65"/>
  <c r="F28" i="65"/>
  <c r="E28" i="65"/>
  <c r="D28" i="65"/>
  <c r="C28" i="65"/>
  <c r="BT27" i="65"/>
  <c r="BS27" i="65"/>
  <c r="BR27" i="65"/>
  <c r="BQ27" i="65"/>
  <c r="BP27" i="65"/>
  <c r="BO27" i="65"/>
  <c r="BN27" i="65"/>
  <c r="BM27" i="65"/>
  <c r="BL27" i="65"/>
  <c r="BK27" i="65"/>
  <c r="BJ27" i="65"/>
  <c r="BI27" i="65"/>
  <c r="BH27" i="65"/>
  <c r="BG27" i="65"/>
  <c r="BF27" i="65"/>
  <c r="BE27" i="65"/>
  <c r="BD27" i="65"/>
  <c r="BC27" i="65"/>
  <c r="BB27" i="65"/>
  <c r="BA27" i="65"/>
  <c r="AZ27" i="65"/>
  <c r="AY27" i="65"/>
  <c r="AX27" i="65"/>
  <c r="AV27" i="65"/>
  <c r="AU27" i="65"/>
  <c r="AT27" i="65"/>
  <c r="AW27" i="65" s="1"/>
  <c r="AS27" i="65"/>
  <c r="AR27" i="65"/>
  <c r="AQ27" i="65"/>
  <c r="AP27" i="65"/>
  <c r="AO27" i="65"/>
  <c r="AN27" i="65"/>
  <c r="AM27" i="65"/>
  <c r="AL27" i="65"/>
  <c r="AK27" i="65"/>
  <c r="AJ27" i="65"/>
  <c r="AI27" i="65"/>
  <c r="AH27" i="65"/>
  <c r="AG27" i="65"/>
  <c r="AF27" i="65"/>
  <c r="AE27" i="65"/>
  <c r="AD27" i="65"/>
  <c r="AC27" i="65"/>
  <c r="AB27" i="65"/>
  <c r="AA27" i="65"/>
  <c r="Z27" i="65"/>
  <c r="Y27" i="65"/>
  <c r="X27" i="65"/>
  <c r="W27" i="65"/>
  <c r="V27" i="65"/>
  <c r="U27" i="65"/>
  <c r="T27" i="65"/>
  <c r="S27" i="65"/>
  <c r="R27" i="65"/>
  <c r="Q27" i="65"/>
  <c r="P27" i="65"/>
  <c r="O27" i="65"/>
  <c r="N27" i="65"/>
  <c r="M27" i="65"/>
  <c r="L27" i="65"/>
  <c r="K27" i="65"/>
  <c r="J27" i="65"/>
  <c r="I27" i="65"/>
  <c r="H27" i="65"/>
  <c r="G27" i="65"/>
  <c r="F27" i="65"/>
  <c r="E27" i="65"/>
  <c r="D27" i="65"/>
  <c r="C27" i="65"/>
  <c r="BT26" i="65"/>
  <c r="BS26" i="65"/>
  <c r="BR26" i="65"/>
  <c r="BQ26" i="65"/>
  <c r="BP26" i="65"/>
  <c r="BO26" i="65"/>
  <c r="BN26" i="65"/>
  <c r="BM26" i="65"/>
  <c r="BL26" i="65"/>
  <c r="BK26" i="65"/>
  <c r="BJ26" i="65"/>
  <c r="BI26" i="65"/>
  <c r="BH26" i="65"/>
  <c r="BG26" i="65"/>
  <c r="BF26" i="65"/>
  <c r="BE26" i="65"/>
  <c r="BD26" i="65"/>
  <c r="BC26" i="65"/>
  <c r="BB26" i="65"/>
  <c r="BA26" i="65"/>
  <c r="AZ26" i="65"/>
  <c r="AY26" i="65"/>
  <c r="AX26" i="65"/>
  <c r="AV26" i="65"/>
  <c r="AU26" i="65"/>
  <c r="AT26" i="65"/>
  <c r="AW26" i="65" s="1"/>
  <c r="AS26" i="65"/>
  <c r="AR26" i="65"/>
  <c r="AQ26" i="65"/>
  <c r="AP26" i="65"/>
  <c r="AO26" i="65"/>
  <c r="AN26" i="65"/>
  <c r="AM26" i="65"/>
  <c r="AL26" i="65"/>
  <c r="AK26" i="65"/>
  <c r="AJ26" i="65"/>
  <c r="AI26" i="65"/>
  <c r="AH26" i="65"/>
  <c r="AG26" i="65"/>
  <c r="AF26" i="65"/>
  <c r="AE26" i="65"/>
  <c r="AD26" i="65"/>
  <c r="AC26" i="65"/>
  <c r="AB26" i="65"/>
  <c r="AA26" i="65"/>
  <c r="Z26" i="65"/>
  <c r="Y26" i="65"/>
  <c r="X26" i="65"/>
  <c r="W26" i="65"/>
  <c r="V26" i="65"/>
  <c r="U26" i="65"/>
  <c r="T26" i="65"/>
  <c r="S26" i="65"/>
  <c r="R26" i="65"/>
  <c r="Q26" i="65"/>
  <c r="P26" i="65"/>
  <c r="O26" i="65"/>
  <c r="N26" i="65"/>
  <c r="M26" i="65"/>
  <c r="L26" i="65"/>
  <c r="K26" i="65"/>
  <c r="J26" i="65"/>
  <c r="I26" i="65"/>
  <c r="H26" i="65"/>
  <c r="G26" i="65"/>
  <c r="F26" i="65"/>
  <c r="E26" i="65"/>
  <c r="D26" i="65"/>
  <c r="C26" i="65"/>
  <c r="BT25" i="65"/>
  <c r="BS25" i="65"/>
  <c r="BR25" i="65"/>
  <c r="BQ25" i="65"/>
  <c r="BP25" i="65"/>
  <c r="BO25" i="65"/>
  <c r="BN25" i="65"/>
  <c r="BM25" i="65"/>
  <c r="BL25" i="65"/>
  <c r="BK25" i="65"/>
  <c r="BJ25" i="65"/>
  <c r="BI25" i="65"/>
  <c r="BH25" i="65"/>
  <c r="BG25" i="65"/>
  <c r="BF25" i="65"/>
  <c r="BE25" i="65"/>
  <c r="BD25" i="65"/>
  <c r="BC25" i="65"/>
  <c r="BB25" i="65"/>
  <c r="BA25" i="65"/>
  <c r="AZ25" i="65"/>
  <c r="AY25" i="65"/>
  <c r="AX25" i="65"/>
  <c r="AV25" i="65"/>
  <c r="AU25" i="65"/>
  <c r="AT25" i="65"/>
  <c r="AW25" i="65" s="1"/>
  <c r="AS25" i="65"/>
  <c r="AR25" i="65"/>
  <c r="AQ25" i="65"/>
  <c r="AP25" i="65"/>
  <c r="AO25" i="65"/>
  <c r="AN25" i="65"/>
  <c r="AM25" i="65"/>
  <c r="AL25" i="65"/>
  <c r="AK25" i="65"/>
  <c r="AJ25" i="65"/>
  <c r="AI25" i="65"/>
  <c r="AH25" i="65"/>
  <c r="AG25" i="65"/>
  <c r="AF25" i="65"/>
  <c r="AE25" i="65"/>
  <c r="AD25" i="65"/>
  <c r="AC25" i="65"/>
  <c r="AB25" i="65"/>
  <c r="AA25" i="65"/>
  <c r="Z25" i="65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K25" i="65"/>
  <c r="J25" i="65"/>
  <c r="I25" i="65"/>
  <c r="H25" i="65"/>
  <c r="G25" i="65"/>
  <c r="F25" i="65"/>
  <c r="E25" i="65"/>
  <c r="D25" i="65"/>
  <c r="C25" i="65"/>
  <c r="BT24" i="65"/>
  <c r="BS24" i="65"/>
  <c r="BR24" i="65"/>
  <c r="BQ24" i="65"/>
  <c r="BP24" i="65"/>
  <c r="BO24" i="65"/>
  <c r="BN24" i="65"/>
  <c r="BM24" i="65"/>
  <c r="BL24" i="65"/>
  <c r="BK24" i="65"/>
  <c r="BJ24" i="65"/>
  <c r="BI24" i="65"/>
  <c r="BH24" i="65"/>
  <c r="BG24" i="65"/>
  <c r="BF24" i="65"/>
  <c r="BE24" i="65"/>
  <c r="BD24" i="65"/>
  <c r="BC24" i="65"/>
  <c r="BB24" i="65"/>
  <c r="BA24" i="65"/>
  <c r="AZ24" i="65"/>
  <c r="AY24" i="65"/>
  <c r="AX24" i="65"/>
  <c r="AV24" i="65"/>
  <c r="AU24" i="65"/>
  <c r="AT24" i="65"/>
  <c r="AW24" i="65" s="1"/>
  <c r="AS24" i="65"/>
  <c r="AR24" i="65"/>
  <c r="AQ24" i="65"/>
  <c r="AP24" i="65"/>
  <c r="AO24" i="65"/>
  <c r="AN24" i="65"/>
  <c r="AM24" i="65"/>
  <c r="AL24" i="65"/>
  <c r="AK24" i="65"/>
  <c r="AJ24" i="65"/>
  <c r="AI24" i="65"/>
  <c r="AH24" i="65"/>
  <c r="AG24" i="65"/>
  <c r="AF24" i="65"/>
  <c r="AE24" i="65"/>
  <c r="AD24" i="65"/>
  <c r="AC24" i="65"/>
  <c r="AB24" i="65"/>
  <c r="AA24" i="65"/>
  <c r="Z24" i="65"/>
  <c r="Y24" i="65"/>
  <c r="X24" i="65"/>
  <c r="W24" i="65"/>
  <c r="V24" i="65"/>
  <c r="U24" i="65"/>
  <c r="T24" i="65"/>
  <c r="S24" i="65"/>
  <c r="R24" i="65"/>
  <c r="Q24" i="65"/>
  <c r="P24" i="65"/>
  <c r="O24" i="65"/>
  <c r="N24" i="65"/>
  <c r="M24" i="65"/>
  <c r="L24" i="65"/>
  <c r="K24" i="65"/>
  <c r="J24" i="65"/>
  <c r="I24" i="65"/>
  <c r="H24" i="65"/>
  <c r="G24" i="65"/>
  <c r="F24" i="65"/>
  <c r="E24" i="65"/>
  <c r="D24" i="65"/>
  <c r="C24" i="65"/>
  <c r="BT23" i="65"/>
  <c r="BS23" i="65"/>
  <c r="BR23" i="65"/>
  <c r="BQ23" i="65"/>
  <c r="BP23" i="65"/>
  <c r="BO23" i="65"/>
  <c r="BN23" i="65"/>
  <c r="BM23" i="65"/>
  <c r="BL23" i="65"/>
  <c r="BK23" i="65"/>
  <c r="BJ23" i="65"/>
  <c r="BI23" i="65"/>
  <c r="BH23" i="65"/>
  <c r="BG23" i="65"/>
  <c r="BF23" i="65"/>
  <c r="BE23" i="65"/>
  <c r="BD23" i="65"/>
  <c r="BC23" i="65"/>
  <c r="BB23" i="65"/>
  <c r="BA23" i="65"/>
  <c r="AZ23" i="65"/>
  <c r="AY23" i="65"/>
  <c r="AX23" i="65"/>
  <c r="AV23" i="65"/>
  <c r="AU23" i="65"/>
  <c r="AT23" i="65"/>
  <c r="AW23" i="65" s="1"/>
  <c r="AS23" i="65"/>
  <c r="AR23" i="65"/>
  <c r="AQ23" i="65"/>
  <c r="AP23" i="65"/>
  <c r="AO23" i="65"/>
  <c r="AN23" i="65"/>
  <c r="AM23" i="65"/>
  <c r="AL23" i="65"/>
  <c r="AK23" i="65"/>
  <c r="AJ23" i="65"/>
  <c r="AI23" i="65"/>
  <c r="AH23" i="65"/>
  <c r="AG23" i="65"/>
  <c r="AF23" i="65"/>
  <c r="AE23" i="65"/>
  <c r="AD23" i="65"/>
  <c r="AC23" i="65"/>
  <c r="AB23" i="65"/>
  <c r="AA23" i="65"/>
  <c r="Z23" i="65"/>
  <c r="Y23" i="65"/>
  <c r="X23" i="65"/>
  <c r="W23" i="65"/>
  <c r="V23" i="65"/>
  <c r="U23" i="65"/>
  <c r="T23" i="65"/>
  <c r="S23" i="65"/>
  <c r="R23" i="65"/>
  <c r="Q23" i="65"/>
  <c r="P23" i="65"/>
  <c r="O23" i="65"/>
  <c r="N23" i="65"/>
  <c r="M23" i="65"/>
  <c r="L23" i="65"/>
  <c r="K23" i="65"/>
  <c r="J23" i="65"/>
  <c r="I23" i="65"/>
  <c r="H23" i="65"/>
  <c r="G23" i="65"/>
  <c r="F23" i="65"/>
  <c r="E23" i="65"/>
  <c r="D23" i="65"/>
  <c r="C23" i="65"/>
  <c r="BT22" i="65"/>
  <c r="BS22" i="65"/>
  <c r="BR22" i="65"/>
  <c r="BQ22" i="65"/>
  <c r="BP22" i="65"/>
  <c r="BO22" i="65"/>
  <c r="BN22" i="65"/>
  <c r="BM22" i="65"/>
  <c r="BL22" i="65"/>
  <c r="BK22" i="65"/>
  <c r="BJ22" i="65"/>
  <c r="BI22" i="65"/>
  <c r="BH22" i="65"/>
  <c r="BG22" i="65"/>
  <c r="BF22" i="65"/>
  <c r="BE22" i="65"/>
  <c r="BD22" i="65"/>
  <c r="BC22" i="65"/>
  <c r="BB22" i="65"/>
  <c r="BA22" i="65"/>
  <c r="AZ22" i="65"/>
  <c r="AY22" i="65"/>
  <c r="AX22" i="65"/>
  <c r="AV22" i="65"/>
  <c r="AU22" i="65"/>
  <c r="AT22" i="65"/>
  <c r="AW22" i="65" s="1"/>
  <c r="AS22" i="65"/>
  <c r="AR22" i="65"/>
  <c r="AQ22" i="65"/>
  <c r="AP22" i="65"/>
  <c r="AO22" i="65"/>
  <c r="AN22" i="65"/>
  <c r="AM22" i="65"/>
  <c r="AL22" i="65"/>
  <c r="AK22" i="65"/>
  <c r="AJ22" i="65"/>
  <c r="AI22" i="65"/>
  <c r="AH22" i="65"/>
  <c r="AG22" i="65"/>
  <c r="AF22" i="65"/>
  <c r="AE22" i="65"/>
  <c r="AD22" i="65"/>
  <c r="AC22" i="65"/>
  <c r="AB22" i="65"/>
  <c r="AA22" i="65"/>
  <c r="Z22" i="65"/>
  <c r="Y22" i="65"/>
  <c r="X22" i="65"/>
  <c r="W22" i="65"/>
  <c r="V22" i="65"/>
  <c r="U22" i="65"/>
  <c r="T22" i="65"/>
  <c r="S22" i="65"/>
  <c r="R22" i="65"/>
  <c r="Q22" i="65"/>
  <c r="P22" i="65"/>
  <c r="O22" i="65"/>
  <c r="N22" i="65"/>
  <c r="M22" i="65"/>
  <c r="L22" i="65"/>
  <c r="K22" i="65"/>
  <c r="J22" i="65"/>
  <c r="I22" i="65"/>
  <c r="H22" i="65"/>
  <c r="G22" i="65"/>
  <c r="F22" i="65"/>
  <c r="E22" i="65"/>
  <c r="D22" i="65"/>
  <c r="C22" i="65"/>
  <c r="BT21" i="65"/>
  <c r="BS21" i="65"/>
  <c r="BR21" i="65"/>
  <c r="BQ21" i="65"/>
  <c r="BP21" i="65"/>
  <c r="BO21" i="65"/>
  <c r="BN21" i="65"/>
  <c r="BM21" i="65"/>
  <c r="BL21" i="65"/>
  <c r="BK21" i="65"/>
  <c r="BJ21" i="65"/>
  <c r="BI21" i="65"/>
  <c r="BH21" i="65"/>
  <c r="BG21" i="65"/>
  <c r="BF21" i="65"/>
  <c r="BE21" i="65"/>
  <c r="BD21" i="65"/>
  <c r="BC21" i="65"/>
  <c r="BB21" i="65"/>
  <c r="BA21" i="65"/>
  <c r="AZ21" i="65"/>
  <c r="AY21" i="65"/>
  <c r="AX21" i="65"/>
  <c r="AV21" i="65"/>
  <c r="AU21" i="65"/>
  <c r="AT21" i="65"/>
  <c r="AW21" i="65" s="1"/>
  <c r="AS21" i="65"/>
  <c r="AR21" i="65"/>
  <c r="AQ21" i="65"/>
  <c r="AP21" i="65"/>
  <c r="AO21" i="65"/>
  <c r="AN21" i="65"/>
  <c r="AM21" i="65"/>
  <c r="AL21" i="65"/>
  <c r="AK21" i="65"/>
  <c r="AJ21" i="65"/>
  <c r="AI21" i="65"/>
  <c r="AH21" i="65"/>
  <c r="AG21" i="65"/>
  <c r="AF21" i="65"/>
  <c r="AE21" i="65"/>
  <c r="AD21" i="65"/>
  <c r="AC21" i="65"/>
  <c r="AB21" i="65"/>
  <c r="AA21" i="65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H21" i="65"/>
  <c r="G21" i="65"/>
  <c r="F21" i="65"/>
  <c r="E21" i="65"/>
  <c r="D21" i="65"/>
  <c r="C21" i="65"/>
  <c r="BT20" i="65"/>
  <c r="BS20" i="65"/>
  <c r="BR20" i="65"/>
  <c r="BQ20" i="65"/>
  <c r="BP20" i="65"/>
  <c r="BO20" i="65"/>
  <c r="BN20" i="65"/>
  <c r="BM20" i="65"/>
  <c r="BL20" i="65"/>
  <c r="BK20" i="65"/>
  <c r="BJ20" i="65"/>
  <c r="BI20" i="65"/>
  <c r="BH20" i="65"/>
  <c r="BG20" i="65"/>
  <c r="BF20" i="65"/>
  <c r="BE20" i="65"/>
  <c r="BD20" i="65"/>
  <c r="BC20" i="65"/>
  <c r="BB20" i="65"/>
  <c r="BA20" i="65"/>
  <c r="AZ20" i="65"/>
  <c r="AY20" i="65"/>
  <c r="AX20" i="65"/>
  <c r="AV20" i="65"/>
  <c r="AU20" i="65"/>
  <c r="AT20" i="65"/>
  <c r="AW20" i="65" s="1"/>
  <c r="AS20" i="65"/>
  <c r="AR20" i="65"/>
  <c r="AQ20" i="65"/>
  <c r="AP20" i="65"/>
  <c r="AO20" i="65"/>
  <c r="AN20" i="65"/>
  <c r="AM20" i="65"/>
  <c r="AL20" i="65"/>
  <c r="AK20" i="65"/>
  <c r="AJ20" i="65"/>
  <c r="AI20" i="65"/>
  <c r="AH20" i="65"/>
  <c r="AG20" i="65"/>
  <c r="AF20" i="65"/>
  <c r="AE20" i="65"/>
  <c r="AD20" i="65"/>
  <c r="AC20" i="65"/>
  <c r="AB20" i="65"/>
  <c r="AA20" i="65"/>
  <c r="Z20" i="65"/>
  <c r="Y20" i="65"/>
  <c r="X20" i="65"/>
  <c r="W20" i="65"/>
  <c r="V20" i="65"/>
  <c r="U20" i="65"/>
  <c r="T20" i="65"/>
  <c r="S20" i="65"/>
  <c r="R20" i="65"/>
  <c r="Q20" i="65"/>
  <c r="P20" i="65"/>
  <c r="O20" i="65"/>
  <c r="N20" i="65"/>
  <c r="M20" i="65"/>
  <c r="L20" i="65"/>
  <c r="K20" i="65"/>
  <c r="J20" i="65"/>
  <c r="I20" i="65"/>
  <c r="H20" i="65"/>
  <c r="G20" i="65"/>
  <c r="F20" i="65"/>
  <c r="E20" i="65"/>
  <c r="D20" i="65"/>
  <c r="C20" i="65"/>
  <c r="BT19" i="65"/>
  <c r="BS19" i="65"/>
  <c r="BR19" i="65"/>
  <c r="BQ19" i="65"/>
  <c r="BP19" i="65"/>
  <c r="BO19" i="65"/>
  <c r="BN19" i="65"/>
  <c r="BM19" i="65"/>
  <c r="BL19" i="65"/>
  <c r="BK19" i="65"/>
  <c r="BJ19" i="65"/>
  <c r="BI19" i="65"/>
  <c r="BH19" i="65"/>
  <c r="BG19" i="65"/>
  <c r="BF19" i="65"/>
  <c r="BE19" i="65"/>
  <c r="BD19" i="65"/>
  <c r="BC19" i="65"/>
  <c r="BB19" i="65"/>
  <c r="BA19" i="65"/>
  <c r="AZ19" i="65"/>
  <c r="AY19" i="65"/>
  <c r="AX19" i="65"/>
  <c r="AV19" i="65"/>
  <c r="AU19" i="65"/>
  <c r="AT19" i="65"/>
  <c r="AW19" i="65" s="1"/>
  <c r="AS19" i="65"/>
  <c r="AR19" i="65"/>
  <c r="AQ19" i="65"/>
  <c r="AP19" i="65"/>
  <c r="AO19" i="65"/>
  <c r="AN19" i="65"/>
  <c r="AM19" i="65"/>
  <c r="AL19" i="65"/>
  <c r="AK19" i="65"/>
  <c r="AJ19" i="65"/>
  <c r="AI19" i="65"/>
  <c r="AH19" i="65"/>
  <c r="AG19" i="65"/>
  <c r="AF19" i="65"/>
  <c r="AE19" i="65"/>
  <c r="AD19" i="65"/>
  <c r="AC19" i="65"/>
  <c r="AB19" i="65"/>
  <c r="AA19" i="65"/>
  <c r="Z19" i="65"/>
  <c r="Y19" i="65"/>
  <c r="X19" i="65"/>
  <c r="W19" i="65"/>
  <c r="V19" i="65"/>
  <c r="U19" i="65"/>
  <c r="T19" i="65"/>
  <c r="S19" i="65"/>
  <c r="R19" i="65"/>
  <c r="Q19" i="65"/>
  <c r="P19" i="65"/>
  <c r="O19" i="65"/>
  <c r="N19" i="65"/>
  <c r="M19" i="65"/>
  <c r="L19" i="65"/>
  <c r="K19" i="65"/>
  <c r="J19" i="65"/>
  <c r="I19" i="65"/>
  <c r="H19" i="65"/>
  <c r="G19" i="65"/>
  <c r="F19" i="65"/>
  <c r="E19" i="65"/>
  <c r="D19" i="65"/>
  <c r="C19" i="65"/>
  <c r="BT18" i="65"/>
  <c r="BS18" i="65"/>
  <c r="BR18" i="65"/>
  <c r="BQ18" i="65"/>
  <c r="BP18" i="65"/>
  <c r="BO18" i="65"/>
  <c r="BN18" i="65"/>
  <c r="BM18" i="65"/>
  <c r="BL18" i="65"/>
  <c r="BK18" i="65"/>
  <c r="BJ18" i="65"/>
  <c r="BI18" i="65"/>
  <c r="BH18" i="65"/>
  <c r="BG18" i="65"/>
  <c r="BF18" i="65"/>
  <c r="BE18" i="65"/>
  <c r="BD18" i="65"/>
  <c r="BC18" i="65"/>
  <c r="BB18" i="65"/>
  <c r="BA18" i="65"/>
  <c r="AZ18" i="65"/>
  <c r="AY18" i="65"/>
  <c r="AX18" i="65"/>
  <c r="AV18" i="65"/>
  <c r="AU18" i="65"/>
  <c r="AT18" i="65"/>
  <c r="AW18" i="65" s="1"/>
  <c r="AS18" i="65"/>
  <c r="AR18" i="65"/>
  <c r="AQ18" i="65"/>
  <c r="AP18" i="65"/>
  <c r="AO18" i="65"/>
  <c r="AN18" i="65"/>
  <c r="AM18" i="65"/>
  <c r="AL18" i="65"/>
  <c r="AK18" i="65"/>
  <c r="AJ18" i="65"/>
  <c r="AI18" i="65"/>
  <c r="AH18" i="65"/>
  <c r="AG18" i="65"/>
  <c r="AF18" i="65"/>
  <c r="AE18" i="65"/>
  <c r="AD18" i="65"/>
  <c r="AC18" i="65"/>
  <c r="AB18" i="65"/>
  <c r="AA18" i="65"/>
  <c r="Z18" i="65"/>
  <c r="Y18" i="65"/>
  <c r="X18" i="65"/>
  <c r="W18" i="65"/>
  <c r="V18" i="65"/>
  <c r="U18" i="65"/>
  <c r="T18" i="65"/>
  <c r="S18" i="65"/>
  <c r="R18" i="65"/>
  <c r="Q18" i="65"/>
  <c r="P18" i="65"/>
  <c r="O18" i="65"/>
  <c r="N18" i="65"/>
  <c r="M18" i="65"/>
  <c r="L18" i="65"/>
  <c r="K18" i="65"/>
  <c r="J18" i="65"/>
  <c r="I18" i="65"/>
  <c r="H18" i="65"/>
  <c r="G18" i="65"/>
  <c r="F18" i="65"/>
  <c r="E18" i="65"/>
  <c r="D18" i="65"/>
  <c r="C18" i="65"/>
  <c r="BT17" i="65"/>
  <c r="BS17" i="65"/>
  <c r="BR17" i="65"/>
  <c r="BQ17" i="65"/>
  <c r="BP17" i="65"/>
  <c r="BO17" i="65"/>
  <c r="BN17" i="65"/>
  <c r="BM17" i="65"/>
  <c r="BL17" i="65"/>
  <c r="BK17" i="65"/>
  <c r="BJ17" i="65"/>
  <c r="BI17" i="65"/>
  <c r="BH17" i="65"/>
  <c r="BG17" i="65"/>
  <c r="BF17" i="65"/>
  <c r="BE17" i="65"/>
  <c r="BD17" i="65"/>
  <c r="BC17" i="65"/>
  <c r="BB17" i="65"/>
  <c r="BA17" i="65"/>
  <c r="AZ17" i="65"/>
  <c r="AY17" i="65"/>
  <c r="AX17" i="65"/>
  <c r="AV17" i="65"/>
  <c r="AU17" i="65"/>
  <c r="AT17" i="65"/>
  <c r="AW17" i="65" s="1"/>
  <c r="AS17" i="65"/>
  <c r="AR17" i="65"/>
  <c r="AQ17" i="65"/>
  <c r="AP17" i="65"/>
  <c r="AO17" i="65"/>
  <c r="AN17" i="65"/>
  <c r="AM17" i="65"/>
  <c r="AL17" i="65"/>
  <c r="AK17" i="65"/>
  <c r="AJ17" i="65"/>
  <c r="AI17" i="65"/>
  <c r="AH17" i="65"/>
  <c r="AG17" i="65"/>
  <c r="AF17" i="65"/>
  <c r="AE17" i="65"/>
  <c r="AD17" i="65"/>
  <c r="AC17" i="65"/>
  <c r="AB17" i="65"/>
  <c r="AA17" i="65"/>
  <c r="Z17" i="65"/>
  <c r="Y17" i="65"/>
  <c r="X17" i="65"/>
  <c r="W17" i="65"/>
  <c r="V17" i="65"/>
  <c r="U17" i="65"/>
  <c r="T17" i="65"/>
  <c r="S17" i="65"/>
  <c r="R17" i="65"/>
  <c r="Q17" i="65"/>
  <c r="P17" i="65"/>
  <c r="O17" i="65"/>
  <c r="N17" i="65"/>
  <c r="M17" i="65"/>
  <c r="L17" i="65"/>
  <c r="K17" i="65"/>
  <c r="J17" i="65"/>
  <c r="I17" i="65"/>
  <c r="H17" i="65"/>
  <c r="G17" i="65"/>
  <c r="F17" i="65"/>
  <c r="E17" i="65"/>
  <c r="D17" i="65"/>
  <c r="C17" i="65"/>
  <c r="BT16" i="65"/>
  <c r="BS16" i="65"/>
  <c r="BR16" i="65"/>
  <c r="BQ16" i="65"/>
  <c r="BP16" i="65"/>
  <c r="BO16" i="65"/>
  <c r="BN16" i="65"/>
  <c r="BM16" i="65"/>
  <c r="BL16" i="65"/>
  <c r="BK16" i="65"/>
  <c r="BJ16" i="65"/>
  <c r="BI16" i="65"/>
  <c r="BH16" i="65"/>
  <c r="BG16" i="65"/>
  <c r="BF16" i="65"/>
  <c r="BE16" i="65"/>
  <c r="BD16" i="65"/>
  <c r="BC16" i="65"/>
  <c r="BB16" i="65"/>
  <c r="BA16" i="65"/>
  <c r="AZ16" i="65"/>
  <c r="AY16" i="65"/>
  <c r="AX16" i="65"/>
  <c r="AV16" i="65"/>
  <c r="AU16" i="65"/>
  <c r="AT16" i="65"/>
  <c r="AW16" i="65" s="1"/>
  <c r="AS16" i="65"/>
  <c r="AR16" i="65"/>
  <c r="AQ16" i="65"/>
  <c r="AP16" i="65"/>
  <c r="AO16" i="65"/>
  <c r="AN16" i="65"/>
  <c r="AM16" i="65"/>
  <c r="AL16" i="65"/>
  <c r="AK16" i="65"/>
  <c r="AJ16" i="65"/>
  <c r="AI16" i="65"/>
  <c r="AH16" i="65"/>
  <c r="AG16" i="65"/>
  <c r="AF16" i="65"/>
  <c r="AE16" i="65"/>
  <c r="AD16" i="65"/>
  <c r="AC16" i="65"/>
  <c r="AB16" i="65"/>
  <c r="AA16" i="65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BT15" i="65"/>
  <c r="BS15" i="65"/>
  <c r="BR15" i="65"/>
  <c r="BQ15" i="65"/>
  <c r="BP15" i="65"/>
  <c r="BO15" i="65"/>
  <c r="BN15" i="65"/>
  <c r="BM15" i="65"/>
  <c r="BL15" i="65"/>
  <c r="BK15" i="65"/>
  <c r="BJ15" i="65"/>
  <c r="BI15" i="65"/>
  <c r="BH15" i="65"/>
  <c r="BG15" i="65"/>
  <c r="BF15" i="65"/>
  <c r="BE15" i="65"/>
  <c r="BD15" i="65"/>
  <c r="BC15" i="65"/>
  <c r="BB15" i="65"/>
  <c r="BA15" i="65"/>
  <c r="AZ15" i="65"/>
  <c r="AY15" i="65"/>
  <c r="AX15" i="65"/>
  <c r="AV15" i="65"/>
  <c r="AU15" i="65"/>
  <c r="AT15" i="65"/>
  <c r="AW15" i="65" s="1"/>
  <c r="AS15" i="65"/>
  <c r="AR15" i="65"/>
  <c r="AQ15" i="65"/>
  <c r="AP15" i="65"/>
  <c r="AO15" i="65"/>
  <c r="AN15" i="65"/>
  <c r="AM15" i="65"/>
  <c r="AL15" i="65"/>
  <c r="AK15" i="65"/>
  <c r="AJ15" i="65"/>
  <c r="AI15" i="65"/>
  <c r="AH15" i="65"/>
  <c r="AG15" i="65"/>
  <c r="AF15" i="65"/>
  <c r="AE15" i="65"/>
  <c r="AD15" i="65"/>
  <c r="AC15" i="65"/>
  <c r="AB15" i="65"/>
  <c r="AA15" i="65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BT14" i="65"/>
  <c r="BS14" i="65"/>
  <c r="BR14" i="65"/>
  <c r="BQ14" i="65"/>
  <c r="BP14" i="65"/>
  <c r="BO14" i="65"/>
  <c r="BN14" i="65"/>
  <c r="BM14" i="65"/>
  <c r="BL14" i="65"/>
  <c r="BK14" i="65"/>
  <c r="BJ14" i="65"/>
  <c r="BI14" i="65"/>
  <c r="BH14" i="65"/>
  <c r="BG14" i="65"/>
  <c r="BF14" i="65"/>
  <c r="BE14" i="65"/>
  <c r="BD14" i="65"/>
  <c r="BC14" i="65"/>
  <c r="BB14" i="65"/>
  <c r="BA14" i="65"/>
  <c r="AZ14" i="65"/>
  <c r="AY14" i="65"/>
  <c r="AX14" i="65"/>
  <c r="AV14" i="65"/>
  <c r="AU14" i="65"/>
  <c r="AT14" i="65"/>
  <c r="AW14" i="65" s="1"/>
  <c r="AS14" i="65"/>
  <c r="AR14" i="65"/>
  <c r="AQ14" i="65"/>
  <c r="AP14" i="65"/>
  <c r="AO14" i="65"/>
  <c r="AN14" i="65"/>
  <c r="AM14" i="65"/>
  <c r="AL14" i="65"/>
  <c r="AK14" i="65"/>
  <c r="AJ14" i="65"/>
  <c r="AI14" i="65"/>
  <c r="AH14" i="65"/>
  <c r="AG14" i="65"/>
  <c r="AF14" i="65"/>
  <c r="AE14" i="65"/>
  <c r="AD14" i="65"/>
  <c r="AC14" i="65"/>
  <c r="AB14" i="65"/>
  <c r="AA14" i="65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G14" i="65"/>
  <c r="F14" i="65"/>
  <c r="E14" i="65"/>
  <c r="D14" i="65"/>
  <c r="C14" i="65"/>
  <c r="BT13" i="65"/>
  <c r="BS13" i="65"/>
  <c r="BR13" i="65"/>
  <c r="BQ13" i="65"/>
  <c r="BP13" i="65"/>
  <c r="BO13" i="65"/>
  <c r="BN13" i="65"/>
  <c r="BM13" i="65"/>
  <c r="BL13" i="65"/>
  <c r="BK13" i="65"/>
  <c r="BJ13" i="65"/>
  <c r="BI13" i="65"/>
  <c r="BH13" i="65"/>
  <c r="BG13" i="65"/>
  <c r="BF13" i="65"/>
  <c r="BE13" i="65"/>
  <c r="BD13" i="65"/>
  <c r="BC13" i="65"/>
  <c r="BB13" i="65"/>
  <c r="BA13" i="65"/>
  <c r="AZ13" i="65"/>
  <c r="AY13" i="65"/>
  <c r="AX13" i="65"/>
  <c r="AV13" i="65"/>
  <c r="AU13" i="65"/>
  <c r="AT13" i="65"/>
  <c r="AW13" i="65" s="1"/>
  <c r="AS13" i="65"/>
  <c r="AR13" i="65"/>
  <c r="AQ13" i="65"/>
  <c r="AP13" i="65"/>
  <c r="AO13" i="65"/>
  <c r="AN13" i="65"/>
  <c r="AM13" i="65"/>
  <c r="AL13" i="65"/>
  <c r="AK13" i="65"/>
  <c r="AJ13" i="65"/>
  <c r="AI13" i="65"/>
  <c r="AH13" i="65"/>
  <c r="AG13" i="65"/>
  <c r="AF13" i="65"/>
  <c r="AE13" i="65"/>
  <c r="AD13" i="65"/>
  <c r="AC13" i="65"/>
  <c r="AB13" i="65"/>
  <c r="AA13" i="65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BT12" i="65"/>
  <c r="BS12" i="65"/>
  <c r="BR12" i="65"/>
  <c r="BQ12" i="65"/>
  <c r="BP12" i="65"/>
  <c r="BO12" i="65"/>
  <c r="BN12" i="65"/>
  <c r="BM12" i="65"/>
  <c r="BL12" i="65"/>
  <c r="BK12" i="65"/>
  <c r="BJ12" i="65"/>
  <c r="BI12" i="65"/>
  <c r="BH12" i="65"/>
  <c r="BG12" i="65"/>
  <c r="BF12" i="65"/>
  <c r="BE12" i="65"/>
  <c r="BD12" i="65"/>
  <c r="BC12" i="65"/>
  <c r="BB12" i="65"/>
  <c r="BA12" i="65"/>
  <c r="AZ12" i="65"/>
  <c r="AY12" i="65"/>
  <c r="AX12" i="65"/>
  <c r="AV12" i="65"/>
  <c r="AU12" i="65"/>
  <c r="AT12" i="65"/>
  <c r="AW12" i="65" s="1"/>
  <c r="AS12" i="65"/>
  <c r="AR12" i="65"/>
  <c r="AQ12" i="65"/>
  <c r="AP12" i="65"/>
  <c r="AO12" i="65"/>
  <c r="AN12" i="65"/>
  <c r="AM12" i="65"/>
  <c r="AL12" i="65"/>
  <c r="AK12" i="65"/>
  <c r="AJ12" i="65"/>
  <c r="AI12" i="65"/>
  <c r="AH12" i="65"/>
  <c r="AG12" i="65"/>
  <c r="AF12" i="65"/>
  <c r="AE12" i="65"/>
  <c r="AD12" i="65"/>
  <c r="AC12" i="65"/>
  <c r="AB12" i="65"/>
  <c r="AA12" i="65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BT11" i="65"/>
  <c r="BS11" i="65"/>
  <c r="BR11" i="65"/>
  <c r="BQ11" i="65"/>
  <c r="BP11" i="65"/>
  <c r="BO11" i="65"/>
  <c r="BN11" i="65"/>
  <c r="BM11" i="65"/>
  <c r="BL11" i="65"/>
  <c r="BK11" i="65"/>
  <c r="BJ11" i="65"/>
  <c r="BI11" i="65"/>
  <c r="BH11" i="65"/>
  <c r="BG11" i="65"/>
  <c r="BF11" i="65"/>
  <c r="BE11" i="65"/>
  <c r="BD11" i="65"/>
  <c r="BC11" i="65"/>
  <c r="BB11" i="65"/>
  <c r="BA11" i="65"/>
  <c r="AZ11" i="65"/>
  <c r="AY11" i="65"/>
  <c r="AX11" i="65"/>
  <c r="AV11" i="65"/>
  <c r="AU11" i="65"/>
  <c r="AT11" i="65"/>
  <c r="AW11" i="65" s="1"/>
  <c r="AS11" i="65"/>
  <c r="AR11" i="65"/>
  <c r="AQ11" i="65"/>
  <c r="AP11" i="65"/>
  <c r="AO11" i="65"/>
  <c r="AN11" i="65"/>
  <c r="AM11" i="65"/>
  <c r="AL11" i="65"/>
  <c r="AK11" i="65"/>
  <c r="AJ11" i="65"/>
  <c r="AI11" i="65"/>
  <c r="AH11" i="65"/>
  <c r="AG11" i="65"/>
  <c r="AF11" i="65"/>
  <c r="AE11" i="65"/>
  <c r="AD11" i="65"/>
  <c r="AC11" i="65"/>
  <c r="AB11" i="65"/>
  <c r="AA11" i="65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H11" i="65"/>
  <c r="G11" i="65"/>
  <c r="F11" i="65"/>
  <c r="E11" i="65"/>
  <c r="D11" i="65"/>
  <c r="C11" i="65"/>
  <c r="BT10" i="65"/>
  <c r="BS10" i="65"/>
  <c r="BR10" i="65"/>
  <c r="BQ10" i="65"/>
  <c r="BP10" i="65"/>
  <c r="BO10" i="65"/>
  <c r="BN10" i="65"/>
  <c r="BM10" i="65"/>
  <c r="BL10" i="65"/>
  <c r="BK10" i="65"/>
  <c r="BJ10" i="65"/>
  <c r="BI10" i="65"/>
  <c r="BH10" i="65"/>
  <c r="BG10" i="65"/>
  <c r="BF10" i="65"/>
  <c r="BE10" i="65"/>
  <c r="BD10" i="65"/>
  <c r="BC10" i="65"/>
  <c r="BB10" i="65"/>
  <c r="BA10" i="65"/>
  <c r="AZ10" i="65"/>
  <c r="AY10" i="65"/>
  <c r="AX10" i="65"/>
  <c r="AV10" i="65"/>
  <c r="AU10" i="65"/>
  <c r="AT10" i="65"/>
  <c r="AW10" i="65" s="1"/>
  <c r="AS10" i="65"/>
  <c r="AR10" i="65"/>
  <c r="AQ10" i="65"/>
  <c r="AP10" i="65"/>
  <c r="AO10" i="65"/>
  <c r="AN10" i="65"/>
  <c r="AM10" i="65"/>
  <c r="AL10" i="65"/>
  <c r="AK10" i="65"/>
  <c r="AJ10" i="65"/>
  <c r="AI10" i="65"/>
  <c r="AH10" i="65"/>
  <c r="AG10" i="65"/>
  <c r="AF10" i="65"/>
  <c r="AE10" i="65"/>
  <c r="AD10" i="65"/>
  <c r="AC10" i="65"/>
  <c r="AB10" i="65"/>
  <c r="AA10" i="65"/>
  <c r="Z10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L10" i="65"/>
  <c r="K10" i="65"/>
  <c r="J10" i="65"/>
  <c r="I10" i="65"/>
  <c r="H10" i="65"/>
  <c r="G10" i="65"/>
  <c r="F10" i="65"/>
  <c r="E10" i="65"/>
  <c r="D10" i="65"/>
  <c r="C10" i="65"/>
  <c r="BT9" i="65"/>
  <c r="BS9" i="65"/>
  <c r="BR9" i="65"/>
  <c r="BQ9" i="65"/>
  <c r="BP9" i="65"/>
  <c r="BO9" i="65"/>
  <c r="BN9" i="65"/>
  <c r="BM9" i="65"/>
  <c r="BL9" i="65"/>
  <c r="BK9" i="65"/>
  <c r="BJ9" i="65"/>
  <c r="BI9" i="65"/>
  <c r="BH9" i="65"/>
  <c r="BG9" i="65"/>
  <c r="BF9" i="65"/>
  <c r="BE9" i="65"/>
  <c r="BD9" i="65"/>
  <c r="BC9" i="65"/>
  <c r="BB9" i="65"/>
  <c r="BA9" i="65"/>
  <c r="AZ9" i="65"/>
  <c r="AY9" i="65"/>
  <c r="AX9" i="65"/>
  <c r="AV9" i="65"/>
  <c r="AU9" i="65"/>
  <c r="AT9" i="65"/>
  <c r="AW9" i="65" s="1"/>
  <c r="AS9" i="65"/>
  <c r="AR9" i="65"/>
  <c r="AQ9" i="65"/>
  <c r="AP9" i="65"/>
  <c r="AO9" i="65"/>
  <c r="AN9" i="65"/>
  <c r="AM9" i="65"/>
  <c r="AL9" i="65"/>
  <c r="AK9" i="65"/>
  <c r="AJ9" i="65"/>
  <c r="AI9" i="65"/>
  <c r="AH9" i="65"/>
  <c r="AG9" i="65"/>
  <c r="AF9" i="65"/>
  <c r="AE9" i="65"/>
  <c r="AD9" i="65"/>
  <c r="AC9" i="65"/>
  <c r="AB9" i="65"/>
  <c r="AA9" i="65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G9" i="65"/>
  <c r="F9" i="65"/>
  <c r="E9" i="65"/>
  <c r="D9" i="65"/>
  <c r="C9" i="65"/>
  <c r="BT8" i="65"/>
  <c r="BS8" i="65"/>
  <c r="BR8" i="65"/>
  <c r="BQ8" i="65"/>
  <c r="BP8" i="65"/>
  <c r="BO8" i="65"/>
  <c r="BN8" i="65"/>
  <c r="BM8" i="65"/>
  <c r="BL8" i="65"/>
  <c r="BK8" i="65"/>
  <c r="BJ8" i="65"/>
  <c r="BI8" i="65"/>
  <c r="BH8" i="65"/>
  <c r="BG8" i="65"/>
  <c r="BF8" i="65"/>
  <c r="BE8" i="65"/>
  <c r="BD8" i="65"/>
  <c r="BC8" i="65"/>
  <c r="BB8" i="65"/>
  <c r="BA8" i="65"/>
  <c r="AZ8" i="65"/>
  <c r="AY8" i="65"/>
  <c r="AX8" i="65"/>
  <c r="AV8" i="65"/>
  <c r="AU8" i="65"/>
  <c r="AT8" i="65"/>
  <c r="AS8" i="65"/>
  <c r="AR8" i="65"/>
  <c r="AQ8" i="65"/>
  <c r="AP8" i="65"/>
  <c r="AO8" i="65"/>
  <c r="AN8" i="65"/>
  <c r="AM8" i="65"/>
  <c r="AL8" i="65"/>
  <c r="AK8" i="65"/>
  <c r="AJ8" i="65"/>
  <c r="AI8" i="65"/>
  <c r="AH8" i="65"/>
  <c r="AG8" i="65"/>
  <c r="AF8" i="65"/>
  <c r="AE8" i="65"/>
  <c r="AD8" i="65"/>
  <c r="AC8" i="65"/>
  <c r="AB8" i="65"/>
  <c r="AA8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G8" i="65"/>
  <c r="F8" i="65"/>
  <c r="E8" i="65"/>
  <c r="D8" i="65"/>
  <c r="C8" i="65"/>
  <c r="C7" i="65"/>
  <c r="C26" i="10" s="1"/>
  <c r="AW66" i="64"/>
  <c r="AW65" i="64"/>
  <c r="AW64" i="64"/>
  <c r="AW63" i="64"/>
  <c r="AW62" i="64"/>
  <c r="AW61" i="64"/>
  <c r="AW60" i="64"/>
  <c r="AW59" i="64"/>
  <c r="AW58" i="64"/>
  <c r="AW57" i="64"/>
  <c r="AW56" i="64"/>
  <c r="AW55" i="64"/>
  <c r="AV54" i="64"/>
  <c r="AU54" i="64"/>
  <c r="AT54" i="64"/>
  <c r="AW54" i="64" s="1"/>
  <c r="AV53" i="64"/>
  <c r="AU53" i="64"/>
  <c r="AT53" i="64"/>
  <c r="AW53" i="64" s="1"/>
  <c r="AV52" i="64"/>
  <c r="AU52" i="64"/>
  <c r="AT52" i="64"/>
  <c r="AW52" i="64" s="1"/>
  <c r="AV51" i="64"/>
  <c r="AU51" i="64"/>
  <c r="AT51" i="64"/>
  <c r="AW51" i="64" s="1"/>
  <c r="AV50" i="64"/>
  <c r="AU50" i="64"/>
  <c r="AT50" i="64"/>
  <c r="AW50" i="64" s="1"/>
  <c r="AV49" i="64"/>
  <c r="AU49" i="64"/>
  <c r="AT49" i="64"/>
  <c r="AW49" i="64" s="1"/>
  <c r="AV48" i="64"/>
  <c r="AU48" i="64"/>
  <c r="AT48" i="64"/>
  <c r="AW48" i="64" s="1"/>
  <c r="AV47" i="64"/>
  <c r="AU47" i="64"/>
  <c r="AT47" i="64"/>
  <c r="AW47" i="64" s="1"/>
  <c r="AV46" i="64"/>
  <c r="AU46" i="64"/>
  <c r="AT46" i="64"/>
  <c r="AW46" i="64" s="1"/>
  <c r="AV45" i="64"/>
  <c r="AU45" i="64"/>
  <c r="AT45" i="64"/>
  <c r="AW45" i="64" s="1"/>
  <c r="AV44" i="64"/>
  <c r="AU44" i="64"/>
  <c r="AT44" i="64"/>
  <c r="AW44" i="64" s="1"/>
  <c r="AV43" i="64"/>
  <c r="AU43" i="64"/>
  <c r="AT43" i="64"/>
  <c r="AW43" i="64" s="1"/>
  <c r="AV42" i="64"/>
  <c r="AU42" i="64"/>
  <c r="AT42" i="64"/>
  <c r="AW42" i="64" s="1"/>
  <c r="AV41" i="64"/>
  <c r="AU41" i="64"/>
  <c r="AT41" i="64"/>
  <c r="AW41" i="64" s="1"/>
  <c r="AV40" i="64"/>
  <c r="AU40" i="64"/>
  <c r="AT40" i="64"/>
  <c r="AW40" i="64" s="1"/>
  <c r="AV39" i="64"/>
  <c r="AU39" i="64"/>
  <c r="AT39" i="64"/>
  <c r="AW39" i="64" s="1"/>
  <c r="AV38" i="64"/>
  <c r="AU38" i="64"/>
  <c r="AT38" i="64"/>
  <c r="AW38" i="64" s="1"/>
  <c r="AV37" i="64"/>
  <c r="AU37" i="64"/>
  <c r="AT37" i="64"/>
  <c r="AW37" i="64" s="1"/>
  <c r="AV36" i="64"/>
  <c r="AU36" i="64"/>
  <c r="AT36" i="64"/>
  <c r="AW36" i="64" s="1"/>
  <c r="AV35" i="64"/>
  <c r="AU35" i="64"/>
  <c r="AT35" i="64"/>
  <c r="AW35" i="64" s="1"/>
  <c r="AV34" i="64"/>
  <c r="AU34" i="64"/>
  <c r="AT34" i="64"/>
  <c r="AW34" i="64" s="1"/>
  <c r="BT33" i="64"/>
  <c r="BS33" i="64"/>
  <c r="BR33" i="64"/>
  <c r="BQ33" i="64"/>
  <c r="BP33" i="64"/>
  <c r="BO33" i="64"/>
  <c r="BN33" i="64"/>
  <c r="BM33" i="64"/>
  <c r="BL33" i="64"/>
  <c r="BK33" i="64"/>
  <c r="BJ33" i="64"/>
  <c r="BI33" i="64"/>
  <c r="BH33" i="64"/>
  <c r="BG33" i="64"/>
  <c r="BF33" i="64"/>
  <c r="BE33" i="64"/>
  <c r="BD33" i="64"/>
  <c r="BC33" i="64"/>
  <c r="BB33" i="64"/>
  <c r="BA33" i="64"/>
  <c r="AZ33" i="64"/>
  <c r="AY33" i="64"/>
  <c r="AX33" i="64"/>
  <c r="AV33" i="64"/>
  <c r="AU33" i="64"/>
  <c r="AT33" i="64"/>
  <c r="AW33" i="64" s="1"/>
  <c r="AS33" i="64"/>
  <c r="AR33" i="64"/>
  <c r="AQ33" i="64"/>
  <c r="AP33" i="64"/>
  <c r="AO33" i="64"/>
  <c r="AN33" i="64"/>
  <c r="AM33" i="64"/>
  <c r="AL33" i="64"/>
  <c r="AK33" i="64"/>
  <c r="AJ33" i="64"/>
  <c r="AI33" i="64"/>
  <c r="AH33" i="64"/>
  <c r="AG33" i="64"/>
  <c r="AF33" i="64"/>
  <c r="AE33" i="64"/>
  <c r="AD33" i="64"/>
  <c r="AC33" i="64"/>
  <c r="AB33" i="64"/>
  <c r="AA33" i="64"/>
  <c r="Z33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H33" i="64"/>
  <c r="G33" i="64"/>
  <c r="F33" i="64"/>
  <c r="E33" i="64"/>
  <c r="D33" i="64"/>
  <c r="C33" i="64"/>
  <c r="BT32" i="64"/>
  <c r="BS32" i="64"/>
  <c r="BR32" i="64"/>
  <c r="BQ32" i="64"/>
  <c r="BP32" i="64"/>
  <c r="BO32" i="64"/>
  <c r="BN32" i="64"/>
  <c r="BM32" i="64"/>
  <c r="BL32" i="64"/>
  <c r="BK32" i="64"/>
  <c r="BJ32" i="64"/>
  <c r="BI32" i="64"/>
  <c r="BH32" i="64"/>
  <c r="BG32" i="64"/>
  <c r="BF32" i="64"/>
  <c r="BE32" i="64"/>
  <c r="BD32" i="64"/>
  <c r="BC32" i="64"/>
  <c r="BB32" i="64"/>
  <c r="BA32" i="64"/>
  <c r="AZ32" i="64"/>
  <c r="AY32" i="64"/>
  <c r="AX32" i="64"/>
  <c r="AV32" i="64"/>
  <c r="AU32" i="64"/>
  <c r="AT32" i="64"/>
  <c r="AW32" i="64" s="1"/>
  <c r="AS32" i="64"/>
  <c r="AR32" i="64"/>
  <c r="AQ32" i="64"/>
  <c r="AP32" i="64"/>
  <c r="AO32" i="64"/>
  <c r="AN32" i="64"/>
  <c r="AM32" i="64"/>
  <c r="AL32" i="64"/>
  <c r="AK32" i="64"/>
  <c r="AJ32" i="64"/>
  <c r="AI32" i="64"/>
  <c r="AH32" i="64"/>
  <c r="AG32" i="64"/>
  <c r="AF32" i="64"/>
  <c r="AE32" i="64"/>
  <c r="AD32" i="64"/>
  <c r="AC32" i="64"/>
  <c r="AB32" i="64"/>
  <c r="AA32" i="64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H32" i="64"/>
  <c r="G32" i="64"/>
  <c r="F32" i="64"/>
  <c r="E32" i="64"/>
  <c r="D32" i="64"/>
  <c r="C32" i="64"/>
  <c r="BT31" i="64"/>
  <c r="BS31" i="64"/>
  <c r="BR31" i="64"/>
  <c r="BQ31" i="64"/>
  <c r="BP31" i="64"/>
  <c r="BO31" i="64"/>
  <c r="BN31" i="64"/>
  <c r="BM31" i="64"/>
  <c r="BL31" i="64"/>
  <c r="BK31" i="64"/>
  <c r="BJ31" i="64"/>
  <c r="BI31" i="64"/>
  <c r="BH31" i="64"/>
  <c r="BG31" i="64"/>
  <c r="BF31" i="64"/>
  <c r="BE31" i="64"/>
  <c r="BD31" i="64"/>
  <c r="BC31" i="64"/>
  <c r="BB31" i="64"/>
  <c r="BA31" i="64"/>
  <c r="AZ31" i="64"/>
  <c r="AY31" i="64"/>
  <c r="AX31" i="64"/>
  <c r="AV31" i="64"/>
  <c r="AU31" i="64"/>
  <c r="AT31" i="64"/>
  <c r="AW31" i="64" s="1"/>
  <c r="AS31" i="64"/>
  <c r="AR31" i="64"/>
  <c r="AQ31" i="64"/>
  <c r="AP31" i="64"/>
  <c r="AO31" i="64"/>
  <c r="AN31" i="64"/>
  <c r="AM31" i="64"/>
  <c r="AL31" i="64"/>
  <c r="AK31" i="64"/>
  <c r="AJ31" i="64"/>
  <c r="AI31" i="64"/>
  <c r="AH31" i="64"/>
  <c r="AG31" i="64"/>
  <c r="AF31" i="64"/>
  <c r="AE31" i="64"/>
  <c r="AD31" i="64"/>
  <c r="AC31" i="64"/>
  <c r="AB31" i="64"/>
  <c r="AA31" i="64"/>
  <c r="Z31" i="64"/>
  <c r="Y31" i="64"/>
  <c r="X31" i="64"/>
  <c r="W31" i="64"/>
  <c r="V31" i="64"/>
  <c r="U31" i="64"/>
  <c r="T31" i="64"/>
  <c r="S31" i="64"/>
  <c r="R31" i="64"/>
  <c r="Q31" i="64"/>
  <c r="P31" i="64"/>
  <c r="O31" i="64"/>
  <c r="N31" i="64"/>
  <c r="M31" i="64"/>
  <c r="L31" i="64"/>
  <c r="K31" i="64"/>
  <c r="J31" i="64"/>
  <c r="I31" i="64"/>
  <c r="H31" i="64"/>
  <c r="G31" i="64"/>
  <c r="F31" i="64"/>
  <c r="E31" i="64"/>
  <c r="D31" i="64"/>
  <c r="C31" i="64"/>
  <c r="BT30" i="64"/>
  <c r="BS30" i="64"/>
  <c r="BR30" i="64"/>
  <c r="BQ30" i="64"/>
  <c r="BP30" i="64"/>
  <c r="BO30" i="64"/>
  <c r="BN30" i="64"/>
  <c r="BM30" i="64"/>
  <c r="BL30" i="64"/>
  <c r="BK30" i="64"/>
  <c r="BJ30" i="64"/>
  <c r="BI30" i="64"/>
  <c r="BH30" i="64"/>
  <c r="BG30" i="64"/>
  <c r="BF30" i="64"/>
  <c r="BE30" i="64"/>
  <c r="BD30" i="64"/>
  <c r="BC30" i="64"/>
  <c r="BB30" i="64"/>
  <c r="BA30" i="64"/>
  <c r="AZ30" i="64"/>
  <c r="AY30" i="64"/>
  <c r="AX30" i="64"/>
  <c r="AV30" i="64"/>
  <c r="AU30" i="64"/>
  <c r="AT30" i="64"/>
  <c r="AW30" i="64" s="1"/>
  <c r="AS30" i="64"/>
  <c r="AR30" i="64"/>
  <c r="AQ30" i="64"/>
  <c r="AP30" i="64"/>
  <c r="AO30" i="64"/>
  <c r="AN30" i="64"/>
  <c r="AM30" i="64"/>
  <c r="AL30" i="64"/>
  <c r="AK30" i="64"/>
  <c r="AJ30" i="64"/>
  <c r="AI30" i="64"/>
  <c r="AH30" i="64"/>
  <c r="AG30" i="64"/>
  <c r="AF30" i="64"/>
  <c r="AE30" i="64"/>
  <c r="AD30" i="64"/>
  <c r="AC30" i="64"/>
  <c r="AB30" i="64"/>
  <c r="AA30" i="64"/>
  <c r="Z30" i="64"/>
  <c r="Y30" i="64"/>
  <c r="X30" i="64"/>
  <c r="W30" i="64"/>
  <c r="V30" i="64"/>
  <c r="U30" i="64"/>
  <c r="T30" i="64"/>
  <c r="S30" i="64"/>
  <c r="R30" i="64"/>
  <c r="Q30" i="64"/>
  <c r="P30" i="64"/>
  <c r="O30" i="64"/>
  <c r="N30" i="64"/>
  <c r="M30" i="64"/>
  <c r="L30" i="64"/>
  <c r="K30" i="64"/>
  <c r="J30" i="64"/>
  <c r="I30" i="64"/>
  <c r="H30" i="64"/>
  <c r="G30" i="64"/>
  <c r="F30" i="64"/>
  <c r="E30" i="64"/>
  <c r="D30" i="64"/>
  <c r="C30" i="64"/>
  <c r="BT29" i="64"/>
  <c r="BS29" i="64"/>
  <c r="BR29" i="64"/>
  <c r="BQ29" i="64"/>
  <c r="BP29" i="64"/>
  <c r="BO29" i="64"/>
  <c r="BN29" i="64"/>
  <c r="BM29" i="64"/>
  <c r="BL29" i="64"/>
  <c r="BK29" i="64"/>
  <c r="BJ29" i="64"/>
  <c r="BI29" i="64"/>
  <c r="BH29" i="64"/>
  <c r="BG29" i="64"/>
  <c r="BF29" i="64"/>
  <c r="BE29" i="64"/>
  <c r="BD29" i="64"/>
  <c r="BC29" i="64"/>
  <c r="BB29" i="64"/>
  <c r="BA29" i="64"/>
  <c r="AZ29" i="64"/>
  <c r="AY29" i="64"/>
  <c r="AX29" i="64"/>
  <c r="AV29" i="64"/>
  <c r="AU29" i="64"/>
  <c r="AT29" i="64"/>
  <c r="AW29" i="64" s="1"/>
  <c r="AS29" i="64"/>
  <c r="AR29" i="64"/>
  <c r="AQ29" i="64"/>
  <c r="AP29" i="64"/>
  <c r="AO29" i="64"/>
  <c r="AN29" i="64"/>
  <c r="AM29" i="64"/>
  <c r="AL29" i="64"/>
  <c r="AK29" i="64"/>
  <c r="AJ29" i="64"/>
  <c r="AI29" i="64"/>
  <c r="AH29" i="64"/>
  <c r="AG29" i="64"/>
  <c r="AF29" i="64"/>
  <c r="AE29" i="64"/>
  <c r="AD29" i="64"/>
  <c r="AC29" i="64"/>
  <c r="AB29" i="64"/>
  <c r="AA29" i="64"/>
  <c r="Z29" i="64"/>
  <c r="Y29" i="64"/>
  <c r="X29" i="64"/>
  <c r="W29" i="64"/>
  <c r="V29" i="64"/>
  <c r="U29" i="64"/>
  <c r="T29" i="64"/>
  <c r="S29" i="64"/>
  <c r="R29" i="64"/>
  <c r="Q29" i="64"/>
  <c r="P29" i="64"/>
  <c r="O29" i="64"/>
  <c r="N29" i="64"/>
  <c r="M29" i="64"/>
  <c r="L29" i="64"/>
  <c r="K29" i="64"/>
  <c r="J29" i="64"/>
  <c r="I29" i="64"/>
  <c r="H29" i="64"/>
  <c r="G29" i="64"/>
  <c r="F29" i="64"/>
  <c r="E29" i="64"/>
  <c r="D29" i="64"/>
  <c r="C29" i="64"/>
  <c r="BT28" i="64"/>
  <c r="BS28" i="64"/>
  <c r="BR28" i="64"/>
  <c r="BQ28" i="64"/>
  <c r="BP28" i="64"/>
  <c r="BO28" i="64"/>
  <c r="BN28" i="64"/>
  <c r="BM28" i="64"/>
  <c r="BL28" i="64"/>
  <c r="BK28" i="64"/>
  <c r="BJ28" i="64"/>
  <c r="BI28" i="64"/>
  <c r="BH28" i="64"/>
  <c r="BG28" i="64"/>
  <c r="BF28" i="64"/>
  <c r="BE28" i="64"/>
  <c r="BD28" i="64"/>
  <c r="BC28" i="64"/>
  <c r="BB28" i="64"/>
  <c r="BA28" i="64"/>
  <c r="AZ28" i="64"/>
  <c r="AY28" i="64"/>
  <c r="AX28" i="64"/>
  <c r="AV28" i="64"/>
  <c r="AU28" i="64"/>
  <c r="AT28" i="64"/>
  <c r="AW28" i="64" s="1"/>
  <c r="AS28" i="64"/>
  <c r="AR28" i="64"/>
  <c r="AQ28" i="64"/>
  <c r="AP28" i="64"/>
  <c r="AO28" i="64"/>
  <c r="AN28" i="64"/>
  <c r="AM28" i="64"/>
  <c r="AL28" i="64"/>
  <c r="AK28" i="64"/>
  <c r="AJ28" i="64"/>
  <c r="AI28" i="64"/>
  <c r="AH28" i="64"/>
  <c r="AG28" i="64"/>
  <c r="AF28" i="64"/>
  <c r="AE28" i="64"/>
  <c r="AD28" i="64"/>
  <c r="AC28" i="64"/>
  <c r="AB28" i="64"/>
  <c r="AA28" i="64"/>
  <c r="Z28" i="64"/>
  <c r="Y28" i="64"/>
  <c r="X28" i="64"/>
  <c r="W28" i="64"/>
  <c r="V28" i="64"/>
  <c r="U28" i="64"/>
  <c r="T28" i="64"/>
  <c r="S28" i="64"/>
  <c r="R28" i="64"/>
  <c r="Q28" i="64"/>
  <c r="P28" i="64"/>
  <c r="O28" i="64"/>
  <c r="N28" i="64"/>
  <c r="M28" i="64"/>
  <c r="L28" i="64"/>
  <c r="K28" i="64"/>
  <c r="J28" i="64"/>
  <c r="I28" i="64"/>
  <c r="H28" i="64"/>
  <c r="G28" i="64"/>
  <c r="F28" i="64"/>
  <c r="E28" i="64"/>
  <c r="D28" i="64"/>
  <c r="C28" i="64"/>
  <c r="BT27" i="64"/>
  <c r="BS27" i="64"/>
  <c r="BR27" i="64"/>
  <c r="BQ27" i="64"/>
  <c r="BP27" i="64"/>
  <c r="BO27" i="64"/>
  <c r="BN27" i="64"/>
  <c r="BM27" i="64"/>
  <c r="BL27" i="64"/>
  <c r="BK27" i="64"/>
  <c r="BJ27" i="64"/>
  <c r="BI27" i="64"/>
  <c r="BH27" i="64"/>
  <c r="BG27" i="64"/>
  <c r="BF27" i="64"/>
  <c r="BE27" i="64"/>
  <c r="BD27" i="64"/>
  <c r="BC27" i="64"/>
  <c r="BB27" i="64"/>
  <c r="BA27" i="64"/>
  <c r="AZ27" i="64"/>
  <c r="AY27" i="64"/>
  <c r="AX27" i="64"/>
  <c r="AV27" i="64"/>
  <c r="AU27" i="64"/>
  <c r="AT27" i="64"/>
  <c r="AW27" i="64" s="1"/>
  <c r="AS27" i="64"/>
  <c r="AR27" i="64"/>
  <c r="AQ27" i="64"/>
  <c r="AP27" i="64"/>
  <c r="AO27" i="64"/>
  <c r="AN27" i="64"/>
  <c r="AM27" i="64"/>
  <c r="AL27" i="64"/>
  <c r="AK27" i="64"/>
  <c r="AJ27" i="64"/>
  <c r="AI27" i="64"/>
  <c r="AH27" i="64"/>
  <c r="AG27" i="64"/>
  <c r="AF27" i="64"/>
  <c r="AE27" i="64"/>
  <c r="AD27" i="64"/>
  <c r="AC27" i="64"/>
  <c r="AB27" i="64"/>
  <c r="AA27" i="64"/>
  <c r="Z27" i="64"/>
  <c r="Y27" i="64"/>
  <c r="X27" i="64"/>
  <c r="W27" i="64"/>
  <c r="V27" i="64"/>
  <c r="U27" i="64"/>
  <c r="T27" i="64"/>
  <c r="S27" i="64"/>
  <c r="R27" i="64"/>
  <c r="Q27" i="64"/>
  <c r="P27" i="64"/>
  <c r="O27" i="64"/>
  <c r="N27" i="64"/>
  <c r="M27" i="64"/>
  <c r="L27" i="64"/>
  <c r="K27" i="64"/>
  <c r="J27" i="64"/>
  <c r="I27" i="64"/>
  <c r="H27" i="64"/>
  <c r="G27" i="64"/>
  <c r="F27" i="64"/>
  <c r="E27" i="64"/>
  <c r="D27" i="64"/>
  <c r="C27" i="64"/>
  <c r="BT26" i="64"/>
  <c r="BS26" i="64"/>
  <c r="BR26" i="64"/>
  <c r="BQ26" i="64"/>
  <c r="BP26" i="64"/>
  <c r="BO26" i="64"/>
  <c r="BN26" i="64"/>
  <c r="BM26" i="64"/>
  <c r="BL26" i="64"/>
  <c r="BK26" i="64"/>
  <c r="BJ26" i="64"/>
  <c r="BI26" i="64"/>
  <c r="BH26" i="64"/>
  <c r="BG26" i="64"/>
  <c r="BF26" i="64"/>
  <c r="BE26" i="64"/>
  <c r="BD26" i="64"/>
  <c r="BC26" i="64"/>
  <c r="BB26" i="64"/>
  <c r="BA26" i="64"/>
  <c r="AZ26" i="64"/>
  <c r="AY26" i="64"/>
  <c r="AX26" i="64"/>
  <c r="AV26" i="64"/>
  <c r="AU26" i="64"/>
  <c r="AT26" i="64"/>
  <c r="AW26" i="64" s="1"/>
  <c r="AS26" i="64"/>
  <c r="AR26" i="64"/>
  <c r="AQ26" i="64"/>
  <c r="AP26" i="64"/>
  <c r="AO26" i="64"/>
  <c r="AN26" i="64"/>
  <c r="AM26" i="64"/>
  <c r="AL26" i="64"/>
  <c r="AK26" i="64"/>
  <c r="AJ26" i="64"/>
  <c r="AI26" i="64"/>
  <c r="AH26" i="64"/>
  <c r="AG26" i="64"/>
  <c r="AF26" i="64"/>
  <c r="AE26" i="64"/>
  <c r="AD26" i="64"/>
  <c r="AC26" i="64"/>
  <c r="AB26" i="64"/>
  <c r="AA26" i="64"/>
  <c r="Z26" i="64"/>
  <c r="Y26" i="64"/>
  <c r="X26" i="64"/>
  <c r="W26" i="64"/>
  <c r="V26" i="64"/>
  <c r="U26" i="64"/>
  <c r="T26" i="64"/>
  <c r="S26" i="64"/>
  <c r="R26" i="64"/>
  <c r="Q26" i="64"/>
  <c r="P26" i="64"/>
  <c r="O26" i="64"/>
  <c r="N26" i="64"/>
  <c r="M26" i="64"/>
  <c r="L26" i="64"/>
  <c r="K26" i="64"/>
  <c r="J26" i="64"/>
  <c r="I26" i="64"/>
  <c r="H26" i="64"/>
  <c r="G26" i="64"/>
  <c r="F26" i="64"/>
  <c r="E26" i="64"/>
  <c r="D26" i="64"/>
  <c r="C26" i="64"/>
  <c r="BT25" i="64"/>
  <c r="BS25" i="64"/>
  <c r="BR25" i="64"/>
  <c r="BQ25" i="64"/>
  <c r="BP25" i="64"/>
  <c r="BO25" i="64"/>
  <c r="BN25" i="64"/>
  <c r="BM25" i="64"/>
  <c r="BL25" i="64"/>
  <c r="BK25" i="64"/>
  <c r="BJ25" i="64"/>
  <c r="BI25" i="64"/>
  <c r="BH25" i="64"/>
  <c r="BG25" i="64"/>
  <c r="BF25" i="64"/>
  <c r="BE25" i="64"/>
  <c r="BD25" i="64"/>
  <c r="BC25" i="64"/>
  <c r="BB25" i="64"/>
  <c r="BA25" i="64"/>
  <c r="AZ25" i="64"/>
  <c r="AY25" i="64"/>
  <c r="AX25" i="64"/>
  <c r="AV25" i="64"/>
  <c r="AU25" i="64"/>
  <c r="AT25" i="64"/>
  <c r="AW25" i="64" s="1"/>
  <c r="AS25" i="64"/>
  <c r="AR25" i="64"/>
  <c r="AQ25" i="64"/>
  <c r="AP25" i="64"/>
  <c r="AO25" i="64"/>
  <c r="AN25" i="64"/>
  <c r="AM25" i="64"/>
  <c r="AL25" i="64"/>
  <c r="AK25" i="64"/>
  <c r="AJ25" i="64"/>
  <c r="AI25" i="64"/>
  <c r="AH25" i="64"/>
  <c r="AG25" i="64"/>
  <c r="AF25" i="64"/>
  <c r="AE25" i="64"/>
  <c r="AD25" i="64"/>
  <c r="AC25" i="64"/>
  <c r="AB25" i="64"/>
  <c r="AA25" i="64"/>
  <c r="Z25" i="64"/>
  <c r="Y25" i="64"/>
  <c r="X25" i="64"/>
  <c r="W25" i="64"/>
  <c r="V25" i="64"/>
  <c r="U25" i="64"/>
  <c r="T25" i="64"/>
  <c r="S25" i="64"/>
  <c r="R25" i="64"/>
  <c r="Q25" i="64"/>
  <c r="P25" i="64"/>
  <c r="O25" i="64"/>
  <c r="N25" i="64"/>
  <c r="M25" i="64"/>
  <c r="L25" i="64"/>
  <c r="K25" i="64"/>
  <c r="J25" i="64"/>
  <c r="I25" i="64"/>
  <c r="H25" i="64"/>
  <c r="G25" i="64"/>
  <c r="F25" i="64"/>
  <c r="E25" i="64"/>
  <c r="D25" i="64"/>
  <c r="C25" i="64"/>
  <c r="BT24" i="64"/>
  <c r="BS24" i="64"/>
  <c r="BR24" i="64"/>
  <c r="BQ24" i="64"/>
  <c r="BP24" i="64"/>
  <c r="BO24" i="64"/>
  <c r="BN24" i="64"/>
  <c r="BM24" i="64"/>
  <c r="BL24" i="64"/>
  <c r="BK24" i="64"/>
  <c r="BJ24" i="64"/>
  <c r="BI24" i="64"/>
  <c r="BH24" i="64"/>
  <c r="BG24" i="64"/>
  <c r="BF24" i="64"/>
  <c r="BE24" i="64"/>
  <c r="BD24" i="64"/>
  <c r="BC24" i="64"/>
  <c r="BB24" i="64"/>
  <c r="BA24" i="64"/>
  <c r="AZ24" i="64"/>
  <c r="AY24" i="64"/>
  <c r="AX24" i="64"/>
  <c r="AV24" i="64"/>
  <c r="AU24" i="64"/>
  <c r="AT24" i="64"/>
  <c r="AW24" i="64" s="1"/>
  <c r="AS24" i="64"/>
  <c r="AR24" i="64"/>
  <c r="AQ24" i="64"/>
  <c r="AP24" i="64"/>
  <c r="AO24" i="64"/>
  <c r="AN24" i="64"/>
  <c r="AM24" i="64"/>
  <c r="AL24" i="64"/>
  <c r="AK24" i="64"/>
  <c r="AJ24" i="64"/>
  <c r="AI24" i="64"/>
  <c r="AH24" i="64"/>
  <c r="AG24" i="64"/>
  <c r="AF24" i="64"/>
  <c r="AE24" i="64"/>
  <c r="AD24" i="64"/>
  <c r="AC24" i="64"/>
  <c r="AB24" i="64"/>
  <c r="AA24" i="64"/>
  <c r="Z24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C24" i="64"/>
  <c r="BT23" i="64"/>
  <c r="BS23" i="64"/>
  <c r="BR23" i="64"/>
  <c r="BQ23" i="64"/>
  <c r="BP23" i="64"/>
  <c r="BO23" i="64"/>
  <c r="BN23" i="64"/>
  <c r="BM23" i="64"/>
  <c r="BL23" i="64"/>
  <c r="BK23" i="64"/>
  <c r="BJ23" i="64"/>
  <c r="BI23" i="64"/>
  <c r="BH23" i="64"/>
  <c r="BG23" i="64"/>
  <c r="BF23" i="64"/>
  <c r="BE23" i="64"/>
  <c r="BD23" i="64"/>
  <c r="BC23" i="64"/>
  <c r="BB23" i="64"/>
  <c r="BA23" i="64"/>
  <c r="AZ23" i="64"/>
  <c r="AY23" i="64"/>
  <c r="AX23" i="64"/>
  <c r="AV23" i="64"/>
  <c r="AU23" i="64"/>
  <c r="AT23" i="64"/>
  <c r="AW23" i="64" s="1"/>
  <c r="AS23" i="64"/>
  <c r="AR23" i="64"/>
  <c r="AQ23" i="64"/>
  <c r="AP23" i="64"/>
  <c r="AO23" i="64"/>
  <c r="AN23" i="64"/>
  <c r="AM23" i="64"/>
  <c r="AL23" i="64"/>
  <c r="AK23" i="64"/>
  <c r="AJ23" i="64"/>
  <c r="AI23" i="64"/>
  <c r="AH23" i="64"/>
  <c r="AG23" i="64"/>
  <c r="AF23" i="64"/>
  <c r="AE23" i="64"/>
  <c r="AD23" i="64"/>
  <c r="AC23" i="64"/>
  <c r="AB23" i="64"/>
  <c r="AA23" i="64"/>
  <c r="Z23" i="64"/>
  <c r="Y23" i="64"/>
  <c r="X23" i="64"/>
  <c r="W23" i="64"/>
  <c r="V23" i="64"/>
  <c r="U23" i="64"/>
  <c r="T23" i="64"/>
  <c r="S23" i="64"/>
  <c r="R23" i="64"/>
  <c r="Q23" i="64"/>
  <c r="P23" i="64"/>
  <c r="O23" i="64"/>
  <c r="N23" i="64"/>
  <c r="M23" i="64"/>
  <c r="L23" i="64"/>
  <c r="K23" i="64"/>
  <c r="J23" i="64"/>
  <c r="I23" i="64"/>
  <c r="H23" i="64"/>
  <c r="G23" i="64"/>
  <c r="F23" i="64"/>
  <c r="E23" i="64"/>
  <c r="D23" i="64"/>
  <c r="C23" i="64"/>
  <c r="BT22" i="64"/>
  <c r="BS22" i="64"/>
  <c r="BR22" i="64"/>
  <c r="BQ22" i="64"/>
  <c r="BP22" i="64"/>
  <c r="BO22" i="64"/>
  <c r="BN22" i="64"/>
  <c r="BM22" i="64"/>
  <c r="BL22" i="64"/>
  <c r="BK22" i="64"/>
  <c r="BJ22" i="64"/>
  <c r="BI22" i="64"/>
  <c r="BH22" i="64"/>
  <c r="BG22" i="64"/>
  <c r="BF22" i="64"/>
  <c r="BE22" i="64"/>
  <c r="BD22" i="64"/>
  <c r="BC22" i="64"/>
  <c r="BB22" i="64"/>
  <c r="BA22" i="64"/>
  <c r="AZ22" i="64"/>
  <c r="AY22" i="64"/>
  <c r="AX22" i="64"/>
  <c r="AV22" i="64"/>
  <c r="AU22" i="64"/>
  <c r="AT22" i="64"/>
  <c r="AW22" i="64" s="1"/>
  <c r="AS22" i="64"/>
  <c r="AR22" i="64"/>
  <c r="AQ22" i="64"/>
  <c r="AP22" i="64"/>
  <c r="AO22" i="64"/>
  <c r="AN22" i="64"/>
  <c r="AM22" i="64"/>
  <c r="AL22" i="64"/>
  <c r="AK22" i="64"/>
  <c r="AJ22" i="64"/>
  <c r="AI22" i="64"/>
  <c r="AH22" i="64"/>
  <c r="AG22" i="64"/>
  <c r="AF22" i="64"/>
  <c r="AE22" i="64"/>
  <c r="AD22" i="64"/>
  <c r="AC22" i="64"/>
  <c r="AB22" i="64"/>
  <c r="AA22" i="64"/>
  <c r="Z22" i="64"/>
  <c r="Y22" i="64"/>
  <c r="X22" i="64"/>
  <c r="W22" i="64"/>
  <c r="V22" i="64"/>
  <c r="U22" i="64"/>
  <c r="T22" i="64"/>
  <c r="S22" i="64"/>
  <c r="R22" i="64"/>
  <c r="Q22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2" i="64"/>
  <c r="C22" i="64"/>
  <c r="BT21" i="64"/>
  <c r="BS21" i="64"/>
  <c r="BR21" i="64"/>
  <c r="BQ21" i="64"/>
  <c r="BP21" i="64"/>
  <c r="BO21" i="64"/>
  <c r="BN21" i="64"/>
  <c r="BM21" i="64"/>
  <c r="BL21" i="64"/>
  <c r="BK21" i="64"/>
  <c r="BJ21" i="64"/>
  <c r="BI21" i="64"/>
  <c r="BH21" i="64"/>
  <c r="BG21" i="64"/>
  <c r="BF21" i="64"/>
  <c r="BE21" i="64"/>
  <c r="BD21" i="64"/>
  <c r="BC21" i="64"/>
  <c r="BB21" i="64"/>
  <c r="BA21" i="64"/>
  <c r="AZ21" i="64"/>
  <c r="AY21" i="64"/>
  <c r="AX21" i="64"/>
  <c r="AV21" i="64"/>
  <c r="AU21" i="64"/>
  <c r="AT21" i="64"/>
  <c r="AW21" i="64" s="1"/>
  <c r="AS21" i="64"/>
  <c r="AR21" i="64"/>
  <c r="AQ21" i="64"/>
  <c r="AP21" i="64"/>
  <c r="AO21" i="64"/>
  <c r="AN21" i="64"/>
  <c r="AM21" i="64"/>
  <c r="AL21" i="64"/>
  <c r="AK21" i="64"/>
  <c r="AJ21" i="64"/>
  <c r="AI21" i="64"/>
  <c r="AH21" i="64"/>
  <c r="AG21" i="64"/>
  <c r="AF21" i="64"/>
  <c r="AE21" i="64"/>
  <c r="AD21" i="64"/>
  <c r="AC21" i="64"/>
  <c r="AB21" i="64"/>
  <c r="AA21" i="64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H21" i="64"/>
  <c r="G21" i="64"/>
  <c r="F21" i="64"/>
  <c r="E21" i="64"/>
  <c r="D21" i="64"/>
  <c r="C21" i="64"/>
  <c r="BT20" i="64"/>
  <c r="BS20" i="64"/>
  <c r="BR20" i="64"/>
  <c r="BQ20" i="64"/>
  <c r="BP20" i="64"/>
  <c r="BO20" i="64"/>
  <c r="BN20" i="64"/>
  <c r="BM20" i="64"/>
  <c r="BL20" i="64"/>
  <c r="BK20" i="64"/>
  <c r="BJ20" i="64"/>
  <c r="BI20" i="64"/>
  <c r="BH20" i="64"/>
  <c r="BG20" i="64"/>
  <c r="BF20" i="64"/>
  <c r="BE20" i="64"/>
  <c r="BD20" i="64"/>
  <c r="BC20" i="64"/>
  <c r="BB20" i="64"/>
  <c r="BA20" i="64"/>
  <c r="AZ20" i="64"/>
  <c r="AY20" i="64"/>
  <c r="AX20" i="64"/>
  <c r="AV20" i="64"/>
  <c r="AU20" i="64"/>
  <c r="AT20" i="64"/>
  <c r="AW20" i="64" s="1"/>
  <c r="AS20" i="64"/>
  <c r="AR20" i="64"/>
  <c r="AQ20" i="64"/>
  <c r="AP20" i="64"/>
  <c r="AO20" i="64"/>
  <c r="AN20" i="64"/>
  <c r="AM20" i="64"/>
  <c r="AL20" i="64"/>
  <c r="AK20" i="64"/>
  <c r="AJ20" i="64"/>
  <c r="AI20" i="64"/>
  <c r="AH20" i="64"/>
  <c r="AG20" i="64"/>
  <c r="AF20" i="64"/>
  <c r="AE20" i="64"/>
  <c r="AD20" i="64"/>
  <c r="AC20" i="64"/>
  <c r="AB20" i="64"/>
  <c r="AA20" i="64"/>
  <c r="Z20" i="64"/>
  <c r="Y20" i="64"/>
  <c r="X20" i="64"/>
  <c r="W20" i="64"/>
  <c r="V20" i="64"/>
  <c r="U20" i="64"/>
  <c r="T20" i="64"/>
  <c r="S20" i="64"/>
  <c r="R20" i="64"/>
  <c r="Q20" i="64"/>
  <c r="P20" i="64"/>
  <c r="O20" i="64"/>
  <c r="N20" i="64"/>
  <c r="M20" i="64"/>
  <c r="L20" i="64"/>
  <c r="K20" i="64"/>
  <c r="J20" i="64"/>
  <c r="I20" i="64"/>
  <c r="H20" i="64"/>
  <c r="G20" i="64"/>
  <c r="F20" i="64"/>
  <c r="E20" i="64"/>
  <c r="D20" i="64"/>
  <c r="C20" i="64"/>
  <c r="BT19" i="64"/>
  <c r="BS19" i="64"/>
  <c r="BR19" i="64"/>
  <c r="BQ19" i="64"/>
  <c r="BP19" i="64"/>
  <c r="BO19" i="64"/>
  <c r="BN19" i="64"/>
  <c r="BM19" i="64"/>
  <c r="BL19" i="64"/>
  <c r="BK19" i="64"/>
  <c r="BJ19" i="64"/>
  <c r="BI19" i="64"/>
  <c r="BH19" i="64"/>
  <c r="BG19" i="64"/>
  <c r="BF19" i="64"/>
  <c r="BE19" i="64"/>
  <c r="BD19" i="64"/>
  <c r="BC19" i="64"/>
  <c r="BB19" i="64"/>
  <c r="BA19" i="64"/>
  <c r="AZ19" i="64"/>
  <c r="AY19" i="64"/>
  <c r="AX19" i="64"/>
  <c r="AV19" i="64"/>
  <c r="AU19" i="64"/>
  <c r="AT19" i="64"/>
  <c r="AW19" i="64" s="1"/>
  <c r="AS19" i="64"/>
  <c r="AR19" i="64"/>
  <c r="AQ19" i="64"/>
  <c r="AP19" i="64"/>
  <c r="AO19" i="64"/>
  <c r="AN19" i="64"/>
  <c r="AM19" i="64"/>
  <c r="AL19" i="64"/>
  <c r="AK19" i="64"/>
  <c r="AJ19" i="64"/>
  <c r="AI19" i="64"/>
  <c r="AH19" i="64"/>
  <c r="AG19" i="64"/>
  <c r="AF19" i="64"/>
  <c r="AE19" i="64"/>
  <c r="AD19" i="64"/>
  <c r="AC19" i="64"/>
  <c r="AB19" i="64"/>
  <c r="AA19" i="64"/>
  <c r="Z19" i="64"/>
  <c r="Y19" i="64"/>
  <c r="X19" i="64"/>
  <c r="W19" i="64"/>
  <c r="V19" i="64"/>
  <c r="U19" i="64"/>
  <c r="T19" i="64"/>
  <c r="S19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C19" i="64"/>
  <c r="BT18" i="64"/>
  <c r="BS18" i="64"/>
  <c r="BR18" i="64"/>
  <c r="BQ18" i="64"/>
  <c r="BP18" i="64"/>
  <c r="BO18" i="64"/>
  <c r="BN18" i="64"/>
  <c r="BM18" i="64"/>
  <c r="BL18" i="64"/>
  <c r="BK18" i="64"/>
  <c r="BJ18" i="64"/>
  <c r="BI18" i="64"/>
  <c r="BH18" i="64"/>
  <c r="BG18" i="64"/>
  <c r="BF18" i="64"/>
  <c r="BE18" i="64"/>
  <c r="BD18" i="64"/>
  <c r="BC18" i="64"/>
  <c r="BB18" i="64"/>
  <c r="BA18" i="64"/>
  <c r="AZ18" i="64"/>
  <c r="AY18" i="64"/>
  <c r="AX18" i="64"/>
  <c r="AV18" i="64"/>
  <c r="AU18" i="64"/>
  <c r="AT18" i="64"/>
  <c r="AW18" i="64" s="1"/>
  <c r="AS18" i="64"/>
  <c r="AR18" i="64"/>
  <c r="AQ18" i="64"/>
  <c r="AP18" i="64"/>
  <c r="AO18" i="64"/>
  <c r="AN18" i="64"/>
  <c r="AM18" i="64"/>
  <c r="AL18" i="64"/>
  <c r="AK18" i="64"/>
  <c r="AJ18" i="64"/>
  <c r="AI18" i="64"/>
  <c r="AH18" i="64"/>
  <c r="AG18" i="64"/>
  <c r="AF18" i="64"/>
  <c r="AE18" i="64"/>
  <c r="AD18" i="64"/>
  <c r="AC18" i="64"/>
  <c r="AB18" i="64"/>
  <c r="AA18" i="64"/>
  <c r="Z18" i="64"/>
  <c r="Y18" i="64"/>
  <c r="X18" i="64"/>
  <c r="W18" i="64"/>
  <c r="V18" i="64"/>
  <c r="U18" i="64"/>
  <c r="T18" i="64"/>
  <c r="S18" i="64"/>
  <c r="R18" i="64"/>
  <c r="Q18" i="64"/>
  <c r="P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C18" i="64"/>
  <c r="BT17" i="64"/>
  <c r="BS17" i="64"/>
  <c r="BR17" i="64"/>
  <c r="BQ17" i="64"/>
  <c r="BP17" i="64"/>
  <c r="BO17" i="64"/>
  <c r="BN17" i="64"/>
  <c r="BM17" i="64"/>
  <c r="BL17" i="64"/>
  <c r="BK17" i="64"/>
  <c r="BJ17" i="64"/>
  <c r="BI17" i="64"/>
  <c r="BH17" i="64"/>
  <c r="BG17" i="64"/>
  <c r="BF17" i="64"/>
  <c r="BE17" i="64"/>
  <c r="BD17" i="64"/>
  <c r="BC17" i="64"/>
  <c r="BB17" i="64"/>
  <c r="BA17" i="64"/>
  <c r="AZ17" i="64"/>
  <c r="AY17" i="64"/>
  <c r="AX17" i="64"/>
  <c r="AV17" i="64"/>
  <c r="AU17" i="64"/>
  <c r="AT17" i="64"/>
  <c r="AW17" i="64" s="1"/>
  <c r="AS17" i="64"/>
  <c r="AR17" i="64"/>
  <c r="AQ17" i="64"/>
  <c r="AP17" i="64"/>
  <c r="AO17" i="64"/>
  <c r="AN17" i="64"/>
  <c r="AM17" i="64"/>
  <c r="AL17" i="64"/>
  <c r="AK17" i="64"/>
  <c r="AJ17" i="64"/>
  <c r="AI17" i="64"/>
  <c r="AH17" i="64"/>
  <c r="AG17" i="64"/>
  <c r="AF17" i="64"/>
  <c r="AE17" i="64"/>
  <c r="AD17" i="64"/>
  <c r="AC17" i="64"/>
  <c r="AB17" i="64"/>
  <c r="AA17" i="64"/>
  <c r="Z17" i="64"/>
  <c r="Y17" i="64"/>
  <c r="X17" i="64"/>
  <c r="W17" i="64"/>
  <c r="V17" i="64"/>
  <c r="U17" i="64"/>
  <c r="T17" i="64"/>
  <c r="S17" i="64"/>
  <c r="R17" i="64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BT16" i="64"/>
  <c r="BS16" i="64"/>
  <c r="BR16" i="64"/>
  <c r="BQ16" i="64"/>
  <c r="BP16" i="64"/>
  <c r="BO16" i="64"/>
  <c r="BN16" i="64"/>
  <c r="BM16" i="64"/>
  <c r="BL16" i="64"/>
  <c r="BK16" i="64"/>
  <c r="BJ16" i="64"/>
  <c r="BI16" i="64"/>
  <c r="BH16" i="64"/>
  <c r="BG16" i="64"/>
  <c r="BF16" i="64"/>
  <c r="BE16" i="64"/>
  <c r="BD16" i="64"/>
  <c r="BC16" i="64"/>
  <c r="BB16" i="64"/>
  <c r="BA16" i="64"/>
  <c r="AZ16" i="64"/>
  <c r="AY16" i="64"/>
  <c r="AX16" i="64"/>
  <c r="AV16" i="64"/>
  <c r="AU16" i="64"/>
  <c r="AT16" i="64"/>
  <c r="AW16" i="64" s="1"/>
  <c r="AS16" i="64"/>
  <c r="AR16" i="64"/>
  <c r="AQ16" i="64"/>
  <c r="AP16" i="64"/>
  <c r="AO16" i="64"/>
  <c r="AN16" i="64"/>
  <c r="AM16" i="64"/>
  <c r="AL16" i="64"/>
  <c r="AK16" i="64"/>
  <c r="AJ16" i="64"/>
  <c r="AI16" i="64"/>
  <c r="AH16" i="64"/>
  <c r="AG16" i="64"/>
  <c r="AF16" i="64"/>
  <c r="AE16" i="64"/>
  <c r="AD16" i="64"/>
  <c r="AC16" i="64"/>
  <c r="AB16" i="64"/>
  <c r="AA16" i="64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BT15" i="64"/>
  <c r="BS15" i="64"/>
  <c r="BR15" i="64"/>
  <c r="BQ15" i="64"/>
  <c r="BP15" i="64"/>
  <c r="BO15" i="64"/>
  <c r="BN15" i="64"/>
  <c r="BM15" i="64"/>
  <c r="BL15" i="64"/>
  <c r="BK15" i="64"/>
  <c r="BJ15" i="64"/>
  <c r="BI15" i="64"/>
  <c r="BH15" i="64"/>
  <c r="BG15" i="64"/>
  <c r="BF15" i="64"/>
  <c r="BE15" i="64"/>
  <c r="BD15" i="64"/>
  <c r="BC15" i="64"/>
  <c r="BB15" i="64"/>
  <c r="BA15" i="64"/>
  <c r="AZ15" i="64"/>
  <c r="AY15" i="64"/>
  <c r="AX15" i="64"/>
  <c r="AV15" i="64"/>
  <c r="AU15" i="64"/>
  <c r="AT15" i="64"/>
  <c r="AW15" i="64" s="1"/>
  <c r="AS15" i="64"/>
  <c r="AR15" i="64"/>
  <c r="AQ15" i="64"/>
  <c r="AP15" i="64"/>
  <c r="AO15" i="64"/>
  <c r="AN15" i="64"/>
  <c r="AM15" i="64"/>
  <c r="AL15" i="64"/>
  <c r="AK15" i="64"/>
  <c r="AJ15" i="64"/>
  <c r="AI15" i="64"/>
  <c r="AH15" i="64"/>
  <c r="AG15" i="64"/>
  <c r="AF15" i="64"/>
  <c r="AE15" i="64"/>
  <c r="AD15" i="64"/>
  <c r="AC15" i="64"/>
  <c r="AB15" i="64"/>
  <c r="AA15" i="64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BT14" i="64"/>
  <c r="BS14" i="64"/>
  <c r="BR14" i="64"/>
  <c r="BQ14" i="64"/>
  <c r="BP14" i="64"/>
  <c r="BO14" i="64"/>
  <c r="BN14" i="64"/>
  <c r="BM14" i="64"/>
  <c r="BL14" i="64"/>
  <c r="BK14" i="64"/>
  <c r="BJ14" i="64"/>
  <c r="BI14" i="64"/>
  <c r="BH14" i="64"/>
  <c r="BG14" i="64"/>
  <c r="BF14" i="64"/>
  <c r="BE14" i="64"/>
  <c r="BD14" i="64"/>
  <c r="BC14" i="64"/>
  <c r="BB14" i="64"/>
  <c r="BA14" i="64"/>
  <c r="AZ14" i="64"/>
  <c r="AY14" i="64"/>
  <c r="AX14" i="64"/>
  <c r="AV14" i="64"/>
  <c r="AU14" i="64"/>
  <c r="AT14" i="64"/>
  <c r="AW14" i="64" s="1"/>
  <c r="AS14" i="64"/>
  <c r="AR14" i="64"/>
  <c r="AQ14" i="64"/>
  <c r="AP14" i="64"/>
  <c r="AO14" i="64"/>
  <c r="AN14" i="64"/>
  <c r="AM14" i="64"/>
  <c r="AL14" i="64"/>
  <c r="AK14" i="64"/>
  <c r="AJ14" i="64"/>
  <c r="AI14" i="64"/>
  <c r="AH14" i="64"/>
  <c r="AG14" i="64"/>
  <c r="AF14" i="64"/>
  <c r="AE14" i="64"/>
  <c r="AD14" i="64"/>
  <c r="AC14" i="64"/>
  <c r="AB14" i="64"/>
  <c r="AA14" i="64"/>
  <c r="Z14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H14" i="64"/>
  <c r="G14" i="64"/>
  <c r="F14" i="64"/>
  <c r="E14" i="64"/>
  <c r="D14" i="64"/>
  <c r="C14" i="64"/>
  <c r="BT13" i="64"/>
  <c r="BS13" i="64"/>
  <c r="BR13" i="64"/>
  <c r="BQ13" i="64"/>
  <c r="BP13" i="64"/>
  <c r="BO13" i="64"/>
  <c r="BN13" i="64"/>
  <c r="BM13" i="64"/>
  <c r="BL13" i="64"/>
  <c r="BK13" i="64"/>
  <c r="BJ13" i="64"/>
  <c r="BI13" i="64"/>
  <c r="BH13" i="64"/>
  <c r="BG13" i="64"/>
  <c r="BF13" i="64"/>
  <c r="BE13" i="64"/>
  <c r="BD13" i="64"/>
  <c r="BC13" i="64"/>
  <c r="BB13" i="64"/>
  <c r="BA13" i="64"/>
  <c r="AZ13" i="64"/>
  <c r="AY13" i="64"/>
  <c r="AX13" i="64"/>
  <c r="AV13" i="64"/>
  <c r="AU13" i="64"/>
  <c r="AT13" i="64"/>
  <c r="AW13" i="64" s="1"/>
  <c r="AS13" i="64"/>
  <c r="AR13" i="64"/>
  <c r="AQ13" i="64"/>
  <c r="AP13" i="64"/>
  <c r="AO13" i="64"/>
  <c r="AN13" i="64"/>
  <c r="AM13" i="64"/>
  <c r="AL13" i="64"/>
  <c r="AK13" i="64"/>
  <c r="AJ13" i="64"/>
  <c r="AI13" i="64"/>
  <c r="AH13" i="64"/>
  <c r="AG13" i="64"/>
  <c r="AF13" i="64"/>
  <c r="AE13" i="64"/>
  <c r="AD13" i="64"/>
  <c r="AC13" i="64"/>
  <c r="AB13" i="64"/>
  <c r="AA13" i="64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BT12" i="64"/>
  <c r="BS12" i="64"/>
  <c r="BR12" i="64"/>
  <c r="BQ12" i="64"/>
  <c r="BP12" i="64"/>
  <c r="BO12" i="64"/>
  <c r="BN12" i="64"/>
  <c r="BM12" i="64"/>
  <c r="BL12" i="64"/>
  <c r="BK12" i="64"/>
  <c r="BJ12" i="64"/>
  <c r="BI12" i="64"/>
  <c r="BH12" i="64"/>
  <c r="BG12" i="64"/>
  <c r="BF12" i="64"/>
  <c r="BE12" i="64"/>
  <c r="BD12" i="64"/>
  <c r="BC12" i="64"/>
  <c r="BB12" i="64"/>
  <c r="BA12" i="64"/>
  <c r="AZ12" i="64"/>
  <c r="AY12" i="64"/>
  <c r="AX12" i="64"/>
  <c r="AV12" i="64"/>
  <c r="AU12" i="64"/>
  <c r="AT12" i="64"/>
  <c r="AW12" i="64" s="1"/>
  <c r="AS12" i="64"/>
  <c r="AR12" i="64"/>
  <c r="AQ12" i="64"/>
  <c r="AP12" i="64"/>
  <c r="AO12" i="64"/>
  <c r="AN12" i="64"/>
  <c r="AM12" i="64"/>
  <c r="AL12" i="64"/>
  <c r="AK12" i="64"/>
  <c r="AJ12" i="64"/>
  <c r="AI12" i="64"/>
  <c r="AH12" i="64"/>
  <c r="AG12" i="64"/>
  <c r="AF12" i="64"/>
  <c r="AE12" i="64"/>
  <c r="AD12" i="64"/>
  <c r="AC12" i="64"/>
  <c r="AB12" i="64"/>
  <c r="AA12" i="64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BT11" i="64"/>
  <c r="BS11" i="64"/>
  <c r="BR11" i="64"/>
  <c r="BQ11" i="64"/>
  <c r="BP11" i="64"/>
  <c r="BO11" i="64"/>
  <c r="BN11" i="64"/>
  <c r="BM11" i="64"/>
  <c r="BL11" i="64"/>
  <c r="BK11" i="64"/>
  <c r="BJ11" i="64"/>
  <c r="BI11" i="64"/>
  <c r="BH11" i="64"/>
  <c r="BG11" i="64"/>
  <c r="BF11" i="64"/>
  <c r="BE11" i="64"/>
  <c r="BD11" i="64"/>
  <c r="BC11" i="64"/>
  <c r="BB11" i="64"/>
  <c r="BA11" i="64"/>
  <c r="AZ11" i="64"/>
  <c r="AY11" i="64"/>
  <c r="AX11" i="64"/>
  <c r="AV11" i="64"/>
  <c r="AU11" i="64"/>
  <c r="AT11" i="64"/>
  <c r="AW11" i="64" s="1"/>
  <c r="AS11" i="64"/>
  <c r="AR11" i="64"/>
  <c r="AQ11" i="64"/>
  <c r="AP11" i="64"/>
  <c r="AO11" i="64"/>
  <c r="AN11" i="64"/>
  <c r="AM11" i="64"/>
  <c r="AL11" i="64"/>
  <c r="AK11" i="64"/>
  <c r="AJ11" i="64"/>
  <c r="AI11" i="64"/>
  <c r="AH11" i="64"/>
  <c r="AG11" i="64"/>
  <c r="AF11" i="64"/>
  <c r="AE11" i="64"/>
  <c r="AD11" i="64"/>
  <c r="AC11" i="64"/>
  <c r="AB11" i="64"/>
  <c r="AA11" i="64"/>
  <c r="Z11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G11" i="64"/>
  <c r="F11" i="64"/>
  <c r="E11" i="64"/>
  <c r="D11" i="64"/>
  <c r="C11" i="64"/>
  <c r="BT10" i="64"/>
  <c r="BS10" i="64"/>
  <c r="BR10" i="64"/>
  <c r="BQ10" i="64"/>
  <c r="BP10" i="64"/>
  <c r="BO10" i="64"/>
  <c r="BN10" i="64"/>
  <c r="BM10" i="64"/>
  <c r="BL10" i="64"/>
  <c r="BK10" i="64"/>
  <c r="BJ10" i="64"/>
  <c r="BI10" i="64"/>
  <c r="BH10" i="64"/>
  <c r="BG10" i="64"/>
  <c r="BF10" i="64"/>
  <c r="BE10" i="64"/>
  <c r="BD10" i="64"/>
  <c r="BC10" i="64"/>
  <c r="BB10" i="64"/>
  <c r="BA10" i="64"/>
  <c r="AZ10" i="64"/>
  <c r="AY10" i="64"/>
  <c r="AX10" i="64"/>
  <c r="AV10" i="64"/>
  <c r="AU10" i="64"/>
  <c r="AT10" i="64"/>
  <c r="AW10" i="64" s="1"/>
  <c r="AS10" i="64"/>
  <c r="AR10" i="64"/>
  <c r="AQ10" i="64"/>
  <c r="AP10" i="64"/>
  <c r="AO10" i="64"/>
  <c r="AN10" i="64"/>
  <c r="AM10" i="64"/>
  <c r="AL10" i="64"/>
  <c r="AK10" i="64"/>
  <c r="AJ10" i="64"/>
  <c r="AI10" i="64"/>
  <c r="AH10" i="64"/>
  <c r="AG10" i="64"/>
  <c r="AF10" i="64"/>
  <c r="AE10" i="64"/>
  <c r="AD10" i="64"/>
  <c r="AC10" i="64"/>
  <c r="AB10" i="64"/>
  <c r="AA10" i="64"/>
  <c r="Z10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BT9" i="64"/>
  <c r="BS9" i="64"/>
  <c r="BR9" i="64"/>
  <c r="BQ9" i="64"/>
  <c r="BP9" i="64"/>
  <c r="BO9" i="64"/>
  <c r="BN9" i="64"/>
  <c r="BM9" i="64"/>
  <c r="BL9" i="64"/>
  <c r="BK9" i="64"/>
  <c r="BJ9" i="64"/>
  <c r="BI9" i="64"/>
  <c r="BH9" i="64"/>
  <c r="BG9" i="64"/>
  <c r="BF9" i="64"/>
  <c r="BE9" i="64"/>
  <c r="BD9" i="64"/>
  <c r="BC9" i="64"/>
  <c r="BB9" i="64"/>
  <c r="BA9" i="64"/>
  <c r="AZ9" i="64"/>
  <c r="AY9" i="64"/>
  <c r="AX9" i="64"/>
  <c r="AV9" i="64"/>
  <c r="AU9" i="64"/>
  <c r="AT9" i="64"/>
  <c r="AW9" i="64" s="1"/>
  <c r="AS9" i="64"/>
  <c r="AR9" i="64"/>
  <c r="AQ9" i="64"/>
  <c r="AP9" i="64"/>
  <c r="AO9" i="64"/>
  <c r="AN9" i="64"/>
  <c r="AM9" i="64"/>
  <c r="AL9" i="64"/>
  <c r="AK9" i="64"/>
  <c r="AJ9" i="64"/>
  <c r="AI9" i="64"/>
  <c r="AH9" i="64"/>
  <c r="AG9" i="64"/>
  <c r="AF9" i="64"/>
  <c r="AE9" i="64"/>
  <c r="AD9" i="64"/>
  <c r="AC9" i="64"/>
  <c r="AB9" i="64"/>
  <c r="AA9" i="64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G9" i="64"/>
  <c r="F9" i="64"/>
  <c r="E9" i="64"/>
  <c r="D9" i="64"/>
  <c r="C9" i="64"/>
  <c r="BT8" i="64"/>
  <c r="BS8" i="64"/>
  <c r="BR8" i="64"/>
  <c r="BQ8" i="64"/>
  <c r="BP8" i="64"/>
  <c r="BO8" i="64"/>
  <c r="BN8" i="64"/>
  <c r="BM8" i="64"/>
  <c r="BL8" i="64"/>
  <c r="BK8" i="64"/>
  <c r="BJ8" i="64"/>
  <c r="BI8" i="64"/>
  <c r="BH8" i="64"/>
  <c r="BG8" i="64"/>
  <c r="BF8" i="64"/>
  <c r="BE8" i="64"/>
  <c r="BD8" i="64"/>
  <c r="BC8" i="64"/>
  <c r="BB8" i="64"/>
  <c r="BA8" i="64"/>
  <c r="AZ8" i="64"/>
  <c r="AY8" i="64"/>
  <c r="AX8" i="64"/>
  <c r="AV8" i="64"/>
  <c r="AU8" i="64"/>
  <c r="AT8" i="64"/>
  <c r="AS8" i="64"/>
  <c r="AR8" i="64"/>
  <c r="AQ8" i="64"/>
  <c r="AP8" i="64"/>
  <c r="AO8" i="64"/>
  <c r="AN8" i="64"/>
  <c r="AM8" i="64"/>
  <c r="AL8" i="64"/>
  <c r="AK8" i="64"/>
  <c r="AJ8" i="64"/>
  <c r="AI8" i="64"/>
  <c r="AH8" i="64"/>
  <c r="AG8" i="64"/>
  <c r="AF8" i="64"/>
  <c r="AE8" i="64"/>
  <c r="AD8" i="64"/>
  <c r="AC8" i="64"/>
  <c r="AB8" i="64"/>
  <c r="AA8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G8" i="64"/>
  <c r="F8" i="64"/>
  <c r="E8" i="64"/>
  <c r="D8" i="64"/>
  <c r="C8" i="64"/>
  <c r="C7" i="64"/>
  <c r="C23" i="10" s="1"/>
  <c r="AW66" i="63"/>
  <c r="AW65" i="63"/>
  <c r="AW64" i="63"/>
  <c r="AW63" i="63"/>
  <c r="AW62" i="63"/>
  <c r="AW61" i="63"/>
  <c r="AW60" i="63"/>
  <c r="AW59" i="63"/>
  <c r="AW58" i="63"/>
  <c r="AW57" i="63"/>
  <c r="AW56" i="63"/>
  <c r="AW55" i="63"/>
  <c r="AV54" i="63"/>
  <c r="AU54" i="63"/>
  <c r="AT54" i="63"/>
  <c r="AW54" i="63" s="1"/>
  <c r="AV53" i="63"/>
  <c r="AU53" i="63"/>
  <c r="AT53" i="63"/>
  <c r="AW53" i="63" s="1"/>
  <c r="AV52" i="63"/>
  <c r="AU52" i="63"/>
  <c r="AT52" i="63"/>
  <c r="AW52" i="63" s="1"/>
  <c r="AV51" i="63"/>
  <c r="AU51" i="63"/>
  <c r="AT51" i="63"/>
  <c r="AW51" i="63" s="1"/>
  <c r="AV50" i="63"/>
  <c r="AU50" i="63"/>
  <c r="AT50" i="63"/>
  <c r="AW50" i="63" s="1"/>
  <c r="AV49" i="63"/>
  <c r="AU49" i="63"/>
  <c r="AT49" i="63"/>
  <c r="AW49" i="63" s="1"/>
  <c r="AV48" i="63"/>
  <c r="AU48" i="63"/>
  <c r="AT48" i="63"/>
  <c r="AW48" i="63" s="1"/>
  <c r="AV47" i="63"/>
  <c r="AU47" i="63"/>
  <c r="AT47" i="63"/>
  <c r="AW47" i="63" s="1"/>
  <c r="AV46" i="63"/>
  <c r="AU46" i="63"/>
  <c r="AT46" i="63"/>
  <c r="AW46" i="63" s="1"/>
  <c r="AV45" i="63"/>
  <c r="AU45" i="63"/>
  <c r="AT45" i="63"/>
  <c r="AW45" i="63" s="1"/>
  <c r="AV44" i="63"/>
  <c r="AU44" i="63"/>
  <c r="AT44" i="63"/>
  <c r="AW44" i="63" s="1"/>
  <c r="AV43" i="63"/>
  <c r="AU43" i="63"/>
  <c r="AT43" i="63"/>
  <c r="AW43" i="63" s="1"/>
  <c r="AV42" i="63"/>
  <c r="AU42" i="63"/>
  <c r="AT42" i="63"/>
  <c r="AW42" i="63" s="1"/>
  <c r="AV41" i="63"/>
  <c r="AU41" i="63"/>
  <c r="AT41" i="63"/>
  <c r="AW41" i="63" s="1"/>
  <c r="AV40" i="63"/>
  <c r="AU40" i="63"/>
  <c r="AT40" i="63"/>
  <c r="AW40" i="63" s="1"/>
  <c r="AV39" i="63"/>
  <c r="AU39" i="63"/>
  <c r="AT39" i="63"/>
  <c r="AW39" i="63" s="1"/>
  <c r="AV38" i="63"/>
  <c r="AU38" i="63"/>
  <c r="AT38" i="63"/>
  <c r="AW38" i="63" s="1"/>
  <c r="AV37" i="63"/>
  <c r="AU37" i="63"/>
  <c r="AT37" i="63"/>
  <c r="AW37" i="63" s="1"/>
  <c r="AV36" i="63"/>
  <c r="AU36" i="63"/>
  <c r="AT36" i="63"/>
  <c r="AW36" i="63" s="1"/>
  <c r="AV35" i="63"/>
  <c r="AU35" i="63"/>
  <c r="AT35" i="63"/>
  <c r="AW35" i="63" s="1"/>
  <c r="AV34" i="63"/>
  <c r="AU34" i="63"/>
  <c r="AT34" i="63"/>
  <c r="AW34" i="63" s="1"/>
  <c r="BT33" i="63"/>
  <c r="BS33" i="63"/>
  <c r="BR33" i="63"/>
  <c r="BQ33" i="63"/>
  <c r="BP33" i="63"/>
  <c r="BO33" i="63"/>
  <c r="BN33" i="63"/>
  <c r="BM33" i="63"/>
  <c r="BL33" i="63"/>
  <c r="BK33" i="63"/>
  <c r="BJ33" i="63"/>
  <c r="BI33" i="63"/>
  <c r="BH33" i="63"/>
  <c r="BG33" i="63"/>
  <c r="BF33" i="63"/>
  <c r="BE33" i="63"/>
  <c r="BD33" i="63"/>
  <c r="BC33" i="63"/>
  <c r="BB33" i="63"/>
  <c r="BA33" i="63"/>
  <c r="AZ33" i="63"/>
  <c r="AY33" i="63"/>
  <c r="AX33" i="63"/>
  <c r="AV33" i="63"/>
  <c r="AU33" i="63"/>
  <c r="AT33" i="63"/>
  <c r="AW33" i="63" s="1"/>
  <c r="AS33" i="63"/>
  <c r="AR33" i="63"/>
  <c r="AQ33" i="63"/>
  <c r="AP33" i="63"/>
  <c r="AO33" i="63"/>
  <c r="AN33" i="63"/>
  <c r="AM33" i="63"/>
  <c r="AL33" i="63"/>
  <c r="AK33" i="63"/>
  <c r="AJ33" i="63"/>
  <c r="AI33" i="63"/>
  <c r="AH33" i="63"/>
  <c r="AG33" i="63"/>
  <c r="AF33" i="63"/>
  <c r="AE33" i="63"/>
  <c r="AD33" i="63"/>
  <c r="AC33" i="63"/>
  <c r="AB33" i="63"/>
  <c r="AA33" i="63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G33" i="63"/>
  <c r="F33" i="63"/>
  <c r="E33" i="63"/>
  <c r="D33" i="63"/>
  <c r="C33" i="63"/>
  <c r="BT32" i="63"/>
  <c r="BS32" i="63"/>
  <c r="BR32" i="63"/>
  <c r="BQ32" i="63"/>
  <c r="BP32" i="63"/>
  <c r="BO32" i="63"/>
  <c r="BN32" i="63"/>
  <c r="BM32" i="63"/>
  <c r="BL32" i="63"/>
  <c r="BK32" i="63"/>
  <c r="BJ32" i="63"/>
  <c r="BI32" i="63"/>
  <c r="BH32" i="63"/>
  <c r="BG32" i="63"/>
  <c r="BF32" i="63"/>
  <c r="BE32" i="63"/>
  <c r="BD32" i="63"/>
  <c r="BC32" i="63"/>
  <c r="BB32" i="63"/>
  <c r="BA32" i="63"/>
  <c r="AZ32" i="63"/>
  <c r="AY32" i="63"/>
  <c r="AX32" i="63"/>
  <c r="AV32" i="63"/>
  <c r="AU32" i="63"/>
  <c r="AT32" i="63"/>
  <c r="AW32" i="63" s="1"/>
  <c r="AS32" i="63"/>
  <c r="AR32" i="63"/>
  <c r="AQ32" i="63"/>
  <c r="AP32" i="63"/>
  <c r="AO32" i="63"/>
  <c r="AN32" i="63"/>
  <c r="AM32" i="63"/>
  <c r="AL32" i="63"/>
  <c r="AK32" i="63"/>
  <c r="AJ32" i="63"/>
  <c r="AI32" i="63"/>
  <c r="AH32" i="63"/>
  <c r="AG32" i="63"/>
  <c r="AF32" i="63"/>
  <c r="AE32" i="63"/>
  <c r="AD32" i="63"/>
  <c r="AC32" i="63"/>
  <c r="AB32" i="63"/>
  <c r="AA32" i="63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G32" i="63"/>
  <c r="F32" i="63"/>
  <c r="E32" i="63"/>
  <c r="D32" i="63"/>
  <c r="C32" i="63"/>
  <c r="BT31" i="63"/>
  <c r="BS31" i="63"/>
  <c r="BR31" i="63"/>
  <c r="BQ31" i="63"/>
  <c r="BP31" i="63"/>
  <c r="BO31" i="63"/>
  <c r="BN31" i="63"/>
  <c r="BM31" i="63"/>
  <c r="BL31" i="63"/>
  <c r="BK31" i="63"/>
  <c r="BJ31" i="63"/>
  <c r="BI31" i="63"/>
  <c r="BH31" i="63"/>
  <c r="BG31" i="63"/>
  <c r="BF31" i="63"/>
  <c r="BE31" i="63"/>
  <c r="BD31" i="63"/>
  <c r="BC31" i="63"/>
  <c r="BB31" i="63"/>
  <c r="BA31" i="63"/>
  <c r="AZ31" i="63"/>
  <c r="AY31" i="63"/>
  <c r="AX31" i="63"/>
  <c r="AV31" i="63"/>
  <c r="AU31" i="63"/>
  <c r="AT31" i="63"/>
  <c r="AW31" i="63" s="1"/>
  <c r="AS31" i="63"/>
  <c r="AR31" i="63"/>
  <c r="AQ31" i="63"/>
  <c r="AP31" i="63"/>
  <c r="AO31" i="63"/>
  <c r="AN31" i="63"/>
  <c r="AM31" i="63"/>
  <c r="AL31" i="63"/>
  <c r="AK31" i="63"/>
  <c r="AJ31" i="63"/>
  <c r="AI31" i="63"/>
  <c r="AH31" i="63"/>
  <c r="AG31" i="63"/>
  <c r="AF31" i="63"/>
  <c r="AE31" i="63"/>
  <c r="AD31" i="63"/>
  <c r="AC31" i="63"/>
  <c r="AB31" i="63"/>
  <c r="AA31" i="63"/>
  <c r="Z31" i="63"/>
  <c r="Y31" i="63"/>
  <c r="X31" i="63"/>
  <c r="W31" i="63"/>
  <c r="V31" i="63"/>
  <c r="U31" i="63"/>
  <c r="T31" i="63"/>
  <c r="S31" i="63"/>
  <c r="R31" i="63"/>
  <c r="Q31" i="63"/>
  <c r="P31" i="63"/>
  <c r="O31" i="63"/>
  <c r="N31" i="63"/>
  <c r="M31" i="63"/>
  <c r="L31" i="63"/>
  <c r="K31" i="63"/>
  <c r="J31" i="63"/>
  <c r="I31" i="63"/>
  <c r="H31" i="63"/>
  <c r="G31" i="63"/>
  <c r="F31" i="63"/>
  <c r="E31" i="63"/>
  <c r="D31" i="63"/>
  <c r="C31" i="63"/>
  <c r="BT30" i="63"/>
  <c r="BS30" i="63"/>
  <c r="BR30" i="63"/>
  <c r="BQ30" i="63"/>
  <c r="BP30" i="63"/>
  <c r="BO30" i="63"/>
  <c r="BN30" i="63"/>
  <c r="BM30" i="63"/>
  <c r="BL30" i="63"/>
  <c r="BK30" i="63"/>
  <c r="BJ30" i="63"/>
  <c r="BI30" i="63"/>
  <c r="BH30" i="63"/>
  <c r="BG30" i="63"/>
  <c r="BF30" i="63"/>
  <c r="BE30" i="63"/>
  <c r="BD30" i="63"/>
  <c r="BC30" i="63"/>
  <c r="BB30" i="63"/>
  <c r="BA30" i="63"/>
  <c r="AZ30" i="63"/>
  <c r="AY30" i="63"/>
  <c r="AX30" i="63"/>
  <c r="AV30" i="63"/>
  <c r="AU30" i="63"/>
  <c r="AT30" i="63"/>
  <c r="AW30" i="63" s="1"/>
  <c r="AS30" i="63"/>
  <c r="AR30" i="63"/>
  <c r="AQ30" i="63"/>
  <c r="AP30" i="63"/>
  <c r="AO30" i="63"/>
  <c r="AN30" i="63"/>
  <c r="AM30" i="63"/>
  <c r="AL30" i="63"/>
  <c r="AK30" i="63"/>
  <c r="AJ30" i="63"/>
  <c r="AI30" i="63"/>
  <c r="AH30" i="63"/>
  <c r="AG30" i="63"/>
  <c r="AF30" i="63"/>
  <c r="AE30" i="63"/>
  <c r="AD30" i="63"/>
  <c r="AC30" i="63"/>
  <c r="AB30" i="63"/>
  <c r="AA30" i="63"/>
  <c r="Z30" i="63"/>
  <c r="Y30" i="63"/>
  <c r="X30" i="63"/>
  <c r="W30" i="63"/>
  <c r="V30" i="63"/>
  <c r="U30" i="63"/>
  <c r="T30" i="63"/>
  <c r="S30" i="63"/>
  <c r="R30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30" i="63"/>
  <c r="C30" i="63"/>
  <c r="BT29" i="63"/>
  <c r="BS29" i="63"/>
  <c r="BR29" i="63"/>
  <c r="BQ29" i="63"/>
  <c r="BP29" i="63"/>
  <c r="BO29" i="63"/>
  <c r="BN29" i="63"/>
  <c r="BM29" i="63"/>
  <c r="BL29" i="63"/>
  <c r="BK29" i="63"/>
  <c r="BJ29" i="63"/>
  <c r="BI29" i="63"/>
  <c r="BH29" i="63"/>
  <c r="BG29" i="63"/>
  <c r="BF29" i="63"/>
  <c r="BE29" i="63"/>
  <c r="BD29" i="63"/>
  <c r="BC29" i="63"/>
  <c r="BB29" i="63"/>
  <c r="BA29" i="63"/>
  <c r="AZ29" i="63"/>
  <c r="AY29" i="63"/>
  <c r="AX29" i="63"/>
  <c r="AV29" i="63"/>
  <c r="AU29" i="63"/>
  <c r="AT29" i="63"/>
  <c r="AW29" i="63" s="1"/>
  <c r="AS29" i="63"/>
  <c r="AR29" i="63"/>
  <c r="AQ29" i="63"/>
  <c r="AP29" i="63"/>
  <c r="AO29" i="63"/>
  <c r="AN29" i="63"/>
  <c r="AM29" i="63"/>
  <c r="AL29" i="63"/>
  <c r="AK29" i="63"/>
  <c r="AJ29" i="63"/>
  <c r="AI29" i="63"/>
  <c r="AH29" i="63"/>
  <c r="AG29" i="63"/>
  <c r="AF29" i="63"/>
  <c r="AE29" i="63"/>
  <c r="AD29" i="63"/>
  <c r="AC29" i="63"/>
  <c r="AB29" i="63"/>
  <c r="AA29" i="63"/>
  <c r="Z29" i="63"/>
  <c r="Y29" i="63"/>
  <c r="X29" i="63"/>
  <c r="W29" i="63"/>
  <c r="V29" i="63"/>
  <c r="U29" i="63"/>
  <c r="T29" i="63"/>
  <c r="S29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D29" i="63"/>
  <c r="C29" i="63"/>
  <c r="BT28" i="63"/>
  <c r="BS28" i="63"/>
  <c r="BR28" i="63"/>
  <c r="BQ28" i="63"/>
  <c r="BP28" i="63"/>
  <c r="BO28" i="63"/>
  <c r="BN28" i="63"/>
  <c r="BM28" i="63"/>
  <c r="BL28" i="63"/>
  <c r="BK28" i="63"/>
  <c r="BJ28" i="63"/>
  <c r="BI28" i="63"/>
  <c r="BH28" i="63"/>
  <c r="BG28" i="63"/>
  <c r="BF28" i="63"/>
  <c r="BE28" i="63"/>
  <c r="BD28" i="63"/>
  <c r="BC28" i="63"/>
  <c r="BB28" i="63"/>
  <c r="BA28" i="63"/>
  <c r="AZ28" i="63"/>
  <c r="AY28" i="63"/>
  <c r="AX28" i="63"/>
  <c r="AV28" i="63"/>
  <c r="AU28" i="63"/>
  <c r="AT28" i="63"/>
  <c r="AW28" i="63" s="1"/>
  <c r="AS28" i="63"/>
  <c r="AR28" i="63"/>
  <c r="AQ28" i="63"/>
  <c r="AP28" i="63"/>
  <c r="AO28" i="63"/>
  <c r="AN28" i="63"/>
  <c r="AM28" i="63"/>
  <c r="AL28" i="63"/>
  <c r="AK28" i="63"/>
  <c r="AJ28" i="63"/>
  <c r="AI28" i="63"/>
  <c r="AH28" i="63"/>
  <c r="AG28" i="63"/>
  <c r="AF28" i="63"/>
  <c r="AE28" i="63"/>
  <c r="AD28" i="63"/>
  <c r="AC28" i="63"/>
  <c r="AB28" i="63"/>
  <c r="AA28" i="63"/>
  <c r="Z28" i="63"/>
  <c r="Y28" i="63"/>
  <c r="X28" i="63"/>
  <c r="W28" i="63"/>
  <c r="V28" i="63"/>
  <c r="U28" i="63"/>
  <c r="T28" i="63"/>
  <c r="S28" i="63"/>
  <c r="R28" i="63"/>
  <c r="Q28" i="63"/>
  <c r="P28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C28" i="63"/>
  <c r="BT27" i="63"/>
  <c r="BS27" i="63"/>
  <c r="BR27" i="63"/>
  <c r="BQ27" i="63"/>
  <c r="BP27" i="63"/>
  <c r="BO27" i="63"/>
  <c r="BN27" i="63"/>
  <c r="BM27" i="63"/>
  <c r="BL27" i="63"/>
  <c r="BK27" i="63"/>
  <c r="BJ27" i="63"/>
  <c r="BI27" i="63"/>
  <c r="BH27" i="63"/>
  <c r="BG27" i="63"/>
  <c r="BF27" i="63"/>
  <c r="BE27" i="63"/>
  <c r="BD27" i="63"/>
  <c r="BC27" i="63"/>
  <c r="BB27" i="63"/>
  <c r="BA27" i="63"/>
  <c r="AZ27" i="63"/>
  <c r="AY27" i="63"/>
  <c r="AX27" i="63"/>
  <c r="AV27" i="63"/>
  <c r="AU27" i="63"/>
  <c r="AT27" i="63"/>
  <c r="AW27" i="63" s="1"/>
  <c r="AS27" i="63"/>
  <c r="AR27" i="63"/>
  <c r="AQ27" i="63"/>
  <c r="AP27" i="63"/>
  <c r="AO27" i="63"/>
  <c r="AN27" i="63"/>
  <c r="AM27" i="63"/>
  <c r="AL27" i="63"/>
  <c r="AK27" i="63"/>
  <c r="AJ27" i="63"/>
  <c r="AI27" i="63"/>
  <c r="AH27" i="63"/>
  <c r="AG27" i="63"/>
  <c r="AF27" i="63"/>
  <c r="AE27" i="63"/>
  <c r="AD27" i="63"/>
  <c r="AC27" i="63"/>
  <c r="AB27" i="63"/>
  <c r="AA27" i="63"/>
  <c r="Z27" i="63"/>
  <c r="Y27" i="63"/>
  <c r="X27" i="63"/>
  <c r="W27" i="63"/>
  <c r="V27" i="63"/>
  <c r="U27" i="63"/>
  <c r="T27" i="63"/>
  <c r="S27" i="63"/>
  <c r="R27" i="63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BT26" i="63"/>
  <c r="BS26" i="63"/>
  <c r="BR26" i="63"/>
  <c r="BQ26" i="63"/>
  <c r="BP26" i="63"/>
  <c r="BO26" i="63"/>
  <c r="BN26" i="63"/>
  <c r="BM26" i="63"/>
  <c r="BL26" i="63"/>
  <c r="BK26" i="63"/>
  <c r="BJ26" i="63"/>
  <c r="BI26" i="63"/>
  <c r="BH26" i="63"/>
  <c r="BG26" i="63"/>
  <c r="BF26" i="63"/>
  <c r="BE26" i="63"/>
  <c r="BD26" i="63"/>
  <c r="BC26" i="63"/>
  <c r="BB26" i="63"/>
  <c r="BA26" i="63"/>
  <c r="AZ26" i="63"/>
  <c r="AY26" i="63"/>
  <c r="AX26" i="63"/>
  <c r="AV26" i="63"/>
  <c r="AU26" i="63"/>
  <c r="AT26" i="63"/>
  <c r="AW26" i="63" s="1"/>
  <c r="AS26" i="63"/>
  <c r="AR26" i="63"/>
  <c r="AQ26" i="63"/>
  <c r="AP26" i="63"/>
  <c r="AO26" i="63"/>
  <c r="AN26" i="63"/>
  <c r="AM26" i="63"/>
  <c r="AL26" i="63"/>
  <c r="AK26" i="63"/>
  <c r="AJ26" i="63"/>
  <c r="AI26" i="63"/>
  <c r="AH26" i="63"/>
  <c r="AG26" i="63"/>
  <c r="AF26" i="63"/>
  <c r="AE26" i="63"/>
  <c r="AD26" i="63"/>
  <c r="AC26" i="63"/>
  <c r="AB26" i="63"/>
  <c r="AA26" i="63"/>
  <c r="Z26" i="63"/>
  <c r="Y26" i="63"/>
  <c r="X26" i="63"/>
  <c r="W26" i="63"/>
  <c r="V26" i="63"/>
  <c r="U26" i="63"/>
  <c r="T26" i="63"/>
  <c r="S26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T25" i="63"/>
  <c r="BS25" i="63"/>
  <c r="BR25" i="63"/>
  <c r="BQ25" i="63"/>
  <c r="BP25" i="63"/>
  <c r="BO25" i="63"/>
  <c r="BN25" i="63"/>
  <c r="BM25" i="63"/>
  <c r="BL25" i="63"/>
  <c r="BK25" i="63"/>
  <c r="BJ25" i="63"/>
  <c r="BI25" i="63"/>
  <c r="BH25" i="63"/>
  <c r="BG25" i="63"/>
  <c r="BF25" i="63"/>
  <c r="BE25" i="63"/>
  <c r="BD25" i="63"/>
  <c r="BC25" i="63"/>
  <c r="BB25" i="63"/>
  <c r="BA25" i="63"/>
  <c r="AZ25" i="63"/>
  <c r="AY25" i="63"/>
  <c r="AX25" i="63"/>
  <c r="AV25" i="63"/>
  <c r="AU25" i="63"/>
  <c r="AT25" i="63"/>
  <c r="AW25" i="63" s="1"/>
  <c r="AS25" i="63"/>
  <c r="AR25" i="63"/>
  <c r="AQ25" i="63"/>
  <c r="AP25" i="63"/>
  <c r="AO25" i="63"/>
  <c r="AN25" i="63"/>
  <c r="AM25" i="63"/>
  <c r="AL25" i="63"/>
  <c r="AK25" i="63"/>
  <c r="AJ25" i="63"/>
  <c r="AI25" i="63"/>
  <c r="AH25" i="63"/>
  <c r="AG25" i="63"/>
  <c r="AF25" i="63"/>
  <c r="AE25" i="63"/>
  <c r="AD25" i="63"/>
  <c r="AC25" i="63"/>
  <c r="AB25" i="63"/>
  <c r="AA25" i="63"/>
  <c r="Z25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BT24" i="63"/>
  <c r="BS24" i="63"/>
  <c r="BR24" i="63"/>
  <c r="BQ24" i="63"/>
  <c r="BP24" i="63"/>
  <c r="BO24" i="63"/>
  <c r="BN24" i="63"/>
  <c r="BM24" i="63"/>
  <c r="BL24" i="63"/>
  <c r="BK24" i="63"/>
  <c r="BJ24" i="63"/>
  <c r="BI24" i="63"/>
  <c r="BH24" i="63"/>
  <c r="BG24" i="63"/>
  <c r="BF24" i="63"/>
  <c r="BE24" i="63"/>
  <c r="BD24" i="63"/>
  <c r="BC24" i="63"/>
  <c r="BB24" i="63"/>
  <c r="BA24" i="63"/>
  <c r="AZ24" i="63"/>
  <c r="AY24" i="63"/>
  <c r="AX24" i="63"/>
  <c r="AV24" i="63"/>
  <c r="AU24" i="63"/>
  <c r="AT24" i="63"/>
  <c r="AW24" i="63" s="1"/>
  <c r="AS24" i="63"/>
  <c r="AR24" i="63"/>
  <c r="AQ24" i="63"/>
  <c r="AP24" i="63"/>
  <c r="AO24" i="63"/>
  <c r="AN24" i="63"/>
  <c r="AM24" i="63"/>
  <c r="AL24" i="63"/>
  <c r="AK24" i="63"/>
  <c r="AJ24" i="63"/>
  <c r="AI24" i="63"/>
  <c r="AH24" i="63"/>
  <c r="AG24" i="63"/>
  <c r="AF24" i="63"/>
  <c r="AE24" i="63"/>
  <c r="AD24" i="63"/>
  <c r="AC24" i="63"/>
  <c r="AB24" i="63"/>
  <c r="AA24" i="63"/>
  <c r="Z24" i="63"/>
  <c r="Y24" i="63"/>
  <c r="X24" i="63"/>
  <c r="W24" i="63"/>
  <c r="V24" i="63"/>
  <c r="U24" i="63"/>
  <c r="T24" i="63"/>
  <c r="S24" i="63"/>
  <c r="R24" i="63"/>
  <c r="Q24" i="63"/>
  <c r="P24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BT23" i="63"/>
  <c r="BS23" i="63"/>
  <c r="BR23" i="63"/>
  <c r="BQ23" i="63"/>
  <c r="BP23" i="63"/>
  <c r="BO23" i="63"/>
  <c r="BN23" i="63"/>
  <c r="BM23" i="63"/>
  <c r="BL23" i="63"/>
  <c r="BK23" i="63"/>
  <c r="BJ23" i="63"/>
  <c r="BI23" i="63"/>
  <c r="BH23" i="63"/>
  <c r="BG23" i="63"/>
  <c r="BF23" i="63"/>
  <c r="BE23" i="63"/>
  <c r="BD23" i="63"/>
  <c r="BC23" i="63"/>
  <c r="BB23" i="63"/>
  <c r="BA23" i="63"/>
  <c r="AZ23" i="63"/>
  <c r="AY23" i="63"/>
  <c r="AX23" i="63"/>
  <c r="AV23" i="63"/>
  <c r="AU23" i="63"/>
  <c r="AT23" i="63"/>
  <c r="AW23" i="63" s="1"/>
  <c r="AS23" i="63"/>
  <c r="AR23" i="63"/>
  <c r="AQ23" i="63"/>
  <c r="AP23" i="63"/>
  <c r="AO23" i="63"/>
  <c r="AN23" i="63"/>
  <c r="AM23" i="63"/>
  <c r="AL23" i="63"/>
  <c r="AK23" i="63"/>
  <c r="AJ23" i="63"/>
  <c r="AI23" i="63"/>
  <c r="AH23" i="63"/>
  <c r="AG23" i="63"/>
  <c r="AF23" i="63"/>
  <c r="AE23" i="63"/>
  <c r="AD23" i="63"/>
  <c r="AC23" i="63"/>
  <c r="AB23" i="63"/>
  <c r="AA23" i="63"/>
  <c r="Z23" i="63"/>
  <c r="Y23" i="63"/>
  <c r="X23" i="63"/>
  <c r="W23" i="63"/>
  <c r="V23" i="63"/>
  <c r="U23" i="63"/>
  <c r="T23" i="63"/>
  <c r="S23" i="63"/>
  <c r="R23" i="63"/>
  <c r="Q23" i="63"/>
  <c r="P23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BT22" i="63"/>
  <c r="BS22" i="63"/>
  <c r="BR22" i="63"/>
  <c r="BQ22" i="63"/>
  <c r="BP22" i="63"/>
  <c r="BO22" i="63"/>
  <c r="BN22" i="63"/>
  <c r="BM22" i="63"/>
  <c r="BL22" i="63"/>
  <c r="BK22" i="63"/>
  <c r="BJ22" i="63"/>
  <c r="BI22" i="63"/>
  <c r="BH22" i="63"/>
  <c r="BG22" i="63"/>
  <c r="BF22" i="63"/>
  <c r="BE22" i="63"/>
  <c r="BD22" i="63"/>
  <c r="BC22" i="63"/>
  <c r="BB22" i="63"/>
  <c r="BA22" i="63"/>
  <c r="AZ22" i="63"/>
  <c r="AY22" i="63"/>
  <c r="AX22" i="63"/>
  <c r="AV22" i="63"/>
  <c r="AU22" i="63"/>
  <c r="AT22" i="63"/>
  <c r="AW22" i="63" s="1"/>
  <c r="AS22" i="63"/>
  <c r="AR22" i="63"/>
  <c r="AQ22" i="63"/>
  <c r="AP22" i="63"/>
  <c r="AO22" i="63"/>
  <c r="AN22" i="63"/>
  <c r="AM22" i="63"/>
  <c r="AL22" i="63"/>
  <c r="AK22" i="63"/>
  <c r="AJ22" i="63"/>
  <c r="AI22" i="63"/>
  <c r="AH22" i="63"/>
  <c r="AG22" i="63"/>
  <c r="AF22" i="63"/>
  <c r="AE22" i="63"/>
  <c r="AD22" i="63"/>
  <c r="AC22" i="63"/>
  <c r="AB22" i="63"/>
  <c r="AA22" i="63"/>
  <c r="Z22" i="63"/>
  <c r="Y22" i="63"/>
  <c r="X22" i="63"/>
  <c r="W22" i="63"/>
  <c r="V22" i="63"/>
  <c r="U22" i="63"/>
  <c r="T22" i="63"/>
  <c r="S22" i="63"/>
  <c r="R22" i="63"/>
  <c r="Q22" i="63"/>
  <c r="P22" i="63"/>
  <c r="O22" i="63"/>
  <c r="N22" i="63"/>
  <c r="M22" i="63"/>
  <c r="L22" i="63"/>
  <c r="K22" i="63"/>
  <c r="J22" i="63"/>
  <c r="I22" i="63"/>
  <c r="H22" i="63"/>
  <c r="G22" i="63"/>
  <c r="F22" i="63"/>
  <c r="E22" i="63"/>
  <c r="D22" i="63"/>
  <c r="C22" i="63"/>
  <c r="BT21" i="63"/>
  <c r="BS21" i="63"/>
  <c r="BR21" i="63"/>
  <c r="BQ21" i="63"/>
  <c r="BP21" i="63"/>
  <c r="BO21" i="63"/>
  <c r="BN21" i="63"/>
  <c r="BM21" i="63"/>
  <c r="BL21" i="63"/>
  <c r="BK21" i="63"/>
  <c r="BJ21" i="63"/>
  <c r="BI21" i="63"/>
  <c r="BH21" i="63"/>
  <c r="BG21" i="63"/>
  <c r="BF21" i="63"/>
  <c r="BE21" i="63"/>
  <c r="BD21" i="63"/>
  <c r="BC21" i="63"/>
  <c r="BB21" i="63"/>
  <c r="BA21" i="63"/>
  <c r="AZ21" i="63"/>
  <c r="AY21" i="63"/>
  <c r="AX21" i="63"/>
  <c r="AV21" i="63"/>
  <c r="AU21" i="63"/>
  <c r="AT21" i="63"/>
  <c r="AW21" i="63" s="1"/>
  <c r="AS21" i="63"/>
  <c r="AR21" i="63"/>
  <c r="AQ21" i="63"/>
  <c r="AP21" i="63"/>
  <c r="AO21" i="63"/>
  <c r="AN21" i="63"/>
  <c r="AM21" i="63"/>
  <c r="AL21" i="63"/>
  <c r="AK21" i="63"/>
  <c r="AJ21" i="63"/>
  <c r="AI21" i="63"/>
  <c r="AH21" i="63"/>
  <c r="AG21" i="63"/>
  <c r="AF21" i="63"/>
  <c r="AE21" i="63"/>
  <c r="AD21" i="63"/>
  <c r="AC21" i="63"/>
  <c r="AB21" i="63"/>
  <c r="AA21" i="63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G21" i="63"/>
  <c r="F21" i="63"/>
  <c r="E21" i="63"/>
  <c r="D21" i="63"/>
  <c r="C21" i="63"/>
  <c r="BT20" i="63"/>
  <c r="BS20" i="63"/>
  <c r="BR20" i="63"/>
  <c r="BQ20" i="63"/>
  <c r="BP20" i="63"/>
  <c r="BO20" i="63"/>
  <c r="BN20" i="63"/>
  <c r="BM20" i="63"/>
  <c r="BL20" i="63"/>
  <c r="BK20" i="63"/>
  <c r="BJ20" i="63"/>
  <c r="BI20" i="63"/>
  <c r="BH20" i="63"/>
  <c r="BG20" i="63"/>
  <c r="BF20" i="63"/>
  <c r="BE20" i="63"/>
  <c r="BD20" i="63"/>
  <c r="BC20" i="63"/>
  <c r="BB20" i="63"/>
  <c r="BA20" i="63"/>
  <c r="AZ20" i="63"/>
  <c r="AY20" i="63"/>
  <c r="AX20" i="63"/>
  <c r="AV20" i="63"/>
  <c r="AU20" i="63"/>
  <c r="AT20" i="63"/>
  <c r="AW20" i="63" s="1"/>
  <c r="AS20" i="63"/>
  <c r="AR20" i="63"/>
  <c r="AQ20" i="63"/>
  <c r="AP20" i="63"/>
  <c r="AO20" i="63"/>
  <c r="AN20" i="63"/>
  <c r="AM20" i="63"/>
  <c r="AL20" i="63"/>
  <c r="AK20" i="63"/>
  <c r="AJ20" i="63"/>
  <c r="AI20" i="63"/>
  <c r="AH20" i="63"/>
  <c r="AG20" i="63"/>
  <c r="AF20" i="63"/>
  <c r="AE20" i="63"/>
  <c r="AD20" i="63"/>
  <c r="AC20" i="63"/>
  <c r="AB20" i="63"/>
  <c r="AA20" i="63"/>
  <c r="Z20" i="63"/>
  <c r="Y20" i="63"/>
  <c r="X20" i="63"/>
  <c r="W20" i="63"/>
  <c r="V20" i="63"/>
  <c r="U20" i="63"/>
  <c r="T20" i="63"/>
  <c r="S20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BT19" i="63"/>
  <c r="BS19" i="63"/>
  <c r="BR19" i="63"/>
  <c r="BQ19" i="63"/>
  <c r="BP19" i="63"/>
  <c r="BO19" i="63"/>
  <c r="BN19" i="63"/>
  <c r="BM19" i="63"/>
  <c r="BL19" i="63"/>
  <c r="BK19" i="63"/>
  <c r="BJ19" i="63"/>
  <c r="BI19" i="63"/>
  <c r="BH19" i="63"/>
  <c r="BG19" i="63"/>
  <c r="BF19" i="63"/>
  <c r="BE19" i="63"/>
  <c r="BD19" i="63"/>
  <c r="BC19" i="63"/>
  <c r="BB19" i="63"/>
  <c r="BA19" i="63"/>
  <c r="AZ19" i="63"/>
  <c r="AY19" i="63"/>
  <c r="AX19" i="63"/>
  <c r="AV19" i="63"/>
  <c r="AU19" i="63"/>
  <c r="AT19" i="63"/>
  <c r="AW19" i="63" s="1"/>
  <c r="AS19" i="63"/>
  <c r="AR19" i="63"/>
  <c r="AQ19" i="63"/>
  <c r="AP19" i="63"/>
  <c r="AO19" i="63"/>
  <c r="AN19" i="63"/>
  <c r="AM19" i="63"/>
  <c r="AL19" i="63"/>
  <c r="AK19" i="63"/>
  <c r="AJ19" i="63"/>
  <c r="AI19" i="63"/>
  <c r="AH19" i="63"/>
  <c r="AG19" i="63"/>
  <c r="AF19" i="63"/>
  <c r="AE19" i="63"/>
  <c r="AD19" i="63"/>
  <c r="AC19" i="63"/>
  <c r="AB19" i="63"/>
  <c r="AA19" i="63"/>
  <c r="Z19" i="63"/>
  <c r="Y19" i="63"/>
  <c r="X19" i="63"/>
  <c r="W19" i="63"/>
  <c r="V19" i="63"/>
  <c r="U19" i="63"/>
  <c r="T19" i="63"/>
  <c r="S19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C19" i="63"/>
  <c r="BT18" i="63"/>
  <c r="BS18" i="63"/>
  <c r="BR18" i="63"/>
  <c r="BQ18" i="63"/>
  <c r="BP18" i="63"/>
  <c r="BO18" i="63"/>
  <c r="BN18" i="63"/>
  <c r="BM18" i="63"/>
  <c r="BL18" i="63"/>
  <c r="BK18" i="63"/>
  <c r="BJ18" i="63"/>
  <c r="BI18" i="63"/>
  <c r="BH18" i="63"/>
  <c r="BG18" i="63"/>
  <c r="BF18" i="63"/>
  <c r="BE18" i="63"/>
  <c r="BD18" i="63"/>
  <c r="BC18" i="63"/>
  <c r="BB18" i="63"/>
  <c r="BA18" i="63"/>
  <c r="AZ18" i="63"/>
  <c r="AY18" i="63"/>
  <c r="AX18" i="63"/>
  <c r="AV18" i="63"/>
  <c r="AU18" i="63"/>
  <c r="AT18" i="63"/>
  <c r="AW18" i="63" s="1"/>
  <c r="AS18" i="63"/>
  <c r="AR18" i="63"/>
  <c r="AQ18" i="63"/>
  <c r="AP18" i="63"/>
  <c r="AO18" i="63"/>
  <c r="AN18" i="63"/>
  <c r="AM18" i="63"/>
  <c r="AL18" i="63"/>
  <c r="AK18" i="63"/>
  <c r="AJ18" i="63"/>
  <c r="AI18" i="63"/>
  <c r="AH18" i="63"/>
  <c r="AG18" i="63"/>
  <c r="AF18" i="63"/>
  <c r="AE18" i="63"/>
  <c r="AD18" i="63"/>
  <c r="AC18" i="63"/>
  <c r="AB18" i="63"/>
  <c r="AA18" i="63"/>
  <c r="Z18" i="63"/>
  <c r="Y18" i="63"/>
  <c r="X18" i="63"/>
  <c r="W18" i="63"/>
  <c r="V18" i="63"/>
  <c r="U18" i="63"/>
  <c r="T18" i="63"/>
  <c r="S18" i="63"/>
  <c r="R18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C18" i="63"/>
  <c r="BT17" i="63"/>
  <c r="BS17" i="63"/>
  <c r="BR17" i="63"/>
  <c r="BQ17" i="63"/>
  <c r="BP17" i="63"/>
  <c r="BO17" i="63"/>
  <c r="BN17" i="63"/>
  <c r="BM17" i="63"/>
  <c r="BL17" i="63"/>
  <c r="BK17" i="63"/>
  <c r="BJ17" i="63"/>
  <c r="BI17" i="63"/>
  <c r="BH17" i="63"/>
  <c r="BG17" i="63"/>
  <c r="BF17" i="63"/>
  <c r="BE17" i="63"/>
  <c r="BD17" i="63"/>
  <c r="BC17" i="63"/>
  <c r="BB17" i="63"/>
  <c r="BA17" i="63"/>
  <c r="AZ17" i="63"/>
  <c r="AY17" i="63"/>
  <c r="AX17" i="63"/>
  <c r="AV17" i="63"/>
  <c r="AU17" i="63"/>
  <c r="AT17" i="63"/>
  <c r="AW17" i="63" s="1"/>
  <c r="AS17" i="63"/>
  <c r="AR17" i="63"/>
  <c r="AQ17" i="63"/>
  <c r="AP17" i="63"/>
  <c r="AO17" i="63"/>
  <c r="AN17" i="63"/>
  <c r="AM17" i="63"/>
  <c r="AL17" i="63"/>
  <c r="AK17" i="63"/>
  <c r="AJ17" i="63"/>
  <c r="AI17" i="63"/>
  <c r="AH17" i="63"/>
  <c r="AG17" i="63"/>
  <c r="AF17" i="63"/>
  <c r="AE17" i="63"/>
  <c r="AD17" i="63"/>
  <c r="AC17" i="63"/>
  <c r="AB17" i="63"/>
  <c r="AA17" i="63"/>
  <c r="Z17" i="63"/>
  <c r="Y17" i="63"/>
  <c r="X17" i="63"/>
  <c r="W17" i="63"/>
  <c r="V17" i="63"/>
  <c r="U17" i="63"/>
  <c r="T17" i="63"/>
  <c r="S17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T16" i="63"/>
  <c r="BS16" i="63"/>
  <c r="BR16" i="63"/>
  <c r="BQ16" i="63"/>
  <c r="BP16" i="63"/>
  <c r="BO16" i="63"/>
  <c r="BN16" i="63"/>
  <c r="BM16" i="63"/>
  <c r="BL16" i="63"/>
  <c r="BK16" i="63"/>
  <c r="BJ16" i="63"/>
  <c r="BI16" i="63"/>
  <c r="BH16" i="63"/>
  <c r="BG16" i="63"/>
  <c r="BF16" i="63"/>
  <c r="BE16" i="63"/>
  <c r="BD16" i="63"/>
  <c r="BC16" i="63"/>
  <c r="BB16" i="63"/>
  <c r="BA16" i="63"/>
  <c r="AZ16" i="63"/>
  <c r="AY16" i="63"/>
  <c r="AX16" i="63"/>
  <c r="AV16" i="63"/>
  <c r="AU16" i="63"/>
  <c r="AT16" i="63"/>
  <c r="AW16" i="63" s="1"/>
  <c r="AS16" i="63"/>
  <c r="AR16" i="63"/>
  <c r="AQ16" i="63"/>
  <c r="AP16" i="63"/>
  <c r="AO16" i="63"/>
  <c r="AN16" i="63"/>
  <c r="AM16" i="63"/>
  <c r="AL16" i="63"/>
  <c r="AK16" i="63"/>
  <c r="AJ16" i="63"/>
  <c r="AI16" i="63"/>
  <c r="AH16" i="63"/>
  <c r="AG16" i="63"/>
  <c r="AF16" i="63"/>
  <c r="AE16" i="63"/>
  <c r="AD16" i="63"/>
  <c r="AC16" i="63"/>
  <c r="AB16" i="63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BT15" i="63"/>
  <c r="BS15" i="63"/>
  <c r="BR15" i="63"/>
  <c r="BQ15" i="63"/>
  <c r="BP15" i="63"/>
  <c r="BO15" i="63"/>
  <c r="BN15" i="63"/>
  <c r="BM15" i="63"/>
  <c r="BL15" i="63"/>
  <c r="BK15" i="63"/>
  <c r="BJ15" i="63"/>
  <c r="BI15" i="63"/>
  <c r="BH15" i="63"/>
  <c r="BG15" i="63"/>
  <c r="BF15" i="63"/>
  <c r="BE15" i="63"/>
  <c r="BD15" i="63"/>
  <c r="BC15" i="63"/>
  <c r="BB15" i="63"/>
  <c r="BA15" i="63"/>
  <c r="AZ15" i="63"/>
  <c r="AY15" i="63"/>
  <c r="AX15" i="63"/>
  <c r="AV15" i="63"/>
  <c r="AU15" i="63"/>
  <c r="AT15" i="63"/>
  <c r="AW15" i="63" s="1"/>
  <c r="AS15" i="63"/>
  <c r="AR15" i="63"/>
  <c r="AQ15" i="63"/>
  <c r="AP15" i="63"/>
  <c r="AO15" i="63"/>
  <c r="AN15" i="63"/>
  <c r="AM15" i="63"/>
  <c r="AL15" i="63"/>
  <c r="AK15" i="63"/>
  <c r="AJ15" i="63"/>
  <c r="AI15" i="63"/>
  <c r="AH15" i="63"/>
  <c r="AG15" i="63"/>
  <c r="AF15" i="63"/>
  <c r="AE15" i="63"/>
  <c r="AD15" i="63"/>
  <c r="AC15" i="63"/>
  <c r="AB15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BT14" i="63"/>
  <c r="BS14" i="63"/>
  <c r="BR14" i="63"/>
  <c r="BQ14" i="63"/>
  <c r="BP14" i="63"/>
  <c r="BO14" i="63"/>
  <c r="BN14" i="63"/>
  <c r="BM14" i="63"/>
  <c r="BL14" i="63"/>
  <c r="BK14" i="63"/>
  <c r="BJ14" i="63"/>
  <c r="BI14" i="63"/>
  <c r="BH14" i="63"/>
  <c r="BG14" i="63"/>
  <c r="BF14" i="63"/>
  <c r="BE14" i="63"/>
  <c r="BD14" i="63"/>
  <c r="BC14" i="63"/>
  <c r="BB14" i="63"/>
  <c r="BA14" i="63"/>
  <c r="AZ14" i="63"/>
  <c r="AY14" i="63"/>
  <c r="AX14" i="63"/>
  <c r="AV14" i="63"/>
  <c r="AU14" i="63"/>
  <c r="AT14" i="63"/>
  <c r="AW14" i="63" s="1"/>
  <c r="AS14" i="63"/>
  <c r="AR14" i="63"/>
  <c r="AQ14" i="63"/>
  <c r="AP14" i="63"/>
  <c r="AO14" i="63"/>
  <c r="AN14" i="63"/>
  <c r="AM14" i="63"/>
  <c r="AL14" i="63"/>
  <c r="AK14" i="63"/>
  <c r="AJ14" i="63"/>
  <c r="AI14" i="63"/>
  <c r="AH14" i="63"/>
  <c r="AG14" i="63"/>
  <c r="AF14" i="63"/>
  <c r="AE14" i="63"/>
  <c r="AD14" i="63"/>
  <c r="AC14" i="63"/>
  <c r="AB14" i="63"/>
  <c r="AA14" i="63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BT13" i="63"/>
  <c r="BS13" i="63"/>
  <c r="BR13" i="63"/>
  <c r="BQ13" i="63"/>
  <c r="BP13" i="63"/>
  <c r="BO13" i="63"/>
  <c r="BN13" i="63"/>
  <c r="BM13" i="63"/>
  <c r="BL13" i="63"/>
  <c r="BK13" i="63"/>
  <c r="BJ13" i="63"/>
  <c r="BI13" i="63"/>
  <c r="BH13" i="63"/>
  <c r="BG13" i="63"/>
  <c r="BF13" i="63"/>
  <c r="BE13" i="63"/>
  <c r="BD13" i="63"/>
  <c r="BC13" i="63"/>
  <c r="BB13" i="63"/>
  <c r="BA13" i="63"/>
  <c r="AZ13" i="63"/>
  <c r="AY13" i="63"/>
  <c r="AX13" i="63"/>
  <c r="AV13" i="63"/>
  <c r="AU13" i="63"/>
  <c r="AT13" i="63"/>
  <c r="AW13" i="63" s="1"/>
  <c r="AS13" i="63"/>
  <c r="AR13" i="63"/>
  <c r="AQ13" i="63"/>
  <c r="AP13" i="63"/>
  <c r="AO13" i="63"/>
  <c r="AN13" i="63"/>
  <c r="AM13" i="63"/>
  <c r="AL13" i="63"/>
  <c r="AK13" i="63"/>
  <c r="AJ13" i="63"/>
  <c r="AI13" i="63"/>
  <c r="AH13" i="63"/>
  <c r="AG13" i="63"/>
  <c r="AF13" i="63"/>
  <c r="AE13" i="63"/>
  <c r="AD13" i="63"/>
  <c r="AC13" i="63"/>
  <c r="AB13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BT12" i="63"/>
  <c r="BS12" i="63"/>
  <c r="BR12" i="63"/>
  <c r="BQ12" i="63"/>
  <c r="BP12" i="63"/>
  <c r="BO12" i="63"/>
  <c r="BN12" i="63"/>
  <c r="BM12" i="63"/>
  <c r="BL12" i="63"/>
  <c r="BK12" i="63"/>
  <c r="BJ12" i="63"/>
  <c r="BI12" i="63"/>
  <c r="BH12" i="63"/>
  <c r="BG12" i="63"/>
  <c r="BF12" i="63"/>
  <c r="BE12" i="63"/>
  <c r="BD12" i="63"/>
  <c r="BC12" i="63"/>
  <c r="BB12" i="63"/>
  <c r="BA12" i="63"/>
  <c r="AZ12" i="63"/>
  <c r="AY12" i="63"/>
  <c r="AX12" i="63"/>
  <c r="AV12" i="63"/>
  <c r="AU12" i="63"/>
  <c r="AT12" i="63"/>
  <c r="AW12" i="63" s="1"/>
  <c r="AS12" i="63"/>
  <c r="AR12" i="63"/>
  <c r="AQ12" i="63"/>
  <c r="AP12" i="63"/>
  <c r="AO12" i="63"/>
  <c r="AN12" i="63"/>
  <c r="AM12" i="63"/>
  <c r="AL12" i="63"/>
  <c r="AK12" i="63"/>
  <c r="AJ12" i="63"/>
  <c r="AI12" i="63"/>
  <c r="AH12" i="63"/>
  <c r="AG12" i="63"/>
  <c r="AF12" i="63"/>
  <c r="AE12" i="63"/>
  <c r="AD12" i="63"/>
  <c r="AC12" i="63"/>
  <c r="AB12" i="63"/>
  <c r="AA12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BT11" i="63"/>
  <c r="BS11" i="63"/>
  <c r="BR11" i="63"/>
  <c r="BQ11" i="63"/>
  <c r="BP11" i="63"/>
  <c r="BO11" i="63"/>
  <c r="BN11" i="63"/>
  <c r="BM11" i="63"/>
  <c r="BL11" i="63"/>
  <c r="BK11" i="63"/>
  <c r="BJ11" i="63"/>
  <c r="BI11" i="63"/>
  <c r="BH11" i="63"/>
  <c r="BG11" i="63"/>
  <c r="BF11" i="63"/>
  <c r="BE11" i="63"/>
  <c r="BD11" i="63"/>
  <c r="BC11" i="63"/>
  <c r="BB11" i="63"/>
  <c r="BA11" i="63"/>
  <c r="AZ11" i="63"/>
  <c r="AY11" i="63"/>
  <c r="AX11" i="63"/>
  <c r="AV11" i="63"/>
  <c r="AU11" i="63"/>
  <c r="AT11" i="63"/>
  <c r="AS11" i="63"/>
  <c r="AR11" i="63"/>
  <c r="AQ11" i="63"/>
  <c r="AP11" i="63"/>
  <c r="AO11" i="63"/>
  <c r="AN11" i="63"/>
  <c r="AM11" i="63"/>
  <c r="AL11" i="63"/>
  <c r="AK11" i="63"/>
  <c r="AJ11" i="63"/>
  <c r="AI11" i="63"/>
  <c r="AH11" i="63"/>
  <c r="AG11" i="63"/>
  <c r="AF11" i="63"/>
  <c r="AE11" i="63"/>
  <c r="AD11" i="63"/>
  <c r="AC11" i="63"/>
  <c r="AB11" i="63"/>
  <c r="AA11" i="63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T10" i="63"/>
  <c r="BS10" i="63"/>
  <c r="BR10" i="63"/>
  <c r="BQ10" i="63"/>
  <c r="BP10" i="63"/>
  <c r="BO10" i="63"/>
  <c r="BN10" i="63"/>
  <c r="BM10" i="63"/>
  <c r="BL10" i="63"/>
  <c r="BK10" i="63"/>
  <c r="BJ10" i="63"/>
  <c r="BI10" i="63"/>
  <c r="BH10" i="63"/>
  <c r="BG10" i="63"/>
  <c r="BF10" i="63"/>
  <c r="BE10" i="63"/>
  <c r="BD10" i="63"/>
  <c r="BC10" i="63"/>
  <c r="BB10" i="63"/>
  <c r="BA10" i="63"/>
  <c r="AZ10" i="63"/>
  <c r="AY10" i="63"/>
  <c r="AX10" i="63"/>
  <c r="AV10" i="63"/>
  <c r="AU10" i="63"/>
  <c r="AT10" i="63"/>
  <c r="AS10" i="63"/>
  <c r="AR10" i="63"/>
  <c r="AQ10" i="63"/>
  <c r="AP10" i="63"/>
  <c r="AO10" i="63"/>
  <c r="AN10" i="63"/>
  <c r="AM10" i="63"/>
  <c r="AL10" i="63"/>
  <c r="AK10" i="63"/>
  <c r="AJ10" i="63"/>
  <c r="AI10" i="63"/>
  <c r="AH10" i="63"/>
  <c r="AG10" i="63"/>
  <c r="AF10" i="63"/>
  <c r="AE10" i="63"/>
  <c r="AD10" i="63"/>
  <c r="AC10" i="63"/>
  <c r="AB10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BT9" i="63"/>
  <c r="BS9" i="63"/>
  <c r="BR9" i="63"/>
  <c r="BQ9" i="63"/>
  <c r="BP9" i="63"/>
  <c r="BO9" i="63"/>
  <c r="BN9" i="63"/>
  <c r="BM9" i="63"/>
  <c r="BL9" i="63"/>
  <c r="BK9" i="63"/>
  <c r="BJ9" i="63"/>
  <c r="BI9" i="63"/>
  <c r="BH9" i="63"/>
  <c r="BG9" i="63"/>
  <c r="BF9" i="63"/>
  <c r="BE9" i="63"/>
  <c r="BD9" i="63"/>
  <c r="BC9" i="63"/>
  <c r="BB9" i="63"/>
  <c r="BA9" i="63"/>
  <c r="AZ9" i="63"/>
  <c r="AY9" i="63"/>
  <c r="AX9" i="63"/>
  <c r="AV9" i="63"/>
  <c r="AU9" i="63"/>
  <c r="AT9" i="63"/>
  <c r="AS9" i="63"/>
  <c r="AR9" i="63"/>
  <c r="AQ9" i="63"/>
  <c r="AP9" i="63"/>
  <c r="AO9" i="63"/>
  <c r="AN9" i="63"/>
  <c r="AM9" i="63"/>
  <c r="AL9" i="63"/>
  <c r="AK9" i="63"/>
  <c r="AJ9" i="63"/>
  <c r="AI9" i="63"/>
  <c r="AH9" i="63"/>
  <c r="AG9" i="63"/>
  <c r="AF9" i="63"/>
  <c r="AE9" i="63"/>
  <c r="AD9" i="63"/>
  <c r="AC9" i="63"/>
  <c r="AB9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D9" i="63"/>
  <c r="C9" i="63"/>
  <c r="BT8" i="63"/>
  <c r="BS8" i="63"/>
  <c r="BR8" i="63"/>
  <c r="BQ8" i="63"/>
  <c r="BP8" i="63"/>
  <c r="BO8" i="63"/>
  <c r="BN8" i="63"/>
  <c r="BM8" i="63"/>
  <c r="BL8" i="63"/>
  <c r="BK8" i="63"/>
  <c r="BJ8" i="63"/>
  <c r="BI8" i="63"/>
  <c r="BH8" i="63"/>
  <c r="BG8" i="63"/>
  <c r="BF8" i="63"/>
  <c r="BE8" i="63"/>
  <c r="BD8" i="63"/>
  <c r="BC8" i="63"/>
  <c r="BB8" i="63"/>
  <c r="BA8" i="63"/>
  <c r="AZ8" i="63"/>
  <c r="AY8" i="63"/>
  <c r="AX8" i="63"/>
  <c r="AV8" i="63"/>
  <c r="AU8" i="63"/>
  <c r="AT8" i="63"/>
  <c r="AS8" i="63"/>
  <c r="AR8" i="63"/>
  <c r="AQ8" i="63"/>
  <c r="AP8" i="63"/>
  <c r="AO8" i="63"/>
  <c r="AN8" i="63"/>
  <c r="AM8" i="63"/>
  <c r="AL8" i="63"/>
  <c r="AK8" i="63"/>
  <c r="AJ8" i="63"/>
  <c r="AI8" i="63"/>
  <c r="AH8" i="63"/>
  <c r="AG8" i="63"/>
  <c r="AF8" i="63"/>
  <c r="AE8" i="63"/>
  <c r="AD8" i="63"/>
  <c r="AC8" i="63"/>
  <c r="AB8" i="63"/>
  <c r="AA8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C8" i="63"/>
  <c r="C7" i="63"/>
  <c r="C20" i="10" s="1"/>
  <c r="BJ33" i="50"/>
  <c r="BJ32" i="50"/>
  <c r="BJ31" i="50"/>
  <c r="BJ30" i="50"/>
  <c r="BJ29" i="50"/>
  <c r="BJ28" i="50"/>
  <c r="BJ27" i="50"/>
  <c r="BJ26" i="50"/>
  <c r="BJ25" i="50"/>
  <c r="BJ24" i="50"/>
  <c r="BJ23" i="50"/>
  <c r="BJ22" i="50"/>
  <c r="BJ21" i="50"/>
  <c r="BJ20" i="50"/>
  <c r="BJ19" i="50"/>
  <c r="BJ18" i="50"/>
  <c r="BJ17" i="50"/>
  <c r="BJ16" i="50"/>
  <c r="BJ15" i="50"/>
  <c r="BJ14" i="50"/>
  <c r="BJ13" i="50"/>
  <c r="BJ12" i="50"/>
  <c r="BJ11" i="50"/>
  <c r="BJ10" i="50"/>
  <c r="BJ9" i="50"/>
  <c r="BJ8" i="50"/>
  <c r="BJ33" i="51"/>
  <c r="BJ32" i="51"/>
  <c r="BJ31" i="51"/>
  <c r="BJ30" i="51"/>
  <c r="BJ29" i="51"/>
  <c r="BJ28" i="51"/>
  <c r="BJ27" i="51"/>
  <c r="BJ26" i="51"/>
  <c r="BJ25" i="51"/>
  <c r="BJ24" i="51"/>
  <c r="BJ23" i="51"/>
  <c r="BJ22" i="51"/>
  <c r="BJ21" i="51"/>
  <c r="BJ20" i="51"/>
  <c r="BJ19" i="51"/>
  <c r="BJ18" i="51"/>
  <c r="BJ17" i="51"/>
  <c r="BJ16" i="51"/>
  <c r="BJ15" i="51"/>
  <c r="BJ14" i="51"/>
  <c r="BJ13" i="51"/>
  <c r="BJ12" i="51"/>
  <c r="BJ11" i="51"/>
  <c r="BJ10" i="51"/>
  <c r="BJ9" i="51"/>
  <c r="BJ8" i="51"/>
  <c r="BJ33" i="52"/>
  <c r="BJ32" i="52"/>
  <c r="BJ31" i="52"/>
  <c r="BJ30" i="52"/>
  <c r="BJ29" i="52"/>
  <c r="BJ28" i="52"/>
  <c r="BJ27" i="52"/>
  <c r="BJ26" i="52"/>
  <c r="BJ25" i="52"/>
  <c r="BJ24" i="52"/>
  <c r="BJ23" i="52"/>
  <c r="BJ22" i="52"/>
  <c r="BJ21" i="52"/>
  <c r="BJ20" i="52"/>
  <c r="BJ19" i="52"/>
  <c r="BJ18" i="52"/>
  <c r="BJ17" i="52"/>
  <c r="BJ16" i="52"/>
  <c r="BJ15" i="52"/>
  <c r="BJ14" i="52"/>
  <c r="BJ13" i="52"/>
  <c r="BJ12" i="52"/>
  <c r="BJ11" i="52"/>
  <c r="BJ10" i="52"/>
  <c r="BJ9" i="52"/>
  <c r="BJ8" i="52"/>
  <c r="BJ33" i="53"/>
  <c r="BJ32" i="53"/>
  <c r="BJ31" i="53"/>
  <c r="BJ30" i="53"/>
  <c r="BJ29" i="53"/>
  <c r="BJ28" i="53"/>
  <c r="BJ27" i="53"/>
  <c r="BJ26" i="53"/>
  <c r="BJ25" i="53"/>
  <c r="BJ24" i="53"/>
  <c r="BJ23" i="53"/>
  <c r="BJ22" i="53"/>
  <c r="BJ21" i="53"/>
  <c r="BJ20" i="53"/>
  <c r="BJ19" i="53"/>
  <c r="BJ18" i="53"/>
  <c r="BJ17" i="53"/>
  <c r="BJ16" i="53"/>
  <c r="BJ15" i="53"/>
  <c r="BJ14" i="53"/>
  <c r="BJ13" i="53"/>
  <c r="BJ12" i="53"/>
  <c r="BJ11" i="53"/>
  <c r="BJ10" i="53"/>
  <c r="BJ9" i="53"/>
  <c r="BJ8" i="53"/>
  <c r="BJ70" i="54"/>
  <c r="BJ69" i="54"/>
  <c r="BJ68" i="54"/>
  <c r="BJ67" i="54"/>
  <c r="BJ66" i="54"/>
  <c r="BJ65" i="54"/>
  <c r="BJ64" i="54"/>
  <c r="BJ63" i="54"/>
  <c r="BJ62" i="54"/>
  <c r="BJ61" i="54"/>
  <c r="BJ60" i="54"/>
  <c r="BJ59" i="54"/>
  <c r="BJ58" i="54"/>
  <c r="BJ57" i="54"/>
  <c r="BJ56" i="54"/>
  <c r="BJ55" i="54"/>
  <c r="BJ54" i="54"/>
  <c r="BJ53" i="54"/>
  <c r="BJ52" i="54"/>
  <c r="BJ51" i="54"/>
  <c r="BJ50" i="54"/>
  <c r="BJ49" i="54"/>
  <c r="BJ48" i="54"/>
  <c r="BJ47" i="54"/>
  <c r="BJ46" i="54"/>
  <c r="BJ45" i="54"/>
  <c r="BJ44" i="54"/>
  <c r="BJ43" i="54"/>
  <c r="BJ42" i="54"/>
  <c r="BJ41" i="54"/>
  <c r="BJ40" i="54"/>
  <c r="BJ39" i="54"/>
  <c r="BJ38" i="54"/>
  <c r="BJ37" i="54"/>
  <c r="BJ36" i="54"/>
  <c r="BJ35" i="54"/>
  <c r="BJ34" i="54"/>
  <c r="BJ33" i="54"/>
  <c r="BJ32" i="54"/>
  <c r="BJ31" i="54"/>
  <c r="BJ30" i="54"/>
  <c r="BJ29" i="54"/>
  <c r="BJ28" i="54"/>
  <c r="BJ27" i="54"/>
  <c r="BJ26" i="54"/>
  <c r="BJ25" i="54"/>
  <c r="BJ24" i="54"/>
  <c r="BJ23" i="54"/>
  <c r="BJ22" i="54"/>
  <c r="BJ21" i="54"/>
  <c r="BJ20" i="54"/>
  <c r="BJ19" i="54"/>
  <c r="BJ18" i="54"/>
  <c r="BJ17" i="54"/>
  <c r="BJ16" i="54"/>
  <c r="BJ15" i="54"/>
  <c r="BJ14" i="54"/>
  <c r="BJ13" i="54"/>
  <c r="BJ12" i="54"/>
  <c r="BJ11" i="54"/>
  <c r="BJ10" i="54"/>
  <c r="BJ9" i="54"/>
  <c r="BJ8" i="54"/>
  <c r="BJ43" i="59"/>
  <c r="BJ42" i="59"/>
  <c r="BJ41" i="59"/>
  <c r="BJ40" i="59"/>
  <c r="BJ39" i="59"/>
  <c r="BJ38" i="59"/>
  <c r="BJ37" i="59"/>
  <c r="BJ36" i="59"/>
  <c r="BJ35" i="59"/>
  <c r="BJ34" i="59"/>
  <c r="BJ33" i="59"/>
  <c r="BJ32" i="59"/>
  <c r="BJ31" i="59"/>
  <c r="BJ30" i="59"/>
  <c r="BJ29" i="59"/>
  <c r="BJ28" i="59"/>
  <c r="BJ27" i="59"/>
  <c r="BJ26" i="59"/>
  <c r="BJ25" i="59"/>
  <c r="BJ24" i="59"/>
  <c r="BJ23" i="59"/>
  <c r="BJ22" i="59"/>
  <c r="BJ21" i="59"/>
  <c r="BJ20" i="59"/>
  <c r="BJ19" i="59"/>
  <c r="BJ18" i="59"/>
  <c r="BJ17" i="59"/>
  <c r="BJ16" i="59"/>
  <c r="BJ15" i="59"/>
  <c r="BJ14" i="59"/>
  <c r="BJ13" i="59"/>
  <c r="BJ12" i="59"/>
  <c r="BJ11" i="59"/>
  <c r="BJ10" i="59"/>
  <c r="BJ9" i="59"/>
  <c r="BJ33" i="55"/>
  <c r="BJ32" i="55"/>
  <c r="BJ31" i="55"/>
  <c r="BJ30" i="55"/>
  <c r="BJ29" i="55"/>
  <c r="BJ28" i="55"/>
  <c r="BJ27" i="55"/>
  <c r="BJ26" i="55"/>
  <c r="BJ25" i="55"/>
  <c r="BJ24" i="55"/>
  <c r="BJ23" i="55"/>
  <c r="BJ22" i="55"/>
  <c r="BJ21" i="55"/>
  <c r="BJ20" i="55"/>
  <c r="BJ19" i="55"/>
  <c r="BJ18" i="55"/>
  <c r="BJ17" i="55"/>
  <c r="BJ16" i="55"/>
  <c r="BJ15" i="55"/>
  <c r="BJ14" i="55"/>
  <c r="BJ13" i="55"/>
  <c r="BJ12" i="55"/>
  <c r="BJ11" i="55"/>
  <c r="BJ10" i="55"/>
  <c r="BJ9" i="55"/>
  <c r="BJ8" i="55"/>
  <c r="BJ33" i="33"/>
  <c r="BJ32" i="33"/>
  <c r="BJ31" i="33"/>
  <c r="BJ30" i="33"/>
  <c r="BJ29" i="33"/>
  <c r="BJ28" i="33"/>
  <c r="BJ27" i="33"/>
  <c r="BJ26" i="33"/>
  <c r="BJ25" i="33"/>
  <c r="BJ24" i="33"/>
  <c r="BJ23" i="33"/>
  <c r="BJ22" i="33"/>
  <c r="BJ21" i="33"/>
  <c r="BJ20" i="33"/>
  <c r="BJ19" i="33"/>
  <c r="BJ18" i="33"/>
  <c r="BJ17" i="33"/>
  <c r="BJ16" i="33"/>
  <c r="BJ15" i="33"/>
  <c r="BJ14" i="33"/>
  <c r="BJ13" i="33"/>
  <c r="BJ12" i="33"/>
  <c r="BJ11" i="33"/>
  <c r="BJ10" i="33"/>
  <c r="BJ9" i="33"/>
  <c r="BJ8" i="33"/>
  <c r="BI33" i="50"/>
  <c r="BI32" i="50"/>
  <c r="BI31" i="50"/>
  <c r="BI30" i="50"/>
  <c r="BI29" i="50"/>
  <c r="BI28" i="50"/>
  <c r="BI27" i="50"/>
  <c r="BI26" i="50"/>
  <c r="BI25" i="50"/>
  <c r="BI24" i="50"/>
  <c r="BI23" i="50"/>
  <c r="BI22" i="50"/>
  <c r="BI21" i="50"/>
  <c r="BI20" i="50"/>
  <c r="BI19" i="50"/>
  <c r="BI18" i="50"/>
  <c r="BI17" i="50"/>
  <c r="BI16" i="50"/>
  <c r="BI15" i="50"/>
  <c r="BI14" i="50"/>
  <c r="BI13" i="50"/>
  <c r="BI12" i="50"/>
  <c r="BI11" i="50"/>
  <c r="BI10" i="50"/>
  <c r="BI9" i="50"/>
  <c r="BI8" i="50"/>
  <c r="BI33" i="51"/>
  <c r="BI32" i="51"/>
  <c r="BI31" i="51"/>
  <c r="BI30" i="51"/>
  <c r="BI29" i="51"/>
  <c r="BI28" i="51"/>
  <c r="BI27" i="51"/>
  <c r="BI26" i="51"/>
  <c r="BI25" i="51"/>
  <c r="BI24" i="51"/>
  <c r="BI23" i="51"/>
  <c r="BI22" i="51"/>
  <c r="BI21" i="51"/>
  <c r="BI20" i="51"/>
  <c r="BI19" i="51"/>
  <c r="BI18" i="51"/>
  <c r="BI17" i="51"/>
  <c r="BI16" i="51"/>
  <c r="BI15" i="51"/>
  <c r="BI14" i="51"/>
  <c r="BI13" i="51"/>
  <c r="BI12" i="51"/>
  <c r="BI11" i="51"/>
  <c r="BI10" i="51"/>
  <c r="BI9" i="51"/>
  <c r="BI8" i="51"/>
  <c r="BI33" i="52"/>
  <c r="BI32" i="52"/>
  <c r="BI31" i="52"/>
  <c r="BI30" i="52"/>
  <c r="BI29" i="52"/>
  <c r="BI28" i="52"/>
  <c r="BI27" i="52"/>
  <c r="BI26" i="52"/>
  <c r="BI25" i="52"/>
  <c r="BI24" i="52"/>
  <c r="BI23" i="52"/>
  <c r="BI22" i="52"/>
  <c r="BI21" i="52"/>
  <c r="BI20" i="52"/>
  <c r="BI19" i="52"/>
  <c r="BI18" i="52"/>
  <c r="BI17" i="52"/>
  <c r="BI16" i="52"/>
  <c r="BI15" i="52"/>
  <c r="BI14" i="52"/>
  <c r="BI13" i="52"/>
  <c r="BI12" i="52"/>
  <c r="BI11" i="52"/>
  <c r="BI10" i="52"/>
  <c r="BI9" i="52"/>
  <c r="BI8" i="52"/>
  <c r="BI33" i="53"/>
  <c r="BI32" i="53"/>
  <c r="BI31" i="53"/>
  <c r="BI30" i="53"/>
  <c r="BI29" i="53"/>
  <c r="BI28" i="53"/>
  <c r="BI27" i="53"/>
  <c r="BI26" i="53"/>
  <c r="BI25" i="53"/>
  <c r="BI24" i="53"/>
  <c r="BI23" i="53"/>
  <c r="BI22" i="53"/>
  <c r="BI21" i="53"/>
  <c r="BI20" i="53"/>
  <c r="BI19" i="53"/>
  <c r="BI18" i="53"/>
  <c r="BI17" i="53"/>
  <c r="BI16" i="53"/>
  <c r="BI15" i="53"/>
  <c r="BI14" i="53"/>
  <c r="BI13" i="53"/>
  <c r="BI12" i="53"/>
  <c r="BI11" i="53"/>
  <c r="BI10" i="53"/>
  <c r="BI9" i="53"/>
  <c r="BI8" i="53"/>
  <c r="BI70" i="54"/>
  <c r="BI69" i="54"/>
  <c r="BI68" i="54"/>
  <c r="BI67" i="54"/>
  <c r="BI66" i="54"/>
  <c r="BI65" i="54"/>
  <c r="BI64" i="54"/>
  <c r="BI63" i="54"/>
  <c r="BI62" i="54"/>
  <c r="BI61" i="54"/>
  <c r="BI60" i="54"/>
  <c r="BI59" i="54"/>
  <c r="BI58" i="54"/>
  <c r="BI57" i="54"/>
  <c r="BI56" i="54"/>
  <c r="BI55" i="54"/>
  <c r="BI54" i="54"/>
  <c r="BI53" i="54"/>
  <c r="BI52" i="54"/>
  <c r="BI51" i="54"/>
  <c r="BI50" i="54"/>
  <c r="BI49" i="54"/>
  <c r="BI48" i="54"/>
  <c r="BI47" i="54"/>
  <c r="BI46" i="54"/>
  <c r="BI45" i="54"/>
  <c r="BI44" i="54"/>
  <c r="BI43" i="54"/>
  <c r="BI42" i="54"/>
  <c r="BI41" i="54"/>
  <c r="BI40" i="54"/>
  <c r="BI39" i="54"/>
  <c r="BI38" i="54"/>
  <c r="BI37" i="54"/>
  <c r="BI36" i="54"/>
  <c r="BI35" i="54"/>
  <c r="BI34" i="54"/>
  <c r="BI33" i="54"/>
  <c r="BI32" i="54"/>
  <c r="BI31" i="54"/>
  <c r="BI30" i="54"/>
  <c r="BI29" i="54"/>
  <c r="BI28" i="54"/>
  <c r="BI27" i="54"/>
  <c r="BI26" i="54"/>
  <c r="BI25" i="54"/>
  <c r="BI24" i="54"/>
  <c r="BI23" i="54"/>
  <c r="BI22" i="54"/>
  <c r="BI21" i="54"/>
  <c r="BI20" i="54"/>
  <c r="BI19" i="54"/>
  <c r="BI18" i="54"/>
  <c r="BI17" i="54"/>
  <c r="BI16" i="54"/>
  <c r="BI15" i="54"/>
  <c r="BI14" i="54"/>
  <c r="BI13" i="54"/>
  <c r="BI12" i="54"/>
  <c r="BI11" i="54"/>
  <c r="BI10" i="54"/>
  <c r="BI9" i="54"/>
  <c r="BI8" i="54"/>
  <c r="BI43" i="59"/>
  <c r="BI42" i="59"/>
  <c r="BI41" i="59"/>
  <c r="BI40" i="59"/>
  <c r="BI39" i="59"/>
  <c r="BI38" i="59"/>
  <c r="BI37" i="59"/>
  <c r="BI36" i="59"/>
  <c r="BI35" i="59"/>
  <c r="BI34" i="59"/>
  <c r="BI33" i="59"/>
  <c r="BI32" i="59"/>
  <c r="BI31" i="59"/>
  <c r="BI30" i="59"/>
  <c r="BI29" i="59"/>
  <c r="BI28" i="59"/>
  <c r="BI27" i="59"/>
  <c r="BI26" i="59"/>
  <c r="BI25" i="59"/>
  <c r="BI24" i="59"/>
  <c r="BI23" i="59"/>
  <c r="BI22" i="59"/>
  <c r="BI21" i="59"/>
  <c r="BI20" i="59"/>
  <c r="BI19" i="59"/>
  <c r="BI18" i="59"/>
  <c r="BI17" i="59"/>
  <c r="BI16" i="59"/>
  <c r="BI15" i="59"/>
  <c r="BI14" i="59"/>
  <c r="BI13" i="59"/>
  <c r="BI12" i="59"/>
  <c r="BI11" i="59"/>
  <c r="BI10" i="59"/>
  <c r="BI9" i="59"/>
  <c r="BI33" i="55"/>
  <c r="BI32" i="55"/>
  <c r="BI31" i="55"/>
  <c r="BI30" i="55"/>
  <c r="BI29" i="55"/>
  <c r="BI28" i="55"/>
  <c r="BI27" i="55"/>
  <c r="BI26" i="55"/>
  <c r="BI25" i="55"/>
  <c r="BI24" i="55"/>
  <c r="BI23" i="55"/>
  <c r="BI22" i="55"/>
  <c r="BI21" i="55"/>
  <c r="BI20" i="55"/>
  <c r="BI19" i="55"/>
  <c r="BI18" i="55"/>
  <c r="BI17" i="55"/>
  <c r="BI16" i="55"/>
  <c r="BI15" i="55"/>
  <c r="BI14" i="55"/>
  <c r="BI13" i="55"/>
  <c r="BI12" i="55"/>
  <c r="BI11" i="55"/>
  <c r="BI10" i="55"/>
  <c r="BI9" i="55"/>
  <c r="BI8" i="55"/>
  <c r="BI33" i="33"/>
  <c r="BI32" i="33"/>
  <c r="BI31" i="33"/>
  <c r="BI30" i="33"/>
  <c r="BI29" i="33"/>
  <c r="BI28" i="33"/>
  <c r="BI27" i="33"/>
  <c r="BI26" i="33"/>
  <c r="BI25" i="33"/>
  <c r="BI24" i="33"/>
  <c r="BI23" i="33"/>
  <c r="BI22" i="33"/>
  <c r="BI21" i="33"/>
  <c r="BI20" i="33"/>
  <c r="BI19" i="33"/>
  <c r="BI18" i="33"/>
  <c r="BI17" i="33"/>
  <c r="BI16" i="33"/>
  <c r="BI15" i="33"/>
  <c r="BI14" i="33"/>
  <c r="BI13" i="33"/>
  <c r="BI12" i="33"/>
  <c r="BI11" i="33"/>
  <c r="BI10" i="33"/>
  <c r="BI9" i="33"/>
  <c r="BI8" i="33"/>
  <c r="BH33" i="50"/>
  <c r="BH32" i="50"/>
  <c r="BH31" i="50"/>
  <c r="BH30" i="50"/>
  <c r="BH29" i="50"/>
  <c r="BH28" i="50"/>
  <c r="BH27" i="50"/>
  <c r="BH26" i="50"/>
  <c r="BH25" i="50"/>
  <c r="BH24" i="50"/>
  <c r="BH23" i="50"/>
  <c r="BH22" i="50"/>
  <c r="BH21" i="50"/>
  <c r="BH20" i="50"/>
  <c r="BH19" i="50"/>
  <c r="BH18" i="50"/>
  <c r="BH17" i="50"/>
  <c r="BH16" i="50"/>
  <c r="BH15" i="50"/>
  <c r="BH14" i="50"/>
  <c r="BH13" i="50"/>
  <c r="BH12" i="50"/>
  <c r="BH11" i="50"/>
  <c r="BH10" i="50"/>
  <c r="BH9" i="50"/>
  <c r="BH8" i="50"/>
  <c r="BH33" i="51"/>
  <c r="BH32" i="51"/>
  <c r="BH31" i="51"/>
  <c r="BH30" i="51"/>
  <c r="BH29" i="51"/>
  <c r="BH28" i="51"/>
  <c r="BH27" i="51"/>
  <c r="BH26" i="51"/>
  <c r="BH25" i="51"/>
  <c r="BH24" i="51"/>
  <c r="BH23" i="51"/>
  <c r="BH22" i="51"/>
  <c r="BH21" i="51"/>
  <c r="BH20" i="51"/>
  <c r="BH19" i="51"/>
  <c r="BH18" i="51"/>
  <c r="BH17" i="51"/>
  <c r="BH16" i="51"/>
  <c r="BH15" i="51"/>
  <c r="BH14" i="51"/>
  <c r="BH13" i="51"/>
  <c r="BH12" i="51"/>
  <c r="BH11" i="51"/>
  <c r="BH10" i="51"/>
  <c r="BH9" i="51"/>
  <c r="BH8" i="51"/>
  <c r="BH33" i="52"/>
  <c r="BH32" i="52"/>
  <c r="BH31" i="52"/>
  <c r="BH30" i="52"/>
  <c r="BH29" i="52"/>
  <c r="BH28" i="52"/>
  <c r="BH27" i="52"/>
  <c r="BH26" i="52"/>
  <c r="BH25" i="52"/>
  <c r="BH24" i="52"/>
  <c r="BH23" i="52"/>
  <c r="BH22" i="52"/>
  <c r="BH21" i="52"/>
  <c r="BH20" i="52"/>
  <c r="BH19" i="52"/>
  <c r="BH18" i="52"/>
  <c r="BH17" i="52"/>
  <c r="BH16" i="52"/>
  <c r="BH15" i="52"/>
  <c r="BH14" i="52"/>
  <c r="BH13" i="52"/>
  <c r="BH12" i="52"/>
  <c r="BH11" i="52"/>
  <c r="BH10" i="52"/>
  <c r="BH9" i="52"/>
  <c r="BH8" i="52"/>
  <c r="BH33" i="53"/>
  <c r="BH32" i="53"/>
  <c r="BH31" i="53"/>
  <c r="BH30" i="53"/>
  <c r="BH29" i="53"/>
  <c r="BH28" i="53"/>
  <c r="BH27" i="53"/>
  <c r="BH26" i="53"/>
  <c r="BH25" i="53"/>
  <c r="BH24" i="53"/>
  <c r="BH23" i="53"/>
  <c r="BH22" i="53"/>
  <c r="BH21" i="53"/>
  <c r="BH20" i="53"/>
  <c r="BH19" i="53"/>
  <c r="BH18" i="53"/>
  <c r="BH17" i="53"/>
  <c r="BH16" i="53"/>
  <c r="BH15" i="53"/>
  <c r="BH14" i="53"/>
  <c r="BH13" i="53"/>
  <c r="BH12" i="53"/>
  <c r="BH11" i="53"/>
  <c r="BH10" i="53"/>
  <c r="BH9" i="53"/>
  <c r="BH8" i="53"/>
  <c r="BH70" i="54"/>
  <c r="BH69" i="54"/>
  <c r="BH68" i="54"/>
  <c r="BH67" i="54"/>
  <c r="BH66" i="54"/>
  <c r="BH65" i="54"/>
  <c r="BH64" i="54"/>
  <c r="BH63" i="54"/>
  <c r="BH62" i="54"/>
  <c r="BH61" i="54"/>
  <c r="BH60" i="54"/>
  <c r="BH59" i="54"/>
  <c r="BH58" i="54"/>
  <c r="BH57" i="54"/>
  <c r="BH56" i="54"/>
  <c r="BH55" i="54"/>
  <c r="BH54" i="54"/>
  <c r="BH53" i="54"/>
  <c r="BH52" i="54"/>
  <c r="BH51" i="54"/>
  <c r="BH50" i="54"/>
  <c r="BH49" i="54"/>
  <c r="BH48" i="54"/>
  <c r="BH47" i="54"/>
  <c r="BH46" i="54"/>
  <c r="BH45" i="54"/>
  <c r="BH44" i="54"/>
  <c r="BH43" i="54"/>
  <c r="BH42" i="54"/>
  <c r="BH41" i="54"/>
  <c r="BH40" i="54"/>
  <c r="BH39" i="54"/>
  <c r="BH38" i="54"/>
  <c r="BH37" i="54"/>
  <c r="BH36" i="54"/>
  <c r="BH35" i="54"/>
  <c r="BH34" i="54"/>
  <c r="BH33" i="54"/>
  <c r="BH32" i="54"/>
  <c r="BH31" i="54"/>
  <c r="BH30" i="54"/>
  <c r="BH29" i="54"/>
  <c r="BH28" i="54"/>
  <c r="BH27" i="54"/>
  <c r="BH26" i="54"/>
  <c r="BH25" i="54"/>
  <c r="BH24" i="54"/>
  <c r="BH23" i="54"/>
  <c r="BH22" i="54"/>
  <c r="BH21" i="54"/>
  <c r="BH20" i="54"/>
  <c r="BH19" i="54"/>
  <c r="BH18" i="54"/>
  <c r="BH17" i="54"/>
  <c r="BH16" i="54"/>
  <c r="BH15" i="54"/>
  <c r="BH14" i="54"/>
  <c r="BH13" i="54"/>
  <c r="BH12" i="54"/>
  <c r="BH11" i="54"/>
  <c r="BH10" i="54"/>
  <c r="BH9" i="54"/>
  <c r="BH8" i="54"/>
  <c r="BH43" i="59"/>
  <c r="BH42" i="59"/>
  <c r="BH41" i="59"/>
  <c r="BH40" i="59"/>
  <c r="BH39" i="59"/>
  <c r="BH38" i="59"/>
  <c r="BH37" i="59"/>
  <c r="BH36" i="59"/>
  <c r="BH35" i="59"/>
  <c r="BH34" i="59"/>
  <c r="BH33" i="59"/>
  <c r="BH32" i="59"/>
  <c r="BH31" i="59"/>
  <c r="BH30" i="59"/>
  <c r="BH29" i="59"/>
  <c r="BH28" i="59"/>
  <c r="BH27" i="59"/>
  <c r="BH26" i="59"/>
  <c r="BH25" i="59"/>
  <c r="BH24" i="59"/>
  <c r="BH23" i="59"/>
  <c r="BH22" i="59"/>
  <c r="BH21" i="59"/>
  <c r="BH20" i="59"/>
  <c r="BH19" i="59"/>
  <c r="BH18" i="59"/>
  <c r="BH17" i="59"/>
  <c r="BH16" i="59"/>
  <c r="BH15" i="59"/>
  <c r="BH14" i="59"/>
  <c r="BH13" i="59"/>
  <c r="BH12" i="59"/>
  <c r="BH11" i="59"/>
  <c r="BH10" i="59"/>
  <c r="BH9" i="59"/>
  <c r="BH33" i="55"/>
  <c r="BH32" i="55"/>
  <c r="BH31" i="55"/>
  <c r="BH30" i="55"/>
  <c r="BH29" i="55"/>
  <c r="BH28" i="55"/>
  <c r="BH27" i="55"/>
  <c r="BH26" i="55"/>
  <c r="BH25" i="55"/>
  <c r="BH24" i="55"/>
  <c r="BH23" i="55"/>
  <c r="BH22" i="55"/>
  <c r="BH21" i="55"/>
  <c r="BH20" i="55"/>
  <c r="BH19" i="55"/>
  <c r="BH18" i="55"/>
  <c r="BH17" i="55"/>
  <c r="BH16" i="55"/>
  <c r="BH15" i="55"/>
  <c r="BH14" i="55"/>
  <c r="BH13" i="55"/>
  <c r="BH12" i="55"/>
  <c r="BH11" i="55"/>
  <c r="BH10" i="55"/>
  <c r="BH9" i="55"/>
  <c r="BH8" i="55"/>
  <c r="BH33" i="33"/>
  <c r="BH32" i="33"/>
  <c r="BH31" i="33"/>
  <c r="BH30" i="33"/>
  <c r="BH29" i="33"/>
  <c r="BH28" i="33"/>
  <c r="BH27" i="33"/>
  <c r="BH26" i="33"/>
  <c r="BH25" i="33"/>
  <c r="BH24" i="33"/>
  <c r="BH23" i="33"/>
  <c r="BH22" i="33"/>
  <c r="BH21" i="33"/>
  <c r="BH20" i="33"/>
  <c r="BH19" i="33"/>
  <c r="BH18" i="33"/>
  <c r="BH17" i="33"/>
  <c r="BH16" i="33"/>
  <c r="BH15" i="33"/>
  <c r="BH14" i="33"/>
  <c r="BH13" i="33"/>
  <c r="BH12" i="33"/>
  <c r="BH11" i="33"/>
  <c r="BH10" i="33"/>
  <c r="BH9" i="33"/>
  <c r="BH8" i="33"/>
  <c r="AR33" i="50"/>
  <c r="AR32" i="50"/>
  <c r="AR31" i="50"/>
  <c r="AR30" i="50"/>
  <c r="AR29" i="50"/>
  <c r="AR28" i="50"/>
  <c r="AR27" i="50"/>
  <c r="AR26" i="50"/>
  <c r="AR25" i="50"/>
  <c r="AR24" i="50"/>
  <c r="AR23" i="50"/>
  <c r="AR22" i="50"/>
  <c r="AR21" i="50"/>
  <c r="AR20" i="50"/>
  <c r="AR19" i="50"/>
  <c r="AR18" i="50"/>
  <c r="AR17" i="50"/>
  <c r="AR16" i="50"/>
  <c r="AR15" i="50"/>
  <c r="AR14" i="50"/>
  <c r="AR13" i="50"/>
  <c r="AR12" i="50"/>
  <c r="AR11" i="50"/>
  <c r="AR10" i="50"/>
  <c r="AR9" i="50"/>
  <c r="AR8" i="50"/>
  <c r="AR33" i="51"/>
  <c r="AR32" i="51"/>
  <c r="AR31" i="51"/>
  <c r="AR30" i="51"/>
  <c r="AR29" i="51"/>
  <c r="AR28" i="51"/>
  <c r="AR27" i="51"/>
  <c r="AR26" i="51"/>
  <c r="AR25" i="51"/>
  <c r="AR24" i="51"/>
  <c r="AR23" i="51"/>
  <c r="AR22" i="51"/>
  <c r="AR21" i="51"/>
  <c r="AR20" i="51"/>
  <c r="AR19" i="51"/>
  <c r="AR18" i="51"/>
  <c r="AR17" i="51"/>
  <c r="AR16" i="51"/>
  <c r="AR15" i="51"/>
  <c r="AR14" i="51"/>
  <c r="AR13" i="51"/>
  <c r="AR12" i="51"/>
  <c r="AR11" i="51"/>
  <c r="AR10" i="51"/>
  <c r="AR9" i="51"/>
  <c r="AR8" i="51"/>
  <c r="AR33" i="52"/>
  <c r="AR32" i="52"/>
  <c r="AR31" i="52"/>
  <c r="AR30" i="52"/>
  <c r="AR29" i="52"/>
  <c r="AR28" i="52"/>
  <c r="AR27" i="52"/>
  <c r="AR26" i="52"/>
  <c r="AR25" i="52"/>
  <c r="AR24" i="52"/>
  <c r="AR23" i="52"/>
  <c r="AR22" i="52"/>
  <c r="AR21" i="52"/>
  <c r="AR20" i="52"/>
  <c r="AR19" i="52"/>
  <c r="AR18" i="52"/>
  <c r="AR17" i="52"/>
  <c r="AR16" i="52"/>
  <c r="AR15" i="52"/>
  <c r="AR14" i="52"/>
  <c r="AR13" i="52"/>
  <c r="AR12" i="52"/>
  <c r="AR11" i="52"/>
  <c r="AR10" i="52"/>
  <c r="AR9" i="52"/>
  <c r="AR8" i="52"/>
  <c r="AR33" i="53"/>
  <c r="AR32" i="53"/>
  <c r="AR31" i="53"/>
  <c r="AR30" i="53"/>
  <c r="AR29" i="53"/>
  <c r="AR28" i="53"/>
  <c r="AR27" i="53"/>
  <c r="AR26" i="53"/>
  <c r="AR25" i="53"/>
  <c r="AR24" i="53"/>
  <c r="AR23" i="53"/>
  <c r="AR22" i="53"/>
  <c r="AR21" i="53"/>
  <c r="AR20" i="53"/>
  <c r="AR19" i="53"/>
  <c r="AR18" i="53"/>
  <c r="AR17" i="53"/>
  <c r="AR16" i="53"/>
  <c r="AR15" i="53"/>
  <c r="AR14" i="53"/>
  <c r="AR13" i="53"/>
  <c r="AR12" i="53"/>
  <c r="AR11" i="53"/>
  <c r="AR10" i="53"/>
  <c r="AR9" i="53"/>
  <c r="AR8" i="53"/>
  <c r="AR70" i="54"/>
  <c r="AR69" i="54"/>
  <c r="AR68" i="54"/>
  <c r="AR67" i="54"/>
  <c r="AR66" i="54"/>
  <c r="AR65" i="54"/>
  <c r="AR64" i="54"/>
  <c r="AR63" i="54"/>
  <c r="AR62" i="54"/>
  <c r="AR61" i="54"/>
  <c r="AR60" i="54"/>
  <c r="AR59" i="54"/>
  <c r="AR58" i="54"/>
  <c r="AR57" i="54"/>
  <c r="AR56" i="54"/>
  <c r="AR55" i="54"/>
  <c r="AR54" i="54"/>
  <c r="AR53" i="54"/>
  <c r="AR52" i="54"/>
  <c r="AR51" i="54"/>
  <c r="AR50" i="54"/>
  <c r="AR49" i="54"/>
  <c r="AR48" i="54"/>
  <c r="AR47" i="54"/>
  <c r="AR46" i="54"/>
  <c r="AR45" i="54"/>
  <c r="AR44" i="54"/>
  <c r="AR43" i="54"/>
  <c r="AR42" i="54"/>
  <c r="AR41" i="54"/>
  <c r="AR40" i="54"/>
  <c r="AR39" i="54"/>
  <c r="AR38" i="54"/>
  <c r="AR37" i="54"/>
  <c r="AR36" i="54"/>
  <c r="AR35" i="54"/>
  <c r="AR34" i="54"/>
  <c r="AR33" i="54"/>
  <c r="AR32" i="54"/>
  <c r="AR31" i="54"/>
  <c r="AR30" i="54"/>
  <c r="AR29" i="54"/>
  <c r="AR28" i="54"/>
  <c r="AR27" i="54"/>
  <c r="AR26" i="54"/>
  <c r="AR25" i="54"/>
  <c r="AR24" i="54"/>
  <c r="AR23" i="54"/>
  <c r="AR22" i="54"/>
  <c r="AR21" i="54"/>
  <c r="AR20" i="54"/>
  <c r="AR19" i="54"/>
  <c r="AR18" i="54"/>
  <c r="AR17" i="54"/>
  <c r="AR16" i="54"/>
  <c r="AR15" i="54"/>
  <c r="AR14" i="54"/>
  <c r="AR13" i="54"/>
  <c r="AR12" i="54"/>
  <c r="AR11" i="54"/>
  <c r="AR10" i="54"/>
  <c r="AR9" i="54"/>
  <c r="AR8" i="54"/>
  <c r="AR43" i="59"/>
  <c r="AR42" i="59"/>
  <c r="AR41" i="59"/>
  <c r="AR40" i="59"/>
  <c r="AR39" i="59"/>
  <c r="AR38" i="59"/>
  <c r="AR37" i="59"/>
  <c r="AR36" i="59"/>
  <c r="AR35" i="59"/>
  <c r="AR34" i="59"/>
  <c r="AR33" i="59"/>
  <c r="AR32" i="59"/>
  <c r="AR31" i="59"/>
  <c r="AR30" i="59"/>
  <c r="AR29" i="59"/>
  <c r="AR28" i="59"/>
  <c r="AR27" i="59"/>
  <c r="AR26" i="59"/>
  <c r="AR25" i="59"/>
  <c r="AR24" i="59"/>
  <c r="AR23" i="59"/>
  <c r="AR22" i="59"/>
  <c r="AR21" i="59"/>
  <c r="AR20" i="59"/>
  <c r="AR19" i="59"/>
  <c r="AR18" i="59"/>
  <c r="AR17" i="59"/>
  <c r="AR16" i="59"/>
  <c r="AR15" i="59"/>
  <c r="AR14" i="59"/>
  <c r="AR13" i="59"/>
  <c r="AR12" i="59"/>
  <c r="AR11" i="59"/>
  <c r="AR10" i="59"/>
  <c r="AR9" i="59"/>
  <c r="AR33" i="55"/>
  <c r="AR32" i="55"/>
  <c r="AR31" i="55"/>
  <c r="AR30" i="55"/>
  <c r="AR29" i="55"/>
  <c r="AR28" i="55"/>
  <c r="AR27" i="55"/>
  <c r="AR26" i="55"/>
  <c r="AR25" i="55"/>
  <c r="AR24" i="55"/>
  <c r="AR23" i="55"/>
  <c r="AR22" i="55"/>
  <c r="AR21" i="55"/>
  <c r="AR20" i="55"/>
  <c r="AR19" i="55"/>
  <c r="AR18" i="55"/>
  <c r="AR17" i="55"/>
  <c r="AR16" i="55"/>
  <c r="AR15" i="55"/>
  <c r="AR14" i="55"/>
  <c r="AR13" i="55"/>
  <c r="AR12" i="55"/>
  <c r="AR11" i="55"/>
  <c r="AR10" i="55"/>
  <c r="AR9" i="55"/>
  <c r="AR8" i="55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Q33" i="50"/>
  <c r="AQ32" i="50"/>
  <c r="AQ31" i="50"/>
  <c r="AQ30" i="50"/>
  <c r="AQ29" i="50"/>
  <c r="AQ28" i="50"/>
  <c r="AQ27" i="50"/>
  <c r="AQ26" i="50"/>
  <c r="AQ25" i="50"/>
  <c r="AQ24" i="50"/>
  <c r="AQ23" i="50"/>
  <c r="AQ22" i="50"/>
  <c r="AQ21" i="50"/>
  <c r="AQ20" i="50"/>
  <c r="AQ19" i="50"/>
  <c r="AQ18" i="50"/>
  <c r="AQ17" i="50"/>
  <c r="AQ16" i="50"/>
  <c r="AQ15" i="50"/>
  <c r="AQ14" i="50"/>
  <c r="AQ13" i="50"/>
  <c r="AQ12" i="50"/>
  <c r="AQ11" i="50"/>
  <c r="AQ10" i="50"/>
  <c r="AQ9" i="50"/>
  <c r="AQ8" i="50"/>
  <c r="AQ33" i="51"/>
  <c r="AQ32" i="51"/>
  <c r="AQ31" i="51"/>
  <c r="AQ30" i="51"/>
  <c r="AQ29" i="51"/>
  <c r="AQ28" i="51"/>
  <c r="AQ27" i="51"/>
  <c r="AQ26" i="51"/>
  <c r="AQ25" i="51"/>
  <c r="AQ24" i="51"/>
  <c r="AQ23" i="51"/>
  <c r="AQ22" i="51"/>
  <c r="AQ21" i="51"/>
  <c r="AQ20" i="51"/>
  <c r="AQ19" i="51"/>
  <c r="AQ18" i="51"/>
  <c r="AQ17" i="51"/>
  <c r="AQ16" i="51"/>
  <c r="AQ15" i="51"/>
  <c r="AQ14" i="51"/>
  <c r="AQ13" i="51"/>
  <c r="AQ12" i="51"/>
  <c r="AQ11" i="51"/>
  <c r="AQ10" i="51"/>
  <c r="AQ9" i="51"/>
  <c r="AQ8" i="51"/>
  <c r="AQ33" i="52"/>
  <c r="AQ32" i="52"/>
  <c r="AQ31" i="52"/>
  <c r="AQ30" i="52"/>
  <c r="AQ29" i="52"/>
  <c r="AQ28" i="52"/>
  <c r="AQ27" i="52"/>
  <c r="AQ26" i="52"/>
  <c r="AQ25" i="52"/>
  <c r="AQ24" i="52"/>
  <c r="AQ23" i="52"/>
  <c r="AQ22" i="52"/>
  <c r="AQ21" i="52"/>
  <c r="AQ20" i="52"/>
  <c r="AQ19" i="52"/>
  <c r="AQ18" i="52"/>
  <c r="AQ17" i="52"/>
  <c r="AQ16" i="52"/>
  <c r="AQ15" i="52"/>
  <c r="AQ14" i="52"/>
  <c r="AQ13" i="52"/>
  <c r="AQ12" i="52"/>
  <c r="AQ11" i="52"/>
  <c r="AQ10" i="52"/>
  <c r="AQ9" i="52"/>
  <c r="AQ8" i="52"/>
  <c r="AQ33" i="53"/>
  <c r="AQ32" i="53"/>
  <c r="AQ31" i="53"/>
  <c r="AQ30" i="53"/>
  <c r="AQ29" i="53"/>
  <c r="AQ28" i="53"/>
  <c r="AQ27" i="53"/>
  <c r="AQ26" i="53"/>
  <c r="AQ25" i="53"/>
  <c r="AQ24" i="53"/>
  <c r="AQ23" i="53"/>
  <c r="AQ22" i="53"/>
  <c r="AQ21" i="53"/>
  <c r="AQ20" i="53"/>
  <c r="AQ19" i="53"/>
  <c r="AQ18" i="53"/>
  <c r="AQ17" i="53"/>
  <c r="AQ16" i="53"/>
  <c r="AQ15" i="53"/>
  <c r="AQ14" i="53"/>
  <c r="AQ13" i="53"/>
  <c r="AQ12" i="53"/>
  <c r="AQ11" i="53"/>
  <c r="AQ10" i="53"/>
  <c r="AQ9" i="53"/>
  <c r="AQ8" i="53"/>
  <c r="AQ70" i="54"/>
  <c r="AQ69" i="54"/>
  <c r="AQ68" i="54"/>
  <c r="AQ67" i="54"/>
  <c r="AQ66" i="54"/>
  <c r="AQ65" i="54"/>
  <c r="AQ64" i="54"/>
  <c r="AQ63" i="54"/>
  <c r="AQ62" i="54"/>
  <c r="AQ61" i="54"/>
  <c r="AQ60" i="54"/>
  <c r="AQ59" i="54"/>
  <c r="AQ58" i="54"/>
  <c r="AQ57" i="54"/>
  <c r="AQ56" i="54"/>
  <c r="AQ55" i="54"/>
  <c r="AQ54" i="54"/>
  <c r="AQ53" i="54"/>
  <c r="AQ52" i="54"/>
  <c r="AQ51" i="54"/>
  <c r="AQ50" i="54"/>
  <c r="AQ49" i="54"/>
  <c r="AQ48" i="54"/>
  <c r="AQ47" i="54"/>
  <c r="AQ46" i="54"/>
  <c r="AQ45" i="54"/>
  <c r="AQ44" i="54"/>
  <c r="AQ43" i="54"/>
  <c r="AQ42" i="54"/>
  <c r="AQ41" i="54"/>
  <c r="AQ40" i="54"/>
  <c r="AQ39" i="54"/>
  <c r="AQ38" i="54"/>
  <c r="AQ37" i="54"/>
  <c r="AQ36" i="54"/>
  <c r="AQ35" i="54"/>
  <c r="AQ34" i="54"/>
  <c r="AQ33" i="54"/>
  <c r="AQ32" i="54"/>
  <c r="AQ31" i="54"/>
  <c r="AQ30" i="54"/>
  <c r="AQ29" i="54"/>
  <c r="AQ28" i="54"/>
  <c r="AQ27" i="54"/>
  <c r="AQ26" i="54"/>
  <c r="AQ25" i="54"/>
  <c r="AQ24" i="54"/>
  <c r="AQ23" i="54"/>
  <c r="AQ22" i="54"/>
  <c r="AQ21" i="54"/>
  <c r="AQ20" i="54"/>
  <c r="AQ19" i="54"/>
  <c r="AQ18" i="54"/>
  <c r="AQ17" i="54"/>
  <c r="AQ16" i="54"/>
  <c r="AQ15" i="54"/>
  <c r="AQ14" i="54"/>
  <c r="AQ13" i="54"/>
  <c r="AQ12" i="54"/>
  <c r="AQ11" i="54"/>
  <c r="AQ10" i="54"/>
  <c r="AQ9" i="54"/>
  <c r="AQ8" i="54"/>
  <c r="AQ43" i="59"/>
  <c r="AQ42" i="59"/>
  <c r="AQ41" i="59"/>
  <c r="AQ40" i="59"/>
  <c r="AQ39" i="59"/>
  <c r="AQ38" i="59"/>
  <c r="AQ37" i="59"/>
  <c r="AQ36" i="59"/>
  <c r="AQ35" i="59"/>
  <c r="AQ34" i="59"/>
  <c r="AQ33" i="59"/>
  <c r="AQ32" i="59"/>
  <c r="AQ31" i="59"/>
  <c r="AQ30" i="59"/>
  <c r="AQ29" i="59"/>
  <c r="AQ28" i="59"/>
  <c r="AQ27" i="59"/>
  <c r="AQ26" i="59"/>
  <c r="AQ25" i="59"/>
  <c r="AQ24" i="59"/>
  <c r="AQ23" i="59"/>
  <c r="AQ22" i="59"/>
  <c r="AQ21" i="59"/>
  <c r="AQ20" i="59"/>
  <c r="AQ19" i="59"/>
  <c r="AQ18" i="59"/>
  <c r="AQ17" i="59"/>
  <c r="AQ16" i="59"/>
  <c r="AQ15" i="59"/>
  <c r="AQ14" i="59"/>
  <c r="AQ13" i="59"/>
  <c r="AQ12" i="59"/>
  <c r="AQ11" i="59"/>
  <c r="AQ10" i="59"/>
  <c r="AQ9" i="59"/>
  <c r="AQ33" i="55"/>
  <c r="AQ32" i="55"/>
  <c r="AQ31" i="55"/>
  <c r="AQ30" i="55"/>
  <c r="AQ29" i="55"/>
  <c r="AQ28" i="55"/>
  <c r="AQ27" i="55"/>
  <c r="AQ26" i="55"/>
  <c r="AQ25" i="55"/>
  <c r="AQ24" i="55"/>
  <c r="AQ23" i="55"/>
  <c r="AQ22" i="55"/>
  <c r="AQ21" i="55"/>
  <c r="AQ20" i="55"/>
  <c r="AQ19" i="55"/>
  <c r="AQ18" i="55"/>
  <c r="AQ17" i="55"/>
  <c r="AQ16" i="55"/>
  <c r="AQ15" i="55"/>
  <c r="AQ14" i="55"/>
  <c r="AQ13" i="55"/>
  <c r="AQ12" i="55"/>
  <c r="AQ11" i="55"/>
  <c r="AQ10" i="55"/>
  <c r="AQ9" i="55"/>
  <c r="AQ8" i="55"/>
  <c r="AQ33" i="33"/>
  <c r="AQ32" i="33"/>
  <c r="AQ31" i="33"/>
  <c r="AQ30" i="33"/>
  <c r="AQ29" i="33"/>
  <c r="AQ28" i="33"/>
  <c r="AQ27" i="33"/>
  <c r="AQ26" i="33"/>
  <c r="AQ25" i="33"/>
  <c r="AQ24" i="33"/>
  <c r="AQ23" i="33"/>
  <c r="AQ22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P33" i="50"/>
  <c r="AP32" i="50"/>
  <c r="AP31" i="50"/>
  <c r="AP30" i="50"/>
  <c r="AP29" i="50"/>
  <c r="AP28" i="50"/>
  <c r="AP27" i="50"/>
  <c r="AP26" i="50"/>
  <c r="AP25" i="50"/>
  <c r="AP24" i="50"/>
  <c r="AP23" i="50"/>
  <c r="AP22" i="50"/>
  <c r="AP21" i="50"/>
  <c r="AP20" i="50"/>
  <c r="AP19" i="50"/>
  <c r="AP18" i="50"/>
  <c r="AP17" i="50"/>
  <c r="AP16" i="50"/>
  <c r="AP15" i="50"/>
  <c r="AP14" i="50"/>
  <c r="AP13" i="50"/>
  <c r="AP12" i="50"/>
  <c r="AP11" i="50"/>
  <c r="AP10" i="50"/>
  <c r="AP9" i="50"/>
  <c r="AP8" i="50"/>
  <c r="AP33" i="51"/>
  <c r="AP32" i="51"/>
  <c r="AP31" i="51"/>
  <c r="AP30" i="51"/>
  <c r="AP29" i="51"/>
  <c r="AP28" i="51"/>
  <c r="AP27" i="51"/>
  <c r="AP26" i="51"/>
  <c r="AP25" i="51"/>
  <c r="AP24" i="51"/>
  <c r="AP23" i="51"/>
  <c r="AP22" i="51"/>
  <c r="AP21" i="51"/>
  <c r="AP20" i="51"/>
  <c r="AP19" i="51"/>
  <c r="AP18" i="51"/>
  <c r="AP17" i="51"/>
  <c r="AP16" i="51"/>
  <c r="AP15" i="51"/>
  <c r="AP14" i="51"/>
  <c r="AP13" i="51"/>
  <c r="AP12" i="51"/>
  <c r="AP11" i="51"/>
  <c r="AP10" i="51"/>
  <c r="AP9" i="51"/>
  <c r="AP8" i="51"/>
  <c r="AP33" i="52"/>
  <c r="AP32" i="52"/>
  <c r="AP31" i="52"/>
  <c r="AP30" i="52"/>
  <c r="AP29" i="52"/>
  <c r="AP28" i="52"/>
  <c r="AP27" i="52"/>
  <c r="AP26" i="52"/>
  <c r="AP25" i="52"/>
  <c r="AP24" i="52"/>
  <c r="AP23" i="52"/>
  <c r="AP22" i="52"/>
  <c r="AP21" i="52"/>
  <c r="AP20" i="52"/>
  <c r="AP19" i="52"/>
  <c r="AP18" i="52"/>
  <c r="AP17" i="52"/>
  <c r="AP16" i="52"/>
  <c r="AP15" i="52"/>
  <c r="AP14" i="52"/>
  <c r="AP13" i="52"/>
  <c r="AP12" i="52"/>
  <c r="AP11" i="52"/>
  <c r="AP10" i="52"/>
  <c r="AP9" i="52"/>
  <c r="AP8" i="52"/>
  <c r="AP33" i="53"/>
  <c r="AP32" i="53"/>
  <c r="AP31" i="53"/>
  <c r="AP30" i="53"/>
  <c r="AP29" i="53"/>
  <c r="AP28" i="53"/>
  <c r="AP27" i="53"/>
  <c r="AP26" i="53"/>
  <c r="AP25" i="53"/>
  <c r="AP24" i="53"/>
  <c r="AP23" i="53"/>
  <c r="AP22" i="53"/>
  <c r="AP21" i="53"/>
  <c r="AP20" i="53"/>
  <c r="AP19" i="53"/>
  <c r="AP18" i="53"/>
  <c r="AP17" i="53"/>
  <c r="AP16" i="53"/>
  <c r="AP15" i="53"/>
  <c r="AP14" i="53"/>
  <c r="AP13" i="53"/>
  <c r="AP12" i="53"/>
  <c r="AP11" i="53"/>
  <c r="AP10" i="53"/>
  <c r="AP9" i="53"/>
  <c r="AP8" i="53"/>
  <c r="AP70" i="54"/>
  <c r="AP69" i="54"/>
  <c r="AP68" i="54"/>
  <c r="AP67" i="54"/>
  <c r="AP66" i="54"/>
  <c r="AP65" i="54"/>
  <c r="AP64" i="54"/>
  <c r="AP63" i="54"/>
  <c r="AP62" i="54"/>
  <c r="AP61" i="54"/>
  <c r="AP60" i="54"/>
  <c r="AP59" i="54"/>
  <c r="AP58" i="54"/>
  <c r="AP57" i="54"/>
  <c r="AP56" i="54"/>
  <c r="AP55" i="54"/>
  <c r="AP54" i="54"/>
  <c r="AP53" i="54"/>
  <c r="AP52" i="54"/>
  <c r="AP51" i="54"/>
  <c r="AP50" i="54"/>
  <c r="AP49" i="54"/>
  <c r="AP48" i="54"/>
  <c r="AP47" i="54"/>
  <c r="AP46" i="54"/>
  <c r="AP45" i="54"/>
  <c r="AP44" i="54"/>
  <c r="AP43" i="54"/>
  <c r="AP42" i="54"/>
  <c r="AP41" i="54"/>
  <c r="AP40" i="54"/>
  <c r="AP39" i="54"/>
  <c r="AP38" i="54"/>
  <c r="AP37" i="54"/>
  <c r="AP36" i="54"/>
  <c r="AP35" i="54"/>
  <c r="AP34" i="54"/>
  <c r="AP33" i="54"/>
  <c r="AP32" i="54"/>
  <c r="AP31" i="54"/>
  <c r="AP30" i="54"/>
  <c r="AP29" i="54"/>
  <c r="AP28" i="54"/>
  <c r="AP27" i="54"/>
  <c r="AP26" i="54"/>
  <c r="AP25" i="54"/>
  <c r="AP24" i="54"/>
  <c r="AP23" i="54"/>
  <c r="AP22" i="54"/>
  <c r="AP21" i="54"/>
  <c r="AP20" i="54"/>
  <c r="AP19" i="54"/>
  <c r="AP18" i="54"/>
  <c r="AP17" i="54"/>
  <c r="AP16" i="54"/>
  <c r="AP15" i="54"/>
  <c r="AP14" i="54"/>
  <c r="AP13" i="54"/>
  <c r="AP12" i="54"/>
  <c r="AP11" i="54"/>
  <c r="AP10" i="54"/>
  <c r="AP9" i="54"/>
  <c r="AP8" i="54"/>
  <c r="AP43" i="59"/>
  <c r="AP42" i="59"/>
  <c r="AP41" i="59"/>
  <c r="AP40" i="59"/>
  <c r="AP39" i="59"/>
  <c r="AP38" i="59"/>
  <c r="AP37" i="59"/>
  <c r="AP36" i="59"/>
  <c r="AP35" i="59"/>
  <c r="AP34" i="59"/>
  <c r="AP33" i="59"/>
  <c r="AP32" i="59"/>
  <c r="AP31" i="59"/>
  <c r="AP30" i="59"/>
  <c r="AP29" i="59"/>
  <c r="AP28" i="59"/>
  <c r="AP27" i="59"/>
  <c r="AP26" i="59"/>
  <c r="AP25" i="59"/>
  <c r="AP24" i="59"/>
  <c r="AP23" i="59"/>
  <c r="AP22" i="59"/>
  <c r="AP21" i="59"/>
  <c r="AP20" i="59"/>
  <c r="AP19" i="59"/>
  <c r="AP18" i="59"/>
  <c r="AP17" i="59"/>
  <c r="AP16" i="59"/>
  <c r="AP15" i="59"/>
  <c r="AP14" i="59"/>
  <c r="AP13" i="59"/>
  <c r="AP12" i="59"/>
  <c r="AP11" i="59"/>
  <c r="AP10" i="59"/>
  <c r="AP9" i="59"/>
  <c r="AP33" i="55"/>
  <c r="AP32" i="55"/>
  <c r="AP31" i="55"/>
  <c r="AP30" i="55"/>
  <c r="AP29" i="55"/>
  <c r="AP28" i="55"/>
  <c r="AP27" i="55"/>
  <c r="AP26" i="55"/>
  <c r="AP25" i="55"/>
  <c r="AP24" i="55"/>
  <c r="AP23" i="55"/>
  <c r="AP22" i="55"/>
  <c r="AP21" i="55"/>
  <c r="AP20" i="55"/>
  <c r="AP19" i="55"/>
  <c r="AP18" i="55"/>
  <c r="AP17" i="55"/>
  <c r="AP16" i="55"/>
  <c r="AP15" i="55"/>
  <c r="AP14" i="55"/>
  <c r="AP13" i="55"/>
  <c r="AP12" i="55"/>
  <c r="AP11" i="55"/>
  <c r="AP10" i="55"/>
  <c r="AP9" i="55"/>
  <c r="AP8" i="55"/>
  <c r="AP33" i="33"/>
  <c r="AP32" i="33"/>
  <c r="AP31" i="33"/>
  <c r="AP30" i="33"/>
  <c r="AP29" i="33"/>
  <c r="AP28" i="33"/>
  <c r="AP27" i="33"/>
  <c r="AP26" i="33"/>
  <c r="AP25" i="33"/>
  <c r="AP24" i="33"/>
  <c r="AP23" i="33"/>
  <c r="AP22" i="33"/>
  <c r="AP21" i="33"/>
  <c r="AP20" i="33"/>
  <c r="AP19" i="33"/>
  <c r="AP18" i="33"/>
  <c r="AP17" i="33"/>
  <c r="AP16" i="33"/>
  <c r="AP15" i="33"/>
  <c r="AP14" i="33"/>
  <c r="AP13" i="33"/>
  <c r="AP12" i="33"/>
  <c r="AP11" i="33"/>
  <c r="AP10" i="33"/>
  <c r="AP9" i="33"/>
  <c r="AP8" i="33"/>
  <c r="AF33" i="50"/>
  <c r="AE33" i="50"/>
  <c r="AF32" i="50"/>
  <c r="AE32" i="50"/>
  <c r="AF31" i="50"/>
  <c r="AE31" i="50"/>
  <c r="AF30" i="50"/>
  <c r="AE30" i="50"/>
  <c r="AF29" i="50"/>
  <c r="AE29" i="50"/>
  <c r="AF28" i="50"/>
  <c r="AE28" i="50"/>
  <c r="AF27" i="50"/>
  <c r="AE27" i="50"/>
  <c r="AF26" i="50"/>
  <c r="AE26" i="50"/>
  <c r="AF25" i="50"/>
  <c r="AE25" i="50"/>
  <c r="AF24" i="50"/>
  <c r="AE24" i="50"/>
  <c r="AF23" i="50"/>
  <c r="AE23" i="50"/>
  <c r="AF22" i="50"/>
  <c r="AE22" i="50"/>
  <c r="AF21" i="50"/>
  <c r="AE21" i="50"/>
  <c r="AF20" i="50"/>
  <c r="AE20" i="50"/>
  <c r="AF19" i="50"/>
  <c r="AE19" i="50"/>
  <c r="AF18" i="50"/>
  <c r="AE18" i="50"/>
  <c r="AF17" i="50"/>
  <c r="AE17" i="50"/>
  <c r="AF16" i="50"/>
  <c r="AE16" i="50"/>
  <c r="AF15" i="50"/>
  <c r="AE15" i="50"/>
  <c r="AF14" i="50"/>
  <c r="AE14" i="50"/>
  <c r="AF13" i="50"/>
  <c r="AE13" i="50"/>
  <c r="AF12" i="50"/>
  <c r="AE12" i="50"/>
  <c r="AF11" i="50"/>
  <c r="AE11" i="50"/>
  <c r="AF10" i="50"/>
  <c r="AE10" i="50"/>
  <c r="AF9" i="50"/>
  <c r="AE9" i="50"/>
  <c r="AF8" i="50"/>
  <c r="AE8" i="50"/>
  <c r="AF33" i="51"/>
  <c r="AE33" i="51"/>
  <c r="AF32" i="51"/>
  <c r="AE32" i="51"/>
  <c r="AF31" i="51"/>
  <c r="AE31" i="51"/>
  <c r="AF30" i="51"/>
  <c r="AE30" i="51"/>
  <c r="AF29" i="51"/>
  <c r="AE29" i="51"/>
  <c r="AF28" i="51"/>
  <c r="AE28" i="51"/>
  <c r="AF27" i="51"/>
  <c r="AE27" i="51"/>
  <c r="AF26" i="51"/>
  <c r="AE26" i="51"/>
  <c r="AF25" i="51"/>
  <c r="AE25" i="51"/>
  <c r="AF24" i="51"/>
  <c r="AE24" i="51"/>
  <c r="AF23" i="51"/>
  <c r="AE23" i="51"/>
  <c r="AF22" i="51"/>
  <c r="AE22" i="51"/>
  <c r="AF21" i="51"/>
  <c r="AE21" i="51"/>
  <c r="AF20" i="51"/>
  <c r="AE20" i="51"/>
  <c r="AF19" i="51"/>
  <c r="AE19" i="51"/>
  <c r="AF18" i="51"/>
  <c r="AE18" i="51"/>
  <c r="AF17" i="51"/>
  <c r="AE17" i="51"/>
  <c r="AF16" i="51"/>
  <c r="AE16" i="51"/>
  <c r="AF15" i="51"/>
  <c r="AE15" i="51"/>
  <c r="AF14" i="51"/>
  <c r="AE14" i="51"/>
  <c r="AF13" i="51"/>
  <c r="AE13" i="51"/>
  <c r="AF12" i="51"/>
  <c r="AE12" i="51"/>
  <c r="AF11" i="51"/>
  <c r="AE11" i="51"/>
  <c r="AF10" i="51"/>
  <c r="AE10" i="51"/>
  <c r="AF9" i="51"/>
  <c r="AE9" i="51"/>
  <c r="AF8" i="51"/>
  <c r="AE8" i="51"/>
  <c r="AF33" i="52"/>
  <c r="AE33" i="52"/>
  <c r="AF32" i="52"/>
  <c r="AE32" i="52"/>
  <c r="AF31" i="52"/>
  <c r="AE31" i="52"/>
  <c r="AF30" i="52"/>
  <c r="AE30" i="52"/>
  <c r="AF29" i="52"/>
  <c r="AE29" i="52"/>
  <c r="AF28" i="52"/>
  <c r="AE28" i="52"/>
  <c r="AF27" i="52"/>
  <c r="AE27" i="52"/>
  <c r="AF26" i="52"/>
  <c r="AE26" i="52"/>
  <c r="AF25" i="52"/>
  <c r="AE25" i="52"/>
  <c r="AF24" i="52"/>
  <c r="AE24" i="52"/>
  <c r="AF23" i="52"/>
  <c r="AE23" i="52"/>
  <c r="AF22" i="52"/>
  <c r="AE22" i="52"/>
  <c r="AF21" i="52"/>
  <c r="AE21" i="52"/>
  <c r="AF20" i="52"/>
  <c r="AE20" i="52"/>
  <c r="AF19" i="52"/>
  <c r="AE19" i="52"/>
  <c r="AF18" i="52"/>
  <c r="AE18" i="52"/>
  <c r="AF17" i="52"/>
  <c r="AE17" i="52"/>
  <c r="AF16" i="52"/>
  <c r="AE16" i="52"/>
  <c r="AF15" i="52"/>
  <c r="AE15" i="52"/>
  <c r="AF14" i="52"/>
  <c r="AE14" i="52"/>
  <c r="AF13" i="52"/>
  <c r="AE13" i="52"/>
  <c r="AF12" i="52"/>
  <c r="AE12" i="52"/>
  <c r="AF11" i="52"/>
  <c r="AE11" i="52"/>
  <c r="AF10" i="52"/>
  <c r="AE10" i="52"/>
  <c r="AF9" i="52"/>
  <c r="AE9" i="52"/>
  <c r="AF8" i="52"/>
  <c r="AE8" i="52"/>
  <c r="AF33" i="53"/>
  <c r="AE33" i="53"/>
  <c r="AF32" i="53"/>
  <c r="AE32" i="53"/>
  <c r="AF31" i="53"/>
  <c r="AE31" i="53"/>
  <c r="AF30" i="53"/>
  <c r="AE30" i="53"/>
  <c r="AF29" i="53"/>
  <c r="AE29" i="53"/>
  <c r="AF28" i="53"/>
  <c r="AE28" i="53"/>
  <c r="AF27" i="53"/>
  <c r="AE27" i="53"/>
  <c r="AF26" i="53"/>
  <c r="AE26" i="53"/>
  <c r="AF25" i="53"/>
  <c r="AE25" i="53"/>
  <c r="AF24" i="53"/>
  <c r="AE24" i="53"/>
  <c r="AF23" i="53"/>
  <c r="AE23" i="53"/>
  <c r="AF22" i="53"/>
  <c r="AE22" i="53"/>
  <c r="AF21" i="53"/>
  <c r="AE21" i="53"/>
  <c r="AF20" i="53"/>
  <c r="AE20" i="53"/>
  <c r="AF19" i="53"/>
  <c r="AE19" i="53"/>
  <c r="AF18" i="53"/>
  <c r="AE18" i="53"/>
  <c r="AF17" i="53"/>
  <c r="AE17" i="53"/>
  <c r="AF16" i="53"/>
  <c r="AE16" i="53"/>
  <c r="AF15" i="53"/>
  <c r="AE15" i="53"/>
  <c r="AF14" i="53"/>
  <c r="AE14" i="53"/>
  <c r="AF13" i="53"/>
  <c r="AE13" i="53"/>
  <c r="AF12" i="53"/>
  <c r="AE12" i="53"/>
  <c r="AF11" i="53"/>
  <c r="AE11" i="53"/>
  <c r="AF10" i="53"/>
  <c r="AE10" i="53"/>
  <c r="AF9" i="53"/>
  <c r="AE9" i="53"/>
  <c r="AF8" i="53"/>
  <c r="AE8" i="53"/>
  <c r="AF70" i="54"/>
  <c r="AE70" i="54"/>
  <c r="AF69" i="54"/>
  <c r="AE69" i="54"/>
  <c r="AF68" i="54"/>
  <c r="AE68" i="54"/>
  <c r="AF67" i="54"/>
  <c r="AE67" i="54"/>
  <c r="AF66" i="54"/>
  <c r="AE66" i="54"/>
  <c r="AF65" i="54"/>
  <c r="AE65" i="54"/>
  <c r="AF64" i="54"/>
  <c r="AE64" i="54"/>
  <c r="AF63" i="54"/>
  <c r="AE63" i="54"/>
  <c r="AF62" i="54"/>
  <c r="AE62" i="54"/>
  <c r="AF61" i="54"/>
  <c r="AE61" i="54"/>
  <c r="AF60" i="54"/>
  <c r="AE60" i="54"/>
  <c r="AF59" i="54"/>
  <c r="AE59" i="54"/>
  <c r="AF58" i="54"/>
  <c r="AE58" i="54"/>
  <c r="AF57" i="54"/>
  <c r="AE57" i="54"/>
  <c r="AF56" i="54"/>
  <c r="AE56" i="54"/>
  <c r="AF55" i="54"/>
  <c r="AE55" i="54"/>
  <c r="AF54" i="54"/>
  <c r="AE54" i="54"/>
  <c r="AF53" i="54"/>
  <c r="AE53" i="54"/>
  <c r="AF52" i="54"/>
  <c r="AE52" i="54"/>
  <c r="AF51" i="54"/>
  <c r="AE51" i="54"/>
  <c r="AF50" i="54"/>
  <c r="AE50" i="54"/>
  <c r="AF49" i="54"/>
  <c r="AE49" i="54"/>
  <c r="AF48" i="54"/>
  <c r="AE48" i="54"/>
  <c r="AF47" i="54"/>
  <c r="AE47" i="54"/>
  <c r="AF46" i="54"/>
  <c r="AE46" i="54"/>
  <c r="AF45" i="54"/>
  <c r="AE45" i="54"/>
  <c r="AF44" i="54"/>
  <c r="AE44" i="54"/>
  <c r="AF43" i="54"/>
  <c r="AE43" i="54"/>
  <c r="AF42" i="54"/>
  <c r="AE42" i="54"/>
  <c r="AF41" i="54"/>
  <c r="AE41" i="54"/>
  <c r="AF40" i="54"/>
  <c r="AE40" i="54"/>
  <c r="AF39" i="54"/>
  <c r="AE39" i="54"/>
  <c r="AF38" i="54"/>
  <c r="AE38" i="54"/>
  <c r="AF37" i="54"/>
  <c r="AE37" i="54"/>
  <c r="AF36" i="54"/>
  <c r="AE36" i="54"/>
  <c r="AF35" i="54"/>
  <c r="AE35" i="54"/>
  <c r="AF34" i="54"/>
  <c r="AE34" i="54"/>
  <c r="AF33" i="54"/>
  <c r="AE33" i="54"/>
  <c r="AF32" i="54"/>
  <c r="AE32" i="54"/>
  <c r="AF31" i="54"/>
  <c r="AE31" i="54"/>
  <c r="AF30" i="54"/>
  <c r="AE30" i="54"/>
  <c r="AF29" i="54"/>
  <c r="AE29" i="54"/>
  <c r="AF28" i="54"/>
  <c r="AE28" i="54"/>
  <c r="AF27" i="54"/>
  <c r="AE27" i="54"/>
  <c r="AF26" i="54"/>
  <c r="AE26" i="54"/>
  <c r="AF25" i="54"/>
  <c r="AE25" i="54"/>
  <c r="AF24" i="54"/>
  <c r="AE24" i="54"/>
  <c r="AF23" i="54"/>
  <c r="AE23" i="54"/>
  <c r="AF22" i="54"/>
  <c r="AE22" i="54"/>
  <c r="AF21" i="54"/>
  <c r="AE21" i="54"/>
  <c r="AF20" i="54"/>
  <c r="AE20" i="54"/>
  <c r="AF19" i="54"/>
  <c r="AE19" i="54"/>
  <c r="AF18" i="54"/>
  <c r="AE18" i="54"/>
  <c r="AF17" i="54"/>
  <c r="AE17" i="54"/>
  <c r="AF16" i="54"/>
  <c r="AE16" i="54"/>
  <c r="AF15" i="54"/>
  <c r="AE15" i="54"/>
  <c r="AF14" i="54"/>
  <c r="AE14" i="54"/>
  <c r="AF13" i="54"/>
  <c r="AE13" i="54"/>
  <c r="AF12" i="54"/>
  <c r="AE12" i="54"/>
  <c r="AF11" i="54"/>
  <c r="AE11" i="54"/>
  <c r="AF10" i="54"/>
  <c r="AE10" i="54"/>
  <c r="AF9" i="54"/>
  <c r="AE9" i="54"/>
  <c r="AF8" i="54"/>
  <c r="AE8" i="54"/>
  <c r="AF43" i="59"/>
  <c r="AE43" i="59"/>
  <c r="AF42" i="59"/>
  <c r="AE42" i="59"/>
  <c r="AF41" i="59"/>
  <c r="AE41" i="59"/>
  <c r="AF40" i="59"/>
  <c r="AE40" i="59"/>
  <c r="AF39" i="59"/>
  <c r="AE39" i="59"/>
  <c r="AF38" i="59"/>
  <c r="AE38" i="59"/>
  <c r="AF37" i="59"/>
  <c r="AE37" i="59"/>
  <c r="AF36" i="59"/>
  <c r="AE36" i="59"/>
  <c r="AF35" i="59"/>
  <c r="AE35" i="59"/>
  <c r="AF34" i="59"/>
  <c r="AE34" i="59"/>
  <c r="AF33" i="59"/>
  <c r="AE33" i="59"/>
  <c r="AF32" i="59"/>
  <c r="AE32" i="59"/>
  <c r="AF31" i="59"/>
  <c r="AE31" i="59"/>
  <c r="AF30" i="59"/>
  <c r="AE30" i="59"/>
  <c r="AF29" i="59"/>
  <c r="AE29" i="59"/>
  <c r="AF28" i="59"/>
  <c r="AE28" i="59"/>
  <c r="AF27" i="59"/>
  <c r="AE27" i="59"/>
  <c r="AF26" i="59"/>
  <c r="AE26" i="59"/>
  <c r="AF25" i="59"/>
  <c r="AE25" i="59"/>
  <c r="AF24" i="59"/>
  <c r="AE24" i="59"/>
  <c r="AF23" i="59"/>
  <c r="AE23" i="59"/>
  <c r="AF22" i="59"/>
  <c r="AE22" i="59"/>
  <c r="AF21" i="59"/>
  <c r="AE21" i="59"/>
  <c r="AF20" i="59"/>
  <c r="AE20" i="59"/>
  <c r="AF19" i="59"/>
  <c r="AE19" i="59"/>
  <c r="AF18" i="59"/>
  <c r="AE18" i="59"/>
  <c r="AF17" i="59"/>
  <c r="AE17" i="59"/>
  <c r="AF16" i="59"/>
  <c r="AE16" i="59"/>
  <c r="AF15" i="59"/>
  <c r="AE15" i="59"/>
  <c r="AF14" i="59"/>
  <c r="AE14" i="59"/>
  <c r="AF13" i="59"/>
  <c r="AE13" i="59"/>
  <c r="AF12" i="59"/>
  <c r="AE12" i="59"/>
  <c r="AF11" i="59"/>
  <c r="AE11" i="59"/>
  <c r="AF10" i="59"/>
  <c r="AE10" i="59"/>
  <c r="AF9" i="59"/>
  <c r="AE9" i="59"/>
  <c r="AF33" i="55"/>
  <c r="AE33" i="55"/>
  <c r="AF32" i="55"/>
  <c r="AE32" i="55"/>
  <c r="AF31" i="55"/>
  <c r="AE31" i="55"/>
  <c r="AF30" i="55"/>
  <c r="AE30" i="55"/>
  <c r="AF29" i="55"/>
  <c r="AE29" i="55"/>
  <c r="AF28" i="55"/>
  <c r="AE28" i="55"/>
  <c r="AF27" i="55"/>
  <c r="AE27" i="55"/>
  <c r="AF26" i="55"/>
  <c r="AE26" i="55"/>
  <c r="AF25" i="55"/>
  <c r="AE25" i="55"/>
  <c r="AF24" i="55"/>
  <c r="AE24" i="55"/>
  <c r="AF23" i="55"/>
  <c r="AE23" i="55"/>
  <c r="AF22" i="55"/>
  <c r="AE22" i="55"/>
  <c r="AF21" i="55"/>
  <c r="AE21" i="55"/>
  <c r="AF20" i="55"/>
  <c r="AE20" i="55"/>
  <c r="AF19" i="55"/>
  <c r="AE19" i="55"/>
  <c r="AF18" i="55"/>
  <c r="AE18" i="55"/>
  <c r="AF17" i="55"/>
  <c r="AE17" i="55"/>
  <c r="AF16" i="55"/>
  <c r="AE16" i="55"/>
  <c r="AF15" i="55"/>
  <c r="AE15" i="55"/>
  <c r="AF14" i="55"/>
  <c r="AE14" i="55"/>
  <c r="AF13" i="55"/>
  <c r="AE13" i="55"/>
  <c r="AF12" i="55"/>
  <c r="AE12" i="55"/>
  <c r="AF11" i="55"/>
  <c r="AE11" i="55"/>
  <c r="AF10" i="55"/>
  <c r="AE10" i="55"/>
  <c r="AF9" i="55"/>
  <c r="AE9" i="55"/>
  <c r="AF8" i="55"/>
  <c r="AE8" i="55"/>
  <c r="AF33" i="33"/>
  <c r="AE33" i="33"/>
  <c r="AF32" i="33"/>
  <c r="AE32" i="33"/>
  <c r="AF31" i="33"/>
  <c r="AE31" i="33"/>
  <c r="AF30" i="33"/>
  <c r="AE30" i="33"/>
  <c r="AF29" i="33"/>
  <c r="AE29" i="33"/>
  <c r="AF28" i="33"/>
  <c r="AE28" i="33"/>
  <c r="AF27" i="33"/>
  <c r="AE27" i="33"/>
  <c r="AF26" i="33"/>
  <c r="AE26" i="33"/>
  <c r="AF25" i="33"/>
  <c r="AE25" i="33"/>
  <c r="AF24" i="33"/>
  <c r="AE24" i="33"/>
  <c r="AF23" i="33"/>
  <c r="AE23" i="33"/>
  <c r="AF22" i="33"/>
  <c r="AE22" i="33"/>
  <c r="AF21" i="33"/>
  <c r="AE21" i="33"/>
  <c r="AF20" i="33"/>
  <c r="AE20" i="33"/>
  <c r="AF19" i="33"/>
  <c r="AE19" i="33"/>
  <c r="AF18" i="33"/>
  <c r="AE18" i="33"/>
  <c r="AF17" i="33"/>
  <c r="AE17" i="33"/>
  <c r="AF16" i="33"/>
  <c r="AE16" i="33"/>
  <c r="AF15" i="33"/>
  <c r="AE15" i="33"/>
  <c r="AF14" i="33"/>
  <c r="AE14" i="33"/>
  <c r="AF13" i="33"/>
  <c r="AE13" i="33"/>
  <c r="AF12" i="33"/>
  <c r="AE12" i="33"/>
  <c r="AF11" i="33"/>
  <c r="AE11" i="33"/>
  <c r="AF10" i="33"/>
  <c r="AE10" i="33"/>
  <c r="AF9" i="33"/>
  <c r="AE9" i="33"/>
  <c r="AF8" i="33"/>
  <c r="AE8" i="33"/>
  <c r="AD33" i="50"/>
  <c r="AC33" i="50"/>
  <c r="AD32" i="50"/>
  <c r="AC32" i="50"/>
  <c r="AD31" i="50"/>
  <c r="AC31" i="50"/>
  <c r="AD30" i="50"/>
  <c r="AC30" i="50"/>
  <c r="AD29" i="50"/>
  <c r="AC29" i="50"/>
  <c r="AD28" i="50"/>
  <c r="AC28" i="50"/>
  <c r="AD27" i="50"/>
  <c r="AC27" i="50"/>
  <c r="AD26" i="50"/>
  <c r="AC26" i="50"/>
  <c r="AD25" i="50"/>
  <c r="AC25" i="50"/>
  <c r="AD24" i="50"/>
  <c r="AC24" i="50"/>
  <c r="AD23" i="50"/>
  <c r="AC23" i="50"/>
  <c r="AD22" i="50"/>
  <c r="AC22" i="50"/>
  <c r="AD21" i="50"/>
  <c r="AC21" i="50"/>
  <c r="AD20" i="50"/>
  <c r="AC20" i="50"/>
  <c r="AD19" i="50"/>
  <c r="AC19" i="50"/>
  <c r="AD18" i="50"/>
  <c r="AC18" i="50"/>
  <c r="AD17" i="50"/>
  <c r="AC17" i="50"/>
  <c r="AD16" i="50"/>
  <c r="AC16" i="50"/>
  <c r="AD15" i="50"/>
  <c r="AC15" i="50"/>
  <c r="AD14" i="50"/>
  <c r="AC14" i="50"/>
  <c r="AD13" i="50"/>
  <c r="AC13" i="50"/>
  <c r="AD12" i="50"/>
  <c r="AC12" i="50"/>
  <c r="AD11" i="50"/>
  <c r="AC11" i="50"/>
  <c r="AD10" i="50"/>
  <c r="AC10" i="50"/>
  <c r="AD9" i="50"/>
  <c r="AC9" i="50"/>
  <c r="AD8" i="50"/>
  <c r="AC8" i="50"/>
  <c r="AD33" i="51"/>
  <c r="AC33" i="51"/>
  <c r="AD32" i="51"/>
  <c r="AC32" i="51"/>
  <c r="AD31" i="51"/>
  <c r="AC31" i="51"/>
  <c r="AD30" i="51"/>
  <c r="AC30" i="51"/>
  <c r="AD29" i="51"/>
  <c r="AC29" i="51"/>
  <c r="AD28" i="51"/>
  <c r="AC28" i="51"/>
  <c r="AD27" i="51"/>
  <c r="AC27" i="51"/>
  <c r="AD26" i="51"/>
  <c r="AC26" i="51"/>
  <c r="AD25" i="51"/>
  <c r="AC25" i="51"/>
  <c r="AD24" i="51"/>
  <c r="AC24" i="51"/>
  <c r="AD23" i="51"/>
  <c r="AC23" i="51"/>
  <c r="AD22" i="51"/>
  <c r="AC22" i="51"/>
  <c r="AD21" i="51"/>
  <c r="AC21" i="51"/>
  <c r="AD20" i="51"/>
  <c r="AC20" i="51"/>
  <c r="AD19" i="51"/>
  <c r="AC19" i="51"/>
  <c r="AD18" i="51"/>
  <c r="AC18" i="51"/>
  <c r="AD17" i="51"/>
  <c r="AC17" i="51"/>
  <c r="AD16" i="51"/>
  <c r="AC16" i="51"/>
  <c r="AD15" i="51"/>
  <c r="AC15" i="51"/>
  <c r="AD14" i="51"/>
  <c r="AC14" i="51"/>
  <c r="AD13" i="51"/>
  <c r="AC13" i="51"/>
  <c r="AD12" i="51"/>
  <c r="AC12" i="51"/>
  <c r="AD11" i="51"/>
  <c r="AC11" i="51"/>
  <c r="AD10" i="51"/>
  <c r="AC10" i="51"/>
  <c r="AD9" i="51"/>
  <c r="AC9" i="51"/>
  <c r="AD8" i="51"/>
  <c r="AC8" i="51"/>
  <c r="AD33" i="52"/>
  <c r="AC33" i="52"/>
  <c r="AD32" i="52"/>
  <c r="AC32" i="52"/>
  <c r="AD31" i="52"/>
  <c r="AC31" i="52"/>
  <c r="AD30" i="52"/>
  <c r="AC30" i="52"/>
  <c r="AD29" i="52"/>
  <c r="AC29" i="52"/>
  <c r="AD28" i="52"/>
  <c r="AC28" i="52"/>
  <c r="AD27" i="52"/>
  <c r="AC27" i="52"/>
  <c r="AD26" i="52"/>
  <c r="AC26" i="52"/>
  <c r="AD25" i="52"/>
  <c r="AC25" i="52"/>
  <c r="AD24" i="52"/>
  <c r="AC24" i="52"/>
  <c r="AD23" i="52"/>
  <c r="AC23" i="52"/>
  <c r="AD22" i="52"/>
  <c r="AC22" i="52"/>
  <c r="AD21" i="52"/>
  <c r="AC21" i="52"/>
  <c r="AD20" i="52"/>
  <c r="AC20" i="52"/>
  <c r="AD19" i="52"/>
  <c r="AC19" i="52"/>
  <c r="AD18" i="52"/>
  <c r="AC18" i="52"/>
  <c r="AD17" i="52"/>
  <c r="AC17" i="52"/>
  <c r="AD16" i="52"/>
  <c r="AC16" i="52"/>
  <c r="AD15" i="52"/>
  <c r="AC15" i="52"/>
  <c r="AD14" i="52"/>
  <c r="AC14" i="52"/>
  <c r="AD13" i="52"/>
  <c r="AC13" i="52"/>
  <c r="AD12" i="52"/>
  <c r="AC12" i="52"/>
  <c r="AD11" i="52"/>
  <c r="AC11" i="52"/>
  <c r="AD10" i="52"/>
  <c r="AC10" i="52"/>
  <c r="AD9" i="52"/>
  <c r="AC9" i="52"/>
  <c r="AD8" i="52"/>
  <c r="AC8" i="52"/>
  <c r="AD33" i="53"/>
  <c r="AC33" i="53"/>
  <c r="AD32" i="53"/>
  <c r="AC32" i="53"/>
  <c r="AD31" i="53"/>
  <c r="AC31" i="53"/>
  <c r="AD30" i="53"/>
  <c r="AC30" i="53"/>
  <c r="AD29" i="53"/>
  <c r="AC29" i="53"/>
  <c r="AD28" i="53"/>
  <c r="AC28" i="53"/>
  <c r="AD27" i="53"/>
  <c r="AC27" i="53"/>
  <c r="AD26" i="53"/>
  <c r="AC26" i="53"/>
  <c r="AD25" i="53"/>
  <c r="AC25" i="53"/>
  <c r="AD24" i="53"/>
  <c r="AC24" i="53"/>
  <c r="AD23" i="53"/>
  <c r="AC23" i="53"/>
  <c r="AD22" i="53"/>
  <c r="AC22" i="53"/>
  <c r="AD21" i="53"/>
  <c r="AC21" i="53"/>
  <c r="AD20" i="53"/>
  <c r="AC20" i="53"/>
  <c r="AD19" i="53"/>
  <c r="AC19" i="53"/>
  <c r="AD18" i="53"/>
  <c r="AC18" i="53"/>
  <c r="AD17" i="53"/>
  <c r="AC17" i="53"/>
  <c r="AD16" i="53"/>
  <c r="AC16" i="53"/>
  <c r="AD15" i="53"/>
  <c r="AC15" i="53"/>
  <c r="AD14" i="53"/>
  <c r="AC14" i="53"/>
  <c r="AD13" i="53"/>
  <c r="AC13" i="53"/>
  <c r="AD12" i="53"/>
  <c r="AC12" i="53"/>
  <c r="AD11" i="53"/>
  <c r="AC11" i="53"/>
  <c r="AD10" i="53"/>
  <c r="AC10" i="53"/>
  <c r="AD9" i="53"/>
  <c r="AC9" i="53"/>
  <c r="AD8" i="53"/>
  <c r="AC8" i="53"/>
  <c r="AD70" i="54"/>
  <c r="AC70" i="54"/>
  <c r="AD69" i="54"/>
  <c r="AC69" i="54"/>
  <c r="AD68" i="54"/>
  <c r="AC68" i="54"/>
  <c r="AD67" i="54"/>
  <c r="AC67" i="54"/>
  <c r="AD66" i="54"/>
  <c r="AC66" i="54"/>
  <c r="AD65" i="54"/>
  <c r="AC65" i="54"/>
  <c r="AD64" i="54"/>
  <c r="AC64" i="54"/>
  <c r="AD63" i="54"/>
  <c r="AC63" i="54"/>
  <c r="AD62" i="54"/>
  <c r="AC62" i="54"/>
  <c r="AD61" i="54"/>
  <c r="AC61" i="54"/>
  <c r="AD60" i="54"/>
  <c r="AC60" i="54"/>
  <c r="AD59" i="54"/>
  <c r="AC59" i="54"/>
  <c r="AD58" i="54"/>
  <c r="AC58" i="54"/>
  <c r="AD57" i="54"/>
  <c r="AC57" i="54"/>
  <c r="AD56" i="54"/>
  <c r="AC56" i="54"/>
  <c r="AD55" i="54"/>
  <c r="AC55" i="54"/>
  <c r="AD54" i="54"/>
  <c r="AC54" i="54"/>
  <c r="AD53" i="54"/>
  <c r="AC53" i="54"/>
  <c r="AD52" i="54"/>
  <c r="AC52" i="54"/>
  <c r="AD51" i="54"/>
  <c r="AC51" i="54"/>
  <c r="AD50" i="54"/>
  <c r="AC50" i="54"/>
  <c r="AD49" i="54"/>
  <c r="AC49" i="54"/>
  <c r="AD48" i="54"/>
  <c r="AC48" i="54"/>
  <c r="AD47" i="54"/>
  <c r="AC47" i="54"/>
  <c r="AD46" i="54"/>
  <c r="AC46" i="54"/>
  <c r="AD45" i="54"/>
  <c r="AC45" i="54"/>
  <c r="AD44" i="54"/>
  <c r="AC44" i="54"/>
  <c r="AD43" i="54"/>
  <c r="AC43" i="54"/>
  <c r="AD42" i="54"/>
  <c r="AC42" i="54"/>
  <c r="AD41" i="54"/>
  <c r="AC41" i="54"/>
  <c r="AD40" i="54"/>
  <c r="AC40" i="54"/>
  <c r="AD39" i="54"/>
  <c r="AC39" i="54"/>
  <c r="AD38" i="54"/>
  <c r="AC38" i="54"/>
  <c r="AD37" i="54"/>
  <c r="AC37" i="54"/>
  <c r="AD36" i="54"/>
  <c r="AC36" i="54"/>
  <c r="AD35" i="54"/>
  <c r="AC35" i="54"/>
  <c r="AD34" i="54"/>
  <c r="AC34" i="54"/>
  <c r="AD33" i="54"/>
  <c r="AC33" i="54"/>
  <c r="AD32" i="54"/>
  <c r="AC32" i="54"/>
  <c r="AD31" i="54"/>
  <c r="AC31" i="54"/>
  <c r="AD30" i="54"/>
  <c r="AC30" i="54"/>
  <c r="AD29" i="54"/>
  <c r="AC29" i="54"/>
  <c r="AD28" i="54"/>
  <c r="AC28" i="54"/>
  <c r="AD27" i="54"/>
  <c r="AC27" i="54"/>
  <c r="AD26" i="54"/>
  <c r="AC26" i="54"/>
  <c r="AD25" i="54"/>
  <c r="AC25" i="54"/>
  <c r="AD24" i="54"/>
  <c r="AC24" i="54"/>
  <c r="AD23" i="54"/>
  <c r="AC23" i="54"/>
  <c r="AD22" i="54"/>
  <c r="AC22" i="54"/>
  <c r="AD21" i="54"/>
  <c r="AC21" i="54"/>
  <c r="AD20" i="54"/>
  <c r="AC20" i="54"/>
  <c r="AD19" i="54"/>
  <c r="AC19" i="54"/>
  <c r="AD18" i="54"/>
  <c r="AC18" i="54"/>
  <c r="AD17" i="54"/>
  <c r="AC17" i="54"/>
  <c r="AD16" i="54"/>
  <c r="AC16" i="54"/>
  <c r="AD15" i="54"/>
  <c r="AC15" i="54"/>
  <c r="AD14" i="54"/>
  <c r="AC14" i="54"/>
  <c r="AD13" i="54"/>
  <c r="AC13" i="54"/>
  <c r="AD12" i="54"/>
  <c r="AC12" i="54"/>
  <c r="AD11" i="54"/>
  <c r="AC11" i="54"/>
  <c r="AD10" i="54"/>
  <c r="AC10" i="54"/>
  <c r="AD9" i="54"/>
  <c r="AC9" i="54"/>
  <c r="AD8" i="54"/>
  <c r="AC8" i="54"/>
  <c r="AD43" i="59"/>
  <c r="AC43" i="59"/>
  <c r="AD42" i="59"/>
  <c r="AC42" i="59"/>
  <c r="AD41" i="59"/>
  <c r="AC41" i="59"/>
  <c r="AD40" i="59"/>
  <c r="AC40" i="59"/>
  <c r="AD39" i="59"/>
  <c r="AC39" i="59"/>
  <c r="AD38" i="59"/>
  <c r="AC38" i="59"/>
  <c r="AD37" i="59"/>
  <c r="AC37" i="59"/>
  <c r="AD36" i="59"/>
  <c r="AC36" i="59"/>
  <c r="AD35" i="59"/>
  <c r="AC35" i="59"/>
  <c r="AD34" i="59"/>
  <c r="AC34" i="59"/>
  <c r="AD33" i="59"/>
  <c r="AC33" i="59"/>
  <c r="AD32" i="59"/>
  <c r="AC32" i="59"/>
  <c r="AD31" i="59"/>
  <c r="AC31" i="59"/>
  <c r="AD30" i="59"/>
  <c r="AC30" i="59"/>
  <c r="AD29" i="59"/>
  <c r="AC29" i="59"/>
  <c r="AD28" i="59"/>
  <c r="AC28" i="59"/>
  <c r="AD27" i="59"/>
  <c r="AC27" i="59"/>
  <c r="AD26" i="59"/>
  <c r="AC26" i="59"/>
  <c r="AD25" i="59"/>
  <c r="AC25" i="59"/>
  <c r="AD24" i="59"/>
  <c r="AC24" i="59"/>
  <c r="AD23" i="59"/>
  <c r="AC23" i="59"/>
  <c r="AD22" i="59"/>
  <c r="AC22" i="59"/>
  <c r="AD21" i="59"/>
  <c r="AC21" i="59"/>
  <c r="AD20" i="59"/>
  <c r="AC20" i="59"/>
  <c r="AD19" i="59"/>
  <c r="AC19" i="59"/>
  <c r="AD18" i="59"/>
  <c r="AC18" i="59"/>
  <c r="AD17" i="59"/>
  <c r="AC17" i="59"/>
  <c r="AD16" i="59"/>
  <c r="AC16" i="59"/>
  <c r="AD15" i="59"/>
  <c r="AC15" i="59"/>
  <c r="AD14" i="59"/>
  <c r="AC14" i="59"/>
  <c r="AD13" i="59"/>
  <c r="AC13" i="59"/>
  <c r="AD12" i="59"/>
  <c r="AC12" i="59"/>
  <c r="AD11" i="59"/>
  <c r="AC11" i="59"/>
  <c r="AD10" i="59"/>
  <c r="AC10" i="59"/>
  <c r="AD9" i="59"/>
  <c r="AC9" i="59"/>
  <c r="AD33" i="55"/>
  <c r="AC33" i="55"/>
  <c r="AD32" i="55"/>
  <c r="AC32" i="55"/>
  <c r="AD31" i="55"/>
  <c r="AC31" i="55"/>
  <c r="AD30" i="55"/>
  <c r="AC30" i="55"/>
  <c r="AD29" i="55"/>
  <c r="AC29" i="55"/>
  <c r="AD28" i="55"/>
  <c r="AC28" i="55"/>
  <c r="AD27" i="55"/>
  <c r="AC27" i="55"/>
  <c r="AD26" i="55"/>
  <c r="AC26" i="55"/>
  <c r="AD25" i="55"/>
  <c r="AC25" i="55"/>
  <c r="AD24" i="55"/>
  <c r="AC24" i="55"/>
  <c r="AD23" i="55"/>
  <c r="AC23" i="55"/>
  <c r="AD22" i="55"/>
  <c r="AC22" i="55"/>
  <c r="AD21" i="55"/>
  <c r="AC21" i="55"/>
  <c r="AD20" i="55"/>
  <c r="AC20" i="55"/>
  <c r="AD19" i="55"/>
  <c r="AC19" i="55"/>
  <c r="AD18" i="55"/>
  <c r="AC18" i="55"/>
  <c r="AD17" i="55"/>
  <c r="AC17" i="55"/>
  <c r="AD16" i="55"/>
  <c r="AC16" i="55"/>
  <c r="AD15" i="55"/>
  <c r="AC15" i="55"/>
  <c r="AD14" i="55"/>
  <c r="AC14" i="55"/>
  <c r="AD13" i="55"/>
  <c r="AC13" i="55"/>
  <c r="AD12" i="55"/>
  <c r="AC12" i="55"/>
  <c r="AD11" i="55"/>
  <c r="AC11" i="55"/>
  <c r="AD10" i="55"/>
  <c r="AC10" i="55"/>
  <c r="AD9" i="55"/>
  <c r="AC9" i="55"/>
  <c r="AD8" i="55"/>
  <c r="AC8" i="55"/>
  <c r="AD33" i="33"/>
  <c r="AC33" i="33"/>
  <c r="AD32" i="33"/>
  <c r="AC32" i="33"/>
  <c r="AD31" i="33"/>
  <c r="AC31" i="33"/>
  <c r="AD30" i="33"/>
  <c r="AC30" i="33"/>
  <c r="AD29" i="33"/>
  <c r="AC29" i="33"/>
  <c r="AD28" i="33"/>
  <c r="AC28" i="33"/>
  <c r="AD27" i="33"/>
  <c r="AC27" i="33"/>
  <c r="AD26" i="33"/>
  <c r="AC26" i="33"/>
  <c r="AD25" i="33"/>
  <c r="AC25" i="33"/>
  <c r="AD24" i="33"/>
  <c r="AC24" i="33"/>
  <c r="AD23" i="33"/>
  <c r="AC23" i="33"/>
  <c r="AD22" i="33"/>
  <c r="AC22" i="33"/>
  <c r="AD21" i="33"/>
  <c r="AC21" i="33"/>
  <c r="AD20" i="33"/>
  <c r="AC20" i="33"/>
  <c r="AD19" i="33"/>
  <c r="AC19" i="33"/>
  <c r="AD18" i="33"/>
  <c r="AC18" i="33"/>
  <c r="AD17" i="33"/>
  <c r="AC17" i="33"/>
  <c r="AD16" i="33"/>
  <c r="AC16" i="33"/>
  <c r="AD15" i="33"/>
  <c r="AC15" i="33"/>
  <c r="AD14" i="33"/>
  <c r="AC14" i="33"/>
  <c r="AD13" i="33"/>
  <c r="AC13" i="33"/>
  <c r="AD12" i="33"/>
  <c r="AC12" i="33"/>
  <c r="AD11" i="33"/>
  <c r="AC11" i="33"/>
  <c r="AD10" i="33"/>
  <c r="AC10" i="33"/>
  <c r="AD9" i="33"/>
  <c r="AC9" i="33"/>
  <c r="AD8" i="33"/>
  <c r="AC8" i="33"/>
  <c r="AB33" i="50"/>
  <c r="AA33" i="50"/>
  <c r="AB32" i="50"/>
  <c r="AA32" i="50"/>
  <c r="AB31" i="50"/>
  <c r="AA31" i="50"/>
  <c r="AB30" i="50"/>
  <c r="AA30" i="50"/>
  <c r="AB29" i="50"/>
  <c r="AA29" i="50"/>
  <c r="AB28" i="50"/>
  <c r="AA28" i="50"/>
  <c r="AB27" i="50"/>
  <c r="AA27" i="50"/>
  <c r="AB26" i="50"/>
  <c r="AA26" i="50"/>
  <c r="AB25" i="50"/>
  <c r="AA25" i="50"/>
  <c r="AB24" i="50"/>
  <c r="AA24" i="50"/>
  <c r="AB23" i="50"/>
  <c r="AA23" i="50"/>
  <c r="AB22" i="50"/>
  <c r="AA22" i="50"/>
  <c r="AB21" i="50"/>
  <c r="AA21" i="50"/>
  <c r="AB20" i="50"/>
  <c r="AA20" i="50"/>
  <c r="AB19" i="50"/>
  <c r="AA19" i="50"/>
  <c r="AB18" i="50"/>
  <c r="AA18" i="50"/>
  <c r="AB17" i="50"/>
  <c r="AA17" i="50"/>
  <c r="AB16" i="50"/>
  <c r="AA16" i="50"/>
  <c r="AB15" i="50"/>
  <c r="AA15" i="50"/>
  <c r="AB14" i="50"/>
  <c r="AA14" i="50"/>
  <c r="AB13" i="50"/>
  <c r="AA13" i="50"/>
  <c r="AB12" i="50"/>
  <c r="AA12" i="50"/>
  <c r="AB11" i="50"/>
  <c r="AA11" i="50"/>
  <c r="AB10" i="50"/>
  <c r="AA10" i="50"/>
  <c r="AB9" i="50"/>
  <c r="AA9" i="50"/>
  <c r="AB8" i="50"/>
  <c r="AA8" i="50"/>
  <c r="AB33" i="51"/>
  <c r="AA33" i="51"/>
  <c r="AB32" i="51"/>
  <c r="AA32" i="51"/>
  <c r="AB31" i="51"/>
  <c r="AA31" i="51"/>
  <c r="AB30" i="51"/>
  <c r="AA30" i="51"/>
  <c r="AB29" i="51"/>
  <c r="AA29" i="51"/>
  <c r="AB28" i="51"/>
  <c r="AA28" i="51"/>
  <c r="AB27" i="51"/>
  <c r="AA27" i="51"/>
  <c r="AB26" i="51"/>
  <c r="AA26" i="51"/>
  <c r="AB25" i="51"/>
  <c r="AA25" i="51"/>
  <c r="AB24" i="51"/>
  <c r="AA24" i="51"/>
  <c r="AB23" i="51"/>
  <c r="AA23" i="51"/>
  <c r="AB22" i="51"/>
  <c r="AA22" i="51"/>
  <c r="AB21" i="51"/>
  <c r="AA21" i="51"/>
  <c r="AB20" i="51"/>
  <c r="AA20" i="51"/>
  <c r="AB19" i="51"/>
  <c r="AA19" i="51"/>
  <c r="AB18" i="51"/>
  <c r="AA18" i="51"/>
  <c r="AB17" i="51"/>
  <c r="AA17" i="51"/>
  <c r="AB16" i="51"/>
  <c r="AA16" i="51"/>
  <c r="AB15" i="51"/>
  <c r="AA15" i="51"/>
  <c r="AB14" i="51"/>
  <c r="AA14" i="51"/>
  <c r="AB13" i="51"/>
  <c r="AA13" i="51"/>
  <c r="AB12" i="51"/>
  <c r="AA12" i="51"/>
  <c r="AB11" i="51"/>
  <c r="AA11" i="51"/>
  <c r="AB10" i="51"/>
  <c r="AA10" i="51"/>
  <c r="AB9" i="51"/>
  <c r="AA9" i="51"/>
  <c r="AB8" i="51"/>
  <c r="AA8" i="51"/>
  <c r="AB33" i="52"/>
  <c r="AA33" i="52"/>
  <c r="AB32" i="52"/>
  <c r="AA32" i="52"/>
  <c r="AB31" i="52"/>
  <c r="AA31" i="52"/>
  <c r="AB30" i="52"/>
  <c r="AA30" i="52"/>
  <c r="AB29" i="52"/>
  <c r="AA29" i="52"/>
  <c r="AB28" i="52"/>
  <c r="AA28" i="52"/>
  <c r="AB27" i="52"/>
  <c r="AA27" i="52"/>
  <c r="AB26" i="52"/>
  <c r="AA26" i="52"/>
  <c r="AB25" i="52"/>
  <c r="AA25" i="52"/>
  <c r="AB24" i="52"/>
  <c r="AA24" i="52"/>
  <c r="AB23" i="52"/>
  <c r="AA23" i="52"/>
  <c r="AB22" i="52"/>
  <c r="AA22" i="52"/>
  <c r="AB21" i="52"/>
  <c r="AA21" i="52"/>
  <c r="AB20" i="52"/>
  <c r="AA20" i="52"/>
  <c r="AB19" i="52"/>
  <c r="AA19" i="52"/>
  <c r="AB18" i="52"/>
  <c r="AA18" i="52"/>
  <c r="AB17" i="52"/>
  <c r="AA17" i="52"/>
  <c r="AB16" i="52"/>
  <c r="AA16" i="52"/>
  <c r="AB15" i="52"/>
  <c r="AA15" i="52"/>
  <c r="AB14" i="52"/>
  <c r="AA14" i="52"/>
  <c r="AB13" i="52"/>
  <c r="AA13" i="52"/>
  <c r="AB12" i="52"/>
  <c r="AA12" i="52"/>
  <c r="AB11" i="52"/>
  <c r="AA11" i="52"/>
  <c r="AB10" i="52"/>
  <c r="AA10" i="52"/>
  <c r="AB9" i="52"/>
  <c r="AA9" i="52"/>
  <c r="AB8" i="52"/>
  <c r="AA8" i="52"/>
  <c r="AB33" i="53"/>
  <c r="AA33" i="53"/>
  <c r="AB32" i="53"/>
  <c r="AA32" i="53"/>
  <c r="AB31" i="53"/>
  <c r="AA31" i="53"/>
  <c r="AB30" i="53"/>
  <c r="AA30" i="53"/>
  <c r="AB29" i="53"/>
  <c r="AA29" i="53"/>
  <c r="AB28" i="53"/>
  <c r="AA28" i="53"/>
  <c r="AB27" i="53"/>
  <c r="AA27" i="53"/>
  <c r="AB26" i="53"/>
  <c r="AA26" i="53"/>
  <c r="AB25" i="53"/>
  <c r="AA25" i="53"/>
  <c r="AB24" i="53"/>
  <c r="AA24" i="53"/>
  <c r="AB23" i="53"/>
  <c r="AA23" i="53"/>
  <c r="AB22" i="53"/>
  <c r="AA22" i="53"/>
  <c r="AB21" i="53"/>
  <c r="AA21" i="53"/>
  <c r="AB20" i="53"/>
  <c r="AA20" i="53"/>
  <c r="AB19" i="53"/>
  <c r="AA19" i="53"/>
  <c r="AB18" i="53"/>
  <c r="AA18" i="53"/>
  <c r="AB17" i="53"/>
  <c r="AA17" i="53"/>
  <c r="AB16" i="53"/>
  <c r="AA16" i="53"/>
  <c r="AB15" i="53"/>
  <c r="AA15" i="53"/>
  <c r="AB14" i="53"/>
  <c r="AA14" i="53"/>
  <c r="AB13" i="53"/>
  <c r="AA13" i="53"/>
  <c r="AB12" i="53"/>
  <c r="AA12" i="53"/>
  <c r="AB11" i="53"/>
  <c r="AA11" i="53"/>
  <c r="AB10" i="53"/>
  <c r="AA10" i="53"/>
  <c r="AB9" i="53"/>
  <c r="AA9" i="53"/>
  <c r="AB8" i="53"/>
  <c r="AA8" i="53"/>
  <c r="AB70" i="54"/>
  <c r="AA70" i="54"/>
  <c r="AB69" i="54"/>
  <c r="AA69" i="54"/>
  <c r="AB68" i="54"/>
  <c r="AA68" i="54"/>
  <c r="AB67" i="54"/>
  <c r="AA67" i="54"/>
  <c r="AB66" i="54"/>
  <c r="AA66" i="54"/>
  <c r="AB65" i="54"/>
  <c r="AA65" i="54"/>
  <c r="AB64" i="54"/>
  <c r="AA64" i="54"/>
  <c r="AB63" i="54"/>
  <c r="AA63" i="54"/>
  <c r="AB62" i="54"/>
  <c r="AA62" i="54"/>
  <c r="AB61" i="54"/>
  <c r="AA61" i="54"/>
  <c r="AB60" i="54"/>
  <c r="AA60" i="54"/>
  <c r="AB59" i="54"/>
  <c r="AA59" i="54"/>
  <c r="AB58" i="54"/>
  <c r="AA58" i="54"/>
  <c r="AB57" i="54"/>
  <c r="AA57" i="54"/>
  <c r="AB56" i="54"/>
  <c r="AA56" i="54"/>
  <c r="AB55" i="54"/>
  <c r="AA55" i="54"/>
  <c r="AB54" i="54"/>
  <c r="AA54" i="54"/>
  <c r="AB53" i="54"/>
  <c r="AA53" i="54"/>
  <c r="AB52" i="54"/>
  <c r="AA52" i="54"/>
  <c r="AB51" i="54"/>
  <c r="AA51" i="54"/>
  <c r="AB50" i="54"/>
  <c r="AA50" i="54"/>
  <c r="AB49" i="54"/>
  <c r="AA49" i="54"/>
  <c r="AB48" i="54"/>
  <c r="AA48" i="54"/>
  <c r="AB47" i="54"/>
  <c r="AA47" i="54"/>
  <c r="AB46" i="54"/>
  <c r="AA46" i="54"/>
  <c r="AB45" i="54"/>
  <c r="AA45" i="54"/>
  <c r="AB44" i="54"/>
  <c r="AA44" i="54"/>
  <c r="AB43" i="54"/>
  <c r="AA43" i="54"/>
  <c r="AB42" i="54"/>
  <c r="AA42" i="54"/>
  <c r="AB41" i="54"/>
  <c r="AA41" i="54"/>
  <c r="AB40" i="54"/>
  <c r="AA40" i="54"/>
  <c r="AB39" i="54"/>
  <c r="AA39" i="54"/>
  <c r="AB38" i="54"/>
  <c r="AA38" i="54"/>
  <c r="AB37" i="54"/>
  <c r="AA37" i="54"/>
  <c r="AB36" i="54"/>
  <c r="AA36" i="54"/>
  <c r="AB35" i="54"/>
  <c r="AA35" i="54"/>
  <c r="AB34" i="54"/>
  <c r="AA34" i="54"/>
  <c r="AB33" i="54"/>
  <c r="AA33" i="54"/>
  <c r="AB32" i="54"/>
  <c r="AA32" i="54"/>
  <c r="AB31" i="54"/>
  <c r="AA31" i="54"/>
  <c r="AB30" i="54"/>
  <c r="AA30" i="54"/>
  <c r="AB29" i="54"/>
  <c r="AA29" i="54"/>
  <c r="AB28" i="54"/>
  <c r="AA28" i="54"/>
  <c r="AB27" i="54"/>
  <c r="AA27" i="54"/>
  <c r="AB26" i="54"/>
  <c r="AA26" i="54"/>
  <c r="AB25" i="54"/>
  <c r="AA25" i="54"/>
  <c r="AB24" i="54"/>
  <c r="AA24" i="54"/>
  <c r="AB23" i="54"/>
  <c r="AA23" i="54"/>
  <c r="AB22" i="54"/>
  <c r="AA22" i="54"/>
  <c r="AB21" i="54"/>
  <c r="AA21" i="54"/>
  <c r="AB20" i="54"/>
  <c r="AA20" i="54"/>
  <c r="AB19" i="54"/>
  <c r="AA19" i="54"/>
  <c r="AB18" i="54"/>
  <c r="AA18" i="54"/>
  <c r="AB17" i="54"/>
  <c r="AA17" i="54"/>
  <c r="AB16" i="54"/>
  <c r="AA16" i="54"/>
  <c r="AB15" i="54"/>
  <c r="AA15" i="54"/>
  <c r="AB14" i="54"/>
  <c r="AA14" i="54"/>
  <c r="AB13" i="54"/>
  <c r="AA13" i="54"/>
  <c r="AB12" i="54"/>
  <c r="AA12" i="54"/>
  <c r="AB11" i="54"/>
  <c r="AA11" i="54"/>
  <c r="AB10" i="54"/>
  <c r="AA10" i="54"/>
  <c r="AB9" i="54"/>
  <c r="AA9" i="54"/>
  <c r="AB8" i="54"/>
  <c r="AA8" i="54"/>
  <c r="AB43" i="59"/>
  <c r="AA43" i="59"/>
  <c r="AB42" i="59"/>
  <c r="AA42" i="59"/>
  <c r="AB41" i="59"/>
  <c r="AA41" i="59"/>
  <c r="AB40" i="59"/>
  <c r="AA40" i="59"/>
  <c r="AB39" i="59"/>
  <c r="AA39" i="59"/>
  <c r="AB38" i="59"/>
  <c r="AA38" i="59"/>
  <c r="AB37" i="59"/>
  <c r="AA37" i="59"/>
  <c r="AB36" i="59"/>
  <c r="AA36" i="59"/>
  <c r="AB35" i="59"/>
  <c r="AA35" i="59"/>
  <c r="AB34" i="59"/>
  <c r="AA34" i="59"/>
  <c r="AB33" i="59"/>
  <c r="AA33" i="59"/>
  <c r="AB32" i="59"/>
  <c r="AA32" i="59"/>
  <c r="AB31" i="59"/>
  <c r="AA31" i="59"/>
  <c r="AB30" i="59"/>
  <c r="AA30" i="59"/>
  <c r="AB29" i="59"/>
  <c r="AA29" i="59"/>
  <c r="AB28" i="59"/>
  <c r="AA28" i="59"/>
  <c r="AB27" i="59"/>
  <c r="AA27" i="59"/>
  <c r="AB26" i="59"/>
  <c r="AA26" i="59"/>
  <c r="AB25" i="59"/>
  <c r="AA25" i="59"/>
  <c r="AB24" i="59"/>
  <c r="AA24" i="59"/>
  <c r="AB23" i="59"/>
  <c r="AA23" i="59"/>
  <c r="AB22" i="59"/>
  <c r="AA22" i="59"/>
  <c r="AB21" i="59"/>
  <c r="AA21" i="59"/>
  <c r="AB20" i="59"/>
  <c r="AA20" i="59"/>
  <c r="AB19" i="59"/>
  <c r="AA19" i="59"/>
  <c r="AB18" i="59"/>
  <c r="AA18" i="59"/>
  <c r="AB17" i="59"/>
  <c r="AA17" i="59"/>
  <c r="AB16" i="59"/>
  <c r="AA16" i="59"/>
  <c r="AB15" i="59"/>
  <c r="AA15" i="59"/>
  <c r="AB14" i="59"/>
  <c r="AA14" i="59"/>
  <c r="AB13" i="59"/>
  <c r="AA13" i="59"/>
  <c r="AB12" i="59"/>
  <c r="AA12" i="59"/>
  <c r="AB11" i="59"/>
  <c r="AA11" i="59"/>
  <c r="AB10" i="59"/>
  <c r="AA10" i="59"/>
  <c r="AB9" i="59"/>
  <c r="AA9" i="59"/>
  <c r="AB33" i="55"/>
  <c r="AA33" i="55"/>
  <c r="AB32" i="55"/>
  <c r="AA32" i="55"/>
  <c r="AB31" i="55"/>
  <c r="AA31" i="55"/>
  <c r="AB30" i="55"/>
  <c r="AA30" i="55"/>
  <c r="AB29" i="55"/>
  <c r="AA29" i="55"/>
  <c r="AB28" i="55"/>
  <c r="AA28" i="55"/>
  <c r="AB27" i="55"/>
  <c r="AA27" i="55"/>
  <c r="AB26" i="55"/>
  <c r="AA26" i="55"/>
  <c r="AB25" i="55"/>
  <c r="AA25" i="55"/>
  <c r="AB24" i="55"/>
  <c r="AA24" i="55"/>
  <c r="AB23" i="55"/>
  <c r="AA23" i="55"/>
  <c r="AB22" i="55"/>
  <c r="AA22" i="55"/>
  <c r="AB21" i="55"/>
  <c r="AA21" i="55"/>
  <c r="AB20" i="55"/>
  <c r="AA20" i="55"/>
  <c r="AB19" i="55"/>
  <c r="AA19" i="55"/>
  <c r="AB18" i="55"/>
  <c r="AA18" i="55"/>
  <c r="AB17" i="55"/>
  <c r="AA17" i="55"/>
  <c r="AB16" i="55"/>
  <c r="AA16" i="55"/>
  <c r="AB15" i="55"/>
  <c r="AA15" i="55"/>
  <c r="AB14" i="55"/>
  <c r="AA14" i="55"/>
  <c r="AB13" i="55"/>
  <c r="AA13" i="55"/>
  <c r="AB12" i="55"/>
  <c r="AA12" i="55"/>
  <c r="AB11" i="55"/>
  <c r="AA11" i="55"/>
  <c r="AB10" i="55"/>
  <c r="AA10" i="55"/>
  <c r="AB9" i="55"/>
  <c r="AA9" i="55"/>
  <c r="AB8" i="55"/>
  <c r="AA8" i="55"/>
  <c r="AB33" i="33"/>
  <c r="AA33" i="33"/>
  <c r="AB32" i="33"/>
  <c r="AA32" i="33"/>
  <c r="AB31" i="33"/>
  <c r="AA31" i="33"/>
  <c r="AB30" i="33"/>
  <c r="AA30" i="33"/>
  <c r="AB29" i="33"/>
  <c r="AA29" i="33"/>
  <c r="AB28" i="33"/>
  <c r="AA28" i="33"/>
  <c r="AB27" i="33"/>
  <c r="AA27" i="33"/>
  <c r="AB26" i="33"/>
  <c r="AA26" i="33"/>
  <c r="AB25" i="33"/>
  <c r="AA25" i="33"/>
  <c r="AB24" i="33"/>
  <c r="AA24" i="33"/>
  <c r="AB23" i="33"/>
  <c r="AA23" i="33"/>
  <c r="AB22" i="33"/>
  <c r="AA22" i="33"/>
  <c r="AB21" i="33"/>
  <c r="AA21" i="33"/>
  <c r="AB20" i="33"/>
  <c r="AA20" i="33"/>
  <c r="AB19" i="33"/>
  <c r="AA19" i="33"/>
  <c r="AB18" i="33"/>
  <c r="AA18" i="33"/>
  <c r="AB17" i="33"/>
  <c r="AA17" i="33"/>
  <c r="AB16" i="33"/>
  <c r="AA16" i="33"/>
  <c r="AB15" i="33"/>
  <c r="AA15" i="33"/>
  <c r="AB14" i="33"/>
  <c r="AA14" i="33"/>
  <c r="AB13" i="33"/>
  <c r="AA13" i="33"/>
  <c r="AB12" i="33"/>
  <c r="AA12" i="33"/>
  <c r="AB11" i="33"/>
  <c r="AA11" i="33"/>
  <c r="AB10" i="33"/>
  <c r="AA10" i="33"/>
  <c r="AB9" i="33"/>
  <c r="AA9" i="33"/>
  <c r="AB8" i="33"/>
  <c r="AA8" i="33"/>
  <c r="AI7" i="9"/>
  <c r="AH7" i="9"/>
  <c r="AG7" i="9"/>
  <c r="AF7" i="9"/>
  <c r="AE7" i="9"/>
  <c r="AD7" i="9"/>
  <c r="AW11" i="63" l="1"/>
  <c r="AW10" i="63"/>
  <c r="AW9" i="63"/>
  <c r="F117" i="24"/>
  <c r="J117" i="24"/>
  <c r="N117" i="24"/>
  <c r="R117" i="24"/>
  <c r="V117" i="24"/>
  <c r="Z117" i="24"/>
  <c r="H130" i="24"/>
  <c r="L130" i="24"/>
  <c r="P130" i="24"/>
  <c r="T130" i="24"/>
  <c r="X130" i="24"/>
  <c r="AB130" i="24"/>
  <c r="D7" i="64"/>
  <c r="H7" i="64"/>
  <c r="I23" i="10" s="1"/>
  <c r="L7" i="64"/>
  <c r="M23" i="10" s="1"/>
  <c r="AO7" i="64"/>
  <c r="AP23" i="10" s="1"/>
  <c r="AC7" i="65"/>
  <c r="AD7" i="65" s="1"/>
  <c r="AE26" i="10" s="1"/>
  <c r="AS7" i="63"/>
  <c r="AT20" i="10" s="1"/>
  <c r="BL7" i="65"/>
  <c r="BM26" i="10" s="1"/>
  <c r="BB7" i="63"/>
  <c r="BC20" i="10" s="1"/>
  <c r="AY7" i="64"/>
  <c r="AZ23" i="10" s="1"/>
  <c r="AT7" i="65"/>
  <c r="AU26" i="10" s="1"/>
  <c r="H7" i="63"/>
  <c r="I20" i="10" s="1"/>
  <c r="L7" i="63"/>
  <c r="M20" i="10" s="1"/>
  <c r="AK7" i="63"/>
  <c r="AL20" i="10" s="1"/>
  <c r="AH7" i="64"/>
  <c r="AI23" i="10" s="1"/>
  <c r="AP7" i="64"/>
  <c r="AQ23" i="10" s="1"/>
  <c r="BS7" i="64"/>
  <c r="Y7" i="64"/>
  <c r="Z7" i="64" s="1"/>
  <c r="AA23" i="10" s="1"/>
  <c r="AG7" i="64"/>
  <c r="AH23" i="10" s="1"/>
  <c r="AS7" i="64"/>
  <c r="AT23" i="10" s="1"/>
  <c r="BB7" i="64"/>
  <c r="BC23" i="10" s="1"/>
  <c r="BF7" i="64"/>
  <c r="BG23" i="10" s="1"/>
  <c r="BN7" i="64"/>
  <c r="BO23" i="10" s="1"/>
  <c r="J7" i="65"/>
  <c r="K26" i="10" s="1"/>
  <c r="R7" i="63"/>
  <c r="S7" i="63" s="1"/>
  <c r="T20" i="10" s="1"/>
  <c r="BJ7" i="63"/>
  <c r="BK20" i="10" s="1"/>
  <c r="BJ7" i="64"/>
  <c r="BK23" i="10" s="1"/>
  <c r="G7" i="63"/>
  <c r="N45" i="7" s="1"/>
  <c r="G45" i="7" s="1"/>
  <c r="AE7" i="63"/>
  <c r="AF7" i="63" s="1"/>
  <c r="AG20" i="10" s="1"/>
  <c r="BP3" i="63"/>
  <c r="AL7" i="63"/>
  <c r="AM20" i="10" s="1"/>
  <c r="BC7" i="63"/>
  <c r="BD20" i="10" s="1"/>
  <c r="BK7" i="63"/>
  <c r="BL20" i="10" s="1"/>
  <c r="BS7" i="63"/>
  <c r="AO7" i="63"/>
  <c r="AP20" i="10" s="1"/>
  <c r="AX7" i="63"/>
  <c r="AY20" i="10" s="1"/>
  <c r="BN7" i="63"/>
  <c r="BO20" i="10" s="1"/>
  <c r="E117" i="24"/>
  <c r="I117" i="24"/>
  <c r="M117" i="24"/>
  <c r="Q117" i="24"/>
  <c r="U117" i="24"/>
  <c r="AC117" i="24"/>
  <c r="G130" i="24"/>
  <c r="K130" i="24"/>
  <c r="O130" i="24"/>
  <c r="S130" i="24"/>
  <c r="W130" i="24"/>
  <c r="AA130" i="24"/>
  <c r="AE130" i="24"/>
  <c r="AI130" i="24" s="1"/>
  <c r="R7" i="64"/>
  <c r="S7" i="64" s="1"/>
  <c r="T23" i="10" s="1"/>
  <c r="BG7" i="64"/>
  <c r="BH23" i="10" s="1"/>
  <c r="F130" i="24"/>
  <c r="J130" i="24"/>
  <c r="N130" i="24"/>
  <c r="R130" i="24"/>
  <c r="V130" i="24"/>
  <c r="Z130" i="24"/>
  <c r="K7" i="63"/>
  <c r="L20" i="10" s="1"/>
  <c r="AA7" i="63"/>
  <c r="AB7" i="63" s="1"/>
  <c r="AC20" i="10" s="1"/>
  <c r="AH7" i="63"/>
  <c r="AI20" i="10" s="1"/>
  <c r="AP7" i="63"/>
  <c r="AQ20" i="10" s="1"/>
  <c r="AY7" i="63"/>
  <c r="AZ20" i="10" s="1"/>
  <c r="BG7" i="63"/>
  <c r="BH20" i="10" s="1"/>
  <c r="Y7" i="63"/>
  <c r="Z7" i="63" s="1"/>
  <c r="AA20" i="10" s="1"/>
  <c r="AG7" i="63"/>
  <c r="AH20" i="10" s="1"/>
  <c r="AJ14" i="58" s="1"/>
  <c r="O14" i="58" s="1"/>
  <c r="BF7" i="63"/>
  <c r="BG20" i="10" s="1"/>
  <c r="D7" i="63"/>
  <c r="Y117" i="24"/>
  <c r="AK7" i="64"/>
  <c r="AL23" i="10" s="1"/>
  <c r="AX7" i="64"/>
  <c r="AY23" i="10" s="1"/>
  <c r="E7" i="65"/>
  <c r="I7" i="65"/>
  <c r="J26" i="10" s="1"/>
  <c r="M7" i="65"/>
  <c r="N26" i="10" s="1"/>
  <c r="Y7" i="65"/>
  <c r="Z7" i="65" s="1"/>
  <c r="AA26" i="10" s="1"/>
  <c r="AG7" i="65"/>
  <c r="AH26" i="10" s="1"/>
  <c r="AK7" i="65"/>
  <c r="AL26" i="10" s="1"/>
  <c r="AO7" i="65"/>
  <c r="AP26" i="10" s="1"/>
  <c r="AS7" i="65"/>
  <c r="AT26" i="10" s="1"/>
  <c r="BF7" i="65"/>
  <c r="BG26" i="10" s="1"/>
  <c r="BJ7" i="65"/>
  <c r="BK26" i="10" s="1"/>
  <c r="L7" i="65"/>
  <c r="M26" i="10" s="1"/>
  <c r="AV7" i="65"/>
  <c r="AW26" i="10" s="1"/>
  <c r="BA7" i="65"/>
  <c r="BB26" i="10" s="1"/>
  <c r="BM7" i="65"/>
  <c r="BN26" i="10" s="1"/>
  <c r="E104" i="24"/>
  <c r="I104" i="24"/>
  <c r="M104" i="24"/>
  <c r="Q104" i="24"/>
  <c r="U104" i="24"/>
  <c r="Y104" i="24"/>
  <c r="AC104" i="24"/>
  <c r="G117" i="24"/>
  <c r="K117" i="24"/>
  <c r="O117" i="24"/>
  <c r="S117" i="24"/>
  <c r="W117" i="24"/>
  <c r="AA117" i="24"/>
  <c r="E130" i="24"/>
  <c r="I130" i="24"/>
  <c r="M130" i="24"/>
  <c r="Q130" i="24"/>
  <c r="U130" i="24"/>
  <c r="Y130" i="24"/>
  <c r="AC130" i="24"/>
  <c r="F7" i="63"/>
  <c r="G20" i="10" s="1"/>
  <c r="J7" i="63"/>
  <c r="K20" i="10" s="1"/>
  <c r="N7" i="63"/>
  <c r="O7" i="63" s="1"/>
  <c r="P20" i="10" s="1"/>
  <c r="V7" i="63"/>
  <c r="W7" i="63" s="1"/>
  <c r="X7" i="63" s="1"/>
  <c r="Y20" i="10" s="1"/>
  <c r="G7" i="64"/>
  <c r="N46" i="7" s="1"/>
  <c r="G46" i="7" s="1"/>
  <c r="K7" i="64"/>
  <c r="L23" i="10" s="1"/>
  <c r="AE7" i="64"/>
  <c r="AF7" i="64" s="1"/>
  <c r="AG23" i="10" s="1"/>
  <c r="D7" i="65"/>
  <c r="H7" i="65"/>
  <c r="I26" i="10" s="1"/>
  <c r="P7" i="65"/>
  <c r="Q7" i="65" s="1"/>
  <c r="R26" i="10" s="1"/>
  <c r="T7" i="65"/>
  <c r="U7" i="65" s="1"/>
  <c r="V26" i="10" s="1"/>
  <c r="AJ7" i="65"/>
  <c r="AK26" i="10" s="1"/>
  <c r="AN7" i="65"/>
  <c r="AO26" i="10" s="1"/>
  <c r="AR7" i="65"/>
  <c r="AS26" i="10" s="1"/>
  <c r="BE7" i="65"/>
  <c r="BF26" i="10" s="1"/>
  <c r="BI7" i="65"/>
  <c r="BJ26" i="10" s="1"/>
  <c r="E7" i="63"/>
  <c r="I7" i="63"/>
  <c r="J20" i="10" s="1"/>
  <c r="M7" i="63"/>
  <c r="N20" i="10" s="1"/>
  <c r="AC7" i="63"/>
  <c r="AD7" i="63" s="1"/>
  <c r="AE20" i="10" s="1"/>
  <c r="F7" i="64"/>
  <c r="G23" i="10" s="1"/>
  <c r="J7" i="64"/>
  <c r="K23" i="10" s="1"/>
  <c r="N7" i="64"/>
  <c r="O7" i="64" s="1"/>
  <c r="P23" i="10" s="1"/>
  <c r="V7" i="64"/>
  <c r="W7" i="64" s="1"/>
  <c r="X7" i="64" s="1"/>
  <c r="Y23" i="10" s="1"/>
  <c r="AL7" i="64"/>
  <c r="AM23" i="10" s="1"/>
  <c r="BC7" i="64"/>
  <c r="BD23" i="10" s="1"/>
  <c r="BK7" i="64"/>
  <c r="BL23" i="10" s="1"/>
  <c r="G7" i="65"/>
  <c r="N47" i="7" s="1"/>
  <c r="G47" i="7" s="1"/>
  <c r="K7" i="65"/>
  <c r="L26" i="10" s="1"/>
  <c r="AA7" i="65"/>
  <c r="AB7" i="65" s="1"/>
  <c r="AC26" i="10" s="1"/>
  <c r="AE7" i="65"/>
  <c r="AF7" i="65" s="1"/>
  <c r="AG26" i="10" s="1"/>
  <c r="AI7" i="65"/>
  <c r="AJ26" i="10" s="1"/>
  <c r="AM7" i="65"/>
  <c r="AN26" i="10" s="1"/>
  <c r="AQ7" i="65"/>
  <c r="AR26" i="10" s="1"/>
  <c r="AZ7" i="65"/>
  <c r="BA26" i="10" s="1"/>
  <c r="BD7" i="65"/>
  <c r="BE26" i="10" s="1"/>
  <c r="BH7" i="65"/>
  <c r="BI26" i="10" s="1"/>
  <c r="BP3" i="65"/>
  <c r="BS7" i="65"/>
  <c r="H117" i="24"/>
  <c r="L117" i="24"/>
  <c r="P117" i="24"/>
  <c r="T117" i="24"/>
  <c r="X117" i="24"/>
  <c r="AB117" i="24"/>
  <c r="AT7" i="63"/>
  <c r="AU20" i="10" s="1"/>
  <c r="E7" i="64"/>
  <c r="I7" i="64"/>
  <c r="J23" i="10" s="1"/>
  <c r="M7" i="64"/>
  <c r="N23" i="10" s="1"/>
  <c r="AC7" i="64"/>
  <c r="AD7" i="64" s="1"/>
  <c r="AE23" i="10" s="1"/>
  <c r="P7" i="63"/>
  <c r="Q7" i="63" s="1"/>
  <c r="R20" i="10" s="1"/>
  <c r="T7" i="63"/>
  <c r="U7" i="63" s="1"/>
  <c r="V20" i="10" s="1"/>
  <c r="AJ7" i="63"/>
  <c r="AK20" i="10" s="1"/>
  <c r="AN7" i="63"/>
  <c r="AO20" i="10" s="1"/>
  <c r="AR7" i="63"/>
  <c r="AS20" i="10" s="1"/>
  <c r="AV7" i="63"/>
  <c r="AW20" i="10" s="1"/>
  <c r="BA7" i="63"/>
  <c r="BB20" i="10" s="1"/>
  <c r="BE7" i="63"/>
  <c r="BF20" i="10" s="1"/>
  <c r="BI7" i="63"/>
  <c r="BJ20" i="10" s="1"/>
  <c r="BM7" i="63"/>
  <c r="BN20" i="10" s="1"/>
  <c r="AI7" i="63"/>
  <c r="AJ20" i="10" s="1"/>
  <c r="AM7" i="63"/>
  <c r="AN20" i="10" s="1"/>
  <c r="AQ7" i="63"/>
  <c r="AR20" i="10" s="1"/>
  <c r="AU7" i="63"/>
  <c r="AV20" i="10" s="1"/>
  <c r="AZ7" i="63"/>
  <c r="BA20" i="10" s="1"/>
  <c r="BD7" i="63"/>
  <c r="BE20" i="10" s="1"/>
  <c r="BH7" i="63"/>
  <c r="BI20" i="10" s="1"/>
  <c r="BL7" i="63"/>
  <c r="BM20" i="10" s="1"/>
  <c r="AW8" i="64"/>
  <c r="AW7" i="64" s="1"/>
  <c r="AX23" i="10" s="1"/>
  <c r="AW8" i="65"/>
  <c r="AW7" i="65" s="1"/>
  <c r="AX26" i="10" s="1"/>
  <c r="F7" i="65"/>
  <c r="G26" i="10" s="1"/>
  <c r="N7" i="65"/>
  <c r="O7" i="65" s="1"/>
  <c r="P26" i="10" s="1"/>
  <c r="R7" i="65"/>
  <c r="S7" i="65" s="1"/>
  <c r="T26" i="10" s="1"/>
  <c r="V7" i="65"/>
  <c r="W7" i="65" s="1"/>
  <c r="X7" i="65" s="1"/>
  <c r="Y26" i="10" s="1"/>
  <c r="AH7" i="65"/>
  <c r="AI26" i="10" s="1"/>
  <c r="AL7" i="65"/>
  <c r="AM26" i="10" s="1"/>
  <c r="AP7" i="65"/>
  <c r="AQ26" i="10" s="1"/>
  <c r="P7" i="64"/>
  <c r="T7" i="64"/>
  <c r="AJ7" i="64"/>
  <c r="AK23" i="10" s="1"/>
  <c r="AN7" i="64"/>
  <c r="AO23" i="10" s="1"/>
  <c r="AR7" i="64"/>
  <c r="AS23" i="10" s="1"/>
  <c r="AV7" i="64"/>
  <c r="AW23" i="10" s="1"/>
  <c r="BA7" i="64"/>
  <c r="BB23" i="10" s="1"/>
  <c r="BE7" i="64"/>
  <c r="BF23" i="10" s="1"/>
  <c r="BI7" i="64"/>
  <c r="BJ23" i="10" s="1"/>
  <c r="BM7" i="64"/>
  <c r="BN23" i="10" s="1"/>
  <c r="AA7" i="64"/>
  <c r="AB7" i="64" s="1"/>
  <c r="AC23" i="10" s="1"/>
  <c r="AI7" i="64"/>
  <c r="AJ23" i="10" s="1"/>
  <c r="AM7" i="64"/>
  <c r="AN23" i="10" s="1"/>
  <c r="AQ7" i="64"/>
  <c r="AR23" i="10" s="1"/>
  <c r="AU7" i="64"/>
  <c r="AV23" i="10" s="1"/>
  <c r="AZ7" i="64"/>
  <c r="BA23" i="10" s="1"/>
  <c r="BD7" i="64"/>
  <c r="BE23" i="10" s="1"/>
  <c r="BH7" i="64"/>
  <c r="BI23" i="10" s="1"/>
  <c r="BL7" i="64"/>
  <c r="BM23" i="10" s="1"/>
  <c r="BP3" i="64"/>
  <c r="AX7" i="65"/>
  <c r="AY26" i="10" s="1"/>
  <c r="BB7" i="65"/>
  <c r="BC26" i="10" s="1"/>
  <c r="BN7" i="65"/>
  <c r="BO26" i="10" s="1"/>
  <c r="AT7" i="64"/>
  <c r="AU23" i="10" s="1"/>
  <c r="AW8" i="63"/>
  <c r="T44" i="24"/>
  <c r="T218" i="24"/>
  <c r="F104" i="24"/>
  <c r="J104" i="24"/>
  <c r="N104" i="24"/>
  <c r="R104" i="24"/>
  <c r="V104" i="24"/>
  <c r="Z104" i="24"/>
  <c r="H104" i="24"/>
  <c r="L104" i="24"/>
  <c r="P104" i="24"/>
  <c r="T104" i="24"/>
  <c r="X104" i="24"/>
  <c r="AB104" i="24"/>
  <c r="G104" i="24"/>
  <c r="K104" i="24"/>
  <c r="O104" i="24"/>
  <c r="S104" i="24"/>
  <c r="W104" i="24"/>
  <c r="AA104" i="24"/>
  <c r="T32" i="24"/>
  <c r="T91" i="24"/>
  <c r="S44" i="24"/>
  <c r="S143" i="24"/>
  <c r="T14" i="24"/>
  <c r="T249" i="24"/>
  <c r="R218" i="24"/>
  <c r="T143" i="24"/>
  <c r="S32" i="24"/>
  <c r="S91" i="24"/>
  <c r="S218" i="24"/>
  <c r="S14" i="24"/>
  <c r="S249" i="24"/>
  <c r="R32" i="24"/>
  <c r="R91" i="24"/>
  <c r="R14" i="24"/>
  <c r="R249" i="24"/>
  <c r="R44" i="24"/>
  <c r="R143" i="24"/>
  <c r="AV62" i="25"/>
  <c r="Z7" i="25"/>
  <c r="BI7" i="25"/>
  <c r="AY7" i="65"/>
  <c r="AZ26" i="10" s="1"/>
  <c r="BC7" i="65"/>
  <c r="BD26" i="10" s="1"/>
  <c r="BG7" i="65"/>
  <c r="BH26" i="10" s="1"/>
  <c r="BK7" i="65"/>
  <c r="BL26" i="10" s="1"/>
  <c r="BH7" i="25"/>
  <c r="BG7" i="25"/>
  <c r="AQ7" i="25"/>
  <c r="AP7" i="25"/>
  <c r="AE7" i="25"/>
  <c r="AD7" i="25"/>
  <c r="AA7" i="25"/>
  <c r="AO7" i="25"/>
  <c r="AB7" i="25"/>
  <c r="AC7" i="25"/>
  <c r="AU7" i="65"/>
  <c r="AV26" i="10" s="1"/>
  <c r="AE7" i="59"/>
  <c r="AF7" i="59" s="1"/>
  <c r="AE7" i="53"/>
  <c r="AF7" i="53" s="1"/>
  <c r="AE7" i="51"/>
  <c r="AF7" i="51" s="1"/>
  <c r="AA7" i="53"/>
  <c r="AB7" i="53" s="1"/>
  <c r="AA7" i="52"/>
  <c r="AB7" i="52" s="1"/>
  <c r="AA7" i="51"/>
  <c r="AB7" i="51" s="1"/>
  <c r="AA7" i="50"/>
  <c r="AB7" i="50" s="1"/>
  <c r="AC7" i="33"/>
  <c r="AD7" i="33" s="1"/>
  <c r="BJ7" i="50"/>
  <c r="BI7" i="33"/>
  <c r="BI7" i="59"/>
  <c r="BJ7" i="52"/>
  <c r="BJ7" i="51"/>
  <c r="BJ7" i="33"/>
  <c r="AR7" i="51"/>
  <c r="BJ7" i="53"/>
  <c r="BJ7" i="59"/>
  <c r="AP7" i="33"/>
  <c r="AP7" i="59"/>
  <c r="AP7" i="54"/>
  <c r="BJ7" i="54"/>
  <c r="BI7" i="53"/>
  <c r="BJ7" i="55"/>
  <c r="AQ7" i="50"/>
  <c r="BH7" i="59"/>
  <c r="BI7" i="50"/>
  <c r="AC7" i="59"/>
  <c r="AD7" i="59" s="1"/>
  <c r="AQ7" i="33"/>
  <c r="AQ7" i="52"/>
  <c r="AQ7" i="51"/>
  <c r="AR7" i="54"/>
  <c r="BI7" i="55"/>
  <c r="BH7" i="52"/>
  <c r="BI7" i="52"/>
  <c r="BI7" i="51"/>
  <c r="BI7" i="54"/>
  <c r="BH7" i="51"/>
  <c r="AR7" i="53"/>
  <c r="AR7" i="52"/>
  <c r="BH7" i="54"/>
  <c r="AR7" i="55"/>
  <c r="AR7" i="59"/>
  <c r="AR7" i="50"/>
  <c r="BH7" i="53"/>
  <c r="AR7" i="33"/>
  <c r="BH7" i="33"/>
  <c r="BH7" i="55"/>
  <c r="BH7" i="50"/>
  <c r="AP7" i="53"/>
  <c r="AQ7" i="59"/>
  <c r="AQ7" i="54"/>
  <c r="AA7" i="33"/>
  <c r="AB7" i="33" s="1"/>
  <c r="AC7" i="53"/>
  <c r="AD7" i="53" s="1"/>
  <c r="AC7" i="52"/>
  <c r="AD7" i="52" s="1"/>
  <c r="AC7" i="51"/>
  <c r="AD7" i="51" s="1"/>
  <c r="AC7" i="50"/>
  <c r="AD7" i="50" s="1"/>
  <c r="AQ7" i="53"/>
  <c r="AP7" i="50"/>
  <c r="AQ7" i="55"/>
  <c r="AP7" i="55"/>
  <c r="AA7" i="55"/>
  <c r="AB7" i="55" s="1"/>
  <c r="AE7" i="55"/>
  <c r="AF7" i="55" s="1"/>
  <c r="AP7" i="52"/>
  <c r="AC7" i="54"/>
  <c r="AD7" i="54" s="1"/>
  <c r="AP7" i="51"/>
  <c r="AE7" i="54"/>
  <c r="AF7" i="54" s="1"/>
  <c r="AE7" i="52"/>
  <c r="AF7" i="52" s="1"/>
  <c r="AE7" i="50"/>
  <c r="AF7" i="50" s="1"/>
  <c r="AA7" i="59"/>
  <c r="AB7" i="59" s="1"/>
  <c r="AA7" i="54"/>
  <c r="AB7" i="54" s="1"/>
  <c r="AE7" i="33"/>
  <c r="AF7" i="33" s="1"/>
  <c r="AC7" i="55"/>
  <c r="AD7" i="55" s="1"/>
  <c r="X14" i="58" l="1"/>
  <c r="U14" i="58"/>
  <c r="E20" i="10"/>
  <c r="AK14" i="58" s="1"/>
  <c r="P14" i="58" s="1"/>
  <c r="F23" i="10"/>
  <c r="F26" i="10"/>
  <c r="M47" i="7"/>
  <c r="F47" i="7" s="1"/>
  <c r="E23" i="10"/>
  <c r="O20" i="10"/>
  <c r="O23" i="10"/>
  <c r="AF20" i="10"/>
  <c r="Z20" i="10"/>
  <c r="AW7" i="63"/>
  <c r="AX20" i="10" s="1"/>
  <c r="H20" i="10"/>
  <c r="AL14" i="58" s="1"/>
  <c r="Q14" i="58" s="1"/>
  <c r="AB20" i="10"/>
  <c r="Q26" i="10"/>
  <c r="X23" i="10"/>
  <c r="H26" i="10"/>
  <c r="U20" i="10"/>
  <c r="M45" i="7"/>
  <c r="F45" i="7" s="1"/>
  <c r="F20" i="10"/>
  <c r="X20" i="10"/>
  <c r="W20" i="10"/>
  <c r="E26" i="10"/>
  <c r="AD20" i="10"/>
  <c r="S20" i="10"/>
  <c r="AB26" i="10"/>
  <c r="Z26" i="10"/>
  <c r="W26" i="10"/>
  <c r="S23" i="10"/>
  <c r="X26" i="10"/>
  <c r="AD23" i="10"/>
  <c r="M46" i="7"/>
  <c r="F46" i="7" s="1"/>
  <c r="AD26" i="10"/>
  <c r="U26" i="10"/>
  <c r="AB23" i="10"/>
  <c r="H23" i="10"/>
  <c r="S26" i="10"/>
  <c r="Z23" i="10"/>
  <c r="AF23" i="10"/>
  <c r="Q20" i="10"/>
  <c r="W23" i="10"/>
  <c r="AF26" i="10"/>
  <c r="O26" i="10"/>
  <c r="Q7" i="64"/>
  <c r="R23" i="10" s="1"/>
  <c r="Q23" i="10"/>
  <c r="U7" i="64"/>
  <c r="V23" i="10" s="1"/>
  <c r="U23" i="10"/>
  <c r="T7" i="24"/>
  <c r="S7" i="24"/>
  <c r="R7" i="24"/>
  <c r="BR7" i="63" l="1"/>
  <c r="Z14" i="58"/>
  <c r="W14" i="58"/>
  <c r="V14" i="58"/>
  <c r="Y14" i="58"/>
  <c r="T16" i="58"/>
  <c r="S16" i="58"/>
  <c r="AB14" i="58" l="1"/>
  <c r="AG14" i="58"/>
  <c r="BT43" i="59"/>
  <c r="BS43" i="59"/>
  <c r="BR43" i="59"/>
  <c r="BQ43" i="59"/>
  <c r="BP43" i="59"/>
  <c r="BO43" i="59"/>
  <c r="BN43" i="59"/>
  <c r="BM43" i="59"/>
  <c r="BL43" i="59"/>
  <c r="BK43" i="59"/>
  <c r="BG43" i="59"/>
  <c r="BF43" i="59"/>
  <c r="BE43" i="59"/>
  <c r="BD43" i="59"/>
  <c r="BC43" i="59"/>
  <c r="BB43" i="59"/>
  <c r="BA43" i="59"/>
  <c r="AZ43" i="59"/>
  <c r="AY43" i="59"/>
  <c r="AX43" i="59"/>
  <c r="AV43" i="59"/>
  <c r="AU43" i="59"/>
  <c r="AT43" i="59"/>
  <c r="AW43" i="59" s="1"/>
  <c r="AS43" i="59"/>
  <c r="AO43" i="59"/>
  <c r="AN43" i="59"/>
  <c r="AM43" i="59"/>
  <c r="AL43" i="59"/>
  <c r="AK43" i="59"/>
  <c r="AJ43" i="59"/>
  <c r="AI43" i="59"/>
  <c r="AH43" i="59"/>
  <c r="AG43" i="59"/>
  <c r="Z43" i="59"/>
  <c r="Y43" i="59"/>
  <c r="X43" i="59"/>
  <c r="W43" i="59"/>
  <c r="V43" i="59"/>
  <c r="U43" i="59"/>
  <c r="T43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F43" i="59"/>
  <c r="E43" i="59"/>
  <c r="D43" i="59"/>
  <c r="C43" i="59"/>
  <c r="BT42" i="59"/>
  <c r="BS42" i="59"/>
  <c r="BR42" i="59"/>
  <c r="BQ42" i="59"/>
  <c r="BP42" i="59"/>
  <c r="BO42" i="59"/>
  <c r="BN42" i="59"/>
  <c r="BM42" i="59"/>
  <c r="BL42" i="59"/>
  <c r="BK42" i="59"/>
  <c r="BG42" i="59"/>
  <c r="BF42" i="59"/>
  <c r="BE42" i="59"/>
  <c r="BD42" i="59"/>
  <c r="BC42" i="59"/>
  <c r="BB42" i="59"/>
  <c r="BA42" i="59"/>
  <c r="AZ42" i="59"/>
  <c r="AY42" i="59"/>
  <c r="AX42" i="59"/>
  <c r="AV42" i="59"/>
  <c r="AU42" i="59"/>
  <c r="AT42" i="59"/>
  <c r="AW42" i="59" s="1"/>
  <c r="AS42" i="59"/>
  <c r="AO42" i="59"/>
  <c r="AN42" i="59"/>
  <c r="AM42" i="59"/>
  <c r="AL42" i="59"/>
  <c r="AK42" i="59"/>
  <c r="AJ42" i="59"/>
  <c r="AI42" i="59"/>
  <c r="AH42" i="59"/>
  <c r="AG42" i="59"/>
  <c r="Z42" i="59"/>
  <c r="Y42" i="59"/>
  <c r="X42" i="59"/>
  <c r="W42" i="59"/>
  <c r="V42" i="59"/>
  <c r="U42" i="59"/>
  <c r="T42" i="59"/>
  <c r="S42" i="59"/>
  <c r="R42" i="59"/>
  <c r="Q42" i="59"/>
  <c r="P42" i="59"/>
  <c r="O42" i="59"/>
  <c r="N42" i="59"/>
  <c r="M42" i="59"/>
  <c r="L42" i="59"/>
  <c r="K42" i="59"/>
  <c r="J42" i="59"/>
  <c r="I42" i="59"/>
  <c r="H42" i="59"/>
  <c r="G42" i="59"/>
  <c r="F42" i="59"/>
  <c r="E42" i="59"/>
  <c r="D42" i="59"/>
  <c r="C42" i="59"/>
  <c r="BT41" i="59"/>
  <c r="BS41" i="59"/>
  <c r="BR41" i="59"/>
  <c r="BQ41" i="59"/>
  <c r="BP41" i="59"/>
  <c r="BO41" i="59"/>
  <c r="BN41" i="59"/>
  <c r="BM41" i="59"/>
  <c r="BL41" i="59"/>
  <c r="BK41" i="59"/>
  <c r="BG41" i="59"/>
  <c r="BF41" i="59"/>
  <c r="BE41" i="59"/>
  <c r="BD41" i="59"/>
  <c r="BC41" i="59"/>
  <c r="BB41" i="59"/>
  <c r="BA41" i="59"/>
  <c r="AZ41" i="59"/>
  <c r="AY41" i="59"/>
  <c r="AX41" i="59"/>
  <c r="AV41" i="59"/>
  <c r="AU41" i="59"/>
  <c r="AT41" i="59"/>
  <c r="AW41" i="59" s="1"/>
  <c r="AS41" i="59"/>
  <c r="AO41" i="59"/>
  <c r="AN41" i="59"/>
  <c r="AM41" i="59"/>
  <c r="AL41" i="59"/>
  <c r="AK41" i="59"/>
  <c r="AJ41" i="59"/>
  <c r="AI41" i="59"/>
  <c r="AH41" i="59"/>
  <c r="AG41" i="59"/>
  <c r="Z41" i="59"/>
  <c r="Y41" i="59"/>
  <c r="X41" i="59"/>
  <c r="W41" i="59"/>
  <c r="V41" i="59"/>
  <c r="U41" i="59"/>
  <c r="T41" i="59"/>
  <c r="S41" i="59"/>
  <c r="R41" i="59"/>
  <c r="Q41" i="59"/>
  <c r="P41" i="59"/>
  <c r="O41" i="59"/>
  <c r="N41" i="59"/>
  <c r="M41" i="59"/>
  <c r="L41" i="59"/>
  <c r="K41" i="59"/>
  <c r="J41" i="59"/>
  <c r="I41" i="59"/>
  <c r="H41" i="59"/>
  <c r="G41" i="59"/>
  <c r="F41" i="59"/>
  <c r="E41" i="59"/>
  <c r="D41" i="59"/>
  <c r="C41" i="59"/>
  <c r="BT40" i="59"/>
  <c r="BS40" i="59"/>
  <c r="BR40" i="59"/>
  <c r="BQ40" i="59"/>
  <c r="BP40" i="59"/>
  <c r="BO40" i="59"/>
  <c r="BN40" i="59"/>
  <c r="BM40" i="59"/>
  <c r="BL40" i="59"/>
  <c r="BK40" i="59"/>
  <c r="BG40" i="59"/>
  <c r="BF40" i="59"/>
  <c r="BE40" i="59"/>
  <c r="BD40" i="59"/>
  <c r="BC40" i="59"/>
  <c r="BB40" i="59"/>
  <c r="BA40" i="59"/>
  <c r="AZ40" i="59"/>
  <c r="AY40" i="59"/>
  <c r="AX40" i="59"/>
  <c r="AV40" i="59"/>
  <c r="AU40" i="59"/>
  <c r="AT40" i="59"/>
  <c r="AW40" i="59" s="1"/>
  <c r="AS40" i="59"/>
  <c r="AO40" i="59"/>
  <c r="AN40" i="59"/>
  <c r="AM40" i="59"/>
  <c r="AL40" i="59"/>
  <c r="AK40" i="59"/>
  <c r="AJ40" i="59"/>
  <c r="AI40" i="59"/>
  <c r="AH40" i="59"/>
  <c r="AG40" i="59"/>
  <c r="Z40" i="59"/>
  <c r="Y40" i="59"/>
  <c r="X40" i="59"/>
  <c r="W40" i="59"/>
  <c r="V40" i="59"/>
  <c r="U40" i="59"/>
  <c r="T40" i="59"/>
  <c r="S40" i="59"/>
  <c r="R40" i="59"/>
  <c r="Q40" i="59"/>
  <c r="P40" i="59"/>
  <c r="O40" i="59"/>
  <c r="N40" i="59"/>
  <c r="M40" i="59"/>
  <c r="L40" i="59"/>
  <c r="K40" i="59"/>
  <c r="J40" i="59"/>
  <c r="I40" i="59"/>
  <c r="H40" i="59"/>
  <c r="G40" i="59"/>
  <c r="F40" i="59"/>
  <c r="E40" i="59"/>
  <c r="D40" i="59"/>
  <c r="C40" i="59"/>
  <c r="BT39" i="59"/>
  <c r="BS39" i="59"/>
  <c r="BR39" i="59"/>
  <c r="BQ39" i="59"/>
  <c r="BP39" i="59"/>
  <c r="BO39" i="59"/>
  <c r="BN39" i="59"/>
  <c r="BM39" i="59"/>
  <c r="BL39" i="59"/>
  <c r="BK39" i="59"/>
  <c r="BG39" i="59"/>
  <c r="BF39" i="59"/>
  <c r="BE39" i="59"/>
  <c r="BD39" i="59"/>
  <c r="BC39" i="59"/>
  <c r="BB39" i="59"/>
  <c r="BA39" i="59"/>
  <c r="AZ39" i="59"/>
  <c r="AY39" i="59"/>
  <c r="AX39" i="59"/>
  <c r="AV39" i="59"/>
  <c r="AU39" i="59"/>
  <c r="AT39" i="59"/>
  <c r="AW39" i="59" s="1"/>
  <c r="AS39" i="59"/>
  <c r="AO39" i="59"/>
  <c r="AN39" i="59"/>
  <c r="AM39" i="59"/>
  <c r="AL39" i="59"/>
  <c r="AK39" i="59"/>
  <c r="AJ39" i="59"/>
  <c r="AI39" i="59"/>
  <c r="AH39" i="59"/>
  <c r="AG39" i="59"/>
  <c r="Z39" i="59"/>
  <c r="Y39" i="59"/>
  <c r="X39" i="59"/>
  <c r="W39" i="59"/>
  <c r="V39" i="59"/>
  <c r="U39" i="59"/>
  <c r="T39" i="59"/>
  <c r="S39" i="59"/>
  <c r="R39" i="59"/>
  <c r="Q39" i="59"/>
  <c r="P39" i="59"/>
  <c r="O39" i="59"/>
  <c r="N39" i="59"/>
  <c r="M39" i="59"/>
  <c r="L39" i="59"/>
  <c r="K39" i="59"/>
  <c r="J39" i="59"/>
  <c r="I39" i="59"/>
  <c r="H39" i="59"/>
  <c r="G39" i="59"/>
  <c r="F39" i="59"/>
  <c r="E39" i="59"/>
  <c r="D39" i="59"/>
  <c r="C39" i="59"/>
  <c r="BT38" i="59"/>
  <c r="BS38" i="59"/>
  <c r="BR38" i="59"/>
  <c r="BQ38" i="59"/>
  <c r="BP38" i="59"/>
  <c r="BO38" i="59"/>
  <c r="BN38" i="59"/>
  <c r="BM38" i="59"/>
  <c r="BL38" i="59"/>
  <c r="BK38" i="59"/>
  <c r="BG38" i="59"/>
  <c r="BF38" i="59"/>
  <c r="BE38" i="59"/>
  <c r="BD38" i="59"/>
  <c r="BC38" i="59"/>
  <c r="BB38" i="59"/>
  <c r="BA38" i="59"/>
  <c r="AZ38" i="59"/>
  <c r="AY38" i="59"/>
  <c r="AX38" i="59"/>
  <c r="AV38" i="59"/>
  <c r="AU38" i="59"/>
  <c r="AT38" i="59"/>
  <c r="AW38" i="59" s="1"/>
  <c r="AS38" i="59"/>
  <c r="AO38" i="59"/>
  <c r="AN38" i="59"/>
  <c r="AM38" i="59"/>
  <c r="AL38" i="59"/>
  <c r="AK38" i="59"/>
  <c r="AJ38" i="59"/>
  <c r="AI38" i="59"/>
  <c r="AH38" i="59"/>
  <c r="AG38" i="59"/>
  <c r="Z38" i="59"/>
  <c r="Y38" i="59"/>
  <c r="X38" i="59"/>
  <c r="W38" i="59"/>
  <c r="V38" i="59"/>
  <c r="U38" i="59"/>
  <c r="T38" i="59"/>
  <c r="S38" i="59"/>
  <c r="R38" i="59"/>
  <c r="Q38" i="59"/>
  <c r="P38" i="59"/>
  <c r="O38" i="59"/>
  <c r="N38" i="59"/>
  <c r="M38" i="59"/>
  <c r="L38" i="59"/>
  <c r="K38" i="59"/>
  <c r="J38" i="59"/>
  <c r="I38" i="59"/>
  <c r="H38" i="59"/>
  <c r="G38" i="59"/>
  <c r="F38" i="59"/>
  <c r="E38" i="59"/>
  <c r="D38" i="59"/>
  <c r="C38" i="59"/>
  <c r="BT37" i="59"/>
  <c r="BS37" i="59"/>
  <c r="BR37" i="59"/>
  <c r="BQ37" i="59"/>
  <c r="BP37" i="59"/>
  <c r="BO37" i="59"/>
  <c r="BN37" i="59"/>
  <c r="BM37" i="59"/>
  <c r="BL37" i="59"/>
  <c r="BK37" i="59"/>
  <c r="BG37" i="59"/>
  <c r="BF37" i="59"/>
  <c r="BE37" i="59"/>
  <c r="BD37" i="59"/>
  <c r="BC37" i="59"/>
  <c r="BB37" i="59"/>
  <c r="BA37" i="59"/>
  <c r="AZ37" i="59"/>
  <c r="AY37" i="59"/>
  <c r="AX37" i="59"/>
  <c r="AV37" i="59"/>
  <c r="AU37" i="59"/>
  <c r="AT37" i="59"/>
  <c r="AW37" i="59" s="1"/>
  <c r="AS37" i="59"/>
  <c r="AO37" i="59"/>
  <c r="AN37" i="59"/>
  <c r="AM37" i="59"/>
  <c r="AL37" i="59"/>
  <c r="AK37" i="59"/>
  <c r="AJ37" i="59"/>
  <c r="AI37" i="59"/>
  <c r="AH37" i="59"/>
  <c r="AG37" i="59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G37" i="59"/>
  <c r="F37" i="59"/>
  <c r="E37" i="59"/>
  <c r="D37" i="59"/>
  <c r="C37" i="59"/>
  <c r="BT36" i="59"/>
  <c r="BS36" i="59"/>
  <c r="BR36" i="59"/>
  <c r="BQ36" i="59"/>
  <c r="BP36" i="59"/>
  <c r="BO36" i="59"/>
  <c r="BN36" i="59"/>
  <c r="BM36" i="59"/>
  <c r="BL36" i="59"/>
  <c r="BK36" i="59"/>
  <c r="BG36" i="59"/>
  <c r="BF36" i="59"/>
  <c r="BE36" i="59"/>
  <c r="BD36" i="59"/>
  <c r="BC36" i="59"/>
  <c r="BB36" i="59"/>
  <c r="BA36" i="59"/>
  <c r="AZ36" i="59"/>
  <c r="AY36" i="59"/>
  <c r="AX36" i="59"/>
  <c r="AV36" i="59"/>
  <c r="AU36" i="59"/>
  <c r="AT36" i="59"/>
  <c r="AW36" i="59" s="1"/>
  <c r="AS36" i="59"/>
  <c r="AO36" i="59"/>
  <c r="AN36" i="59"/>
  <c r="AM36" i="59"/>
  <c r="AL36" i="59"/>
  <c r="AK36" i="59"/>
  <c r="AJ36" i="59"/>
  <c r="AI36" i="59"/>
  <c r="AH36" i="59"/>
  <c r="AG36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G36" i="59"/>
  <c r="F36" i="59"/>
  <c r="E36" i="59"/>
  <c r="D36" i="59"/>
  <c r="C36" i="59"/>
  <c r="BT35" i="59"/>
  <c r="BS35" i="59"/>
  <c r="BR35" i="59"/>
  <c r="BQ35" i="59"/>
  <c r="BP35" i="59"/>
  <c r="BO35" i="59"/>
  <c r="BN35" i="59"/>
  <c r="BM35" i="59"/>
  <c r="BL35" i="59"/>
  <c r="BK35" i="59"/>
  <c r="BG35" i="59"/>
  <c r="BF35" i="59"/>
  <c r="BE35" i="59"/>
  <c r="BD35" i="59"/>
  <c r="BC35" i="59"/>
  <c r="BB35" i="59"/>
  <c r="BA35" i="59"/>
  <c r="AZ35" i="59"/>
  <c r="AY35" i="59"/>
  <c r="AX35" i="59"/>
  <c r="AV35" i="59"/>
  <c r="AU35" i="59"/>
  <c r="AT35" i="59"/>
  <c r="AW35" i="59" s="1"/>
  <c r="AS35" i="59"/>
  <c r="AO35" i="59"/>
  <c r="AN35" i="59"/>
  <c r="AM35" i="59"/>
  <c r="AL35" i="59"/>
  <c r="AK35" i="59"/>
  <c r="AJ35" i="59"/>
  <c r="AI35" i="59"/>
  <c r="AH35" i="59"/>
  <c r="AG35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G35" i="59"/>
  <c r="F35" i="59"/>
  <c r="E35" i="59"/>
  <c r="D35" i="59"/>
  <c r="C35" i="59"/>
  <c r="BT34" i="59"/>
  <c r="BS34" i="59"/>
  <c r="BR34" i="59"/>
  <c r="BQ34" i="59"/>
  <c r="BP34" i="59"/>
  <c r="BO34" i="59"/>
  <c r="BN34" i="59"/>
  <c r="BM34" i="59"/>
  <c r="BL34" i="59"/>
  <c r="BK34" i="59"/>
  <c r="BG34" i="59"/>
  <c r="BF34" i="59"/>
  <c r="BE34" i="59"/>
  <c r="BD34" i="59"/>
  <c r="BC34" i="59"/>
  <c r="BB34" i="59"/>
  <c r="BA34" i="59"/>
  <c r="AZ34" i="59"/>
  <c r="AY34" i="59"/>
  <c r="AX34" i="59"/>
  <c r="AV34" i="59"/>
  <c r="AU34" i="59"/>
  <c r="AT34" i="59"/>
  <c r="AW34" i="59" s="1"/>
  <c r="AS34" i="59"/>
  <c r="AO34" i="59"/>
  <c r="AN34" i="59"/>
  <c r="AM34" i="59"/>
  <c r="AL34" i="59"/>
  <c r="AK34" i="59"/>
  <c r="AJ34" i="59"/>
  <c r="AI34" i="59"/>
  <c r="AH34" i="59"/>
  <c r="AG34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G34" i="59"/>
  <c r="F34" i="59"/>
  <c r="E34" i="59"/>
  <c r="D34" i="59"/>
  <c r="C34" i="59"/>
  <c r="BT33" i="59"/>
  <c r="BS33" i="59"/>
  <c r="BR33" i="59"/>
  <c r="BQ33" i="59"/>
  <c r="BP33" i="59"/>
  <c r="BO33" i="59"/>
  <c r="BN33" i="59"/>
  <c r="BM33" i="59"/>
  <c r="BL33" i="59"/>
  <c r="BK33" i="59"/>
  <c r="BG33" i="59"/>
  <c r="BF33" i="59"/>
  <c r="BE33" i="59"/>
  <c r="BD33" i="59"/>
  <c r="BC33" i="59"/>
  <c r="BB33" i="59"/>
  <c r="BA33" i="59"/>
  <c r="AZ33" i="59"/>
  <c r="AY33" i="59"/>
  <c r="AX33" i="59"/>
  <c r="AV33" i="59"/>
  <c r="AU33" i="59"/>
  <c r="AT33" i="59"/>
  <c r="AS33" i="59"/>
  <c r="AO33" i="59"/>
  <c r="AN33" i="59"/>
  <c r="AM33" i="59"/>
  <c r="AL33" i="59"/>
  <c r="AK33" i="59"/>
  <c r="AJ33" i="59"/>
  <c r="AI33" i="59"/>
  <c r="AH33" i="59"/>
  <c r="AG33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G33" i="59"/>
  <c r="F33" i="59"/>
  <c r="E33" i="59"/>
  <c r="D33" i="59"/>
  <c r="C33" i="59"/>
  <c r="AW33" i="59" l="1"/>
  <c r="J6" i="11" l="1"/>
  <c r="J10" i="11" l="1"/>
  <c r="G10" i="11" s="1"/>
  <c r="Z20" i="58" l="1"/>
  <c r="AG20" i="58" s="1"/>
  <c r="P107" i="31"/>
  <c r="P106" i="31"/>
  <c r="Y21" i="58" l="1"/>
  <c r="G81" i="31" l="1"/>
  <c r="S26" i="61" l="1"/>
  <c r="R26" i="61"/>
  <c r="Q26" i="61"/>
  <c r="S25" i="61"/>
  <c r="R25" i="61"/>
  <c r="Q25" i="61"/>
  <c r="S24" i="61"/>
  <c r="R24" i="61"/>
  <c r="Q24" i="61"/>
  <c r="S23" i="61"/>
  <c r="R23" i="61"/>
  <c r="Q23" i="61"/>
  <c r="S22" i="61"/>
  <c r="R22" i="61"/>
  <c r="Q22" i="61"/>
  <c r="S21" i="61"/>
  <c r="R21" i="61"/>
  <c r="Q21" i="61"/>
  <c r="S20" i="61"/>
  <c r="R20" i="61"/>
  <c r="R27" i="61" s="1"/>
  <c r="Q20" i="61"/>
  <c r="M18" i="61"/>
  <c r="L18" i="61"/>
  <c r="M15" i="61"/>
  <c r="L15" i="61"/>
  <c r="K15" i="61"/>
  <c r="S27" i="61" l="1"/>
  <c r="I27" i="61"/>
  <c r="H27" i="61"/>
  <c r="G27" i="61"/>
  <c r="R16" i="58" l="1"/>
  <c r="BR95" i="25" l="1"/>
  <c r="BQ95" i="25"/>
  <c r="BP95" i="25"/>
  <c r="BO95" i="25"/>
  <c r="BN95" i="25"/>
  <c r="BM95" i="25"/>
  <c r="BL95" i="25"/>
  <c r="BK95" i="25"/>
  <c r="BJ95" i="25"/>
  <c r="BF95" i="25"/>
  <c r="BE95" i="25"/>
  <c r="BD95" i="25"/>
  <c r="BC95" i="25"/>
  <c r="BB95" i="25"/>
  <c r="BA95" i="25"/>
  <c r="AZ95" i="25"/>
  <c r="AY95" i="25"/>
  <c r="AX95" i="25"/>
  <c r="AW95" i="25"/>
  <c r="AU95" i="25"/>
  <c r="AT95" i="25"/>
  <c r="AS95" i="25"/>
  <c r="AR95" i="25"/>
  <c r="AN95" i="25"/>
  <c r="AM95" i="25"/>
  <c r="AL95" i="25"/>
  <c r="AK95" i="25"/>
  <c r="AJ95" i="25"/>
  <c r="AI95" i="25"/>
  <c r="AH95" i="25"/>
  <c r="AG95" i="25"/>
  <c r="AF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BR94" i="25"/>
  <c r="BQ94" i="25"/>
  <c r="BP94" i="25"/>
  <c r="BO94" i="25"/>
  <c r="BN94" i="25"/>
  <c r="BM94" i="25"/>
  <c r="BL94" i="25"/>
  <c r="BK94" i="25"/>
  <c r="BJ94" i="25"/>
  <c r="BF94" i="25"/>
  <c r="BE94" i="25"/>
  <c r="BD94" i="25"/>
  <c r="BC94" i="25"/>
  <c r="BB94" i="25"/>
  <c r="BA94" i="25"/>
  <c r="AZ94" i="25"/>
  <c r="AY94" i="25"/>
  <c r="AX94" i="25"/>
  <c r="AW94" i="25"/>
  <c r="AU94" i="25"/>
  <c r="AT94" i="25"/>
  <c r="AS94" i="25"/>
  <c r="AR94" i="25"/>
  <c r="AN94" i="25"/>
  <c r="AM94" i="25"/>
  <c r="AL94" i="25"/>
  <c r="AK94" i="25"/>
  <c r="AJ94" i="25"/>
  <c r="AI94" i="25"/>
  <c r="AH94" i="25"/>
  <c r="AG94" i="25"/>
  <c r="AF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BR93" i="25"/>
  <c r="BQ93" i="25"/>
  <c r="BP93" i="25"/>
  <c r="BO93" i="25"/>
  <c r="BN93" i="25"/>
  <c r="BM93" i="25"/>
  <c r="BL93" i="25"/>
  <c r="BK93" i="25"/>
  <c r="BJ93" i="25"/>
  <c r="BF93" i="25"/>
  <c r="BE93" i="25"/>
  <c r="BD93" i="25"/>
  <c r="BC93" i="25"/>
  <c r="BB93" i="25"/>
  <c r="BA93" i="25"/>
  <c r="AZ93" i="25"/>
  <c r="AY93" i="25"/>
  <c r="AX93" i="25"/>
  <c r="AW93" i="25"/>
  <c r="AU93" i="25"/>
  <c r="AT93" i="25"/>
  <c r="AS93" i="25"/>
  <c r="AR93" i="25"/>
  <c r="AN93" i="25"/>
  <c r="AM93" i="25"/>
  <c r="AL93" i="25"/>
  <c r="AK93" i="25"/>
  <c r="AJ93" i="25"/>
  <c r="AI93" i="25"/>
  <c r="AH93" i="25"/>
  <c r="AG93" i="25"/>
  <c r="AF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AV93" i="25" l="1"/>
  <c r="AV95" i="25"/>
  <c r="AV94" i="25"/>
  <c r="G6" i="11"/>
  <c r="D7" i="25" l="1"/>
  <c r="BR226" i="25"/>
  <c r="BQ226" i="25"/>
  <c r="BP226" i="25"/>
  <c r="BO226" i="25"/>
  <c r="BN226" i="25"/>
  <c r="BM226" i="25"/>
  <c r="BL226" i="25"/>
  <c r="BK226" i="25"/>
  <c r="BJ226" i="25"/>
  <c r="BF226" i="25"/>
  <c r="BE226" i="25"/>
  <c r="BD226" i="25"/>
  <c r="BC226" i="25"/>
  <c r="BB226" i="25"/>
  <c r="BA226" i="25"/>
  <c r="AZ226" i="25"/>
  <c r="AY226" i="25"/>
  <c r="AX226" i="25"/>
  <c r="AW226" i="25"/>
  <c r="AU226" i="25"/>
  <c r="AT226" i="25"/>
  <c r="AS226" i="25"/>
  <c r="AV226" i="25" s="1"/>
  <c r="AR226" i="25"/>
  <c r="AN226" i="25"/>
  <c r="AM226" i="25"/>
  <c r="AL226" i="25"/>
  <c r="AK226" i="25"/>
  <c r="AJ226" i="25"/>
  <c r="AI226" i="25"/>
  <c r="AH226" i="25"/>
  <c r="AG226" i="25"/>
  <c r="AF226" i="25"/>
  <c r="Y226" i="25"/>
  <c r="X226" i="25"/>
  <c r="W226" i="25"/>
  <c r="V226" i="25"/>
  <c r="U226" i="25"/>
  <c r="T226" i="25"/>
  <c r="S226" i="25"/>
  <c r="R226" i="25"/>
  <c r="Q226" i="25"/>
  <c r="P226" i="25"/>
  <c r="O226" i="25"/>
  <c r="N226" i="25"/>
  <c r="M226" i="25"/>
  <c r="L226" i="25"/>
  <c r="K226" i="25"/>
  <c r="J226" i="25"/>
  <c r="I226" i="25"/>
  <c r="H226" i="25"/>
  <c r="G226" i="25"/>
  <c r="F226" i="25"/>
  <c r="E226" i="25"/>
  <c r="D226" i="25"/>
  <c r="BR225" i="25"/>
  <c r="BQ225" i="25"/>
  <c r="BP225" i="25"/>
  <c r="BO225" i="25"/>
  <c r="BN225" i="25"/>
  <c r="BM225" i="25"/>
  <c r="BL225" i="25"/>
  <c r="BK225" i="25"/>
  <c r="BJ225" i="25"/>
  <c r="BF225" i="25"/>
  <c r="BE225" i="25"/>
  <c r="BD225" i="25"/>
  <c r="BC225" i="25"/>
  <c r="BB225" i="25"/>
  <c r="BA225" i="25"/>
  <c r="AZ225" i="25"/>
  <c r="AY225" i="25"/>
  <c r="AX225" i="25"/>
  <c r="AW225" i="25"/>
  <c r="AU225" i="25"/>
  <c r="AT225" i="25"/>
  <c r="AS225" i="25"/>
  <c r="AV225" i="25" s="1"/>
  <c r="AR225" i="25"/>
  <c r="AN225" i="25"/>
  <c r="AM225" i="25"/>
  <c r="AL225" i="25"/>
  <c r="AK225" i="25"/>
  <c r="AJ225" i="25"/>
  <c r="AI225" i="25"/>
  <c r="AH225" i="25"/>
  <c r="AG225" i="25"/>
  <c r="AF225" i="25"/>
  <c r="Y225" i="25"/>
  <c r="X225" i="25"/>
  <c r="W225" i="25"/>
  <c r="V225" i="25"/>
  <c r="U225" i="25"/>
  <c r="T225" i="25"/>
  <c r="S225" i="25"/>
  <c r="R225" i="25"/>
  <c r="Q225" i="25"/>
  <c r="P225" i="25"/>
  <c r="O225" i="25"/>
  <c r="N225" i="25"/>
  <c r="M225" i="25"/>
  <c r="L225" i="25"/>
  <c r="K225" i="25"/>
  <c r="J225" i="25"/>
  <c r="I225" i="25"/>
  <c r="H225" i="25"/>
  <c r="G225" i="25"/>
  <c r="F225" i="25"/>
  <c r="E225" i="25"/>
  <c r="D225" i="25"/>
  <c r="BR224" i="25"/>
  <c r="BQ224" i="25"/>
  <c r="BP224" i="25"/>
  <c r="BO224" i="25"/>
  <c r="BN224" i="25"/>
  <c r="BM224" i="25"/>
  <c r="BL224" i="25"/>
  <c r="BK224" i="25"/>
  <c r="BJ224" i="25"/>
  <c r="BF224" i="25"/>
  <c r="BE224" i="25"/>
  <c r="BD224" i="25"/>
  <c r="BC224" i="25"/>
  <c r="BB224" i="25"/>
  <c r="BA224" i="25"/>
  <c r="AZ224" i="25"/>
  <c r="AY224" i="25"/>
  <c r="AX224" i="25"/>
  <c r="AW224" i="25"/>
  <c r="AU224" i="25"/>
  <c r="AT224" i="25"/>
  <c r="AS224" i="25"/>
  <c r="AV224" i="25" s="1"/>
  <c r="AR224" i="25"/>
  <c r="AN224" i="25"/>
  <c r="AM224" i="25"/>
  <c r="AL224" i="25"/>
  <c r="AK224" i="25"/>
  <c r="AJ224" i="25"/>
  <c r="AI224" i="25"/>
  <c r="AH224" i="25"/>
  <c r="AG224" i="25"/>
  <c r="AF224" i="25"/>
  <c r="Y224" i="25"/>
  <c r="X224" i="25"/>
  <c r="W224" i="25"/>
  <c r="V224" i="25"/>
  <c r="U224" i="25"/>
  <c r="T224" i="25"/>
  <c r="S224" i="25"/>
  <c r="R224" i="25"/>
  <c r="Q224" i="25"/>
  <c r="P224" i="25"/>
  <c r="O224" i="25"/>
  <c r="N224" i="25"/>
  <c r="M224" i="25"/>
  <c r="L224" i="25"/>
  <c r="K224" i="25"/>
  <c r="J224" i="25"/>
  <c r="I224" i="25"/>
  <c r="H224" i="25"/>
  <c r="G224" i="25"/>
  <c r="F224" i="25"/>
  <c r="E224" i="25"/>
  <c r="D224" i="25"/>
  <c r="BR223" i="25"/>
  <c r="BQ223" i="25"/>
  <c r="BP223" i="25"/>
  <c r="BO223" i="25"/>
  <c r="BN223" i="25"/>
  <c r="BM223" i="25"/>
  <c r="BL223" i="25"/>
  <c r="BK223" i="25"/>
  <c r="BJ223" i="25"/>
  <c r="BF223" i="25"/>
  <c r="BE223" i="25"/>
  <c r="BD223" i="25"/>
  <c r="BC223" i="25"/>
  <c r="BB223" i="25"/>
  <c r="BA223" i="25"/>
  <c r="AZ223" i="25"/>
  <c r="AY223" i="25"/>
  <c r="AX223" i="25"/>
  <c r="AW223" i="25"/>
  <c r="AU223" i="25"/>
  <c r="AT223" i="25"/>
  <c r="AS223" i="25"/>
  <c r="AV223" i="25" s="1"/>
  <c r="AR223" i="25"/>
  <c r="AN223" i="25"/>
  <c r="AM223" i="25"/>
  <c r="AL223" i="25"/>
  <c r="AK223" i="25"/>
  <c r="AJ223" i="25"/>
  <c r="AI223" i="25"/>
  <c r="AH223" i="25"/>
  <c r="AG223" i="25"/>
  <c r="AF223" i="25"/>
  <c r="Y223" i="25"/>
  <c r="X223" i="25"/>
  <c r="W223" i="25"/>
  <c r="V223" i="25"/>
  <c r="U223" i="25"/>
  <c r="T223" i="25"/>
  <c r="S223" i="25"/>
  <c r="R223" i="25"/>
  <c r="Q223" i="25"/>
  <c r="P223" i="25"/>
  <c r="O223" i="25"/>
  <c r="N223" i="25"/>
  <c r="M223" i="25"/>
  <c r="L223" i="25"/>
  <c r="K223" i="25"/>
  <c r="J223" i="25"/>
  <c r="I223" i="25"/>
  <c r="H223" i="25"/>
  <c r="G223" i="25"/>
  <c r="F223" i="25"/>
  <c r="E223" i="25"/>
  <c r="D223" i="25"/>
  <c r="BR222" i="25"/>
  <c r="BQ222" i="25"/>
  <c r="BP222" i="25"/>
  <c r="BO222" i="25"/>
  <c r="BN222" i="25"/>
  <c r="BM222" i="25"/>
  <c r="BL222" i="25"/>
  <c r="BK222" i="25"/>
  <c r="BJ222" i="25"/>
  <c r="BF222" i="25"/>
  <c r="BE222" i="25"/>
  <c r="BD222" i="25"/>
  <c r="BC222" i="25"/>
  <c r="BB222" i="25"/>
  <c r="BA222" i="25"/>
  <c r="AZ222" i="25"/>
  <c r="AY222" i="25"/>
  <c r="AX222" i="25"/>
  <c r="AW222" i="25"/>
  <c r="AU222" i="25"/>
  <c r="AT222" i="25"/>
  <c r="AS222" i="25"/>
  <c r="AR222" i="25"/>
  <c r="AN222" i="25"/>
  <c r="AM222" i="25"/>
  <c r="AL222" i="25"/>
  <c r="AK222" i="25"/>
  <c r="AJ222" i="25"/>
  <c r="AI222" i="25"/>
  <c r="AH222" i="25"/>
  <c r="AG222" i="25"/>
  <c r="AF222" i="25"/>
  <c r="Y222" i="25"/>
  <c r="X222" i="25"/>
  <c r="W222" i="25"/>
  <c r="V222" i="25"/>
  <c r="U222" i="25"/>
  <c r="T222" i="25"/>
  <c r="S222" i="25"/>
  <c r="R222" i="25"/>
  <c r="Q222" i="25"/>
  <c r="P222" i="25"/>
  <c r="O222" i="25"/>
  <c r="N222" i="25"/>
  <c r="M222" i="25"/>
  <c r="L222" i="25"/>
  <c r="K222" i="25"/>
  <c r="J222" i="25"/>
  <c r="I222" i="25"/>
  <c r="H222" i="25"/>
  <c r="G222" i="25"/>
  <c r="F222" i="25"/>
  <c r="E222" i="25"/>
  <c r="D222" i="25"/>
  <c r="BR221" i="25"/>
  <c r="BQ221" i="25"/>
  <c r="BP221" i="25"/>
  <c r="BO221" i="25"/>
  <c r="BN221" i="25"/>
  <c r="BM221" i="25"/>
  <c r="BL221" i="25"/>
  <c r="BK221" i="25"/>
  <c r="BJ221" i="25"/>
  <c r="BF221" i="25"/>
  <c r="BE221" i="25"/>
  <c r="BD221" i="25"/>
  <c r="BC221" i="25"/>
  <c r="BB221" i="25"/>
  <c r="BA221" i="25"/>
  <c r="AZ221" i="25"/>
  <c r="AY221" i="25"/>
  <c r="AX221" i="25"/>
  <c r="AW221" i="25"/>
  <c r="AU221" i="25"/>
  <c r="AT221" i="25"/>
  <c r="AS221" i="25"/>
  <c r="AR221" i="25"/>
  <c r="AN221" i="25"/>
  <c r="AM221" i="25"/>
  <c r="AL221" i="25"/>
  <c r="AK221" i="25"/>
  <c r="AJ221" i="25"/>
  <c r="AI221" i="25"/>
  <c r="AH221" i="25"/>
  <c r="AG221" i="25"/>
  <c r="AF221" i="25"/>
  <c r="Y221" i="25"/>
  <c r="X221" i="25"/>
  <c r="W221" i="25"/>
  <c r="V221" i="25"/>
  <c r="U221" i="25"/>
  <c r="T221" i="25"/>
  <c r="S221" i="25"/>
  <c r="R221" i="25"/>
  <c r="Q221" i="25"/>
  <c r="P221" i="25"/>
  <c r="O221" i="25"/>
  <c r="N221" i="25"/>
  <c r="M221" i="25"/>
  <c r="L221" i="25"/>
  <c r="K221" i="25"/>
  <c r="J221" i="25"/>
  <c r="I221" i="25"/>
  <c r="H221" i="25"/>
  <c r="G221" i="25"/>
  <c r="F221" i="25"/>
  <c r="E221" i="25"/>
  <c r="D221" i="25"/>
  <c r="BR220" i="25"/>
  <c r="BQ220" i="25"/>
  <c r="BP220" i="25"/>
  <c r="BO220" i="25"/>
  <c r="BN220" i="25"/>
  <c r="BM220" i="25"/>
  <c r="BL220" i="25"/>
  <c r="BK220" i="25"/>
  <c r="BJ220" i="25"/>
  <c r="BF220" i="25"/>
  <c r="BE220" i="25"/>
  <c r="BD220" i="25"/>
  <c r="BC220" i="25"/>
  <c r="BB220" i="25"/>
  <c r="BA220" i="25"/>
  <c r="AZ220" i="25"/>
  <c r="AY220" i="25"/>
  <c r="AX220" i="25"/>
  <c r="AW220" i="25"/>
  <c r="AU220" i="25"/>
  <c r="AT220" i="25"/>
  <c r="AS220" i="25"/>
  <c r="AR220" i="25"/>
  <c r="AN220" i="25"/>
  <c r="AM220" i="25"/>
  <c r="AL220" i="25"/>
  <c r="AK220" i="25"/>
  <c r="AJ220" i="25"/>
  <c r="AI220" i="25"/>
  <c r="AH220" i="25"/>
  <c r="AG220" i="25"/>
  <c r="AF220" i="25"/>
  <c r="Y220" i="25"/>
  <c r="X220" i="25"/>
  <c r="W220" i="25"/>
  <c r="V220" i="25"/>
  <c r="U220" i="25"/>
  <c r="T220" i="25"/>
  <c r="S220" i="25"/>
  <c r="R220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BR219" i="25"/>
  <c r="BQ219" i="25"/>
  <c r="BP219" i="25"/>
  <c r="BO219" i="25"/>
  <c r="BN219" i="25"/>
  <c r="BM219" i="25"/>
  <c r="BL219" i="25"/>
  <c r="BK219" i="25"/>
  <c r="BJ219" i="25"/>
  <c r="BF219" i="25"/>
  <c r="BE219" i="25"/>
  <c r="BD219" i="25"/>
  <c r="BC219" i="25"/>
  <c r="BB219" i="25"/>
  <c r="BA219" i="25"/>
  <c r="AZ219" i="25"/>
  <c r="AY219" i="25"/>
  <c r="AX219" i="25"/>
  <c r="AW219" i="25"/>
  <c r="AU219" i="25"/>
  <c r="AT219" i="25"/>
  <c r="AS219" i="25"/>
  <c r="AR219" i="25"/>
  <c r="AN219" i="25"/>
  <c r="AM219" i="25"/>
  <c r="AL219" i="25"/>
  <c r="AK219" i="25"/>
  <c r="AJ219" i="25"/>
  <c r="AI219" i="25"/>
  <c r="AH219" i="25"/>
  <c r="AG219" i="25"/>
  <c r="AF219" i="25"/>
  <c r="Y219" i="25"/>
  <c r="X219" i="25"/>
  <c r="W219" i="25"/>
  <c r="V219" i="25"/>
  <c r="U219" i="25"/>
  <c r="T219" i="25"/>
  <c r="S219" i="25"/>
  <c r="R219" i="25"/>
  <c r="Q219" i="25"/>
  <c r="P219" i="25"/>
  <c r="O219" i="25"/>
  <c r="N219" i="25"/>
  <c r="M219" i="25"/>
  <c r="L219" i="25"/>
  <c r="K219" i="25"/>
  <c r="J219" i="25"/>
  <c r="I219" i="25"/>
  <c r="H219" i="25"/>
  <c r="G219" i="25"/>
  <c r="F219" i="25"/>
  <c r="E219" i="25"/>
  <c r="D219" i="25"/>
  <c r="BR218" i="25"/>
  <c r="BQ218" i="25"/>
  <c r="BP218" i="25"/>
  <c r="BO218" i="25"/>
  <c r="BN218" i="25"/>
  <c r="BM218" i="25"/>
  <c r="BL218" i="25"/>
  <c r="BK218" i="25"/>
  <c r="BJ218" i="25"/>
  <c r="BF218" i="25"/>
  <c r="BE218" i="25"/>
  <c r="BD218" i="25"/>
  <c r="BC218" i="25"/>
  <c r="BB218" i="25"/>
  <c r="BA218" i="25"/>
  <c r="AZ218" i="25"/>
  <c r="AY218" i="25"/>
  <c r="AX218" i="25"/>
  <c r="AW218" i="25"/>
  <c r="AU218" i="25"/>
  <c r="AT218" i="25"/>
  <c r="AS218" i="25"/>
  <c r="AR218" i="25"/>
  <c r="AN218" i="25"/>
  <c r="AM218" i="25"/>
  <c r="AL218" i="25"/>
  <c r="AK218" i="25"/>
  <c r="AJ218" i="25"/>
  <c r="AI218" i="25"/>
  <c r="AH218" i="25"/>
  <c r="AG218" i="25"/>
  <c r="AF218" i="25"/>
  <c r="Y218" i="25"/>
  <c r="X218" i="25"/>
  <c r="W218" i="25"/>
  <c r="V218" i="25"/>
  <c r="U218" i="25"/>
  <c r="T218" i="25"/>
  <c r="S218" i="25"/>
  <c r="R218" i="25"/>
  <c r="Q218" i="25"/>
  <c r="P218" i="25"/>
  <c r="O218" i="25"/>
  <c r="N218" i="25"/>
  <c r="M218" i="25"/>
  <c r="L218" i="25"/>
  <c r="K218" i="25"/>
  <c r="J218" i="25"/>
  <c r="I218" i="25"/>
  <c r="H218" i="25"/>
  <c r="G218" i="25"/>
  <c r="F218" i="25"/>
  <c r="E218" i="25"/>
  <c r="D218" i="25"/>
  <c r="BR217" i="25"/>
  <c r="BQ217" i="25"/>
  <c r="BP217" i="25"/>
  <c r="BO217" i="25"/>
  <c r="BN217" i="25"/>
  <c r="BM217" i="25"/>
  <c r="BL217" i="25"/>
  <c r="BK217" i="25"/>
  <c r="BJ217" i="25"/>
  <c r="BF217" i="25"/>
  <c r="BE217" i="25"/>
  <c r="BD217" i="25"/>
  <c r="BC217" i="25"/>
  <c r="BB217" i="25"/>
  <c r="BA217" i="25"/>
  <c r="AZ217" i="25"/>
  <c r="AY217" i="25"/>
  <c r="AX217" i="25"/>
  <c r="AW217" i="25"/>
  <c r="AU217" i="25"/>
  <c r="AT217" i="25"/>
  <c r="AS217" i="25"/>
  <c r="AV217" i="25" s="1"/>
  <c r="AR217" i="25"/>
  <c r="AN217" i="25"/>
  <c r="AM217" i="25"/>
  <c r="AL217" i="25"/>
  <c r="AK217" i="25"/>
  <c r="AJ217" i="25"/>
  <c r="AI217" i="25"/>
  <c r="AH217" i="25"/>
  <c r="AG217" i="25"/>
  <c r="AF217" i="25"/>
  <c r="Y217" i="25"/>
  <c r="X217" i="25"/>
  <c r="W217" i="25"/>
  <c r="V217" i="25"/>
  <c r="U217" i="25"/>
  <c r="T217" i="25"/>
  <c r="S217" i="25"/>
  <c r="R217" i="25"/>
  <c r="Q217" i="25"/>
  <c r="P217" i="25"/>
  <c r="O217" i="25"/>
  <c r="N217" i="25"/>
  <c r="M217" i="25"/>
  <c r="L217" i="25"/>
  <c r="K217" i="25"/>
  <c r="J217" i="25"/>
  <c r="I217" i="25"/>
  <c r="H217" i="25"/>
  <c r="G217" i="25"/>
  <c r="F217" i="25"/>
  <c r="E217" i="25"/>
  <c r="D217" i="25"/>
  <c r="BR216" i="25"/>
  <c r="BQ216" i="25"/>
  <c r="BP216" i="25"/>
  <c r="BO216" i="25"/>
  <c r="BN216" i="25"/>
  <c r="BM216" i="25"/>
  <c r="BL216" i="25"/>
  <c r="BK216" i="25"/>
  <c r="BJ216" i="25"/>
  <c r="BF216" i="25"/>
  <c r="BE216" i="25"/>
  <c r="BD216" i="25"/>
  <c r="BC216" i="25"/>
  <c r="BB216" i="25"/>
  <c r="BA216" i="25"/>
  <c r="AZ216" i="25"/>
  <c r="AY216" i="25"/>
  <c r="AX216" i="25"/>
  <c r="AW216" i="25"/>
  <c r="AU216" i="25"/>
  <c r="AT216" i="25"/>
  <c r="AS216" i="25"/>
  <c r="AR216" i="25"/>
  <c r="AN216" i="25"/>
  <c r="AM216" i="25"/>
  <c r="AL216" i="25"/>
  <c r="AK216" i="25"/>
  <c r="AJ216" i="25"/>
  <c r="AI216" i="25"/>
  <c r="AH216" i="25"/>
  <c r="AG216" i="25"/>
  <c r="AF216" i="25"/>
  <c r="Y216" i="25"/>
  <c r="X216" i="25"/>
  <c r="W216" i="25"/>
  <c r="V216" i="25"/>
  <c r="U216" i="25"/>
  <c r="T216" i="25"/>
  <c r="S216" i="25"/>
  <c r="R216" i="25"/>
  <c r="Q216" i="25"/>
  <c r="P216" i="25"/>
  <c r="O216" i="25"/>
  <c r="N216" i="25"/>
  <c r="M216" i="25"/>
  <c r="L216" i="25"/>
  <c r="K216" i="25"/>
  <c r="J216" i="25"/>
  <c r="I216" i="25"/>
  <c r="H216" i="25"/>
  <c r="G216" i="25"/>
  <c r="F216" i="25"/>
  <c r="E216" i="25"/>
  <c r="D216" i="25"/>
  <c r="BR215" i="25"/>
  <c r="BQ215" i="25"/>
  <c r="BP215" i="25"/>
  <c r="BO215" i="25"/>
  <c r="BN215" i="25"/>
  <c r="BM215" i="25"/>
  <c r="BL215" i="25"/>
  <c r="BK215" i="25"/>
  <c r="BJ215" i="25"/>
  <c r="BF215" i="25"/>
  <c r="BE215" i="25"/>
  <c r="BD215" i="25"/>
  <c r="BC215" i="25"/>
  <c r="BB215" i="25"/>
  <c r="BA215" i="25"/>
  <c r="AZ215" i="25"/>
  <c r="AY215" i="25"/>
  <c r="AX215" i="25"/>
  <c r="AW215" i="25"/>
  <c r="AU215" i="25"/>
  <c r="AT215" i="25"/>
  <c r="AS215" i="25"/>
  <c r="AV215" i="25" s="1"/>
  <c r="AR215" i="25"/>
  <c r="AN215" i="25"/>
  <c r="AM215" i="25"/>
  <c r="AL215" i="25"/>
  <c r="AK215" i="25"/>
  <c r="AJ215" i="25"/>
  <c r="AI215" i="25"/>
  <c r="AH215" i="25"/>
  <c r="AG215" i="25"/>
  <c r="AF215" i="25"/>
  <c r="Y215" i="25"/>
  <c r="X215" i="25"/>
  <c r="W215" i="25"/>
  <c r="V215" i="25"/>
  <c r="U215" i="25"/>
  <c r="T215" i="25"/>
  <c r="S215" i="25"/>
  <c r="R215" i="25"/>
  <c r="Q215" i="25"/>
  <c r="P215" i="25"/>
  <c r="O215" i="25"/>
  <c r="N215" i="25"/>
  <c r="M215" i="25"/>
  <c r="L215" i="25"/>
  <c r="K215" i="25"/>
  <c r="J215" i="25"/>
  <c r="I215" i="25"/>
  <c r="H215" i="25"/>
  <c r="G215" i="25"/>
  <c r="F215" i="25"/>
  <c r="E215" i="25"/>
  <c r="D215" i="25"/>
  <c r="AV218" i="25" l="1"/>
  <c r="AV220" i="25"/>
  <c r="AV222" i="25"/>
  <c r="AV216" i="25"/>
  <c r="AV219" i="25"/>
  <c r="AV221" i="25"/>
  <c r="C9" i="51"/>
  <c r="C10" i="51"/>
  <c r="X18" i="58" l="1"/>
  <c r="W8" i="61" l="1"/>
  <c r="T8" i="61"/>
  <c r="P16" i="61"/>
  <c r="P19" i="61" s="1"/>
  <c r="O16" i="61"/>
  <c r="O19" i="61" s="1"/>
  <c r="N16" i="61"/>
  <c r="S18" i="61" l="1"/>
  <c r="R18" i="61"/>
  <c r="Q18" i="61"/>
  <c r="S17" i="61"/>
  <c r="R17" i="61"/>
  <c r="H19" i="61"/>
  <c r="H28" i="61" s="1"/>
  <c r="G19" i="61"/>
  <c r="G28" i="61" s="1"/>
  <c r="F19" i="61"/>
  <c r="F28" i="61" s="1"/>
  <c r="Q17" i="61"/>
  <c r="AC17" i="61" s="1"/>
  <c r="S15" i="61"/>
  <c r="R15" i="61"/>
  <c r="Q15" i="61"/>
  <c r="S14" i="61"/>
  <c r="R14" i="61"/>
  <c r="Q14" i="61"/>
  <c r="S13" i="61"/>
  <c r="R13" i="61"/>
  <c r="Q13" i="61"/>
  <c r="S12" i="61"/>
  <c r="R12" i="61"/>
  <c r="Q12" i="61"/>
  <c r="S11" i="61"/>
  <c r="R11" i="61"/>
  <c r="Q11" i="61"/>
  <c r="S10" i="61"/>
  <c r="R10" i="61"/>
  <c r="Q10" i="61"/>
  <c r="K16" i="61"/>
  <c r="M16" i="61"/>
  <c r="M19" i="61" s="1"/>
  <c r="L16" i="61"/>
  <c r="L19" i="61" s="1"/>
  <c r="R16" i="61" l="1"/>
  <c r="R19" i="61" s="1"/>
  <c r="R28" i="61" s="1"/>
  <c r="S16" i="61"/>
  <c r="S19" i="61" s="1"/>
  <c r="S28" i="61" s="1"/>
  <c r="Q16" i="61"/>
  <c r="Q19" i="61" s="1"/>
  <c r="Q28" i="61" s="1"/>
  <c r="AL27" i="61"/>
  <c r="AC27" i="61"/>
  <c r="Y27" i="61"/>
  <c r="X27" i="61"/>
  <c r="W27" i="61"/>
  <c r="V27" i="61"/>
  <c r="U27" i="61"/>
  <c r="T27" i="61"/>
  <c r="D27" i="61"/>
  <c r="C27" i="61"/>
  <c r="AE26" i="61"/>
  <c r="AB26" i="61"/>
  <c r="AE25" i="61"/>
  <c r="AG25" i="61" s="1"/>
  <c r="AB25" i="61"/>
  <c r="AK24" i="61"/>
  <c r="AE24" i="61"/>
  <c r="AG24" i="61" s="1"/>
  <c r="AB24" i="61"/>
  <c r="AK23" i="61"/>
  <c r="AE23" i="61"/>
  <c r="AG23" i="61" s="1"/>
  <c r="AD23" i="61"/>
  <c r="AB23" i="61"/>
  <c r="Z23" i="61"/>
  <c r="AK22" i="61"/>
  <c r="AE22" i="61"/>
  <c r="AD22" i="61"/>
  <c r="AB22" i="61"/>
  <c r="AA22" i="61"/>
  <c r="Z22" i="61"/>
  <c r="AK21" i="61"/>
  <c r="AE21" i="61"/>
  <c r="AG21" i="61" s="1"/>
  <c r="AD21" i="61"/>
  <c r="AB21" i="61"/>
  <c r="AA21" i="61"/>
  <c r="Z21" i="61"/>
  <c r="AK20" i="61"/>
  <c r="AE20" i="61"/>
  <c r="AD20" i="61"/>
  <c r="AB20" i="61"/>
  <c r="AA20" i="61"/>
  <c r="Z20" i="61"/>
  <c r="AK19" i="61"/>
  <c r="AK27" i="61" s="1"/>
  <c r="AJ19" i="61"/>
  <c r="AJ27" i="61" s="1"/>
  <c r="AJ28" i="61" s="1"/>
  <c r="AI19" i="61"/>
  <c r="AI27" i="61" s="1"/>
  <c r="AI28" i="61" s="1"/>
  <c r="AH19" i="61"/>
  <c r="AH27" i="61" s="1"/>
  <c r="AH28" i="61" s="1"/>
  <c r="Z18" i="61"/>
  <c r="Z17" i="61"/>
  <c r="D16" i="61"/>
  <c r="D19" i="61" s="1"/>
  <c r="D28" i="61" s="1"/>
  <c r="C16" i="61"/>
  <c r="C19" i="61" s="1"/>
  <c r="X16" i="61"/>
  <c r="W16" i="61"/>
  <c r="T10" i="61"/>
  <c r="AC10" i="61" s="1"/>
  <c r="X19" i="61" l="1"/>
  <c r="X28" i="61" s="1"/>
  <c r="C28" i="61"/>
  <c r="AD27" i="61"/>
  <c r="Y16" i="61"/>
  <c r="Y19" i="61" s="1"/>
  <c r="Y28" i="61" s="1"/>
  <c r="Z27" i="61"/>
  <c r="AE27" i="61"/>
  <c r="AB27" i="61"/>
  <c r="W19" i="61"/>
  <c r="W28" i="61" s="1"/>
  <c r="AA27" i="61"/>
  <c r="E24" i="61"/>
  <c r="E14" i="61"/>
  <c r="E21" i="61"/>
  <c r="E18" i="61"/>
  <c r="E15" i="61"/>
  <c r="E11" i="61"/>
  <c r="E26" i="61"/>
  <c r="E17" i="61"/>
  <c r="E12" i="61"/>
  <c r="E23" i="61"/>
  <c r="E22" i="61"/>
  <c r="E20" i="61"/>
  <c r="E13" i="61"/>
  <c r="E10" i="61"/>
  <c r="AK28" i="61"/>
  <c r="Z10" i="61"/>
  <c r="AG20" i="61"/>
  <c r="AG22" i="61"/>
  <c r="AG26" i="61"/>
  <c r="E27" i="61" l="1"/>
  <c r="E16" i="61"/>
  <c r="E19" i="61" s="1"/>
  <c r="AG27" i="61"/>
  <c r="E28" i="61" l="1"/>
  <c r="AH142" i="24" l="1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BR197" i="25"/>
  <c r="BQ197" i="25"/>
  <c r="BP197" i="25"/>
  <c r="BO197" i="25"/>
  <c r="BN197" i="25"/>
  <c r="BM197" i="25"/>
  <c r="BL197" i="25"/>
  <c r="BK197" i="25"/>
  <c r="BJ197" i="25"/>
  <c r="BF197" i="25"/>
  <c r="BE197" i="25"/>
  <c r="BD197" i="25"/>
  <c r="BC197" i="25"/>
  <c r="BB197" i="25"/>
  <c r="BA197" i="25"/>
  <c r="AZ197" i="25"/>
  <c r="AY197" i="25"/>
  <c r="AX197" i="25"/>
  <c r="AW197" i="25"/>
  <c r="AU197" i="25"/>
  <c r="AT197" i="25"/>
  <c r="AS197" i="25"/>
  <c r="AV197" i="25" s="1"/>
  <c r="AR197" i="25"/>
  <c r="AN197" i="25"/>
  <c r="AM197" i="25"/>
  <c r="AL197" i="25"/>
  <c r="AK197" i="25"/>
  <c r="AJ197" i="25"/>
  <c r="AI197" i="25"/>
  <c r="AH197" i="25"/>
  <c r="AG197" i="25"/>
  <c r="AF197" i="25"/>
  <c r="Y197" i="25"/>
  <c r="X197" i="25"/>
  <c r="W197" i="25"/>
  <c r="V197" i="25"/>
  <c r="U197" i="25"/>
  <c r="T197" i="25"/>
  <c r="S197" i="25"/>
  <c r="R197" i="25"/>
  <c r="Q197" i="25"/>
  <c r="P197" i="25"/>
  <c r="O197" i="25"/>
  <c r="N197" i="25"/>
  <c r="M197" i="25"/>
  <c r="L197" i="25"/>
  <c r="K197" i="25"/>
  <c r="J197" i="25"/>
  <c r="I197" i="25"/>
  <c r="H197" i="25"/>
  <c r="G197" i="25"/>
  <c r="F197" i="25"/>
  <c r="E197" i="25"/>
  <c r="D197" i="25"/>
  <c r="BR196" i="25"/>
  <c r="BQ196" i="25"/>
  <c r="BP196" i="25"/>
  <c r="BO196" i="25"/>
  <c r="BN196" i="25"/>
  <c r="BM196" i="25"/>
  <c r="BL196" i="25"/>
  <c r="BK196" i="25"/>
  <c r="BJ196" i="25"/>
  <c r="BF196" i="25"/>
  <c r="BE196" i="25"/>
  <c r="BD196" i="25"/>
  <c r="BC196" i="25"/>
  <c r="BB196" i="25"/>
  <c r="BA196" i="25"/>
  <c r="AZ196" i="25"/>
  <c r="AY196" i="25"/>
  <c r="AX196" i="25"/>
  <c r="AW196" i="25"/>
  <c r="AU196" i="25"/>
  <c r="AT196" i="25"/>
  <c r="AS196" i="25"/>
  <c r="AR196" i="25"/>
  <c r="AN196" i="25"/>
  <c r="AM196" i="25"/>
  <c r="AL196" i="25"/>
  <c r="AK196" i="25"/>
  <c r="AJ196" i="25"/>
  <c r="AI196" i="25"/>
  <c r="AH196" i="25"/>
  <c r="AG196" i="25"/>
  <c r="AF196" i="25"/>
  <c r="Y196" i="25"/>
  <c r="X196" i="25"/>
  <c r="W196" i="25"/>
  <c r="V196" i="25"/>
  <c r="U196" i="25"/>
  <c r="T196" i="25"/>
  <c r="S196" i="25"/>
  <c r="R196" i="25"/>
  <c r="Q196" i="25"/>
  <c r="P196" i="25"/>
  <c r="O196" i="25"/>
  <c r="N196" i="25"/>
  <c r="M196" i="25"/>
  <c r="L196" i="25"/>
  <c r="K196" i="25"/>
  <c r="J196" i="25"/>
  <c r="I196" i="25"/>
  <c r="H196" i="25"/>
  <c r="G196" i="25"/>
  <c r="F196" i="25"/>
  <c r="E196" i="25"/>
  <c r="D196" i="25"/>
  <c r="BR195" i="25"/>
  <c r="BQ195" i="25"/>
  <c r="BP195" i="25"/>
  <c r="BO195" i="25"/>
  <c r="BN195" i="25"/>
  <c r="BM195" i="25"/>
  <c r="BL195" i="25"/>
  <c r="BK195" i="25"/>
  <c r="BJ195" i="25"/>
  <c r="BF195" i="25"/>
  <c r="BE195" i="25"/>
  <c r="BD195" i="25"/>
  <c r="BC195" i="25"/>
  <c r="BB195" i="25"/>
  <c r="BA195" i="25"/>
  <c r="AZ195" i="25"/>
  <c r="AY195" i="25"/>
  <c r="AX195" i="25"/>
  <c r="AW195" i="25"/>
  <c r="AU195" i="25"/>
  <c r="AT195" i="25"/>
  <c r="AS195" i="25"/>
  <c r="AR195" i="25"/>
  <c r="AN195" i="25"/>
  <c r="AM195" i="25"/>
  <c r="AL195" i="25"/>
  <c r="AK195" i="25"/>
  <c r="AJ195" i="25"/>
  <c r="AI195" i="25"/>
  <c r="AH195" i="25"/>
  <c r="AG195" i="25"/>
  <c r="AF195" i="25"/>
  <c r="Y195" i="25"/>
  <c r="X195" i="25"/>
  <c r="W195" i="25"/>
  <c r="V195" i="25"/>
  <c r="U195" i="25"/>
  <c r="T195" i="25"/>
  <c r="S195" i="25"/>
  <c r="R195" i="25"/>
  <c r="Q195" i="25"/>
  <c r="P195" i="25"/>
  <c r="O195" i="25"/>
  <c r="N195" i="25"/>
  <c r="M195" i="25"/>
  <c r="L195" i="25"/>
  <c r="K195" i="25"/>
  <c r="J195" i="25"/>
  <c r="I195" i="25"/>
  <c r="H195" i="25"/>
  <c r="G195" i="25"/>
  <c r="F195" i="25"/>
  <c r="E195" i="25"/>
  <c r="D195" i="25"/>
  <c r="BR194" i="25"/>
  <c r="BQ194" i="25"/>
  <c r="BP194" i="25"/>
  <c r="BO194" i="25"/>
  <c r="BN194" i="25"/>
  <c r="BM194" i="25"/>
  <c r="BL194" i="25"/>
  <c r="BK194" i="25"/>
  <c r="BJ194" i="25"/>
  <c r="BF194" i="25"/>
  <c r="BE194" i="25"/>
  <c r="BD194" i="25"/>
  <c r="BC194" i="25"/>
  <c r="BB194" i="25"/>
  <c r="BA194" i="25"/>
  <c r="AZ194" i="25"/>
  <c r="AY194" i="25"/>
  <c r="AX194" i="25"/>
  <c r="AW194" i="25"/>
  <c r="AU194" i="25"/>
  <c r="AT194" i="25"/>
  <c r="AS194" i="25"/>
  <c r="AR194" i="25"/>
  <c r="AN194" i="25"/>
  <c r="AM194" i="25"/>
  <c r="AL194" i="25"/>
  <c r="AK194" i="25"/>
  <c r="AJ194" i="25"/>
  <c r="AI194" i="25"/>
  <c r="AH194" i="25"/>
  <c r="AG194" i="25"/>
  <c r="AF194" i="25"/>
  <c r="Y194" i="25"/>
  <c r="X194" i="25"/>
  <c r="W194" i="25"/>
  <c r="V194" i="25"/>
  <c r="U194" i="25"/>
  <c r="T194" i="25"/>
  <c r="S194" i="25"/>
  <c r="R194" i="25"/>
  <c r="Q194" i="25"/>
  <c r="P194" i="25"/>
  <c r="O194" i="25"/>
  <c r="N194" i="25"/>
  <c r="M194" i="25"/>
  <c r="L194" i="25"/>
  <c r="K194" i="25"/>
  <c r="J194" i="25"/>
  <c r="I194" i="25"/>
  <c r="H194" i="25"/>
  <c r="G194" i="25"/>
  <c r="F194" i="25"/>
  <c r="E194" i="25"/>
  <c r="D194" i="25"/>
  <c r="BR193" i="25"/>
  <c r="BQ193" i="25"/>
  <c r="BP193" i="25"/>
  <c r="BO193" i="25"/>
  <c r="BN193" i="25"/>
  <c r="BM193" i="25"/>
  <c r="BL193" i="25"/>
  <c r="BK193" i="25"/>
  <c r="BJ193" i="25"/>
  <c r="BF193" i="25"/>
  <c r="BE193" i="25"/>
  <c r="BD193" i="25"/>
  <c r="BC193" i="25"/>
  <c r="BB193" i="25"/>
  <c r="BA193" i="25"/>
  <c r="AZ193" i="25"/>
  <c r="AY193" i="25"/>
  <c r="AX193" i="25"/>
  <c r="AW193" i="25"/>
  <c r="AU193" i="25"/>
  <c r="AT193" i="25"/>
  <c r="AS193" i="25"/>
  <c r="AR193" i="25"/>
  <c r="AN193" i="25"/>
  <c r="AM193" i="25"/>
  <c r="AL193" i="25"/>
  <c r="AK193" i="25"/>
  <c r="AJ193" i="25"/>
  <c r="AI193" i="25"/>
  <c r="AH193" i="25"/>
  <c r="AG193" i="25"/>
  <c r="AF193" i="25"/>
  <c r="Y193" i="25"/>
  <c r="X193" i="25"/>
  <c r="W193" i="25"/>
  <c r="V193" i="25"/>
  <c r="U193" i="25"/>
  <c r="T193" i="25"/>
  <c r="S193" i="25"/>
  <c r="R193" i="25"/>
  <c r="Q193" i="25"/>
  <c r="P193" i="25"/>
  <c r="O193" i="25"/>
  <c r="N193" i="25"/>
  <c r="M193" i="25"/>
  <c r="L193" i="25"/>
  <c r="K193" i="25"/>
  <c r="J193" i="25"/>
  <c r="I193" i="25"/>
  <c r="H193" i="25"/>
  <c r="G193" i="25"/>
  <c r="F193" i="25"/>
  <c r="E193" i="25"/>
  <c r="D193" i="25"/>
  <c r="BR192" i="25"/>
  <c r="BQ192" i="25"/>
  <c r="BP192" i="25"/>
  <c r="BO192" i="25"/>
  <c r="BN192" i="25"/>
  <c r="BM192" i="25"/>
  <c r="BL192" i="25"/>
  <c r="BK192" i="25"/>
  <c r="BJ192" i="25"/>
  <c r="BF192" i="25"/>
  <c r="BE192" i="25"/>
  <c r="BD192" i="25"/>
  <c r="BC192" i="25"/>
  <c r="BB192" i="25"/>
  <c r="BA192" i="25"/>
  <c r="AZ192" i="25"/>
  <c r="AY192" i="25"/>
  <c r="AX192" i="25"/>
  <c r="AW192" i="25"/>
  <c r="AU192" i="25"/>
  <c r="AT192" i="25"/>
  <c r="AS192" i="25"/>
  <c r="AR192" i="25"/>
  <c r="AN192" i="25"/>
  <c r="AM192" i="25"/>
  <c r="AL192" i="25"/>
  <c r="AK192" i="25"/>
  <c r="AJ192" i="25"/>
  <c r="AI192" i="25"/>
  <c r="AH192" i="25"/>
  <c r="AG192" i="25"/>
  <c r="AF192" i="25"/>
  <c r="Y192" i="25"/>
  <c r="X192" i="25"/>
  <c r="W192" i="25"/>
  <c r="V192" i="25"/>
  <c r="U192" i="25"/>
  <c r="T192" i="25"/>
  <c r="S192" i="25"/>
  <c r="R192" i="25"/>
  <c r="Q192" i="25"/>
  <c r="P192" i="25"/>
  <c r="O192" i="25"/>
  <c r="N192" i="25"/>
  <c r="M192" i="25"/>
  <c r="L192" i="25"/>
  <c r="K192" i="25"/>
  <c r="J192" i="25"/>
  <c r="I192" i="25"/>
  <c r="H192" i="25"/>
  <c r="G192" i="25"/>
  <c r="F192" i="25"/>
  <c r="E192" i="25"/>
  <c r="D192" i="25"/>
  <c r="BR191" i="25"/>
  <c r="BQ191" i="25"/>
  <c r="BP191" i="25"/>
  <c r="BO191" i="25"/>
  <c r="BN191" i="25"/>
  <c r="BM191" i="25"/>
  <c r="BL191" i="25"/>
  <c r="BK191" i="25"/>
  <c r="BJ191" i="25"/>
  <c r="BF191" i="25"/>
  <c r="BE191" i="25"/>
  <c r="BD191" i="25"/>
  <c r="BC191" i="25"/>
  <c r="BB191" i="25"/>
  <c r="BA191" i="25"/>
  <c r="AZ191" i="25"/>
  <c r="AY191" i="25"/>
  <c r="AX191" i="25"/>
  <c r="AW191" i="25"/>
  <c r="AU191" i="25"/>
  <c r="AT191" i="25"/>
  <c r="AS191" i="25"/>
  <c r="AR191" i="25"/>
  <c r="AN191" i="25"/>
  <c r="AM191" i="25"/>
  <c r="AL191" i="25"/>
  <c r="AK191" i="25"/>
  <c r="AJ191" i="25"/>
  <c r="AI191" i="25"/>
  <c r="AH191" i="25"/>
  <c r="AG191" i="25"/>
  <c r="AF191" i="25"/>
  <c r="Y191" i="25"/>
  <c r="X191" i="25"/>
  <c r="W191" i="25"/>
  <c r="V191" i="25"/>
  <c r="U191" i="25"/>
  <c r="T191" i="25"/>
  <c r="S191" i="25"/>
  <c r="R191" i="25"/>
  <c r="Q191" i="25"/>
  <c r="P191" i="25"/>
  <c r="O191" i="25"/>
  <c r="N191" i="25"/>
  <c r="M191" i="25"/>
  <c r="L191" i="25"/>
  <c r="K191" i="25"/>
  <c r="J191" i="25"/>
  <c r="I191" i="25"/>
  <c r="H191" i="25"/>
  <c r="G191" i="25"/>
  <c r="F191" i="25"/>
  <c r="E191" i="25"/>
  <c r="D191" i="25"/>
  <c r="BR190" i="25"/>
  <c r="BQ190" i="25"/>
  <c r="BP190" i="25"/>
  <c r="BO190" i="25"/>
  <c r="BN190" i="25"/>
  <c r="BM190" i="25"/>
  <c r="BL190" i="25"/>
  <c r="BK190" i="25"/>
  <c r="BJ190" i="25"/>
  <c r="BF190" i="25"/>
  <c r="BE190" i="25"/>
  <c r="BD190" i="25"/>
  <c r="BC190" i="25"/>
  <c r="BB190" i="25"/>
  <c r="BA190" i="25"/>
  <c r="AZ190" i="25"/>
  <c r="AY190" i="25"/>
  <c r="AX190" i="25"/>
  <c r="AW190" i="25"/>
  <c r="AU190" i="25"/>
  <c r="AT190" i="25"/>
  <c r="AS190" i="25"/>
  <c r="AR190" i="25"/>
  <c r="AN190" i="25"/>
  <c r="AM190" i="25"/>
  <c r="AL190" i="25"/>
  <c r="AK190" i="25"/>
  <c r="AJ190" i="25"/>
  <c r="AI190" i="25"/>
  <c r="AH190" i="25"/>
  <c r="AG190" i="25"/>
  <c r="AF190" i="25"/>
  <c r="Y190" i="25"/>
  <c r="X190" i="25"/>
  <c r="W190" i="25"/>
  <c r="V190" i="25"/>
  <c r="U190" i="25"/>
  <c r="T190" i="25"/>
  <c r="S190" i="25"/>
  <c r="R190" i="25"/>
  <c r="Q190" i="25"/>
  <c r="P190" i="25"/>
  <c r="O190" i="25"/>
  <c r="N190" i="25"/>
  <c r="M190" i="25"/>
  <c r="L190" i="25"/>
  <c r="K190" i="25"/>
  <c r="J190" i="25"/>
  <c r="I190" i="25"/>
  <c r="H190" i="25"/>
  <c r="G190" i="25"/>
  <c r="F190" i="25"/>
  <c r="E190" i="25"/>
  <c r="D190" i="25"/>
  <c r="BR189" i="25"/>
  <c r="BQ189" i="25"/>
  <c r="BP189" i="25"/>
  <c r="BO189" i="25"/>
  <c r="BN189" i="25"/>
  <c r="BM189" i="25"/>
  <c r="BL189" i="25"/>
  <c r="BK189" i="25"/>
  <c r="BJ189" i="25"/>
  <c r="BF189" i="25"/>
  <c r="BE189" i="25"/>
  <c r="BD189" i="25"/>
  <c r="BC189" i="25"/>
  <c r="BB189" i="25"/>
  <c r="BA189" i="25"/>
  <c r="AZ189" i="25"/>
  <c r="AY189" i="25"/>
  <c r="AX189" i="25"/>
  <c r="AW189" i="25"/>
  <c r="AU189" i="25"/>
  <c r="AT189" i="25"/>
  <c r="AS189" i="25"/>
  <c r="AR189" i="25"/>
  <c r="AN189" i="25"/>
  <c r="AM189" i="25"/>
  <c r="AL189" i="25"/>
  <c r="AK189" i="25"/>
  <c r="AJ189" i="25"/>
  <c r="AI189" i="25"/>
  <c r="AH189" i="25"/>
  <c r="AG189" i="25"/>
  <c r="AF189" i="25"/>
  <c r="Y189" i="25"/>
  <c r="X189" i="25"/>
  <c r="W189" i="25"/>
  <c r="V189" i="25"/>
  <c r="U189" i="25"/>
  <c r="T189" i="25"/>
  <c r="S189" i="25"/>
  <c r="R189" i="25"/>
  <c r="Q189" i="25"/>
  <c r="P189" i="25"/>
  <c r="O189" i="25"/>
  <c r="N189" i="25"/>
  <c r="M189" i="25"/>
  <c r="L189" i="25"/>
  <c r="K189" i="25"/>
  <c r="J189" i="25"/>
  <c r="I189" i="25"/>
  <c r="H189" i="25"/>
  <c r="G189" i="25"/>
  <c r="F189" i="25"/>
  <c r="E189" i="25"/>
  <c r="D189" i="25"/>
  <c r="BR188" i="25"/>
  <c r="BQ188" i="25"/>
  <c r="BP188" i="25"/>
  <c r="BO188" i="25"/>
  <c r="BN188" i="25"/>
  <c r="BM188" i="25"/>
  <c r="BL188" i="25"/>
  <c r="BK188" i="25"/>
  <c r="BJ188" i="25"/>
  <c r="BF188" i="25"/>
  <c r="BE188" i="25"/>
  <c r="BD188" i="25"/>
  <c r="BC188" i="25"/>
  <c r="BB188" i="25"/>
  <c r="BA188" i="25"/>
  <c r="AZ188" i="25"/>
  <c r="AY188" i="25"/>
  <c r="AX188" i="25"/>
  <c r="AW188" i="25"/>
  <c r="AU188" i="25"/>
  <c r="AT188" i="25"/>
  <c r="AS188" i="25"/>
  <c r="AR188" i="25"/>
  <c r="AN188" i="25"/>
  <c r="AM188" i="25"/>
  <c r="AL188" i="25"/>
  <c r="AK188" i="25"/>
  <c r="AJ188" i="25"/>
  <c r="AI188" i="25"/>
  <c r="AH188" i="25"/>
  <c r="AG188" i="25"/>
  <c r="AF188" i="25"/>
  <c r="Y188" i="25"/>
  <c r="X188" i="25"/>
  <c r="W188" i="25"/>
  <c r="V188" i="25"/>
  <c r="U188" i="25"/>
  <c r="T188" i="25"/>
  <c r="S188" i="25"/>
  <c r="R188" i="25"/>
  <c r="Q188" i="25"/>
  <c r="P188" i="25"/>
  <c r="O188" i="25"/>
  <c r="N188" i="25"/>
  <c r="M188" i="25"/>
  <c r="L188" i="25"/>
  <c r="K188" i="25"/>
  <c r="J188" i="25"/>
  <c r="I188" i="25"/>
  <c r="H188" i="25"/>
  <c r="G188" i="25"/>
  <c r="F188" i="25"/>
  <c r="E188" i="25"/>
  <c r="D188" i="25"/>
  <c r="AV194" i="25" l="1"/>
  <c r="AV196" i="25"/>
  <c r="AV193" i="25"/>
  <c r="AV195" i="25"/>
  <c r="AV192" i="25"/>
  <c r="AV190" i="25"/>
  <c r="AV191" i="25"/>
  <c r="AV189" i="25"/>
  <c r="AV188" i="25"/>
  <c r="H27" i="11" l="1"/>
  <c r="Z26" i="58" l="1"/>
  <c r="AG26" i="58" s="1"/>
  <c r="Z25" i="58"/>
  <c r="AG25" i="58" s="1"/>
  <c r="W26" i="58"/>
  <c r="W25" i="58"/>
  <c r="C9" i="53" l="1"/>
  <c r="D9" i="53"/>
  <c r="E9" i="53"/>
  <c r="C10" i="53"/>
  <c r="D10" i="53"/>
  <c r="E10" i="53"/>
  <c r="AB25" i="58" l="1"/>
  <c r="G103" i="31" l="1"/>
  <c r="G104" i="31" s="1"/>
  <c r="BQ7" i="63" l="1"/>
  <c r="E81" i="31"/>
  <c r="BO7" i="63" l="1"/>
  <c r="BP7" i="63"/>
  <c r="G24" i="7"/>
  <c r="F24" i="7"/>
  <c r="Y22" i="58" l="1"/>
  <c r="Y20" i="58"/>
  <c r="D62" i="11"/>
  <c r="Y27" i="58" l="1"/>
  <c r="G16" i="7" l="1"/>
  <c r="F16" i="7"/>
  <c r="BN7" i="9" l="1"/>
  <c r="U18" i="58"/>
  <c r="R23" i="31" l="1"/>
  <c r="R22" i="31"/>
  <c r="R21" i="31"/>
  <c r="Q20" i="31"/>
  <c r="R20" i="31" s="1"/>
  <c r="P20" i="31"/>
  <c r="Q19" i="31"/>
  <c r="R19" i="31" s="1"/>
  <c r="P19" i="31"/>
  <c r="Q18" i="31"/>
  <c r="R18" i="31" s="1"/>
  <c r="P18" i="31"/>
  <c r="Q17" i="31"/>
  <c r="R17" i="31" s="1"/>
  <c r="P17" i="31"/>
  <c r="Q5" i="31"/>
  <c r="P5" i="31"/>
  <c r="Q24" i="31" l="1"/>
  <c r="P24" i="31"/>
  <c r="R5" i="31"/>
  <c r="R24" i="31" s="1"/>
  <c r="X27" i="58" l="1"/>
  <c r="T27" i="58"/>
  <c r="S27" i="58"/>
  <c r="R27" i="58"/>
  <c r="Q27" i="58"/>
  <c r="P27" i="58"/>
  <c r="U110" i="31" l="1"/>
  <c r="C4" i="57"/>
  <c r="B4" i="57"/>
  <c r="E4" i="57"/>
  <c r="G30" i="7"/>
  <c r="F30" i="7"/>
  <c r="BR214" i="25" l="1"/>
  <c r="BQ214" i="25"/>
  <c r="BP214" i="25"/>
  <c r="BO214" i="25"/>
  <c r="BN214" i="25"/>
  <c r="BM214" i="25"/>
  <c r="BL214" i="25"/>
  <c r="BK214" i="25"/>
  <c r="BJ214" i="25"/>
  <c r="BF214" i="25"/>
  <c r="BE214" i="25"/>
  <c r="BD214" i="25"/>
  <c r="BC214" i="25"/>
  <c r="BB214" i="25"/>
  <c r="BA214" i="25"/>
  <c r="AZ214" i="25"/>
  <c r="AY214" i="25"/>
  <c r="AX214" i="25"/>
  <c r="AW214" i="25"/>
  <c r="AU214" i="25"/>
  <c r="AT214" i="25"/>
  <c r="AS214" i="25"/>
  <c r="AR214" i="25"/>
  <c r="AN214" i="25"/>
  <c r="AM214" i="25"/>
  <c r="AL214" i="25"/>
  <c r="AK214" i="25"/>
  <c r="AJ214" i="25"/>
  <c r="AI214" i="25"/>
  <c r="AH214" i="25"/>
  <c r="AG214" i="25"/>
  <c r="AF214" i="25"/>
  <c r="Y214" i="25"/>
  <c r="X214" i="25"/>
  <c r="W214" i="25"/>
  <c r="V214" i="25"/>
  <c r="U214" i="25"/>
  <c r="T214" i="25"/>
  <c r="S214" i="25"/>
  <c r="R214" i="25"/>
  <c r="Q214" i="25"/>
  <c r="P214" i="25"/>
  <c r="O214" i="25"/>
  <c r="N214" i="25"/>
  <c r="M214" i="25"/>
  <c r="L214" i="25"/>
  <c r="K214" i="25"/>
  <c r="J214" i="25"/>
  <c r="I214" i="25"/>
  <c r="H214" i="25"/>
  <c r="G214" i="25"/>
  <c r="F214" i="25"/>
  <c r="E214" i="25"/>
  <c r="D214" i="25"/>
  <c r="BR213" i="25"/>
  <c r="BQ213" i="25"/>
  <c r="BP213" i="25"/>
  <c r="BO213" i="25"/>
  <c r="BN213" i="25"/>
  <c r="BM213" i="25"/>
  <c r="BL213" i="25"/>
  <c r="BK213" i="25"/>
  <c r="BJ213" i="25"/>
  <c r="BF213" i="25"/>
  <c r="BE213" i="25"/>
  <c r="BD213" i="25"/>
  <c r="BC213" i="25"/>
  <c r="BB213" i="25"/>
  <c r="BA213" i="25"/>
  <c r="AZ213" i="25"/>
  <c r="AY213" i="25"/>
  <c r="AX213" i="25"/>
  <c r="AW213" i="25"/>
  <c r="AU213" i="25"/>
  <c r="AT213" i="25"/>
  <c r="AS213" i="25"/>
  <c r="AR213" i="25"/>
  <c r="AN213" i="25"/>
  <c r="AM213" i="25"/>
  <c r="AL213" i="25"/>
  <c r="AK213" i="25"/>
  <c r="AJ213" i="25"/>
  <c r="AI213" i="25"/>
  <c r="AH213" i="25"/>
  <c r="AG213" i="25"/>
  <c r="AF213" i="25"/>
  <c r="Y213" i="25"/>
  <c r="X213" i="25"/>
  <c r="W213" i="25"/>
  <c r="V213" i="25"/>
  <c r="U213" i="25"/>
  <c r="T213" i="25"/>
  <c r="S213" i="25"/>
  <c r="R213" i="25"/>
  <c r="Q213" i="25"/>
  <c r="P213" i="25"/>
  <c r="O213" i="25"/>
  <c r="N213" i="25"/>
  <c r="M213" i="25"/>
  <c r="L213" i="25"/>
  <c r="K213" i="25"/>
  <c r="J213" i="25"/>
  <c r="I213" i="25"/>
  <c r="H213" i="25"/>
  <c r="G213" i="25"/>
  <c r="F213" i="25"/>
  <c r="E213" i="25"/>
  <c r="D213" i="25"/>
  <c r="BR212" i="25"/>
  <c r="BQ212" i="25"/>
  <c r="BP212" i="25"/>
  <c r="BO212" i="25"/>
  <c r="BN212" i="25"/>
  <c r="BM212" i="25"/>
  <c r="BL212" i="25"/>
  <c r="BK212" i="25"/>
  <c r="BJ212" i="25"/>
  <c r="BF212" i="25"/>
  <c r="BE212" i="25"/>
  <c r="BD212" i="25"/>
  <c r="BC212" i="25"/>
  <c r="BB212" i="25"/>
  <c r="BA212" i="25"/>
  <c r="AZ212" i="25"/>
  <c r="AY212" i="25"/>
  <c r="AX212" i="25"/>
  <c r="AW212" i="25"/>
  <c r="AU212" i="25"/>
  <c r="AT212" i="25"/>
  <c r="AS212" i="25"/>
  <c r="AR212" i="25"/>
  <c r="AN212" i="25"/>
  <c r="AM212" i="25"/>
  <c r="AL212" i="25"/>
  <c r="AK212" i="25"/>
  <c r="AJ212" i="25"/>
  <c r="AI212" i="25"/>
  <c r="AH212" i="25"/>
  <c r="AG212" i="25"/>
  <c r="AF212" i="25"/>
  <c r="Y212" i="25"/>
  <c r="X212" i="25"/>
  <c r="W212" i="25"/>
  <c r="V212" i="25"/>
  <c r="U212" i="25"/>
  <c r="T212" i="25"/>
  <c r="S212" i="25"/>
  <c r="R212" i="25"/>
  <c r="Q212" i="25"/>
  <c r="P212" i="25"/>
  <c r="O212" i="25"/>
  <c r="N212" i="25"/>
  <c r="M212" i="25"/>
  <c r="L212" i="25"/>
  <c r="K212" i="25"/>
  <c r="J212" i="25"/>
  <c r="I212" i="25"/>
  <c r="H212" i="25"/>
  <c r="G212" i="25"/>
  <c r="F212" i="25"/>
  <c r="E212" i="25"/>
  <c r="D212" i="25"/>
  <c r="BR211" i="25"/>
  <c r="BQ211" i="25"/>
  <c r="BP211" i="25"/>
  <c r="BO211" i="25"/>
  <c r="BN211" i="25"/>
  <c r="BM211" i="25"/>
  <c r="BL211" i="25"/>
  <c r="BK211" i="25"/>
  <c r="BJ211" i="25"/>
  <c r="BF211" i="25"/>
  <c r="BE211" i="25"/>
  <c r="BD211" i="25"/>
  <c r="BC211" i="25"/>
  <c r="BB211" i="25"/>
  <c r="BA211" i="25"/>
  <c r="AZ211" i="25"/>
  <c r="AY211" i="25"/>
  <c r="AX211" i="25"/>
  <c r="AW211" i="25"/>
  <c r="AU211" i="25"/>
  <c r="AT211" i="25"/>
  <c r="AS211" i="25"/>
  <c r="AR211" i="25"/>
  <c r="AN211" i="25"/>
  <c r="AM211" i="25"/>
  <c r="AL211" i="25"/>
  <c r="AK211" i="25"/>
  <c r="AJ211" i="25"/>
  <c r="AI211" i="25"/>
  <c r="AH211" i="25"/>
  <c r="AG211" i="25"/>
  <c r="AF211" i="25"/>
  <c r="Y211" i="25"/>
  <c r="X211" i="25"/>
  <c r="W211" i="25"/>
  <c r="V211" i="25"/>
  <c r="U211" i="25"/>
  <c r="T211" i="25"/>
  <c r="S211" i="25"/>
  <c r="R211" i="25"/>
  <c r="Q211" i="25"/>
  <c r="P211" i="25"/>
  <c r="O211" i="25"/>
  <c r="N211" i="25"/>
  <c r="M211" i="25"/>
  <c r="L211" i="25"/>
  <c r="K211" i="25"/>
  <c r="J211" i="25"/>
  <c r="I211" i="25"/>
  <c r="H211" i="25"/>
  <c r="G211" i="25"/>
  <c r="F211" i="25"/>
  <c r="E211" i="25"/>
  <c r="D211" i="25"/>
  <c r="BR210" i="25"/>
  <c r="BQ210" i="25"/>
  <c r="BP210" i="25"/>
  <c r="BO210" i="25"/>
  <c r="BN210" i="25"/>
  <c r="BM210" i="25"/>
  <c r="BL210" i="25"/>
  <c r="BK210" i="25"/>
  <c r="BJ210" i="25"/>
  <c r="BF210" i="25"/>
  <c r="BE210" i="25"/>
  <c r="BD210" i="25"/>
  <c r="BC210" i="25"/>
  <c r="BB210" i="25"/>
  <c r="BA210" i="25"/>
  <c r="AZ210" i="25"/>
  <c r="AY210" i="25"/>
  <c r="AX210" i="25"/>
  <c r="AW210" i="25"/>
  <c r="AU210" i="25"/>
  <c r="AT210" i="25"/>
  <c r="AS210" i="25"/>
  <c r="AR210" i="25"/>
  <c r="AN210" i="25"/>
  <c r="AM210" i="25"/>
  <c r="AL210" i="25"/>
  <c r="AK210" i="25"/>
  <c r="AJ210" i="25"/>
  <c r="AI210" i="25"/>
  <c r="AH210" i="25"/>
  <c r="AG210" i="25"/>
  <c r="AF210" i="25"/>
  <c r="Y210" i="25"/>
  <c r="X210" i="25"/>
  <c r="W210" i="25"/>
  <c r="V210" i="25"/>
  <c r="U210" i="25"/>
  <c r="T210" i="25"/>
  <c r="S210" i="25"/>
  <c r="R210" i="25"/>
  <c r="Q210" i="25"/>
  <c r="P210" i="25"/>
  <c r="O210" i="25"/>
  <c r="N210" i="25"/>
  <c r="M210" i="25"/>
  <c r="L210" i="25"/>
  <c r="K210" i="25"/>
  <c r="J210" i="25"/>
  <c r="I210" i="25"/>
  <c r="H210" i="25"/>
  <c r="G210" i="25"/>
  <c r="F210" i="25"/>
  <c r="E210" i="25"/>
  <c r="D210" i="25"/>
  <c r="BR209" i="25"/>
  <c r="BQ209" i="25"/>
  <c r="BP209" i="25"/>
  <c r="BO209" i="25"/>
  <c r="BN209" i="25"/>
  <c r="BM209" i="25"/>
  <c r="BL209" i="25"/>
  <c r="BK209" i="25"/>
  <c r="BJ209" i="25"/>
  <c r="BF209" i="25"/>
  <c r="BE209" i="25"/>
  <c r="BD209" i="25"/>
  <c r="BC209" i="25"/>
  <c r="BB209" i="25"/>
  <c r="BA209" i="25"/>
  <c r="AZ209" i="25"/>
  <c r="AY209" i="25"/>
  <c r="AX209" i="25"/>
  <c r="AW209" i="25"/>
  <c r="AU209" i="25"/>
  <c r="AT209" i="25"/>
  <c r="AS209" i="25"/>
  <c r="AR209" i="25"/>
  <c r="AN209" i="25"/>
  <c r="AM209" i="25"/>
  <c r="AL209" i="25"/>
  <c r="AK209" i="25"/>
  <c r="AJ209" i="25"/>
  <c r="AI209" i="25"/>
  <c r="AH209" i="25"/>
  <c r="AG209" i="25"/>
  <c r="AF209" i="25"/>
  <c r="Y209" i="25"/>
  <c r="X209" i="25"/>
  <c r="W209" i="25"/>
  <c r="V209" i="25"/>
  <c r="U209" i="25"/>
  <c r="T209" i="25"/>
  <c r="S209" i="25"/>
  <c r="R209" i="25"/>
  <c r="Q209" i="25"/>
  <c r="P209" i="25"/>
  <c r="O209" i="25"/>
  <c r="N209" i="25"/>
  <c r="M209" i="25"/>
  <c r="L209" i="25"/>
  <c r="K209" i="25"/>
  <c r="J209" i="25"/>
  <c r="I209" i="25"/>
  <c r="H209" i="25"/>
  <c r="G209" i="25"/>
  <c r="F209" i="25"/>
  <c r="E209" i="25"/>
  <c r="D209" i="25"/>
  <c r="BR208" i="25"/>
  <c r="BQ208" i="25"/>
  <c r="BP208" i="25"/>
  <c r="BO208" i="25"/>
  <c r="BN208" i="25"/>
  <c r="BM208" i="25"/>
  <c r="BL208" i="25"/>
  <c r="BK208" i="25"/>
  <c r="BJ208" i="25"/>
  <c r="BF208" i="25"/>
  <c r="BE208" i="25"/>
  <c r="BD208" i="25"/>
  <c r="BC208" i="25"/>
  <c r="BB208" i="25"/>
  <c r="BA208" i="25"/>
  <c r="AZ208" i="25"/>
  <c r="AY208" i="25"/>
  <c r="AX208" i="25"/>
  <c r="AW208" i="25"/>
  <c r="AU208" i="25"/>
  <c r="AT208" i="25"/>
  <c r="AS208" i="25"/>
  <c r="AR208" i="25"/>
  <c r="AN208" i="25"/>
  <c r="AM208" i="25"/>
  <c r="AL208" i="25"/>
  <c r="AK208" i="25"/>
  <c r="AJ208" i="25"/>
  <c r="AI208" i="25"/>
  <c r="AH208" i="25"/>
  <c r="AG208" i="25"/>
  <c r="AF208" i="25"/>
  <c r="Y208" i="25"/>
  <c r="X208" i="25"/>
  <c r="W208" i="25"/>
  <c r="V208" i="25"/>
  <c r="U208" i="25"/>
  <c r="T208" i="25"/>
  <c r="S208" i="25"/>
  <c r="R208" i="25"/>
  <c r="Q208" i="25"/>
  <c r="P208" i="25"/>
  <c r="O208" i="25"/>
  <c r="N208" i="25"/>
  <c r="M208" i="25"/>
  <c r="L208" i="25"/>
  <c r="K208" i="25"/>
  <c r="J208" i="25"/>
  <c r="I208" i="25"/>
  <c r="H208" i="25"/>
  <c r="G208" i="25"/>
  <c r="F208" i="25"/>
  <c r="E208" i="25"/>
  <c r="D208" i="25"/>
  <c r="BR207" i="25"/>
  <c r="BQ207" i="25"/>
  <c r="BP207" i="25"/>
  <c r="BO207" i="25"/>
  <c r="BN207" i="25"/>
  <c r="BM207" i="25"/>
  <c r="BL207" i="25"/>
  <c r="BK207" i="25"/>
  <c r="BJ207" i="25"/>
  <c r="BF207" i="25"/>
  <c r="BE207" i="25"/>
  <c r="BD207" i="25"/>
  <c r="BC207" i="25"/>
  <c r="BB207" i="25"/>
  <c r="BA207" i="25"/>
  <c r="AZ207" i="25"/>
  <c r="AY207" i="25"/>
  <c r="AX207" i="25"/>
  <c r="AW207" i="25"/>
  <c r="AU207" i="25"/>
  <c r="AT207" i="25"/>
  <c r="AS207" i="25"/>
  <c r="AR207" i="25"/>
  <c r="AN207" i="25"/>
  <c r="AM207" i="25"/>
  <c r="AL207" i="25"/>
  <c r="AK207" i="25"/>
  <c r="AJ207" i="25"/>
  <c r="AI207" i="25"/>
  <c r="AH207" i="25"/>
  <c r="AG207" i="25"/>
  <c r="AF207" i="25"/>
  <c r="Y207" i="25"/>
  <c r="X207" i="25"/>
  <c r="W207" i="25"/>
  <c r="V207" i="25"/>
  <c r="U207" i="25"/>
  <c r="T207" i="25"/>
  <c r="S207" i="25"/>
  <c r="R207" i="25"/>
  <c r="Q207" i="25"/>
  <c r="P207" i="25"/>
  <c r="O207" i="25"/>
  <c r="N207" i="25"/>
  <c r="M207" i="25"/>
  <c r="L207" i="25"/>
  <c r="K207" i="25"/>
  <c r="J207" i="25"/>
  <c r="I207" i="25"/>
  <c r="H207" i="25"/>
  <c r="G207" i="25"/>
  <c r="F207" i="25"/>
  <c r="E207" i="25"/>
  <c r="D207" i="25"/>
  <c r="BR206" i="25"/>
  <c r="BQ206" i="25"/>
  <c r="BP206" i="25"/>
  <c r="BO206" i="25"/>
  <c r="BN206" i="25"/>
  <c r="BM206" i="25"/>
  <c r="BL206" i="25"/>
  <c r="BK206" i="25"/>
  <c r="BJ206" i="25"/>
  <c r="BF206" i="25"/>
  <c r="BE206" i="25"/>
  <c r="BD206" i="25"/>
  <c r="BC206" i="25"/>
  <c r="BB206" i="25"/>
  <c r="BA206" i="25"/>
  <c r="AZ206" i="25"/>
  <c r="AY206" i="25"/>
  <c r="AX206" i="25"/>
  <c r="AW206" i="25"/>
  <c r="AU206" i="25"/>
  <c r="AT206" i="25"/>
  <c r="AS206" i="25"/>
  <c r="AR206" i="25"/>
  <c r="AN206" i="25"/>
  <c r="AM206" i="25"/>
  <c r="AL206" i="25"/>
  <c r="AK206" i="25"/>
  <c r="AJ206" i="25"/>
  <c r="AI206" i="25"/>
  <c r="AH206" i="25"/>
  <c r="AG206" i="25"/>
  <c r="AF206" i="25"/>
  <c r="Y206" i="25"/>
  <c r="X206" i="25"/>
  <c r="W206" i="25"/>
  <c r="V206" i="25"/>
  <c r="U206" i="25"/>
  <c r="T206" i="25"/>
  <c r="S206" i="25"/>
  <c r="R206" i="25"/>
  <c r="Q206" i="25"/>
  <c r="P206" i="25"/>
  <c r="O206" i="25"/>
  <c r="N206" i="25"/>
  <c r="M206" i="25"/>
  <c r="L206" i="25"/>
  <c r="K206" i="25"/>
  <c r="J206" i="25"/>
  <c r="I206" i="25"/>
  <c r="H206" i="25"/>
  <c r="G206" i="25"/>
  <c r="F206" i="25"/>
  <c r="E206" i="25"/>
  <c r="D206" i="25"/>
  <c r="BR205" i="25"/>
  <c r="BQ205" i="25"/>
  <c r="BP205" i="25"/>
  <c r="BO205" i="25"/>
  <c r="BN205" i="25"/>
  <c r="BM205" i="25"/>
  <c r="BL205" i="25"/>
  <c r="BK205" i="25"/>
  <c r="BJ205" i="25"/>
  <c r="BF205" i="25"/>
  <c r="BE205" i="25"/>
  <c r="BD205" i="25"/>
  <c r="BC205" i="25"/>
  <c r="BB205" i="25"/>
  <c r="BA205" i="25"/>
  <c r="AZ205" i="25"/>
  <c r="AY205" i="25"/>
  <c r="AX205" i="25"/>
  <c r="AW205" i="25"/>
  <c r="AU205" i="25"/>
  <c r="AT205" i="25"/>
  <c r="AS205" i="25"/>
  <c r="AR205" i="25"/>
  <c r="AN205" i="25"/>
  <c r="AM205" i="25"/>
  <c r="AL205" i="25"/>
  <c r="AK205" i="25"/>
  <c r="AJ205" i="25"/>
  <c r="AI205" i="25"/>
  <c r="AH205" i="25"/>
  <c r="AG205" i="25"/>
  <c r="AF205" i="25"/>
  <c r="Y205" i="25"/>
  <c r="X205" i="25"/>
  <c r="W205" i="25"/>
  <c r="V205" i="25"/>
  <c r="U205" i="25"/>
  <c r="T205" i="25"/>
  <c r="S205" i="25"/>
  <c r="R205" i="25"/>
  <c r="Q205" i="25"/>
  <c r="P205" i="25"/>
  <c r="O205" i="25"/>
  <c r="N205" i="25"/>
  <c r="M205" i="25"/>
  <c r="L205" i="25"/>
  <c r="K205" i="25"/>
  <c r="J205" i="25"/>
  <c r="I205" i="25"/>
  <c r="H205" i="25"/>
  <c r="G205" i="25"/>
  <c r="F205" i="25"/>
  <c r="E205" i="25"/>
  <c r="D205" i="25"/>
  <c r="BR204" i="25"/>
  <c r="BQ204" i="25"/>
  <c r="BP204" i="25"/>
  <c r="BO204" i="25"/>
  <c r="BN204" i="25"/>
  <c r="BM204" i="25"/>
  <c r="BL204" i="25"/>
  <c r="BK204" i="25"/>
  <c r="BJ204" i="25"/>
  <c r="BF204" i="25"/>
  <c r="BE204" i="25"/>
  <c r="BD204" i="25"/>
  <c r="BC204" i="25"/>
  <c r="BB204" i="25"/>
  <c r="BA204" i="25"/>
  <c r="AZ204" i="25"/>
  <c r="AY204" i="25"/>
  <c r="AX204" i="25"/>
  <c r="AW204" i="25"/>
  <c r="AU204" i="25"/>
  <c r="AT204" i="25"/>
  <c r="AS204" i="25"/>
  <c r="AR204" i="25"/>
  <c r="AN204" i="25"/>
  <c r="AM204" i="25"/>
  <c r="AL204" i="25"/>
  <c r="AK204" i="25"/>
  <c r="AJ204" i="25"/>
  <c r="AI204" i="25"/>
  <c r="AH204" i="25"/>
  <c r="AG204" i="25"/>
  <c r="AF204" i="25"/>
  <c r="Y204" i="25"/>
  <c r="X204" i="25"/>
  <c r="W204" i="25"/>
  <c r="V204" i="25"/>
  <c r="U204" i="25"/>
  <c r="T204" i="25"/>
  <c r="S204" i="25"/>
  <c r="R204" i="25"/>
  <c r="Q204" i="25"/>
  <c r="P204" i="25"/>
  <c r="O204" i="25"/>
  <c r="N204" i="25"/>
  <c r="M204" i="25"/>
  <c r="L204" i="25"/>
  <c r="K204" i="25"/>
  <c r="J204" i="25"/>
  <c r="I204" i="25"/>
  <c r="H204" i="25"/>
  <c r="G204" i="25"/>
  <c r="F204" i="25"/>
  <c r="E204" i="25"/>
  <c r="D204" i="25"/>
  <c r="BR203" i="25"/>
  <c r="BQ203" i="25"/>
  <c r="BP203" i="25"/>
  <c r="BO203" i="25"/>
  <c r="BN203" i="25"/>
  <c r="BM203" i="25"/>
  <c r="BL203" i="25"/>
  <c r="BK203" i="25"/>
  <c r="BJ203" i="25"/>
  <c r="BF203" i="25"/>
  <c r="BE203" i="25"/>
  <c r="BD203" i="25"/>
  <c r="BC203" i="25"/>
  <c r="BB203" i="25"/>
  <c r="BA203" i="25"/>
  <c r="AZ203" i="25"/>
  <c r="AY203" i="25"/>
  <c r="AX203" i="25"/>
  <c r="AW203" i="25"/>
  <c r="AU203" i="25"/>
  <c r="AT203" i="25"/>
  <c r="AS203" i="25"/>
  <c r="AR203" i="25"/>
  <c r="AN203" i="25"/>
  <c r="AM203" i="25"/>
  <c r="AL203" i="25"/>
  <c r="AK203" i="25"/>
  <c r="AJ203" i="25"/>
  <c r="AI203" i="25"/>
  <c r="AH203" i="25"/>
  <c r="AG203" i="25"/>
  <c r="AF203" i="25"/>
  <c r="Y203" i="25"/>
  <c r="X203" i="25"/>
  <c r="W203" i="25"/>
  <c r="V203" i="25"/>
  <c r="U203" i="25"/>
  <c r="T203" i="25"/>
  <c r="S203" i="25"/>
  <c r="R203" i="25"/>
  <c r="Q203" i="25"/>
  <c r="P203" i="25"/>
  <c r="O203" i="25"/>
  <c r="N203" i="25"/>
  <c r="M203" i="25"/>
  <c r="L203" i="25"/>
  <c r="K203" i="25"/>
  <c r="J203" i="25"/>
  <c r="I203" i="25"/>
  <c r="H203" i="25"/>
  <c r="G203" i="25"/>
  <c r="F203" i="25"/>
  <c r="E203" i="25"/>
  <c r="D203" i="25"/>
  <c r="BR202" i="25"/>
  <c r="BQ202" i="25"/>
  <c r="BP202" i="25"/>
  <c r="BO202" i="25"/>
  <c r="BN202" i="25"/>
  <c r="BM202" i="25"/>
  <c r="BL202" i="25"/>
  <c r="BK202" i="25"/>
  <c r="BJ202" i="25"/>
  <c r="BF202" i="25"/>
  <c r="BE202" i="25"/>
  <c r="BD202" i="25"/>
  <c r="BC202" i="25"/>
  <c r="BB202" i="25"/>
  <c r="BA202" i="25"/>
  <c r="AZ202" i="25"/>
  <c r="AY202" i="25"/>
  <c r="AX202" i="25"/>
  <c r="AW202" i="25"/>
  <c r="AU202" i="25"/>
  <c r="AT202" i="25"/>
  <c r="AS202" i="25"/>
  <c r="AR202" i="25"/>
  <c r="AN202" i="25"/>
  <c r="AM202" i="25"/>
  <c r="AL202" i="25"/>
  <c r="AK202" i="25"/>
  <c r="AJ202" i="25"/>
  <c r="AI202" i="25"/>
  <c r="AH202" i="25"/>
  <c r="AG202" i="25"/>
  <c r="AF202" i="25"/>
  <c r="Y202" i="25"/>
  <c r="X202" i="25"/>
  <c r="W202" i="25"/>
  <c r="V202" i="25"/>
  <c r="U202" i="25"/>
  <c r="T202" i="25"/>
  <c r="S202" i="25"/>
  <c r="R202" i="25"/>
  <c r="Q202" i="25"/>
  <c r="P202" i="25"/>
  <c r="O202" i="25"/>
  <c r="N202" i="25"/>
  <c r="M202" i="25"/>
  <c r="L202" i="25"/>
  <c r="K202" i="25"/>
  <c r="J202" i="25"/>
  <c r="I202" i="25"/>
  <c r="H202" i="25"/>
  <c r="G202" i="25"/>
  <c r="F202" i="25"/>
  <c r="E202" i="25"/>
  <c r="D202" i="25"/>
  <c r="BR201" i="25"/>
  <c r="BQ201" i="25"/>
  <c r="BP201" i="25"/>
  <c r="BO201" i="25"/>
  <c r="BN201" i="25"/>
  <c r="BM201" i="25"/>
  <c r="BL201" i="25"/>
  <c r="BK201" i="25"/>
  <c r="BJ201" i="25"/>
  <c r="BF201" i="25"/>
  <c r="BE201" i="25"/>
  <c r="BD201" i="25"/>
  <c r="BC201" i="25"/>
  <c r="BB201" i="25"/>
  <c r="BA201" i="25"/>
  <c r="AZ201" i="25"/>
  <c r="AY201" i="25"/>
  <c r="AX201" i="25"/>
  <c r="AW201" i="25"/>
  <c r="AU201" i="25"/>
  <c r="AT201" i="25"/>
  <c r="AS201" i="25"/>
  <c r="AR201" i="25"/>
  <c r="AN201" i="25"/>
  <c r="AM201" i="25"/>
  <c r="AL201" i="25"/>
  <c r="AK201" i="25"/>
  <c r="AJ201" i="25"/>
  <c r="AI201" i="25"/>
  <c r="AH201" i="25"/>
  <c r="AG201" i="25"/>
  <c r="AF201" i="25"/>
  <c r="Y201" i="25"/>
  <c r="X201" i="25"/>
  <c r="W201" i="25"/>
  <c r="V201" i="25"/>
  <c r="U201" i="25"/>
  <c r="T201" i="25"/>
  <c r="S201" i="25"/>
  <c r="R201" i="25"/>
  <c r="Q201" i="25"/>
  <c r="P201" i="25"/>
  <c r="O201" i="25"/>
  <c r="N201" i="25"/>
  <c r="M201" i="25"/>
  <c r="L201" i="25"/>
  <c r="K201" i="25"/>
  <c r="J201" i="25"/>
  <c r="I201" i="25"/>
  <c r="H201" i="25"/>
  <c r="G201" i="25"/>
  <c r="F201" i="25"/>
  <c r="E201" i="25"/>
  <c r="D201" i="25"/>
  <c r="BR200" i="25"/>
  <c r="BQ200" i="25"/>
  <c r="BP200" i="25"/>
  <c r="BO200" i="25"/>
  <c r="BN200" i="25"/>
  <c r="BM200" i="25"/>
  <c r="BL200" i="25"/>
  <c r="BK200" i="25"/>
  <c r="BJ200" i="25"/>
  <c r="BF200" i="25"/>
  <c r="BE200" i="25"/>
  <c r="BD200" i="25"/>
  <c r="BC200" i="25"/>
  <c r="BB200" i="25"/>
  <c r="BA200" i="25"/>
  <c r="AZ200" i="25"/>
  <c r="AY200" i="25"/>
  <c r="AX200" i="25"/>
  <c r="AW200" i="25"/>
  <c r="AU200" i="25"/>
  <c r="AT200" i="25"/>
  <c r="AS200" i="25"/>
  <c r="AR200" i="25"/>
  <c r="AN200" i="25"/>
  <c r="AM200" i="25"/>
  <c r="AL200" i="25"/>
  <c r="AK200" i="25"/>
  <c r="AJ200" i="25"/>
  <c r="AI200" i="25"/>
  <c r="AH200" i="25"/>
  <c r="AG200" i="25"/>
  <c r="AF200" i="25"/>
  <c r="Y200" i="25"/>
  <c r="X200" i="25"/>
  <c r="W200" i="25"/>
  <c r="V200" i="25"/>
  <c r="U200" i="25"/>
  <c r="T200" i="25"/>
  <c r="S200" i="25"/>
  <c r="R200" i="25"/>
  <c r="Q200" i="25"/>
  <c r="P200" i="25"/>
  <c r="O200" i="25"/>
  <c r="N200" i="25"/>
  <c r="M200" i="25"/>
  <c r="L200" i="25"/>
  <c r="K200" i="25"/>
  <c r="J200" i="25"/>
  <c r="I200" i="25"/>
  <c r="H200" i="25"/>
  <c r="G200" i="25"/>
  <c r="F200" i="25"/>
  <c r="E200" i="25"/>
  <c r="D200" i="25"/>
  <c r="BR199" i="25"/>
  <c r="BQ199" i="25"/>
  <c r="BP199" i="25"/>
  <c r="BO199" i="25"/>
  <c r="BN199" i="25"/>
  <c r="BM199" i="25"/>
  <c r="BL199" i="25"/>
  <c r="BK199" i="25"/>
  <c r="BJ199" i="25"/>
  <c r="BF199" i="25"/>
  <c r="BE199" i="25"/>
  <c r="BD199" i="25"/>
  <c r="BC199" i="25"/>
  <c r="BB199" i="25"/>
  <c r="BA199" i="25"/>
  <c r="AZ199" i="25"/>
  <c r="AY199" i="25"/>
  <c r="AX199" i="25"/>
  <c r="AW199" i="25"/>
  <c r="AU199" i="25"/>
  <c r="AT199" i="25"/>
  <c r="AS199" i="25"/>
  <c r="AR199" i="25"/>
  <c r="AN199" i="25"/>
  <c r="AM199" i="25"/>
  <c r="AL199" i="25"/>
  <c r="AK199" i="25"/>
  <c r="AJ199" i="25"/>
  <c r="AI199" i="25"/>
  <c r="AH199" i="25"/>
  <c r="AG199" i="25"/>
  <c r="AF199" i="25"/>
  <c r="Y199" i="25"/>
  <c r="X199" i="25"/>
  <c r="W199" i="25"/>
  <c r="V199" i="25"/>
  <c r="U199" i="25"/>
  <c r="T199" i="25"/>
  <c r="S199" i="25"/>
  <c r="R199" i="25"/>
  <c r="Q199" i="25"/>
  <c r="P199" i="25"/>
  <c r="O199" i="25"/>
  <c r="N199" i="25"/>
  <c r="M199" i="25"/>
  <c r="L199" i="25"/>
  <c r="K199" i="25"/>
  <c r="J199" i="25"/>
  <c r="I199" i="25"/>
  <c r="H199" i="25"/>
  <c r="G199" i="25"/>
  <c r="F199" i="25"/>
  <c r="E199" i="25"/>
  <c r="D199" i="25"/>
  <c r="BR198" i="25"/>
  <c r="BQ198" i="25"/>
  <c r="BP198" i="25"/>
  <c r="BO198" i="25"/>
  <c r="BN198" i="25"/>
  <c r="BM198" i="25"/>
  <c r="BL198" i="25"/>
  <c r="BK198" i="25"/>
  <c r="BJ198" i="25"/>
  <c r="BF198" i="25"/>
  <c r="BE198" i="25"/>
  <c r="BD198" i="25"/>
  <c r="BC198" i="25"/>
  <c r="BB198" i="25"/>
  <c r="BA198" i="25"/>
  <c r="AZ198" i="25"/>
  <c r="AY198" i="25"/>
  <c r="AX198" i="25"/>
  <c r="AW198" i="25"/>
  <c r="AU198" i="25"/>
  <c r="AT198" i="25"/>
  <c r="AS198" i="25"/>
  <c r="AR198" i="25"/>
  <c r="AN198" i="25"/>
  <c r="AM198" i="25"/>
  <c r="AL198" i="25"/>
  <c r="AK198" i="25"/>
  <c r="AJ198" i="25"/>
  <c r="AI198" i="25"/>
  <c r="AH198" i="25"/>
  <c r="AG198" i="25"/>
  <c r="AF198" i="25"/>
  <c r="Y198" i="25"/>
  <c r="X198" i="25"/>
  <c r="W198" i="25"/>
  <c r="V198" i="25"/>
  <c r="U198" i="25"/>
  <c r="T198" i="25"/>
  <c r="S198" i="25"/>
  <c r="R198" i="25"/>
  <c r="Q198" i="25"/>
  <c r="P198" i="25"/>
  <c r="O198" i="25"/>
  <c r="N198" i="25"/>
  <c r="M198" i="25"/>
  <c r="L198" i="25"/>
  <c r="K198" i="25"/>
  <c r="J198" i="25"/>
  <c r="I198" i="25"/>
  <c r="H198" i="25"/>
  <c r="G198" i="25"/>
  <c r="F198" i="25"/>
  <c r="E198" i="25"/>
  <c r="D198" i="25"/>
  <c r="D277" i="24"/>
  <c r="AH276" i="24"/>
  <c r="AG276" i="24"/>
  <c r="AF276" i="24"/>
  <c r="AE276" i="24"/>
  <c r="AD276" i="24"/>
  <c r="AC276" i="24"/>
  <c r="AB276" i="24"/>
  <c r="AA276" i="24"/>
  <c r="Z276" i="24"/>
  <c r="Y276" i="24"/>
  <c r="X276" i="24"/>
  <c r="W276" i="24"/>
  <c r="V276" i="24"/>
  <c r="U276" i="24"/>
  <c r="Q276" i="24"/>
  <c r="P276" i="24"/>
  <c r="O276" i="24"/>
  <c r="N276" i="24"/>
  <c r="M276" i="24"/>
  <c r="L276" i="24"/>
  <c r="K276" i="24"/>
  <c r="J276" i="24"/>
  <c r="I276" i="24"/>
  <c r="H276" i="24"/>
  <c r="G276" i="24"/>
  <c r="F276" i="24"/>
  <c r="E276" i="24"/>
  <c r="D276" i="24"/>
  <c r="AH275" i="24"/>
  <c r="AG275" i="24"/>
  <c r="AF275" i="24"/>
  <c r="AE275" i="24"/>
  <c r="AD275" i="24"/>
  <c r="AC275" i="24"/>
  <c r="AB275" i="24"/>
  <c r="AA275" i="24"/>
  <c r="Z275" i="24"/>
  <c r="Y275" i="24"/>
  <c r="X275" i="24"/>
  <c r="W275" i="24"/>
  <c r="V275" i="24"/>
  <c r="U275" i="24"/>
  <c r="Q275" i="24"/>
  <c r="P275" i="24"/>
  <c r="O275" i="24"/>
  <c r="N275" i="24"/>
  <c r="M275" i="24"/>
  <c r="L275" i="24"/>
  <c r="K275" i="24"/>
  <c r="J275" i="24"/>
  <c r="I275" i="24"/>
  <c r="H275" i="24"/>
  <c r="G275" i="24"/>
  <c r="F275" i="24"/>
  <c r="E275" i="24"/>
  <c r="D275" i="24"/>
  <c r="AH274" i="24"/>
  <c r="AG274" i="24"/>
  <c r="AF274" i="24"/>
  <c r="AE274" i="24"/>
  <c r="AD274" i="24"/>
  <c r="AC274" i="24"/>
  <c r="AB274" i="24"/>
  <c r="AA274" i="24"/>
  <c r="Z274" i="24"/>
  <c r="Y274" i="24"/>
  <c r="X274" i="24"/>
  <c r="W274" i="24"/>
  <c r="V274" i="24"/>
  <c r="U274" i="24"/>
  <c r="Q274" i="24"/>
  <c r="P274" i="24"/>
  <c r="O274" i="24"/>
  <c r="N274" i="24"/>
  <c r="M274" i="24"/>
  <c r="L274" i="24"/>
  <c r="K274" i="24"/>
  <c r="J274" i="24"/>
  <c r="I274" i="24"/>
  <c r="H274" i="24"/>
  <c r="G274" i="24"/>
  <c r="F274" i="24"/>
  <c r="E274" i="24"/>
  <c r="D274" i="24"/>
  <c r="AH273" i="24"/>
  <c r="AG273" i="24"/>
  <c r="AF273" i="24"/>
  <c r="AE273" i="24"/>
  <c r="AD273" i="24"/>
  <c r="AC273" i="24"/>
  <c r="AB273" i="24"/>
  <c r="AA273" i="24"/>
  <c r="Z273" i="24"/>
  <c r="Y273" i="24"/>
  <c r="X273" i="24"/>
  <c r="W273" i="24"/>
  <c r="V273" i="24"/>
  <c r="U273" i="24"/>
  <c r="Q273" i="24"/>
  <c r="P273" i="24"/>
  <c r="O273" i="24"/>
  <c r="N273" i="24"/>
  <c r="M273" i="24"/>
  <c r="L273" i="24"/>
  <c r="K273" i="24"/>
  <c r="J273" i="24"/>
  <c r="I273" i="24"/>
  <c r="H273" i="24"/>
  <c r="G273" i="24"/>
  <c r="F273" i="24"/>
  <c r="E273" i="24"/>
  <c r="D273" i="24"/>
  <c r="AH272" i="24"/>
  <c r="AG272" i="24"/>
  <c r="AF272" i="24"/>
  <c r="AE272" i="24"/>
  <c r="AD272" i="24"/>
  <c r="AC272" i="24"/>
  <c r="AB272" i="24"/>
  <c r="AA272" i="24"/>
  <c r="Z272" i="24"/>
  <c r="Y272" i="24"/>
  <c r="X272" i="24"/>
  <c r="W272" i="24"/>
  <c r="V272" i="24"/>
  <c r="U272" i="24"/>
  <c r="Q272" i="24"/>
  <c r="P272" i="24"/>
  <c r="O272" i="24"/>
  <c r="N272" i="24"/>
  <c r="M272" i="24"/>
  <c r="L272" i="24"/>
  <c r="K272" i="24"/>
  <c r="J272" i="24"/>
  <c r="I272" i="24"/>
  <c r="H272" i="24"/>
  <c r="G272" i="24"/>
  <c r="F272" i="24"/>
  <c r="E272" i="24"/>
  <c r="D272" i="24"/>
  <c r="AH271" i="24"/>
  <c r="AG271" i="24"/>
  <c r="AF271" i="24"/>
  <c r="AE271" i="24"/>
  <c r="AD271" i="24"/>
  <c r="AC271" i="24"/>
  <c r="AB271" i="24"/>
  <c r="AA271" i="24"/>
  <c r="Z271" i="24"/>
  <c r="Y271" i="24"/>
  <c r="X271" i="24"/>
  <c r="W271" i="24"/>
  <c r="V271" i="24"/>
  <c r="U271" i="24"/>
  <c r="Q271" i="24"/>
  <c r="P271" i="24"/>
  <c r="O271" i="24"/>
  <c r="N271" i="24"/>
  <c r="M271" i="24"/>
  <c r="L271" i="24"/>
  <c r="K271" i="24"/>
  <c r="J271" i="24"/>
  <c r="I271" i="24"/>
  <c r="H271" i="24"/>
  <c r="G271" i="24"/>
  <c r="F271" i="24"/>
  <c r="E271" i="24"/>
  <c r="D271" i="24"/>
  <c r="AH270" i="24"/>
  <c r="AG270" i="24"/>
  <c r="AF270" i="24"/>
  <c r="AE270" i="24"/>
  <c r="AD270" i="24"/>
  <c r="AC270" i="24"/>
  <c r="AB270" i="24"/>
  <c r="AA270" i="24"/>
  <c r="Z270" i="24"/>
  <c r="Y270" i="24"/>
  <c r="X270" i="24"/>
  <c r="W270" i="24"/>
  <c r="V270" i="24"/>
  <c r="U270" i="24"/>
  <c r="Q270" i="24"/>
  <c r="P270" i="24"/>
  <c r="O270" i="24"/>
  <c r="N270" i="24"/>
  <c r="M270" i="24"/>
  <c r="L270" i="24"/>
  <c r="K270" i="24"/>
  <c r="J270" i="24"/>
  <c r="I270" i="24"/>
  <c r="H270" i="24"/>
  <c r="G270" i="24"/>
  <c r="F270" i="24"/>
  <c r="E270" i="24"/>
  <c r="D270" i="24"/>
  <c r="AH269" i="24"/>
  <c r="AG269" i="24"/>
  <c r="AF269" i="24"/>
  <c r="AE269" i="24"/>
  <c r="AD269" i="24"/>
  <c r="AC269" i="24"/>
  <c r="AB269" i="24"/>
  <c r="AA269" i="24"/>
  <c r="Z269" i="24"/>
  <c r="Y269" i="24"/>
  <c r="X269" i="24"/>
  <c r="W269" i="24"/>
  <c r="V269" i="24"/>
  <c r="U269" i="24"/>
  <c r="Q269" i="24"/>
  <c r="P269" i="24"/>
  <c r="O269" i="24"/>
  <c r="N269" i="24"/>
  <c r="M269" i="24"/>
  <c r="L269" i="24"/>
  <c r="K269" i="24"/>
  <c r="J269" i="24"/>
  <c r="I269" i="24"/>
  <c r="H269" i="24"/>
  <c r="G269" i="24"/>
  <c r="F269" i="24"/>
  <c r="E269" i="24"/>
  <c r="D269" i="24"/>
  <c r="AH268" i="24"/>
  <c r="AG268" i="24"/>
  <c r="AF268" i="24"/>
  <c r="AE268" i="24"/>
  <c r="AD268" i="24"/>
  <c r="AC268" i="24"/>
  <c r="AB268" i="24"/>
  <c r="AA268" i="24"/>
  <c r="Z268" i="24"/>
  <c r="Y268" i="24"/>
  <c r="X268" i="24"/>
  <c r="W268" i="24"/>
  <c r="V268" i="24"/>
  <c r="U268" i="24"/>
  <c r="Q268" i="24"/>
  <c r="P268" i="24"/>
  <c r="O268" i="24"/>
  <c r="N268" i="24"/>
  <c r="M268" i="24"/>
  <c r="L268" i="24"/>
  <c r="K268" i="24"/>
  <c r="J268" i="24"/>
  <c r="I268" i="24"/>
  <c r="H268" i="24"/>
  <c r="G268" i="24"/>
  <c r="F268" i="24"/>
  <c r="E268" i="24"/>
  <c r="D268" i="24"/>
  <c r="AH267" i="24"/>
  <c r="AG267" i="24"/>
  <c r="AF267" i="24"/>
  <c r="AE267" i="24"/>
  <c r="AD267" i="24"/>
  <c r="AC267" i="24"/>
  <c r="AB267" i="24"/>
  <c r="AA267" i="24"/>
  <c r="Z267" i="24"/>
  <c r="Y267" i="24"/>
  <c r="X267" i="24"/>
  <c r="W267" i="24"/>
  <c r="V267" i="24"/>
  <c r="U267" i="24"/>
  <c r="Q267" i="24"/>
  <c r="P267" i="24"/>
  <c r="O267" i="24"/>
  <c r="N267" i="24"/>
  <c r="M267" i="24"/>
  <c r="L267" i="24"/>
  <c r="K267" i="24"/>
  <c r="J267" i="24"/>
  <c r="I267" i="24"/>
  <c r="H267" i="24"/>
  <c r="G267" i="24"/>
  <c r="F267" i="24"/>
  <c r="E267" i="24"/>
  <c r="D267" i="24"/>
  <c r="AH266" i="24"/>
  <c r="AG266" i="24"/>
  <c r="AF266" i="24"/>
  <c r="AE266" i="24"/>
  <c r="AD266" i="24"/>
  <c r="AC266" i="24"/>
  <c r="AB266" i="24"/>
  <c r="AA266" i="24"/>
  <c r="Z266" i="24"/>
  <c r="Y266" i="24"/>
  <c r="X266" i="24"/>
  <c r="W266" i="24"/>
  <c r="V266" i="24"/>
  <c r="U266" i="24"/>
  <c r="Q266" i="24"/>
  <c r="P266" i="24"/>
  <c r="O266" i="24"/>
  <c r="N266" i="24"/>
  <c r="M266" i="24"/>
  <c r="L266" i="24"/>
  <c r="K266" i="24"/>
  <c r="J266" i="24"/>
  <c r="I266" i="24"/>
  <c r="H266" i="24"/>
  <c r="G266" i="24"/>
  <c r="F266" i="24"/>
  <c r="E266" i="24"/>
  <c r="D266" i="24"/>
  <c r="AH265" i="24"/>
  <c r="AG265" i="24"/>
  <c r="AF265" i="24"/>
  <c r="AE265" i="24"/>
  <c r="AD265" i="24"/>
  <c r="AC265" i="24"/>
  <c r="AB265" i="24"/>
  <c r="AA265" i="24"/>
  <c r="Z265" i="24"/>
  <c r="Y265" i="24"/>
  <c r="X265" i="24"/>
  <c r="W265" i="24"/>
  <c r="V265" i="24"/>
  <c r="U265" i="24"/>
  <c r="Q265" i="24"/>
  <c r="P265" i="24"/>
  <c r="O265" i="24"/>
  <c r="N265" i="24"/>
  <c r="M265" i="24"/>
  <c r="L265" i="24"/>
  <c r="K265" i="24"/>
  <c r="J265" i="24"/>
  <c r="I265" i="24"/>
  <c r="H265" i="24"/>
  <c r="G265" i="24"/>
  <c r="F265" i="24"/>
  <c r="E265" i="24"/>
  <c r="D265" i="24"/>
  <c r="AH264" i="24"/>
  <c r="AG264" i="24"/>
  <c r="AF264" i="24"/>
  <c r="AE264" i="24"/>
  <c r="AD264" i="24"/>
  <c r="AC264" i="24"/>
  <c r="AB264" i="24"/>
  <c r="AA264" i="24"/>
  <c r="Z264" i="24"/>
  <c r="Y264" i="24"/>
  <c r="X264" i="24"/>
  <c r="W264" i="24"/>
  <c r="V264" i="24"/>
  <c r="U264" i="24"/>
  <c r="Q264" i="24"/>
  <c r="P264" i="24"/>
  <c r="O264" i="24"/>
  <c r="N264" i="24"/>
  <c r="M264" i="24"/>
  <c r="L264" i="24"/>
  <c r="K264" i="24"/>
  <c r="J264" i="24"/>
  <c r="I264" i="24"/>
  <c r="H264" i="24"/>
  <c r="G264" i="24"/>
  <c r="F264" i="24"/>
  <c r="E264" i="24"/>
  <c r="D264" i="24"/>
  <c r="AH263" i="24"/>
  <c r="AG263" i="24"/>
  <c r="AF263" i="24"/>
  <c r="AE263" i="24"/>
  <c r="AD263" i="24"/>
  <c r="AC263" i="24"/>
  <c r="AB263" i="24"/>
  <c r="AA263" i="24"/>
  <c r="Z263" i="24"/>
  <c r="Y263" i="24"/>
  <c r="X263" i="24"/>
  <c r="W263" i="24"/>
  <c r="V263" i="24"/>
  <c r="U263" i="24"/>
  <c r="Q263" i="24"/>
  <c r="P263" i="24"/>
  <c r="O263" i="24"/>
  <c r="N263" i="24"/>
  <c r="M263" i="24"/>
  <c r="L263" i="24"/>
  <c r="K263" i="24"/>
  <c r="J263" i="24"/>
  <c r="I263" i="24"/>
  <c r="H263" i="24"/>
  <c r="G263" i="24"/>
  <c r="F263" i="24"/>
  <c r="E263" i="24"/>
  <c r="D263" i="24"/>
  <c r="AH262" i="24"/>
  <c r="AG262" i="24"/>
  <c r="AF262" i="24"/>
  <c r="AE262" i="24"/>
  <c r="AD262" i="24"/>
  <c r="AC262" i="24"/>
  <c r="AB262" i="24"/>
  <c r="AA262" i="24"/>
  <c r="Z262" i="24"/>
  <c r="Y262" i="24"/>
  <c r="X262" i="24"/>
  <c r="W262" i="24"/>
  <c r="V262" i="24"/>
  <c r="U262" i="24"/>
  <c r="Q262" i="24"/>
  <c r="P262" i="24"/>
  <c r="O262" i="24"/>
  <c r="N262" i="24"/>
  <c r="M262" i="24"/>
  <c r="L262" i="24"/>
  <c r="K262" i="24"/>
  <c r="J262" i="24"/>
  <c r="I262" i="24"/>
  <c r="H262" i="24"/>
  <c r="G262" i="24"/>
  <c r="F262" i="24"/>
  <c r="E262" i="24"/>
  <c r="D262" i="24"/>
  <c r="AH261" i="24"/>
  <c r="AG261" i="24"/>
  <c r="AF261" i="24"/>
  <c r="AE261" i="24"/>
  <c r="AD261" i="24"/>
  <c r="AC261" i="24"/>
  <c r="AB261" i="24"/>
  <c r="AA261" i="24"/>
  <c r="Z261" i="24"/>
  <c r="Y261" i="24"/>
  <c r="X261" i="24"/>
  <c r="W261" i="24"/>
  <c r="V261" i="24"/>
  <c r="U261" i="24"/>
  <c r="Q261" i="24"/>
  <c r="P261" i="24"/>
  <c r="O261" i="24"/>
  <c r="N261" i="24"/>
  <c r="M261" i="24"/>
  <c r="L261" i="24"/>
  <c r="K261" i="24"/>
  <c r="J261" i="24"/>
  <c r="I261" i="24"/>
  <c r="H261" i="24"/>
  <c r="G261" i="24"/>
  <c r="F261" i="24"/>
  <c r="E261" i="24"/>
  <c r="D261" i="24"/>
  <c r="AH260" i="24"/>
  <c r="AG260" i="24"/>
  <c r="AF260" i="24"/>
  <c r="AE260" i="24"/>
  <c r="AD260" i="24"/>
  <c r="AC260" i="24"/>
  <c r="AB260" i="24"/>
  <c r="AA260" i="24"/>
  <c r="Z260" i="24"/>
  <c r="Y260" i="24"/>
  <c r="X260" i="24"/>
  <c r="W260" i="24"/>
  <c r="V260" i="24"/>
  <c r="U260" i="24"/>
  <c r="Q260" i="24"/>
  <c r="P260" i="24"/>
  <c r="O260" i="24"/>
  <c r="N260" i="24"/>
  <c r="M260" i="24"/>
  <c r="L260" i="24"/>
  <c r="K260" i="24"/>
  <c r="J260" i="24"/>
  <c r="I260" i="24"/>
  <c r="H260" i="24"/>
  <c r="G260" i="24"/>
  <c r="F260" i="24"/>
  <c r="E260" i="24"/>
  <c r="D260" i="24"/>
  <c r="AH259" i="24"/>
  <c r="AG259" i="24"/>
  <c r="AF259" i="24"/>
  <c r="AE259" i="24"/>
  <c r="AD259" i="24"/>
  <c r="AC259" i="24"/>
  <c r="AB259" i="24"/>
  <c r="AA259" i="24"/>
  <c r="Z259" i="24"/>
  <c r="Y259" i="24"/>
  <c r="X259" i="24"/>
  <c r="W259" i="24"/>
  <c r="V259" i="24"/>
  <c r="U259" i="24"/>
  <c r="Q259" i="24"/>
  <c r="P259" i="24"/>
  <c r="O259" i="24"/>
  <c r="N259" i="24"/>
  <c r="M259" i="24"/>
  <c r="L259" i="24"/>
  <c r="K259" i="24"/>
  <c r="J259" i="24"/>
  <c r="I259" i="24"/>
  <c r="H259" i="24"/>
  <c r="G259" i="24"/>
  <c r="F259" i="24"/>
  <c r="E259" i="24"/>
  <c r="D259" i="24"/>
  <c r="AH258" i="24"/>
  <c r="AG258" i="24"/>
  <c r="AF258" i="24"/>
  <c r="AE258" i="24"/>
  <c r="AD258" i="24"/>
  <c r="AC258" i="24"/>
  <c r="AB258" i="24"/>
  <c r="AA258" i="24"/>
  <c r="Z258" i="24"/>
  <c r="Y258" i="24"/>
  <c r="X258" i="24"/>
  <c r="W258" i="24"/>
  <c r="V258" i="24"/>
  <c r="U258" i="24"/>
  <c r="Q258" i="24"/>
  <c r="P258" i="24"/>
  <c r="O258" i="24"/>
  <c r="N258" i="24"/>
  <c r="M258" i="24"/>
  <c r="L258" i="24"/>
  <c r="K258" i="24"/>
  <c r="J258" i="24"/>
  <c r="I258" i="24"/>
  <c r="H258" i="24"/>
  <c r="G258" i="24"/>
  <c r="F258" i="24"/>
  <c r="E258" i="24"/>
  <c r="D258" i="24"/>
  <c r="AH257" i="24"/>
  <c r="AG257" i="24"/>
  <c r="AF257" i="24"/>
  <c r="AE257" i="24"/>
  <c r="AD257" i="24"/>
  <c r="AC257" i="24"/>
  <c r="AB257" i="24"/>
  <c r="AA257" i="24"/>
  <c r="Z257" i="24"/>
  <c r="Y257" i="24"/>
  <c r="X257" i="24"/>
  <c r="W257" i="24"/>
  <c r="V257" i="24"/>
  <c r="U257" i="24"/>
  <c r="Q257" i="24"/>
  <c r="P257" i="24"/>
  <c r="O257" i="24"/>
  <c r="N257" i="24"/>
  <c r="M257" i="24"/>
  <c r="L257" i="24"/>
  <c r="K257" i="24"/>
  <c r="J257" i="24"/>
  <c r="I257" i="24"/>
  <c r="H257" i="24"/>
  <c r="G257" i="24"/>
  <c r="F257" i="24"/>
  <c r="E257" i="24"/>
  <c r="D257" i="24"/>
  <c r="AH256" i="24"/>
  <c r="AG256" i="24"/>
  <c r="AF256" i="24"/>
  <c r="AE256" i="24"/>
  <c r="AD256" i="24"/>
  <c r="AC256" i="24"/>
  <c r="AB256" i="24"/>
  <c r="AA256" i="24"/>
  <c r="Z256" i="24"/>
  <c r="Y256" i="24"/>
  <c r="X256" i="24"/>
  <c r="W256" i="24"/>
  <c r="V256" i="24"/>
  <c r="U256" i="24"/>
  <c r="Q256" i="24"/>
  <c r="P256" i="24"/>
  <c r="O256" i="24"/>
  <c r="N256" i="24"/>
  <c r="M256" i="24"/>
  <c r="L256" i="24"/>
  <c r="K256" i="24"/>
  <c r="J256" i="24"/>
  <c r="I256" i="24"/>
  <c r="H256" i="24"/>
  <c r="G256" i="24"/>
  <c r="F256" i="24"/>
  <c r="E256" i="24"/>
  <c r="D256" i="24"/>
  <c r="AH255" i="24"/>
  <c r="AG255" i="24"/>
  <c r="AF255" i="24"/>
  <c r="AE255" i="24"/>
  <c r="AD255" i="24"/>
  <c r="AC255" i="24"/>
  <c r="AB255" i="24"/>
  <c r="AA255" i="24"/>
  <c r="Z255" i="24"/>
  <c r="Y255" i="24"/>
  <c r="X255" i="24"/>
  <c r="W255" i="24"/>
  <c r="V255" i="24"/>
  <c r="U255" i="24"/>
  <c r="Q255" i="24"/>
  <c r="P255" i="24"/>
  <c r="O255" i="24"/>
  <c r="N255" i="24"/>
  <c r="M255" i="24"/>
  <c r="L255" i="24"/>
  <c r="K255" i="24"/>
  <c r="J255" i="24"/>
  <c r="I255" i="24"/>
  <c r="H255" i="24"/>
  <c r="G255" i="24"/>
  <c r="F255" i="24"/>
  <c r="E255" i="24"/>
  <c r="D255" i="24"/>
  <c r="AH254" i="24"/>
  <c r="AG254" i="24"/>
  <c r="AF254" i="24"/>
  <c r="AE254" i="24"/>
  <c r="AD254" i="24"/>
  <c r="AC254" i="24"/>
  <c r="AB254" i="24"/>
  <c r="AA254" i="24"/>
  <c r="Z254" i="24"/>
  <c r="Y254" i="24"/>
  <c r="X254" i="24"/>
  <c r="W254" i="24"/>
  <c r="V254" i="24"/>
  <c r="U254" i="24"/>
  <c r="Q254" i="24"/>
  <c r="P254" i="24"/>
  <c r="O254" i="24"/>
  <c r="N254" i="24"/>
  <c r="M254" i="24"/>
  <c r="L254" i="24"/>
  <c r="K254" i="24"/>
  <c r="J254" i="24"/>
  <c r="I254" i="24"/>
  <c r="H254" i="24"/>
  <c r="G254" i="24"/>
  <c r="F254" i="24"/>
  <c r="E254" i="24"/>
  <c r="D254" i="24"/>
  <c r="AH253" i="24"/>
  <c r="AG253" i="24"/>
  <c r="AF253" i="24"/>
  <c r="AE253" i="24"/>
  <c r="AD253" i="24"/>
  <c r="AC253" i="24"/>
  <c r="AB253" i="24"/>
  <c r="AA253" i="24"/>
  <c r="Z253" i="24"/>
  <c r="Y253" i="24"/>
  <c r="X253" i="24"/>
  <c r="W253" i="24"/>
  <c r="V253" i="24"/>
  <c r="U253" i="24"/>
  <c r="Q253" i="24"/>
  <c r="P253" i="24"/>
  <c r="O253" i="24"/>
  <c r="N253" i="24"/>
  <c r="M253" i="24"/>
  <c r="L253" i="24"/>
  <c r="K253" i="24"/>
  <c r="J253" i="24"/>
  <c r="I253" i="24"/>
  <c r="H253" i="24"/>
  <c r="G253" i="24"/>
  <c r="F253" i="24"/>
  <c r="E253" i="24"/>
  <c r="D253" i="24"/>
  <c r="AH252" i="24"/>
  <c r="AG252" i="24"/>
  <c r="AF252" i="24"/>
  <c r="AE252" i="24"/>
  <c r="AD252" i="24"/>
  <c r="AC252" i="24"/>
  <c r="AB252" i="24"/>
  <c r="AA252" i="24"/>
  <c r="Z252" i="24"/>
  <c r="Y252" i="24"/>
  <c r="X252" i="24"/>
  <c r="W252" i="24"/>
  <c r="V252" i="24"/>
  <c r="U252" i="24"/>
  <c r="Q252" i="24"/>
  <c r="P252" i="24"/>
  <c r="O252" i="24"/>
  <c r="N252" i="24"/>
  <c r="M252" i="24"/>
  <c r="L252" i="24"/>
  <c r="K252" i="24"/>
  <c r="J252" i="24"/>
  <c r="I252" i="24"/>
  <c r="H252" i="24"/>
  <c r="G252" i="24"/>
  <c r="F252" i="24"/>
  <c r="E252" i="24"/>
  <c r="D252" i="24"/>
  <c r="AH251" i="24"/>
  <c r="AG251" i="24"/>
  <c r="AF251" i="24"/>
  <c r="AE251" i="24"/>
  <c r="AD251" i="24"/>
  <c r="AC251" i="24"/>
  <c r="AB251" i="24"/>
  <c r="AA251" i="24"/>
  <c r="Z251" i="24"/>
  <c r="Y251" i="24"/>
  <c r="X251" i="24"/>
  <c r="W251" i="24"/>
  <c r="V251" i="24"/>
  <c r="U251" i="24"/>
  <c r="Q251" i="24"/>
  <c r="P251" i="24"/>
  <c r="O251" i="24"/>
  <c r="N251" i="24"/>
  <c r="M251" i="24"/>
  <c r="L251" i="24"/>
  <c r="K251" i="24"/>
  <c r="J251" i="24"/>
  <c r="I251" i="24"/>
  <c r="H251" i="24"/>
  <c r="G251" i="24"/>
  <c r="F251" i="24"/>
  <c r="E251" i="24"/>
  <c r="D251" i="24"/>
  <c r="AH250" i="24"/>
  <c r="AG250" i="24"/>
  <c r="AF250" i="24"/>
  <c r="AE250" i="24"/>
  <c r="AD250" i="24"/>
  <c r="AC250" i="24"/>
  <c r="AB250" i="24"/>
  <c r="AA250" i="24"/>
  <c r="Z250" i="24"/>
  <c r="Y250" i="24"/>
  <c r="X250" i="24"/>
  <c r="W250" i="24"/>
  <c r="V250" i="24"/>
  <c r="U250" i="24"/>
  <c r="Q250" i="24"/>
  <c r="P250" i="24"/>
  <c r="O250" i="24"/>
  <c r="N250" i="24"/>
  <c r="M250" i="24"/>
  <c r="L250" i="24"/>
  <c r="K250" i="24"/>
  <c r="J250" i="24"/>
  <c r="I250" i="24"/>
  <c r="H250" i="24"/>
  <c r="G250" i="24"/>
  <c r="F250" i="24"/>
  <c r="E250" i="24"/>
  <c r="D250" i="24"/>
  <c r="AW76" i="59"/>
  <c r="AW75" i="59"/>
  <c r="AW74" i="59"/>
  <c r="AW73" i="59"/>
  <c r="AW72" i="59"/>
  <c r="AW71" i="59"/>
  <c r="AW70" i="59"/>
  <c r="AW69" i="59"/>
  <c r="AW68" i="59"/>
  <c r="AW67" i="59"/>
  <c r="AW66" i="59"/>
  <c r="AW65" i="59"/>
  <c r="AV64" i="59"/>
  <c r="AU64" i="59"/>
  <c r="AT64" i="59"/>
  <c r="AW64" i="59" s="1"/>
  <c r="AV63" i="59"/>
  <c r="AU63" i="59"/>
  <c r="AT63" i="59"/>
  <c r="AW63" i="59" s="1"/>
  <c r="AV62" i="59"/>
  <c r="AU62" i="59"/>
  <c r="AT62" i="59"/>
  <c r="AW62" i="59" s="1"/>
  <c r="AV61" i="59"/>
  <c r="AU61" i="59"/>
  <c r="AT61" i="59"/>
  <c r="AW61" i="59" s="1"/>
  <c r="AV60" i="59"/>
  <c r="AU60" i="59"/>
  <c r="AT60" i="59"/>
  <c r="AW60" i="59" s="1"/>
  <c r="AV59" i="59"/>
  <c r="AU59" i="59"/>
  <c r="AT59" i="59"/>
  <c r="AW59" i="59" s="1"/>
  <c r="AV58" i="59"/>
  <c r="AU58" i="59"/>
  <c r="AT58" i="59"/>
  <c r="AW58" i="59" s="1"/>
  <c r="AV57" i="59"/>
  <c r="AU57" i="59"/>
  <c r="AT57" i="59"/>
  <c r="AW57" i="59" s="1"/>
  <c r="AV56" i="59"/>
  <c r="AU56" i="59"/>
  <c r="AT56" i="59"/>
  <c r="AW56" i="59" s="1"/>
  <c r="AV55" i="59"/>
  <c r="AU55" i="59"/>
  <c r="AT55" i="59"/>
  <c r="AW55" i="59" s="1"/>
  <c r="AV54" i="59"/>
  <c r="AU54" i="59"/>
  <c r="AT54" i="59"/>
  <c r="AW54" i="59" s="1"/>
  <c r="AV53" i="59"/>
  <c r="AU53" i="59"/>
  <c r="AT53" i="59"/>
  <c r="AW53" i="59" s="1"/>
  <c r="AV52" i="59"/>
  <c r="AU52" i="59"/>
  <c r="AT52" i="59"/>
  <c r="AW52" i="59" s="1"/>
  <c r="AV51" i="59"/>
  <c r="AU51" i="59"/>
  <c r="AT51" i="59"/>
  <c r="AW51" i="59" s="1"/>
  <c r="AV50" i="59"/>
  <c r="AU50" i="59"/>
  <c r="AT50" i="59"/>
  <c r="AW50" i="59" s="1"/>
  <c r="AV49" i="59"/>
  <c r="AU49" i="59"/>
  <c r="AT49" i="59"/>
  <c r="AW49" i="59" s="1"/>
  <c r="AV48" i="59"/>
  <c r="AU48" i="59"/>
  <c r="AT48" i="59"/>
  <c r="AW48" i="59" s="1"/>
  <c r="AV47" i="59"/>
  <c r="AU47" i="59"/>
  <c r="AT47" i="59"/>
  <c r="AW47" i="59" s="1"/>
  <c r="AV46" i="59"/>
  <c r="AU46" i="59"/>
  <c r="AT46" i="59"/>
  <c r="AW46" i="59" s="1"/>
  <c r="AV45" i="59"/>
  <c r="AU45" i="59"/>
  <c r="AT45" i="59"/>
  <c r="AW45" i="59" s="1"/>
  <c r="AV44" i="59"/>
  <c r="AU44" i="59"/>
  <c r="AT44" i="59"/>
  <c r="AW44" i="59" s="1"/>
  <c r="BT32" i="59"/>
  <c r="BS32" i="59"/>
  <c r="BR32" i="59"/>
  <c r="BQ32" i="59"/>
  <c r="BP32" i="59"/>
  <c r="BO32" i="59"/>
  <c r="BN32" i="59"/>
  <c r="BM32" i="59"/>
  <c r="BL32" i="59"/>
  <c r="BK32" i="59"/>
  <c r="BG32" i="59"/>
  <c r="BF32" i="59"/>
  <c r="BE32" i="59"/>
  <c r="BD32" i="59"/>
  <c r="BC32" i="59"/>
  <c r="BB32" i="59"/>
  <c r="BA32" i="59"/>
  <c r="AZ32" i="59"/>
  <c r="AY32" i="59"/>
  <c r="AX32" i="59"/>
  <c r="AV32" i="59"/>
  <c r="AU32" i="59"/>
  <c r="AT32" i="59"/>
  <c r="AS32" i="59"/>
  <c r="AO32" i="59"/>
  <c r="AN32" i="59"/>
  <c r="AM32" i="59"/>
  <c r="AL32" i="59"/>
  <c r="AK32" i="59"/>
  <c r="AJ32" i="59"/>
  <c r="AI32" i="59"/>
  <c r="AH32" i="59"/>
  <c r="AG32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G32" i="59"/>
  <c r="F32" i="59"/>
  <c r="E32" i="59"/>
  <c r="D32" i="59"/>
  <c r="C32" i="59"/>
  <c r="BT31" i="59"/>
  <c r="BS31" i="59"/>
  <c r="BR31" i="59"/>
  <c r="BQ31" i="59"/>
  <c r="BP31" i="59"/>
  <c r="BO31" i="59"/>
  <c r="BN31" i="59"/>
  <c r="BM31" i="59"/>
  <c r="BL31" i="59"/>
  <c r="BK31" i="59"/>
  <c r="BG31" i="59"/>
  <c r="BF31" i="59"/>
  <c r="BE31" i="59"/>
  <c r="BD31" i="59"/>
  <c r="BC31" i="59"/>
  <c r="BB31" i="59"/>
  <c r="BA31" i="59"/>
  <c r="AZ31" i="59"/>
  <c r="AY31" i="59"/>
  <c r="AX31" i="59"/>
  <c r="AV31" i="59"/>
  <c r="AU31" i="59"/>
  <c r="AT31" i="59"/>
  <c r="AS31" i="59"/>
  <c r="AO31" i="59"/>
  <c r="AN31" i="59"/>
  <c r="AM31" i="59"/>
  <c r="AL31" i="59"/>
  <c r="AK31" i="59"/>
  <c r="AJ31" i="59"/>
  <c r="AI31" i="59"/>
  <c r="AH31" i="59"/>
  <c r="AG31" i="59"/>
  <c r="Z31" i="59"/>
  <c r="Y31" i="59"/>
  <c r="X31" i="59"/>
  <c r="W31" i="59"/>
  <c r="V31" i="59"/>
  <c r="U31" i="59"/>
  <c r="T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G31" i="59"/>
  <c r="F31" i="59"/>
  <c r="E31" i="59"/>
  <c r="D31" i="59"/>
  <c r="C31" i="59"/>
  <c r="BT30" i="59"/>
  <c r="BS30" i="59"/>
  <c r="BR30" i="59"/>
  <c r="BQ30" i="59"/>
  <c r="BP30" i="59"/>
  <c r="BO30" i="59"/>
  <c r="BN30" i="59"/>
  <c r="BM30" i="59"/>
  <c r="BL30" i="59"/>
  <c r="BK30" i="59"/>
  <c r="BG30" i="59"/>
  <c r="BF30" i="59"/>
  <c r="BE30" i="59"/>
  <c r="BD30" i="59"/>
  <c r="BC30" i="59"/>
  <c r="BB30" i="59"/>
  <c r="BA30" i="59"/>
  <c r="AZ30" i="59"/>
  <c r="AY30" i="59"/>
  <c r="AX30" i="59"/>
  <c r="AV30" i="59"/>
  <c r="AU30" i="59"/>
  <c r="AT30" i="59"/>
  <c r="AS30" i="59"/>
  <c r="AO30" i="59"/>
  <c r="AN30" i="59"/>
  <c r="AM30" i="59"/>
  <c r="AL30" i="59"/>
  <c r="AK30" i="59"/>
  <c r="AJ30" i="59"/>
  <c r="AI30" i="59"/>
  <c r="AH30" i="59"/>
  <c r="AG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D30" i="59"/>
  <c r="C30" i="59"/>
  <c r="BT29" i="59"/>
  <c r="BS29" i="59"/>
  <c r="BR29" i="59"/>
  <c r="BQ29" i="59"/>
  <c r="BP29" i="59"/>
  <c r="BO29" i="59"/>
  <c r="BN29" i="59"/>
  <c r="BM29" i="59"/>
  <c r="BL29" i="59"/>
  <c r="BK29" i="59"/>
  <c r="BG29" i="59"/>
  <c r="BF29" i="59"/>
  <c r="BE29" i="59"/>
  <c r="BD29" i="59"/>
  <c r="BC29" i="59"/>
  <c r="BB29" i="59"/>
  <c r="BA29" i="59"/>
  <c r="AZ29" i="59"/>
  <c r="AY29" i="59"/>
  <c r="AX29" i="59"/>
  <c r="AV29" i="59"/>
  <c r="AU29" i="59"/>
  <c r="AT29" i="59"/>
  <c r="AS29" i="59"/>
  <c r="AO29" i="59"/>
  <c r="AN29" i="59"/>
  <c r="AM29" i="59"/>
  <c r="AL29" i="59"/>
  <c r="AK29" i="59"/>
  <c r="AJ29" i="59"/>
  <c r="AI29" i="59"/>
  <c r="AH29" i="59"/>
  <c r="AG29" i="59"/>
  <c r="Z29" i="59"/>
  <c r="Y29" i="59"/>
  <c r="X29" i="59"/>
  <c r="W29" i="59"/>
  <c r="V29" i="59"/>
  <c r="U29" i="59"/>
  <c r="T29" i="59"/>
  <c r="S29" i="59"/>
  <c r="R29" i="59"/>
  <c r="Q29" i="59"/>
  <c r="P29" i="59"/>
  <c r="O29" i="59"/>
  <c r="N29" i="59"/>
  <c r="M29" i="59"/>
  <c r="L29" i="59"/>
  <c r="K29" i="59"/>
  <c r="J29" i="59"/>
  <c r="I29" i="59"/>
  <c r="H29" i="59"/>
  <c r="G29" i="59"/>
  <c r="F29" i="59"/>
  <c r="E29" i="59"/>
  <c r="D29" i="59"/>
  <c r="C29" i="59"/>
  <c r="BT28" i="59"/>
  <c r="BS28" i="59"/>
  <c r="BR28" i="59"/>
  <c r="BQ28" i="59"/>
  <c r="BP28" i="59"/>
  <c r="BO28" i="59"/>
  <c r="BN28" i="59"/>
  <c r="BM28" i="59"/>
  <c r="BL28" i="59"/>
  <c r="BK28" i="59"/>
  <c r="BG28" i="59"/>
  <c r="BF28" i="59"/>
  <c r="BE28" i="59"/>
  <c r="BD28" i="59"/>
  <c r="BC28" i="59"/>
  <c r="BB28" i="59"/>
  <c r="BA28" i="59"/>
  <c r="AZ28" i="59"/>
  <c r="AY28" i="59"/>
  <c r="AX28" i="59"/>
  <c r="AV28" i="59"/>
  <c r="AU28" i="59"/>
  <c r="AT28" i="59"/>
  <c r="AS28" i="59"/>
  <c r="AO28" i="59"/>
  <c r="AN28" i="59"/>
  <c r="AM28" i="59"/>
  <c r="AL28" i="59"/>
  <c r="AK28" i="59"/>
  <c r="AJ28" i="59"/>
  <c r="AI28" i="59"/>
  <c r="AH28" i="59"/>
  <c r="AG28" i="59"/>
  <c r="Z28" i="59"/>
  <c r="Y28" i="59"/>
  <c r="X28" i="59"/>
  <c r="W28" i="59"/>
  <c r="V28" i="59"/>
  <c r="U28" i="59"/>
  <c r="T28" i="59"/>
  <c r="S28" i="59"/>
  <c r="R28" i="59"/>
  <c r="Q28" i="59"/>
  <c r="P28" i="59"/>
  <c r="O28" i="59"/>
  <c r="N28" i="59"/>
  <c r="M28" i="59"/>
  <c r="L28" i="59"/>
  <c r="K28" i="59"/>
  <c r="J28" i="59"/>
  <c r="I28" i="59"/>
  <c r="H28" i="59"/>
  <c r="G28" i="59"/>
  <c r="F28" i="59"/>
  <c r="E28" i="59"/>
  <c r="D28" i="59"/>
  <c r="C28" i="59"/>
  <c r="BT27" i="59"/>
  <c r="BS27" i="59"/>
  <c r="BR27" i="59"/>
  <c r="BQ27" i="59"/>
  <c r="BP27" i="59"/>
  <c r="BO27" i="59"/>
  <c r="BN27" i="59"/>
  <c r="BM27" i="59"/>
  <c r="BL27" i="59"/>
  <c r="BK27" i="59"/>
  <c r="BG27" i="59"/>
  <c r="BF27" i="59"/>
  <c r="BE27" i="59"/>
  <c r="BD27" i="59"/>
  <c r="BC27" i="59"/>
  <c r="BB27" i="59"/>
  <c r="BA27" i="59"/>
  <c r="AZ27" i="59"/>
  <c r="AY27" i="59"/>
  <c r="AX27" i="59"/>
  <c r="AV27" i="59"/>
  <c r="AU27" i="59"/>
  <c r="AT27" i="59"/>
  <c r="AS27" i="59"/>
  <c r="AO27" i="59"/>
  <c r="AN27" i="59"/>
  <c r="AM27" i="59"/>
  <c r="AL27" i="59"/>
  <c r="AK27" i="59"/>
  <c r="AJ27" i="59"/>
  <c r="AI27" i="59"/>
  <c r="AH27" i="59"/>
  <c r="AG27" i="59"/>
  <c r="Z27" i="59"/>
  <c r="Y27" i="59"/>
  <c r="X27" i="59"/>
  <c r="W27" i="59"/>
  <c r="V27" i="59"/>
  <c r="U27" i="59"/>
  <c r="T27" i="59"/>
  <c r="S27" i="59"/>
  <c r="R27" i="59"/>
  <c r="Q27" i="59"/>
  <c r="P27" i="59"/>
  <c r="O27" i="59"/>
  <c r="N27" i="59"/>
  <c r="M27" i="59"/>
  <c r="L27" i="59"/>
  <c r="K27" i="59"/>
  <c r="J27" i="59"/>
  <c r="I27" i="59"/>
  <c r="H27" i="59"/>
  <c r="G27" i="59"/>
  <c r="F27" i="59"/>
  <c r="E27" i="59"/>
  <c r="D27" i="59"/>
  <c r="C27" i="59"/>
  <c r="BT26" i="59"/>
  <c r="BS26" i="59"/>
  <c r="BR26" i="59"/>
  <c r="BQ26" i="59"/>
  <c r="BP26" i="59"/>
  <c r="BO26" i="59"/>
  <c r="BN26" i="59"/>
  <c r="BM26" i="59"/>
  <c r="BL26" i="59"/>
  <c r="BK26" i="59"/>
  <c r="BG26" i="59"/>
  <c r="BF26" i="59"/>
  <c r="BE26" i="59"/>
  <c r="BD26" i="59"/>
  <c r="BC26" i="59"/>
  <c r="BB26" i="59"/>
  <c r="BA26" i="59"/>
  <c r="AZ26" i="59"/>
  <c r="AY26" i="59"/>
  <c r="AX26" i="59"/>
  <c r="AV26" i="59"/>
  <c r="AU26" i="59"/>
  <c r="AT26" i="59"/>
  <c r="AS26" i="59"/>
  <c r="AO26" i="59"/>
  <c r="AN26" i="59"/>
  <c r="AM26" i="59"/>
  <c r="AL26" i="59"/>
  <c r="AK26" i="59"/>
  <c r="AJ26" i="59"/>
  <c r="AI26" i="59"/>
  <c r="AH26" i="59"/>
  <c r="AG26" i="59"/>
  <c r="Z26" i="59"/>
  <c r="Y26" i="59"/>
  <c r="X26" i="59"/>
  <c r="W26" i="59"/>
  <c r="V26" i="59"/>
  <c r="U26" i="59"/>
  <c r="T26" i="59"/>
  <c r="S26" i="59"/>
  <c r="R26" i="59"/>
  <c r="Q26" i="59"/>
  <c r="P26" i="59"/>
  <c r="O26" i="59"/>
  <c r="N26" i="59"/>
  <c r="M26" i="59"/>
  <c r="L26" i="59"/>
  <c r="K26" i="59"/>
  <c r="J26" i="59"/>
  <c r="I26" i="59"/>
  <c r="H26" i="59"/>
  <c r="G26" i="59"/>
  <c r="F26" i="59"/>
  <c r="E26" i="59"/>
  <c r="D26" i="59"/>
  <c r="C26" i="59"/>
  <c r="BT25" i="59"/>
  <c r="BS25" i="59"/>
  <c r="BR25" i="59"/>
  <c r="BQ25" i="59"/>
  <c r="BP25" i="59"/>
  <c r="BO25" i="59"/>
  <c r="BN25" i="59"/>
  <c r="BM25" i="59"/>
  <c r="BL25" i="59"/>
  <c r="BK25" i="59"/>
  <c r="BG25" i="59"/>
  <c r="BF25" i="59"/>
  <c r="BE25" i="59"/>
  <c r="BD25" i="59"/>
  <c r="BC25" i="59"/>
  <c r="BB25" i="59"/>
  <c r="BA25" i="59"/>
  <c r="AZ25" i="59"/>
  <c r="AY25" i="59"/>
  <c r="AX25" i="59"/>
  <c r="AV25" i="59"/>
  <c r="AU25" i="59"/>
  <c r="AT25" i="59"/>
  <c r="AS25" i="59"/>
  <c r="AO25" i="59"/>
  <c r="AN25" i="59"/>
  <c r="AM25" i="59"/>
  <c r="AL25" i="59"/>
  <c r="AK25" i="59"/>
  <c r="AJ25" i="59"/>
  <c r="AI25" i="59"/>
  <c r="AH25" i="59"/>
  <c r="AG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E25" i="59"/>
  <c r="D25" i="59"/>
  <c r="C25" i="59"/>
  <c r="BT24" i="59"/>
  <c r="BS24" i="59"/>
  <c r="BR24" i="59"/>
  <c r="BQ24" i="59"/>
  <c r="BP24" i="59"/>
  <c r="BO24" i="59"/>
  <c r="BN24" i="59"/>
  <c r="BM24" i="59"/>
  <c r="BL24" i="59"/>
  <c r="BK24" i="59"/>
  <c r="BG24" i="59"/>
  <c r="BF24" i="59"/>
  <c r="BE24" i="59"/>
  <c r="BD24" i="59"/>
  <c r="BC24" i="59"/>
  <c r="BB24" i="59"/>
  <c r="BA24" i="59"/>
  <c r="AZ24" i="59"/>
  <c r="AY24" i="59"/>
  <c r="AX24" i="59"/>
  <c r="AV24" i="59"/>
  <c r="AU24" i="59"/>
  <c r="AT24" i="59"/>
  <c r="AS24" i="59"/>
  <c r="AO24" i="59"/>
  <c r="AN24" i="59"/>
  <c r="AM24" i="59"/>
  <c r="AL24" i="59"/>
  <c r="AK24" i="59"/>
  <c r="AJ24" i="59"/>
  <c r="AI24" i="59"/>
  <c r="AH24" i="59"/>
  <c r="AG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D24" i="59"/>
  <c r="C24" i="59"/>
  <c r="BT23" i="59"/>
  <c r="BS23" i="59"/>
  <c r="BR23" i="59"/>
  <c r="BQ23" i="59"/>
  <c r="BP23" i="59"/>
  <c r="BO23" i="59"/>
  <c r="BN23" i="59"/>
  <c r="BM23" i="59"/>
  <c r="BL23" i="59"/>
  <c r="BK23" i="59"/>
  <c r="BG23" i="59"/>
  <c r="BF23" i="59"/>
  <c r="BE23" i="59"/>
  <c r="BD23" i="59"/>
  <c r="BC23" i="59"/>
  <c r="BB23" i="59"/>
  <c r="BA23" i="59"/>
  <c r="AZ23" i="59"/>
  <c r="AY23" i="59"/>
  <c r="AX23" i="59"/>
  <c r="AV23" i="59"/>
  <c r="AU23" i="59"/>
  <c r="AT23" i="59"/>
  <c r="AS23" i="59"/>
  <c r="AO23" i="59"/>
  <c r="AN23" i="59"/>
  <c r="AM23" i="59"/>
  <c r="AL23" i="59"/>
  <c r="AK23" i="59"/>
  <c r="AJ23" i="59"/>
  <c r="AI23" i="59"/>
  <c r="AH23" i="59"/>
  <c r="AG23" i="59"/>
  <c r="Z23" i="59"/>
  <c r="Y23" i="59"/>
  <c r="X23" i="59"/>
  <c r="W23" i="59"/>
  <c r="V23" i="59"/>
  <c r="U23" i="59"/>
  <c r="T23" i="59"/>
  <c r="S23" i="59"/>
  <c r="R23" i="59"/>
  <c r="Q23" i="59"/>
  <c r="P23" i="59"/>
  <c r="O23" i="59"/>
  <c r="N23" i="59"/>
  <c r="M23" i="59"/>
  <c r="L23" i="59"/>
  <c r="K23" i="59"/>
  <c r="J23" i="59"/>
  <c r="I23" i="59"/>
  <c r="H23" i="59"/>
  <c r="G23" i="59"/>
  <c r="F23" i="59"/>
  <c r="E23" i="59"/>
  <c r="D23" i="59"/>
  <c r="C23" i="59"/>
  <c r="BT22" i="59"/>
  <c r="BS22" i="59"/>
  <c r="BR22" i="59"/>
  <c r="BQ22" i="59"/>
  <c r="BP22" i="59"/>
  <c r="BO22" i="59"/>
  <c r="BN22" i="59"/>
  <c r="BM22" i="59"/>
  <c r="BL22" i="59"/>
  <c r="BK22" i="59"/>
  <c r="BG22" i="59"/>
  <c r="BF22" i="59"/>
  <c r="BE22" i="59"/>
  <c r="BD22" i="59"/>
  <c r="BC22" i="59"/>
  <c r="BB22" i="59"/>
  <c r="BA22" i="59"/>
  <c r="AZ22" i="59"/>
  <c r="AY22" i="59"/>
  <c r="AX22" i="59"/>
  <c r="AV22" i="59"/>
  <c r="AU22" i="59"/>
  <c r="AT22" i="59"/>
  <c r="AS22" i="59"/>
  <c r="AO22" i="59"/>
  <c r="AN22" i="59"/>
  <c r="AM22" i="59"/>
  <c r="AL22" i="59"/>
  <c r="AK22" i="59"/>
  <c r="AJ22" i="59"/>
  <c r="AI22" i="59"/>
  <c r="AH22" i="59"/>
  <c r="AG22" i="59"/>
  <c r="Z22" i="59"/>
  <c r="Y22" i="59"/>
  <c r="X22" i="59"/>
  <c r="W22" i="59"/>
  <c r="V22" i="59"/>
  <c r="U22" i="59"/>
  <c r="T22" i="59"/>
  <c r="S22" i="59"/>
  <c r="R22" i="59"/>
  <c r="Q22" i="59"/>
  <c r="P22" i="59"/>
  <c r="O22" i="59"/>
  <c r="N22" i="59"/>
  <c r="M22" i="59"/>
  <c r="L22" i="59"/>
  <c r="K22" i="59"/>
  <c r="J22" i="59"/>
  <c r="I22" i="59"/>
  <c r="H22" i="59"/>
  <c r="G22" i="59"/>
  <c r="F22" i="59"/>
  <c r="E22" i="59"/>
  <c r="D22" i="59"/>
  <c r="C22" i="59"/>
  <c r="BT21" i="59"/>
  <c r="BS21" i="59"/>
  <c r="BR21" i="59"/>
  <c r="BQ21" i="59"/>
  <c r="BP21" i="59"/>
  <c r="BO21" i="59"/>
  <c r="BN21" i="59"/>
  <c r="BM21" i="59"/>
  <c r="BL21" i="59"/>
  <c r="BK21" i="59"/>
  <c r="BG21" i="59"/>
  <c r="BF21" i="59"/>
  <c r="BE21" i="59"/>
  <c r="BD21" i="59"/>
  <c r="BC21" i="59"/>
  <c r="BB21" i="59"/>
  <c r="BA21" i="59"/>
  <c r="AZ21" i="59"/>
  <c r="AY21" i="59"/>
  <c r="AX21" i="59"/>
  <c r="AV21" i="59"/>
  <c r="AU21" i="59"/>
  <c r="AT21" i="59"/>
  <c r="AS21" i="59"/>
  <c r="AO21" i="59"/>
  <c r="AN21" i="59"/>
  <c r="AM21" i="59"/>
  <c r="AL21" i="59"/>
  <c r="AK21" i="59"/>
  <c r="AJ21" i="59"/>
  <c r="AI21" i="59"/>
  <c r="AH21" i="59"/>
  <c r="AG21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G21" i="59"/>
  <c r="F21" i="59"/>
  <c r="E21" i="59"/>
  <c r="D21" i="59"/>
  <c r="C21" i="59"/>
  <c r="BT20" i="59"/>
  <c r="BS20" i="59"/>
  <c r="BR20" i="59"/>
  <c r="BQ20" i="59"/>
  <c r="BP20" i="59"/>
  <c r="BO20" i="59"/>
  <c r="BN20" i="59"/>
  <c r="BM20" i="59"/>
  <c r="BL20" i="59"/>
  <c r="BK20" i="59"/>
  <c r="BG20" i="59"/>
  <c r="BF20" i="59"/>
  <c r="BE20" i="59"/>
  <c r="BD20" i="59"/>
  <c r="BC20" i="59"/>
  <c r="BB20" i="59"/>
  <c r="BA20" i="59"/>
  <c r="AZ20" i="59"/>
  <c r="AY20" i="59"/>
  <c r="AX20" i="59"/>
  <c r="AV20" i="59"/>
  <c r="AU20" i="59"/>
  <c r="AT20" i="59"/>
  <c r="AS20" i="59"/>
  <c r="AO20" i="59"/>
  <c r="AN20" i="59"/>
  <c r="AM20" i="59"/>
  <c r="AL20" i="59"/>
  <c r="AK20" i="59"/>
  <c r="AJ20" i="59"/>
  <c r="AI20" i="59"/>
  <c r="AH20" i="59"/>
  <c r="AG20" i="59"/>
  <c r="Z20" i="59"/>
  <c r="Y20" i="59"/>
  <c r="X20" i="59"/>
  <c r="W20" i="59"/>
  <c r="V20" i="59"/>
  <c r="U20" i="59"/>
  <c r="T20" i="59"/>
  <c r="S20" i="59"/>
  <c r="R20" i="59"/>
  <c r="Q20" i="59"/>
  <c r="P20" i="59"/>
  <c r="O20" i="59"/>
  <c r="N20" i="59"/>
  <c r="M20" i="59"/>
  <c r="L20" i="59"/>
  <c r="K20" i="59"/>
  <c r="J20" i="59"/>
  <c r="I20" i="59"/>
  <c r="H20" i="59"/>
  <c r="G20" i="59"/>
  <c r="F20" i="59"/>
  <c r="E20" i="59"/>
  <c r="D20" i="59"/>
  <c r="C20" i="59"/>
  <c r="BT19" i="59"/>
  <c r="BS19" i="59"/>
  <c r="BR19" i="59"/>
  <c r="BQ19" i="59"/>
  <c r="BP19" i="59"/>
  <c r="BO19" i="59"/>
  <c r="BN19" i="59"/>
  <c r="BM19" i="59"/>
  <c r="BL19" i="59"/>
  <c r="BK19" i="59"/>
  <c r="BG19" i="59"/>
  <c r="BF19" i="59"/>
  <c r="BE19" i="59"/>
  <c r="BD19" i="59"/>
  <c r="BC19" i="59"/>
  <c r="BB19" i="59"/>
  <c r="BA19" i="59"/>
  <c r="AZ19" i="59"/>
  <c r="AY19" i="59"/>
  <c r="AX19" i="59"/>
  <c r="AV19" i="59"/>
  <c r="AU19" i="59"/>
  <c r="AT19" i="59"/>
  <c r="AS19" i="59"/>
  <c r="AO19" i="59"/>
  <c r="AN19" i="59"/>
  <c r="AM19" i="59"/>
  <c r="AL19" i="59"/>
  <c r="AK19" i="59"/>
  <c r="AJ19" i="59"/>
  <c r="AI19" i="59"/>
  <c r="AH19" i="59"/>
  <c r="AG19" i="59"/>
  <c r="Z19" i="59"/>
  <c r="Y19" i="59"/>
  <c r="X19" i="59"/>
  <c r="W19" i="59"/>
  <c r="V19" i="59"/>
  <c r="U19" i="59"/>
  <c r="T19" i="59"/>
  <c r="S19" i="59"/>
  <c r="R19" i="59"/>
  <c r="Q19" i="59"/>
  <c r="P19" i="59"/>
  <c r="O19" i="59"/>
  <c r="N19" i="59"/>
  <c r="M19" i="59"/>
  <c r="L19" i="59"/>
  <c r="K19" i="59"/>
  <c r="J19" i="59"/>
  <c r="I19" i="59"/>
  <c r="H19" i="59"/>
  <c r="G19" i="59"/>
  <c r="F19" i="59"/>
  <c r="E19" i="59"/>
  <c r="D19" i="59"/>
  <c r="C19" i="59"/>
  <c r="BT18" i="59"/>
  <c r="BS18" i="59"/>
  <c r="BR18" i="59"/>
  <c r="BQ18" i="59"/>
  <c r="BP18" i="59"/>
  <c r="BO18" i="59"/>
  <c r="BN18" i="59"/>
  <c r="BM18" i="59"/>
  <c r="BL18" i="59"/>
  <c r="BK18" i="59"/>
  <c r="BG18" i="59"/>
  <c r="BF18" i="59"/>
  <c r="BE18" i="59"/>
  <c r="BD18" i="59"/>
  <c r="BC18" i="59"/>
  <c r="BB18" i="59"/>
  <c r="BA18" i="59"/>
  <c r="AZ18" i="59"/>
  <c r="AY18" i="59"/>
  <c r="AX18" i="59"/>
  <c r="AV18" i="59"/>
  <c r="AU18" i="59"/>
  <c r="AT18" i="59"/>
  <c r="AS18" i="59"/>
  <c r="AO18" i="59"/>
  <c r="AN18" i="59"/>
  <c r="AM18" i="59"/>
  <c r="AL18" i="59"/>
  <c r="AK18" i="59"/>
  <c r="AJ18" i="59"/>
  <c r="AI18" i="59"/>
  <c r="AH18" i="59"/>
  <c r="AG18" i="59"/>
  <c r="Z18" i="59"/>
  <c r="Y18" i="59"/>
  <c r="X18" i="59"/>
  <c r="W18" i="59"/>
  <c r="V18" i="59"/>
  <c r="U18" i="59"/>
  <c r="T18" i="59"/>
  <c r="S18" i="59"/>
  <c r="R18" i="59"/>
  <c r="Q18" i="59"/>
  <c r="P18" i="59"/>
  <c r="O18" i="59"/>
  <c r="N18" i="59"/>
  <c r="M18" i="59"/>
  <c r="L18" i="59"/>
  <c r="K18" i="59"/>
  <c r="J18" i="59"/>
  <c r="I18" i="59"/>
  <c r="H18" i="59"/>
  <c r="G18" i="59"/>
  <c r="F18" i="59"/>
  <c r="E18" i="59"/>
  <c r="D18" i="59"/>
  <c r="C18" i="59"/>
  <c r="BT17" i="59"/>
  <c r="BS17" i="59"/>
  <c r="BR17" i="59"/>
  <c r="BQ17" i="59"/>
  <c r="BP17" i="59"/>
  <c r="BO17" i="59"/>
  <c r="BN17" i="59"/>
  <c r="BM17" i="59"/>
  <c r="BL17" i="59"/>
  <c r="BK17" i="59"/>
  <c r="BG17" i="59"/>
  <c r="BF17" i="59"/>
  <c r="BE17" i="59"/>
  <c r="BD17" i="59"/>
  <c r="BC17" i="59"/>
  <c r="BB17" i="59"/>
  <c r="BA17" i="59"/>
  <c r="AZ17" i="59"/>
  <c r="AY17" i="59"/>
  <c r="AX17" i="59"/>
  <c r="AV17" i="59"/>
  <c r="AU17" i="59"/>
  <c r="AT17" i="59"/>
  <c r="AS17" i="59"/>
  <c r="AO17" i="59"/>
  <c r="AN17" i="59"/>
  <c r="AM17" i="59"/>
  <c r="AL17" i="59"/>
  <c r="AK17" i="59"/>
  <c r="AJ17" i="59"/>
  <c r="AI17" i="59"/>
  <c r="AH17" i="59"/>
  <c r="AG17" i="59"/>
  <c r="Z17" i="59"/>
  <c r="Y17" i="59"/>
  <c r="X17" i="59"/>
  <c r="W17" i="59"/>
  <c r="V17" i="59"/>
  <c r="U17" i="59"/>
  <c r="T17" i="59"/>
  <c r="S17" i="59"/>
  <c r="R17" i="59"/>
  <c r="Q17" i="59"/>
  <c r="P17" i="59"/>
  <c r="O17" i="59"/>
  <c r="N17" i="59"/>
  <c r="M17" i="59"/>
  <c r="L17" i="59"/>
  <c r="K17" i="59"/>
  <c r="J17" i="59"/>
  <c r="I17" i="59"/>
  <c r="H17" i="59"/>
  <c r="G17" i="59"/>
  <c r="F17" i="59"/>
  <c r="E17" i="59"/>
  <c r="D17" i="59"/>
  <c r="C17" i="59"/>
  <c r="BT16" i="59"/>
  <c r="BS16" i="59"/>
  <c r="BR16" i="59"/>
  <c r="BQ16" i="59"/>
  <c r="BP16" i="59"/>
  <c r="BO16" i="59"/>
  <c r="BN16" i="59"/>
  <c r="BM16" i="59"/>
  <c r="BL16" i="59"/>
  <c r="BK16" i="59"/>
  <c r="BG16" i="59"/>
  <c r="BF16" i="59"/>
  <c r="BE16" i="59"/>
  <c r="BD16" i="59"/>
  <c r="BC16" i="59"/>
  <c r="BB16" i="59"/>
  <c r="BA16" i="59"/>
  <c r="AZ16" i="59"/>
  <c r="AY16" i="59"/>
  <c r="AX16" i="59"/>
  <c r="AV16" i="59"/>
  <c r="AU16" i="59"/>
  <c r="AT16" i="59"/>
  <c r="AS16" i="59"/>
  <c r="AO16" i="59"/>
  <c r="AN16" i="59"/>
  <c r="AM16" i="59"/>
  <c r="AL16" i="59"/>
  <c r="AK16" i="59"/>
  <c r="AJ16" i="59"/>
  <c r="AI16" i="59"/>
  <c r="AH16" i="59"/>
  <c r="AG16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G16" i="59"/>
  <c r="F16" i="59"/>
  <c r="E16" i="59"/>
  <c r="D16" i="59"/>
  <c r="C16" i="59"/>
  <c r="BT15" i="59"/>
  <c r="BS15" i="59"/>
  <c r="BR15" i="59"/>
  <c r="BQ15" i="59"/>
  <c r="BP15" i="59"/>
  <c r="BO15" i="59"/>
  <c r="BN15" i="59"/>
  <c r="BM15" i="59"/>
  <c r="BL15" i="59"/>
  <c r="BK15" i="59"/>
  <c r="BG15" i="59"/>
  <c r="BF15" i="59"/>
  <c r="BE15" i="59"/>
  <c r="BD15" i="59"/>
  <c r="BC15" i="59"/>
  <c r="BB15" i="59"/>
  <c r="BA15" i="59"/>
  <c r="AZ15" i="59"/>
  <c r="AY15" i="59"/>
  <c r="AX15" i="59"/>
  <c r="AV15" i="59"/>
  <c r="AU15" i="59"/>
  <c r="AT15" i="59"/>
  <c r="AS15" i="59"/>
  <c r="AO15" i="59"/>
  <c r="AN15" i="59"/>
  <c r="AM15" i="59"/>
  <c r="AL15" i="59"/>
  <c r="AK15" i="59"/>
  <c r="AJ15" i="59"/>
  <c r="AI15" i="59"/>
  <c r="AH15" i="59"/>
  <c r="AG15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G15" i="59"/>
  <c r="F15" i="59"/>
  <c r="E15" i="59"/>
  <c r="D15" i="59"/>
  <c r="C15" i="59"/>
  <c r="BT14" i="59"/>
  <c r="BS14" i="59"/>
  <c r="BR14" i="59"/>
  <c r="BQ14" i="59"/>
  <c r="BP14" i="59"/>
  <c r="BO14" i="59"/>
  <c r="BN14" i="59"/>
  <c r="BM14" i="59"/>
  <c r="BL14" i="59"/>
  <c r="BK14" i="59"/>
  <c r="BG14" i="59"/>
  <c r="BF14" i="59"/>
  <c r="BE14" i="59"/>
  <c r="BD14" i="59"/>
  <c r="BC14" i="59"/>
  <c r="BB14" i="59"/>
  <c r="BA14" i="59"/>
  <c r="AZ14" i="59"/>
  <c r="AY14" i="59"/>
  <c r="AX14" i="59"/>
  <c r="AV14" i="59"/>
  <c r="AU14" i="59"/>
  <c r="AT14" i="59"/>
  <c r="AS14" i="59"/>
  <c r="AO14" i="59"/>
  <c r="AN14" i="59"/>
  <c r="AM14" i="59"/>
  <c r="AL14" i="59"/>
  <c r="AK14" i="59"/>
  <c r="AJ14" i="59"/>
  <c r="AI14" i="59"/>
  <c r="AH14" i="59"/>
  <c r="AG14" i="59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G14" i="59"/>
  <c r="F14" i="59"/>
  <c r="E14" i="59"/>
  <c r="D14" i="59"/>
  <c r="C14" i="59"/>
  <c r="BT13" i="59"/>
  <c r="BS13" i="59"/>
  <c r="BR13" i="59"/>
  <c r="BQ13" i="59"/>
  <c r="BP13" i="59"/>
  <c r="BO13" i="59"/>
  <c r="BN13" i="59"/>
  <c r="BM13" i="59"/>
  <c r="BL13" i="59"/>
  <c r="BK13" i="59"/>
  <c r="BG13" i="59"/>
  <c r="BF13" i="59"/>
  <c r="BE13" i="59"/>
  <c r="BD13" i="59"/>
  <c r="BC13" i="59"/>
  <c r="BB13" i="59"/>
  <c r="BA13" i="59"/>
  <c r="AZ13" i="59"/>
  <c r="AY13" i="59"/>
  <c r="AX13" i="59"/>
  <c r="AV13" i="59"/>
  <c r="AU13" i="59"/>
  <c r="AT13" i="59"/>
  <c r="AS13" i="59"/>
  <c r="AO13" i="59"/>
  <c r="AN13" i="59"/>
  <c r="AM13" i="59"/>
  <c r="AL13" i="59"/>
  <c r="AK13" i="59"/>
  <c r="AJ13" i="59"/>
  <c r="AI13" i="59"/>
  <c r="AH13" i="59"/>
  <c r="AG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E13" i="59"/>
  <c r="D13" i="59"/>
  <c r="C13" i="59"/>
  <c r="BT12" i="59"/>
  <c r="BS12" i="59"/>
  <c r="BR12" i="59"/>
  <c r="BQ12" i="59"/>
  <c r="BP12" i="59"/>
  <c r="BO12" i="59"/>
  <c r="BN12" i="59"/>
  <c r="BM12" i="59"/>
  <c r="BL12" i="59"/>
  <c r="BK12" i="59"/>
  <c r="BG12" i="59"/>
  <c r="BF12" i="59"/>
  <c r="BE12" i="59"/>
  <c r="BD12" i="59"/>
  <c r="BC12" i="59"/>
  <c r="BB12" i="59"/>
  <c r="BA12" i="59"/>
  <c r="AZ12" i="59"/>
  <c r="AY12" i="59"/>
  <c r="AX12" i="59"/>
  <c r="AV12" i="59"/>
  <c r="AU12" i="59"/>
  <c r="AT12" i="59"/>
  <c r="AS12" i="59"/>
  <c r="AO12" i="59"/>
  <c r="AN12" i="59"/>
  <c r="AM12" i="59"/>
  <c r="AL12" i="59"/>
  <c r="AK12" i="59"/>
  <c r="AJ12" i="59"/>
  <c r="AI12" i="59"/>
  <c r="AH12" i="59"/>
  <c r="AG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D12" i="59"/>
  <c r="C12" i="59"/>
  <c r="BT11" i="59"/>
  <c r="BS11" i="59"/>
  <c r="BR11" i="59"/>
  <c r="BQ11" i="59"/>
  <c r="BP11" i="59"/>
  <c r="BO11" i="59"/>
  <c r="BN11" i="59"/>
  <c r="BM11" i="59"/>
  <c r="BL11" i="59"/>
  <c r="BK11" i="59"/>
  <c r="BG11" i="59"/>
  <c r="BF11" i="59"/>
  <c r="BE11" i="59"/>
  <c r="BD11" i="59"/>
  <c r="BC11" i="59"/>
  <c r="BB11" i="59"/>
  <c r="BA11" i="59"/>
  <c r="AZ11" i="59"/>
  <c r="AY11" i="59"/>
  <c r="AX11" i="59"/>
  <c r="AV11" i="59"/>
  <c r="AU11" i="59"/>
  <c r="AT11" i="59"/>
  <c r="AS11" i="59"/>
  <c r="AO11" i="59"/>
  <c r="AN11" i="59"/>
  <c r="AM11" i="59"/>
  <c r="AL11" i="59"/>
  <c r="AK11" i="59"/>
  <c r="AJ11" i="59"/>
  <c r="AI11" i="59"/>
  <c r="AH11" i="59"/>
  <c r="AG11" i="59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G11" i="59"/>
  <c r="F11" i="59"/>
  <c r="E11" i="59"/>
  <c r="D11" i="59"/>
  <c r="C11" i="59"/>
  <c r="BT10" i="59"/>
  <c r="BS10" i="59"/>
  <c r="BR10" i="59"/>
  <c r="BQ10" i="59"/>
  <c r="BP10" i="59"/>
  <c r="BO10" i="59"/>
  <c r="BN10" i="59"/>
  <c r="BM10" i="59"/>
  <c r="BL10" i="59"/>
  <c r="BK10" i="59"/>
  <c r="BG10" i="59"/>
  <c r="BF10" i="59"/>
  <c r="BE10" i="59"/>
  <c r="BD10" i="59"/>
  <c r="BC10" i="59"/>
  <c r="BB10" i="59"/>
  <c r="BA10" i="59"/>
  <c r="AZ10" i="59"/>
  <c r="AY10" i="59"/>
  <c r="AX10" i="59"/>
  <c r="AV10" i="59"/>
  <c r="AU10" i="59"/>
  <c r="AT10" i="59"/>
  <c r="AS10" i="59"/>
  <c r="AO10" i="59"/>
  <c r="AN10" i="59"/>
  <c r="AM10" i="59"/>
  <c r="AL10" i="59"/>
  <c r="AK10" i="59"/>
  <c r="AJ10" i="59"/>
  <c r="AI10" i="59"/>
  <c r="AH10" i="59"/>
  <c r="AG10" i="59"/>
  <c r="Z10" i="59"/>
  <c r="Y10" i="59"/>
  <c r="X10" i="59"/>
  <c r="W10" i="59"/>
  <c r="V10" i="59"/>
  <c r="U10" i="59"/>
  <c r="T10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D10" i="59"/>
  <c r="C10" i="59"/>
  <c r="BT9" i="59"/>
  <c r="BS9" i="59"/>
  <c r="BR9" i="59"/>
  <c r="BQ9" i="59"/>
  <c r="BP9" i="59"/>
  <c r="BO9" i="59"/>
  <c r="BN9" i="59"/>
  <c r="BM9" i="59"/>
  <c r="BL9" i="59"/>
  <c r="BK9" i="59"/>
  <c r="BG9" i="59"/>
  <c r="BF9" i="59"/>
  <c r="BE9" i="59"/>
  <c r="BD9" i="59"/>
  <c r="BC9" i="59"/>
  <c r="BB9" i="59"/>
  <c r="BA9" i="59"/>
  <c r="AZ9" i="59"/>
  <c r="AY9" i="59"/>
  <c r="AX9" i="59"/>
  <c r="AV9" i="59"/>
  <c r="AU9" i="59"/>
  <c r="AT9" i="59"/>
  <c r="AS9" i="59"/>
  <c r="AO9" i="59"/>
  <c r="AN9" i="59"/>
  <c r="AM9" i="59"/>
  <c r="AL9" i="59"/>
  <c r="AK9" i="59"/>
  <c r="AJ9" i="59"/>
  <c r="AI9" i="59"/>
  <c r="AH9" i="59"/>
  <c r="AG9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H9" i="59"/>
  <c r="G9" i="59"/>
  <c r="F9" i="59"/>
  <c r="E9" i="59"/>
  <c r="D9" i="59"/>
  <c r="C9" i="59"/>
  <c r="F8" i="59"/>
  <c r="E8" i="59"/>
  <c r="D8" i="59"/>
  <c r="C8" i="59"/>
  <c r="C7" i="59"/>
  <c r="C35" i="10" s="1"/>
  <c r="BJ35" i="10" l="1"/>
  <c r="BK35" i="10"/>
  <c r="AS35" i="10"/>
  <c r="BI35" i="10"/>
  <c r="AQ35" i="10"/>
  <c r="AR35" i="10"/>
  <c r="AF35" i="10"/>
  <c r="AG35" i="10"/>
  <c r="AD35" i="10"/>
  <c r="AE35" i="10"/>
  <c r="BQ35" i="10"/>
  <c r="AE249" i="24" s="1"/>
  <c r="AB35" i="10"/>
  <c r="AC35" i="10"/>
  <c r="H7" i="59"/>
  <c r="I35" i="10" s="1"/>
  <c r="T7" i="59"/>
  <c r="U7" i="59" s="1"/>
  <c r="V35" i="10" s="1"/>
  <c r="AL7" i="59"/>
  <c r="AM35" i="10" s="1"/>
  <c r="AX7" i="59"/>
  <c r="AY35" i="10" s="1"/>
  <c r="BM7" i="59"/>
  <c r="BN35" i="10" s="1"/>
  <c r="L7" i="59"/>
  <c r="M35" i="10" s="1"/>
  <c r="AS7" i="59"/>
  <c r="AT35" i="10" s="1"/>
  <c r="BF7" i="59"/>
  <c r="BG35" i="10" s="1"/>
  <c r="D7" i="59"/>
  <c r="E35" i="10" s="1"/>
  <c r="G14" i="7" s="1"/>
  <c r="F60" i="7" s="1"/>
  <c r="P18" i="58" s="1"/>
  <c r="P7" i="59"/>
  <c r="Q7" i="59" s="1"/>
  <c r="R35" i="10" s="1"/>
  <c r="AH7" i="59"/>
  <c r="AI35" i="10" s="1"/>
  <c r="BB7" i="59"/>
  <c r="BC35" i="10" s="1"/>
  <c r="E7" i="59"/>
  <c r="F35" i="10" s="1"/>
  <c r="I7" i="59"/>
  <c r="J35" i="10" s="1"/>
  <c r="M7" i="59"/>
  <c r="N35" i="10" s="1"/>
  <c r="Y7" i="59"/>
  <c r="Z7" i="59" s="1"/>
  <c r="AA35" i="10" s="1"/>
  <c r="AI7" i="59"/>
  <c r="AJ35" i="10" s="1"/>
  <c r="AM7" i="59"/>
  <c r="AN35" i="10" s="1"/>
  <c r="AT7" i="59"/>
  <c r="AU35" i="10" s="1"/>
  <c r="AY7" i="59"/>
  <c r="AZ35" i="10" s="1"/>
  <c r="BC7" i="59"/>
  <c r="BD35" i="10" s="1"/>
  <c r="BG7" i="59"/>
  <c r="BH35" i="10" s="1"/>
  <c r="BN7" i="59"/>
  <c r="BO35" i="10" s="1"/>
  <c r="K7" i="59"/>
  <c r="L35" i="10" s="1"/>
  <c r="AH35" i="10"/>
  <c r="AO7" i="59"/>
  <c r="AP35" i="10" s="1"/>
  <c r="AV7" i="59"/>
  <c r="AW35" i="10" s="1"/>
  <c r="BE7" i="59"/>
  <c r="BF35" i="10" s="1"/>
  <c r="F7" i="59"/>
  <c r="G35" i="10" s="1"/>
  <c r="J7" i="59"/>
  <c r="K35" i="10" s="1"/>
  <c r="N7" i="59"/>
  <c r="O7" i="59" s="1"/>
  <c r="P35" i="10" s="1"/>
  <c r="R7" i="59"/>
  <c r="S7" i="59" s="1"/>
  <c r="T35" i="10" s="1"/>
  <c r="V7" i="59"/>
  <c r="W7" i="59" s="1"/>
  <c r="X7" i="59" s="1"/>
  <c r="AJ7" i="59"/>
  <c r="AK35" i="10" s="1"/>
  <c r="AN7" i="59"/>
  <c r="AO35" i="10" s="1"/>
  <c r="AU7" i="59"/>
  <c r="AV35" i="10" s="1"/>
  <c r="AZ7" i="59"/>
  <c r="BA35" i="10" s="1"/>
  <c r="BD7" i="59"/>
  <c r="BE35" i="10" s="1"/>
  <c r="BK7" i="59"/>
  <c r="BL35" i="10" s="1"/>
  <c r="AW29" i="59"/>
  <c r="G7" i="59"/>
  <c r="H35" i="10" s="1"/>
  <c r="F14" i="7" s="1"/>
  <c r="G60" i="7" s="1"/>
  <c r="AK7" i="59"/>
  <c r="AL35" i="10" s="1"/>
  <c r="BA7" i="59"/>
  <c r="BB35" i="10" s="1"/>
  <c r="BL7" i="59"/>
  <c r="BM35" i="10" s="1"/>
  <c r="AW32" i="59"/>
  <c r="AW31" i="59"/>
  <c r="AW30" i="59"/>
  <c r="F277" i="24"/>
  <c r="AW25" i="59"/>
  <c r="AW28" i="59"/>
  <c r="AW23" i="59"/>
  <c r="AW27" i="59"/>
  <c r="AW26" i="59"/>
  <c r="AW24" i="59"/>
  <c r="AW22" i="59"/>
  <c r="AV214" i="25"/>
  <c r="E277" i="24"/>
  <c r="AV211" i="25"/>
  <c r="AV213" i="25"/>
  <c r="AV202" i="25"/>
  <c r="AV205" i="25"/>
  <c r="AV207" i="25"/>
  <c r="AV209" i="25"/>
  <c r="AV201" i="25"/>
  <c r="AV203" i="25"/>
  <c r="AV204" i="25"/>
  <c r="AV206" i="25"/>
  <c r="AV208" i="25"/>
  <c r="AV210" i="25"/>
  <c r="AV212" i="25"/>
  <c r="H277" i="24"/>
  <c r="AW15" i="59"/>
  <c r="AW14" i="59"/>
  <c r="AW18" i="59"/>
  <c r="AW19" i="59"/>
  <c r="AW20" i="59"/>
  <c r="AW13" i="59"/>
  <c r="AW17" i="59"/>
  <c r="AW21" i="59"/>
  <c r="AW16" i="59"/>
  <c r="AV199" i="25"/>
  <c r="AW11" i="59"/>
  <c r="AW12" i="59"/>
  <c r="AV200" i="25"/>
  <c r="AV198" i="25"/>
  <c r="AW9" i="59"/>
  <c r="AW10" i="59"/>
  <c r="BS7" i="59"/>
  <c r="BS35" i="10"/>
  <c r="AG249" i="24" s="1"/>
  <c r="BR35" i="10"/>
  <c r="AF249" i="24" s="1"/>
  <c r="BP35" i="10"/>
  <c r="V18" i="61" l="1"/>
  <c r="AO4" i="61" s="1"/>
  <c r="Q18" i="58"/>
  <c r="O35" i="10"/>
  <c r="AW7" i="59"/>
  <c r="AX35" i="10" s="1"/>
  <c r="V18" i="58"/>
  <c r="U18" i="61"/>
  <c r="U35" i="10"/>
  <c r="Q35" i="10"/>
  <c r="Z35" i="10"/>
  <c r="S35" i="10"/>
  <c r="W35" i="10"/>
  <c r="Y35" i="10"/>
  <c r="X35" i="10"/>
  <c r="D4" i="57"/>
  <c r="AE18" i="61" l="1"/>
  <c r="AG18" i="61" s="1"/>
  <c r="AB18" i="61"/>
  <c r="Y18" i="58"/>
  <c r="AD18" i="61"/>
  <c r="AA18" i="61"/>
  <c r="Z18" i="58"/>
  <c r="AG18" i="58" s="1"/>
  <c r="W18" i="58"/>
  <c r="F4" i="57" l="1"/>
  <c r="AL17" i="61"/>
  <c r="AL19" i="61" s="1"/>
  <c r="AL28" i="61" s="1"/>
  <c r="AB18" i="58"/>
  <c r="G4" i="57" s="1"/>
  <c r="J14" i="11"/>
  <c r="G14" i="11" s="1"/>
  <c r="BP10" i="50" l="1"/>
  <c r="C42" i="54" l="1"/>
  <c r="C43" i="54"/>
  <c r="C12" i="54" l="1"/>
  <c r="C13" i="54"/>
  <c r="C14" i="54"/>
  <c r="C15" i="54"/>
  <c r="C16" i="54"/>
  <c r="C17" i="54"/>
  <c r="C18" i="54"/>
  <c r="C19" i="54"/>
  <c r="C20" i="54"/>
  <c r="C21" i="54"/>
  <c r="E104" i="31"/>
  <c r="J12" i="11" l="1"/>
  <c r="G12" i="11" s="1"/>
  <c r="BR112" i="25" l="1"/>
  <c r="BQ112" i="25"/>
  <c r="BP112" i="25"/>
  <c r="BO112" i="25"/>
  <c r="BN112" i="25"/>
  <c r="BM112" i="25"/>
  <c r="BL112" i="25"/>
  <c r="BK112" i="25"/>
  <c r="BJ112" i="25"/>
  <c r="BF112" i="25"/>
  <c r="BE112" i="25"/>
  <c r="BD112" i="25"/>
  <c r="BC112" i="25"/>
  <c r="BB112" i="25"/>
  <c r="BA112" i="25"/>
  <c r="AZ112" i="25"/>
  <c r="AY112" i="25"/>
  <c r="AX112" i="25"/>
  <c r="AW112" i="25"/>
  <c r="AU112" i="25"/>
  <c r="AT112" i="25"/>
  <c r="AS112" i="25"/>
  <c r="AR112" i="25"/>
  <c r="AN112" i="25"/>
  <c r="AM112" i="25"/>
  <c r="AL112" i="25"/>
  <c r="AK112" i="25"/>
  <c r="AJ112" i="25"/>
  <c r="AI112" i="25"/>
  <c r="AH112" i="25"/>
  <c r="AG112" i="25"/>
  <c r="AF112" i="25"/>
  <c r="Y112" i="25"/>
  <c r="X112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BR111" i="25"/>
  <c r="BQ111" i="25"/>
  <c r="BP111" i="25"/>
  <c r="BO111" i="25"/>
  <c r="BN111" i="25"/>
  <c r="BM111" i="25"/>
  <c r="BL111" i="25"/>
  <c r="BK111" i="25"/>
  <c r="BJ111" i="25"/>
  <c r="BF111" i="25"/>
  <c r="BE111" i="25"/>
  <c r="BD111" i="25"/>
  <c r="BC111" i="25"/>
  <c r="BB111" i="25"/>
  <c r="BA111" i="25"/>
  <c r="AZ111" i="25"/>
  <c r="AY111" i="25"/>
  <c r="AX111" i="25"/>
  <c r="AW111" i="25"/>
  <c r="AU111" i="25"/>
  <c r="AT111" i="25"/>
  <c r="AS111" i="25"/>
  <c r="AR111" i="25"/>
  <c r="AN111" i="25"/>
  <c r="AM111" i="25"/>
  <c r="AL111" i="25"/>
  <c r="AK111" i="25"/>
  <c r="AJ111" i="25"/>
  <c r="AI111" i="25"/>
  <c r="AH111" i="25"/>
  <c r="AG111" i="25"/>
  <c r="AF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BR110" i="25"/>
  <c r="BQ110" i="25"/>
  <c r="BP110" i="25"/>
  <c r="BO110" i="25"/>
  <c r="BN110" i="25"/>
  <c r="BM110" i="25"/>
  <c r="BL110" i="25"/>
  <c r="BK110" i="25"/>
  <c r="BJ110" i="25"/>
  <c r="BF110" i="25"/>
  <c r="BE110" i="25"/>
  <c r="BD110" i="25"/>
  <c r="BC110" i="25"/>
  <c r="BB110" i="25"/>
  <c r="BA110" i="25"/>
  <c r="AZ110" i="25"/>
  <c r="AY110" i="25"/>
  <c r="AX110" i="25"/>
  <c r="AW110" i="25"/>
  <c r="AU110" i="25"/>
  <c r="AT110" i="25"/>
  <c r="AS110" i="25"/>
  <c r="AR110" i="25"/>
  <c r="AN110" i="25"/>
  <c r="AM110" i="25"/>
  <c r="AL110" i="25"/>
  <c r="AK110" i="25"/>
  <c r="AJ110" i="25"/>
  <c r="AI110" i="25"/>
  <c r="AH110" i="25"/>
  <c r="AG110" i="25"/>
  <c r="AF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AV110" i="25" l="1"/>
  <c r="AV112" i="25"/>
  <c r="AV111" i="25"/>
  <c r="BR181" i="25" l="1"/>
  <c r="BQ181" i="25"/>
  <c r="BP181" i="25"/>
  <c r="BO181" i="25"/>
  <c r="BN181" i="25"/>
  <c r="BM181" i="25"/>
  <c r="BL181" i="25"/>
  <c r="BK181" i="25"/>
  <c r="BJ181" i="25"/>
  <c r="BF181" i="25"/>
  <c r="BE181" i="25"/>
  <c r="BD181" i="25"/>
  <c r="BC181" i="25"/>
  <c r="BB181" i="25"/>
  <c r="BA181" i="25"/>
  <c r="AZ181" i="25"/>
  <c r="AY181" i="25"/>
  <c r="AX181" i="25"/>
  <c r="AW181" i="25"/>
  <c r="AU181" i="25"/>
  <c r="AT181" i="25"/>
  <c r="AS181" i="25"/>
  <c r="AR181" i="25"/>
  <c r="AN181" i="25"/>
  <c r="AM181" i="25"/>
  <c r="AL181" i="25"/>
  <c r="AK181" i="25"/>
  <c r="AJ181" i="25"/>
  <c r="AI181" i="25"/>
  <c r="AH181" i="25"/>
  <c r="AG181" i="25"/>
  <c r="AF181" i="25"/>
  <c r="Y181" i="25"/>
  <c r="X181" i="25"/>
  <c r="W181" i="25"/>
  <c r="V181" i="25"/>
  <c r="U181" i="25"/>
  <c r="T181" i="25"/>
  <c r="S181" i="25"/>
  <c r="R181" i="25"/>
  <c r="Q181" i="25"/>
  <c r="P181" i="25"/>
  <c r="O181" i="25"/>
  <c r="N181" i="25"/>
  <c r="M181" i="25"/>
  <c r="L181" i="25"/>
  <c r="K181" i="25"/>
  <c r="J181" i="25"/>
  <c r="I181" i="25"/>
  <c r="H181" i="25"/>
  <c r="G181" i="25"/>
  <c r="F181" i="25"/>
  <c r="E181" i="25"/>
  <c r="D181" i="25"/>
  <c r="BR180" i="25"/>
  <c r="BQ180" i="25"/>
  <c r="BP180" i="25"/>
  <c r="BO180" i="25"/>
  <c r="BN180" i="25"/>
  <c r="BM180" i="25"/>
  <c r="BL180" i="25"/>
  <c r="BK180" i="25"/>
  <c r="BJ180" i="25"/>
  <c r="BF180" i="25"/>
  <c r="BE180" i="25"/>
  <c r="BD180" i="25"/>
  <c r="BC180" i="25"/>
  <c r="BB180" i="25"/>
  <c r="BA180" i="25"/>
  <c r="AZ180" i="25"/>
  <c r="AY180" i="25"/>
  <c r="AX180" i="25"/>
  <c r="AW180" i="25"/>
  <c r="AU180" i="25"/>
  <c r="AT180" i="25"/>
  <c r="AS180" i="25"/>
  <c r="AR180" i="25"/>
  <c r="AN180" i="25"/>
  <c r="AM180" i="25"/>
  <c r="AL180" i="25"/>
  <c r="AK180" i="25"/>
  <c r="AJ180" i="25"/>
  <c r="AI180" i="25"/>
  <c r="AH180" i="25"/>
  <c r="AG180" i="25"/>
  <c r="AF180" i="25"/>
  <c r="Y180" i="25"/>
  <c r="X180" i="25"/>
  <c r="W180" i="25"/>
  <c r="V180" i="25"/>
  <c r="U180" i="25"/>
  <c r="T180" i="25"/>
  <c r="S180" i="25"/>
  <c r="R180" i="25"/>
  <c r="Q180" i="25"/>
  <c r="P180" i="25"/>
  <c r="O180" i="25"/>
  <c r="N180" i="25"/>
  <c r="M180" i="25"/>
  <c r="L180" i="25"/>
  <c r="K180" i="25"/>
  <c r="J180" i="25"/>
  <c r="I180" i="25"/>
  <c r="H180" i="25"/>
  <c r="G180" i="25"/>
  <c r="F180" i="25"/>
  <c r="E180" i="25"/>
  <c r="D180" i="25"/>
  <c r="BR179" i="25"/>
  <c r="BQ179" i="25"/>
  <c r="BP179" i="25"/>
  <c r="BO179" i="25"/>
  <c r="BN179" i="25"/>
  <c r="BM179" i="25"/>
  <c r="BL179" i="25"/>
  <c r="BK179" i="25"/>
  <c r="BJ179" i="25"/>
  <c r="BF179" i="25"/>
  <c r="BE179" i="25"/>
  <c r="BD179" i="25"/>
  <c r="BC179" i="25"/>
  <c r="BB179" i="25"/>
  <c r="BA179" i="25"/>
  <c r="AZ179" i="25"/>
  <c r="AY179" i="25"/>
  <c r="AX179" i="25"/>
  <c r="AW179" i="25"/>
  <c r="AU179" i="25"/>
  <c r="AT179" i="25"/>
  <c r="AS179" i="25"/>
  <c r="AR179" i="25"/>
  <c r="AN179" i="25"/>
  <c r="AM179" i="25"/>
  <c r="AL179" i="25"/>
  <c r="AK179" i="25"/>
  <c r="AJ179" i="25"/>
  <c r="AI179" i="25"/>
  <c r="AH179" i="25"/>
  <c r="AG179" i="25"/>
  <c r="AF179" i="25"/>
  <c r="Y179" i="25"/>
  <c r="X179" i="25"/>
  <c r="W179" i="25"/>
  <c r="V179" i="25"/>
  <c r="U179" i="25"/>
  <c r="T179" i="25"/>
  <c r="S179" i="25"/>
  <c r="R179" i="25"/>
  <c r="Q179" i="25"/>
  <c r="P179" i="25"/>
  <c r="O179" i="25"/>
  <c r="N179" i="25"/>
  <c r="M179" i="25"/>
  <c r="L179" i="25"/>
  <c r="K179" i="25"/>
  <c r="J179" i="25"/>
  <c r="I179" i="25"/>
  <c r="H179" i="25"/>
  <c r="G179" i="25"/>
  <c r="F179" i="25"/>
  <c r="E179" i="25"/>
  <c r="D179" i="25"/>
  <c r="BR178" i="25"/>
  <c r="BQ178" i="25"/>
  <c r="BP178" i="25"/>
  <c r="BO178" i="25"/>
  <c r="BN178" i="25"/>
  <c r="BM178" i="25"/>
  <c r="BL178" i="25"/>
  <c r="BK178" i="25"/>
  <c r="BJ178" i="25"/>
  <c r="BF178" i="25"/>
  <c r="BE178" i="25"/>
  <c r="BD178" i="25"/>
  <c r="BC178" i="25"/>
  <c r="BB178" i="25"/>
  <c r="BA178" i="25"/>
  <c r="AZ178" i="25"/>
  <c r="AY178" i="25"/>
  <c r="AX178" i="25"/>
  <c r="AW178" i="25"/>
  <c r="AU178" i="25"/>
  <c r="AT178" i="25"/>
  <c r="AS178" i="25"/>
  <c r="AR178" i="25"/>
  <c r="AN178" i="25"/>
  <c r="AM178" i="25"/>
  <c r="AL178" i="25"/>
  <c r="AK178" i="25"/>
  <c r="AJ178" i="25"/>
  <c r="AI178" i="25"/>
  <c r="AH178" i="25"/>
  <c r="AG178" i="25"/>
  <c r="AF178" i="25"/>
  <c r="Y178" i="25"/>
  <c r="X178" i="25"/>
  <c r="W178" i="25"/>
  <c r="V178" i="25"/>
  <c r="U178" i="25"/>
  <c r="T178" i="25"/>
  <c r="S178" i="25"/>
  <c r="R178" i="25"/>
  <c r="Q178" i="25"/>
  <c r="P178" i="25"/>
  <c r="O178" i="25"/>
  <c r="N178" i="25"/>
  <c r="M178" i="25"/>
  <c r="L178" i="25"/>
  <c r="K178" i="25"/>
  <c r="J178" i="25"/>
  <c r="I178" i="25"/>
  <c r="H178" i="25"/>
  <c r="G178" i="25"/>
  <c r="F178" i="25"/>
  <c r="E178" i="25"/>
  <c r="D178" i="25"/>
  <c r="BR124" i="25"/>
  <c r="BQ124" i="25"/>
  <c r="BP124" i="25"/>
  <c r="BO124" i="25"/>
  <c r="BN124" i="25"/>
  <c r="BM124" i="25"/>
  <c r="BL124" i="25"/>
  <c r="BK124" i="25"/>
  <c r="BJ124" i="25"/>
  <c r="BF124" i="25"/>
  <c r="BE124" i="25"/>
  <c r="BD124" i="25"/>
  <c r="BC124" i="25"/>
  <c r="BB124" i="25"/>
  <c r="BA124" i="25"/>
  <c r="AZ124" i="25"/>
  <c r="AY124" i="25"/>
  <c r="AX124" i="25"/>
  <c r="AW124" i="25"/>
  <c r="AU124" i="25"/>
  <c r="AT124" i="25"/>
  <c r="AS124" i="25"/>
  <c r="AR124" i="25"/>
  <c r="AN124" i="25"/>
  <c r="AM124" i="25"/>
  <c r="AL124" i="25"/>
  <c r="AK124" i="25"/>
  <c r="AJ124" i="25"/>
  <c r="AI124" i="25"/>
  <c r="AH124" i="25"/>
  <c r="AG124" i="25"/>
  <c r="AF124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BR123" i="25"/>
  <c r="BQ123" i="25"/>
  <c r="BP123" i="25"/>
  <c r="BO123" i="25"/>
  <c r="BN123" i="25"/>
  <c r="BM123" i="25"/>
  <c r="BL123" i="25"/>
  <c r="BK123" i="25"/>
  <c r="BJ123" i="25"/>
  <c r="BF123" i="25"/>
  <c r="BE123" i="25"/>
  <c r="BD123" i="25"/>
  <c r="BC123" i="25"/>
  <c r="BB123" i="25"/>
  <c r="BA123" i="25"/>
  <c r="AZ123" i="25"/>
  <c r="AY123" i="25"/>
  <c r="AX123" i="25"/>
  <c r="AW123" i="25"/>
  <c r="AU123" i="25"/>
  <c r="AT123" i="25"/>
  <c r="AS123" i="25"/>
  <c r="AR123" i="25"/>
  <c r="AN123" i="25"/>
  <c r="AM123" i="25"/>
  <c r="AL123" i="25"/>
  <c r="AK123" i="25"/>
  <c r="AJ123" i="25"/>
  <c r="AI123" i="25"/>
  <c r="AH123" i="25"/>
  <c r="AG123" i="25"/>
  <c r="AF123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AV181" i="25" l="1"/>
  <c r="AV180" i="25"/>
  <c r="AV179" i="25"/>
  <c r="AV178" i="25"/>
  <c r="AV124" i="25"/>
  <c r="AV123" i="25"/>
  <c r="BR117" i="25" l="1"/>
  <c r="BQ117" i="25"/>
  <c r="BP117" i="25"/>
  <c r="BO117" i="25"/>
  <c r="BN117" i="25"/>
  <c r="BM117" i="25"/>
  <c r="BL117" i="25"/>
  <c r="BK117" i="25"/>
  <c r="BJ117" i="25"/>
  <c r="BF117" i="25"/>
  <c r="BE117" i="25"/>
  <c r="BD117" i="25"/>
  <c r="BC117" i="25"/>
  <c r="BB117" i="25"/>
  <c r="BA117" i="25"/>
  <c r="AZ117" i="25"/>
  <c r="AY117" i="25"/>
  <c r="AX117" i="25"/>
  <c r="AW117" i="25"/>
  <c r="AU117" i="25"/>
  <c r="AT117" i="25"/>
  <c r="AS117" i="25"/>
  <c r="AR117" i="25"/>
  <c r="AN117" i="25"/>
  <c r="AM117" i="25"/>
  <c r="AL117" i="25"/>
  <c r="AK117" i="25"/>
  <c r="AJ117" i="25"/>
  <c r="AI117" i="25"/>
  <c r="AH117" i="25"/>
  <c r="AG117" i="25"/>
  <c r="AF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BR116" i="25"/>
  <c r="BQ116" i="25"/>
  <c r="BP116" i="25"/>
  <c r="BO116" i="25"/>
  <c r="BN116" i="25"/>
  <c r="BM116" i="25"/>
  <c r="BL116" i="25"/>
  <c r="BK116" i="25"/>
  <c r="BJ116" i="25"/>
  <c r="BF116" i="25"/>
  <c r="BE116" i="25"/>
  <c r="BD116" i="25"/>
  <c r="BC116" i="25"/>
  <c r="BB116" i="25"/>
  <c r="BA116" i="25"/>
  <c r="AZ116" i="25"/>
  <c r="AY116" i="25"/>
  <c r="AX116" i="25"/>
  <c r="AW116" i="25"/>
  <c r="AU116" i="25"/>
  <c r="AT116" i="25"/>
  <c r="AS116" i="25"/>
  <c r="AR116" i="25"/>
  <c r="AN116" i="25"/>
  <c r="AM116" i="25"/>
  <c r="AL116" i="25"/>
  <c r="AK116" i="25"/>
  <c r="AJ116" i="25"/>
  <c r="AI116" i="25"/>
  <c r="AH116" i="25"/>
  <c r="AG116" i="25"/>
  <c r="AF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BR115" i="25"/>
  <c r="BQ115" i="25"/>
  <c r="BP115" i="25"/>
  <c r="BO115" i="25"/>
  <c r="BN115" i="25"/>
  <c r="BM115" i="25"/>
  <c r="BL115" i="25"/>
  <c r="BK115" i="25"/>
  <c r="BJ115" i="25"/>
  <c r="BF115" i="25"/>
  <c r="BE115" i="25"/>
  <c r="BD115" i="25"/>
  <c r="BC115" i="25"/>
  <c r="BB115" i="25"/>
  <c r="BA115" i="25"/>
  <c r="AZ115" i="25"/>
  <c r="AY115" i="25"/>
  <c r="AX115" i="25"/>
  <c r="AW115" i="25"/>
  <c r="AU115" i="25"/>
  <c r="AT115" i="25"/>
  <c r="AS115" i="25"/>
  <c r="AR115" i="25"/>
  <c r="AN115" i="25"/>
  <c r="AM115" i="25"/>
  <c r="AL115" i="25"/>
  <c r="AK115" i="25"/>
  <c r="AJ115" i="25"/>
  <c r="AI115" i="25"/>
  <c r="AH115" i="25"/>
  <c r="AG115" i="25"/>
  <c r="AF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BR114" i="25"/>
  <c r="BQ114" i="25"/>
  <c r="BP114" i="25"/>
  <c r="BO114" i="25"/>
  <c r="BN114" i="25"/>
  <c r="BM114" i="25"/>
  <c r="BL114" i="25"/>
  <c r="BK114" i="25"/>
  <c r="BJ114" i="25"/>
  <c r="BF114" i="25"/>
  <c r="BE114" i="25"/>
  <c r="BD114" i="25"/>
  <c r="BC114" i="25"/>
  <c r="BB114" i="25"/>
  <c r="BA114" i="25"/>
  <c r="AZ114" i="25"/>
  <c r="AY114" i="25"/>
  <c r="AX114" i="25"/>
  <c r="AW114" i="25"/>
  <c r="AU114" i="25"/>
  <c r="AT114" i="25"/>
  <c r="AS114" i="25"/>
  <c r="AR114" i="25"/>
  <c r="AN114" i="25"/>
  <c r="AM114" i="25"/>
  <c r="AL114" i="25"/>
  <c r="AK114" i="25"/>
  <c r="AJ114" i="25"/>
  <c r="AI114" i="25"/>
  <c r="AH114" i="25"/>
  <c r="AG114" i="25"/>
  <c r="AF114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BR113" i="25"/>
  <c r="BQ113" i="25"/>
  <c r="BP113" i="25"/>
  <c r="BO113" i="25"/>
  <c r="BN113" i="25"/>
  <c r="BM113" i="25"/>
  <c r="BL113" i="25"/>
  <c r="BK113" i="25"/>
  <c r="BJ113" i="25"/>
  <c r="BF113" i="25"/>
  <c r="BE113" i="25"/>
  <c r="BD113" i="25"/>
  <c r="BC113" i="25"/>
  <c r="BB113" i="25"/>
  <c r="BA113" i="25"/>
  <c r="AZ113" i="25"/>
  <c r="AY113" i="25"/>
  <c r="AX113" i="25"/>
  <c r="AW113" i="25"/>
  <c r="AU113" i="25"/>
  <c r="AT113" i="25"/>
  <c r="AS113" i="25"/>
  <c r="AR113" i="25"/>
  <c r="AN113" i="25"/>
  <c r="AM113" i="25"/>
  <c r="AL113" i="25"/>
  <c r="AK113" i="25"/>
  <c r="AJ113" i="25"/>
  <c r="AI113" i="25"/>
  <c r="AH113" i="25"/>
  <c r="AG113" i="25"/>
  <c r="AF113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BR109" i="25"/>
  <c r="BQ109" i="25"/>
  <c r="BP109" i="25"/>
  <c r="BO109" i="25"/>
  <c r="BN109" i="25"/>
  <c r="BM109" i="25"/>
  <c r="BL109" i="25"/>
  <c r="BK109" i="25"/>
  <c r="BJ109" i="25"/>
  <c r="BF109" i="25"/>
  <c r="BE109" i="25"/>
  <c r="BD109" i="25"/>
  <c r="BC109" i="25"/>
  <c r="BB109" i="25"/>
  <c r="BA109" i="25"/>
  <c r="AZ109" i="25"/>
  <c r="AY109" i="25"/>
  <c r="AX109" i="25"/>
  <c r="AW109" i="25"/>
  <c r="AU109" i="25"/>
  <c r="AT109" i="25"/>
  <c r="AS109" i="25"/>
  <c r="AR109" i="25"/>
  <c r="AN109" i="25"/>
  <c r="AM109" i="25"/>
  <c r="AL109" i="25"/>
  <c r="AK109" i="25"/>
  <c r="AJ109" i="25"/>
  <c r="AI109" i="25"/>
  <c r="AH109" i="25"/>
  <c r="AG109" i="25"/>
  <c r="AF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BR108" i="25"/>
  <c r="BQ108" i="25"/>
  <c r="BP108" i="25"/>
  <c r="BO108" i="25"/>
  <c r="BN108" i="25"/>
  <c r="BM108" i="25"/>
  <c r="BL108" i="25"/>
  <c r="BK108" i="25"/>
  <c r="BJ108" i="25"/>
  <c r="BF108" i="25"/>
  <c r="BE108" i="25"/>
  <c r="BD108" i="25"/>
  <c r="BC108" i="25"/>
  <c r="BB108" i="25"/>
  <c r="BA108" i="25"/>
  <c r="AZ108" i="25"/>
  <c r="AY108" i="25"/>
  <c r="AX108" i="25"/>
  <c r="AW108" i="25"/>
  <c r="AU108" i="25"/>
  <c r="AT108" i="25"/>
  <c r="AS108" i="25"/>
  <c r="AR108" i="25"/>
  <c r="AN108" i="25"/>
  <c r="AM108" i="25"/>
  <c r="AL108" i="25"/>
  <c r="AK108" i="25"/>
  <c r="AJ108" i="25"/>
  <c r="AI108" i="25"/>
  <c r="AH108" i="25"/>
  <c r="AG108" i="25"/>
  <c r="AF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AV116" i="25" l="1"/>
  <c r="AV108" i="25"/>
  <c r="AV114" i="25"/>
  <c r="AV113" i="25"/>
  <c r="AV109" i="25"/>
  <c r="AV115" i="25"/>
  <c r="AV117" i="25"/>
  <c r="BR168" i="25" l="1"/>
  <c r="BQ168" i="25"/>
  <c r="BP168" i="25"/>
  <c r="BO168" i="25"/>
  <c r="BN168" i="25"/>
  <c r="BM168" i="25"/>
  <c r="BL168" i="25"/>
  <c r="BK168" i="25"/>
  <c r="BJ168" i="25"/>
  <c r="BF168" i="25"/>
  <c r="BE168" i="25"/>
  <c r="BD168" i="25"/>
  <c r="BC168" i="25"/>
  <c r="BB168" i="25"/>
  <c r="BA168" i="25"/>
  <c r="AZ168" i="25"/>
  <c r="AY168" i="25"/>
  <c r="AX168" i="25"/>
  <c r="AW168" i="25"/>
  <c r="AU168" i="25"/>
  <c r="AT168" i="25"/>
  <c r="AS168" i="25"/>
  <c r="AR168" i="25"/>
  <c r="AN168" i="25"/>
  <c r="AM168" i="25"/>
  <c r="AL168" i="25"/>
  <c r="AK168" i="25"/>
  <c r="AJ168" i="25"/>
  <c r="AI168" i="25"/>
  <c r="AH168" i="25"/>
  <c r="AG168" i="25"/>
  <c r="AF168" i="25"/>
  <c r="Y168" i="25"/>
  <c r="X168" i="25"/>
  <c r="W168" i="25"/>
  <c r="V168" i="25"/>
  <c r="U168" i="25"/>
  <c r="T168" i="25"/>
  <c r="S168" i="25"/>
  <c r="R168" i="25"/>
  <c r="Q168" i="25"/>
  <c r="P168" i="25"/>
  <c r="O168" i="25"/>
  <c r="N168" i="25"/>
  <c r="M168" i="25"/>
  <c r="L168" i="25"/>
  <c r="K168" i="25"/>
  <c r="J168" i="25"/>
  <c r="I168" i="25"/>
  <c r="H168" i="25"/>
  <c r="G168" i="25"/>
  <c r="F168" i="25"/>
  <c r="E168" i="25"/>
  <c r="D168" i="25"/>
  <c r="BR167" i="25"/>
  <c r="BQ167" i="25"/>
  <c r="BP167" i="25"/>
  <c r="BO167" i="25"/>
  <c r="BN167" i="25"/>
  <c r="BM167" i="25"/>
  <c r="BL167" i="25"/>
  <c r="BK167" i="25"/>
  <c r="BJ167" i="25"/>
  <c r="BF167" i="25"/>
  <c r="BE167" i="25"/>
  <c r="BD167" i="25"/>
  <c r="BC167" i="25"/>
  <c r="BB167" i="25"/>
  <c r="BA167" i="25"/>
  <c r="AZ167" i="25"/>
  <c r="AY167" i="25"/>
  <c r="AX167" i="25"/>
  <c r="AW167" i="25"/>
  <c r="AU167" i="25"/>
  <c r="AT167" i="25"/>
  <c r="AS167" i="25"/>
  <c r="AR167" i="25"/>
  <c r="AN167" i="25"/>
  <c r="AM167" i="25"/>
  <c r="AL167" i="25"/>
  <c r="AK167" i="25"/>
  <c r="AJ167" i="25"/>
  <c r="AI167" i="25"/>
  <c r="AH167" i="25"/>
  <c r="AG167" i="25"/>
  <c r="AF167" i="25"/>
  <c r="Y167" i="25"/>
  <c r="X167" i="25"/>
  <c r="W167" i="25"/>
  <c r="V167" i="25"/>
  <c r="U167" i="25"/>
  <c r="T167" i="25"/>
  <c r="S167" i="25"/>
  <c r="R167" i="25"/>
  <c r="Q167" i="25"/>
  <c r="P167" i="25"/>
  <c r="O167" i="25"/>
  <c r="N167" i="25"/>
  <c r="M167" i="25"/>
  <c r="L167" i="25"/>
  <c r="K167" i="25"/>
  <c r="J167" i="25"/>
  <c r="I167" i="25"/>
  <c r="H167" i="25"/>
  <c r="G167" i="25"/>
  <c r="F167" i="25"/>
  <c r="E167" i="25"/>
  <c r="D167" i="25"/>
  <c r="AV167" i="25" l="1"/>
  <c r="AV168" i="25"/>
  <c r="Y23" i="58" l="1"/>
  <c r="I45" i="11" l="1"/>
  <c r="H45" i="11"/>
  <c r="H44" i="11"/>
  <c r="H38" i="11"/>
  <c r="H14" i="11"/>
  <c r="H12" i="11"/>
  <c r="H6" i="11"/>
  <c r="I6" i="11" s="1"/>
  <c r="R19" i="58"/>
  <c r="S19" i="58"/>
  <c r="J44" i="11"/>
  <c r="V20" i="58"/>
  <c r="J16" i="34"/>
  <c r="I16" i="34"/>
  <c r="K16" i="34"/>
  <c r="D89" i="24"/>
  <c r="K81" i="31"/>
  <c r="J81" i="31"/>
  <c r="I81" i="31"/>
  <c r="H81" i="31"/>
  <c r="F81" i="31"/>
  <c r="J43" i="11"/>
  <c r="H43" i="11" s="1"/>
  <c r="J42" i="11"/>
  <c r="H42" i="11" s="1"/>
  <c r="J41" i="11"/>
  <c r="H41" i="11" s="1"/>
  <c r="J40" i="11"/>
  <c r="H40" i="11" s="1"/>
  <c r="J39" i="11"/>
  <c r="H39" i="11" s="1"/>
  <c r="J38" i="11"/>
  <c r="J37" i="11"/>
  <c r="J36" i="11"/>
  <c r="H36" i="11" s="1"/>
  <c r="J35" i="11"/>
  <c r="J34" i="11"/>
  <c r="J33" i="11"/>
  <c r="J32" i="11"/>
  <c r="H32" i="11" s="1"/>
  <c r="J31" i="11"/>
  <c r="H31" i="11" s="1"/>
  <c r="J30" i="11"/>
  <c r="H30" i="11" s="1"/>
  <c r="J29" i="11"/>
  <c r="H29" i="11" s="1"/>
  <c r="J28" i="11"/>
  <c r="J27" i="11"/>
  <c r="J26" i="11"/>
  <c r="J25" i="11"/>
  <c r="J24" i="11"/>
  <c r="J23" i="11"/>
  <c r="J22" i="11"/>
  <c r="G22" i="11" s="1"/>
  <c r="J21" i="11"/>
  <c r="J20" i="11"/>
  <c r="J19" i="11"/>
  <c r="J18" i="11"/>
  <c r="J17" i="11"/>
  <c r="J16" i="11"/>
  <c r="J15" i="11"/>
  <c r="J13" i="11"/>
  <c r="J11" i="11"/>
  <c r="H10" i="11"/>
  <c r="J9" i="11"/>
  <c r="G9" i="11" s="1"/>
  <c r="H9" i="11" s="1"/>
  <c r="J8" i="11"/>
  <c r="J7" i="11"/>
  <c r="E3" i="57"/>
  <c r="Z24" i="58"/>
  <c r="Z23" i="58"/>
  <c r="Z22" i="58"/>
  <c r="Z21" i="58"/>
  <c r="K103" i="31"/>
  <c r="Q62" i="11"/>
  <c r="C11" i="54"/>
  <c r="C10" i="54"/>
  <c r="C9" i="54"/>
  <c r="C8" i="54"/>
  <c r="Y8" i="24"/>
  <c r="BR170" i="25"/>
  <c r="BQ170" i="25"/>
  <c r="BP170" i="25"/>
  <c r="BO170" i="25"/>
  <c r="BN170" i="25"/>
  <c r="BM170" i="25"/>
  <c r="BL170" i="25"/>
  <c r="BK170" i="25"/>
  <c r="BJ170" i="25"/>
  <c r="BF170" i="25"/>
  <c r="BE170" i="25"/>
  <c r="BD170" i="25"/>
  <c r="BC170" i="25"/>
  <c r="BB170" i="25"/>
  <c r="BA170" i="25"/>
  <c r="AZ170" i="25"/>
  <c r="AY170" i="25"/>
  <c r="AX170" i="25"/>
  <c r="AW170" i="25"/>
  <c r="AU170" i="25"/>
  <c r="AT170" i="25"/>
  <c r="AS170" i="25"/>
  <c r="AR170" i="25"/>
  <c r="AN170" i="25"/>
  <c r="AM170" i="25"/>
  <c r="AL170" i="25"/>
  <c r="AK170" i="25"/>
  <c r="AJ170" i="25"/>
  <c r="AI170" i="25"/>
  <c r="AH170" i="25"/>
  <c r="AG170" i="25"/>
  <c r="AF170" i="25"/>
  <c r="Y170" i="25"/>
  <c r="X170" i="25"/>
  <c r="W170" i="25"/>
  <c r="V170" i="25"/>
  <c r="U170" i="25"/>
  <c r="T170" i="25"/>
  <c r="S170" i="25"/>
  <c r="R170" i="25"/>
  <c r="Q170" i="25"/>
  <c r="P170" i="25"/>
  <c r="O170" i="25"/>
  <c r="N170" i="25"/>
  <c r="M170" i="25"/>
  <c r="L170" i="25"/>
  <c r="K170" i="25"/>
  <c r="J170" i="25"/>
  <c r="I170" i="25"/>
  <c r="H170" i="25"/>
  <c r="G170" i="25"/>
  <c r="F170" i="25"/>
  <c r="E170" i="25"/>
  <c r="D170" i="25"/>
  <c r="BR169" i="25"/>
  <c r="BQ169" i="25"/>
  <c r="BP169" i="25"/>
  <c r="BO169" i="25"/>
  <c r="BN169" i="25"/>
  <c r="BM169" i="25"/>
  <c r="BL169" i="25"/>
  <c r="BK169" i="25"/>
  <c r="BJ169" i="25"/>
  <c r="BF169" i="25"/>
  <c r="BE169" i="25"/>
  <c r="BD169" i="25"/>
  <c r="BC169" i="25"/>
  <c r="BB169" i="25"/>
  <c r="BA169" i="25"/>
  <c r="AZ169" i="25"/>
  <c r="AY169" i="25"/>
  <c r="AX169" i="25"/>
  <c r="AW169" i="25"/>
  <c r="AU169" i="25"/>
  <c r="AT169" i="25"/>
  <c r="AS169" i="25"/>
  <c r="AR169" i="25"/>
  <c r="AN169" i="25"/>
  <c r="AM169" i="25"/>
  <c r="AL169" i="25"/>
  <c r="AK169" i="25"/>
  <c r="AJ169" i="25"/>
  <c r="AI169" i="25"/>
  <c r="AH169" i="25"/>
  <c r="AG169" i="25"/>
  <c r="AF169" i="25"/>
  <c r="Y169" i="25"/>
  <c r="X169" i="25"/>
  <c r="W169" i="25"/>
  <c r="V169" i="25"/>
  <c r="U169" i="25"/>
  <c r="T169" i="25"/>
  <c r="S169" i="25"/>
  <c r="R169" i="25"/>
  <c r="Q169" i="25"/>
  <c r="P169" i="25"/>
  <c r="O169" i="25"/>
  <c r="N169" i="25"/>
  <c r="M169" i="25"/>
  <c r="L169" i="25"/>
  <c r="K169" i="25"/>
  <c r="J169" i="25"/>
  <c r="I169" i="25"/>
  <c r="H169" i="25"/>
  <c r="G169" i="25"/>
  <c r="F169" i="25"/>
  <c r="E169" i="25"/>
  <c r="D169" i="25"/>
  <c r="BR171" i="25"/>
  <c r="BQ171" i="25"/>
  <c r="BO171" i="25"/>
  <c r="BN171" i="25"/>
  <c r="BM171" i="25"/>
  <c r="BL171" i="25"/>
  <c r="BK171" i="25"/>
  <c r="BJ171" i="25"/>
  <c r="BF171" i="25"/>
  <c r="BE171" i="25"/>
  <c r="BD171" i="25"/>
  <c r="BC171" i="25"/>
  <c r="BB171" i="25"/>
  <c r="BA171" i="25"/>
  <c r="AZ171" i="25"/>
  <c r="AY171" i="25"/>
  <c r="AX171" i="25"/>
  <c r="AW171" i="25"/>
  <c r="AU171" i="25"/>
  <c r="AT171" i="25"/>
  <c r="AS171" i="25"/>
  <c r="AR171" i="25"/>
  <c r="AN171" i="25"/>
  <c r="AM171" i="25"/>
  <c r="AL171" i="25"/>
  <c r="AK171" i="25"/>
  <c r="AJ171" i="25"/>
  <c r="AI171" i="25"/>
  <c r="AH171" i="25"/>
  <c r="AG171" i="25"/>
  <c r="AF171" i="25"/>
  <c r="Y171" i="25"/>
  <c r="X171" i="25"/>
  <c r="W171" i="25"/>
  <c r="V171" i="25"/>
  <c r="U171" i="25"/>
  <c r="T171" i="25"/>
  <c r="S171" i="25"/>
  <c r="R171" i="25"/>
  <c r="Q171" i="25"/>
  <c r="P171" i="25"/>
  <c r="O171" i="25"/>
  <c r="N171" i="25"/>
  <c r="M171" i="25"/>
  <c r="L171" i="25"/>
  <c r="K171" i="25"/>
  <c r="J171" i="25"/>
  <c r="I171" i="25"/>
  <c r="H171" i="25"/>
  <c r="G171" i="25"/>
  <c r="F171" i="25"/>
  <c r="E171" i="25"/>
  <c r="D171" i="25"/>
  <c r="BR172" i="25"/>
  <c r="BQ172" i="25"/>
  <c r="BO172" i="25"/>
  <c r="BN172" i="25"/>
  <c r="BM172" i="25"/>
  <c r="BL172" i="25"/>
  <c r="BK172" i="25"/>
  <c r="BJ172" i="25"/>
  <c r="BF172" i="25"/>
  <c r="BE172" i="25"/>
  <c r="BD172" i="25"/>
  <c r="BC172" i="25"/>
  <c r="BB172" i="25"/>
  <c r="BA172" i="25"/>
  <c r="AZ172" i="25"/>
  <c r="AY172" i="25"/>
  <c r="AX172" i="25"/>
  <c r="AW172" i="25"/>
  <c r="AU172" i="25"/>
  <c r="AT172" i="25"/>
  <c r="AS172" i="25"/>
  <c r="AR172" i="25"/>
  <c r="AN172" i="25"/>
  <c r="AM172" i="25"/>
  <c r="AL172" i="25"/>
  <c r="AK172" i="25"/>
  <c r="AJ172" i="25"/>
  <c r="AI172" i="25"/>
  <c r="AH172" i="25"/>
  <c r="AG172" i="25"/>
  <c r="AF172" i="25"/>
  <c r="Y172" i="25"/>
  <c r="X172" i="25"/>
  <c r="W172" i="25"/>
  <c r="V172" i="25"/>
  <c r="U172" i="25"/>
  <c r="T172" i="25"/>
  <c r="S172" i="25"/>
  <c r="R172" i="25"/>
  <c r="Q172" i="25"/>
  <c r="P172" i="25"/>
  <c r="O172" i="25"/>
  <c r="N172" i="25"/>
  <c r="M172" i="25"/>
  <c r="L172" i="25"/>
  <c r="K172" i="25"/>
  <c r="J172" i="25"/>
  <c r="I172" i="25"/>
  <c r="H172" i="25"/>
  <c r="G172" i="25"/>
  <c r="F172" i="25"/>
  <c r="E172" i="25"/>
  <c r="D172" i="25"/>
  <c r="BQ8" i="53"/>
  <c r="D14" i="24"/>
  <c r="C22" i="54"/>
  <c r="C23" i="54"/>
  <c r="H175" i="25"/>
  <c r="G175" i="25"/>
  <c r="F175" i="25"/>
  <c r="E175" i="25"/>
  <c r="H174" i="25"/>
  <c r="G174" i="25"/>
  <c r="F174" i="25"/>
  <c r="E174" i="25"/>
  <c r="H173" i="25"/>
  <c r="G173" i="25"/>
  <c r="F173" i="25"/>
  <c r="E173" i="25"/>
  <c r="BR122" i="25"/>
  <c r="BQ122" i="25"/>
  <c r="BP122" i="25"/>
  <c r="BO122" i="25"/>
  <c r="BN122" i="25"/>
  <c r="BM122" i="25"/>
  <c r="BL122" i="25"/>
  <c r="BK122" i="25"/>
  <c r="BJ122" i="25"/>
  <c r="BF122" i="25"/>
  <c r="BE122" i="25"/>
  <c r="BD122" i="25"/>
  <c r="BC122" i="25"/>
  <c r="BB122" i="25"/>
  <c r="BA122" i="25"/>
  <c r="AZ122" i="25"/>
  <c r="AY122" i="25"/>
  <c r="AX122" i="25"/>
  <c r="AW122" i="25"/>
  <c r="AU122" i="25"/>
  <c r="AT122" i="25"/>
  <c r="AS122" i="25"/>
  <c r="AR122" i="25"/>
  <c r="AN122" i="25"/>
  <c r="AM122" i="25"/>
  <c r="AL122" i="25"/>
  <c r="AK122" i="25"/>
  <c r="AJ122" i="25"/>
  <c r="AI122" i="25"/>
  <c r="AH122" i="25"/>
  <c r="AG122" i="25"/>
  <c r="AF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BR118" i="25"/>
  <c r="BQ118" i="25"/>
  <c r="BP118" i="25"/>
  <c r="BO118" i="25"/>
  <c r="BN118" i="25"/>
  <c r="BM118" i="25"/>
  <c r="BL118" i="25"/>
  <c r="BK118" i="25"/>
  <c r="BJ118" i="25"/>
  <c r="BF118" i="25"/>
  <c r="BE118" i="25"/>
  <c r="BD118" i="25"/>
  <c r="BC118" i="25"/>
  <c r="BB118" i="25"/>
  <c r="BA118" i="25"/>
  <c r="AZ118" i="25"/>
  <c r="AY118" i="25"/>
  <c r="AX118" i="25"/>
  <c r="AW118" i="25"/>
  <c r="AU118" i="25"/>
  <c r="AT118" i="25"/>
  <c r="AS118" i="25"/>
  <c r="AR118" i="25"/>
  <c r="AN118" i="25"/>
  <c r="AM118" i="25"/>
  <c r="AL118" i="25"/>
  <c r="AK118" i="25"/>
  <c r="AJ118" i="25"/>
  <c r="AI118" i="25"/>
  <c r="AH118" i="25"/>
  <c r="AG118" i="25"/>
  <c r="AF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AH67" i="24"/>
  <c r="AG67" i="24"/>
  <c r="AF67" i="24"/>
  <c r="AE67" i="24"/>
  <c r="AD67" i="24"/>
  <c r="AC67" i="24"/>
  <c r="AB67" i="24"/>
  <c r="AA67" i="24"/>
  <c r="Z67" i="24"/>
  <c r="Y67" i="24"/>
  <c r="X67" i="24"/>
  <c r="W67" i="24"/>
  <c r="V67" i="24"/>
  <c r="U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AH66" i="24"/>
  <c r="AG66" i="24"/>
  <c r="AF66" i="24"/>
  <c r="AE66" i="24"/>
  <c r="AD66" i="24"/>
  <c r="AC66" i="24"/>
  <c r="AB66" i="24"/>
  <c r="AA66" i="24"/>
  <c r="Z66" i="24"/>
  <c r="Y66" i="24"/>
  <c r="X66" i="24"/>
  <c r="W66" i="24"/>
  <c r="V66" i="24"/>
  <c r="U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AH65" i="24"/>
  <c r="AG65" i="24"/>
  <c r="AF65" i="24"/>
  <c r="AE65" i="24"/>
  <c r="AD65" i="24"/>
  <c r="AC65" i="24"/>
  <c r="AB65" i="24"/>
  <c r="AA65" i="24"/>
  <c r="Z65" i="24"/>
  <c r="Y65" i="24"/>
  <c r="X65" i="24"/>
  <c r="W65" i="24"/>
  <c r="V65" i="24"/>
  <c r="U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AH64" i="24"/>
  <c r="AG64" i="24"/>
  <c r="AF64" i="24"/>
  <c r="AE64" i="24"/>
  <c r="AD64" i="24"/>
  <c r="AC64" i="24"/>
  <c r="AB64" i="24"/>
  <c r="AA64" i="24"/>
  <c r="Z64" i="24"/>
  <c r="Y64" i="24"/>
  <c r="X64" i="24"/>
  <c r="W64" i="24"/>
  <c r="V64" i="24"/>
  <c r="U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AH63" i="24"/>
  <c r="AG63" i="24"/>
  <c r="AF63" i="24"/>
  <c r="AE63" i="24"/>
  <c r="AD63" i="24"/>
  <c r="AC63" i="24"/>
  <c r="AB63" i="24"/>
  <c r="AA63" i="24"/>
  <c r="Z63" i="24"/>
  <c r="Y63" i="24"/>
  <c r="X63" i="24"/>
  <c r="W63" i="24"/>
  <c r="V63" i="24"/>
  <c r="U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AH62" i="24"/>
  <c r="AG62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AH61" i="24"/>
  <c r="AG61" i="24"/>
  <c r="AF61" i="24"/>
  <c r="AE61" i="24"/>
  <c r="AD61" i="24"/>
  <c r="AC61" i="24"/>
  <c r="AB61" i="24"/>
  <c r="AA61" i="24"/>
  <c r="Z61" i="24"/>
  <c r="Y61" i="24"/>
  <c r="X61" i="24"/>
  <c r="W61" i="24"/>
  <c r="V61" i="24"/>
  <c r="U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AH60" i="24"/>
  <c r="AG60" i="24"/>
  <c r="AF60" i="24"/>
  <c r="AE60" i="24"/>
  <c r="AD60" i="24"/>
  <c r="AC60" i="24"/>
  <c r="AB60" i="24"/>
  <c r="AA60" i="24"/>
  <c r="Z60" i="24"/>
  <c r="Y60" i="24"/>
  <c r="X60" i="24"/>
  <c r="W60" i="24"/>
  <c r="V60" i="24"/>
  <c r="U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AH59" i="24"/>
  <c r="AG59" i="24"/>
  <c r="AF59" i="24"/>
  <c r="AE59" i="24"/>
  <c r="AD59" i="24"/>
  <c r="AC59" i="24"/>
  <c r="AB59" i="24"/>
  <c r="AA59" i="24"/>
  <c r="Z59" i="24"/>
  <c r="Y59" i="24"/>
  <c r="X59" i="24"/>
  <c r="W59" i="24"/>
  <c r="V59" i="24"/>
  <c r="U59" i="24"/>
  <c r="Q59" i="24"/>
  <c r="P59" i="24"/>
  <c r="O59" i="24"/>
  <c r="N59" i="24"/>
  <c r="M59" i="24"/>
  <c r="L59" i="24"/>
  <c r="K59" i="24"/>
  <c r="J59" i="24"/>
  <c r="I59" i="24"/>
  <c r="H59" i="24"/>
  <c r="G59" i="24"/>
  <c r="F59" i="24"/>
  <c r="E59" i="24"/>
  <c r="D59" i="24"/>
  <c r="AH58" i="24"/>
  <c r="AG58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AH57" i="24"/>
  <c r="AG57" i="24"/>
  <c r="AF57" i="24"/>
  <c r="AE57" i="24"/>
  <c r="AD57" i="24"/>
  <c r="AC57" i="24"/>
  <c r="AB57" i="24"/>
  <c r="AA57" i="24"/>
  <c r="Z57" i="24"/>
  <c r="Y57" i="24"/>
  <c r="X57" i="24"/>
  <c r="W57" i="24"/>
  <c r="V57" i="24"/>
  <c r="U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AH48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AH47" i="24"/>
  <c r="AG47" i="24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28" i="54"/>
  <c r="C9" i="50"/>
  <c r="BS8" i="33"/>
  <c r="BP10" i="52"/>
  <c r="C11" i="52"/>
  <c r="BO8" i="53"/>
  <c r="BO8" i="51"/>
  <c r="G8" i="54"/>
  <c r="E8" i="54"/>
  <c r="AU28" i="25"/>
  <c r="AT28" i="25"/>
  <c r="AT27" i="25"/>
  <c r="C24" i="54"/>
  <c r="C25" i="54"/>
  <c r="C26" i="54"/>
  <c r="C27" i="54"/>
  <c r="C29" i="54"/>
  <c r="C30" i="54"/>
  <c r="C31" i="54"/>
  <c r="C32" i="54"/>
  <c r="C33" i="54"/>
  <c r="C34" i="54"/>
  <c r="C35" i="54"/>
  <c r="C36" i="54"/>
  <c r="C37" i="54"/>
  <c r="C38" i="54"/>
  <c r="C39" i="54"/>
  <c r="C40" i="54"/>
  <c r="C41" i="54"/>
  <c r="C44" i="54"/>
  <c r="C45" i="54"/>
  <c r="C46" i="54"/>
  <c r="C47" i="54"/>
  <c r="C48" i="54"/>
  <c r="C49" i="54"/>
  <c r="C50" i="54"/>
  <c r="C51" i="54"/>
  <c r="C52" i="54"/>
  <c r="C53" i="54"/>
  <c r="C54" i="54"/>
  <c r="C55" i="54"/>
  <c r="C56" i="54"/>
  <c r="C57" i="54"/>
  <c r="C58" i="54"/>
  <c r="C59" i="54"/>
  <c r="C60" i="54"/>
  <c r="C61" i="54"/>
  <c r="C62" i="54"/>
  <c r="C63" i="54"/>
  <c r="C64" i="54"/>
  <c r="C65" i="54"/>
  <c r="C66" i="54"/>
  <c r="C67" i="54"/>
  <c r="C68" i="54"/>
  <c r="C69" i="54"/>
  <c r="C70" i="54"/>
  <c r="BR107" i="25"/>
  <c r="BQ107" i="25"/>
  <c r="BP107" i="25"/>
  <c r="BO107" i="25"/>
  <c r="BN107" i="25"/>
  <c r="BM107" i="25"/>
  <c r="BL107" i="25"/>
  <c r="BK107" i="25"/>
  <c r="BJ107" i="25"/>
  <c r="BF107" i="25"/>
  <c r="BE107" i="25"/>
  <c r="BD107" i="25"/>
  <c r="BC107" i="25"/>
  <c r="BB107" i="25"/>
  <c r="BA107" i="25"/>
  <c r="AZ107" i="25"/>
  <c r="AY107" i="25"/>
  <c r="AX107" i="25"/>
  <c r="AW107" i="25"/>
  <c r="AU107" i="25"/>
  <c r="AT107" i="25"/>
  <c r="AS107" i="25"/>
  <c r="AR107" i="25"/>
  <c r="AN107" i="25"/>
  <c r="AM107" i="25"/>
  <c r="AL107" i="25"/>
  <c r="AK107" i="25"/>
  <c r="AJ107" i="25"/>
  <c r="AI107" i="25"/>
  <c r="AH107" i="25"/>
  <c r="AG107" i="25"/>
  <c r="AF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BR106" i="25"/>
  <c r="BQ106" i="25"/>
  <c r="BP106" i="25"/>
  <c r="BO106" i="25"/>
  <c r="BN106" i="25"/>
  <c r="BM106" i="25"/>
  <c r="BL106" i="25"/>
  <c r="BK106" i="25"/>
  <c r="BJ106" i="25"/>
  <c r="BF106" i="25"/>
  <c r="BE106" i="25"/>
  <c r="BD106" i="25"/>
  <c r="BC106" i="25"/>
  <c r="BB106" i="25"/>
  <c r="BA106" i="25"/>
  <c r="AZ106" i="25"/>
  <c r="AY106" i="25"/>
  <c r="AX106" i="25"/>
  <c r="AW106" i="25"/>
  <c r="AU106" i="25"/>
  <c r="AT106" i="25"/>
  <c r="AS106" i="25"/>
  <c r="AR106" i="25"/>
  <c r="AN106" i="25"/>
  <c r="AM106" i="25"/>
  <c r="AL106" i="25"/>
  <c r="AK106" i="25"/>
  <c r="AJ106" i="25"/>
  <c r="AI106" i="25"/>
  <c r="AH106" i="25"/>
  <c r="AG106" i="25"/>
  <c r="AF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BR105" i="25"/>
  <c r="BQ105" i="25"/>
  <c r="BP105" i="25"/>
  <c r="BO105" i="25"/>
  <c r="BN105" i="25"/>
  <c r="BM105" i="25"/>
  <c r="BL105" i="25"/>
  <c r="BK105" i="25"/>
  <c r="BJ105" i="25"/>
  <c r="BF105" i="25"/>
  <c r="BE105" i="25"/>
  <c r="BD105" i="25"/>
  <c r="BC105" i="25"/>
  <c r="BB105" i="25"/>
  <c r="BA105" i="25"/>
  <c r="AZ105" i="25"/>
  <c r="AY105" i="25"/>
  <c r="AX105" i="25"/>
  <c r="AW105" i="25"/>
  <c r="AU105" i="25"/>
  <c r="AT105" i="25"/>
  <c r="AS105" i="25"/>
  <c r="AR105" i="25"/>
  <c r="AN105" i="25"/>
  <c r="AM105" i="25"/>
  <c r="AL105" i="25"/>
  <c r="AK105" i="25"/>
  <c r="AJ105" i="25"/>
  <c r="AI105" i="25"/>
  <c r="AH105" i="25"/>
  <c r="AG105" i="25"/>
  <c r="AF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BR175" i="25"/>
  <c r="BQ175" i="25"/>
  <c r="BP175" i="25"/>
  <c r="BO175" i="25"/>
  <c r="BN175" i="25"/>
  <c r="BM175" i="25"/>
  <c r="BL175" i="25"/>
  <c r="BK175" i="25"/>
  <c r="BJ175" i="25"/>
  <c r="BF175" i="25"/>
  <c r="BE175" i="25"/>
  <c r="BD175" i="25"/>
  <c r="BC175" i="25"/>
  <c r="BB175" i="25"/>
  <c r="BA175" i="25"/>
  <c r="AZ175" i="25"/>
  <c r="AY175" i="25"/>
  <c r="AX175" i="25"/>
  <c r="AW175" i="25"/>
  <c r="AU175" i="25"/>
  <c r="AT175" i="25"/>
  <c r="AS175" i="25"/>
  <c r="AR175" i="25"/>
  <c r="AN175" i="25"/>
  <c r="AM175" i="25"/>
  <c r="AL175" i="25"/>
  <c r="AK175" i="25"/>
  <c r="AJ175" i="25"/>
  <c r="AI175" i="25"/>
  <c r="AH175" i="25"/>
  <c r="AG175" i="25"/>
  <c r="AF175" i="25"/>
  <c r="Y175" i="25"/>
  <c r="X175" i="25"/>
  <c r="W175" i="25"/>
  <c r="V175" i="25"/>
  <c r="U175" i="25"/>
  <c r="T175" i="25"/>
  <c r="S175" i="25"/>
  <c r="R175" i="25"/>
  <c r="Q175" i="25"/>
  <c r="P175" i="25"/>
  <c r="O175" i="25"/>
  <c r="N175" i="25"/>
  <c r="M175" i="25"/>
  <c r="L175" i="25"/>
  <c r="K175" i="25"/>
  <c r="J175" i="25"/>
  <c r="I175" i="25"/>
  <c r="D175" i="25"/>
  <c r="BR174" i="25"/>
  <c r="BQ174" i="25"/>
  <c r="BP174" i="25"/>
  <c r="BO174" i="25"/>
  <c r="BN174" i="25"/>
  <c r="BM174" i="25"/>
  <c r="BL174" i="25"/>
  <c r="BK174" i="25"/>
  <c r="BJ174" i="25"/>
  <c r="BF174" i="25"/>
  <c r="BE174" i="25"/>
  <c r="BD174" i="25"/>
  <c r="BC174" i="25"/>
  <c r="BB174" i="25"/>
  <c r="BA174" i="25"/>
  <c r="AZ174" i="25"/>
  <c r="AY174" i="25"/>
  <c r="AX174" i="25"/>
  <c r="AW174" i="25"/>
  <c r="AU174" i="25"/>
  <c r="AT174" i="25"/>
  <c r="AS174" i="25"/>
  <c r="AR174" i="25"/>
  <c r="AN174" i="25"/>
  <c r="AM174" i="25"/>
  <c r="AL174" i="25"/>
  <c r="AK174" i="25"/>
  <c r="AJ174" i="25"/>
  <c r="AI174" i="25"/>
  <c r="AH174" i="25"/>
  <c r="AG174" i="25"/>
  <c r="AF174" i="25"/>
  <c r="Y174" i="25"/>
  <c r="X174" i="25"/>
  <c r="W174" i="25"/>
  <c r="V174" i="25"/>
  <c r="U174" i="25"/>
  <c r="T174" i="25"/>
  <c r="S174" i="25"/>
  <c r="R174" i="25"/>
  <c r="Q174" i="25"/>
  <c r="P174" i="25"/>
  <c r="O174" i="25"/>
  <c r="N174" i="25"/>
  <c r="M174" i="25"/>
  <c r="L174" i="25"/>
  <c r="K174" i="25"/>
  <c r="J174" i="25"/>
  <c r="I174" i="25"/>
  <c r="D174" i="25"/>
  <c r="BT28" i="54"/>
  <c r="BS28" i="54"/>
  <c r="BR28" i="54"/>
  <c r="BQ28" i="54"/>
  <c r="BP28" i="54"/>
  <c r="BO28" i="54"/>
  <c r="BN28" i="54"/>
  <c r="BM28" i="54"/>
  <c r="BL28" i="54"/>
  <c r="BK28" i="54"/>
  <c r="BG28" i="54"/>
  <c r="BF28" i="54"/>
  <c r="BE28" i="54"/>
  <c r="BD28" i="54"/>
  <c r="BC28" i="54"/>
  <c r="BB28" i="54"/>
  <c r="BA28" i="54"/>
  <c r="AZ28" i="54"/>
  <c r="AY28" i="54"/>
  <c r="AX28" i="54"/>
  <c r="AV28" i="54"/>
  <c r="AU28" i="54"/>
  <c r="AT28" i="54"/>
  <c r="AS28" i="54"/>
  <c r="AO28" i="54"/>
  <c r="AN28" i="54"/>
  <c r="AM28" i="54"/>
  <c r="AL28" i="54"/>
  <c r="AK28" i="54"/>
  <c r="AJ28" i="54"/>
  <c r="AI28" i="54"/>
  <c r="AH28" i="54"/>
  <c r="AG28" i="54"/>
  <c r="Z28" i="54"/>
  <c r="Y28" i="54"/>
  <c r="X28" i="54"/>
  <c r="W28" i="54"/>
  <c r="V28" i="54"/>
  <c r="U28" i="54"/>
  <c r="T28" i="54"/>
  <c r="S28" i="54"/>
  <c r="R28" i="54"/>
  <c r="Q28" i="54"/>
  <c r="P28" i="54"/>
  <c r="O28" i="54"/>
  <c r="N28" i="54"/>
  <c r="M28" i="54"/>
  <c r="L28" i="54"/>
  <c r="K28" i="54"/>
  <c r="J28" i="54"/>
  <c r="I28" i="54"/>
  <c r="H28" i="54"/>
  <c r="G28" i="54"/>
  <c r="F28" i="54"/>
  <c r="E28" i="54"/>
  <c r="D28" i="54"/>
  <c r="D11" i="54"/>
  <c r="BR166" i="25"/>
  <c r="BQ166" i="25"/>
  <c r="BP166" i="25"/>
  <c r="BO166" i="25"/>
  <c r="BN166" i="25"/>
  <c r="BM166" i="25"/>
  <c r="BL166" i="25"/>
  <c r="BK166" i="25"/>
  <c r="BJ166" i="25"/>
  <c r="BF166" i="25"/>
  <c r="BE166" i="25"/>
  <c r="BD166" i="25"/>
  <c r="BC166" i="25"/>
  <c r="BB166" i="25"/>
  <c r="BA166" i="25"/>
  <c r="AZ166" i="25"/>
  <c r="AY166" i="25"/>
  <c r="AX166" i="25"/>
  <c r="AW166" i="25"/>
  <c r="AU166" i="25"/>
  <c r="AT166" i="25"/>
  <c r="AS166" i="25"/>
  <c r="AR166" i="25"/>
  <c r="AN166" i="25"/>
  <c r="AM166" i="25"/>
  <c r="AL166" i="25"/>
  <c r="AK166" i="25"/>
  <c r="AJ166" i="25"/>
  <c r="AI166" i="25"/>
  <c r="AH166" i="25"/>
  <c r="AG166" i="25"/>
  <c r="AF166" i="25"/>
  <c r="Y166" i="25"/>
  <c r="X166" i="25"/>
  <c r="W166" i="25"/>
  <c r="V166" i="25"/>
  <c r="U166" i="25"/>
  <c r="T166" i="25"/>
  <c r="S166" i="25"/>
  <c r="R166" i="25"/>
  <c r="Q166" i="25"/>
  <c r="P166" i="25"/>
  <c r="O166" i="25"/>
  <c r="N166" i="25"/>
  <c r="M166" i="25"/>
  <c r="L166" i="25"/>
  <c r="K166" i="25"/>
  <c r="J166" i="25"/>
  <c r="I166" i="25"/>
  <c r="H166" i="25"/>
  <c r="G166" i="25"/>
  <c r="F166" i="25"/>
  <c r="E166" i="25"/>
  <c r="D166" i="25"/>
  <c r="BR121" i="25"/>
  <c r="BQ121" i="25"/>
  <c r="BP121" i="25"/>
  <c r="BO121" i="25"/>
  <c r="BN121" i="25"/>
  <c r="BM121" i="25"/>
  <c r="BL121" i="25"/>
  <c r="BK121" i="25"/>
  <c r="BJ121" i="25"/>
  <c r="BF121" i="25"/>
  <c r="BE121" i="25"/>
  <c r="BD121" i="25"/>
  <c r="BC121" i="25"/>
  <c r="BB121" i="25"/>
  <c r="BA121" i="25"/>
  <c r="AZ121" i="25"/>
  <c r="AY121" i="25"/>
  <c r="AX121" i="25"/>
  <c r="AW121" i="25"/>
  <c r="AU121" i="25"/>
  <c r="AT121" i="25"/>
  <c r="AS121" i="25"/>
  <c r="AR121" i="25"/>
  <c r="AN121" i="25"/>
  <c r="AM121" i="25"/>
  <c r="AL121" i="25"/>
  <c r="AK121" i="25"/>
  <c r="AJ121" i="25"/>
  <c r="AI121" i="25"/>
  <c r="AH121" i="25"/>
  <c r="AG121" i="25"/>
  <c r="AF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BR120" i="25"/>
  <c r="BQ120" i="25"/>
  <c r="BP120" i="25"/>
  <c r="BO120" i="25"/>
  <c r="BN120" i="25"/>
  <c r="BM120" i="25"/>
  <c r="BL120" i="25"/>
  <c r="BK120" i="25"/>
  <c r="BJ120" i="25"/>
  <c r="BF120" i="25"/>
  <c r="BE120" i="25"/>
  <c r="BD120" i="25"/>
  <c r="BC120" i="25"/>
  <c r="BB120" i="25"/>
  <c r="BA120" i="25"/>
  <c r="AZ120" i="25"/>
  <c r="AY120" i="25"/>
  <c r="AX120" i="25"/>
  <c r="AW120" i="25"/>
  <c r="AU120" i="25"/>
  <c r="AT120" i="25"/>
  <c r="AS120" i="25"/>
  <c r="AR120" i="25"/>
  <c r="AN120" i="25"/>
  <c r="AM120" i="25"/>
  <c r="AL120" i="25"/>
  <c r="AK120" i="25"/>
  <c r="AJ120" i="25"/>
  <c r="AI120" i="25"/>
  <c r="AH120" i="25"/>
  <c r="AG120" i="25"/>
  <c r="AF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B3" i="57"/>
  <c r="G28" i="7"/>
  <c r="G22" i="7"/>
  <c r="L104" i="31"/>
  <c r="B62" i="11"/>
  <c r="C1" i="57"/>
  <c r="D1" i="57"/>
  <c r="C7" i="55"/>
  <c r="C38" i="10" s="1"/>
  <c r="C8" i="55"/>
  <c r="D8" i="55"/>
  <c r="E8" i="55"/>
  <c r="F8" i="55"/>
  <c r="G8" i="55"/>
  <c r="H8" i="55"/>
  <c r="I8" i="55"/>
  <c r="J8" i="55"/>
  <c r="K8" i="55"/>
  <c r="L8" i="55"/>
  <c r="M8" i="55"/>
  <c r="N8" i="55"/>
  <c r="O8" i="55"/>
  <c r="P8" i="55"/>
  <c r="Q8" i="55"/>
  <c r="R8" i="55"/>
  <c r="S8" i="55"/>
  <c r="T8" i="55"/>
  <c r="U8" i="55"/>
  <c r="V8" i="55"/>
  <c r="W8" i="55"/>
  <c r="X8" i="55"/>
  <c r="Y8" i="55"/>
  <c r="Z8" i="55"/>
  <c r="AG8" i="55"/>
  <c r="AH8" i="55"/>
  <c r="AI8" i="55"/>
  <c r="AJ8" i="55"/>
  <c r="AK8" i="55"/>
  <c r="AL8" i="55"/>
  <c r="AM8" i="55"/>
  <c r="AN8" i="55"/>
  <c r="AO8" i="55"/>
  <c r="AS8" i="55"/>
  <c r="AT8" i="55"/>
  <c r="AU8" i="55"/>
  <c r="AV8" i="55"/>
  <c r="AX8" i="55"/>
  <c r="AY8" i="55"/>
  <c r="AZ8" i="55"/>
  <c r="BA8" i="55"/>
  <c r="BB8" i="55"/>
  <c r="BC8" i="55"/>
  <c r="BD8" i="55"/>
  <c r="BE8" i="55"/>
  <c r="BF8" i="55"/>
  <c r="BG8" i="55"/>
  <c r="BK8" i="55"/>
  <c r="BL8" i="55"/>
  <c r="BM8" i="55"/>
  <c r="BN8" i="55"/>
  <c r="BO8" i="55"/>
  <c r="BP8" i="55"/>
  <c r="BQ8" i="55"/>
  <c r="BR8" i="55"/>
  <c r="BS8" i="55"/>
  <c r="BT8" i="55"/>
  <c r="C9" i="55"/>
  <c r="D9" i="55"/>
  <c r="E9" i="55"/>
  <c r="F9" i="55"/>
  <c r="G9" i="55"/>
  <c r="H9" i="55"/>
  <c r="I9" i="55"/>
  <c r="J9" i="55"/>
  <c r="K9" i="55"/>
  <c r="L9" i="55"/>
  <c r="M9" i="55"/>
  <c r="N9" i="55"/>
  <c r="O9" i="55"/>
  <c r="P9" i="55"/>
  <c r="Q9" i="55"/>
  <c r="R9" i="55"/>
  <c r="S9" i="55"/>
  <c r="T9" i="55"/>
  <c r="U9" i="55"/>
  <c r="V9" i="55"/>
  <c r="W9" i="55"/>
  <c r="X9" i="55"/>
  <c r="Y9" i="55"/>
  <c r="Z9" i="55"/>
  <c r="AG9" i="55"/>
  <c r="AH9" i="55"/>
  <c r="AI9" i="55"/>
  <c r="AJ9" i="55"/>
  <c r="AK9" i="55"/>
  <c r="AL9" i="55"/>
  <c r="AM9" i="55"/>
  <c r="AN9" i="55"/>
  <c r="AO9" i="55"/>
  <c r="AS9" i="55"/>
  <c r="AT9" i="55"/>
  <c r="AU9" i="55"/>
  <c r="AV9" i="55"/>
  <c r="AX9" i="55"/>
  <c r="AY9" i="55"/>
  <c r="AZ9" i="55"/>
  <c r="BA9" i="55"/>
  <c r="BB9" i="55"/>
  <c r="BC9" i="55"/>
  <c r="BD9" i="55"/>
  <c r="BE9" i="55"/>
  <c r="BF9" i="55"/>
  <c r="BG9" i="55"/>
  <c r="BK9" i="55"/>
  <c r="BL9" i="55"/>
  <c r="BM9" i="55"/>
  <c r="BN9" i="55"/>
  <c r="BO9" i="55"/>
  <c r="BP9" i="55"/>
  <c r="BQ9" i="55"/>
  <c r="BR9" i="55"/>
  <c r="BS9" i="55"/>
  <c r="BT9" i="55"/>
  <c r="C10" i="55"/>
  <c r="D10" i="55"/>
  <c r="E10" i="55"/>
  <c r="F10" i="55"/>
  <c r="G10" i="55"/>
  <c r="H10" i="55"/>
  <c r="I10" i="55"/>
  <c r="J10" i="55"/>
  <c r="K10" i="55"/>
  <c r="L10" i="55"/>
  <c r="M10" i="55"/>
  <c r="N10" i="55"/>
  <c r="O10" i="55"/>
  <c r="P10" i="55"/>
  <c r="Q10" i="55"/>
  <c r="R10" i="55"/>
  <c r="S10" i="55"/>
  <c r="T10" i="55"/>
  <c r="U10" i="55"/>
  <c r="V10" i="55"/>
  <c r="W10" i="55"/>
  <c r="X10" i="55"/>
  <c r="Y10" i="55"/>
  <c r="Z10" i="55"/>
  <c r="AG10" i="55"/>
  <c r="AH10" i="55"/>
  <c r="AI10" i="55"/>
  <c r="AJ10" i="55"/>
  <c r="AK10" i="55"/>
  <c r="AL10" i="55"/>
  <c r="AM10" i="55"/>
  <c r="AN10" i="55"/>
  <c r="AO10" i="55"/>
  <c r="AS10" i="55"/>
  <c r="AT10" i="55"/>
  <c r="AU10" i="55"/>
  <c r="AV10" i="55"/>
  <c r="AX10" i="55"/>
  <c r="AY10" i="55"/>
  <c r="AZ10" i="55"/>
  <c r="BA10" i="55"/>
  <c r="BB10" i="55"/>
  <c r="BC10" i="55"/>
  <c r="BD10" i="55"/>
  <c r="BE10" i="55"/>
  <c r="BF10" i="55"/>
  <c r="BG10" i="55"/>
  <c r="BK10" i="55"/>
  <c r="BL10" i="55"/>
  <c r="BM10" i="55"/>
  <c r="BN10" i="55"/>
  <c r="BO10" i="55"/>
  <c r="BP10" i="55"/>
  <c r="BQ10" i="55"/>
  <c r="BR10" i="55"/>
  <c r="BS10" i="55"/>
  <c r="BT10" i="55"/>
  <c r="C11" i="55"/>
  <c r="D11" i="55"/>
  <c r="E11" i="55"/>
  <c r="F11" i="55"/>
  <c r="G11" i="55"/>
  <c r="H11" i="55"/>
  <c r="I11" i="55"/>
  <c r="J11" i="55"/>
  <c r="K11" i="55"/>
  <c r="L11" i="55"/>
  <c r="M11" i="55"/>
  <c r="N11" i="55"/>
  <c r="O11" i="55"/>
  <c r="P11" i="55"/>
  <c r="Q11" i="55"/>
  <c r="R11" i="55"/>
  <c r="S11" i="55"/>
  <c r="T11" i="55"/>
  <c r="U11" i="55"/>
  <c r="V11" i="55"/>
  <c r="W11" i="55"/>
  <c r="X11" i="55"/>
  <c r="Y11" i="55"/>
  <c r="Z11" i="55"/>
  <c r="AG11" i="55"/>
  <c r="AH11" i="55"/>
  <c r="AI11" i="55"/>
  <c r="AJ11" i="55"/>
  <c r="AK11" i="55"/>
  <c r="AL11" i="55"/>
  <c r="AM11" i="55"/>
  <c r="AN11" i="55"/>
  <c r="AO11" i="55"/>
  <c r="AS11" i="55"/>
  <c r="AT11" i="55"/>
  <c r="AU11" i="55"/>
  <c r="AV11" i="55"/>
  <c r="AX11" i="55"/>
  <c r="AY11" i="55"/>
  <c r="AZ11" i="55"/>
  <c r="BA11" i="55"/>
  <c r="BB11" i="55"/>
  <c r="BC11" i="55"/>
  <c r="BD11" i="55"/>
  <c r="BE11" i="55"/>
  <c r="BF11" i="55"/>
  <c r="BG11" i="55"/>
  <c r="BK11" i="55"/>
  <c r="BL11" i="55"/>
  <c r="BM11" i="55"/>
  <c r="BN11" i="55"/>
  <c r="BO11" i="55"/>
  <c r="BP11" i="55"/>
  <c r="BQ11" i="55"/>
  <c r="BR11" i="55"/>
  <c r="BS11" i="55"/>
  <c r="BT11" i="55"/>
  <c r="C12" i="55"/>
  <c r="D12" i="55"/>
  <c r="E12" i="55"/>
  <c r="F12" i="55"/>
  <c r="G12" i="55"/>
  <c r="H12" i="55"/>
  <c r="I12" i="55"/>
  <c r="J12" i="55"/>
  <c r="K12" i="55"/>
  <c r="L12" i="55"/>
  <c r="M12" i="55"/>
  <c r="N12" i="55"/>
  <c r="O12" i="55"/>
  <c r="P12" i="55"/>
  <c r="Q12" i="55"/>
  <c r="R12" i="55"/>
  <c r="S12" i="55"/>
  <c r="T12" i="55"/>
  <c r="U12" i="55"/>
  <c r="V12" i="55"/>
  <c r="W12" i="55"/>
  <c r="X12" i="55"/>
  <c r="Y12" i="55"/>
  <c r="Z12" i="55"/>
  <c r="AG12" i="55"/>
  <c r="AH12" i="55"/>
  <c r="AI12" i="55"/>
  <c r="AJ12" i="55"/>
  <c r="AK12" i="55"/>
  <c r="AL12" i="55"/>
  <c r="AM12" i="55"/>
  <c r="AN12" i="55"/>
  <c r="AO12" i="55"/>
  <c r="AS12" i="55"/>
  <c r="AT12" i="55"/>
  <c r="AU12" i="55"/>
  <c r="AV12" i="55"/>
  <c r="AX12" i="55"/>
  <c r="AY12" i="55"/>
  <c r="AZ12" i="55"/>
  <c r="BA12" i="55"/>
  <c r="BB12" i="55"/>
  <c r="BC12" i="55"/>
  <c r="BD12" i="55"/>
  <c r="BE12" i="55"/>
  <c r="BF12" i="55"/>
  <c r="BG12" i="55"/>
  <c r="BK12" i="55"/>
  <c r="BL12" i="55"/>
  <c r="BM12" i="55"/>
  <c r="BN12" i="55"/>
  <c r="BO12" i="55"/>
  <c r="BP12" i="55"/>
  <c r="BQ12" i="55"/>
  <c r="BR12" i="55"/>
  <c r="BS12" i="55"/>
  <c r="BT12" i="55"/>
  <c r="C13" i="55"/>
  <c r="D13" i="55"/>
  <c r="E13" i="55"/>
  <c r="F13" i="55"/>
  <c r="G13" i="55"/>
  <c r="H13" i="55"/>
  <c r="I13" i="55"/>
  <c r="J13" i="55"/>
  <c r="K13" i="55"/>
  <c r="L13" i="55"/>
  <c r="M13" i="55"/>
  <c r="N13" i="55"/>
  <c r="O13" i="55"/>
  <c r="P13" i="55"/>
  <c r="Q13" i="55"/>
  <c r="R13" i="55"/>
  <c r="S13" i="55"/>
  <c r="T13" i="55"/>
  <c r="U13" i="55"/>
  <c r="V13" i="55"/>
  <c r="W13" i="55"/>
  <c r="X13" i="55"/>
  <c r="Y13" i="55"/>
  <c r="Z13" i="55"/>
  <c r="AG13" i="55"/>
  <c r="AH13" i="55"/>
  <c r="AI13" i="55"/>
  <c r="AJ13" i="55"/>
  <c r="AK13" i="55"/>
  <c r="AL13" i="55"/>
  <c r="AM13" i="55"/>
  <c r="AN13" i="55"/>
  <c r="AO13" i="55"/>
  <c r="AS13" i="55"/>
  <c r="AT13" i="55"/>
  <c r="AU13" i="55"/>
  <c r="AV13" i="55"/>
  <c r="AX13" i="55"/>
  <c r="AY13" i="55"/>
  <c r="AZ13" i="55"/>
  <c r="BA13" i="55"/>
  <c r="BB13" i="55"/>
  <c r="BC13" i="55"/>
  <c r="BD13" i="55"/>
  <c r="BE13" i="55"/>
  <c r="BF13" i="55"/>
  <c r="BG13" i="55"/>
  <c r="BK13" i="55"/>
  <c r="BL13" i="55"/>
  <c r="BM13" i="55"/>
  <c r="BN13" i="55"/>
  <c r="BO13" i="55"/>
  <c r="BP13" i="55"/>
  <c r="BQ13" i="55"/>
  <c r="BR13" i="55"/>
  <c r="BS13" i="55"/>
  <c r="BT13" i="55"/>
  <c r="C14" i="55"/>
  <c r="D14" i="55"/>
  <c r="E14" i="55"/>
  <c r="F14" i="55"/>
  <c r="G14" i="55"/>
  <c r="H14" i="55"/>
  <c r="I14" i="55"/>
  <c r="J14" i="55"/>
  <c r="K14" i="55"/>
  <c r="L14" i="55"/>
  <c r="M14" i="55"/>
  <c r="N14" i="55"/>
  <c r="O14" i="55"/>
  <c r="P14" i="55"/>
  <c r="Q14" i="55"/>
  <c r="R14" i="55"/>
  <c r="S14" i="55"/>
  <c r="T14" i="55"/>
  <c r="U14" i="55"/>
  <c r="V14" i="55"/>
  <c r="W14" i="55"/>
  <c r="X14" i="55"/>
  <c r="Y14" i="55"/>
  <c r="Z14" i="55"/>
  <c r="AG14" i="55"/>
  <c r="AH14" i="55"/>
  <c r="AI14" i="55"/>
  <c r="AJ14" i="55"/>
  <c r="AK14" i="55"/>
  <c r="AL14" i="55"/>
  <c r="AM14" i="55"/>
  <c r="AN14" i="55"/>
  <c r="AO14" i="55"/>
  <c r="AS14" i="55"/>
  <c r="AT14" i="55"/>
  <c r="AU14" i="55"/>
  <c r="AV14" i="55"/>
  <c r="AX14" i="55"/>
  <c r="AY14" i="55"/>
  <c r="AZ14" i="55"/>
  <c r="BA14" i="55"/>
  <c r="BB14" i="55"/>
  <c r="BC14" i="55"/>
  <c r="BD14" i="55"/>
  <c r="BE14" i="55"/>
  <c r="BF14" i="55"/>
  <c r="BG14" i="55"/>
  <c r="BK14" i="55"/>
  <c r="BL14" i="55"/>
  <c r="BM14" i="55"/>
  <c r="BN14" i="55"/>
  <c r="BO14" i="55"/>
  <c r="BP14" i="55"/>
  <c r="BQ14" i="55"/>
  <c r="BR14" i="55"/>
  <c r="BS14" i="55"/>
  <c r="BT14" i="55"/>
  <c r="C15" i="55"/>
  <c r="D15" i="55"/>
  <c r="E15" i="55"/>
  <c r="F15" i="55"/>
  <c r="G15" i="55"/>
  <c r="H15" i="55"/>
  <c r="I15" i="55"/>
  <c r="J15" i="55"/>
  <c r="K15" i="55"/>
  <c r="L15" i="55"/>
  <c r="M15" i="55"/>
  <c r="N15" i="55"/>
  <c r="O15" i="55"/>
  <c r="P15" i="55"/>
  <c r="Q15" i="55"/>
  <c r="R15" i="55"/>
  <c r="S15" i="55"/>
  <c r="T15" i="55"/>
  <c r="U15" i="55"/>
  <c r="V15" i="55"/>
  <c r="W15" i="55"/>
  <c r="X15" i="55"/>
  <c r="Y15" i="55"/>
  <c r="Z15" i="55"/>
  <c r="AG15" i="55"/>
  <c r="AH15" i="55"/>
  <c r="AI15" i="55"/>
  <c r="AJ15" i="55"/>
  <c r="AK15" i="55"/>
  <c r="AL15" i="55"/>
  <c r="AM15" i="55"/>
  <c r="AN15" i="55"/>
  <c r="AO15" i="55"/>
  <c r="AS15" i="55"/>
  <c r="AT15" i="55"/>
  <c r="AU15" i="55"/>
  <c r="AV15" i="55"/>
  <c r="AX15" i="55"/>
  <c r="AY15" i="55"/>
  <c r="AZ15" i="55"/>
  <c r="BA15" i="55"/>
  <c r="BB15" i="55"/>
  <c r="BC15" i="55"/>
  <c r="BD15" i="55"/>
  <c r="BE15" i="55"/>
  <c r="BF15" i="55"/>
  <c r="BG15" i="55"/>
  <c r="BK15" i="55"/>
  <c r="BL15" i="55"/>
  <c r="BM15" i="55"/>
  <c r="BN15" i="55"/>
  <c r="BO15" i="55"/>
  <c r="BP15" i="55"/>
  <c r="BQ15" i="55"/>
  <c r="BR15" i="55"/>
  <c r="BS15" i="55"/>
  <c r="BT15" i="55"/>
  <c r="C16" i="55"/>
  <c r="D16" i="55"/>
  <c r="E16" i="55"/>
  <c r="F16" i="55"/>
  <c r="G16" i="55"/>
  <c r="H16" i="55"/>
  <c r="I16" i="55"/>
  <c r="J16" i="55"/>
  <c r="K16" i="55"/>
  <c r="L16" i="55"/>
  <c r="M16" i="55"/>
  <c r="N16" i="55"/>
  <c r="O16" i="55"/>
  <c r="P16" i="55"/>
  <c r="Q16" i="55"/>
  <c r="R16" i="55"/>
  <c r="S16" i="55"/>
  <c r="T16" i="55"/>
  <c r="U16" i="55"/>
  <c r="V16" i="55"/>
  <c r="W16" i="55"/>
  <c r="X16" i="55"/>
  <c r="Y16" i="55"/>
  <c r="Z16" i="55"/>
  <c r="AG16" i="55"/>
  <c r="AH16" i="55"/>
  <c r="AI16" i="55"/>
  <c r="AJ16" i="55"/>
  <c r="AK16" i="55"/>
  <c r="AL16" i="55"/>
  <c r="AM16" i="55"/>
  <c r="AN16" i="55"/>
  <c r="AO16" i="55"/>
  <c r="AS16" i="55"/>
  <c r="AT16" i="55"/>
  <c r="AU16" i="55"/>
  <c r="AV16" i="55"/>
  <c r="AX16" i="55"/>
  <c r="AY16" i="55"/>
  <c r="AZ16" i="55"/>
  <c r="BA16" i="55"/>
  <c r="BB16" i="55"/>
  <c r="BC16" i="55"/>
  <c r="BD16" i="55"/>
  <c r="BE16" i="55"/>
  <c r="BF16" i="55"/>
  <c r="BG16" i="55"/>
  <c r="BK16" i="55"/>
  <c r="BL16" i="55"/>
  <c r="BM16" i="55"/>
  <c r="BN16" i="55"/>
  <c r="BO16" i="55"/>
  <c r="BP16" i="55"/>
  <c r="BQ16" i="55"/>
  <c r="BR16" i="55"/>
  <c r="BS16" i="55"/>
  <c r="BT16" i="55"/>
  <c r="C17" i="55"/>
  <c r="D17" i="55"/>
  <c r="E17" i="55"/>
  <c r="F17" i="55"/>
  <c r="G17" i="55"/>
  <c r="H17" i="55"/>
  <c r="I17" i="55"/>
  <c r="J17" i="55"/>
  <c r="K17" i="55"/>
  <c r="L17" i="55"/>
  <c r="M17" i="55"/>
  <c r="N17" i="55"/>
  <c r="O17" i="55"/>
  <c r="P17" i="55"/>
  <c r="Q17" i="55"/>
  <c r="R17" i="55"/>
  <c r="S17" i="55"/>
  <c r="T17" i="55"/>
  <c r="U17" i="55"/>
  <c r="V17" i="55"/>
  <c r="W17" i="55"/>
  <c r="X17" i="55"/>
  <c r="Y17" i="55"/>
  <c r="Z17" i="55"/>
  <c r="AG17" i="55"/>
  <c r="AH17" i="55"/>
  <c r="AI17" i="55"/>
  <c r="AJ17" i="55"/>
  <c r="AK17" i="55"/>
  <c r="AL17" i="55"/>
  <c r="AM17" i="55"/>
  <c r="AN17" i="55"/>
  <c r="AO17" i="55"/>
  <c r="AS17" i="55"/>
  <c r="AT17" i="55"/>
  <c r="AU17" i="55"/>
  <c r="AV17" i="55"/>
  <c r="AX17" i="55"/>
  <c r="AY17" i="55"/>
  <c r="AZ17" i="55"/>
  <c r="BA17" i="55"/>
  <c r="BB17" i="55"/>
  <c r="BC17" i="55"/>
  <c r="BD17" i="55"/>
  <c r="BE17" i="55"/>
  <c r="BF17" i="55"/>
  <c r="BG17" i="55"/>
  <c r="BK17" i="55"/>
  <c r="BL17" i="55"/>
  <c r="BM17" i="55"/>
  <c r="BN17" i="55"/>
  <c r="BO17" i="55"/>
  <c r="BP17" i="55"/>
  <c r="BQ17" i="55"/>
  <c r="BR17" i="55"/>
  <c r="BS17" i="55"/>
  <c r="BT17" i="55"/>
  <c r="C18" i="55"/>
  <c r="D18" i="55"/>
  <c r="E18" i="55"/>
  <c r="F18" i="55"/>
  <c r="G18" i="55"/>
  <c r="H18" i="55"/>
  <c r="I18" i="55"/>
  <c r="J18" i="55"/>
  <c r="K18" i="55"/>
  <c r="L18" i="55"/>
  <c r="M18" i="55"/>
  <c r="N18" i="55"/>
  <c r="O18" i="55"/>
  <c r="P18" i="55"/>
  <c r="Q18" i="55"/>
  <c r="R18" i="55"/>
  <c r="S18" i="55"/>
  <c r="T18" i="55"/>
  <c r="U18" i="55"/>
  <c r="V18" i="55"/>
  <c r="W18" i="55"/>
  <c r="X18" i="55"/>
  <c r="Y18" i="55"/>
  <c r="Z18" i="55"/>
  <c r="AG18" i="55"/>
  <c r="AH18" i="55"/>
  <c r="AI18" i="55"/>
  <c r="AJ18" i="55"/>
  <c r="AK18" i="55"/>
  <c r="AL18" i="55"/>
  <c r="AM18" i="55"/>
  <c r="AN18" i="55"/>
  <c r="AO18" i="55"/>
  <c r="AS18" i="55"/>
  <c r="AT18" i="55"/>
  <c r="AU18" i="55"/>
  <c r="AV18" i="55"/>
  <c r="AX18" i="55"/>
  <c r="AY18" i="55"/>
  <c r="AZ18" i="55"/>
  <c r="BA18" i="55"/>
  <c r="BB18" i="55"/>
  <c r="BC18" i="55"/>
  <c r="BD18" i="55"/>
  <c r="BE18" i="55"/>
  <c r="BF18" i="55"/>
  <c r="BG18" i="55"/>
  <c r="BK18" i="55"/>
  <c r="BL18" i="55"/>
  <c r="BM18" i="55"/>
  <c r="BN18" i="55"/>
  <c r="BO18" i="55"/>
  <c r="BP18" i="55"/>
  <c r="BQ18" i="55"/>
  <c r="BR18" i="55"/>
  <c r="BS18" i="55"/>
  <c r="BT18" i="55"/>
  <c r="C19" i="55"/>
  <c r="D19" i="55"/>
  <c r="E19" i="55"/>
  <c r="F19" i="55"/>
  <c r="G19" i="55"/>
  <c r="H19" i="55"/>
  <c r="I19" i="55"/>
  <c r="J19" i="55"/>
  <c r="K19" i="55"/>
  <c r="L19" i="55"/>
  <c r="M19" i="55"/>
  <c r="N19" i="55"/>
  <c r="O19" i="55"/>
  <c r="P19" i="55"/>
  <c r="Q19" i="55"/>
  <c r="R19" i="55"/>
  <c r="S19" i="55"/>
  <c r="T19" i="55"/>
  <c r="U19" i="55"/>
  <c r="V19" i="55"/>
  <c r="W19" i="55"/>
  <c r="X19" i="55"/>
  <c r="Y19" i="55"/>
  <c r="Z19" i="55"/>
  <c r="AG19" i="55"/>
  <c r="AH19" i="55"/>
  <c r="AI19" i="55"/>
  <c r="AJ19" i="55"/>
  <c r="AK19" i="55"/>
  <c r="AL19" i="55"/>
  <c r="AM19" i="55"/>
  <c r="AN19" i="55"/>
  <c r="AO19" i="55"/>
  <c r="AS19" i="55"/>
  <c r="AT19" i="55"/>
  <c r="AU19" i="55"/>
  <c r="AV19" i="55"/>
  <c r="AX19" i="55"/>
  <c r="AY19" i="55"/>
  <c r="AZ19" i="55"/>
  <c r="BA19" i="55"/>
  <c r="BB19" i="55"/>
  <c r="BC19" i="55"/>
  <c r="BD19" i="55"/>
  <c r="BE19" i="55"/>
  <c r="BF19" i="55"/>
  <c r="BG19" i="55"/>
  <c r="BK19" i="55"/>
  <c r="BL19" i="55"/>
  <c r="BM19" i="55"/>
  <c r="BN19" i="55"/>
  <c r="BO19" i="55"/>
  <c r="BP19" i="55"/>
  <c r="BQ19" i="55"/>
  <c r="BR19" i="55"/>
  <c r="BS19" i="55"/>
  <c r="BT19" i="55"/>
  <c r="C20" i="55"/>
  <c r="D20" i="55"/>
  <c r="E20" i="55"/>
  <c r="F20" i="55"/>
  <c r="G20" i="55"/>
  <c r="H20" i="55"/>
  <c r="I20" i="55"/>
  <c r="J20" i="55"/>
  <c r="K20" i="55"/>
  <c r="L20" i="55"/>
  <c r="M20" i="55"/>
  <c r="N20" i="55"/>
  <c r="O20" i="55"/>
  <c r="P20" i="55"/>
  <c r="Q20" i="55"/>
  <c r="R20" i="55"/>
  <c r="S20" i="55"/>
  <c r="T20" i="55"/>
  <c r="U20" i="55"/>
  <c r="V20" i="55"/>
  <c r="W20" i="55"/>
  <c r="X20" i="55"/>
  <c r="Y20" i="55"/>
  <c r="Z20" i="55"/>
  <c r="AG20" i="55"/>
  <c r="AH20" i="55"/>
  <c r="AI20" i="55"/>
  <c r="AJ20" i="55"/>
  <c r="AK20" i="55"/>
  <c r="AL20" i="55"/>
  <c r="AM20" i="55"/>
  <c r="AN20" i="55"/>
  <c r="AO20" i="55"/>
  <c r="AS20" i="55"/>
  <c r="AT20" i="55"/>
  <c r="AU20" i="55"/>
  <c r="AV20" i="55"/>
  <c r="AX20" i="55"/>
  <c r="AY20" i="55"/>
  <c r="AZ20" i="55"/>
  <c r="BA20" i="55"/>
  <c r="BB20" i="55"/>
  <c r="BC20" i="55"/>
  <c r="BD20" i="55"/>
  <c r="BE20" i="55"/>
  <c r="BF20" i="55"/>
  <c r="BG20" i="55"/>
  <c r="BK20" i="55"/>
  <c r="BL20" i="55"/>
  <c r="BM20" i="55"/>
  <c r="BN20" i="55"/>
  <c r="BO20" i="55"/>
  <c r="BP20" i="55"/>
  <c r="BQ20" i="55"/>
  <c r="BR20" i="55"/>
  <c r="BS20" i="55"/>
  <c r="BT20" i="55"/>
  <c r="C21" i="55"/>
  <c r="D21" i="55"/>
  <c r="E21" i="55"/>
  <c r="F21" i="55"/>
  <c r="G21" i="55"/>
  <c r="H21" i="55"/>
  <c r="I21" i="55"/>
  <c r="J21" i="55"/>
  <c r="K21" i="55"/>
  <c r="L21" i="55"/>
  <c r="M21" i="55"/>
  <c r="N21" i="55"/>
  <c r="O21" i="55"/>
  <c r="P21" i="55"/>
  <c r="Q21" i="55"/>
  <c r="R21" i="55"/>
  <c r="S21" i="55"/>
  <c r="T21" i="55"/>
  <c r="U21" i="55"/>
  <c r="V21" i="55"/>
  <c r="W21" i="55"/>
  <c r="X21" i="55"/>
  <c r="Y21" i="55"/>
  <c r="Z21" i="55"/>
  <c r="AG21" i="55"/>
  <c r="AH21" i="55"/>
  <c r="AI21" i="55"/>
  <c r="AJ21" i="55"/>
  <c r="AK21" i="55"/>
  <c r="AL21" i="55"/>
  <c r="AM21" i="55"/>
  <c r="AN21" i="55"/>
  <c r="AO21" i="55"/>
  <c r="AS21" i="55"/>
  <c r="AT21" i="55"/>
  <c r="AU21" i="55"/>
  <c r="AV21" i="55"/>
  <c r="AX21" i="55"/>
  <c r="AY21" i="55"/>
  <c r="AZ21" i="55"/>
  <c r="BA21" i="55"/>
  <c r="BB21" i="55"/>
  <c r="BC21" i="55"/>
  <c r="BD21" i="55"/>
  <c r="BE21" i="55"/>
  <c r="BF21" i="55"/>
  <c r="BG21" i="55"/>
  <c r="BK21" i="55"/>
  <c r="BL21" i="55"/>
  <c r="BM21" i="55"/>
  <c r="BN21" i="55"/>
  <c r="BO21" i="55"/>
  <c r="BP21" i="55"/>
  <c r="BQ21" i="55"/>
  <c r="BR21" i="55"/>
  <c r="BS21" i="55"/>
  <c r="BT21" i="55"/>
  <c r="C22" i="55"/>
  <c r="D22" i="55"/>
  <c r="E22" i="55"/>
  <c r="F22" i="55"/>
  <c r="G22" i="55"/>
  <c r="H22" i="55"/>
  <c r="I22" i="55"/>
  <c r="J22" i="55"/>
  <c r="K22" i="55"/>
  <c r="L22" i="55"/>
  <c r="M22" i="55"/>
  <c r="N22" i="55"/>
  <c r="O22" i="55"/>
  <c r="P22" i="55"/>
  <c r="Q22" i="55"/>
  <c r="R22" i="55"/>
  <c r="S22" i="55"/>
  <c r="T22" i="55"/>
  <c r="U22" i="55"/>
  <c r="V22" i="55"/>
  <c r="W22" i="55"/>
  <c r="X22" i="55"/>
  <c r="Y22" i="55"/>
  <c r="Z22" i="55"/>
  <c r="AG22" i="55"/>
  <c r="AH22" i="55"/>
  <c r="AI22" i="55"/>
  <c r="AJ22" i="55"/>
  <c r="AK22" i="55"/>
  <c r="AL22" i="55"/>
  <c r="AM22" i="55"/>
  <c r="AN22" i="55"/>
  <c r="AO22" i="55"/>
  <c r="AS22" i="55"/>
  <c r="AT22" i="55"/>
  <c r="AU22" i="55"/>
  <c r="AV22" i="55"/>
  <c r="AX22" i="55"/>
  <c r="AY22" i="55"/>
  <c r="AZ22" i="55"/>
  <c r="BA22" i="55"/>
  <c r="BB22" i="55"/>
  <c r="BC22" i="55"/>
  <c r="BD22" i="55"/>
  <c r="BE22" i="55"/>
  <c r="BF22" i="55"/>
  <c r="BG22" i="55"/>
  <c r="BK22" i="55"/>
  <c r="BL22" i="55"/>
  <c r="BM22" i="55"/>
  <c r="BN22" i="55"/>
  <c r="BO22" i="55"/>
  <c r="BP22" i="55"/>
  <c r="BQ22" i="55"/>
  <c r="BR22" i="55"/>
  <c r="BS22" i="55"/>
  <c r="BT22" i="55"/>
  <c r="C23" i="55"/>
  <c r="D23" i="55"/>
  <c r="E23" i="55"/>
  <c r="F23" i="55"/>
  <c r="G23" i="55"/>
  <c r="H23" i="55"/>
  <c r="I23" i="55"/>
  <c r="J23" i="55"/>
  <c r="K23" i="55"/>
  <c r="L23" i="55"/>
  <c r="M23" i="55"/>
  <c r="N23" i="55"/>
  <c r="O23" i="55"/>
  <c r="P23" i="55"/>
  <c r="Q23" i="55"/>
  <c r="R23" i="55"/>
  <c r="S23" i="55"/>
  <c r="T23" i="55"/>
  <c r="U23" i="55"/>
  <c r="V23" i="55"/>
  <c r="W23" i="55"/>
  <c r="X23" i="55"/>
  <c r="Y23" i="55"/>
  <c r="Z23" i="55"/>
  <c r="AG23" i="55"/>
  <c r="AH23" i="55"/>
  <c r="AI23" i="55"/>
  <c r="AJ23" i="55"/>
  <c r="AK23" i="55"/>
  <c r="AL23" i="55"/>
  <c r="AM23" i="55"/>
  <c r="AN23" i="55"/>
  <c r="AO23" i="55"/>
  <c r="AS23" i="55"/>
  <c r="AT23" i="55"/>
  <c r="AU23" i="55"/>
  <c r="AV23" i="55"/>
  <c r="AX23" i="55"/>
  <c r="AY23" i="55"/>
  <c r="AZ23" i="55"/>
  <c r="BA23" i="55"/>
  <c r="BB23" i="55"/>
  <c r="BC23" i="55"/>
  <c r="BD23" i="55"/>
  <c r="BE23" i="55"/>
  <c r="BF23" i="55"/>
  <c r="BG23" i="55"/>
  <c r="BK23" i="55"/>
  <c r="BL23" i="55"/>
  <c r="BM23" i="55"/>
  <c r="BN23" i="55"/>
  <c r="BO23" i="55"/>
  <c r="BP23" i="55"/>
  <c r="BQ23" i="55"/>
  <c r="BR23" i="55"/>
  <c r="BS23" i="55"/>
  <c r="BT23" i="55"/>
  <c r="C24" i="55"/>
  <c r="D24" i="55"/>
  <c r="E24" i="55"/>
  <c r="F24" i="55"/>
  <c r="G24" i="55"/>
  <c r="H24" i="55"/>
  <c r="I24" i="55"/>
  <c r="J24" i="55"/>
  <c r="K24" i="55"/>
  <c r="L24" i="55"/>
  <c r="M24" i="55"/>
  <c r="N24" i="55"/>
  <c r="O24" i="55"/>
  <c r="P24" i="55"/>
  <c r="Q24" i="55"/>
  <c r="R24" i="55"/>
  <c r="S24" i="55"/>
  <c r="T24" i="55"/>
  <c r="U24" i="55"/>
  <c r="V24" i="55"/>
  <c r="W24" i="55"/>
  <c r="X24" i="55"/>
  <c r="Y24" i="55"/>
  <c r="Z24" i="55"/>
  <c r="AG24" i="55"/>
  <c r="AH24" i="55"/>
  <c r="AI24" i="55"/>
  <c r="AJ24" i="55"/>
  <c r="AK24" i="55"/>
  <c r="AL24" i="55"/>
  <c r="AM24" i="55"/>
  <c r="AN24" i="55"/>
  <c r="AO24" i="55"/>
  <c r="AS24" i="55"/>
  <c r="AT24" i="55"/>
  <c r="AU24" i="55"/>
  <c r="AV24" i="55"/>
  <c r="AX24" i="55"/>
  <c r="AY24" i="55"/>
  <c r="AZ24" i="55"/>
  <c r="BA24" i="55"/>
  <c r="BB24" i="55"/>
  <c r="BC24" i="55"/>
  <c r="BD24" i="55"/>
  <c r="BE24" i="55"/>
  <c r="BF24" i="55"/>
  <c r="BG24" i="55"/>
  <c r="BK24" i="55"/>
  <c r="BL24" i="55"/>
  <c r="BM24" i="55"/>
  <c r="BN24" i="55"/>
  <c r="BO24" i="55"/>
  <c r="BP24" i="55"/>
  <c r="BQ24" i="55"/>
  <c r="BR24" i="55"/>
  <c r="BS24" i="55"/>
  <c r="BT24" i="55"/>
  <c r="C25" i="55"/>
  <c r="D25" i="55"/>
  <c r="E25" i="55"/>
  <c r="F25" i="55"/>
  <c r="G25" i="55"/>
  <c r="H25" i="55"/>
  <c r="I25" i="55"/>
  <c r="J25" i="55"/>
  <c r="K25" i="55"/>
  <c r="L25" i="55"/>
  <c r="M25" i="55"/>
  <c r="N25" i="55"/>
  <c r="O25" i="55"/>
  <c r="P25" i="55"/>
  <c r="Q25" i="55"/>
  <c r="R25" i="55"/>
  <c r="S25" i="55"/>
  <c r="T25" i="55"/>
  <c r="U25" i="55"/>
  <c r="V25" i="55"/>
  <c r="W25" i="55"/>
  <c r="X25" i="55"/>
  <c r="Y25" i="55"/>
  <c r="Z25" i="55"/>
  <c r="AG25" i="55"/>
  <c r="AH25" i="55"/>
  <c r="AI25" i="55"/>
  <c r="AJ25" i="55"/>
  <c r="AK25" i="55"/>
  <c r="AL25" i="55"/>
  <c r="AM25" i="55"/>
  <c r="AN25" i="55"/>
  <c r="AO25" i="55"/>
  <c r="AS25" i="55"/>
  <c r="AT25" i="55"/>
  <c r="AU25" i="55"/>
  <c r="AV25" i="55"/>
  <c r="AX25" i="55"/>
  <c r="AY25" i="55"/>
  <c r="AZ25" i="55"/>
  <c r="BA25" i="55"/>
  <c r="BB25" i="55"/>
  <c r="BC25" i="55"/>
  <c r="BD25" i="55"/>
  <c r="BE25" i="55"/>
  <c r="BF25" i="55"/>
  <c r="BG25" i="55"/>
  <c r="BK25" i="55"/>
  <c r="BL25" i="55"/>
  <c r="BM25" i="55"/>
  <c r="BN25" i="55"/>
  <c r="BO25" i="55"/>
  <c r="BP25" i="55"/>
  <c r="BQ25" i="55"/>
  <c r="BR25" i="55"/>
  <c r="BS25" i="55"/>
  <c r="BT25" i="55"/>
  <c r="C26" i="55"/>
  <c r="D26" i="55"/>
  <c r="E26" i="55"/>
  <c r="F26" i="55"/>
  <c r="G26" i="55"/>
  <c r="H26" i="55"/>
  <c r="I26" i="55"/>
  <c r="J26" i="55"/>
  <c r="K26" i="55"/>
  <c r="L26" i="55"/>
  <c r="M26" i="55"/>
  <c r="N26" i="55"/>
  <c r="O26" i="55"/>
  <c r="P26" i="55"/>
  <c r="Q26" i="55"/>
  <c r="R26" i="55"/>
  <c r="S26" i="55"/>
  <c r="T26" i="55"/>
  <c r="U26" i="55"/>
  <c r="V26" i="55"/>
  <c r="W26" i="55"/>
  <c r="X26" i="55"/>
  <c r="Y26" i="55"/>
  <c r="Z26" i="55"/>
  <c r="AG26" i="55"/>
  <c r="AH26" i="55"/>
  <c r="AI26" i="55"/>
  <c r="AJ26" i="55"/>
  <c r="AK26" i="55"/>
  <c r="AL26" i="55"/>
  <c r="AM26" i="55"/>
  <c r="AN26" i="55"/>
  <c r="AO26" i="55"/>
  <c r="AS26" i="55"/>
  <c r="AT26" i="55"/>
  <c r="AU26" i="55"/>
  <c r="AV26" i="55"/>
  <c r="AX26" i="55"/>
  <c r="AY26" i="55"/>
  <c r="AZ26" i="55"/>
  <c r="BA26" i="55"/>
  <c r="BB26" i="55"/>
  <c r="BC26" i="55"/>
  <c r="BD26" i="55"/>
  <c r="BE26" i="55"/>
  <c r="BF26" i="55"/>
  <c r="BG26" i="55"/>
  <c r="BK26" i="55"/>
  <c r="BL26" i="55"/>
  <c r="BM26" i="55"/>
  <c r="BN26" i="55"/>
  <c r="BO26" i="55"/>
  <c r="BP26" i="55"/>
  <c r="BQ26" i="55"/>
  <c r="BR26" i="55"/>
  <c r="BS26" i="55"/>
  <c r="BT26" i="55"/>
  <c r="C27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R27" i="55"/>
  <c r="S27" i="55"/>
  <c r="T27" i="55"/>
  <c r="U27" i="55"/>
  <c r="V27" i="55"/>
  <c r="W27" i="55"/>
  <c r="X27" i="55"/>
  <c r="Y27" i="55"/>
  <c r="Z27" i="55"/>
  <c r="AG27" i="55"/>
  <c r="AH27" i="55"/>
  <c r="AI27" i="55"/>
  <c r="AJ27" i="55"/>
  <c r="AK27" i="55"/>
  <c r="AL27" i="55"/>
  <c r="AM27" i="55"/>
  <c r="AN27" i="55"/>
  <c r="AO27" i="55"/>
  <c r="AS27" i="55"/>
  <c r="AT27" i="55"/>
  <c r="AU27" i="55"/>
  <c r="AV27" i="55"/>
  <c r="AX27" i="55"/>
  <c r="AY27" i="55"/>
  <c r="AZ27" i="55"/>
  <c r="BA27" i="55"/>
  <c r="BB27" i="55"/>
  <c r="BC27" i="55"/>
  <c r="BD27" i="55"/>
  <c r="BE27" i="55"/>
  <c r="BF27" i="55"/>
  <c r="BG27" i="55"/>
  <c r="BK27" i="55"/>
  <c r="BL27" i="55"/>
  <c r="BM27" i="55"/>
  <c r="BN27" i="55"/>
  <c r="BO27" i="55"/>
  <c r="BP27" i="55"/>
  <c r="BQ27" i="55"/>
  <c r="BR27" i="55"/>
  <c r="BS27" i="55"/>
  <c r="BT27" i="55"/>
  <c r="C28" i="55"/>
  <c r="D28" i="55"/>
  <c r="E28" i="55"/>
  <c r="F28" i="55"/>
  <c r="G28" i="55"/>
  <c r="H28" i="55"/>
  <c r="I28" i="55"/>
  <c r="J28" i="55"/>
  <c r="K28" i="55"/>
  <c r="L28" i="55"/>
  <c r="M28" i="55"/>
  <c r="N28" i="55"/>
  <c r="O28" i="55"/>
  <c r="P28" i="55"/>
  <c r="Q28" i="55"/>
  <c r="R28" i="55"/>
  <c r="S28" i="55"/>
  <c r="T28" i="55"/>
  <c r="U28" i="55"/>
  <c r="V28" i="55"/>
  <c r="W28" i="55"/>
  <c r="X28" i="55"/>
  <c r="Y28" i="55"/>
  <c r="Z28" i="55"/>
  <c r="AG28" i="55"/>
  <c r="AH28" i="55"/>
  <c r="AI28" i="55"/>
  <c r="AJ28" i="55"/>
  <c r="AK28" i="55"/>
  <c r="AL28" i="55"/>
  <c r="AM28" i="55"/>
  <c r="AN28" i="55"/>
  <c r="AO28" i="55"/>
  <c r="AS28" i="55"/>
  <c r="AT28" i="55"/>
  <c r="AU28" i="55"/>
  <c r="AV28" i="55"/>
  <c r="AX28" i="55"/>
  <c r="AY28" i="55"/>
  <c r="AZ28" i="55"/>
  <c r="BA28" i="55"/>
  <c r="BB28" i="55"/>
  <c r="BC28" i="55"/>
  <c r="BD28" i="55"/>
  <c r="BE28" i="55"/>
  <c r="BF28" i="55"/>
  <c r="BG28" i="55"/>
  <c r="BK28" i="55"/>
  <c r="BL28" i="55"/>
  <c r="BM28" i="55"/>
  <c r="BN28" i="55"/>
  <c r="BO28" i="55"/>
  <c r="BP28" i="55"/>
  <c r="BQ28" i="55"/>
  <c r="BR28" i="55"/>
  <c r="BS28" i="55"/>
  <c r="BT28" i="55"/>
  <c r="C29" i="55"/>
  <c r="D29" i="55"/>
  <c r="E29" i="55"/>
  <c r="F29" i="55"/>
  <c r="G29" i="55"/>
  <c r="H29" i="55"/>
  <c r="I29" i="55"/>
  <c r="J29" i="55"/>
  <c r="K29" i="55"/>
  <c r="L29" i="55"/>
  <c r="M29" i="55"/>
  <c r="N29" i="55"/>
  <c r="O29" i="55"/>
  <c r="P29" i="55"/>
  <c r="Q29" i="55"/>
  <c r="R29" i="55"/>
  <c r="S29" i="55"/>
  <c r="T29" i="55"/>
  <c r="U29" i="55"/>
  <c r="V29" i="55"/>
  <c r="W29" i="55"/>
  <c r="X29" i="55"/>
  <c r="Y29" i="55"/>
  <c r="Z29" i="55"/>
  <c r="AG29" i="55"/>
  <c r="AH29" i="55"/>
  <c r="AI29" i="55"/>
  <c r="AJ29" i="55"/>
  <c r="AK29" i="55"/>
  <c r="AL29" i="55"/>
  <c r="AM29" i="55"/>
  <c r="AN29" i="55"/>
  <c r="AO29" i="55"/>
  <c r="AS29" i="55"/>
  <c r="AT29" i="55"/>
  <c r="AU29" i="55"/>
  <c r="AV29" i="55"/>
  <c r="AX29" i="55"/>
  <c r="AY29" i="55"/>
  <c r="AZ29" i="55"/>
  <c r="BA29" i="55"/>
  <c r="BB29" i="55"/>
  <c r="BC29" i="55"/>
  <c r="BD29" i="55"/>
  <c r="BE29" i="55"/>
  <c r="BF29" i="55"/>
  <c r="BG29" i="55"/>
  <c r="BK29" i="55"/>
  <c r="BL29" i="55"/>
  <c r="BM29" i="55"/>
  <c r="BN29" i="55"/>
  <c r="BO29" i="55"/>
  <c r="BP29" i="55"/>
  <c r="BQ29" i="55"/>
  <c r="BR29" i="55"/>
  <c r="BS29" i="55"/>
  <c r="BT29" i="55"/>
  <c r="C30" i="55"/>
  <c r="D30" i="55"/>
  <c r="E30" i="55"/>
  <c r="F30" i="55"/>
  <c r="G30" i="55"/>
  <c r="H30" i="55"/>
  <c r="I30" i="55"/>
  <c r="J30" i="55"/>
  <c r="K30" i="55"/>
  <c r="L30" i="55"/>
  <c r="M30" i="55"/>
  <c r="N30" i="55"/>
  <c r="O30" i="55"/>
  <c r="P30" i="55"/>
  <c r="Q30" i="55"/>
  <c r="R30" i="55"/>
  <c r="S30" i="55"/>
  <c r="T30" i="55"/>
  <c r="U30" i="55"/>
  <c r="V30" i="55"/>
  <c r="W30" i="55"/>
  <c r="X30" i="55"/>
  <c r="Y30" i="55"/>
  <c r="Z30" i="55"/>
  <c r="AG30" i="55"/>
  <c r="AH30" i="55"/>
  <c r="AI30" i="55"/>
  <c r="AJ30" i="55"/>
  <c r="AK30" i="55"/>
  <c r="AL30" i="55"/>
  <c r="AM30" i="55"/>
  <c r="AN30" i="55"/>
  <c r="AO30" i="55"/>
  <c r="AS30" i="55"/>
  <c r="AT30" i="55"/>
  <c r="AU30" i="55"/>
  <c r="AV30" i="55"/>
  <c r="AX30" i="55"/>
  <c r="AY30" i="55"/>
  <c r="AZ30" i="55"/>
  <c r="BA30" i="55"/>
  <c r="BB30" i="55"/>
  <c r="BC30" i="55"/>
  <c r="BD30" i="55"/>
  <c r="BE30" i="55"/>
  <c r="BF30" i="55"/>
  <c r="BG30" i="55"/>
  <c r="BK30" i="55"/>
  <c r="BL30" i="55"/>
  <c r="BM30" i="55"/>
  <c r="BN30" i="55"/>
  <c r="BO30" i="55"/>
  <c r="BP30" i="55"/>
  <c r="BQ30" i="55"/>
  <c r="BR30" i="55"/>
  <c r="BS30" i="55"/>
  <c r="BT30" i="55"/>
  <c r="C31" i="55"/>
  <c r="D31" i="55"/>
  <c r="E31" i="55"/>
  <c r="F31" i="55"/>
  <c r="G31" i="55"/>
  <c r="H31" i="55"/>
  <c r="I31" i="55"/>
  <c r="J31" i="55"/>
  <c r="K31" i="55"/>
  <c r="L31" i="55"/>
  <c r="M31" i="55"/>
  <c r="N31" i="55"/>
  <c r="O31" i="55"/>
  <c r="P31" i="55"/>
  <c r="Q31" i="55"/>
  <c r="R31" i="55"/>
  <c r="S31" i="55"/>
  <c r="T31" i="55"/>
  <c r="U31" i="55"/>
  <c r="V31" i="55"/>
  <c r="W31" i="55"/>
  <c r="X31" i="55"/>
  <c r="Y31" i="55"/>
  <c r="Z31" i="55"/>
  <c r="AG31" i="55"/>
  <c r="AH31" i="55"/>
  <c r="AI31" i="55"/>
  <c r="AJ31" i="55"/>
  <c r="AK31" i="55"/>
  <c r="AL31" i="55"/>
  <c r="AM31" i="55"/>
  <c r="AN31" i="55"/>
  <c r="AO31" i="55"/>
  <c r="AS31" i="55"/>
  <c r="AT31" i="55"/>
  <c r="AU31" i="55"/>
  <c r="AV31" i="55"/>
  <c r="AX31" i="55"/>
  <c r="AY31" i="55"/>
  <c r="AZ31" i="55"/>
  <c r="BA31" i="55"/>
  <c r="BB31" i="55"/>
  <c r="BC31" i="55"/>
  <c r="BD31" i="55"/>
  <c r="BE31" i="55"/>
  <c r="BF31" i="55"/>
  <c r="BG31" i="55"/>
  <c r="BK31" i="55"/>
  <c r="BL31" i="55"/>
  <c r="BM31" i="55"/>
  <c r="BN31" i="55"/>
  <c r="BO31" i="55"/>
  <c r="BP31" i="55"/>
  <c r="BQ31" i="55"/>
  <c r="BR31" i="55"/>
  <c r="BS31" i="55"/>
  <c r="BT31" i="55"/>
  <c r="C32" i="55"/>
  <c r="D32" i="55"/>
  <c r="E32" i="55"/>
  <c r="F32" i="55"/>
  <c r="G32" i="55"/>
  <c r="H32" i="55"/>
  <c r="I32" i="55"/>
  <c r="J32" i="55"/>
  <c r="K32" i="55"/>
  <c r="L32" i="55"/>
  <c r="M32" i="55"/>
  <c r="N32" i="55"/>
  <c r="O32" i="55"/>
  <c r="P32" i="55"/>
  <c r="Q32" i="55"/>
  <c r="R32" i="55"/>
  <c r="S32" i="55"/>
  <c r="T32" i="55"/>
  <c r="U32" i="55"/>
  <c r="V32" i="55"/>
  <c r="W32" i="55"/>
  <c r="X32" i="55"/>
  <c r="Y32" i="55"/>
  <c r="Z32" i="55"/>
  <c r="AG32" i="55"/>
  <c r="AH32" i="55"/>
  <c r="AI32" i="55"/>
  <c r="AJ32" i="55"/>
  <c r="AK32" i="55"/>
  <c r="AL32" i="55"/>
  <c r="AM32" i="55"/>
  <c r="AN32" i="55"/>
  <c r="AO32" i="55"/>
  <c r="AS32" i="55"/>
  <c r="AT32" i="55"/>
  <c r="AW32" i="55" s="1"/>
  <c r="AU32" i="55"/>
  <c r="AV32" i="55"/>
  <c r="AX32" i="55"/>
  <c r="AY32" i="55"/>
  <c r="AZ32" i="55"/>
  <c r="BA32" i="55"/>
  <c r="BB32" i="55"/>
  <c r="BC32" i="55"/>
  <c r="BD32" i="55"/>
  <c r="BE32" i="55"/>
  <c r="BF32" i="55"/>
  <c r="BG32" i="55"/>
  <c r="BK32" i="55"/>
  <c r="BL32" i="55"/>
  <c r="BM32" i="55"/>
  <c r="BN32" i="55"/>
  <c r="BO32" i="55"/>
  <c r="BP32" i="55"/>
  <c r="BQ32" i="55"/>
  <c r="BR32" i="55"/>
  <c r="BS32" i="55"/>
  <c r="BT32" i="55"/>
  <c r="C33" i="55"/>
  <c r="D33" i="55"/>
  <c r="E33" i="55"/>
  <c r="F33" i="55"/>
  <c r="G33" i="55"/>
  <c r="H33" i="55"/>
  <c r="I33" i="55"/>
  <c r="J33" i="55"/>
  <c r="K33" i="55"/>
  <c r="L33" i="55"/>
  <c r="M33" i="55"/>
  <c r="N33" i="55"/>
  <c r="O33" i="55"/>
  <c r="P33" i="55"/>
  <c r="Q33" i="55"/>
  <c r="R33" i="55"/>
  <c r="S33" i="55"/>
  <c r="T33" i="55"/>
  <c r="U33" i="55"/>
  <c r="V33" i="55"/>
  <c r="W33" i="55"/>
  <c r="X33" i="55"/>
  <c r="Y33" i="55"/>
  <c r="Z33" i="55"/>
  <c r="AG33" i="55"/>
  <c r="AH33" i="55"/>
  <c r="AI33" i="55"/>
  <c r="AJ33" i="55"/>
  <c r="AK33" i="55"/>
  <c r="AL33" i="55"/>
  <c r="AM33" i="55"/>
  <c r="AN33" i="55"/>
  <c r="AO33" i="55"/>
  <c r="AS33" i="55"/>
  <c r="AT33" i="55"/>
  <c r="AW33" i="55" s="1"/>
  <c r="AU33" i="55"/>
  <c r="AV33" i="55"/>
  <c r="AX33" i="55"/>
  <c r="AY33" i="55"/>
  <c r="AZ33" i="55"/>
  <c r="BA33" i="55"/>
  <c r="BB33" i="55"/>
  <c r="BC33" i="55"/>
  <c r="BD33" i="55"/>
  <c r="BE33" i="55"/>
  <c r="BF33" i="55"/>
  <c r="BG33" i="55"/>
  <c r="BK33" i="55"/>
  <c r="BL33" i="55"/>
  <c r="BM33" i="55"/>
  <c r="BN33" i="55"/>
  <c r="BO33" i="55"/>
  <c r="BP33" i="55"/>
  <c r="BQ33" i="55"/>
  <c r="BR33" i="55"/>
  <c r="BS33" i="55"/>
  <c r="BT33" i="55"/>
  <c r="AT34" i="55"/>
  <c r="AW34" i="55" s="1"/>
  <c r="AU34" i="55"/>
  <c r="AV34" i="55"/>
  <c r="AT35" i="55"/>
  <c r="AW35" i="55" s="1"/>
  <c r="AU35" i="55"/>
  <c r="AV35" i="55"/>
  <c r="AT36" i="55"/>
  <c r="AW36" i="55" s="1"/>
  <c r="AU36" i="55"/>
  <c r="AV36" i="55"/>
  <c r="AT37" i="55"/>
  <c r="AW37" i="55" s="1"/>
  <c r="AU37" i="55"/>
  <c r="AV37" i="55"/>
  <c r="AT38" i="55"/>
  <c r="AW38" i="55" s="1"/>
  <c r="AU38" i="55"/>
  <c r="AV38" i="55"/>
  <c r="AT39" i="55"/>
  <c r="AW39" i="55" s="1"/>
  <c r="AU39" i="55"/>
  <c r="AV39" i="55"/>
  <c r="AT40" i="55"/>
  <c r="AW40" i="55" s="1"/>
  <c r="AU40" i="55"/>
  <c r="AV40" i="55"/>
  <c r="AT41" i="55"/>
  <c r="AW41" i="55" s="1"/>
  <c r="AU41" i="55"/>
  <c r="AV41" i="55"/>
  <c r="AT42" i="55"/>
  <c r="AW42" i="55" s="1"/>
  <c r="AU42" i="55"/>
  <c r="AV42" i="55"/>
  <c r="AT43" i="55"/>
  <c r="AW43" i="55" s="1"/>
  <c r="AU43" i="55"/>
  <c r="AV43" i="55"/>
  <c r="AT44" i="55"/>
  <c r="AW44" i="55" s="1"/>
  <c r="AU44" i="55"/>
  <c r="AV44" i="55"/>
  <c r="AT45" i="55"/>
  <c r="AW45" i="55" s="1"/>
  <c r="AU45" i="55"/>
  <c r="AV45" i="55"/>
  <c r="AT46" i="55"/>
  <c r="AW46" i="55" s="1"/>
  <c r="AU46" i="55"/>
  <c r="AV46" i="55"/>
  <c r="AT47" i="55"/>
  <c r="AW47" i="55" s="1"/>
  <c r="AU47" i="55"/>
  <c r="AV47" i="55"/>
  <c r="AT48" i="55"/>
  <c r="AW48" i="55" s="1"/>
  <c r="AU48" i="55"/>
  <c r="AV48" i="55"/>
  <c r="AT49" i="55"/>
  <c r="AW49" i="55" s="1"/>
  <c r="AU49" i="55"/>
  <c r="AV49" i="55"/>
  <c r="AT50" i="55"/>
  <c r="AW50" i="55" s="1"/>
  <c r="AU50" i="55"/>
  <c r="AV50" i="55"/>
  <c r="AT51" i="55"/>
  <c r="AW51" i="55" s="1"/>
  <c r="AU51" i="55"/>
  <c r="AV51" i="55"/>
  <c r="AT52" i="55"/>
  <c r="AW52" i="55" s="1"/>
  <c r="AU52" i="55"/>
  <c r="AV52" i="55"/>
  <c r="AT53" i="55"/>
  <c r="AW53" i="55" s="1"/>
  <c r="AU53" i="55"/>
  <c r="AV53" i="55"/>
  <c r="AT54" i="55"/>
  <c r="AW54" i="55" s="1"/>
  <c r="AU54" i="55"/>
  <c r="AV54" i="55"/>
  <c r="AW55" i="55"/>
  <c r="AW56" i="55"/>
  <c r="AW57" i="55"/>
  <c r="AW58" i="55"/>
  <c r="AW59" i="55"/>
  <c r="AW60" i="55"/>
  <c r="AW61" i="55"/>
  <c r="AW62" i="55"/>
  <c r="AW63" i="55"/>
  <c r="AW64" i="55"/>
  <c r="AW65" i="55"/>
  <c r="AW66" i="55"/>
  <c r="C7" i="54"/>
  <c r="C32" i="10" s="1"/>
  <c r="D8" i="54"/>
  <c r="F8" i="54"/>
  <c r="H8" i="54"/>
  <c r="I8" i="54"/>
  <c r="J8" i="54"/>
  <c r="K8" i="54"/>
  <c r="L8" i="54"/>
  <c r="M8" i="54"/>
  <c r="N8" i="54"/>
  <c r="O8" i="54"/>
  <c r="P8" i="54"/>
  <c r="Q8" i="54"/>
  <c r="R8" i="54"/>
  <c r="S8" i="54"/>
  <c r="T8" i="54"/>
  <c r="U8" i="54"/>
  <c r="V8" i="54"/>
  <c r="W8" i="54"/>
  <c r="X8" i="54"/>
  <c r="Y8" i="54"/>
  <c r="Z8" i="54"/>
  <c r="AG8" i="54"/>
  <c r="AH8" i="54"/>
  <c r="AI8" i="54"/>
  <c r="AJ8" i="54"/>
  <c r="AK8" i="54"/>
  <c r="AL8" i="54"/>
  <c r="AM8" i="54"/>
  <c r="AN8" i="54"/>
  <c r="AO8" i="54"/>
  <c r="AS8" i="54"/>
  <c r="AT8" i="54"/>
  <c r="AU8" i="54"/>
  <c r="AV8" i="54"/>
  <c r="AX8" i="54"/>
  <c r="AY8" i="54"/>
  <c r="AZ8" i="54"/>
  <c r="BA8" i="54"/>
  <c r="BB8" i="54"/>
  <c r="BC8" i="54"/>
  <c r="BD8" i="54"/>
  <c r="BE8" i="54"/>
  <c r="BF8" i="54"/>
  <c r="BG8" i="54"/>
  <c r="BK8" i="54"/>
  <c r="BL8" i="54"/>
  <c r="BM8" i="54"/>
  <c r="BN8" i="54"/>
  <c r="BO8" i="54"/>
  <c r="BP8" i="54"/>
  <c r="BQ8" i="54"/>
  <c r="BR8" i="54"/>
  <c r="BS8" i="54"/>
  <c r="BT8" i="54"/>
  <c r="D9" i="54"/>
  <c r="E9" i="54"/>
  <c r="F9" i="54"/>
  <c r="G9" i="54"/>
  <c r="H9" i="54"/>
  <c r="I9" i="54"/>
  <c r="J9" i="54"/>
  <c r="K9" i="54"/>
  <c r="L9" i="54"/>
  <c r="M9" i="54"/>
  <c r="N9" i="54"/>
  <c r="O9" i="54"/>
  <c r="P9" i="54"/>
  <c r="Q9" i="54"/>
  <c r="R9" i="54"/>
  <c r="S9" i="54"/>
  <c r="T9" i="54"/>
  <c r="U9" i="54"/>
  <c r="V9" i="54"/>
  <c r="W9" i="54"/>
  <c r="X9" i="54"/>
  <c r="Y9" i="54"/>
  <c r="Z9" i="54"/>
  <c r="AG9" i="54"/>
  <c r="AH9" i="54"/>
  <c r="AI9" i="54"/>
  <c r="AJ9" i="54"/>
  <c r="AK9" i="54"/>
  <c r="AL9" i="54"/>
  <c r="AM9" i="54"/>
  <c r="AN9" i="54"/>
  <c r="AO9" i="54"/>
  <c r="AS9" i="54"/>
  <c r="AT9" i="54"/>
  <c r="AU9" i="54"/>
  <c r="AV9" i="54"/>
  <c r="AX9" i="54"/>
  <c r="AY9" i="54"/>
  <c r="AZ9" i="54"/>
  <c r="BA9" i="54"/>
  <c r="BB9" i="54"/>
  <c r="BC9" i="54"/>
  <c r="BD9" i="54"/>
  <c r="BE9" i="54"/>
  <c r="BF9" i="54"/>
  <c r="BG9" i="54"/>
  <c r="BK9" i="54"/>
  <c r="BL9" i="54"/>
  <c r="BM9" i="54"/>
  <c r="BN9" i="54"/>
  <c r="BO9" i="54"/>
  <c r="BP9" i="54"/>
  <c r="BQ9" i="54"/>
  <c r="BR9" i="54"/>
  <c r="BS9" i="54"/>
  <c r="BT9" i="54"/>
  <c r="D10" i="54"/>
  <c r="E10" i="54"/>
  <c r="F10" i="54"/>
  <c r="G10" i="54"/>
  <c r="H10" i="54"/>
  <c r="I10" i="54"/>
  <c r="J10" i="54"/>
  <c r="K10" i="54"/>
  <c r="L10" i="54"/>
  <c r="M10" i="54"/>
  <c r="N10" i="54"/>
  <c r="O10" i="54"/>
  <c r="P10" i="54"/>
  <c r="Q10" i="54"/>
  <c r="R10" i="54"/>
  <c r="S10" i="54"/>
  <c r="T10" i="54"/>
  <c r="U10" i="54"/>
  <c r="V10" i="54"/>
  <c r="W10" i="54"/>
  <c r="X10" i="54"/>
  <c r="Y10" i="54"/>
  <c r="Z10" i="54"/>
  <c r="AG10" i="54"/>
  <c r="AH10" i="54"/>
  <c r="AI10" i="54"/>
  <c r="AJ10" i="54"/>
  <c r="AK10" i="54"/>
  <c r="AL10" i="54"/>
  <c r="AM10" i="54"/>
  <c r="AN10" i="54"/>
  <c r="AO10" i="54"/>
  <c r="AS10" i="54"/>
  <c r="AT10" i="54"/>
  <c r="AU10" i="54"/>
  <c r="AV10" i="54"/>
  <c r="AX10" i="54"/>
  <c r="AY10" i="54"/>
  <c r="AZ10" i="54"/>
  <c r="BA10" i="54"/>
  <c r="BB10" i="54"/>
  <c r="BC10" i="54"/>
  <c r="BD10" i="54"/>
  <c r="BE10" i="54"/>
  <c r="BF10" i="54"/>
  <c r="BG10" i="54"/>
  <c r="BK10" i="54"/>
  <c r="BL10" i="54"/>
  <c r="BM10" i="54"/>
  <c r="BN10" i="54"/>
  <c r="BO10" i="54"/>
  <c r="BP10" i="54"/>
  <c r="BQ10" i="54"/>
  <c r="BR10" i="54"/>
  <c r="BS10" i="54"/>
  <c r="BT10" i="54"/>
  <c r="E11" i="54"/>
  <c r="F11" i="54"/>
  <c r="G11" i="54"/>
  <c r="H11" i="54"/>
  <c r="I11" i="54"/>
  <c r="J11" i="54"/>
  <c r="K11" i="54"/>
  <c r="L11" i="54"/>
  <c r="M11" i="54"/>
  <c r="N11" i="54"/>
  <c r="O11" i="54"/>
  <c r="P11" i="54"/>
  <c r="Q11" i="54"/>
  <c r="R11" i="54"/>
  <c r="S11" i="54"/>
  <c r="T11" i="54"/>
  <c r="U11" i="54"/>
  <c r="V11" i="54"/>
  <c r="W11" i="54"/>
  <c r="X11" i="54"/>
  <c r="Y11" i="54"/>
  <c r="Z11" i="54"/>
  <c r="AG11" i="54"/>
  <c r="AH11" i="54"/>
  <c r="AI11" i="54"/>
  <c r="AJ11" i="54"/>
  <c r="AK11" i="54"/>
  <c r="AL11" i="54"/>
  <c r="AM11" i="54"/>
  <c r="AN11" i="54"/>
  <c r="AO11" i="54"/>
  <c r="AS11" i="54"/>
  <c r="AT11" i="54"/>
  <c r="AU11" i="54"/>
  <c r="AV11" i="54"/>
  <c r="AX11" i="54"/>
  <c r="AY11" i="54"/>
  <c r="AZ11" i="54"/>
  <c r="BA11" i="54"/>
  <c r="BB11" i="54"/>
  <c r="BC11" i="54"/>
  <c r="BD11" i="54"/>
  <c r="BE11" i="54"/>
  <c r="BF11" i="54"/>
  <c r="BG11" i="54"/>
  <c r="BK11" i="54"/>
  <c r="BL11" i="54"/>
  <c r="BM11" i="54"/>
  <c r="BN11" i="54"/>
  <c r="BO11" i="54"/>
  <c r="BP11" i="54"/>
  <c r="BQ11" i="54"/>
  <c r="BR11" i="54"/>
  <c r="BS11" i="54"/>
  <c r="BT11" i="54"/>
  <c r="D12" i="54"/>
  <c r="E12" i="54"/>
  <c r="F12" i="54"/>
  <c r="G12" i="54"/>
  <c r="H12" i="54"/>
  <c r="I12" i="54"/>
  <c r="J12" i="54"/>
  <c r="K12" i="54"/>
  <c r="L12" i="54"/>
  <c r="M12" i="54"/>
  <c r="N12" i="54"/>
  <c r="O12" i="54"/>
  <c r="P12" i="54"/>
  <c r="Q12" i="54"/>
  <c r="R12" i="54"/>
  <c r="S12" i="54"/>
  <c r="T12" i="54"/>
  <c r="U12" i="54"/>
  <c r="V12" i="54"/>
  <c r="W12" i="54"/>
  <c r="X12" i="54"/>
  <c r="Y12" i="54"/>
  <c r="Z12" i="54"/>
  <c r="AG12" i="54"/>
  <c r="AH12" i="54"/>
  <c r="AI12" i="54"/>
  <c r="AJ12" i="54"/>
  <c r="AK12" i="54"/>
  <c r="AL12" i="54"/>
  <c r="AM12" i="54"/>
  <c r="AN12" i="54"/>
  <c r="AO12" i="54"/>
  <c r="AS12" i="54"/>
  <c r="AT12" i="54"/>
  <c r="AU12" i="54"/>
  <c r="AV12" i="54"/>
  <c r="AX12" i="54"/>
  <c r="AY12" i="54"/>
  <c r="AZ12" i="54"/>
  <c r="BA12" i="54"/>
  <c r="BB12" i="54"/>
  <c r="BC12" i="54"/>
  <c r="BD12" i="54"/>
  <c r="BE12" i="54"/>
  <c r="BF12" i="54"/>
  <c r="BG12" i="54"/>
  <c r="BK12" i="54"/>
  <c r="BL12" i="54"/>
  <c r="BM12" i="54"/>
  <c r="BN12" i="54"/>
  <c r="BO12" i="54"/>
  <c r="BP12" i="54"/>
  <c r="BQ12" i="54"/>
  <c r="BR12" i="54"/>
  <c r="BS12" i="54"/>
  <c r="BT12" i="54"/>
  <c r="D13" i="54"/>
  <c r="E13" i="54"/>
  <c r="F13" i="54"/>
  <c r="G13" i="54"/>
  <c r="H13" i="54"/>
  <c r="I13" i="54"/>
  <c r="J13" i="54"/>
  <c r="K13" i="54"/>
  <c r="L13" i="54"/>
  <c r="M13" i="54"/>
  <c r="N13" i="54"/>
  <c r="O13" i="54"/>
  <c r="P13" i="54"/>
  <c r="Q13" i="54"/>
  <c r="R13" i="54"/>
  <c r="S13" i="54"/>
  <c r="T13" i="54"/>
  <c r="U13" i="54"/>
  <c r="V13" i="54"/>
  <c r="W13" i="54"/>
  <c r="X13" i="54"/>
  <c r="Y13" i="54"/>
  <c r="Z13" i="54"/>
  <c r="AG13" i="54"/>
  <c r="AH13" i="54"/>
  <c r="AI13" i="54"/>
  <c r="AJ13" i="54"/>
  <c r="AK13" i="54"/>
  <c r="AL13" i="54"/>
  <c r="AM13" i="54"/>
  <c r="AN13" i="54"/>
  <c r="AO13" i="54"/>
  <c r="AS13" i="54"/>
  <c r="AT13" i="54"/>
  <c r="AU13" i="54"/>
  <c r="AV13" i="54"/>
  <c r="AX13" i="54"/>
  <c r="AY13" i="54"/>
  <c r="AZ13" i="54"/>
  <c r="BA13" i="54"/>
  <c r="BB13" i="54"/>
  <c r="BC13" i="54"/>
  <c r="BD13" i="54"/>
  <c r="BE13" i="54"/>
  <c r="BF13" i="54"/>
  <c r="BG13" i="54"/>
  <c r="BK13" i="54"/>
  <c r="BL13" i="54"/>
  <c r="BM13" i="54"/>
  <c r="BN13" i="54"/>
  <c r="BO13" i="54"/>
  <c r="BP13" i="54"/>
  <c r="BQ13" i="54"/>
  <c r="BR13" i="54"/>
  <c r="BS13" i="54"/>
  <c r="BT13" i="54"/>
  <c r="D14" i="54"/>
  <c r="E14" i="54"/>
  <c r="F14" i="54"/>
  <c r="G14" i="54"/>
  <c r="H14" i="54"/>
  <c r="I14" i="54"/>
  <c r="J14" i="54"/>
  <c r="K14" i="54"/>
  <c r="L14" i="54"/>
  <c r="M14" i="54"/>
  <c r="N14" i="54"/>
  <c r="O14" i="54"/>
  <c r="P14" i="54"/>
  <c r="Q14" i="54"/>
  <c r="R14" i="54"/>
  <c r="S14" i="54"/>
  <c r="T14" i="54"/>
  <c r="U14" i="54"/>
  <c r="V14" i="54"/>
  <c r="W14" i="54"/>
  <c r="X14" i="54"/>
  <c r="Y14" i="54"/>
  <c r="Z14" i="54"/>
  <c r="AG14" i="54"/>
  <c r="AH14" i="54"/>
  <c r="AI14" i="54"/>
  <c r="AJ14" i="54"/>
  <c r="AK14" i="54"/>
  <c r="AL14" i="54"/>
  <c r="AM14" i="54"/>
  <c r="AN14" i="54"/>
  <c r="AO14" i="54"/>
  <c r="AS14" i="54"/>
  <c r="AT14" i="54"/>
  <c r="AU14" i="54"/>
  <c r="AV14" i="54"/>
  <c r="AX14" i="54"/>
  <c r="AY14" i="54"/>
  <c r="AZ14" i="54"/>
  <c r="BA14" i="54"/>
  <c r="BB14" i="54"/>
  <c r="BC14" i="54"/>
  <c r="BD14" i="54"/>
  <c r="BE14" i="54"/>
  <c r="BF14" i="54"/>
  <c r="BG14" i="54"/>
  <c r="BK14" i="54"/>
  <c r="BL14" i="54"/>
  <c r="BM14" i="54"/>
  <c r="BN14" i="54"/>
  <c r="BO14" i="54"/>
  <c r="BP14" i="54"/>
  <c r="BQ14" i="54"/>
  <c r="BR14" i="54"/>
  <c r="BS14" i="54"/>
  <c r="BT14" i="54"/>
  <c r="D15" i="54"/>
  <c r="E15" i="54"/>
  <c r="F15" i="54"/>
  <c r="G15" i="54"/>
  <c r="H15" i="54"/>
  <c r="I15" i="54"/>
  <c r="J15" i="54"/>
  <c r="K15" i="54"/>
  <c r="L15" i="54"/>
  <c r="M15" i="54"/>
  <c r="N15" i="54"/>
  <c r="O15" i="54"/>
  <c r="P15" i="54"/>
  <c r="Q15" i="54"/>
  <c r="R15" i="54"/>
  <c r="S15" i="54"/>
  <c r="T15" i="54"/>
  <c r="U15" i="54"/>
  <c r="V15" i="54"/>
  <c r="W15" i="54"/>
  <c r="X15" i="54"/>
  <c r="Y15" i="54"/>
  <c r="Z15" i="54"/>
  <c r="AG15" i="54"/>
  <c r="AH15" i="54"/>
  <c r="AI15" i="54"/>
  <c r="AJ15" i="54"/>
  <c r="AK15" i="54"/>
  <c r="AL15" i="54"/>
  <c r="AM15" i="54"/>
  <c r="AN15" i="54"/>
  <c r="AO15" i="54"/>
  <c r="AS15" i="54"/>
  <c r="AT15" i="54"/>
  <c r="AU15" i="54"/>
  <c r="AV15" i="54"/>
  <c r="AX15" i="54"/>
  <c r="AY15" i="54"/>
  <c r="AZ15" i="54"/>
  <c r="BA15" i="54"/>
  <c r="BB15" i="54"/>
  <c r="BC15" i="54"/>
  <c r="BD15" i="54"/>
  <c r="BE15" i="54"/>
  <c r="BF15" i="54"/>
  <c r="BG15" i="54"/>
  <c r="BK15" i="54"/>
  <c r="BL15" i="54"/>
  <c r="BM15" i="54"/>
  <c r="BN15" i="54"/>
  <c r="BO15" i="54"/>
  <c r="BP15" i="54"/>
  <c r="BQ15" i="54"/>
  <c r="BR15" i="54"/>
  <c r="BS15" i="54"/>
  <c r="BT15" i="54"/>
  <c r="D16" i="54"/>
  <c r="E16" i="54"/>
  <c r="F16" i="54"/>
  <c r="G16" i="54"/>
  <c r="H16" i="54"/>
  <c r="I16" i="54"/>
  <c r="J16" i="54"/>
  <c r="K16" i="54"/>
  <c r="L16" i="54"/>
  <c r="M16" i="54"/>
  <c r="N16" i="54"/>
  <c r="O16" i="54"/>
  <c r="P16" i="54"/>
  <c r="Q16" i="54"/>
  <c r="R16" i="54"/>
  <c r="S16" i="54"/>
  <c r="T16" i="54"/>
  <c r="U16" i="54"/>
  <c r="V16" i="54"/>
  <c r="W16" i="54"/>
  <c r="X16" i="54"/>
  <c r="Y16" i="54"/>
  <c r="Z16" i="54"/>
  <c r="AG16" i="54"/>
  <c r="AH16" i="54"/>
  <c r="AI16" i="54"/>
  <c r="AJ16" i="54"/>
  <c r="AK16" i="54"/>
  <c r="AL16" i="54"/>
  <c r="AM16" i="54"/>
  <c r="AN16" i="54"/>
  <c r="AO16" i="54"/>
  <c r="AS16" i="54"/>
  <c r="AT16" i="54"/>
  <c r="AU16" i="54"/>
  <c r="AV16" i="54"/>
  <c r="AX16" i="54"/>
  <c r="AY16" i="54"/>
  <c r="AZ16" i="54"/>
  <c r="BA16" i="54"/>
  <c r="BB16" i="54"/>
  <c r="BC16" i="54"/>
  <c r="BD16" i="54"/>
  <c r="BE16" i="54"/>
  <c r="BF16" i="54"/>
  <c r="BG16" i="54"/>
  <c r="BK16" i="54"/>
  <c r="BL16" i="54"/>
  <c r="BM16" i="54"/>
  <c r="BN16" i="54"/>
  <c r="BO16" i="54"/>
  <c r="BP16" i="54"/>
  <c r="BQ16" i="54"/>
  <c r="BR16" i="54"/>
  <c r="BS16" i="54"/>
  <c r="BT16" i="54"/>
  <c r="D17" i="54"/>
  <c r="E17" i="54"/>
  <c r="F17" i="54"/>
  <c r="G17" i="54"/>
  <c r="H17" i="54"/>
  <c r="I17" i="54"/>
  <c r="J17" i="54"/>
  <c r="K17" i="54"/>
  <c r="L17" i="54"/>
  <c r="M17" i="54"/>
  <c r="N17" i="54"/>
  <c r="O17" i="54"/>
  <c r="P17" i="54"/>
  <c r="Q17" i="54"/>
  <c r="R17" i="54"/>
  <c r="S17" i="54"/>
  <c r="T17" i="54"/>
  <c r="U17" i="54"/>
  <c r="V17" i="54"/>
  <c r="W17" i="54"/>
  <c r="X17" i="54"/>
  <c r="Y17" i="54"/>
  <c r="Z17" i="54"/>
  <c r="AG17" i="54"/>
  <c r="AH17" i="54"/>
  <c r="AI17" i="54"/>
  <c r="AJ17" i="54"/>
  <c r="AK17" i="54"/>
  <c r="AL17" i="54"/>
  <c r="AM17" i="54"/>
  <c r="AN17" i="54"/>
  <c r="AO17" i="54"/>
  <c r="AS17" i="54"/>
  <c r="AT17" i="54"/>
  <c r="AU17" i="54"/>
  <c r="AV17" i="54"/>
  <c r="AX17" i="54"/>
  <c r="AY17" i="54"/>
  <c r="AZ17" i="54"/>
  <c r="BA17" i="54"/>
  <c r="BB17" i="54"/>
  <c r="BC17" i="54"/>
  <c r="BD17" i="54"/>
  <c r="BE17" i="54"/>
  <c r="BF17" i="54"/>
  <c r="BG17" i="54"/>
  <c r="BK17" i="54"/>
  <c r="BL17" i="54"/>
  <c r="BM17" i="54"/>
  <c r="BN17" i="54"/>
  <c r="BO17" i="54"/>
  <c r="BP17" i="54"/>
  <c r="BQ17" i="54"/>
  <c r="BR17" i="54"/>
  <c r="BS17" i="54"/>
  <c r="BT17" i="54"/>
  <c r="D18" i="54"/>
  <c r="E18" i="54"/>
  <c r="F18" i="54"/>
  <c r="G18" i="54"/>
  <c r="H18" i="54"/>
  <c r="I18" i="54"/>
  <c r="J18" i="54"/>
  <c r="K18" i="54"/>
  <c r="L18" i="54"/>
  <c r="M18" i="54"/>
  <c r="N18" i="54"/>
  <c r="O18" i="54"/>
  <c r="P18" i="54"/>
  <c r="Q18" i="54"/>
  <c r="R18" i="54"/>
  <c r="S18" i="54"/>
  <c r="T18" i="54"/>
  <c r="U18" i="54"/>
  <c r="V18" i="54"/>
  <c r="W18" i="54"/>
  <c r="X18" i="54"/>
  <c r="Y18" i="54"/>
  <c r="Z18" i="54"/>
  <c r="AG18" i="54"/>
  <c r="AH18" i="54"/>
  <c r="AI18" i="54"/>
  <c r="AJ18" i="54"/>
  <c r="AK18" i="54"/>
  <c r="AL18" i="54"/>
  <c r="AM18" i="54"/>
  <c r="AN18" i="54"/>
  <c r="AO18" i="54"/>
  <c r="AS18" i="54"/>
  <c r="AT18" i="54"/>
  <c r="AU18" i="54"/>
  <c r="AV18" i="54"/>
  <c r="AX18" i="54"/>
  <c r="AY18" i="54"/>
  <c r="AZ18" i="54"/>
  <c r="BA18" i="54"/>
  <c r="BB18" i="54"/>
  <c r="BC18" i="54"/>
  <c r="BD18" i="54"/>
  <c r="BE18" i="54"/>
  <c r="BF18" i="54"/>
  <c r="BG18" i="54"/>
  <c r="BK18" i="54"/>
  <c r="BL18" i="54"/>
  <c r="BM18" i="54"/>
  <c r="BN18" i="54"/>
  <c r="BO18" i="54"/>
  <c r="BP18" i="54"/>
  <c r="BQ18" i="54"/>
  <c r="BR18" i="54"/>
  <c r="BS18" i="54"/>
  <c r="BT18" i="54"/>
  <c r="D19" i="54"/>
  <c r="E19" i="54"/>
  <c r="F19" i="54"/>
  <c r="G19" i="54"/>
  <c r="H19" i="54"/>
  <c r="I19" i="54"/>
  <c r="J19" i="54"/>
  <c r="K19" i="54"/>
  <c r="L19" i="54"/>
  <c r="M19" i="54"/>
  <c r="N19" i="54"/>
  <c r="O19" i="54"/>
  <c r="P19" i="54"/>
  <c r="Q19" i="54"/>
  <c r="R19" i="54"/>
  <c r="S19" i="54"/>
  <c r="T19" i="54"/>
  <c r="U19" i="54"/>
  <c r="V19" i="54"/>
  <c r="W19" i="54"/>
  <c r="X19" i="54"/>
  <c r="Y19" i="54"/>
  <c r="Z19" i="54"/>
  <c r="AG19" i="54"/>
  <c r="AH19" i="54"/>
  <c r="AI19" i="54"/>
  <c r="AJ19" i="54"/>
  <c r="AK19" i="54"/>
  <c r="AL19" i="54"/>
  <c r="AM19" i="54"/>
  <c r="AN19" i="54"/>
  <c r="AO19" i="54"/>
  <c r="AS19" i="54"/>
  <c r="AT19" i="54"/>
  <c r="AU19" i="54"/>
  <c r="AV19" i="54"/>
  <c r="AX19" i="54"/>
  <c r="AY19" i="54"/>
  <c r="AZ19" i="54"/>
  <c r="BA19" i="54"/>
  <c r="BB19" i="54"/>
  <c r="BC19" i="54"/>
  <c r="BD19" i="54"/>
  <c r="BE19" i="54"/>
  <c r="BF19" i="54"/>
  <c r="BG19" i="54"/>
  <c r="BK19" i="54"/>
  <c r="BL19" i="54"/>
  <c r="BM19" i="54"/>
  <c r="BN19" i="54"/>
  <c r="BO19" i="54"/>
  <c r="BP19" i="54"/>
  <c r="BQ19" i="54"/>
  <c r="BR19" i="54"/>
  <c r="BS19" i="54"/>
  <c r="BT19" i="54"/>
  <c r="D20" i="54"/>
  <c r="E20" i="54"/>
  <c r="F20" i="54"/>
  <c r="G20" i="54"/>
  <c r="H20" i="54"/>
  <c r="I20" i="54"/>
  <c r="J20" i="54"/>
  <c r="K20" i="54"/>
  <c r="L20" i="54"/>
  <c r="M20" i="54"/>
  <c r="N20" i="54"/>
  <c r="O20" i="54"/>
  <c r="P20" i="54"/>
  <c r="Q20" i="54"/>
  <c r="R20" i="54"/>
  <c r="S20" i="54"/>
  <c r="T20" i="54"/>
  <c r="U20" i="54"/>
  <c r="V20" i="54"/>
  <c r="W20" i="54"/>
  <c r="X20" i="54"/>
  <c r="Y20" i="54"/>
  <c r="Z20" i="54"/>
  <c r="AG20" i="54"/>
  <c r="AH20" i="54"/>
  <c r="AI20" i="54"/>
  <c r="AJ20" i="54"/>
  <c r="AK20" i="54"/>
  <c r="AL20" i="54"/>
  <c r="AM20" i="54"/>
  <c r="AN20" i="54"/>
  <c r="AO20" i="54"/>
  <c r="AS20" i="54"/>
  <c r="AT20" i="54"/>
  <c r="AU20" i="54"/>
  <c r="AV20" i="54"/>
  <c r="AX20" i="54"/>
  <c r="AY20" i="54"/>
  <c r="AZ20" i="54"/>
  <c r="BA20" i="54"/>
  <c r="BB20" i="54"/>
  <c r="BC20" i="54"/>
  <c r="BD20" i="54"/>
  <c r="BE20" i="54"/>
  <c r="BF20" i="54"/>
  <c r="BG20" i="54"/>
  <c r="BK20" i="54"/>
  <c r="BL20" i="54"/>
  <c r="BM20" i="54"/>
  <c r="BN20" i="54"/>
  <c r="BO20" i="54"/>
  <c r="BP20" i="54"/>
  <c r="BQ20" i="54"/>
  <c r="BR20" i="54"/>
  <c r="BS20" i="54"/>
  <c r="BT20" i="54"/>
  <c r="D21" i="54"/>
  <c r="E21" i="54"/>
  <c r="F21" i="54"/>
  <c r="G21" i="54"/>
  <c r="H21" i="54"/>
  <c r="I21" i="54"/>
  <c r="J21" i="54"/>
  <c r="K21" i="54"/>
  <c r="L21" i="54"/>
  <c r="M21" i="54"/>
  <c r="N21" i="54"/>
  <c r="O21" i="54"/>
  <c r="P21" i="54"/>
  <c r="Q21" i="54"/>
  <c r="R21" i="54"/>
  <c r="S21" i="54"/>
  <c r="T21" i="54"/>
  <c r="U21" i="54"/>
  <c r="V21" i="54"/>
  <c r="W21" i="54"/>
  <c r="X21" i="54"/>
  <c r="Y21" i="54"/>
  <c r="Z21" i="54"/>
  <c r="AG21" i="54"/>
  <c r="AH21" i="54"/>
  <c r="AI21" i="54"/>
  <c r="AJ21" i="54"/>
  <c r="AK21" i="54"/>
  <c r="AL21" i="54"/>
  <c r="AM21" i="54"/>
  <c r="AN21" i="54"/>
  <c r="AO21" i="54"/>
  <c r="AS21" i="54"/>
  <c r="AT21" i="54"/>
  <c r="AU21" i="54"/>
  <c r="AV21" i="54"/>
  <c r="AX21" i="54"/>
  <c r="AY21" i="54"/>
  <c r="AZ21" i="54"/>
  <c r="BA21" i="54"/>
  <c r="BB21" i="54"/>
  <c r="BC21" i="54"/>
  <c r="BD21" i="54"/>
  <c r="BE21" i="54"/>
  <c r="BF21" i="54"/>
  <c r="BG21" i="54"/>
  <c r="BK21" i="54"/>
  <c r="BL21" i="54"/>
  <c r="BM21" i="54"/>
  <c r="BN21" i="54"/>
  <c r="BO21" i="54"/>
  <c r="BP21" i="54"/>
  <c r="BQ21" i="54"/>
  <c r="BR21" i="54"/>
  <c r="BS21" i="54"/>
  <c r="BT21" i="54"/>
  <c r="D22" i="54"/>
  <c r="E22" i="54"/>
  <c r="F22" i="54"/>
  <c r="G22" i="54"/>
  <c r="H22" i="54"/>
  <c r="I22" i="54"/>
  <c r="J22" i="54"/>
  <c r="K22" i="54"/>
  <c r="L22" i="54"/>
  <c r="M22" i="54"/>
  <c r="N22" i="54"/>
  <c r="O22" i="54"/>
  <c r="P22" i="54"/>
  <c r="Q22" i="54"/>
  <c r="R22" i="54"/>
  <c r="S22" i="54"/>
  <c r="T22" i="54"/>
  <c r="U22" i="54"/>
  <c r="V22" i="54"/>
  <c r="W22" i="54"/>
  <c r="X22" i="54"/>
  <c r="Y22" i="54"/>
  <c r="Z22" i="54"/>
  <c r="AG22" i="54"/>
  <c r="AH22" i="54"/>
  <c r="AI22" i="54"/>
  <c r="AJ22" i="54"/>
  <c r="AK22" i="54"/>
  <c r="AL22" i="54"/>
  <c r="AM22" i="54"/>
  <c r="AN22" i="54"/>
  <c r="AO22" i="54"/>
  <c r="AS22" i="54"/>
  <c r="AT22" i="54"/>
  <c r="AU22" i="54"/>
  <c r="AV22" i="54"/>
  <c r="AX22" i="54"/>
  <c r="AY22" i="54"/>
  <c r="AZ22" i="54"/>
  <c r="BA22" i="54"/>
  <c r="BB22" i="54"/>
  <c r="BC22" i="54"/>
  <c r="BD22" i="54"/>
  <c r="BE22" i="54"/>
  <c r="BF22" i="54"/>
  <c r="BG22" i="54"/>
  <c r="BK22" i="54"/>
  <c r="BL22" i="54"/>
  <c r="BM22" i="54"/>
  <c r="BN22" i="54"/>
  <c r="BO22" i="54"/>
  <c r="BP22" i="54"/>
  <c r="BQ22" i="54"/>
  <c r="BR22" i="54"/>
  <c r="BS22" i="54"/>
  <c r="BT22" i="54"/>
  <c r="D23" i="54"/>
  <c r="E23" i="54"/>
  <c r="F23" i="54"/>
  <c r="G23" i="54"/>
  <c r="H23" i="54"/>
  <c r="I23" i="54"/>
  <c r="J23" i="54"/>
  <c r="K23" i="54"/>
  <c r="L23" i="54"/>
  <c r="M23" i="54"/>
  <c r="N23" i="54"/>
  <c r="O23" i="54"/>
  <c r="P23" i="54"/>
  <c r="Q23" i="54"/>
  <c r="R23" i="54"/>
  <c r="S23" i="54"/>
  <c r="T23" i="54"/>
  <c r="U23" i="54"/>
  <c r="V23" i="54"/>
  <c r="W23" i="54"/>
  <c r="X23" i="54"/>
  <c r="Y23" i="54"/>
  <c r="Z23" i="54"/>
  <c r="AG23" i="54"/>
  <c r="AH23" i="54"/>
  <c r="AI23" i="54"/>
  <c r="AJ23" i="54"/>
  <c r="AK23" i="54"/>
  <c r="AL23" i="54"/>
  <c r="AM23" i="54"/>
  <c r="AN23" i="54"/>
  <c r="AO23" i="54"/>
  <c r="AS23" i="54"/>
  <c r="AT23" i="54"/>
  <c r="AU23" i="54"/>
  <c r="AV23" i="54"/>
  <c r="AX23" i="54"/>
  <c r="AY23" i="54"/>
  <c r="AZ23" i="54"/>
  <c r="BA23" i="54"/>
  <c r="BB23" i="54"/>
  <c r="BC23" i="54"/>
  <c r="BD23" i="54"/>
  <c r="BE23" i="54"/>
  <c r="BF23" i="54"/>
  <c r="BG23" i="54"/>
  <c r="BK23" i="54"/>
  <c r="BL23" i="54"/>
  <c r="BM23" i="54"/>
  <c r="BN23" i="54"/>
  <c r="BO23" i="54"/>
  <c r="BP23" i="54"/>
  <c r="BQ23" i="54"/>
  <c r="BR23" i="54"/>
  <c r="BS23" i="54"/>
  <c r="BT23" i="54"/>
  <c r="D24" i="54"/>
  <c r="E24" i="54"/>
  <c r="F24" i="54"/>
  <c r="G24" i="54"/>
  <c r="H24" i="54"/>
  <c r="I24" i="54"/>
  <c r="J24" i="54"/>
  <c r="K24" i="54"/>
  <c r="L24" i="54"/>
  <c r="M24" i="54"/>
  <c r="N24" i="54"/>
  <c r="O24" i="54"/>
  <c r="P24" i="54"/>
  <c r="Q24" i="54"/>
  <c r="R24" i="54"/>
  <c r="S24" i="54"/>
  <c r="T24" i="54"/>
  <c r="U24" i="54"/>
  <c r="V24" i="54"/>
  <c r="W24" i="54"/>
  <c r="X24" i="54"/>
  <c r="Y24" i="54"/>
  <c r="Z24" i="54"/>
  <c r="AG24" i="54"/>
  <c r="AH24" i="54"/>
  <c r="AI24" i="54"/>
  <c r="AJ24" i="54"/>
  <c r="AK24" i="54"/>
  <c r="AL24" i="54"/>
  <c r="AM24" i="54"/>
  <c r="AN24" i="54"/>
  <c r="AO24" i="54"/>
  <c r="AS24" i="54"/>
  <c r="AT24" i="54"/>
  <c r="AU24" i="54"/>
  <c r="AV24" i="54"/>
  <c r="AX24" i="54"/>
  <c r="AY24" i="54"/>
  <c r="AZ24" i="54"/>
  <c r="BA24" i="54"/>
  <c r="BB24" i="54"/>
  <c r="BC24" i="54"/>
  <c r="BD24" i="54"/>
  <c r="BE24" i="54"/>
  <c r="BF24" i="54"/>
  <c r="BG24" i="54"/>
  <c r="BK24" i="54"/>
  <c r="BL24" i="54"/>
  <c r="BM24" i="54"/>
  <c r="BN24" i="54"/>
  <c r="BO24" i="54"/>
  <c r="BP24" i="54"/>
  <c r="BQ24" i="54"/>
  <c r="BR24" i="54"/>
  <c r="BS24" i="54"/>
  <c r="BT24" i="54"/>
  <c r="D25" i="54"/>
  <c r="E25" i="54"/>
  <c r="F25" i="54"/>
  <c r="G25" i="54"/>
  <c r="H25" i="54"/>
  <c r="I25" i="54"/>
  <c r="J25" i="54"/>
  <c r="K25" i="54"/>
  <c r="L25" i="54"/>
  <c r="M25" i="54"/>
  <c r="N25" i="54"/>
  <c r="O25" i="54"/>
  <c r="P25" i="54"/>
  <c r="Q25" i="54"/>
  <c r="R25" i="54"/>
  <c r="S25" i="54"/>
  <c r="T25" i="54"/>
  <c r="U25" i="54"/>
  <c r="V25" i="54"/>
  <c r="W25" i="54"/>
  <c r="X25" i="54"/>
  <c r="Y25" i="54"/>
  <c r="Z25" i="54"/>
  <c r="AG25" i="54"/>
  <c r="AH25" i="54"/>
  <c r="AI25" i="54"/>
  <c r="AJ25" i="54"/>
  <c r="AK25" i="54"/>
  <c r="AL25" i="54"/>
  <c r="AM25" i="54"/>
  <c r="AN25" i="54"/>
  <c r="AO25" i="54"/>
  <c r="AS25" i="54"/>
  <c r="AT25" i="54"/>
  <c r="AU25" i="54"/>
  <c r="AV25" i="54"/>
  <c r="AX25" i="54"/>
  <c r="AY25" i="54"/>
  <c r="AZ25" i="54"/>
  <c r="BA25" i="54"/>
  <c r="BB25" i="54"/>
  <c r="BC25" i="54"/>
  <c r="BD25" i="54"/>
  <c r="BE25" i="54"/>
  <c r="BF25" i="54"/>
  <c r="BG25" i="54"/>
  <c r="BK25" i="54"/>
  <c r="BL25" i="54"/>
  <c r="BM25" i="54"/>
  <c r="BN25" i="54"/>
  <c r="BO25" i="54"/>
  <c r="BP25" i="54"/>
  <c r="BQ25" i="54"/>
  <c r="BR25" i="54"/>
  <c r="BS25" i="54"/>
  <c r="BT25" i="54"/>
  <c r="D26" i="54"/>
  <c r="E26" i="54"/>
  <c r="F26" i="54"/>
  <c r="G26" i="54"/>
  <c r="H26" i="54"/>
  <c r="I26" i="54"/>
  <c r="J26" i="54"/>
  <c r="K26" i="54"/>
  <c r="L26" i="54"/>
  <c r="M26" i="54"/>
  <c r="N26" i="54"/>
  <c r="O26" i="54"/>
  <c r="P26" i="54"/>
  <c r="Q26" i="54"/>
  <c r="R26" i="54"/>
  <c r="S26" i="54"/>
  <c r="T26" i="54"/>
  <c r="U26" i="54"/>
  <c r="V26" i="54"/>
  <c r="W26" i="54"/>
  <c r="X26" i="54"/>
  <c r="Y26" i="54"/>
  <c r="Z26" i="54"/>
  <c r="AG26" i="54"/>
  <c r="AH26" i="54"/>
  <c r="AI26" i="54"/>
  <c r="AJ26" i="54"/>
  <c r="AK26" i="54"/>
  <c r="AL26" i="54"/>
  <c r="AM26" i="54"/>
  <c r="AN26" i="54"/>
  <c r="AO26" i="54"/>
  <c r="AS26" i="54"/>
  <c r="AT26" i="54"/>
  <c r="AU26" i="54"/>
  <c r="AV26" i="54"/>
  <c r="AX26" i="54"/>
  <c r="AY26" i="54"/>
  <c r="AZ26" i="54"/>
  <c r="BA26" i="54"/>
  <c r="BB26" i="54"/>
  <c r="BC26" i="54"/>
  <c r="BD26" i="54"/>
  <c r="BE26" i="54"/>
  <c r="BF26" i="54"/>
  <c r="BG26" i="54"/>
  <c r="BK26" i="54"/>
  <c r="BL26" i="54"/>
  <c r="BM26" i="54"/>
  <c r="BN26" i="54"/>
  <c r="BO26" i="54"/>
  <c r="BP26" i="54"/>
  <c r="BQ26" i="54"/>
  <c r="BR26" i="54"/>
  <c r="BS26" i="54"/>
  <c r="BT26" i="54"/>
  <c r="D27" i="54"/>
  <c r="E27" i="54"/>
  <c r="F27" i="54"/>
  <c r="G27" i="54"/>
  <c r="H27" i="54"/>
  <c r="I27" i="54"/>
  <c r="J27" i="54"/>
  <c r="K27" i="54"/>
  <c r="L27" i="54"/>
  <c r="M27" i="54"/>
  <c r="N27" i="54"/>
  <c r="O27" i="54"/>
  <c r="P27" i="54"/>
  <c r="Q27" i="54"/>
  <c r="R27" i="54"/>
  <c r="S27" i="54"/>
  <c r="T27" i="54"/>
  <c r="U27" i="54"/>
  <c r="V27" i="54"/>
  <c r="W27" i="54"/>
  <c r="X27" i="54"/>
  <c r="Y27" i="54"/>
  <c r="Z27" i="54"/>
  <c r="AG27" i="54"/>
  <c r="AH27" i="54"/>
  <c r="AI27" i="54"/>
  <c r="AJ27" i="54"/>
  <c r="AK27" i="54"/>
  <c r="AL27" i="54"/>
  <c r="AM27" i="54"/>
  <c r="AN27" i="54"/>
  <c r="AO27" i="54"/>
  <c r="AS27" i="54"/>
  <c r="AT27" i="54"/>
  <c r="AU27" i="54"/>
  <c r="AV27" i="54"/>
  <c r="AX27" i="54"/>
  <c r="AY27" i="54"/>
  <c r="AZ27" i="54"/>
  <c r="BA27" i="54"/>
  <c r="BB27" i="54"/>
  <c r="BC27" i="54"/>
  <c r="BD27" i="54"/>
  <c r="BE27" i="54"/>
  <c r="BF27" i="54"/>
  <c r="BG27" i="54"/>
  <c r="BK27" i="54"/>
  <c r="BL27" i="54"/>
  <c r="BM27" i="54"/>
  <c r="BN27" i="54"/>
  <c r="BO27" i="54"/>
  <c r="BP27" i="54"/>
  <c r="BQ27" i="54"/>
  <c r="BR27" i="54"/>
  <c r="BS27" i="54"/>
  <c r="BT27" i="54"/>
  <c r="D29" i="54"/>
  <c r="E29" i="54"/>
  <c r="F29" i="54"/>
  <c r="G29" i="54"/>
  <c r="H29" i="54"/>
  <c r="I29" i="54"/>
  <c r="J29" i="54"/>
  <c r="K29" i="54"/>
  <c r="L29" i="54"/>
  <c r="M29" i="54"/>
  <c r="N29" i="54"/>
  <c r="O29" i="54"/>
  <c r="P29" i="54"/>
  <c r="Q29" i="54"/>
  <c r="R29" i="54"/>
  <c r="S29" i="54"/>
  <c r="T29" i="54"/>
  <c r="U29" i="54"/>
  <c r="V29" i="54"/>
  <c r="W29" i="54"/>
  <c r="X29" i="54"/>
  <c r="Y29" i="54"/>
  <c r="Z29" i="54"/>
  <c r="AG29" i="54"/>
  <c r="AH29" i="54"/>
  <c r="AI29" i="54"/>
  <c r="AJ29" i="54"/>
  <c r="AK29" i="54"/>
  <c r="AL29" i="54"/>
  <c r="AM29" i="54"/>
  <c r="AN29" i="54"/>
  <c r="AO29" i="54"/>
  <c r="AS29" i="54"/>
  <c r="AT29" i="54"/>
  <c r="AU29" i="54"/>
  <c r="AV29" i="54"/>
  <c r="AX29" i="54"/>
  <c r="AY29" i="54"/>
  <c r="AZ29" i="54"/>
  <c r="BA29" i="54"/>
  <c r="BB29" i="54"/>
  <c r="BC29" i="54"/>
  <c r="BD29" i="54"/>
  <c r="BE29" i="54"/>
  <c r="BF29" i="54"/>
  <c r="BG29" i="54"/>
  <c r="BK29" i="54"/>
  <c r="BL29" i="54"/>
  <c r="BM29" i="54"/>
  <c r="BN29" i="54"/>
  <c r="BO29" i="54"/>
  <c r="BP29" i="54"/>
  <c r="BQ29" i="54"/>
  <c r="BR29" i="54"/>
  <c r="BS29" i="54"/>
  <c r="BT29" i="54"/>
  <c r="D30" i="54"/>
  <c r="E30" i="54"/>
  <c r="F30" i="54"/>
  <c r="G30" i="54"/>
  <c r="H30" i="54"/>
  <c r="I30" i="54"/>
  <c r="J30" i="54"/>
  <c r="K30" i="54"/>
  <c r="L30" i="54"/>
  <c r="M30" i="54"/>
  <c r="N30" i="54"/>
  <c r="O30" i="54"/>
  <c r="P30" i="54"/>
  <c r="Q30" i="54"/>
  <c r="R30" i="54"/>
  <c r="S30" i="54"/>
  <c r="T30" i="54"/>
  <c r="U30" i="54"/>
  <c r="V30" i="54"/>
  <c r="W30" i="54"/>
  <c r="X30" i="54"/>
  <c r="Y30" i="54"/>
  <c r="Z30" i="54"/>
  <c r="AG30" i="54"/>
  <c r="AH30" i="54"/>
  <c r="AI30" i="54"/>
  <c r="AJ30" i="54"/>
  <c r="AK30" i="54"/>
  <c r="AL30" i="54"/>
  <c r="AM30" i="54"/>
  <c r="AN30" i="54"/>
  <c r="AO30" i="54"/>
  <c r="AS30" i="54"/>
  <c r="AT30" i="54"/>
  <c r="AU30" i="54"/>
  <c r="AV30" i="54"/>
  <c r="AX30" i="54"/>
  <c r="AY30" i="54"/>
  <c r="AZ30" i="54"/>
  <c r="BA30" i="54"/>
  <c r="BB30" i="54"/>
  <c r="BC30" i="54"/>
  <c r="BD30" i="54"/>
  <c r="BE30" i="54"/>
  <c r="BF30" i="54"/>
  <c r="BG30" i="54"/>
  <c r="BK30" i="54"/>
  <c r="BL30" i="54"/>
  <c r="BM30" i="54"/>
  <c r="BN30" i="54"/>
  <c r="BO30" i="54"/>
  <c r="BP30" i="54"/>
  <c r="BQ30" i="54"/>
  <c r="BR30" i="54"/>
  <c r="BS30" i="54"/>
  <c r="BT30" i="54"/>
  <c r="D31" i="54"/>
  <c r="E31" i="54"/>
  <c r="F31" i="54"/>
  <c r="G31" i="54"/>
  <c r="H31" i="54"/>
  <c r="I31" i="54"/>
  <c r="J31" i="54"/>
  <c r="K31" i="54"/>
  <c r="L31" i="54"/>
  <c r="M31" i="54"/>
  <c r="N31" i="54"/>
  <c r="O31" i="54"/>
  <c r="P31" i="54"/>
  <c r="Q31" i="54"/>
  <c r="R31" i="54"/>
  <c r="S31" i="54"/>
  <c r="T31" i="54"/>
  <c r="U31" i="54"/>
  <c r="V31" i="54"/>
  <c r="W31" i="54"/>
  <c r="X31" i="54"/>
  <c r="Y31" i="54"/>
  <c r="Z31" i="54"/>
  <c r="AG31" i="54"/>
  <c r="AH31" i="54"/>
  <c r="AI31" i="54"/>
  <c r="AJ31" i="54"/>
  <c r="AK31" i="54"/>
  <c r="AL31" i="54"/>
  <c r="AM31" i="54"/>
  <c r="AN31" i="54"/>
  <c r="AO31" i="54"/>
  <c r="AS31" i="54"/>
  <c r="AT31" i="54"/>
  <c r="AU31" i="54"/>
  <c r="AV31" i="54"/>
  <c r="AX31" i="54"/>
  <c r="AY31" i="54"/>
  <c r="AZ31" i="54"/>
  <c r="BA31" i="54"/>
  <c r="BB31" i="54"/>
  <c r="BC31" i="54"/>
  <c r="BD31" i="54"/>
  <c r="BE31" i="54"/>
  <c r="BF31" i="54"/>
  <c r="BG31" i="54"/>
  <c r="BK31" i="54"/>
  <c r="BL31" i="54"/>
  <c r="BM31" i="54"/>
  <c r="BN31" i="54"/>
  <c r="BO31" i="54"/>
  <c r="BP31" i="54"/>
  <c r="BQ31" i="54"/>
  <c r="BR31" i="54"/>
  <c r="BS31" i="54"/>
  <c r="BT31" i="54"/>
  <c r="D32" i="54"/>
  <c r="E32" i="54"/>
  <c r="F32" i="54"/>
  <c r="G32" i="54"/>
  <c r="H32" i="54"/>
  <c r="I32" i="54"/>
  <c r="J32" i="54"/>
  <c r="K32" i="54"/>
  <c r="L32" i="54"/>
  <c r="M32" i="54"/>
  <c r="N32" i="54"/>
  <c r="O32" i="54"/>
  <c r="P32" i="54"/>
  <c r="Q32" i="54"/>
  <c r="R32" i="54"/>
  <c r="S32" i="54"/>
  <c r="T32" i="54"/>
  <c r="U32" i="54"/>
  <c r="V32" i="54"/>
  <c r="W32" i="54"/>
  <c r="X32" i="54"/>
  <c r="Y32" i="54"/>
  <c r="Z32" i="54"/>
  <c r="AG32" i="54"/>
  <c r="AH32" i="54"/>
  <c r="AI32" i="54"/>
  <c r="AJ32" i="54"/>
  <c r="AK32" i="54"/>
  <c r="AL32" i="54"/>
  <c r="AM32" i="54"/>
  <c r="AN32" i="54"/>
  <c r="AO32" i="54"/>
  <c r="AS32" i="54"/>
  <c r="AT32" i="54"/>
  <c r="AU32" i="54"/>
  <c r="AV32" i="54"/>
  <c r="AX32" i="54"/>
  <c r="AY32" i="54"/>
  <c r="AZ32" i="54"/>
  <c r="BA32" i="54"/>
  <c r="BB32" i="54"/>
  <c r="BC32" i="54"/>
  <c r="BD32" i="54"/>
  <c r="BE32" i="54"/>
  <c r="BF32" i="54"/>
  <c r="BG32" i="54"/>
  <c r="BK32" i="54"/>
  <c r="BL32" i="54"/>
  <c r="BM32" i="54"/>
  <c r="BN32" i="54"/>
  <c r="BO32" i="54"/>
  <c r="BP32" i="54"/>
  <c r="BQ32" i="54"/>
  <c r="BR32" i="54"/>
  <c r="BS32" i="54"/>
  <c r="BT32" i="54"/>
  <c r="D33" i="54"/>
  <c r="E33" i="54"/>
  <c r="F33" i="54"/>
  <c r="G33" i="54"/>
  <c r="H33" i="54"/>
  <c r="I33" i="54"/>
  <c r="J33" i="54"/>
  <c r="K33" i="54"/>
  <c r="L33" i="54"/>
  <c r="M33" i="54"/>
  <c r="N33" i="54"/>
  <c r="O33" i="54"/>
  <c r="P33" i="54"/>
  <c r="Q33" i="54"/>
  <c r="R33" i="54"/>
  <c r="S33" i="54"/>
  <c r="T33" i="54"/>
  <c r="U33" i="54"/>
  <c r="V33" i="54"/>
  <c r="W33" i="54"/>
  <c r="X33" i="54"/>
  <c r="Y33" i="54"/>
  <c r="Z33" i="54"/>
  <c r="AG33" i="54"/>
  <c r="AH33" i="54"/>
  <c r="AI33" i="54"/>
  <c r="AJ33" i="54"/>
  <c r="AK33" i="54"/>
  <c r="AL33" i="54"/>
  <c r="AM33" i="54"/>
  <c r="AN33" i="54"/>
  <c r="AO33" i="54"/>
  <c r="AS33" i="54"/>
  <c r="AT33" i="54"/>
  <c r="AU33" i="54"/>
  <c r="AV33" i="54"/>
  <c r="AX33" i="54"/>
  <c r="AY33" i="54"/>
  <c r="AZ33" i="54"/>
  <c r="BA33" i="54"/>
  <c r="BB33" i="54"/>
  <c r="BC33" i="54"/>
  <c r="BD33" i="54"/>
  <c r="BE33" i="54"/>
  <c r="BF33" i="54"/>
  <c r="BG33" i="54"/>
  <c r="BK33" i="54"/>
  <c r="BL33" i="54"/>
  <c r="BM33" i="54"/>
  <c r="BN33" i="54"/>
  <c r="BO33" i="54"/>
  <c r="BP33" i="54"/>
  <c r="BQ33" i="54"/>
  <c r="BR33" i="54"/>
  <c r="BS33" i="54"/>
  <c r="BT33" i="54"/>
  <c r="D34" i="54"/>
  <c r="E34" i="54"/>
  <c r="F34" i="54"/>
  <c r="G34" i="54"/>
  <c r="H34" i="54"/>
  <c r="I34" i="54"/>
  <c r="J34" i="54"/>
  <c r="K34" i="54"/>
  <c r="L34" i="54"/>
  <c r="M34" i="54"/>
  <c r="N34" i="54"/>
  <c r="O34" i="54"/>
  <c r="P34" i="54"/>
  <c r="Q34" i="54"/>
  <c r="R34" i="54"/>
  <c r="S34" i="54"/>
  <c r="T34" i="54"/>
  <c r="U34" i="54"/>
  <c r="V34" i="54"/>
  <c r="W34" i="54"/>
  <c r="X34" i="54"/>
  <c r="Y34" i="54"/>
  <c r="Z34" i="54"/>
  <c r="AG34" i="54"/>
  <c r="AH34" i="54"/>
  <c r="AI34" i="54"/>
  <c r="AJ34" i="54"/>
  <c r="AK34" i="54"/>
  <c r="AL34" i="54"/>
  <c r="AM34" i="54"/>
  <c r="AN34" i="54"/>
  <c r="AO34" i="54"/>
  <c r="AS34" i="54"/>
  <c r="AT34" i="54"/>
  <c r="AU34" i="54"/>
  <c r="AV34" i="54"/>
  <c r="AX34" i="54"/>
  <c r="AY34" i="54"/>
  <c r="AZ34" i="54"/>
  <c r="BA34" i="54"/>
  <c r="BB34" i="54"/>
  <c r="BC34" i="54"/>
  <c r="BD34" i="54"/>
  <c r="BE34" i="54"/>
  <c r="BF34" i="54"/>
  <c r="BG34" i="54"/>
  <c r="BK34" i="54"/>
  <c r="BL34" i="54"/>
  <c r="BM34" i="54"/>
  <c r="BN34" i="54"/>
  <c r="BO34" i="54"/>
  <c r="BP34" i="54"/>
  <c r="BQ34" i="54"/>
  <c r="BR34" i="54"/>
  <c r="BS34" i="54"/>
  <c r="BT34" i="54"/>
  <c r="D35" i="54"/>
  <c r="E35" i="54"/>
  <c r="F35" i="54"/>
  <c r="G35" i="54"/>
  <c r="H35" i="54"/>
  <c r="I35" i="54"/>
  <c r="J35" i="54"/>
  <c r="K35" i="54"/>
  <c r="L35" i="54"/>
  <c r="M35" i="54"/>
  <c r="N35" i="54"/>
  <c r="O35" i="54"/>
  <c r="P35" i="54"/>
  <c r="Q35" i="54"/>
  <c r="R35" i="54"/>
  <c r="S35" i="54"/>
  <c r="T35" i="54"/>
  <c r="U35" i="54"/>
  <c r="V35" i="54"/>
  <c r="W35" i="54"/>
  <c r="X35" i="54"/>
  <c r="Y35" i="54"/>
  <c r="Z35" i="54"/>
  <c r="AG35" i="54"/>
  <c r="AH35" i="54"/>
  <c r="AI35" i="54"/>
  <c r="AJ35" i="54"/>
  <c r="AK35" i="54"/>
  <c r="AL35" i="54"/>
  <c r="AM35" i="54"/>
  <c r="AN35" i="54"/>
  <c r="AO35" i="54"/>
  <c r="AS35" i="54"/>
  <c r="AT35" i="54"/>
  <c r="AU35" i="54"/>
  <c r="AV35" i="54"/>
  <c r="AX35" i="54"/>
  <c r="AY35" i="54"/>
  <c r="AZ35" i="54"/>
  <c r="BA35" i="54"/>
  <c r="BB35" i="54"/>
  <c r="BC35" i="54"/>
  <c r="BD35" i="54"/>
  <c r="BE35" i="54"/>
  <c r="BF35" i="54"/>
  <c r="BG35" i="54"/>
  <c r="BK35" i="54"/>
  <c r="BL35" i="54"/>
  <c r="BM35" i="54"/>
  <c r="BN35" i="54"/>
  <c r="BO35" i="54"/>
  <c r="BP35" i="54"/>
  <c r="BQ35" i="54"/>
  <c r="BR35" i="54"/>
  <c r="BS35" i="54"/>
  <c r="BT35" i="54"/>
  <c r="D36" i="54"/>
  <c r="E36" i="54"/>
  <c r="F36" i="54"/>
  <c r="G36" i="54"/>
  <c r="H36" i="54"/>
  <c r="I36" i="54"/>
  <c r="J36" i="54"/>
  <c r="K36" i="54"/>
  <c r="L36" i="54"/>
  <c r="M36" i="54"/>
  <c r="N36" i="54"/>
  <c r="O36" i="54"/>
  <c r="P36" i="54"/>
  <c r="Q36" i="54"/>
  <c r="R36" i="54"/>
  <c r="S36" i="54"/>
  <c r="T36" i="54"/>
  <c r="U36" i="54"/>
  <c r="V36" i="54"/>
  <c r="W36" i="54"/>
  <c r="X36" i="54"/>
  <c r="Y36" i="54"/>
  <c r="Z36" i="54"/>
  <c r="AG36" i="54"/>
  <c r="AH36" i="54"/>
  <c r="AI36" i="54"/>
  <c r="AJ36" i="54"/>
  <c r="AK36" i="54"/>
  <c r="AL36" i="54"/>
  <c r="AM36" i="54"/>
  <c r="AN36" i="54"/>
  <c r="AO36" i="54"/>
  <c r="AS36" i="54"/>
  <c r="AT36" i="54"/>
  <c r="AU36" i="54"/>
  <c r="AV36" i="54"/>
  <c r="AX36" i="54"/>
  <c r="AY36" i="54"/>
  <c r="AZ36" i="54"/>
  <c r="BA36" i="54"/>
  <c r="BB36" i="54"/>
  <c r="BC36" i="54"/>
  <c r="BD36" i="54"/>
  <c r="BE36" i="54"/>
  <c r="BF36" i="54"/>
  <c r="BG36" i="54"/>
  <c r="BK36" i="54"/>
  <c r="BL36" i="54"/>
  <c r="BM36" i="54"/>
  <c r="BN36" i="54"/>
  <c r="BO36" i="54"/>
  <c r="BP36" i="54"/>
  <c r="BQ36" i="54"/>
  <c r="BR36" i="54"/>
  <c r="BS36" i="54"/>
  <c r="BT36" i="54"/>
  <c r="D37" i="54"/>
  <c r="E37" i="54"/>
  <c r="F37" i="54"/>
  <c r="G37" i="54"/>
  <c r="H37" i="54"/>
  <c r="I37" i="54"/>
  <c r="J37" i="54"/>
  <c r="K37" i="54"/>
  <c r="L37" i="54"/>
  <c r="M37" i="54"/>
  <c r="N37" i="54"/>
  <c r="O37" i="54"/>
  <c r="P37" i="54"/>
  <c r="Q37" i="54"/>
  <c r="R37" i="54"/>
  <c r="S37" i="54"/>
  <c r="T37" i="54"/>
  <c r="U37" i="54"/>
  <c r="V37" i="54"/>
  <c r="W37" i="54"/>
  <c r="X37" i="54"/>
  <c r="Y37" i="54"/>
  <c r="Z37" i="54"/>
  <c r="AG37" i="54"/>
  <c r="AH37" i="54"/>
  <c r="AI37" i="54"/>
  <c r="AJ37" i="54"/>
  <c r="AK37" i="54"/>
  <c r="AL37" i="54"/>
  <c r="AM37" i="54"/>
  <c r="AN37" i="54"/>
  <c r="AO37" i="54"/>
  <c r="AS37" i="54"/>
  <c r="AT37" i="54"/>
  <c r="AU37" i="54"/>
  <c r="AV37" i="54"/>
  <c r="AX37" i="54"/>
  <c r="AY37" i="54"/>
  <c r="AZ37" i="54"/>
  <c r="BA37" i="54"/>
  <c r="BB37" i="54"/>
  <c r="BC37" i="54"/>
  <c r="BD37" i="54"/>
  <c r="BE37" i="54"/>
  <c r="BF37" i="54"/>
  <c r="BG37" i="54"/>
  <c r="BK37" i="54"/>
  <c r="BL37" i="54"/>
  <c r="BM37" i="54"/>
  <c r="BN37" i="54"/>
  <c r="BO37" i="54"/>
  <c r="BP37" i="54"/>
  <c r="BQ37" i="54"/>
  <c r="BR37" i="54"/>
  <c r="BS37" i="54"/>
  <c r="BT37" i="54"/>
  <c r="D38" i="54"/>
  <c r="E38" i="54"/>
  <c r="F38" i="54"/>
  <c r="G38" i="54"/>
  <c r="H38" i="54"/>
  <c r="I38" i="54"/>
  <c r="J38" i="54"/>
  <c r="K38" i="54"/>
  <c r="L38" i="54"/>
  <c r="M38" i="54"/>
  <c r="N38" i="54"/>
  <c r="O38" i="54"/>
  <c r="P38" i="54"/>
  <c r="Q38" i="54"/>
  <c r="R38" i="54"/>
  <c r="S38" i="54"/>
  <c r="T38" i="54"/>
  <c r="U38" i="54"/>
  <c r="V38" i="54"/>
  <c r="W38" i="54"/>
  <c r="X38" i="54"/>
  <c r="Y38" i="54"/>
  <c r="Z38" i="54"/>
  <c r="AG38" i="54"/>
  <c r="AH38" i="54"/>
  <c r="AI38" i="54"/>
  <c r="AJ38" i="54"/>
  <c r="AK38" i="54"/>
  <c r="AL38" i="54"/>
  <c r="AM38" i="54"/>
  <c r="AN38" i="54"/>
  <c r="AO38" i="54"/>
  <c r="AS38" i="54"/>
  <c r="AT38" i="54"/>
  <c r="AU38" i="54"/>
  <c r="AV38" i="54"/>
  <c r="AX38" i="54"/>
  <c r="AY38" i="54"/>
  <c r="AZ38" i="54"/>
  <c r="BA38" i="54"/>
  <c r="BB38" i="54"/>
  <c r="BC38" i="54"/>
  <c r="BD38" i="54"/>
  <c r="BE38" i="54"/>
  <c r="BF38" i="54"/>
  <c r="BG38" i="54"/>
  <c r="BK38" i="54"/>
  <c r="BL38" i="54"/>
  <c r="BM38" i="54"/>
  <c r="BN38" i="54"/>
  <c r="BO38" i="54"/>
  <c r="BP38" i="54"/>
  <c r="BQ38" i="54"/>
  <c r="BR38" i="54"/>
  <c r="BS38" i="54"/>
  <c r="BT38" i="54"/>
  <c r="D39" i="54"/>
  <c r="E39" i="54"/>
  <c r="F39" i="54"/>
  <c r="G39" i="54"/>
  <c r="H39" i="54"/>
  <c r="I39" i="54"/>
  <c r="J39" i="54"/>
  <c r="K39" i="54"/>
  <c r="L39" i="54"/>
  <c r="M39" i="54"/>
  <c r="N39" i="54"/>
  <c r="O39" i="54"/>
  <c r="P39" i="54"/>
  <c r="Q39" i="54"/>
  <c r="R39" i="54"/>
  <c r="S39" i="54"/>
  <c r="T39" i="54"/>
  <c r="U39" i="54"/>
  <c r="V39" i="54"/>
  <c r="W39" i="54"/>
  <c r="X39" i="54"/>
  <c r="Y39" i="54"/>
  <c r="Z39" i="54"/>
  <c r="AG39" i="54"/>
  <c r="AH39" i="54"/>
  <c r="AI39" i="54"/>
  <c r="AJ39" i="54"/>
  <c r="AK39" i="54"/>
  <c r="AL39" i="54"/>
  <c r="AM39" i="54"/>
  <c r="AN39" i="54"/>
  <c r="AO39" i="54"/>
  <c r="AS39" i="54"/>
  <c r="AT39" i="54"/>
  <c r="AU39" i="54"/>
  <c r="AV39" i="54"/>
  <c r="AX39" i="54"/>
  <c r="AY39" i="54"/>
  <c r="AZ39" i="54"/>
  <c r="BA39" i="54"/>
  <c r="BB39" i="54"/>
  <c r="BC39" i="54"/>
  <c r="BD39" i="54"/>
  <c r="BE39" i="54"/>
  <c r="BF39" i="54"/>
  <c r="BG39" i="54"/>
  <c r="BK39" i="54"/>
  <c r="BL39" i="54"/>
  <c r="BM39" i="54"/>
  <c r="BN39" i="54"/>
  <c r="BO39" i="54"/>
  <c r="BP39" i="54"/>
  <c r="BQ39" i="54"/>
  <c r="BR39" i="54"/>
  <c r="BS39" i="54"/>
  <c r="BT39" i="54"/>
  <c r="D40" i="54"/>
  <c r="E40" i="54"/>
  <c r="F40" i="54"/>
  <c r="G40" i="54"/>
  <c r="H40" i="54"/>
  <c r="I40" i="54"/>
  <c r="J40" i="54"/>
  <c r="K40" i="54"/>
  <c r="L40" i="54"/>
  <c r="M40" i="54"/>
  <c r="N40" i="54"/>
  <c r="O40" i="54"/>
  <c r="P40" i="54"/>
  <c r="Q40" i="54"/>
  <c r="R40" i="54"/>
  <c r="S40" i="54"/>
  <c r="T40" i="54"/>
  <c r="U40" i="54"/>
  <c r="V40" i="54"/>
  <c r="W40" i="54"/>
  <c r="X40" i="54"/>
  <c r="Y40" i="54"/>
  <c r="Z40" i="54"/>
  <c r="AG40" i="54"/>
  <c r="AH40" i="54"/>
  <c r="AI40" i="54"/>
  <c r="AJ40" i="54"/>
  <c r="AK40" i="54"/>
  <c r="AL40" i="54"/>
  <c r="AM40" i="54"/>
  <c r="AN40" i="54"/>
  <c r="AO40" i="54"/>
  <c r="AS40" i="54"/>
  <c r="AT40" i="54"/>
  <c r="AU40" i="54"/>
  <c r="AV40" i="54"/>
  <c r="AX40" i="54"/>
  <c r="AY40" i="54"/>
  <c r="AZ40" i="54"/>
  <c r="BA40" i="54"/>
  <c r="BB40" i="54"/>
  <c r="BC40" i="54"/>
  <c r="BD40" i="54"/>
  <c r="BE40" i="54"/>
  <c r="BF40" i="54"/>
  <c r="BG40" i="54"/>
  <c r="BK40" i="54"/>
  <c r="BL40" i="54"/>
  <c r="BM40" i="54"/>
  <c r="BN40" i="54"/>
  <c r="BO40" i="54"/>
  <c r="BP40" i="54"/>
  <c r="BQ40" i="54"/>
  <c r="BR40" i="54"/>
  <c r="BS40" i="54"/>
  <c r="BT40" i="54"/>
  <c r="D41" i="54"/>
  <c r="E41" i="54"/>
  <c r="F41" i="54"/>
  <c r="G41" i="54"/>
  <c r="H41" i="54"/>
  <c r="I41" i="54"/>
  <c r="J41" i="54"/>
  <c r="K41" i="54"/>
  <c r="L41" i="54"/>
  <c r="M41" i="54"/>
  <c r="N41" i="54"/>
  <c r="O41" i="54"/>
  <c r="P41" i="54"/>
  <c r="Q41" i="54"/>
  <c r="R41" i="54"/>
  <c r="S41" i="54"/>
  <c r="T41" i="54"/>
  <c r="U41" i="54"/>
  <c r="V41" i="54"/>
  <c r="W41" i="54"/>
  <c r="X41" i="54"/>
  <c r="Y41" i="54"/>
  <c r="Z41" i="54"/>
  <c r="AG41" i="54"/>
  <c r="AH41" i="54"/>
  <c r="AI41" i="54"/>
  <c r="AJ41" i="54"/>
  <c r="AK41" i="54"/>
  <c r="AL41" i="54"/>
  <c r="AM41" i="54"/>
  <c r="AN41" i="54"/>
  <c r="AO41" i="54"/>
  <c r="AS41" i="54"/>
  <c r="AT41" i="54"/>
  <c r="AU41" i="54"/>
  <c r="AV41" i="54"/>
  <c r="AX41" i="54"/>
  <c r="AY41" i="54"/>
  <c r="AZ41" i="54"/>
  <c r="BA41" i="54"/>
  <c r="BB41" i="54"/>
  <c r="BC41" i="54"/>
  <c r="BD41" i="54"/>
  <c r="BE41" i="54"/>
  <c r="BF41" i="54"/>
  <c r="BG41" i="54"/>
  <c r="BK41" i="54"/>
  <c r="BL41" i="54"/>
  <c r="BM41" i="54"/>
  <c r="BN41" i="54"/>
  <c r="BO41" i="54"/>
  <c r="BP41" i="54"/>
  <c r="BQ41" i="54"/>
  <c r="BR41" i="54"/>
  <c r="BS41" i="54"/>
  <c r="BT41" i="54"/>
  <c r="D42" i="54"/>
  <c r="E42" i="54"/>
  <c r="F42" i="54"/>
  <c r="G42" i="54"/>
  <c r="H42" i="54"/>
  <c r="I42" i="54"/>
  <c r="J42" i="54"/>
  <c r="K42" i="54"/>
  <c r="L42" i="54"/>
  <c r="M42" i="54"/>
  <c r="N42" i="54"/>
  <c r="O42" i="54"/>
  <c r="P42" i="54"/>
  <c r="Q42" i="54"/>
  <c r="R42" i="54"/>
  <c r="S42" i="54"/>
  <c r="T42" i="54"/>
  <c r="U42" i="54"/>
  <c r="V42" i="54"/>
  <c r="W42" i="54"/>
  <c r="X42" i="54"/>
  <c r="Y42" i="54"/>
  <c r="Z42" i="54"/>
  <c r="AG42" i="54"/>
  <c r="AH42" i="54"/>
  <c r="AI42" i="54"/>
  <c r="AJ42" i="54"/>
  <c r="AK42" i="54"/>
  <c r="AL42" i="54"/>
  <c r="AM42" i="54"/>
  <c r="AN42" i="54"/>
  <c r="AO42" i="54"/>
  <c r="AS42" i="54"/>
  <c r="AT42" i="54"/>
  <c r="AU42" i="54"/>
  <c r="AV42" i="54"/>
  <c r="AX42" i="54"/>
  <c r="AY42" i="54"/>
  <c r="AZ42" i="54"/>
  <c r="BA42" i="54"/>
  <c r="BB42" i="54"/>
  <c r="BC42" i="54"/>
  <c r="BD42" i="54"/>
  <c r="BE42" i="54"/>
  <c r="BF42" i="54"/>
  <c r="BG42" i="54"/>
  <c r="BK42" i="54"/>
  <c r="BL42" i="54"/>
  <c r="BM42" i="54"/>
  <c r="BN42" i="54"/>
  <c r="BO42" i="54"/>
  <c r="BP42" i="54"/>
  <c r="BQ42" i="54"/>
  <c r="BR42" i="54"/>
  <c r="BS42" i="54"/>
  <c r="BT42" i="54"/>
  <c r="D43" i="54"/>
  <c r="E43" i="54"/>
  <c r="F43" i="54"/>
  <c r="G43" i="54"/>
  <c r="H43" i="54"/>
  <c r="I43" i="54"/>
  <c r="J43" i="54"/>
  <c r="K43" i="54"/>
  <c r="L43" i="54"/>
  <c r="M43" i="54"/>
  <c r="N43" i="54"/>
  <c r="O43" i="54"/>
  <c r="P43" i="54"/>
  <c r="Q43" i="54"/>
  <c r="R43" i="54"/>
  <c r="S43" i="54"/>
  <c r="T43" i="54"/>
  <c r="U43" i="54"/>
  <c r="V43" i="54"/>
  <c r="W43" i="54"/>
  <c r="X43" i="54"/>
  <c r="Y43" i="54"/>
  <c r="Z43" i="54"/>
  <c r="AG43" i="54"/>
  <c r="AH43" i="54"/>
  <c r="AI43" i="54"/>
  <c r="AJ43" i="54"/>
  <c r="AK43" i="54"/>
  <c r="AL43" i="54"/>
  <c r="AM43" i="54"/>
  <c r="AN43" i="54"/>
  <c r="AO43" i="54"/>
  <c r="AS43" i="54"/>
  <c r="AT43" i="54"/>
  <c r="AU43" i="54"/>
  <c r="AV43" i="54"/>
  <c r="AX43" i="54"/>
  <c r="AY43" i="54"/>
  <c r="AZ43" i="54"/>
  <c r="BA43" i="54"/>
  <c r="BB43" i="54"/>
  <c r="BC43" i="54"/>
  <c r="BD43" i="54"/>
  <c r="BE43" i="54"/>
  <c r="BF43" i="54"/>
  <c r="BG43" i="54"/>
  <c r="BK43" i="54"/>
  <c r="BL43" i="54"/>
  <c r="BM43" i="54"/>
  <c r="BN43" i="54"/>
  <c r="BO43" i="54"/>
  <c r="BP43" i="54"/>
  <c r="BQ43" i="54"/>
  <c r="BR43" i="54"/>
  <c r="BS43" i="54"/>
  <c r="BT43" i="54"/>
  <c r="D44" i="54"/>
  <c r="E44" i="54"/>
  <c r="F44" i="54"/>
  <c r="G44" i="54"/>
  <c r="H44" i="54"/>
  <c r="I44" i="54"/>
  <c r="J44" i="54"/>
  <c r="K44" i="54"/>
  <c r="L44" i="54"/>
  <c r="M44" i="54"/>
  <c r="N44" i="54"/>
  <c r="O44" i="54"/>
  <c r="P44" i="54"/>
  <c r="Q44" i="54"/>
  <c r="R44" i="54"/>
  <c r="S44" i="54"/>
  <c r="T44" i="54"/>
  <c r="U44" i="54"/>
  <c r="V44" i="54"/>
  <c r="W44" i="54"/>
  <c r="X44" i="54"/>
  <c r="Y44" i="54"/>
  <c r="Z44" i="54"/>
  <c r="AG44" i="54"/>
  <c r="AH44" i="54"/>
  <c r="AI44" i="54"/>
  <c r="AJ44" i="54"/>
  <c r="AK44" i="54"/>
  <c r="AL44" i="54"/>
  <c r="AM44" i="54"/>
  <c r="AN44" i="54"/>
  <c r="AO44" i="54"/>
  <c r="AS44" i="54"/>
  <c r="AT44" i="54"/>
  <c r="AU44" i="54"/>
  <c r="AV44" i="54"/>
  <c r="AX44" i="54"/>
  <c r="AY44" i="54"/>
  <c r="AZ44" i="54"/>
  <c r="BA44" i="54"/>
  <c r="BB44" i="54"/>
  <c r="BC44" i="54"/>
  <c r="BD44" i="54"/>
  <c r="BE44" i="54"/>
  <c r="BF44" i="54"/>
  <c r="BG44" i="54"/>
  <c r="BK44" i="54"/>
  <c r="BL44" i="54"/>
  <c r="BM44" i="54"/>
  <c r="BN44" i="54"/>
  <c r="BO44" i="54"/>
  <c r="BP44" i="54"/>
  <c r="BQ44" i="54"/>
  <c r="BR44" i="54"/>
  <c r="BS44" i="54"/>
  <c r="BT44" i="54"/>
  <c r="D45" i="54"/>
  <c r="E45" i="54"/>
  <c r="F45" i="54"/>
  <c r="G45" i="54"/>
  <c r="H45" i="54"/>
  <c r="I45" i="54"/>
  <c r="J45" i="54"/>
  <c r="K45" i="54"/>
  <c r="L45" i="54"/>
  <c r="M45" i="54"/>
  <c r="N45" i="54"/>
  <c r="O45" i="54"/>
  <c r="P45" i="54"/>
  <c r="Q45" i="54"/>
  <c r="R45" i="54"/>
  <c r="S45" i="54"/>
  <c r="T45" i="54"/>
  <c r="U45" i="54"/>
  <c r="V45" i="54"/>
  <c r="W45" i="54"/>
  <c r="X45" i="54"/>
  <c r="Y45" i="54"/>
  <c r="Z45" i="54"/>
  <c r="AG45" i="54"/>
  <c r="AH45" i="54"/>
  <c r="AI45" i="54"/>
  <c r="AJ45" i="54"/>
  <c r="AK45" i="54"/>
  <c r="AL45" i="54"/>
  <c r="AM45" i="54"/>
  <c r="AN45" i="54"/>
  <c r="AO45" i="54"/>
  <c r="AS45" i="54"/>
  <c r="AT45" i="54"/>
  <c r="AU45" i="54"/>
  <c r="AV45" i="54"/>
  <c r="AX45" i="54"/>
  <c r="AY45" i="54"/>
  <c r="AZ45" i="54"/>
  <c r="BA45" i="54"/>
  <c r="BB45" i="54"/>
  <c r="BC45" i="54"/>
  <c r="BD45" i="54"/>
  <c r="BE45" i="54"/>
  <c r="BF45" i="54"/>
  <c r="BG45" i="54"/>
  <c r="BK45" i="54"/>
  <c r="BL45" i="54"/>
  <c r="BM45" i="54"/>
  <c r="BN45" i="54"/>
  <c r="BO45" i="54"/>
  <c r="BP45" i="54"/>
  <c r="BQ45" i="54"/>
  <c r="BR45" i="54"/>
  <c r="BS45" i="54"/>
  <c r="BT45" i="54"/>
  <c r="D46" i="54"/>
  <c r="E46" i="54"/>
  <c r="F46" i="54"/>
  <c r="G46" i="54"/>
  <c r="H46" i="54"/>
  <c r="I46" i="54"/>
  <c r="J46" i="54"/>
  <c r="K46" i="54"/>
  <c r="L46" i="54"/>
  <c r="M46" i="54"/>
  <c r="N46" i="54"/>
  <c r="O46" i="54"/>
  <c r="P46" i="54"/>
  <c r="Q46" i="54"/>
  <c r="R46" i="54"/>
  <c r="S46" i="54"/>
  <c r="T46" i="54"/>
  <c r="U46" i="54"/>
  <c r="V46" i="54"/>
  <c r="W46" i="54"/>
  <c r="X46" i="54"/>
  <c r="Y46" i="54"/>
  <c r="Z46" i="54"/>
  <c r="AG46" i="54"/>
  <c r="AH46" i="54"/>
  <c r="AI46" i="54"/>
  <c r="AJ46" i="54"/>
  <c r="AK46" i="54"/>
  <c r="AL46" i="54"/>
  <c r="AM46" i="54"/>
  <c r="AN46" i="54"/>
  <c r="AO46" i="54"/>
  <c r="AS46" i="54"/>
  <c r="AT46" i="54"/>
  <c r="AU46" i="54"/>
  <c r="AV46" i="54"/>
  <c r="AX46" i="54"/>
  <c r="AY46" i="54"/>
  <c r="AZ46" i="54"/>
  <c r="BA46" i="54"/>
  <c r="BB46" i="54"/>
  <c r="BC46" i="54"/>
  <c r="BD46" i="54"/>
  <c r="BE46" i="54"/>
  <c r="BF46" i="54"/>
  <c r="BG46" i="54"/>
  <c r="BK46" i="54"/>
  <c r="BL46" i="54"/>
  <c r="BM46" i="54"/>
  <c r="BN46" i="54"/>
  <c r="BO46" i="54"/>
  <c r="BP46" i="54"/>
  <c r="BQ46" i="54"/>
  <c r="BR46" i="54"/>
  <c r="BS46" i="54"/>
  <c r="BT46" i="54"/>
  <c r="D47" i="54"/>
  <c r="E47" i="54"/>
  <c r="F47" i="54"/>
  <c r="G47" i="54"/>
  <c r="H47" i="54"/>
  <c r="I47" i="54"/>
  <c r="J47" i="54"/>
  <c r="K47" i="54"/>
  <c r="L47" i="54"/>
  <c r="M47" i="54"/>
  <c r="N47" i="54"/>
  <c r="O47" i="54"/>
  <c r="P47" i="54"/>
  <c r="Q47" i="54"/>
  <c r="R47" i="54"/>
  <c r="S47" i="54"/>
  <c r="T47" i="54"/>
  <c r="U47" i="54"/>
  <c r="V47" i="54"/>
  <c r="W47" i="54"/>
  <c r="X47" i="54"/>
  <c r="Y47" i="54"/>
  <c r="Z47" i="54"/>
  <c r="AG47" i="54"/>
  <c r="AH47" i="54"/>
  <c r="AI47" i="54"/>
  <c r="AJ47" i="54"/>
  <c r="AK47" i="54"/>
  <c r="AL47" i="54"/>
  <c r="AM47" i="54"/>
  <c r="AN47" i="54"/>
  <c r="AO47" i="54"/>
  <c r="AS47" i="54"/>
  <c r="AT47" i="54"/>
  <c r="AU47" i="54"/>
  <c r="AV47" i="54"/>
  <c r="AX47" i="54"/>
  <c r="AY47" i="54"/>
  <c r="AZ47" i="54"/>
  <c r="BA47" i="54"/>
  <c r="BB47" i="54"/>
  <c r="BC47" i="54"/>
  <c r="BD47" i="54"/>
  <c r="BE47" i="54"/>
  <c r="BF47" i="54"/>
  <c r="BG47" i="54"/>
  <c r="BK47" i="54"/>
  <c r="BL47" i="54"/>
  <c r="BM47" i="54"/>
  <c r="BN47" i="54"/>
  <c r="BO47" i="54"/>
  <c r="BP47" i="54"/>
  <c r="BQ47" i="54"/>
  <c r="BR47" i="54"/>
  <c r="BS47" i="54"/>
  <c r="BT47" i="54"/>
  <c r="D48" i="54"/>
  <c r="E48" i="54"/>
  <c r="F48" i="54"/>
  <c r="G48" i="54"/>
  <c r="H48" i="54"/>
  <c r="I48" i="54"/>
  <c r="J48" i="54"/>
  <c r="K48" i="54"/>
  <c r="L48" i="54"/>
  <c r="M48" i="54"/>
  <c r="N48" i="54"/>
  <c r="O48" i="54"/>
  <c r="P48" i="54"/>
  <c r="Q48" i="54"/>
  <c r="R48" i="54"/>
  <c r="S48" i="54"/>
  <c r="T48" i="54"/>
  <c r="U48" i="54"/>
  <c r="V48" i="54"/>
  <c r="W48" i="54"/>
  <c r="X48" i="54"/>
  <c r="Y48" i="54"/>
  <c r="Z48" i="54"/>
  <c r="AG48" i="54"/>
  <c r="AH48" i="54"/>
  <c r="AI48" i="54"/>
  <c r="AJ48" i="54"/>
  <c r="AK48" i="54"/>
  <c r="AL48" i="54"/>
  <c r="AM48" i="54"/>
  <c r="AN48" i="54"/>
  <c r="AO48" i="54"/>
  <c r="AS48" i="54"/>
  <c r="AT48" i="54"/>
  <c r="AU48" i="54"/>
  <c r="AV48" i="54"/>
  <c r="AX48" i="54"/>
  <c r="AY48" i="54"/>
  <c r="AZ48" i="54"/>
  <c r="BA48" i="54"/>
  <c r="BB48" i="54"/>
  <c r="BC48" i="54"/>
  <c r="BD48" i="54"/>
  <c r="BE48" i="54"/>
  <c r="BF48" i="54"/>
  <c r="BG48" i="54"/>
  <c r="BK48" i="54"/>
  <c r="BL48" i="54"/>
  <c r="BM48" i="54"/>
  <c r="BN48" i="54"/>
  <c r="BO48" i="54"/>
  <c r="BP48" i="54"/>
  <c r="BQ48" i="54"/>
  <c r="BR48" i="54"/>
  <c r="BS48" i="54"/>
  <c r="BT48" i="54"/>
  <c r="D49" i="54"/>
  <c r="E49" i="54"/>
  <c r="F49" i="54"/>
  <c r="G49" i="54"/>
  <c r="H49" i="54"/>
  <c r="I49" i="54"/>
  <c r="J49" i="54"/>
  <c r="K49" i="54"/>
  <c r="L49" i="54"/>
  <c r="M49" i="54"/>
  <c r="N49" i="54"/>
  <c r="O49" i="54"/>
  <c r="P49" i="54"/>
  <c r="Q49" i="54"/>
  <c r="R49" i="54"/>
  <c r="S49" i="54"/>
  <c r="T49" i="54"/>
  <c r="U49" i="54"/>
  <c r="V49" i="54"/>
  <c r="W49" i="54"/>
  <c r="X49" i="54"/>
  <c r="Y49" i="54"/>
  <c r="Z49" i="54"/>
  <c r="AG49" i="54"/>
  <c r="AH49" i="54"/>
  <c r="AI49" i="54"/>
  <c r="AJ49" i="54"/>
  <c r="AK49" i="54"/>
  <c r="AL49" i="54"/>
  <c r="AM49" i="54"/>
  <c r="AN49" i="54"/>
  <c r="AO49" i="54"/>
  <c r="AS49" i="54"/>
  <c r="AT49" i="54"/>
  <c r="AW49" i="54" s="1"/>
  <c r="AU49" i="54"/>
  <c r="AV49" i="54"/>
  <c r="AX49" i="54"/>
  <c r="AY49" i="54"/>
  <c r="AZ49" i="54"/>
  <c r="BA49" i="54"/>
  <c r="BB49" i="54"/>
  <c r="BC49" i="54"/>
  <c r="BD49" i="54"/>
  <c r="BE49" i="54"/>
  <c r="BF49" i="54"/>
  <c r="BG49" i="54"/>
  <c r="BK49" i="54"/>
  <c r="BL49" i="54"/>
  <c r="BM49" i="54"/>
  <c r="BN49" i="54"/>
  <c r="BO49" i="54"/>
  <c r="BP49" i="54"/>
  <c r="BQ49" i="54"/>
  <c r="BR49" i="54"/>
  <c r="BS49" i="54"/>
  <c r="BT49" i="54"/>
  <c r="D50" i="54"/>
  <c r="E50" i="54"/>
  <c r="F50" i="54"/>
  <c r="G50" i="54"/>
  <c r="H50" i="54"/>
  <c r="I50" i="54"/>
  <c r="J50" i="54"/>
  <c r="K50" i="54"/>
  <c r="L50" i="54"/>
  <c r="M50" i="54"/>
  <c r="N50" i="54"/>
  <c r="O50" i="54"/>
  <c r="P50" i="54"/>
  <c r="Q50" i="54"/>
  <c r="R50" i="54"/>
  <c r="S50" i="54"/>
  <c r="T50" i="54"/>
  <c r="U50" i="54"/>
  <c r="V50" i="54"/>
  <c r="W50" i="54"/>
  <c r="X50" i="54"/>
  <c r="Y50" i="54"/>
  <c r="Z50" i="54"/>
  <c r="AG50" i="54"/>
  <c r="AH50" i="54"/>
  <c r="AI50" i="54"/>
  <c r="AJ50" i="54"/>
  <c r="AK50" i="54"/>
  <c r="AL50" i="54"/>
  <c r="AM50" i="54"/>
  <c r="AN50" i="54"/>
  <c r="AO50" i="54"/>
  <c r="AS50" i="54"/>
  <c r="AT50" i="54"/>
  <c r="AW50" i="54" s="1"/>
  <c r="AU50" i="54"/>
  <c r="AV50" i="54"/>
  <c r="AX50" i="54"/>
  <c r="AY50" i="54"/>
  <c r="AZ50" i="54"/>
  <c r="BA50" i="54"/>
  <c r="BB50" i="54"/>
  <c r="BC50" i="54"/>
  <c r="BD50" i="54"/>
  <c r="BE50" i="54"/>
  <c r="BF50" i="54"/>
  <c r="BG50" i="54"/>
  <c r="BK50" i="54"/>
  <c r="BL50" i="54"/>
  <c r="BM50" i="54"/>
  <c r="BN50" i="54"/>
  <c r="BO50" i="54"/>
  <c r="BP50" i="54"/>
  <c r="BQ50" i="54"/>
  <c r="BR50" i="54"/>
  <c r="BS50" i="54"/>
  <c r="BT50" i="54"/>
  <c r="D51" i="54"/>
  <c r="E51" i="54"/>
  <c r="F51" i="54"/>
  <c r="G51" i="54"/>
  <c r="H51" i="54"/>
  <c r="I51" i="54"/>
  <c r="J51" i="54"/>
  <c r="K51" i="54"/>
  <c r="L51" i="54"/>
  <c r="M51" i="54"/>
  <c r="N51" i="54"/>
  <c r="O51" i="54"/>
  <c r="P51" i="54"/>
  <c r="Q51" i="54"/>
  <c r="R51" i="54"/>
  <c r="S51" i="54"/>
  <c r="T51" i="54"/>
  <c r="U51" i="54"/>
  <c r="V51" i="54"/>
  <c r="W51" i="54"/>
  <c r="X51" i="54"/>
  <c r="Y51" i="54"/>
  <c r="Z51" i="54"/>
  <c r="AG51" i="54"/>
  <c r="AH51" i="54"/>
  <c r="AI51" i="54"/>
  <c r="AJ51" i="54"/>
  <c r="AK51" i="54"/>
  <c r="AL51" i="54"/>
  <c r="AM51" i="54"/>
  <c r="AN51" i="54"/>
  <c r="AO51" i="54"/>
  <c r="AS51" i="54"/>
  <c r="AT51" i="54"/>
  <c r="AW51" i="54" s="1"/>
  <c r="AU51" i="54"/>
  <c r="AV51" i="54"/>
  <c r="AX51" i="54"/>
  <c r="AY51" i="54"/>
  <c r="AZ51" i="54"/>
  <c r="BA51" i="54"/>
  <c r="BB51" i="54"/>
  <c r="BC51" i="54"/>
  <c r="BD51" i="54"/>
  <c r="BE51" i="54"/>
  <c r="BF51" i="54"/>
  <c r="BG51" i="54"/>
  <c r="BK51" i="54"/>
  <c r="BL51" i="54"/>
  <c r="BM51" i="54"/>
  <c r="BN51" i="54"/>
  <c r="BO51" i="54"/>
  <c r="BP51" i="54"/>
  <c r="BQ51" i="54"/>
  <c r="BR51" i="54"/>
  <c r="BS51" i="54"/>
  <c r="BT51" i="54"/>
  <c r="D52" i="54"/>
  <c r="E52" i="54"/>
  <c r="F52" i="54"/>
  <c r="G52" i="54"/>
  <c r="H52" i="54"/>
  <c r="I52" i="54"/>
  <c r="J52" i="54"/>
  <c r="K52" i="54"/>
  <c r="L52" i="54"/>
  <c r="M52" i="54"/>
  <c r="N52" i="54"/>
  <c r="O52" i="54"/>
  <c r="P52" i="54"/>
  <c r="Q52" i="54"/>
  <c r="R52" i="54"/>
  <c r="S52" i="54"/>
  <c r="T52" i="54"/>
  <c r="U52" i="54"/>
  <c r="V52" i="54"/>
  <c r="W52" i="54"/>
  <c r="X52" i="54"/>
  <c r="Y52" i="54"/>
  <c r="Z52" i="54"/>
  <c r="AG52" i="54"/>
  <c r="AH52" i="54"/>
  <c r="AI52" i="54"/>
  <c r="AJ52" i="54"/>
  <c r="AK52" i="54"/>
  <c r="AL52" i="54"/>
  <c r="AM52" i="54"/>
  <c r="AN52" i="54"/>
  <c r="AO52" i="54"/>
  <c r="AS52" i="54"/>
  <c r="AT52" i="54"/>
  <c r="AW52" i="54" s="1"/>
  <c r="AU52" i="54"/>
  <c r="AV52" i="54"/>
  <c r="AX52" i="54"/>
  <c r="AY52" i="54"/>
  <c r="AZ52" i="54"/>
  <c r="BA52" i="54"/>
  <c r="BB52" i="54"/>
  <c r="BC52" i="54"/>
  <c r="BD52" i="54"/>
  <c r="BE52" i="54"/>
  <c r="BF52" i="54"/>
  <c r="BG52" i="54"/>
  <c r="BK52" i="54"/>
  <c r="BL52" i="54"/>
  <c r="BM52" i="54"/>
  <c r="BN52" i="54"/>
  <c r="BO52" i="54"/>
  <c r="BP52" i="54"/>
  <c r="BQ52" i="54"/>
  <c r="BR52" i="54"/>
  <c r="BS52" i="54"/>
  <c r="BT52" i="54"/>
  <c r="D53" i="54"/>
  <c r="E53" i="54"/>
  <c r="F53" i="54"/>
  <c r="G53" i="54"/>
  <c r="H53" i="54"/>
  <c r="I53" i="54"/>
  <c r="J53" i="54"/>
  <c r="K53" i="54"/>
  <c r="L53" i="54"/>
  <c r="M53" i="54"/>
  <c r="N53" i="54"/>
  <c r="O53" i="54"/>
  <c r="P53" i="54"/>
  <c r="Q53" i="54"/>
  <c r="R53" i="54"/>
  <c r="S53" i="54"/>
  <c r="T53" i="54"/>
  <c r="U53" i="54"/>
  <c r="V53" i="54"/>
  <c r="W53" i="54"/>
  <c r="X53" i="54"/>
  <c r="Y53" i="54"/>
  <c r="Z53" i="54"/>
  <c r="AG53" i="54"/>
  <c r="AH53" i="54"/>
  <c r="AI53" i="54"/>
  <c r="AJ53" i="54"/>
  <c r="AK53" i="54"/>
  <c r="AL53" i="54"/>
  <c r="AM53" i="54"/>
  <c r="AN53" i="54"/>
  <c r="AO53" i="54"/>
  <c r="AS53" i="54"/>
  <c r="AT53" i="54"/>
  <c r="AW53" i="54" s="1"/>
  <c r="AU53" i="54"/>
  <c r="AV53" i="54"/>
  <c r="AX53" i="54"/>
  <c r="AY53" i="54"/>
  <c r="AZ53" i="54"/>
  <c r="BA53" i="54"/>
  <c r="BB53" i="54"/>
  <c r="BC53" i="54"/>
  <c r="BD53" i="54"/>
  <c r="BE53" i="54"/>
  <c r="BF53" i="54"/>
  <c r="BG53" i="54"/>
  <c r="BK53" i="54"/>
  <c r="BL53" i="54"/>
  <c r="BM53" i="54"/>
  <c r="BN53" i="54"/>
  <c r="BO53" i="54"/>
  <c r="BP53" i="54"/>
  <c r="BQ53" i="54"/>
  <c r="BR53" i="54"/>
  <c r="BS53" i="54"/>
  <c r="BT53" i="54"/>
  <c r="D54" i="54"/>
  <c r="E54" i="54"/>
  <c r="F54" i="54"/>
  <c r="G54" i="54"/>
  <c r="H54" i="54"/>
  <c r="I54" i="54"/>
  <c r="J54" i="54"/>
  <c r="K54" i="54"/>
  <c r="L54" i="54"/>
  <c r="M54" i="54"/>
  <c r="N54" i="54"/>
  <c r="O54" i="54"/>
  <c r="P54" i="54"/>
  <c r="Q54" i="54"/>
  <c r="R54" i="54"/>
  <c r="S54" i="54"/>
  <c r="T54" i="54"/>
  <c r="U54" i="54"/>
  <c r="V54" i="54"/>
  <c r="W54" i="54"/>
  <c r="X54" i="54"/>
  <c r="Y54" i="54"/>
  <c r="Z54" i="54"/>
  <c r="AG54" i="54"/>
  <c r="AH54" i="54"/>
  <c r="AI54" i="54"/>
  <c r="AJ54" i="54"/>
  <c r="AK54" i="54"/>
  <c r="AL54" i="54"/>
  <c r="AM54" i="54"/>
  <c r="AN54" i="54"/>
  <c r="AO54" i="54"/>
  <c r="AS54" i="54"/>
  <c r="AT54" i="54"/>
  <c r="AW54" i="54" s="1"/>
  <c r="AU54" i="54"/>
  <c r="AV54" i="54"/>
  <c r="AX54" i="54"/>
  <c r="AY54" i="54"/>
  <c r="AZ54" i="54"/>
  <c r="BA54" i="54"/>
  <c r="BB54" i="54"/>
  <c r="BC54" i="54"/>
  <c r="BD54" i="54"/>
  <c r="BE54" i="54"/>
  <c r="BF54" i="54"/>
  <c r="BG54" i="54"/>
  <c r="BK54" i="54"/>
  <c r="BL54" i="54"/>
  <c r="BM54" i="54"/>
  <c r="BN54" i="54"/>
  <c r="BO54" i="54"/>
  <c r="BP54" i="54"/>
  <c r="BQ54" i="54"/>
  <c r="BR54" i="54"/>
  <c r="BS54" i="54"/>
  <c r="BT54" i="54"/>
  <c r="D55" i="54"/>
  <c r="E55" i="54"/>
  <c r="F55" i="54"/>
  <c r="G55" i="54"/>
  <c r="H55" i="54"/>
  <c r="I55" i="54"/>
  <c r="J55" i="54"/>
  <c r="K55" i="54"/>
  <c r="L55" i="54"/>
  <c r="M55" i="54"/>
  <c r="N55" i="54"/>
  <c r="O55" i="54"/>
  <c r="P55" i="54"/>
  <c r="Q55" i="54"/>
  <c r="R55" i="54"/>
  <c r="S55" i="54"/>
  <c r="T55" i="54"/>
  <c r="U55" i="54"/>
  <c r="V55" i="54"/>
  <c r="W55" i="54"/>
  <c r="X55" i="54"/>
  <c r="Y55" i="54"/>
  <c r="Z55" i="54"/>
  <c r="AG55" i="54"/>
  <c r="AH55" i="54"/>
  <c r="AI55" i="54"/>
  <c r="AJ55" i="54"/>
  <c r="AK55" i="54"/>
  <c r="AL55" i="54"/>
  <c r="AM55" i="54"/>
  <c r="AN55" i="54"/>
  <c r="AO55" i="54"/>
  <c r="AS55" i="54"/>
  <c r="AT55" i="54"/>
  <c r="AW55" i="54" s="1"/>
  <c r="AU55" i="54"/>
  <c r="AV55" i="54"/>
  <c r="AX55" i="54"/>
  <c r="AY55" i="54"/>
  <c r="AZ55" i="54"/>
  <c r="BA55" i="54"/>
  <c r="BB55" i="54"/>
  <c r="BC55" i="54"/>
  <c r="BD55" i="54"/>
  <c r="BE55" i="54"/>
  <c r="BF55" i="54"/>
  <c r="BG55" i="54"/>
  <c r="BK55" i="54"/>
  <c r="BL55" i="54"/>
  <c r="BM55" i="54"/>
  <c r="BN55" i="54"/>
  <c r="BO55" i="54"/>
  <c r="BP55" i="54"/>
  <c r="BQ55" i="54"/>
  <c r="BR55" i="54"/>
  <c r="BS55" i="54"/>
  <c r="BT55" i="54"/>
  <c r="D56" i="54"/>
  <c r="E56" i="54"/>
  <c r="F56" i="54"/>
  <c r="G56" i="54"/>
  <c r="H56" i="54"/>
  <c r="I56" i="54"/>
  <c r="J56" i="54"/>
  <c r="K56" i="54"/>
  <c r="L56" i="54"/>
  <c r="M56" i="54"/>
  <c r="N56" i="54"/>
  <c r="O56" i="54"/>
  <c r="P56" i="54"/>
  <c r="Q56" i="54"/>
  <c r="R56" i="54"/>
  <c r="S56" i="54"/>
  <c r="T56" i="54"/>
  <c r="U56" i="54"/>
  <c r="V56" i="54"/>
  <c r="W56" i="54"/>
  <c r="X56" i="54"/>
  <c r="Y56" i="54"/>
  <c r="Z56" i="54"/>
  <c r="AG56" i="54"/>
  <c r="AH56" i="54"/>
  <c r="AI56" i="54"/>
  <c r="AJ56" i="54"/>
  <c r="AK56" i="54"/>
  <c r="AL56" i="54"/>
  <c r="AM56" i="54"/>
  <c r="AN56" i="54"/>
  <c r="AO56" i="54"/>
  <c r="AS56" i="54"/>
  <c r="AT56" i="54"/>
  <c r="AW56" i="54" s="1"/>
  <c r="AU56" i="54"/>
  <c r="AV56" i="54"/>
  <c r="AX56" i="54"/>
  <c r="AY56" i="54"/>
  <c r="AZ56" i="54"/>
  <c r="BA56" i="54"/>
  <c r="BB56" i="54"/>
  <c r="BC56" i="54"/>
  <c r="BD56" i="54"/>
  <c r="BE56" i="54"/>
  <c r="BF56" i="54"/>
  <c r="BG56" i="54"/>
  <c r="BK56" i="54"/>
  <c r="BL56" i="54"/>
  <c r="BM56" i="54"/>
  <c r="BN56" i="54"/>
  <c r="BO56" i="54"/>
  <c r="BP56" i="54"/>
  <c r="BQ56" i="54"/>
  <c r="BR56" i="54"/>
  <c r="BS56" i="54"/>
  <c r="BT56" i="54"/>
  <c r="D57" i="54"/>
  <c r="E57" i="54"/>
  <c r="F57" i="54"/>
  <c r="G57" i="54"/>
  <c r="H57" i="54"/>
  <c r="I57" i="54"/>
  <c r="J57" i="54"/>
  <c r="K57" i="54"/>
  <c r="L57" i="54"/>
  <c r="M57" i="54"/>
  <c r="N57" i="54"/>
  <c r="O57" i="54"/>
  <c r="P57" i="54"/>
  <c r="Q57" i="54"/>
  <c r="R57" i="54"/>
  <c r="S57" i="54"/>
  <c r="T57" i="54"/>
  <c r="U57" i="54"/>
  <c r="V57" i="54"/>
  <c r="W57" i="54"/>
  <c r="X57" i="54"/>
  <c r="Y57" i="54"/>
  <c r="Z57" i="54"/>
  <c r="AG57" i="54"/>
  <c r="AH57" i="54"/>
  <c r="AI57" i="54"/>
  <c r="AJ57" i="54"/>
  <c r="AK57" i="54"/>
  <c r="AL57" i="54"/>
  <c r="AM57" i="54"/>
  <c r="AN57" i="54"/>
  <c r="AO57" i="54"/>
  <c r="AS57" i="54"/>
  <c r="AT57" i="54"/>
  <c r="AW57" i="54" s="1"/>
  <c r="AU57" i="54"/>
  <c r="AV57" i="54"/>
  <c r="AX57" i="54"/>
  <c r="AY57" i="54"/>
  <c r="AZ57" i="54"/>
  <c r="BA57" i="54"/>
  <c r="BB57" i="54"/>
  <c r="BC57" i="54"/>
  <c r="BD57" i="54"/>
  <c r="BE57" i="54"/>
  <c r="BF57" i="54"/>
  <c r="BG57" i="54"/>
  <c r="BK57" i="54"/>
  <c r="BL57" i="54"/>
  <c r="BM57" i="54"/>
  <c r="BN57" i="54"/>
  <c r="BO57" i="54"/>
  <c r="BP57" i="54"/>
  <c r="BQ57" i="54"/>
  <c r="BR57" i="54"/>
  <c r="BS57" i="54"/>
  <c r="BT57" i="54"/>
  <c r="D58" i="54"/>
  <c r="E58" i="54"/>
  <c r="F58" i="54"/>
  <c r="G58" i="54"/>
  <c r="H58" i="54"/>
  <c r="I58" i="54"/>
  <c r="J58" i="54"/>
  <c r="K58" i="54"/>
  <c r="L58" i="54"/>
  <c r="M58" i="54"/>
  <c r="N58" i="54"/>
  <c r="O58" i="54"/>
  <c r="P58" i="54"/>
  <c r="Q58" i="54"/>
  <c r="R58" i="54"/>
  <c r="S58" i="54"/>
  <c r="T58" i="54"/>
  <c r="U58" i="54"/>
  <c r="V58" i="54"/>
  <c r="W58" i="54"/>
  <c r="X58" i="54"/>
  <c r="Y58" i="54"/>
  <c r="Z58" i="54"/>
  <c r="AG58" i="54"/>
  <c r="AH58" i="54"/>
  <c r="AI58" i="54"/>
  <c r="AJ58" i="54"/>
  <c r="AK58" i="54"/>
  <c r="AL58" i="54"/>
  <c r="AM58" i="54"/>
  <c r="AN58" i="54"/>
  <c r="AO58" i="54"/>
  <c r="AS58" i="54"/>
  <c r="AT58" i="54"/>
  <c r="AW58" i="54" s="1"/>
  <c r="AU58" i="54"/>
  <c r="AV58" i="54"/>
  <c r="AX58" i="54"/>
  <c r="AY58" i="54"/>
  <c r="AZ58" i="54"/>
  <c r="BA58" i="54"/>
  <c r="BB58" i="54"/>
  <c r="BC58" i="54"/>
  <c r="BD58" i="54"/>
  <c r="BE58" i="54"/>
  <c r="BF58" i="54"/>
  <c r="BG58" i="54"/>
  <c r="BK58" i="54"/>
  <c r="BL58" i="54"/>
  <c r="BM58" i="54"/>
  <c r="BN58" i="54"/>
  <c r="BO58" i="54"/>
  <c r="BP58" i="54"/>
  <c r="BQ58" i="54"/>
  <c r="BR58" i="54"/>
  <c r="BS58" i="54"/>
  <c r="BT58" i="54"/>
  <c r="D59" i="54"/>
  <c r="E59" i="54"/>
  <c r="F59" i="54"/>
  <c r="G59" i="54"/>
  <c r="H59" i="54"/>
  <c r="I59" i="54"/>
  <c r="J59" i="54"/>
  <c r="K59" i="54"/>
  <c r="L59" i="54"/>
  <c r="M59" i="54"/>
  <c r="N59" i="54"/>
  <c r="O59" i="54"/>
  <c r="P59" i="54"/>
  <c r="Q59" i="54"/>
  <c r="R59" i="54"/>
  <c r="S59" i="54"/>
  <c r="T59" i="54"/>
  <c r="U59" i="54"/>
  <c r="V59" i="54"/>
  <c r="W59" i="54"/>
  <c r="X59" i="54"/>
  <c r="Y59" i="54"/>
  <c r="Z59" i="54"/>
  <c r="AG59" i="54"/>
  <c r="AH59" i="54"/>
  <c r="AI59" i="54"/>
  <c r="AJ59" i="54"/>
  <c r="AK59" i="54"/>
  <c r="AL59" i="54"/>
  <c r="AM59" i="54"/>
  <c r="AN59" i="54"/>
  <c r="AO59" i="54"/>
  <c r="AS59" i="54"/>
  <c r="AT59" i="54"/>
  <c r="AW59" i="54" s="1"/>
  <c r="AU59" i="54"/>
  <c r="AV59" i="54"/>
  <c r="AX59" i="54"/>
  <c r="AY59" i="54"/>
  <c r="AZ59" i="54"/>
  <c r="BA59" i="54"/>
  <c r="BB59" i="54"/>
  <c r="BC59" i="54"/>
  <c r="BD59" i="54"/>
  <c r="BE59" i="54"/>
  <c r="BF59" i="54"/>
  <c r="BG59" i="54"/>
  <c r="BK59" i="54"/>
  <c r="BL59" i="54"/>
  <c r="BM59" i="54"/>
  <c r="BN59" i="54"/>
  <c r="BO59" i="54"/>
  <c r="BP59" i="54"/>
  <c r="BQ59" i="54"/>
  <c r="BR59" i="54"/>
  <c r="BS59" i="54"/>
  <c r="BT59" i="54"/>
  <c r="D60" i="54"/>
  <c r="E60" i="54"/>
  <c r="F60" i="54"/>
  <c r="G60" i="54"/>
  <c r="H60" i="54"/>
  <c r="I60" i="54"/>
  <c r="J60" i="54"/>
  <c r="K60" i="54"/>
  <c r="L60" i="54"/>
  <c r="M60" i="54"/>
  <c r="N60" i="54"/>
  <c r="O60" i="54"/>
  <c r="P60" i="54"/>
  <c r="Q60" i="54"/>
  <c r="R60" i="54"/>
  <c r="S60" i="54"/>
  <c r="T60" i="54"/>
  <c r="U60" i="54"/>
  <c r="V60" i="54"/>
  <c r="W60" i="54"/>
  <c r="X60" i="54"/>
  <c r="Y60" i="54"/>
  <c r="Z60" i="54"/>
  <c r="AG60" i="54"/>
  <c r="AH60" i="54"/>
  <c r="AI60" i="54"/>
  <c r="AJ60" i="54"/>
  <c r="AK60" i="54"/>
  <c r="AL60" i="54"/>
  <c r="AM60" i="54"/>
  <c r="AN60" i="54"/>
  <c r="AO60" i="54"/>
  <c r="AS60" i="54"/>
  <c r="AT60" i="54"/>
  <c r="AW60" i="54" s="1"/>
  <c r="AU60" i="54"/>
  <c r="AV60" i="54"/>
  <c r="AX60" i="54"/>
  <c r="AY60" i="54"/>
  <c r="AZ60" i="54"/>
  <c r="BA60" i="54"/>
  <c r="BB60" i="54"/>
  <c r="BC60" i="54"/>
  <c r="BD60" i="54"/>
  <c r="BE60" i="54"/>
  <c r="BF60" i="54"/>
  <c r="BG60" i="54"/>
  <c r="BK60" i="54"/>
  <c r="BL60" i="54"/>
  <c r="BM60" i="54"/>
  <c r="BN60" i="54"/>
  <c r="BO60" i="54"/>
  <c r="BP60" i="54"/>
  <c r="BQ60" i="54"/>
  <c r="BR60" i="54"/>
  <c r="BS60" i="54"/>
  <c r="BT60" i="54"/>
  <c r="D61" i="54"/>
  <c r="E61" i="54"/>
  <c r="F61" i="54"/>
  <c r="G61" i="54"/>
  <c r="H61" i="54"/>
  <c r="I61" i="54"/>
  <c r="J61" i="54"/>
  <c r="K61" i="54"/>
  <c r="L61" i="54"/>
  <c r="M61" i="54"/>
  <c r="N61" i="54"/>
  <c r="O61" i="54"/>
  <c r="P61" i="54"/>
  <c r="Q61" i="54"/>
  <c r="R61" i="54"/>
  <c r="S61" i="54"/>
  <c r="T61" i="54"/>
  <c r="U61" i="54"/>
  <c r="V61" i="54"/>
  <c r="W61" i="54"/>
  <c r="X61" i="54"/>
  <c r="Y61" i="54"/>
  <c r="Z61" i="54"/>
  <c r="AG61" i="54"/>
  <c r="AH61" i="54"/>
  <c r="AI61" i="54"/>
  <c r="AJ61" i="54"/>
  <c r="AK61" i="54"/>
  <c r="AL61" i="54"/>
  <c r="AM61" i="54"/>
  <c r="AN61" i="54"/>
  <c r="AO61" i="54"/>
  <c r="AS61" i="54"/>
  <c r="AT61" i="54"/>
  <c r="AW61" i="54" s="1"/>
  <c r="AU61" i="54"/>
  <c r="AV61" i="54"/>
  <c r="AX61" i="54"/>
  <c r="AY61" i="54"/>
  <c r="AZ61" i="54"/>
  <c r="BA61" i="54"/>
  <c r="BB61" i="54"/>
  <c r="BC61" i="54"/>
  <c r="BD61" i="54"/>
  <c r="BE61" i="54"/>
  <c r="BF61" i="54"/>
  <c r="BG61" i="54"/>
  <c r="BK61" i="54"/>
  <c r="BL61" i="54"/>
  <c r="BM61" i="54"/>
  <c r="BN61" i="54"/>
  <c r="BO61" i="54"/>
  <c r="BP61" i="54"/>
  <c r="BQ61" i="54"/>
  <c r="BR61" i="54"/>
  <c r="BS61" i="54"/>
  <c r="BT61" i="54"/>
  <c r="D62" i="54"/>
  <c r="E62" i="54"/>
  <c r="F62" i="54"/>
  <c r="G62" i="54"/>
  <c r="H62" i="54"/>
  <c r="I62" i="54"/>
  <c r="J62" i="54"/>
  <c r="K62" i="54"/>
  <c r="L62" i="54"/>
  <c r="M62" i="54"/>
  <c r="N62" i="54"/>
  <c r="O62" i="54"/>
  <c r="P62" i="54"/>
  <c r="Q62" i="54"/>
  <c r="R62" i="54"/>
  <c r="S62" i="54"/>
  <c r="T62" i="54"/>
  <c r="U62" i="54"/>
  <c r="V62" i="54"/>
  <c r="W62" i="54"/>
  <c r="X62" i="54"/>
  <c r="Y62" i="54"/>
  <c r="Z62" i="54"/>
  <c r="AG62" i="54"/>
  <c r="AH62" i="54"/>
  <c r="AI62" i="54"/>
  <c r="AJ62" i="54"/>
  <c r="AK62" i="54"/>
  <c r="AL62" i="54"/>
  <c r="AM62" i="54"/>
  <c r="AN62" i="54"/>
  <c r="AO62" i="54"/>
  <c r="AS62" i="54"/>
  <c r="AT62" i="54"/>
  <c r="AW62" i="54" s="1"/>
  <c r="AU62" i="54"/>
  <c r="AV62" i="54"/>
  <c r="AX62" i="54"/>
  <c r="AY62" i="54"/>
  <c r="AZ62" i="54"/>
  <c r="BA62" i="54"/>
  <c r="BB62" i="54"/>
  <c r="BC62" i="54"/>
  <c r="BD62" i="54"/>
  <c r="BE62" i="54"/>
  <c r="BF62" i="54"/>
  <c r="BG62" i="54"/>
  <c r="BK62" i="54"/>
  <c r="BL62" i="54"/>
  <c r="BM62" i="54"/>
  <c r="BN62" i="54"/>
  <c r="BO62" i="54"/>
  <c r="BP62" i="54"/>
  <c r="BQ62" i="54"/>
  <c r="BR62" i="54"/>
  <c r="BS62" i="54"/>
  <c r="BT62" i="54"/>
  <c r="D63" i="54"/>
  <c r="E63" i="54"/>
  <c r="F63" i="54"/>
  <c r="G63" i="54"/>
  <c r="H63" i="54"/>
  <c r="I63" i="54"/>
  <c r="J63" i="54"/>
  <c r="K63" i="54"/>
  <c r="L63" i="54"/>
  <c r="M63" i="54"/>
  <c r="N63" i="54"/>
  <c r="O63" i="54"/>
  <c r="P63" i="54"/>
  <c r="Q63" i="54"/>
  <c r="R63" i="54"/>
  <c r="S63" i="54"/>
  <c r="T63" i="54"/>
  <c r="U63" i="54"/>
  <c r="V63" i="54"/>
  <c r="W63" i="54"/>
  <c r="X63" i="54"/>
  <c r="Y63" i="54"/>
  <c r="Z63" i="54"/>
  <c r="AG63" i="54"/>
  <c r="AH63" i="54"/>
  <c r="AI63" i="54"/>
  <c r="AJ63" i="54"/>
  <c r="AK63" i="54"/>
  <c r="AL63" i="54"/>
  <c r="AM63" i="54"/>
  <c r="AN63" i="54"/>
  <c r="AO63" i="54"/>
  <c r="AS63" i="54"/>
  <c r="AT63" i="54"/>
  <c r="AW63" i="54" s="1"/>
  <c r="AU63" i="54"/>
  <c r="AV63" i="54"/>
  <c r="AX63" i="54"/>
  <c r="AY63" i="54"/>
  <c r="AZ63" i="54"/>
  <c r="BA63" i="54"/>
  <c r="BB63" i="54"/>
  <c r="BC63" i="54"/>
  <c r="BD63" i="54"/>
  <c r="BE63" i="54"/>
  <c r="BF63" i="54"/>
  <c r="BG63" i="54"/>
  <c r="BK63" i="54"/>
  <c r="BL63" i="54"/>
  <c r="BM63" i="54"/>
  <c r="BN63" i="54"/>
  <c r="BO63" i="54"/>
  <c r="BP63" i="54"/>
  <c r="BQ63" i="54"/>
  <c r="BR63" i="54"/>
  <c r="BS63" i="54"/>
  <c r="BT63" i="54"/>
  <c r="D64" i="54"/>
  <c r="E64" i="54"/>
  <c r="F64" i="54"/>
  <c r="G64" i="54"/>
  <c r="H64" i="54"/>
  <c r="I64" i="54"/>
  <c r="J64" i="54"/>
  <c r="K64" i="54"/>
  <c r="L64" i="54"/>
  <c r="M64" i="54"/>
  <c r="N64" i="54"/>
  <c r="O64" i="54"/>
  <c r="P64" i="54"/>
  <c r="Q64" i="54"/>
  <c r="R64" i="54"/>
  <c r="S64" i="54"/>
  <c r="T64" i="54"/>
  <c r="U64" i="54"/>
  <c r="V64" i="54"/>
  <c r="W64" i="54"/>
  <c r="X64" i="54"/>
  <c r="Y64" i="54"/>
  <c r="Z64" i="54"/>
  <c r="AG64" i="54"/>
  <c r="AH64" i="54"/>
  <c r="AI64" i="54"/>
  <c r="AJ64" i="54"/>
  <c r="AK64" i="54"/>
  <c r="AL64" i="54"/>
  <c r="AM64" i="54"/>
  <c r="AN64" i="54"/>
  <c r="AO64" i="54"/>
  <c r="AS64" i="54"/>
  <c r="AT64" i="54"/>
  <c r="AW64" i="54" s="1"/>
  <c r="AU64" i="54"/>
  <c r="AV64" i="54"/>
  <c r="AX64" i="54"/>
  <c r="AY64" i="54"/>
  <c r="AZ64" i="54"/>
  <c r="BA64" i="54"/>
  <c r="BB64" i="54"/>
  <c r="BC64" i="54"/>
  <c r="BD64" i="54"/>
  <c r="BE64" i="54"/>
  <c r="BF64" i="54"/>
  <c r="BG64" i="54"/>
  <c r="BK64" i="54"/>
  <c r="BL64" i="54"/>
  <c r="BM64" i="54"/>
  <c r="BN64" i="54"/>
  <c r="BO64" i="54"/>
  <c r="BP64" i="54"/>
  <c r="BQ64" i="54"/>
  <c r="BR64" i="54"/>
  <c r="BS64" i="54"/>
  <c r="BT64" i="54"/>
  <c r="D65" i="54"/>
  <c r="E65" i="54"/>
  <c r="F65" i="54"/>
  <c r="G65" i="54"/>
  <c r="H65" i="54"/>
  <c r="I65" i="54"/>
  <c r="J65" i="54"/>
  <c r="K65" i="54"/>
  <c r="L65" i="54"/>
  <c r="M65" i="54"/>
  <c r="N65" i="54"/>
  <c r="O65" i="54"/>
  <c r="P65" i="54"/>
  <c r="Q65" i="54"/>
  <c r="R65" i="54"/>
  <c r="S65" i="54"/>
  <c r="T65" i="54"/>
  <c r="U65" i="54"/>
  <c r="V65" i="54"/>
  <c r="W65" i="54"/>
  <c r="X65" i="54"/>
  <c r="Y65" i="54"/>
  <c r="Z65" i="54"/>
  <c r="AG65" i="54"/>
  <c r="AH65" i="54"/>
  <c r="AI65" i="54"/>
  <c r="AJ65" i="54"/>
  <c r="AK65" i="54"/>
  <c r="AL65" i="54"/>
  <c r="AM65" i="54"/>
  <c r="AN65" i="54"/>
  <c r="AO65" i="54"/>
  <c r="AS65" i="54"/>
  <c r="AT65" i="54"/>
  <c r="AW65" i="54" s="1"/>
  <c r="AU65" i="54"/>
  <c r="AV65" i="54"/>
  <c r="AX65" i="54"/>
  <c r="AY65" i="54"/>
  <c r="AZ65" i="54"/>
  <c r="BA65" i="54"/>
  <c r="BB65" i="54"/>
  <c r="BC65" i="54"/>
  <c r="BD65" i="54"/>
  <c r="BE65" i="54"/>
  <c r="BF65" i="54"/>
  <c r="BG65" i="54"/>
  <c r="BK65" i="54"/>
  <c r="BL65" i="54"/>
  <c r="BM65" i="54"/>
  <c r="BN65" i="54"/>
  <c r="BO65" i="54"/>
  <c r="BP65" i="54"/>
  <c r="BQ65" i="54"/>
  <c r="BR65" i="54"/>
  <c r="BS65" i="54"/>
  <c r="BT65" i="54"/>
  <c r="D66" i="54"/>
  <c r="E66" i="54"/>
  <c r="F66" i="54"/>
  <c r="G66" i="54"/>
  <c r="H66" i="54"/>
  <c r="I66" i="54"/>
  <c r="J66" i="54"/>
  <c r="K66" i="54"/>
  <c r="L66" i="54"/>
  <c r="M66" i="54"/>
  <c r="N66" i="54"/>
  <c r="O66" i="54"/>
  <c r="P66" i="54"/>
  <c r="Q66" i="54"/>
  <c r="R66" i="54"/>
  <c r="S66" i="54"/>
  <c r="T66" i="54"/>
  <c r="U66" i="54"/>
  <c r="V66" i="54"/>
  <c r="W66" i="54"/>
  <c r="X66" i="54"/>
  <c r="Y66" i="54"/>
  <c r="Z66" i="54"/>
  <c r="AG66" i="54"/>
  <c r="AH66" i="54"/>
  <c r="AI66" i="54"/>
  <c r="AJ66" i="54"/>
  <c r="AK66" i="54"/>
  <c r="AL66" i="54"/>
  <c r="AM66" i="54"/>
  <c r="AN66" i="54"/>
  <c r="AO66" i="54"/>
  <c r="AS66" i="54"/>
  <c r="AT66" i="54"/>
  <c r="AW66" i="54" s="1"/>
  <c r="AU66" i="54"/>
  <c r="AV66" i="54"/>
  <c r="AX66" i="54"/>
  <c r="AY66" i="54"/>
  <c r="AZ66" i="54"/>
  <c r="BA66" i="54"/>
  <c r="BB66" i="54"/>
  <c r="BC66" i="54"/>
  <c r="BD66" i="54"/>
  <c r="BE66" i="54"/>
  <c r="BF66" i="54"/>
  <c r="BG66" i="54"/>
  <c r="BK66" i="54"/>
  <c r="BL66" i="54"/>
  <c r="BM66" i="54"/>
  <c r="BN66" i="54"/>
  <c r="BO66" i="54"/>
  <c r="BP66" i="54"/>
  <c r="BQ66" i="54"/>
  <c r="BR66" i="54"/>
  <c r="BS66" i="54"/>
  <c r="BT66" i="54"/>
  <c r="D67" i="54"/>
  <c r="E67" i="54"/>
  <c r="F67" i="54"/>
  <c r="G67" i="54"/>
  <c r="H67" i="54"/>
  <c r="I67" i="54"/>
  <c r="J67" i="54"/>
  <c r="K67" i="54"/>
  <c r="L67" i="54"/>
  <c r="M67" i="54"/>
  <c r="N67" i="54"/>
  <c r="O67" i="54"/>
  <c r="P67" i="54"/>
  <c r="Q67" i="54"/>
  <c r="R67" i="54"/>
  <c r="S67" i="54"/>
  <c r="T67" i="54"/>
  <c r="U67" i="54"/>
  <c r="V67" i="54"/>
  <c r="W67" i="54"/>
  <c r="X67" i="54"/>
  <c r="Y67" i="54"/>
  <c r="Z67" i="54"/>
  <c r="AG67" i="54"/>
  <c r="AH67" i="54"/>
  <c r="AI67" i="54"/>
  <c r="AJ67" i="54"/>
  <c r="AK67" i="54"/>
  <c r="AL67" i="54"/>
  <c r="AM67" i="54"/>
  <c r="AN67" i="54"/>
  <c r="AO67" i="54"/>
  <c r="AS67" i="54"/>
  <c r="AT67" i="54"/>
  <c r="AW67" i="54" s="1"/>
  <c r="AU67" i="54"/>
  <c r="AV67" i="54"/>
  <c r="AX67" i="54"/>
  <c r="AY67" i="54"/>
  <c r="AZ67" i="54"/>
  <c r="BA67" i="54"/>
  <c r="BB67" i="54"/>
  <c r="BC67" i="54"/>
  <c r="BD67" i="54"/>
  <c r="BE67" i="54"/>
  <c r="BF67" i="54"/>
  <c r="BG67" i="54"/>
  <c r="BK67" i="54"/>
  <c r="BL67" i="54"/>
  <c r="BM67" i="54"/>
  <c r="BN67" i="54"/>
  <c r="BO67" i="54"/>
  <c r="BP67" i="54"/>
  <c r="BQ67" i="54"/>
  <c r="BR67" i="54"/>
  <c r="BS67" i="54"/>
  <c r="BT67" i="54"/>
  <c r="D68" i="54"/>
  <c r="E68" i="54"/>
  <c r="F68" i="54"/>
  <c r="G68" i="54"/>
  <c r="H68" i="54"/>
  <c r="I68" i="54"/>
  <c r="J68" i="54"/>
  <c r="K68" i="54"/>
  <c r="L68" i="54"/>
  <c r="M68" i="54"/>
  <c r="N68" i="54"/>
  <c r="O68" i="54"/>
  <c r="P68" i="54"/>
  <c r="Q68" i="54"/>
  <c r="R68" i="54"/>
  <c r="S68" i="54"/>
  <c r="T68" i="54"/>
  <c r="U68" i="54"/>
  <c r="V68" i="54"/>
  <c r="W68" i="54"/>
  <c r="X68" i="54"/>
  <c r="Y68" i="54"/>
  <c r="Z68" i="54"/>
  <c r="AG68" i="54"/>
  <c r="AH68" i="54"/>
  <c r="AI68" i="54"/>
  <c r="AJ68" i="54"/>
  <c r="AK68" i="54"/>
  <c r="AL68" i="54"/>
  <c r="AM68" i="54"/>
  <c r="AN68" i="54"/>
  <c r="AO68" i="54"/>
  <c r="AS68" i="54"/>
  <c r="AT68" i="54"/>
  <c r="AW68" i="54" s="1"/>
  <c r="AU68" i="54"/>
  <c r="AV68" i="54"/>
  <c r="AX68" i="54"/>
  <c r="AY68" i="54"/>
  <c r="AZ68" i="54"/>
  <c r="BA68" i="54"/>
  <c r="BB68" i="54"/>
  <c r="BC68" i="54"/>
  <c r="BD68" i="54"/>
  <c r="BE68" i="54"/>
  <c r="BF68" i="54"/>
  <c r="BG68" i="54"/>
  <c r="BK68" i="54"/>
  <c r="BL68" i="54"/>
  <c r="BM68" i="54"/>
  <c r="BN68" i="54"/>
  <c r="BO68" i="54"/>
  <c r="BP68" i="54"/>
  <c r="BQ68" i="54"/>
  <c r="BR68" i="54"/>
  <c r="BS68" i="54"/>
  <c r="BT68" i="54"/>
  <c r="D69" i="54"/>
  <c r="E69" i="54"/>
  <c r="F69" i="54"/>
  <c r="G69" i="54"/>
  <c r="H69" i="54"/>
  <c r="I69" i="54"/>
  <c r="J69" i="54"/>
  <c r="K69" i="54"/>
  <c r="L69" i="54"/>
  <c r="M69" i="54"/>
  <c r="N69" i="54"/>
  <c r="O69" i="54"/>
  <c r="P69" i="54"/>
  <c r="Q69" i="54"/>
  <c r="R69" i="54"/>
  <c r="S69" i="54"/>
  <c r="T69" i="54"/>
  <c r="U69" i="54"/>
  <c r="V69" i="54"/>
  <c r="W69" i="54"/>
  <c r="X69" i="54"/>
  <c r="Y69" i="54"/>
  <c r="Z69" i="54"/>
  <c r="AG69" i="54"/>
  <c r="AH69" i="54"/>
  <c r="AI69" i="54"/>
  <c r="AJ69" i="54"/>
  <c r="AK69" i="54"/>
  <c r="AL69" i="54"/>
  <c r="AM69" i="54"/>
  <c r="AN69" i="54"/>
  <c r="AO69" i="54"/>
  <c r="AS69" i="54"/>
  <c r="AT69" i="54"/>
  <c r="AW69" i="54" s="1"/>
  <c r="AU69" i="54"/>
  <c r="AV69" i="54"/>
  <c r="AX69" i="54"/>
  <c r="AY69" i="54"/>
  <c r="AZ69" i="54"/>
  <c r="BA69" i="54"/>
  <c r="BB69" i="54"/>
  <c r="BC69" i="54"/>
  <c r="BD69" i="54"/>
  <c r="BE69" i="54"/>
  <c r="BF69" i="54"/>
  <c r="BG69" i="54"/>
  <c r="BK69" i="54"/>
  <c r="BL69" i="54"/>
  <c r="BM69" i="54"/>
  <c r="BN69" i="54"/>
  <c r="BO69" i="54"/>
  <c r="BP69" i="54"/>
  <c r="BQ69" i="54"/>
  <c r="BR69" i="54"/>
  <c r="BS69" i="54"/>
  <c r="BT69" i="54"/>
  <c r="D70" i="54"/>
  <c r="E70" i="54"/>
  <c r="F70" i="54"/>
  <c r="G70" i="54"/>
  <c r="H70" i="54"/>
  <c r="I70" i="54"/>
  <c r="J70" i="54"/>
  <c r="K70" i="54"/>
  <c r="L70" i="54"/>
  <c r="M70" i="54"/>
  <c r="N70" i="54"/>
  <c r="O70" i="54"/>
  <c r="P70" i="54"/>
  <c r="Q70" i="54"/>
  <c r="R70" i="54"/>
  <c r="S70" i="54"/>
  <c r="T70" i="54"/>
  <c r="U70" i="54"/>
  <c r="V70" i="54"/>
  <c r="W70" i="54"/>
  <c r="X70" i="54"/>
  <c r="Y70" i="54"/>
  <c r="Z70" i="54"/>
  <c r="AG70" i="54"/>
  <c r="AH70" i="54"/>
  <c r="AI70" i="54"/>
  <c r="AJ70" i="54"/>
  <c r="AK70" i="54"/>
  <c r="AL70" i="54"/>
  <c r="AM70" i="54"/>
  <c r="AN70" i="54"/>
  <c r="AO70" i="54"/>
  <c r="AS70" i="54"/>
  <c r="AT70" i="54"/>
  <c r="AW70" i="54" s="1"/>
  <c r="AU70" i="54"/>
  <c r="AV70" i="54"/>
  <c r="AX70" i="54"/>
  <c r="AY70" i="54"/>
  <c r="AZ70" i="54"/>
  <c r="BA70" i="54"/>
  <c r="BB70" i="54"/>
  <c r="BC70" i="54"/>
  <c r="BD70" i="54"/>
  <c r="BE70" i="54"/>
  <c r="BF70" i="54"/>
  <c r="BG70" i="54"/>
  <c r="BK70" i="54"/>
  <c r="BL70" i="54"/>
  <c r="BM70" i="54"/>
  <c r="BN70" i="54"/>
  <c r="BO70" i="54"/>
  <c r="BP70" i="54"/>
  <c r="BQ70" i="54"/>
  <c r="BR70" i="54"/>
  <c r="BS70" i="54"/>
  <c r="BT70" i="54"/>
  <c r="C7" i="53"/>
  <c r="C29" i="10" s="1"/>
  <c r="C8" i="53"/>
  <c r="D8" i="53"/>
  <c r="E8" i="53"/>
  <c r="F8" i="53"/>
  <c r="G8" i="53"/>
  <c r="H8" i="53"/>
  <c r="I8" i="53"/>
  <c r="J8" i="53"/>
  <c r="K8" i="53"/>
  <c r="L8" i="53"/>
  <c r="M8" i="53"/>
  <c r="N8" i="53"/>
  <c r="O8" i="53"/>
  <c r="P8" i="53"/>
  <c r="Q8" i="53"/>
  <c r="R8" i="53"/>
  <c r="S8" i="53"/>
  <c r="T8" i="53"/>
  <c r="U8" i="53"/>
  <c r="V8" i="53"/>
  <c r="W8" i="53"/>
  <c r="X8" i="53"/>
  <c r="Y8" i="53"/>
  <c r="Z8" i="53"/>
  <c r="AG8" i="53"/>
  <c r="AH8" i="53"/>
  <c r="AI8" i="53"/>
  <c r="AJ8" i="53"/>
  <c r="AK8" i="53"/>
  <c r="AL8" i="53"/>
  <c r="AM8" i="53"/>
  <c r="AN8" i="53"/>
  <c r="AO8" i="53"/>
  <c r="AS8" i="53"/>
  <c r="AT8" i="53"/>
  <c r="AU8" i="53"/>
  <c r="AV8" i="53"/>
  <c r="AX8" i="53"/>
  <c r="AY8" i="53"/>
  <c r="AZ8" i="53"/>
  <c r="BA8" i="53"/>
  <c r="BB8" i="53"/>
  <c r="BC8" i="53"/>
  <c r="BD8" i="53"/>
  <c r="BE8" i="53"/>
  <c r="BF8" i="53"/>
  <c r="BG8" i="53"/>
  <c r="BK8" i="53"/>
  <c r="BL8" i="53"/>
  <c r="BM8" i="53"/>
  <c r="BN8" i="53"/>
  <c r="BP8" i="53"/>
  <c r="BR8" i="53"/>
  <c r="BS8" i="53"/>
  <c r="BT8" i="53"/>
  <c r="F9" i="53"/>
  <c r="G9" i="53"/>
  <c r="H9" i="53"/>
  <c r="I9" i="53"/>
  <c r="J9" i="53"/>
  <c r="K9" i="53"/>
  <c r="L9" i="53"/>
  <c r="M9" i="53"/>
  <c r="N9" i="53"/>
  <c r="O9" i="53"/>
  <c r="P9" i="53"/>
  <c r="Q9" i="53"/>
  <c r="R9" i="53"/>
  <c r="S9" i="53"/>
  <c r="T9" i="53"/>
  <c r="U9" i="53"/>
  <c r="V9" i="53"/>
  <c r="W9" i="53"/>
  <c r="X9" i="53"/>
  <c r="Y9" i="53"/>
  <c r="Z9" i="53"/>
  <c r="AG9" i="53"/>
  <c r="AH9" i="53"/>
  <c r="AI9" i="53"/>
  <c r="AJ9" i="53"/>
  <c r="AK9" i="53"/>
  <c r="AL9" i="53"/>
  <c r="AM9" i="53"/>
  <c r="AN9" i="53"/>
  <c r="AO9" i="53"/>
  <c r="AS9" i="53"/>
  <c r="AT9" i="53"/>
  <c r="AU9" i="53"/>
  <c r="AV9" i="53"/>
  <c r="AX9" i="53"/>
  <c r="AY9" i="53"/>
  <c r="AZ9" i="53"/>
  <c r="BA9" i="53"/>
  <c r="BB9" i="53"/>
  <c r="BC9" i="53"/>
  <c r="BD9" i="53"/>
  <c r="BE9" i="53"/>
  <c r="BF9" i="53"/>
  <c r="BG9" i="53"/>
  <c r="BK9" i="53"/>
  <c r="BL9" i="53"/>
  <c r="BM9" i="53"/>
  <c r="BN9" i="53"/>
  <c r="BO9" i="53"/>
  <c r="BP9" i="53"/>
  <c r="BQ9" i="53"/>
  <c r="BR9" i="53"/>
  <c r="BS9" i="53"/>
  <c r="BT9" i="53"/>
  <c r="F10" i="53"/>
  <c r="G10" i="53"/>
  <c r="H10" i="53"/>
  <c r="I10" i="53"/>
  <c r="J10" i="53"/>
  <c r="K10" i="53"/>
  <c r="L10" i="53"/>
  <c r="M10" i="53"/>
  <c r="N10" i="53"/>
  <c r="O10" i="53"/>
  <c r="P10" i="53"/>
  <c r="Q10" i="53"/>
  <c r="R10" i="53"/>
  <c r="S10" i="53"/>
  <c r="T10" i="53"/>
  <c r="U10" i="53"/>
  <c r="V10" i="53"/>
  <c r="W10" i="53"/>
  <c r="X10" i="53"/>
  <c r="Y10" i="53"/>
  <c r="Z10" i="53"/>
  <c r="AG10" i="53"/>
  <c r="AH10" i="53"/>
  <c r="AI10" i="53"/>
  <c r="AJ10" i="53"/>
  <c r="AK10" i="53"/>
  <c r="AL10" i="53"/>
  <c r="AM10" i="53"/>
  <c r="AN10" i="53"/>
  <c r="AO10" i="53"/>
  <c r="AS10" i="53"/>
  <c r="AT10" i="53"/>
  <c r="AU10" i="53"/>
  <c r="AV10" i="53"/>
  <c r="AX10" i="53"/>
  <c r="AY10" i="53"/>
  <c r="AZ10" i="53"/>
  <c r="BA10" i="53"/>
  <c r="BB10" i="53"/>
  <c r="BC10" i="53"/>
  <c r="BD10" i="53"/>
  <c r="BE10" i="53"/>
  <c r="BF10" i="53"/>
  <c r="BG10" i="53"/>
  <c r="BK10" i="53"/>
  <c r="BL10" i="53"/>
  <c r="BM10" i="53"/>
  <c r="BN10" i="53"/>
  <c r="BO10" i="53"/>
  <c r="BP10" i="53"/>
  <c r="BQ10" i="53"/>
  <c r="BR10" i="53"/>
  <c r="BS10" i="53"/>
  <c r="BT10" i="53"/>
  <c r="C11" i="53"/>
  <c r="D11" i="53"/>
  <c r="E11" i="53"/>
  <c r="F11" i="53"/>
  <c r="G11" i="53"/>
  <c r="H11" i="53"/>
  <c r="I11" i="53"/>
  <c r="J11" i="53"/>
  <c r="K11" i="53"/>
  <c r="L11" i="53"/>
  <c r="M11" i="53"/>
  <c r="N11" i="53"/>
  <c r="O11" i="53"/>
  <c r="P11" i="53"/>
  <c r="Q11" i="53"/>
  <c r="R11" i="53"/>
  <c r="S11" i="53"/>
  <c r="T11" i="53"/>
  <c r="U11" i="53"/>
  <c r="V11" i="53"/>
  <c r="W11" i="53"/>
  <c r="X11" i="53"/>
  <c r="Y11" i="53"/>
  <c r="Z11" i="53"/>
  <c r="AG11" i="53"/>
  <c r="AH11" i="53"/>
  <c r="AI11" i="53"/>
  <c r="AJ11" i="53"/>
  <c r="AK11" i="53"/>
  <c r="AL11" i="53"/>
  <c r="AM11" i="53"/>
  <c r="AN11" i="53"/>
  <c r="AO11" i="53"/>
  <c r="AS11" i="53"/>
  <c r="AT11" i="53"/>
  <c r="AU11" i="53"/>
  <c r="AV11" i="53"/>
  <c r="AX11" i="53"/>
  <c r="AY11" i="53"/>
  <c r="AZ11" i="53"/>
  <c r="BA11" i="53"/>
  <c r="BB11" i="53"/>
  <c r="BC11" i="53"/>
  <c r="BD11" i="53"/>
  <c r="BE11" i="53"/>
  <c r="BF11" i="53"/>
  <c r="BG11" i="53"/>
  <c r="BK11" i="53"/>
  <c r="BL11" i="53"/>
  <c r="BM11" i="53"/>
  <c r="BN11" i="53"/>
  <c r="BO11" i="53"/>
  <c r="BP11" i="53"/>
  <c r="BQ11" i="53"/>
  <c r="BR11" i="53"/>
  <c r="BS11" i="53"/>
  <c r="BT11" i="53"/>
  <c r="C12" i="53"/>
  <c r="D12" i="53"/>
  <c r="E12" i="53"/>
  <c r="F12" i="53"/>
  <c r="G12" i="53"/>
  <c r="H12" i="53"/>
  <c r="I12" i="53"/>
  <c r="J12" i="53"/>
  <c r="K12" i="53"/>
  <c r="L12" i="53"/>
  <c r="M12" i="53"/>
  <c r="N12" i="53"/>
  <c r="O12" i="53"/>
  <c r="P12" i="53"/>
  <c r="Q12" i="53"/>
  <c r="R12" i="53"/>
  <c r="S12" i="53"/>
  <c r="T12" i="53"/>
  <c r="U12" i="53"/>
  <c r="V12" i="53"/>
  <c r="W12" i="53"/>
  <c r="X12" i="53"/>
  <c r="Y12" i="53"/>
  <c r="Z12" i="53"/>
  <c r="AG12" i="53"/>
  <c r="AH12" i="53"/>
  <c r="AI12" i="53"/>
  <c r="AJ12" i="53"/>
  <c r="AK12" i="53"/>
  <c r="AL12" i="53"/>
  <c r="AM12" i="53"/>
  <c r="AN12" i="53"/>
  <c r="AO12" i="53"/>
  <c r="AS12" i="53"/>
  <c r="AT12" i="53"/>
  <c r="AU12" i="53"/>
  <c r="AV12" i="53"/>
  <c r="AX12" i="53"/>
  <c r="AY12" i="53"/>
  <c r="AZ12" i="53"/>
  <c r="BA12" i="53"/>
  <c r="BB12" i="53"/>
  <c r="BC12" i="53"/>
  <c r="BD12" i="53"/>
  <c r="BE12" i="53"/>
  <c r="BF12" i="53"/>
  <c r="BG12" i="53"/>
  <c r="BK12" i="53"/>
  <c r="BL12" i="53"/>
  <c r="BM12" i="53"/>
  <c r="BN12" i="53"/>
  <c r="BO12" i="53"/>
  <c r="BP12" i="53"/>
  <c r="BQ12" i="53"/>
  <c r="BR12" i="53"/>
  <c r="BS12" i="53"/>
  <c r="BT12" i="53"/>
  <c r="C13" i="53"/>
  <c r="D13" i="53"/>
  <c r="E13" i="53"/>
  <c r="F13" i="53"/>
  <c r="G13" i="53"/>
  <c r="H13" i="53"/>
  <c r="I13" i="53"/>
  <c r="J13" i="53"/>
  <c r="K13" i="53"/>
  <c r="L13" i="53"/>
  <c r="M13" i="53"/>
  <c r="N13" i="53"/>
  <c r="O13" i="53"/>
  <c r="P13" i="53"/>
  <c r="Q13" i="53"/>
  <c r="R13" i="53"/>
  <c r="S13" i="53"/>
  <c r="T13" i="53"/>
  <c r="U13" i="53"/>
  <c r="V13" i="53"/>
  <c r="W13" i="53"/>
  <c r="X13" i="53"/>
  <c r="Y13" i="53"/>
  <c r="Z13" i="53"/>
  <c r="AG13" i="53"/>
  <c r="AH13" i="53"/>
  <c r="AI13" i="53"/>
  <c r="AJ13" i="53"/>
  <c r="AK13" i="53"/>
  <c r="AL13" i="53"/>
  <c r="AM13" i="53"/>
  <c r="AN13" i="53"/>
  <c r="AO13" i="53"/>
  <c r="AS13" i="53"/>
  <c r="AT13" i="53"/>
  <c r="AU13" i="53"/>
  <c r="AV13" i="53"/>
  <c r="AX13" i="53"/>
  <c r="AY13" i="53"/>
  <c r="AZ13" i="53"/>
  <c r="BA13" i="53"/>
  <c r="BB13" i="53"/>
  <c r="BC13" i="53"/>
  <c r="BD13" i="53"/>
  <c r="BE13" i="53"/>
  <c r="BF13" i="53"/>
  <c r="BG13" i="53"/>
  <c r="BK13" i="53"/>
  <c r="BL13" i="53"/>
  <c r="BM13" i="53"/>
  <c r="BN13" i="53"/>
  <c r="BO13" i="53"/>
  <c r="BP13" i="53"/>
  <c r="BQ13" i="53"/>
  <c r="BR13" i="53"/>
  <c r="BS13" i="53"/>
  <c r="BT13" i="53"/>
  <c r="C14" i="53"/>
  <c r="D14" i="53"/>
  <c r="E14" i="53"/>
  <c r="F14" i="53"/>
  <c r="G14" i="53"/>
  <c r="H14" i="53"/>
  <c r="I14" i="53"/>
  <c r="J14" i="53"/>
  <c r="K14" i="53"/>
  <c r="L14" i="53"/>
  <c r="M14" i="53"/>
  <c r="N14" i="53"/>
  <c r="O14" i="53"/>
  <c r="P14" i="53"/>
  <c r="Q14" i="53"/>
  <c r="R14" i="53"/>
  <c r="S14" i="53"/>
  <c r="T14" i="53"/>
  <c r="U14" i="53"/>
  <c r="V14" i="53"/>
  <c r="W14" i="53"/>
  <c r="X14" i="53"/>
  <c r="Y14" i="53"/>
  <c r="Z14" i="53"/>
  <c r="AG14" i="53"/>
  <c r="AH14" i="53"/>
  <c r="AI14" i="53"/>
  <c r="AJ14" i="53"/>
  <c r="AK14" i="53"/>
  <c r="AL14" i="53"/>
  <c r="AM14" i="53"/>
  <c r="AN14" i="53"/>
  <c r="AO14" i="53"/>
  <c r="AS14" i="53"/>
  <c r="AT14" i="53"/>
  <c r="AU14" i="53"/>
  <c r="AV14" i="53"/>
  <c r="AX14" i="53"/>
  <c r="AY14" i="53"/>
  <c r="AZ14" i="53"/>
  <c r="BA14" i="53"/>
  <c r="BB14" i="53"/>
  <c r="BC14" i="53"/>
  <c r="BD14" i="53"/>
  <c r="BE14" i="53"/>
  <c r="BF14" i="53"/>
  <c r="BG14" i="53"/>
  <c r="BK14" i="53"/>
  <c r="BL14" i="53"/>
  <c r="BM14" i="53"/>
  <c r="BN14" i="53"/>
  <c r="BO14" i="53"/>
  <c r="BP14" i="53"/>
  <c r="BQ14" i="53"/>
  <c r="BR14" i="53"/>
  <c r="BS14" i="53"/>
  <c r="BT14" i="53"/>
  <c r="C15" i="53"/>
  <c r="D15" i="53"/>
  <c r="E15" i="53"/>
  <c r="F15" i="53"/>
  <c r="G15" i="53"/>
  <c r="H15" i="53"/>
  <c r="I15" i="53"/>
  <c r="J15" i="53"/>
  <c r="K15" i="53"/>
  <c r="L15" i="53"/>
  <c r="M15" i="53"/>
  <c r="N15" i="53"/>
  <c r="O15" i="53"/>
  <c r="P15" i="53"/>
  <c r="Q15" i="53"/>
  <c r="R15" i="53"/>
  <c r="S15" i="53"/>
  <c r="T15" i="53"/>
  <c r="U15" i="53"/>
  <c r="V15" i="53"/>
  <c r="W15" i="53"/>
  <c r="X15" i="53"/>
  <c r="Y15" i="53"/>
  <c r="Z15" i="53"/>
  <c r="AG15" i="53"/>
  <c r="AH15" i="53"/>
  <c r="AI15" i="53"/>
  <c r="AJ15" i="53"/>
  <c r="AK15" i="53"/>
  <c r="AL15" i="53"/>
  <c r="AM15" i="53"/>
  <c r="AN15" i="53"/>
  <c r="AO15" i="53"/>
  <c r="AS15" i="53"/>
  <c r="AT15" i="53"/>
  <c r="AU15" i="53"/>
  <c r="AV15" i="53"/>
  <c r="AX15" i="53"/>
  <c r="AY15" i="53"/>
  <c r="AZ15" i="53"/>
  <c r="BA15" i="53"/>
  <c r="BB15" i="53"/>
  <c r="BC15" i="53"/>
  <c r="BD15" i="53"/>
  <c r="BE15" i="53"/>
  <c r="BF15" i="53"/>
  <c r="BG15" i="53"/>
  <c r="BK15" i="53"/>
  <c r="BL15" i="53"/>
  <c r="BM15" i="53"/>
  <c r="BN15" i="53"/>
  <c r="BO15" i="53"/>
  <c r="BP15" i="53"/>
  <c r="BQ15" i="53"/>
  <c r="BR15" i="53"/>
  <c r="BS15" i="53"/>
  <c r="BT15" i="53"/>
  <c r="C16" i="53"/>
  <c r="D16" i="53"/>
  <c r="E16" i="53"/>
  <c r="F16" i="53"/>
  <c r="G16" i="53"/>
  <c r="H16" i="53"/>
  <c r="I16" i="53"/>
  <c r="J16" i="53"/>
  <c r="K16" i="53"/>
  <c r="L16" i="53"/>
  <c r="M16" i="53"/>
  <c r="N16" i="53"/>
  <c r="O16" i="53"/>
  <c r="P16" i="53"/>
  <c r="Q16" i="53"/>
  <c r="R16" i="53"/>
  <c r="S16" i="53"/>
  <c r="T16" i="53"/>
  <c r="U16" i="53"/>
  <c r="V16" i="53"/>
  <c r="W16" i="53"/>
  <c r="X16" i="53"/>
  <c r="Y16" i="53"/>
  <c r="Z16" i="53"/>
  <c r="AG16" i="53"/>
  <c r="AH16" i="53"/>
  <c r="AI16" i="53"/>
  <c r="AJ16" i="53"/>
  <c r="AK16" i="53"/>
  <c r="AL16" i="53"/>
  <c r="AM16" i="53"/>
  <c r="AN16" i="53"/>
  <c r="AO16" i="53"/>
  <c r="AS16" i="53"/>
  <c r="AT16" i="53"/>
  <c r="AU16" i="53"/>
  <c r="AV16" i="53"/>
  <c r="AX16" i="53"/>
  <c r="AY16" i="53"/>
  <c r="AZ16" i="53"/>
  <c r="BA16" i="53"/>
  <c r="BB16" i="53"/>
  <c r="BC16" i="53"/>
  <c r="BD16" i="53"/>
  <c r="BE16" i="53"/>
  <c r="BF16" i="53"/>
  <c r="BG16" i="53"/>
  <c r="BK16" i="53"/>
  <c r="BL16" i="53"/>
  <c r="BM16" i="53"/>
  <c r="BN16" i="53"/>
  <c r="BO16" i="53"/>
  <c r="BP16" i="53"/>
  <c r="BQ16" i="53"/>
  <c r="BR16" i="53"/>
  <c r="BS16" i="53"/>
  <c r="BT16" i="53"/>
  <c r="C17" i="53"/>
  <c r="D17" i="53"/>
  <c r="E17" i="53"/>
  <c r="F17" i="53"/>
  <c r="G17" i="53"/>
  <c r="H17" i="53"/>
  <c r="I17" i="53"/>
  <c r="J17" i="53"/>
  <c r="K17" i="53"/>
  <c r="L17" i="53"/>
  <c r="M17" i="53"/>
  <c r="N17" i="53"/>
  <c r="O17" i="53"/>
  <c r="P17" i="53"/>
  <c r="Q17" i="53"/>
  <c r="R17" i="53"/>
  <c r="S17" i="53"/>
  <c r="T17" i="53"/>
  <c r="U17" i="53"/>
  <c r="V17" i="53"/>
  <c r="W17" i="53"/>
  <c r="X17" i="53"/>
  <c r="Y17" i="53"/>
  <c r="Z17" i="53"/>
  <c r="AG17" i="53"/>
  <c r="AH17" i="53"/>
  <c r="AI17" i="53"/>
  <c r="AJ17" i="53"/>
  <c r="AK17" i="53"/>
  <c r="AL17" i="53"/>
  <c r="AM17" i="53"/>
  <c r="AN17" i="53"/>
  <c r="AO17" i="53"/>
  <c r="AS17" i="53"/>
  <c r="AT17" i="53"/>
  <c r="AU17" i="53"/>
  <c r="AV17" i="53"/>
  <c r="AX17" i="53"/>
  <c r="AY17" i="53"/>
  <c r="AZ17" i="53"/>
  <c r="BA17" i="53"/>
  <c r="BB17" i="53"/>
  <c r="BC17" i="53"/>
  <c r="BD17" i="53"/>
  <c r="BE17" i="53"/>
  <c r="BF17" i="53"/>
  <c r="BG17" i="53"/>
  <c r="BK17" i="53"/>
  <c r="BL17" i="53"/>
  <c r="BM17" i="53"/>
  <c r="BN17" i="53"/>
  <c r="BO17" i="53"/>
  <c r="BP17" i="53"/>
  <c r="BQ17" i="53"/>
  <c r="BR17" i="53"/>
  <c r="BS17" i="53"/>
  <c r="BT17" i="53"/>
  <c r="C18" i="53"/>
  <c r="D18" i="53"/>
  <c r="E18" i="53"/>
  <c r="F18" i="53"/>
  <c r="G18" i="53"/>
  <c r="H18" i="53"/>
  <c r="I18" i="53"/>
  <c r="J18" i="53"/>
  <c r="K18" i="53"/>
  <c r="L18" i="53"/>
  <c r="M18" i="53"/>
  <c r="N18" i="53"/>
  <c r="O18" i="53"/>
  <c r="P18" i="53"/>
  <c r="Q18" i="53"/>
  <c r="R18" i="53"/>
  <c r="S18" i="53"/>
  <c r="T18" i="53"/>
  <c r="U18" i="53"/>
  <c r="V18" i="53"/>
  <c r="W18" i="53"/>
  <c r="X18" i="53"/>
  <c r="Y18" i="53"/>
  <c r="Z18" i="53"/>
  <c r="AG18" i="53"/>
  <c r="AH18" i="53"/>
  <c r="AI18" i="53"/>
  <c r="AJ18" i="53"/>
  <c r="AK18" i="53"/>
  <c r="AL18" i="53"/>
  <c r="AM18" i="53"/>
  <c r="AN18" i="53"/>
  <c r="AO18" i="53"/>
  <c r="AS18" i="53"/>
  <c r="AT18" i="53"/>
  <c r="AU18" i="53"/>
  <c r="AV18" i="53"/>
  <c r="AX18" i="53"/>
  <c r="AY18" i="53"/>
  <c r="AZ18" i="53"/>
  <c r="BA18" i="53"/>
  <c r="BB18" i="53"/>
  <c r="BC18" i="53"/>
  <c r="BD18" i="53"/>
  <c r="BE18" i="53"/>
  <c r="BF18" i="53"/>
  <c r="BG18" i="53"/>
  <c r="BK18" i="53"/>
  <c r="BL18" i="53"/>
  <c r="BM18" i="53"/>
  <c r="BN18" i="53"/>
  <c r="BO18" i="53"/>
  <c r="BP18" i="53"/>
  <c r="BQ18" i="53"/>
  <c r="BR18" i="53"/>
  <c r="BS18" i="53"/>
  <c r="BT18" i="53"/>
  <c r="C19" i="53"/>
  <c r="D19" i="53"/>
  <c r="E19" i="53"/>
  <c r="F19" i="53"/>
  <c r="G19" i="53"/>
  <c r="H19" i="53"/>
  <c r="I19" i="53"/>
  <c r="J19" i="53"/>
  <c r="K19" i="53"/>
  <c r="L19" i="53"/>
  <c r="M19" i="53"/>
  <c r="N19" i="53"/>
  <c r="O19" i="53"/>
  <c r="P19" i="53"/>
  <c r="Q19" i="53"/>
  <c r="R19" i="53"/>
  <c r="S19" i="53"/>
  <c r="T19" i="53"/>
  <c r="U19" i="53"/>
  <c r="V19" i="53"/>
  <c r="W19" i="53"/>
  <c r="X19" i="53"/>
  <c r="Y19" i="53"/>
  <c r="Z19" i="53"/>
  <c r="AG19" i="53"/>
  <c r="AH19" i="53"/>
  <c r="AI19" i="53"/>
  <c r="AJ19" i="53"/>
  <c r="AK19" i="53"/>
  <c r="AL19" i="53"/>
  <c r="AM19" i="53"/>
  <c r="AN19" i="53"/>
  <c r="AO19" i="53"/>
  <c r="AS19" i="53"/>
  <c r="AT19" i="53"/>
  <c r="AW19" i="53" s="1"/>
  <c r="AU19" i="53"/>
  <c r="AV19" i="53"/>
  <c r="AX19" i="53"/>
  <c r="AY19" i="53"/>
  <c r="AZ19" i="53"/>
  <c r="BA19" i="53"/>
  <c r="BB19" i="53"/>
  <c r="BC19" i="53"/>
  <c r="BD19" i="53"/>
  <c r="BE19" i="53"/>
  <c r="BF19" i="53"/>
  <c r="BG19" i="53"/>
  <c r="BK19" i="53"/>
  <c r="BL19" i="53"/>
  <c r="BM19" i="53"/>
  <c r="BN19" i="53"/>
  <c r="BO19" i="53"/>
  <c r="BP19" i="53"/>
  <c r="BQ19" i="53"/>
  <c r="BR19" i="53"/>
  <c r="BS19" i="53"/>
  <c r="BT19" i="53"/>
  <c r="C20" i="53"/>
  <c r="D20" i="53"/>
  <c r="E20" i="53"/>
  <c r="F20" i="53"/>
  <c r="G20" i="53"/>
  <c r="H20" i="53"/>
  <c r="I20" i="53"/>
  <c r="J20" i="53"/>
  <c r="K20" i="53"/>
  <c r="L20" i="53"/>
  <c r="M20" i="53"/>
  <c r="N20" i="53"/>
  <c r="O20" i="53"/>
  <c r="P20" i="53"/>
  <c r="Q20" i="53"/>
  <c r="R20" i="53"/>
  <c r="S20" i="53"/>
  <c r="T20" i="53"/>
  <c r="U20" i="53"/>
  <c r="V20" i="53"/>
  <c r="W20" i="53"/>
  <c r="X20" i="53"/>
  <c r="Y20" i="53"/>
  <c r="Z20" i="53"/>
  <c r="AG20" i="53"/>
  <c r="AH20" i="53"/>
  <c r="AI20" i="53"/>
  <c r="AJ20" i="53"/>
  <c r="AK20" i="53"/>
  <c r="AL20" i="53"/>
  <c r="AM20" i="53"/>
  <c r="AN20" i="53"/>
  <c r="AO20" i="53"/>
  <c r="AS20" i="53"/>
  <c r="AT20" i="53"/>
  <c r="AW20" i="53" s="1"/>
  <c r="AU20" i="53"/>
  <c r="AV20" i="53"/>
  <c r="AX20" i="53"/>
  <c r="AY20" i="53"/>
  <c r="AZ20" i="53"/>
  <c r="BA20" i="53"/>
  <c r="BB20" i="53"/>
  <c r="BC20" i="53"/>
  <c r="BD20" i="53"/>
  <c r="BE20" i="53"/>
  <c r="BF20" i="53"/>
  <c r="BG20" i="53"/>
  <c r="BK20" i="53"/>
  <c r="BL20" i="53"/>
  <c r="BM20" i="53"/>
  <c r="BN20" i="53"/>
  <c r="BO20" i="53"/>
  <c r="BP20" i="53"/>
  <c r="BQ20" i="53"/>
  <c r="BR20" i="53"/>
  <c r="BS20" i="53"/>
  <c r="BT20" i="53"/>
  <c r="C21" i="53"/>
  <c r="D21" i="53"/>
  <c r="E21" i="53"/>
  <c r="F21" i="53"/>
  <c r="G21" i="53"/>
  <c r="H21" i="53"/>
  <c r="I21" i="53"/>
  <c r="J21" i="53"/>
  <c r="K21" i="53"/>
  <c r="L21" i="53"/>
  <c r="M21" i="53"/>
  <c r="N21" i="53"/>
  <c r="O21" i="53"/>
  <c r="P21" i="53"/>
  <c r="Q21" i="53"/>
  <c r="R21" i="53"/>
  <c r="S21" i="53"/>
  <c r="T21" i="53"/>
  <c r="U21" i="53"/>
  <c r="V21" i="53"/>
  <c r="W21" i="53"/>
  <c r="X21" i="53"/>
  <c r="Y21" i="53"/>
  <c r="Z21" i="53"/>
  <c r="AG21" i="53"/>
  <c r="AH21" i="53"/>
  <c r="AI21" i="53"/>
  <c r="AJ21" i="53"/>
  <c r="AK21" i="53"/>
  <c r="AL21" i="53"/>
  <c r="AM21" i="53"/>
  <c r="AN21" i="53"/>
  <c r="AO21" i="53"/>
  <c r="AS21" i="53"/>
  <c r="AT21" i="53"/>
  <c r="AW21" i="53" s="1"/>
  <c r="AU21" i="53"/>
  <c r="AV21" i="53"/>
  <c r="AX21" i="53"/>
  <c r="AY21" i="53"/>
  <c r="AZ21" i="53"/>
  <c r="BA21" i="53"/>
  <c r="BB21" i="53"/>
  <c r="BC21" i="53"/>
  <c r="BD21" i="53"/>
  <c r="BE21" i="53"/>
  <c r="BF21" i="53"/>
  <c r="BG21" i="53"/>
  <c r="BK21" i="53"/>
  <c r="BL21" i="53"/>
  <c r="BM21" i="53"/>
  <c r="BN21" i="53"/>
  <c r="BO21" i="53"/>
  <c r="BP21" i="53"/>
  <c r="BQ21" i="53"/>
  <c r="BR21" i="53"/>
  <c r="BS21" i="53"/>
  <c r="BT21" i="53"/>
  <c r="C22" i="53"/>
  <c r="D22" i="53"/>
  <c r="E22" i="53"/>
  <c r="F22" i="53"/>
  <c r="G22" i="53"/>
  <c r="H22" i="53"/>
  <c r="I22" i="53"/>
  <c r="J22" i="53"/>
  <c r="K22" i="53"/>
  <c r="L22" i="53"/>
  <c r="M22" i="53"/>
  <c r="N22" i="53"/>
  <c r="O22" i="53"/>
  <c r="P22" i="53"/>
  <c r="Q22" i="53"/>
  <c r="R22" i="53"/>
  <c r="S22" i="53"/>
  <c r="T22" i="53"/>
  <c r="U22" i="53"/>
  <c r="V22" i="53"/>
  <c r="W22" i="53"/>
  <c r="X22" i="53"/>
  <c r="Y22" i="53"/>
  <c r="Z22" i="53"/>
  <c r="AG22" i="53"/>
  <c r="AH22" i="53"/>
  <c r="AI22" i="53"/>
  <c r="AJ22" i="53"/>
  <c r="AK22" i="53"/>
  <c r="AL22" i="53"/>
  <c r="AM22" i="53"/>
  <c r="AN22" i="53"/>
  <c r="AO22" i="53"/>
  <c r="AS22" i="53"/>
  <c r="AT22" i="53"/>
  <c r="AW22" i="53" s="1"/>
  <c r="AU22" i="53"/>
  <c r="AV22" i="53"/>
  <c r="AX22" i="53"/>
  <c r="AY22" i="53"/>
  <c r="AZ22" i="53"/>
  <c r="BA22" i="53"/>
  <c r="BB22" i="53"/>
  <c r="BC22" i="53"/>
  <c r="BD22" i="53"/>
  <c r="BE22" i="53"/>
  <c r="BF22" i="53"/>
  <c r="BG22" i="53"/>
  <c r="BK22" i="53"/>
  <c r="BL22" i="53"/>
  <c r="BM22" i="53"/>
  <c r="BN22" i="53"/>
  <c r="BO22" i="53"/>
  <c r="BP22" i="53"/>
  <c r="BQ22" i="53"/>
  <c r="BR22" i="53"/>
  <c r="BS22" i="53"/>
  <c r="BT22" i="53"/>
  <c r="C23" i="53"/>
  <c r="D23" i="53"/>
  <c r="E23" i="53"/>
  <c r="F23" i="53"/>
  <c r="G23" i="53"/>
  <c r="H23" i="53"/>
  <c r="I23" i="53"/>
  <c r="J23" i="53"/>
  <c r="K23" i="53"/>
  <c r="L23" i="53"/>
  <c r="M23" i="53"/>
  <c r="N23" i="53"/>
  <c r="O23" i="53"/>
  <c r="P23" i="53"/>
  <c r="Q23" i="53"/>
  <c r="R23" i="53"/>
  <c r="S23" i="53"/>
  <c r="T23" i="53"/>
  <c r="U23" i="53"/>
  <c r="V23" i="53"/>
  <c r="W23" i="53"/>
  <c r="X23" i="53"/>
  <c r="Y23" i="53"/>
  <c r="Z23" i="53"/>
  <c r="AG23" i="53"/>
  <c r="AH23" i="53"/>
  <c r="AI23" i="53"/>
  <c r="AJ23" i="53"/>
  <c r="AK23" i="53"/>
  <c r="AL23" i="53"/>
  <c r="AM23" i="53"/>
  <c r="AN23" i="53"/>
  <c r="AO23" i="53"/>
  <c r="AS23" i="53"/>
  <c r="AT23" i="53"/>
  <c r="AW23" i="53" s="1"/>
  <c r="AU23" i="53"/>
  <c r="AV23" i="53"/>
  <c r="AX23" i="53"/>
  <c r="AY23" i="53"/>
  <c r="AZ23" i="53"/>
  <c r="BA23" i="53"/>
  <c r="BB23" i="53"/>
  <c r="BC23" i="53"/>
  <c r="BD23" i="53"/>
  <c r="BE23" i="53"/>
  <c r="BF23" i="53"/>
  <c r="BG23" i="53"/>
  <c r="BK23" i="53"/>
  <c r="BL23" i="53"/>
  <c r="BM23" i="53"/>
  <c r="BN23" i="53"/>
  <c r="BO23" i="53"/>
  <c r="BP23" i="53"/>
  <c r="BQ23" i="53"/>
  <c r="BR23" i="53"/>
  <c r="BS23" i="53"/>
  <c r="BT23" i="53"/>
  <c r="C24" i="53"/>
  <c r="D24" i="53"/>
  <c r="E24" i="53"/>
  <c r="F24" i="53"/>
  <c r="G24" i="53"/>
  <c r="H24" i="53"/>
  <c r="I24" i="53"/>
  <c r="J24" i="53"/>
  <c r="K24" i="53"/>
  <c r="L24" i="53"/>
  <c r="M24" i="53"/>
  <c r="N24" i="53"/>
  <c r="O24" i="53"/>
  <c r="P24" i="53"/>
  <c r="Q24" i="53"/>
  <c r="R24" i="53"/>
  <c r="S24" i="53"/>
  <c r="T24" i="53"/>
  <c r="U24" i="53"/>
  <c r="V24" i="53"/>
  <c r="W24" i="53"/>
  <c r="X24" i="53"/>
  <c r="Y24" i="53"/>
  <c r="Z24" i="53"/>
  <c r="AG24" i="53"/>
  <c r="AH24" i="53"/>
  <c r="AI24" i="53"/>
  <c r="AJ24" i="53"/>
  <c r="AK24" i="53"/>
  <c r="AL24" i="53"/>
  <c r="AM24" i="53"/>
  <c r="AN24" i="53"/>
  <c r="AO24" i="53"/>
  <c r="AS24" i="53"/>
  <c r="AT24" i="53"/>
  <c r="AW24" i="53" s="1"/>
  <c r="AU24" i="53"/>
  <c r="AV24" i="53"/>
  <c r="AX24" i="53"/>
  <c r="AY24" i="53"/>
  <c r="AZ24" i="53"/>
  <c r="BA24" i="53"/>
  <c r="BB24" i="53"/>
  <c r="BC24" i="53"/>
  <c r="BD24" i="53"/>
  <c r="BE24" i="53"/>
  <c r="BF24" i="53"/>
  <c r="BG24" i="53"/>
  <c r="BK24" i="53"/>
  <c r="BL24" i="53"/>
  <c r="BM24" i="53"/>
  <c r="BN24" i="53"/>
  <c r="BO24" i="53"/>
  <c r="BP24" i="53"/>
  <c r="BQ24" i="53"/>
  <c r="BR24" i="53"/>
  <c r="BS24" i="53"/>
  <c r="BT24" i="53"/>
  <c r="C25" i="53"/>
  <c r="D25" i="53"/>
  <c r="E25" i="53"/>
  <c r="F25" i="53"/>
  <c r="G25" i="53"/>
  <c r="H25" i="53"/>
  <c r="I25" i="53"/>
  <c r="J25" i="53"/>
  <c r="K25" i="53"/>
  <c r="L25" i="53"/>
  <c r="M25" i="53"/>
  <c r="N25" i="53"/>
  <c r="O25" i="53"/>
  <c r="P25" i="53"/>
  <c r="Q25" i="53"/>
  <c r="R25" i="53"/>
  <c r="S25" i="53"/>
  <c r="T25" i="53"/>
  <c r="U25" i="53"/>
  <c r="V25" i="53"/>
  <c r="W25" i="53"/>
  <c r="X25" i="53"/>
  <c r="Y25" i="53"/>
  <c r="Z25" i="53"/>
  <c r="AG25" i="53"/>
  <c r="AH25" i="53"/>
  <c r="AI25" i="53"/>
  <c r="AJ25" i="53"/>
  <c r="AK25" i="53"/>
  <c r="AL25" i="53"/>
  <c r="AM25" i="53"/>
  <c r="AN25" i="53"/>
  <c r="AO25" i="53"/>
  <c r="AS25" i="53"/>
  <c r="AT25" i="53"/>
  <c r="AW25" i="53" s="1"/>
  <c r="AU25" i="53"/>
  <c r="AV25" i="53"/>
  <c r="AX25" i="53"/>
  <c r="AY25" i="53"/>
  <c r="AZ25" i="53"/>
  <c r="BA25" i="53"/>
  <c r="BB25" i="53"/>
  <c r="BC25" i="53"/>
  <c r="BD25" i="53"/>
  <c r="BE25" i="53"/>
  <c r="BF25" i="53"/>
  <c r="BG25" i="53"/>
  <c r="BK25" i="53"/>
  <c r="BL25" i="53"/>
  <c r="BM25" i="53"/>
  <c r="BN25" i="53"/>
  <c r="BO25" i="53"/>
  <c r="BP25" i="53"/>
  <c r="BQ25" i="53"/>
  <c r="BR25" i="53"/>
  <c r="BS25" i="53"/>
  <c r="BT25" i="53"/>
  <c r="C26" i="53"/>
  <c r="D26" i="53"/>
  <c r="E26" i="53"/>
  <c r="F26" i="53"/>
  <c r="G26" i="53"/>
  <c r="H26" i="53"/>
  <c r="I26" i="53"/>
  <c r="J26" i="53"/>
  <c r="K26" i="53"/>
  <c r="L26" i="53"/>
  <c r="M26" i="53"/>
  <c r="N26" i="53"/>
  <c r="O26" i="53"/>
  <c r="P26" i="53"/>
  <c r="Q26" i="53"/>
  <c r="R26" i="53"/>
  <c r="S26" i="53"/>
  <c r="T26" i="53"/>
  <c r="U26" i="53"/>
  <c r="V26" i="53"/>
  <c r="W26" i="53"/>
  <c r="X26" i="53"/>
  <c r="Y26" i="53"/>
  <c r="Z26" i="53"/>
  <c r="AG26" i="53"/>
  <c r="AH26" i="53"/>
  <c r="AI26" i="53"/>
  <c r="AJ26" i="53"/>
  <c r="AK26" i="53"/>
  <c r="AL26" i="53"/>
  <c r="AM26" i="53"/>
  <c r="AN26" i="53"/>
  <c r="AO26" i="53"/>
  <c r="AS26" i="53"/>
  <c r="AT26" i="53"/>
  <c r="AW26" i="53" s="1"/>
  <c r="AU26" i="53"/>
  <c r="AV26" i="53"/>
  <c r="AX26" i="53"/>
  <c r="AY26" i="53"/>
  <c r="AZ26" i="53"/>
  <c r="BA26" i="53"/>
  <c r="BB26" i="53"/>
  <c r="BC26" i="53"/>
  <c r="BD26" i="53"/>
  <c r="BE26" i="53"/>
  <c r="BF26" i="53"/>
  <c r="BG26" i="53"/>
  <c r="BK26" i="53"/>
  <c r="BL26" i="53"/>
  <c r="BM26" i="53"/>
  <c r="BN26" i="53"/>
  <c r="BO26" i="53"/>
  <c r="BP26" i="53"/>
  <c r="BQ26" i="53"/>
  <c r="BR26" i="53"/>
  <c r="BS26" i="53"/>
  <c r="BT26" i="53"/>
  <c r="C27" i="53"/>
  <c r="D27" i="53"/>
  <c r="E27" i="53"/>
  <c r="F27" i="53"/>
  <c r="G27" i="53"/>
  <c r="H27" i="53"/>
  <c r="I27" i="53"/>
  <c r="J27" i="53"/>
  <c r="K27" i="53"/>
  <c r="L27" i="53"/>
  <c r="M27" i="53"/>
  <c r="N27" i="53"/>
  <c r="O27" i="53"/>
  <c r="P27" i="53"/>
  <c r="Q27" i="53"/>
  <c r="R27" i="53"/>
  <c r="S27" i="53"/>
  <c r="T27" i="53"/>
  <c r="U27" i="53"/>
  <c r="V27" i="53"/>
  <c r="W27" i="53"/>
  <c r="X27" i="53"/>
  <c r="Y27" i="53"/>
  <c r="Z27" i="53"/>
  <c r="AG27" i="53"/>
  <c r="AH27" i="53"/>
  <c r="AI27" i="53"/>
  <c r="AJ27" i="53"/>
  <c r="AK27" i="53"/>
  <c r="AL27" i="53"/>
  <c r="AM27" i="53"/>
  <c r="AN27" i="53"/>
  <c r="AO27" i="53"/>
  <c r="AS27" i="53"/>
  <c r="AT27" i="53"/>
  <c r="AW27" i="53" s="1"/>
  <c r="AU27" i="53"/>
  <c r="AV27" i="53"/>
  <c r="AX27" i="53"/>
  <c r="AY27" i="53"/>
  <c r="AZ27" i="53"/>
  <c r="BA27" i="53"/>
  <c r="BB27" i="53"/>
  <c r="BC27" i="53"/>
  <c r="BD27" i="53"/>
  <c r="BE27" i="53"/>
  <c r="BF27" i="53"/>
  <c r="BG27" i="53"/>
  <c r="BK27" i="53"/>
  <c r="BL27" i="53"/>
  <c r="BM27" i="53"/>
  <c r="BN27" i="53"/>
  <c r="BO27" i="53"/>
  <c r="BP27" i="53"/>
  <c r="BQ27" i="53"/>
  <c r="BR27" i="53"/>
  <c r="BS27" i="53"/>
  <c r="BT27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R28" i="53"/>
  <c r="S28" i="53"/>
  <c r="T28" i="53"/>
  <c r="U28" i="53"/>
  <c r="V28" i="53"/>
  <c r="W28" i="53"/>
  <c r="X28" i="53"/>
  <c r="Y28" i="53"/>
  <c r="Z28" i="53"/>
  <c r="AG28" i="53"/>
  <c r="AH28" i="53"/>
  <c r="AI28" i="53"/>
  <c r="AJ28" i="53"/>
  <c r="AK28" i="53"/>
  <c r="AL28" i="53"/>
  <c r="AM28" i="53"/>
  <c r="AN28" i="53"/>
  <c r="AO28" i="53"/>
  <c r="AS28" i="53"/>
  <c r="AT28" i="53"/>
  <c r="AW28" i="53" s="1"/>
  <c r="AU28" i="53"/>
  <c r="AV28" i="53"/>
  <c r="AX28" i="53"/>
  <c r="AY28" i="53"/>
  <c r="AZ28" i="53"/>
  <c r="BA28" i="53"/>
  <c r="BB28" i="53"/>
  <c r="BC28" i="53"/>
  <c r="BD28" i="53"/>
  <c r="BE28" i="53"/>
  <c r="BF28" i="53"/>
  <c r="BG28" i="53"/>
  <c r="BK28" i="53"/>
  <c r="BL28" i="53"/>
  <c r="BM28" i="53"/>
  <c r="BN28" i="53"/>
  <c r="BO28" i="53"/>
  <c r="BP28" i="53"/>
  <c r="BQ28" i="53"/>
  <c r="BR28" i="53"/>
  <c r="BS28" i="53"/>
  <c r="BT28" i="53"/>
  <c r="C29" i="53"/>
  <c r="D29" i="53"/>
  <c r="E29" i="53"/>
  <c r="F29" i="53"/>
  <c r="G29" i="53"/>
  <c r="H29" i="53"/>
  <c r="I29" i="53"/>
  <c r="J29" i="53"/>
  <c r="K29" i="53"/>
  <c r="L29" i="53"/>
  <c r="M29" i="53"/>
  <c r="N29" i="53"/>
  <c r="O29" i="53"/>
  <c r="P29" i="53"/>
  <c r="Q29" i="53"/>
  <c r="R29" i="53"/>
  <c r="S29" i="53"/>
  <c r="T29" i="53"/>
  <c r="U29" i="53"/>
  <c r="V29" i="53"/>
  <c r="W29" i="53"/>
  <c r="X29" i="53"/>
  <c r="Y29" i="53"/>
  <c r="Z29" i="53"/>
  <c r="AG29" i="53"/>
  <c r="AH29" i="53"/>
  <c r="AI29" i="53"/>
  <c r="AJ29" i="53"/>
  <c r="AK29" i="53"/>
  <c r="AL29" i="53"/>
  <c r="AM29" i="53"/>
  <c r="AN29" i="53"/>
  <c r="AO29" i="53"/>
  <c r="AS29" i="53"/>
  <c r="AT29" i="53"/>
  <c r="AW29" i="53" s="1"/>
  <c r="AU29" i="53"/>
  <c r="AV29" i="53"/>
  <c r="AX29" i="53"/>
  <c r="AY29" i="53"/>
  <c r="AZ29" i="53"/>
  <c r="BA29" i="53"/>
  <c r="BB29" i="53"/>
  <c r="BC29" i="53"/>
  <c r="BD29" i="53"/>
  <c r="BE29" i="53"/>
  <c r="BF29" i="53"/>
  <c r="BG29" i="53"/>
  <c r="BK29" i="53"/>
  <c r="BL29" i="53"/>
  <c r="BM29" i="53"/>
  <c r="BN29" i="53"/>
  <c r="BO29" i="53"/>
  <c r="BP29" i="53"/>
  <c r="BQ29" i="53"/>
  <c r="BR29" i="53"/>
  <c r="BS29" i="53"/>
  <c r="BT29" i="53"/>
  <c r="C30" i="53"/>
  <c r="D30" i="53"/>
  <c r="E30" i="53"/>
  <c r="F30" i="53"/>
  <c r="G30" i="53"/>
  <c r="H30" i="53"/>
  <c r="I30" i="53"/>
  <c r="J30" i="53"/>
  <c r="K30" i="53"/>
  <c r="L30" i="53"/>
  <c r="M30" i="53"/>
  <c r="N30" i="53"/>
  <c r="O30" i="53"/>
  <c r="P30" i="53"/>
  <c r="Q30" i="53"/>
  <c r="R30" i="53"/>
  <c r="S30" i="53"/>
  <c r="T30" i="53"/>
  <c r="U30" i="53"/>
  <c r="V30" i="53"/>
  <c r="W30" i="53"/>
  <c r="X30" i="53"/>
  <c r="Y30" i="53"/>
  <c r="Z30" i="53"/>
  <c r="AG30" i="53"/>
  <c r="AH30" i="53"/>
  <c r="AI30" i="53"/>
  <c r="AJ30" i="53"/>
  <c r="AK30" i="53"/>
  <c r="AL30" i="53"/>
  <c r="AM30" i="53"/>
  <c r="AN30" i="53"/>
  <c r="AO30" i="53"/>
  <c r="AS30" i="53"/>
  <c r="AT30" i="53"/>
  <c r="AW30" i="53" s="1"/>
  <c r="AU30" i="53"/>
  <c r="AV30" i="53"/>
  <c r="AX30" i="53"/>
  <c r="AY30" i="53"/>
  <c r="AZ30" i="53"/>
  <c r="BA30" i="53"/>
  <c r="BB30" i="53"/>
  <c r="BC30" i="53"/>
  <c r="BD30" i="53"/>
  <c r="BE30" i="53"/>
  <c r="BF30" i="53"/>
  <c r="BG30" i="53"/>
  <c r="BK30" i="53"/>
  <c r="BL30" i="53"/>
  <c r="BM30" i="53"/>
  <c r="BN30" i="53"/>
  <c r="BO30" i="53"/>
  <c r="BP30" i="53"/>
  <c r="BQ30" i="53"/>
  <c r="BR30" i="53"/>
  <c r="BS30" i="53"/>
  <c r="BT30" i="53"/>
  <c r="C31" i="53"/>
  <c r="D31" i="53"/>
  <c r="E31" i="53"/>
  <c r="F31" i="53"/>
  <c r="G31" i="53"/>
  <c r="H31" i="53"/>
  <c r="I31" i="53"/>
  <c r="J31" i="53"/>
  <c r="K31" i="53"/>
  <c r="L31" i="53"/>
  <c r="M31" i="53"/>
  <c r="N31" i="53"/>
  <c r="O31" i="53"/>
  <c r="P31" i="53"/>
  <c r="Q31" i="53"/>
  <c r="R31" i="53"/>
  <c r="S31" i="53"/>
  <c r="T31" i="53"/>
  <c r="U31" i="53"/>
  <c r="V31" i="53"/>
  <c r="W31" i="53"/>
  <c r="X31" i="53"/>
  <c r="Y31" i="53"/>
  <c r="Z31" i="53"/>
  <c r="AG31" i="53"/>
  <c r="AH31" i="53"/>
  <c r="AI31" i="53"/>
  <c r="AJ31" i="53"/>
  <c r="AK31" i="53"/>
  <c r="AL31" i="53"/>
  <c r="AM31" i="53"/>
  <c r="AN31" i="53"/>
  <c r="AO31" i="53"/>
  <c r="AS31" i="53"/>
  <c r="AT31" i="53"/>
  <c r="AW31" i="53" s="1"/>
  <c r="AU31" i="53"/>
  <c r="AV31" i="53"/>
  <c r="AX31" i="53"/>
  <c r="AY31" i="53"/>
  <c r="AZ31" i="53"/>
  <c r="BA31" i="53"/>
  <c r="BB31" i="53"/>
  <c r="BC31" i="53"/>
  <c r="BD31" i="53"/>
  <c r="BE31" i="53"/>
  <c r="BF31" i="53"/>
  <c r="BG31" i="53"/>
  <c r="BK31" i="53"/>
  <c r="BL31" i="53"/>
  <c r="BM31" i="53"/>
  <c r="BN31" i="53"/>
  <c r="BO31" i="53"/>
  <c r="BP31" i="53"/>
  <c r="BQ31" i="53"/>
  <c r="BR31" i="53"/>
  <c r="BS31" i="53"/>
  <c r="BT31" i="53"/>
  <c r="C32" i="53"/>
  <c r="D32" i="53"/>
  <c r="E32" i="53"/>
  <c r="F32" i="53"/>
  <c r="G32" i="53"/>
  <c r="H32" i="53"/>
  <c r="I32" i="53"/>
  <c r="J32" i="53"/>
  <c r="K32" i="53"/>
  <c r="L32" i="53"/>
  <c r="M32" i="53"/>
  <c r="N32" i="53"/>
  <c r="O32" i="53"/>
  <c r="P32" i="53"/>
  <c r="Q32" i="53"/>
  <c r="R32" i="53"/>
  <c r="S32" i="53"/>
  <c r="T32" i="53"/>
  <c r="U32" i="53"/>
  <c r="V32" i="53"/>
  <c r="W32" i="53"/>
  <c r="X32" i="53"/>
  <c r="Y32" i="53"/>
  <c r="Z32" i="53"/>
  <c r="AG32" i="53"/>
  <c r="AH32" i="53"/>
  <c r="AI32" i="53"/>
  <c r="AJ32" i="53"/>
  <c r="AK32" i="53"/>
  <c r="AL32" i="53"/>
  <c r="AM32" i="53"/>
  <c r="AN32" i="53"/>
  <c r="AO32" i="53"/>
  <c r="AS32" i="53"/>
  <c r="AT32" i="53"/>
  <c r="AW32" i="53" s="1"/>
  <c r="AU32" i="53"/>
  <c r="AV32" i="53"/>
  <c r="AX32" i="53"/>
  <c r="AY32" i="53"/>
  <c r="AZ32" i="53"/>
  <c r="BA32" i="53"/>
  <c r="BB32" i="53"/>
  <c r="BC32" i="53"/>
  <c r="BD32" i="53"/>
  <c r="BE32" i="53"/>
  <c r="BF32" i="53"/>
  <c r="BG32" i="53"/>
  <c r="BK32" i="53"/>
  <c r="BL32" i="53"/>
  <c r="BM32" i="53"/>
  <c r="BN32" i="53"/>
  <c r="BO32" i="53"/>
  <c r="BP32" i="53"/>
  <c r="BQ32" i="53"/>
  <c r="BR32" i="53"/>
  <c r="BS32" i="53"/>
  <c r="BT32" i="53"/>
  <c r="C33" i="53"/>
  <c r="D33" i="53"/>
  <c r="E33" i="53"/>
  <c r="F33" i="53"/>
  <c r="G33" i="53"/>
  <c r="H33" i="53"/>
  <c r="I33" i="53"/>
  <c r="J33" i="53"/>
  <c r="K33" i="53"/>
  <c r="L33" i="53"/>
  <c r="M33" i="53"/>
  <c r="N33" i="53"/>
  <c r="O33" i="53"/>
  <c r="P33" i="53"/>
  <c r="Q33" i="53"/>
  <c r="R33" i="53"/>
  <c r="S33" i="53"/>
  <c r="T33" i="53"/>
  <c r="U33" i="53"/>
  <c r="V33" i="53"/>
  <c r="W33" i="53"/>
  <c r="X33" i="53"/>
  <c r="Y33" i="53"/>
  <c r="Z33" i="53"/>
  <c r="AG33" i="53"/>
  <c r="AH33" i="53"/>
  <c r="AI33" i="53"/>
  <c r="AJ33" i="53"/>
  <c r="AK33" i="53"/>
  <c r="AL33" i="53"/>
  <c r="AM33" i="53"/>
  <c r="AN33" i="53"/>
  <c r="AO33" i="53"/>
  <c r="AS33" i="53"/>
  <c r="AT33" i="53"/>
  <c r="AW33" i="53" s="1"/>
  <c r="AU33" i="53"/>
  <c r="AV33" i="53"/>
  <c r="AX33" i="53"/>
  <c r="AY33" i="53"/>
  <c r="AZ33" i="53"/>
  <c r="BA33" i="53"/>
  <c r="BB33" i="53"/>
  <c r="BC33" i="53"/>
  <c r="BD33" i="53"/>
  <c r="BE33" i="53"/>
  <c r="BF33" i="53"/>
  <c r="BG33" i="53"/>
  <c r="BK33" i="53"/>
  <c r="BL33" i="53"/>
  <c r="BM33" i="53"/>
  <c r="BN33" i="53"/>
  <c r="BO33" i="53"/>
  <c r="BP33" i="53"/>
  <c r="BQ33" i="53"/>
  <c r="BR33" i="53"/>
  <c r="BS33" i="53"/>
  <c r="BT33" i="53"/>
  <c r="AT34" i="53"/>
  <c r="AW34" i="53" s="1"/>
  <c r="AU34" i="53"/>
  <c r="AV34" i="53"/>
  <c r="AT35" i="53"/>
  <c r="AW35" i="53" s="1"/>
  <c r="AU35" i="53"/>
  <c r="AV35" i="53"/>
  <c r="AT36" i="53"/>
  <c r="AW36" i="53" s="1"/>
  <c r="AU36" i="53"/>
  <c r="AV36" i="53"/>
  <c r="AT37" i="53"/>
  <c r="AW37" i="53" s="1"/>
  <c r="AU37" i="53"/>
  <c r="AV37" i="53"/>
  <c r="AT38" i="53"/>
  <c r="AW38" i="53" s="1"/>
  <c r="AU38" i="53"/>
  <c r="AV38" i="53"/>
  <c r="AT39" i="53"/>
  <c r="AW39" i="53" s="1"/>
  <c r="AU39" i="53"/>
  <c r="AV39" i="53"/>
  <c r="AT40" i="53"/>
  <c r="AW40" i="53" s="1"/>
  <c r="AU40" i="53"/>
  <c r="AV40" i="53"/>
  <c r="AT41" i="53"/>
  <c r="AW41" i="53" s="1"/>
  <c r="AU41" i="53"/>
  <c r="AV41" i="53"/>
  <c r="AT42" i="53"/>
  <c r="AW42" i="53" s="1"/>
  <c r="AU42" i="53"/>
  <c r="AV42" i="53"/>
  <c r="AT43" i="53"/>
  <c r="AW43" i="53" s="1"/>
  <c r="AU43" i="53"/>
  <c r="AV43" i="53"/>
  <c r="AT44" i="53"/>
  <c r="AW44" i="53" s="1"/>
  <c r="AU44" i="53"/>
  <c r="AV44" i="53"/>
  <c r="AT45" i="53"/>
  <c r="AW45" i="53" s="1"/>
  <c r="AU45" i="53"/>
  <c r="AV45" i="53"/>
  <c r="AT46" i="53"/>
  <c r="AW46" i="53" s="1"/>
  <c r="AU46" i="53"/>
  <c r="AV46" i="53"/>
  <c r="AT47" i="53"/>
  <c r="AW47" i="53" s="1"/>
  <c r="AU47" i="53"/>
  <c r="AV47" i="53"/>
  <c r="AT48" i="53"/>
  <c r="AW48" i="53" s="1"/>
  <c r="AU48" i="53"/>
  <c r="AV48" i="53"/>
  <c r="AT49" i="53"/>
  <c r="AW49" i="53" s="1"/>
  <c r="AU49" i="53"/>
  <c r="AV49" i="53"/>
  <c r="AT50" i="53"/>
  <c r="AW50" i="53" s="1"/>
  <c r="AU50" i="53"/>
  <c r="AV50" i="53"/>
  <c r="AT51" i="53"/>
  <c r="AW51" i="53" s="1"/>
  <c r="AU51" i="53"/>
  <c r="AV51" i="53"/>
  <c r="AT52" i="53"/>
  <c r="AW52" i="53" s="1"/>
  <c r="AU52" i="53"/>
  <c r="AV52" i="53"/>
  <c r="AT53" i="53"/>
  <c r="AW53" i="53" s="1"/>
  <c r="AU53" i="53"/>
  <c r="AV53" i="53"/>
  <c r="AT54" i="53"/>
  <c r="AW54" i="53" s="1"/>
  <c r="AU54" i="53"/>
  <c r="AV54" i="53"/>
  <c r="AW55" i="53"/>
  <c r="AW56" i="53"/>
  <c r="AW57" i="53"/>
  <c r="AW58" i="53"/>
  <c r="AW59" i="53"/>
  <c r="AW60" i="53"/>
  <c r="AW61" i="53"/>
  <c r="AW62" i="53"/>
  <c r="AW63" i="53"/>
  <c r="AW64" i="53"/>
  <c r="AW65" i="53"/>
  <c r="AW66" i="53"/>
  <c r="C7" i="52"/>
  <c r="C17" i="10" s="1"/>
  <c r="C8" i="52"/>
  <c r="D8" i="52"/>
  <c r="E8" i="52"/>
  <c r="F8" i="52"/>
  <c r="G8" i="52"/>
  <c r="H8" i="52"/>
  <c r="I8" i="52"/>
  <c r="J8" i="52"/>
  <c r="K8" i="52"/>
  <c r="L8" i="52"/>
  <c r="M8" i="52"/>
  <c r="N8" i="52"/>
  <c r="O8" i="52"/>
  <c r="P8" i="52"/>
  <c r="Q8" i="52"/>
  <c r="R8" i="52"/>
  <c r="S8" i="52"/>
  <c r="T8" i="52"/>
  <c r="U8" i="52"/>
  <c r="V8" i="52"/>
  <c r="W8" i="52"/>
  <c r="X8" i="52"/>
  <c r="Y8" i="52"/>
  <c r="Z8" i="52"/>
  <c r="AG8" i="52"/>
  <c r="AH8" i="52"/>
  <c r="AI8" i="52"/>
  <c r="AJ8" i="52"/>
  <c r="AK8" i="52"/>
  <c r="AL8" i="52"/>
  <c r="AM8" i="52"/>
  <c r="AN8" i="52"/>
  <c r="AO8" i="52"/>
  <c r="AS8" i="52"/>
  <c r="AT8" i="52"/>
  <c r="AU8" i="52"/>
  <c r="AV8" i="52"/>
  <c r="AX8" i="52"/>
  <c r="AY8" i="52"/>
  <c r="AZ8" i="52"/>
  <c r="BA8" i="52"/>
  <c r="BB8" i="52"/>
  <c r="BC8" i="52"/>
  <c r="BD8" i="52"/>
  <c r="BE8" i="52"/>
  <c r="BF8" i="52"/>
  <c r="BG8" i="52"/>
  <c r="BK8" i="52"/>
  <c r="BL8" i="52"/>
  <c r="BM8" i="52"/>
  <c r="BN8" i="52"/>
  <c r="BO8" i="52"/>
  <c r="BP8" i="52"/>
  <c r="BQ8" i="52"/>
  <c r="BR8" i="52"/>
  <c r="BS8" i="52"/>
  <c r="BT8" i="52"/>
  <c r="C9" i="52"/>
  <c r="D9" i="52"/>
  <c r="E9" i="52"/>
  <c r="F9" i="52"/>
  <c r="G9" i="52"/>
  <c r="H9" i="52"/>
  <c r="I9" i="52"/>
  <c r="J9" i="52"/>
  <c r="K9" i="52"/>
  <c r="L9" i="52"/>
  <c r="M9" i="52"/>
  <c r="N9" i="52"/>
  <c r="O9" i="52"/>
  <c r="P9" i="52"/>
  <c r="Q9" i="52"/>
  <c r="R9" i="52"/>
  <c r="S9" i="52"/>
  <c r="T9" i="52"/>
  <c r="U9" i="52"/>
  <c r="V9" i="52"/>
  <c r="W9" i="52"/>
  <c r="X9" i="52"/>
  <c r="Y9" i="52"/>
  <c r="Z9" i="52"/>
  <c r="AG9" i="52"/>
  <c r="AH9" i="52"/>
  <c r="AI9" i="52"/>
  <c r="AJ9" i="52"/>
  <c r="AK9" i="52"/>
  <c r="AL9" i="52"/>
  <c r="AM9" i="52"/>
  <c r="AN9" i="52"/>
  <c r="AO9" i="52"/>
  <c r="AS9" i="52"/>
  <c r="AT9" i="52"/>
  <c r="AU9" i="52"/>
  <c r="AV9" i="52"/>
  <c r="AX9" i="52"/>
  <c r="AY9" i="52"/>
  <c r="AZ9" i="52"/>
  <c r="BA9" i="52"/>
  <c r="BB9" i="52"/>
  <c r="BC9" i="52"/>
  <c r="BD9" i="52"/>
  <c r="BE9" i="52"/>
  <c r="BF9" i="52"/>
  <c r="BG9" i="52"/>
  <c r="BK9" i="52"/>
  <c r="BL9" i="52"/>
  <c r="BM9" i="52"/>
  <c r="BN9" i="52"/>
  <c r="BO9" i="52"/>
  <c r="BP9" i="52"/>
  <c r="BQ9" i="52"/>
  <c r="BR9" i="52"/>
  <c r="BS9" i="52"/>
  <c r="BT9" i="52"/>
  <c r="C10" i="52"/>
  <c r="D10" i="52"/>
  <c r="E10" i="52"/>
  <c r="F10" i="52"/>
  <c r="G10" i="52"/>
  <c r="H10" i="52"/>
  <c r="I10" i="52"/>
  <c r="J10" i="52"/>
  <c r="K10" i="52"/>
  <c r="L10" i="52"/>
  <c r="M10" i="52"/>
  <c r="N10" i="52"/>
  <c r="O10" i="52"/>
  <c r="P10" i="52"/>
  <c r="Q10" i="52"/>
  <c r="R10" i="52"/>
  <c r="S10" i="52"/>
  <c r="T10" i="52"/>
  <c r="U10" i="52"/>
  <c r="V10" i="52"/>
  <c r="W10" i="52"/>
  <c r="X10" i="52"/>
  <c r="Y10" i="52"/>
  <c r="Z10" i="52"/>
  <c r="AG10" i="52"/>
  <c r="AH10" i="52"/>
  <c r="AI10" i="52"/>
  <c r="AJ10" i="52"/>
  <c r="AK10" i="52"/>
  <c r="AL10" i="52"/>
  <c r="AM10" i="52"/>
  <c r="AN10" i="52"/>
  <c r="AO10" i="52"/>
  <c r="AS10" i="52"/>
  <c r="AT10" i="52"/>
  <c r="AU10" i="52"/>
  <c r="AV10" i="52"/>
  <c r="AX10" i="52"/>
  <c r="AY10" i="52"/>
  <c r="AZ10" i="52"/>
  <c r="BA10" i="52"/>
  <c r="BB10" i="52"/>
  <c r="BC10" i="52"/>
  <c r="BD10" i="52"/>
  <c r="BE10" i="52"/>
  <c r="BF10" i="52"/>
  <c r="BG10" i="52"/>
  <c r="BK10" i="52"/>
  <c r="BL10" i="52"/>
  <c r="BM10" i="52"/>
  <c r="BN10" i="52"/>
  <c r="BO10" i="52"/>
  <c r="BQ10" i="52"/>
  <c r="BR10" i="52"/>
  <c r="BS10" i="52"/>
  <c r="BT10" i="52"/>
  <c r="D11" i="52"/>
  <c r="E11" i="52"/>
  <c r="F11" i="52"/>
  <c r="G11" i="52"/>
  <c r="H11" i="52"/>
  <c r="I11" i="52"/>
  <c r="J11" i="52"/>
  <c r="K11" i="52"/>
  <c r="L11" i="52"/>
  <c r="M11" i="52"/>
  <c r="N11" i="52"/>
  <c r="O11" i="52"/>
  <c r="P11" i="52"/>
  <c r="Q11" i="52"/>
  <c r="R11" i="52"/>
  <c r="S11" i="52"/>
  <c r="T11" i="52"/>
  <c r="U11" i="52"/>
  <c r="V11" i="52"/>
  <c r="W11" i="52"/>
  <c r="X11" i="52"/>
  <c r="Y11" i="52"/>
  <c r="Z11" i="52"/>
  <c r="AG11" i="52"/>
  <c r="AH11" i="52"/>
  <c r="AI11" i="52"/>
  <c r="AJ11" i="52"/>
  <c r="AK11" i="52"/>
  <c r="AL11" i="52"/>
  <c r="AM11" i="52"/>
  <c r="AN11" i="52"/>
  <c r="AO11" i="52"/>
  <c r="AS11" i="52"/>
  <c r="AT11" i="52"/>
  <c r="AU11" i="52"/>
  <c r="AV11" i="52"/>
  <c r="AX11" i="52"/>
  <c r="AY11" i="52"/>
  <c r="AZ11" i="52"/>
  <c r="BA11" i="52"/>
  <c r="BB11" i="52"/>
  <c r="BC11" i="52"/>
  <c r="BD11" i="52"/>
  <c r="BE11" i="52"/>
  <c r="BF11" i="52"/>
  <c r="BG11" i="52"/>
  <c r="BK11" i="52"/>
  <c r="BL11" i="52"/>
  <c r="BM11" i="52"/>
  <c r="BN11" i="52"/>
  <c r="BO11" i="52"/>
  <c r="BP11" i="52"/>
  <c r="BQ11" i="52"/>
  <c r="BR11" i="52"/>
  <c r="BS11" i="52"/>
  <c r="BT11" i="52"/>
  <c r="C12" i="52"/>
  <c r="D12" i="52"/>
  <c r="E12" i="52"/>
  <c r="F12" i="52"/>
  <c r="G12" i="52"/>
  <c r="H12" i="52"/>
  <c r="I12" i="52"/>
  <c r="J12" i="52"/>
  <c r="K12" i="52"/>
  <c r="L12" i="52"/>
  <c r="M12" i="52"/>
  <c r="N12" i="52"/>
  <c r="O12" i="52"/>
  <c r="P12" i="52"/>
  <c r="Q12" i="52"/>
  <c r="R12" i="52"/>
  <c r="S12" i="52"/>
  <c r="T12" i="52"/>
  <c r="U12" i="52"/>
  <c r="V12" i="52"/>
  <c r="W12" i="52"/>
  <c r="X12" i="52"/>
  <c r="Y12" i="52"/>
  <c r="Z12" i="52"/>
  <c r="AG12" i="52"/>
  <c r="AH12" i="52"/>
  <c r="AI12" i="52"/>
  <c r="AJ12" i="52"/>
  <c r="AK12" i="52"/>
  <c r="AL12" i="52"/>
  <c r="AM12" i="52"/>
  <c r="AN12" i="52"/>
  <c r="AO12" i="52"/>
  <c r="AS12" i="52"/>
  <c r="AT12" i="52"/>
  <c r="AU12" i="52"/>
  <c r="AV12" i="52"/>
  <c r="AX12" i="52"/>
  <c r="AY12" i="52"/>
  <c r="AZ12" i="52"/>
  <c r="BA12" i="52"/>
  <c r="BB12" i="52"/>
  <c r="BC12" i="52"/>
  <c r="BD12" i="52"/>
  <c r="BE12" i="52"/>
  <c r="BF12" i="52"/>
  <c r="BG12" i="52"/>
  <c r="BK12" i="52"/>
  <c r="BL12" i="52"/>
  <c r="BM12" i="52"/>
  <c r="BN12" i="52"/>
  <c r="BO12" i="52"/>
  <c r="BP12" i="52"/>
  <c r="BQ12" i="52"/>
  <c r="BR12" i="52"/>
  <c r="BS12" i="52"/>
  <c r="BT12" i="52"/>
  <c r="C13" i="52"/>
  <c r="D13" i="52"/>
  <c r="E13" i="52"/>
  <c r="F13" i="52"/>
  <c r="G13" i="52"/>
  <c r="H13" i="52"/>
  <c r="I13" i="52"/>
  <c r="J13" i="52"/>
  <c r="K13" i="52"/>
  <c r="L13" i="52"/>
  <c r="M13" i="52"/>
  <c r="N13" i="52"/>
  <c r="O13" i="52"/>
  <c r="P13" i="52"/>
  <c r="Q13" i="52"/>
  <c r="R13" i="52"/>
  <c r="S13" i="52"/>
  <c r="T13" i="52"/>
  <c r="U13" i="52"/>
  <c r="V13" i="52"/>
  <c r="W13" i="52"/>
  <c r="X13" i="52"/>
  <c r="Y13" i="52"/>
  <c r="Z13" i="52"/>
  <c r="AG13" i="52"/>
  <c r="AH13" i="52"/>
  <c r="AI13" i="52"/>
  <c r="AJ13" i="52"/>
  <c r="AK13" i="52"/>
  <c r="AL13" i="52"/>
  <c r="AM13" i="52"/>
  <c r="AN13" i="52"/>
  <c r="AO13" i="52"/>
  <c r="AS13" i="52"/>
  <c r="AT13" i="52"/>
  <c r="AU13" i="52"/>
  <c r="AV13" i="52"/>
  <c r="AX13" i="52"/>
  <c r="AY13" i="52"/>
  <c r="AZ13" i="52"/>
  <c r="BA13" i="52"/>
  <c r="BB13" i="52"/>
  <c r="BC13" i="52"/>
  <c r="BD13" i="52"/>
  <c r="BE13" i="52"/>
  <c r="BF13" i="52"/>
  <c r="BG13" i="52"/>
  <c r="BK13" i="52"/>
  <c r="BL13" i="52"/>
  <c r="BM13" i="52"/>
  <c r="BN13" i="52"/>
  <c r="BO13" i="52"/>
  <c r="BP13" i="52"/>
  <c r="BQ13" i="52"/>
  <c r="BR13" i="52"/>
  <c r="BS13" i="52"/>
  <c r="BT13" i="52"/>
  <c r="C14" i="52"/>
  <c r="D14" i="52"/>
  <c r="E14" i="52"/>
  <c r="F14" i="52"/>
  <c r="G14" i="52"/>
  <c r="H14" i="52"/>
  <c r="I14" i="52"/>
  <c r="J14" i="52"/>
  <c r="K14" i="52"/>
  <c r="L14" i="52"/>
  <c r="M14" i="52"/>
  <c r="N14" i="52"/>
  <c r="O14" i="52"/>
  <c r="P14" i="52"/>
  <c r="Q14" i="52"/>
  <c r="R14" i="52"/>
  <c r="S14" i="52"/>
  <c r="T14" i="52"/>
  <c r="U14" i="52"/>
  <c r="V14" i="52"/>
  <c r="W14" i="52"/>
  <c r="X14" i="52"/>
  <c r="Y14" i="52"/>
  <c r="Z14" i="52"/>
  <c r="AG14" i="52"/>
  <c r="AH14" i="52"/>
  <c r="AI14" i="52"/>
  <c r="AJ14" i="52"/>
  <c r="AK14" i="52"/>
  <c r="AL14" i="52"/>
  <c r="AM14" i="52"/>
  <c r="AN14" i="52"/>
  <c r="AO14" i="52"/>
  <c r="AS14" i="52"/>
  <c r="AT14" i="52"/>
  <c r="AU14" i="52"/>
  <c r="AV14" i="52"/>
  <c r="AX14" i="52"/>
  <c r="AY14" i="52"/>
  <c r="AZ14" i="52"/>
  <c r="BA14" i="52"/>
  <c r="BB14" i="52"/>
  <c r="BC14" i="52"/>
  <c r="BD14" i="52"/>
  <c r="BE14" i="52"/>
  <c r="BF14" i="52"/>
  <c r="BG14" i="52"/>
  <c r="BK14" i="52"/>
  <c r="BL14" i="52"/>
  <c r="BM14" i="52"/>
  <c r="BN14" i="52"/>
  <c r="BO14" i="52"/>
  <c r="BP14" i="52"/>
  <c r="BQ14" i="52"/>
  <c r="BR14" i="52"/>
  <c r="BS14" i="52"/>
  <c r="BT14" i="52"/>
  <c r="C15" i="52"/>
  <c r="D15" i="52"/>
  <c r="E15" i="52"/>
  <c r="F15" i="52"/>
  <c r="G15" i="52"/>
  <c r="H15" i="52"/>
  <c r="I15" i="52"/>
  <c r="J15" i="52"/>
  <c r="K15" i="52"/>
  <c r="L15" i="52"/>
  <c r="M15" i="52"/>
  <c r="N15" i="52"/>
  <c r="O15" i="52"/>
  <c r="P15" i="52"/>
  <c r="Q15" i="52"/>
  <c r="R15" i="52"/>
  <c r="S15" i="52"/>
  <c r="T15" i="52"/>
  <c r="U15" i="52"/>
  <c r="V15" i="52"/>
  <c r="W15" i="52"/>
  <c r="X15" i="52"/>
  <c r="Y15" i="52"/>
  <c r="Z15" i="52"/>
  <c r="AG15" i="52"/>
  <c r="AH15" i="52"/>
  <c r="AI15" i="52"/>
  <c r="AJ15" i="52"/>
  <c r="AK15" i="52"/>
  <c r="AL15" i="52"/>
  <c r="AM15" i="52"/>
  <c r="AN15" i="52"/>
  <c r="AO15" i="52"/>
  <c r="AS15" i="52"/>
  <c r="AT15" i="52"/>
  <c r="AU15" i="52"/>
  <c r="AV15" i="52"/>
  <c r="AX15" i="52"/>
  <c r="AY15" i="52"/>
  <c r="AZ15" i="52"/>
  <c r="BA15" i="52"/>
  <c r="BB15" i="52"/>
  <c r="BC15" i="52"/>
  <c r="BD15" i="52"/>
  <c r="BE15" i="52"/>
  <c r="BF15" i="52"/>
  <c r="BG15" i="52"/>
  <c r="BK15" i="52"/>
  <c r="BL15" i="52"/>
  <c r="BM15" i="52"/>
  <c r="BN15" i="52"/>
  <c r="BO15" i="52"/>
  <c r="BP15" i="52"/>
  <c r="BQ15" i="52"/>
  <c r="BR15" i="52"/>
  <c r="BS15" i="52"/>
  <c r="BT15" i="52"/>
  <c r="C16" i="52"/>
  <c r="D16" i="52"/>
  <c r="E16" i="52"/>
  <c r="F16" i="52"/>
  <c r="G16" i="52"/>
  <c r="H16" i="52"/>
  <c r="I16" i="52"/>
  <c r="J16" i="52"/>
  <c r="K16" i="52"/>
  <c r="L16" i="52"/>
  <c r="M16" i="52"/>
  <c r="N16" i="52"/>
  <c r="O16" i="52"/>
  <c r="P16" i="52"/>
  <c r="Q16" i="52"/>
  <c r="R16" i="52"/>
  <c r="S16" i="52"/>
  <c r="T16" i="52"/>
  <c r="U16" i="52"/>
  <c r="V16" i="52"/>
  <c r="W16" i="52"/>
  <c r="X16" i="52"/>
  <c r="Y16" i="52"/>
  <c r="Z16" i="52"/>
  <c r="AG16" i="52"/>
  <c r="AH16" i="52"/>
  <c r="AI16" i="52"/>
  <c r="AJ16" i="52"/>
  <c r="AK16" i="52"/>
  <c r="AL16" i="52"/>
  <c r="AM16" i="52"/>
  <c r="AN16" i="52"/>
  <c r="AO16" i="52"/>
  <c r="AS16" i="52"/>
  <c r="AT16" i="52"/>
  <c r="AU16" i="52"/>
  <c r="AV16" i="52"/>
  <c r="AX16" i="52"/>
  <c r="AY16" i="52"/>
  <c r="AZ16" i="52"/>
  <c r="BA16" i="52"/>
  <c r="BB16" i="52"/>
  <c r="BC16" i="52"/>
  <c r="BD16" i="52"/>
  <c r="BE16" i="52"/>
  <c r="BF16" i="52"/>
  <c r="BG16" i="52"/>
  <c r="BK16" i="52"/>
  <c r="BL16" i="52"/>
  <c r="BM16" i="52"/>
  <c r="BN16" i="52"/>
  <c r="BO16" i="52"/>
  <c r="BP16" i="52"/>
  <c r="BQ16" i="52"/>
  <c r="BR16" i="52"/>
  <c r="BS16" i="52"/>
  <c r="BT16" i="52"/>
  <c r="C17" i="52"/>
  <c r="D17" i="52"/>
  <c r="E17" i="52"/>
  <c r="F17" i="52"/>
  <c r="G17" i="52"/>
  <c r="H17" i="52"/>
  <c r="I17" i="52"/>
  <c r="J17" i="52"/>
  <c r="K17" i="52"/>
  <c r="L17" i="52"/>
  <c r="M17" i="52"/>
  <c r="N17" i="52"/>
  <c r="O17" i="52"/>
  <c r="P17" i="52"/>
  <c r="Q17" i="52"/>
  <c r="R17" i="52"/>
  <c r="S17" i="52"/>
  <c r="T17" i="52"/>
  <c r="U17" i="52"/>
  <c r="V17" i="52"/>
  <c r="W17" i="52"/>
  <c r="X17" i="52"/>
  <c r="Y17" i="52"/>
  <c r="Z17" i="52"/>
  <c r="AG17" i="52"/>
  <c r="AH17" i="52"/>
  <c r="AI17" i="52"/>
  <c r="AJ17" i="52"/>
  <c r="AK17" i="52"/>
  <c r="AL17" i="52"/>
  <c r="AM17" i="52"/>
  <c r="AN17" i="52"/>
  <c r="AO17" i="52"/>
  <c r="AS17" i="52"/>
  <c r="AT17" i="52"/>
  <c r="AU17" i="52"/>
  <c r="AV17" i="52"/>
  <c r="AX17" i="52"/>
  <c r="AY17" i="52"/>
  <c r="AZ17" i="52"/>
  <c r="BA17" i="52"/>
  <c r="BB17" i="52"/>
  <c r="BC17" i="52"/>
  <c r="BD17" i="52"/>
  <c r="BE17" i="52"/>
  <c r="BF17" i="52"/>
  <c r="BG17" i="52"/>
  <c r="BK17" i="52"/>
  <c r="BL17" i="52"/>
  <c r="BM17" i="52"/>
  <c r="BN17" i="52"/>
  <c r="BO17" i="52"/>
  <c r="BP17" i="52"/>
  <c r="BQ17" i="52"/>
  <c r="BR17" i="52"/>
  <c r="BS17" i="52"/>
  <c r="BT17" i="52"/>
  <c r="C18" i="52"/>
  <c r="D18" i="52"/>
  <c r="E18" i="52"/>
  <c r="F18" i="52"/>
  <c r="G18" i="52"/>
  <c r="H18" i="52"/>
  <c r="I18" i="52"/>
  <c r="J18" i="52"/>
  <c r="K18" i="52"/>
  <c r="L18" i="52"/>
  <c r="M18" i="52"/>
  <c r="N18" i="52"/>
  <c r="O18" i="52"/>
  <c r="P18" i="52"/>
  <c r="Q18" i="52"/>
  <c r="R18" i="52"/>
  <c r="S18" i="52"/>
  <c r="T18" i="52"/>
  <c r="U18" i="52"/>
  <c r="V18" i="52"/>
  <c r="W18" i="52"/>
  <c r="X18" i="52"/>
  <c r="Y18" i="52"/>
  <c r="Z18" i="52"/>
  <c r="AG18" i="52"/>
  <c r="AH18" i="52"/>
  <c r="AI18" i="52"/>
  <c r="AJ18" i="52"/>
  <c r="AK18" i="52"/>
  <c r="AL18" i="52"/>
  <c r="AM18" i="52"/>
  <c r="AN18" i="52"/>
  <c r="AO18" i="52"/>
  <c r="AS18" i="52"/>
  <c r="AT18" i="52"/>
  <c r="AU18" i="52"/>
  <c r="AV18" i="52"/>
  <c r="AX18" i="52"/>
  <c r="AY18" i="52"/>
  <c r="AZ18" i="52"/>
  <c r="BA18" i="52"/>
  <c r="BB18" i="52"/>
  <c r="BC18" i="52"/>
  <c r="BD18" i="52"/>
  <c r="BE18" i="52"/>
  <c r="BF18" i="52"/>
  <c r="BG18" i="52"/>
  <c r="BK18" i="52"/>
  <c r="BL18" i="52"/>
  <c r="BM18" i="52"/>
  <c r="BN18" i="52"/>
  <c r="BO18" i="52"/>
  <c r="BP18" i="52"/>
  <c r="BQ18" i="52"/>
  <c r="BR18" i="52"/>
  <c r="BS18" i="52"/>
  <c r="BT18" i="52"/>
  <c r="C19" i="52"/>
  <c r="D19" i="52"/>
  <c r="E19" i="52"/>
  <c r="F19" i="52"/>
  <c r="G19" i="52"/>
  <c r="H19" i="52"/>
  <c r="I19" i="52"/>
  <c r="J19" i="52"/>
  <c r="K19" i="52"/>
  <c r="L19" i="52"/>
  <c r="M19" i="52"/>
  <c r="N19" i="52"/>
  <c r="O19" i="52"/>
  <c r="P19" i="52"/>
  <c r="Q19" i="52"/>
  <c r="R19" i="52"/>
  <c r="S19" i="52"/>
  <c r="T19" i="52"/>
  <c r="U19" i="52"/>
  <c r="V19" i="52"/>
  <c r="W19" i="52"/>
  <c r="X19" i="52"/>
  <c r="Y19" i="52"/>
  <c r="Z19" i="52"/>
  <c r="AG19" i="52"/>
  <c r="AH19" i="52"/>
  <c r="AI19" i="52"/>
  <c r="AJ19" i="52"/>
  <c r="AK19" i="52"/>
  <c r="AL19" i="52"/>
  <c r="AM19" i="52"/>
  <c r="AN19" i="52"/>
  <c r="AO19" i="52"/>
  <c r="AS19" i="52"/>
  <c r="AT19" i="52"/>
  <c r="AW19" i="52" s="1"/>
  <c r="AU19" i="52"/>
  <c r="AV19" i="52"/>
  <c r="AX19" i="52"/>
  <c r="AY19" i="52"/>
  <c r="AZ19" i="52"/>
  <c r="BA19" i="52"/>
  <c r="BB19" i="52"/>
  <c r="BC19" i="52"/>
  <c r="BD19" i="52"/>
  <c r="BE19" i="52"/>
  <c r="BF19" i="52"/>
  <c r="BG19" i="52"/>
  <c r="BK19" i="52"/>
  <c r="BL19" i="52"/>
  <c r="BM19" i="52"/>
  <c r="BN19" i="52"/>
  <c r="BO19" i="52"/>
  <c r="BP19" i="52"/>
  <c r="BQ19" i="52"/>
  <c r="BR19" i="52"/>
  <c r="BS19" i="52"/>
  <c r="BT19" i="52"/>
  <c r="C20" i="52"/>
  <c r="D20" i="52"/>
  <c r="E20" i="52"/>
  <c r="F20" i="52"/>
  <c r="G20" i="52"/>
  <c r="H20" i="52"/>
  <c r="I20" i="52"/>
  <c r="J20" i="52"/>
  <c r="K20" i="52"/>
  <c r="L20" i="52"/>
  <c r="M20" i="52"/>
  <c r="N20" i="52"/>
  <c r="O20" i="52"/>
  <c r="P20" i="52"/>
  <c r="Q20" i="52"/>
  <c r="R20" i="52"/>
  <c r="S20" i="52"/>
  <c r="T20" i="52"/>
  <c r="U20" i="52"/>
  <c r="V20" i="52"/>
  <c r="W20" i="52"/>
  <c r="X20" i="52"/>
  <c r="Y20" i="52"/>
  <c r="Z20" i="52"/>
  <c r="AG20" i="52"/>
  <c r="AH20" i="52"/>
  <c r="AI20" i="52"/>
  <c r="AJ20" i="52"/>
  <c r="AK20" i="52"/>
  <c r="AL20" i="52"/>
  <c r="AM20" i="52"/>
  <c r="AN20" i="52"/>
  <c r="AO20" i="52"/>
  <c r="AS20" i="52"/>
  <c r="AT20" i="52"/>
  <c r="AW20" i="52" s="1"/>
  <c r="AU20" i="52"/>
  <c r="AV20" i="52"/>
  <c r="AX20" i="52"/>
  <c r="AY20" i="52"/>
  <c r="AZ20" i="52"/>
  <c r="BA20" i="52"/>
  <c r="BB20" i="52"/>
  <c r="BC20" i="52"/>
  <c r="BD20" i="52"/>
  <c r="BE20" i="52"/>
  <c r="BF20" i="52"/>
  <c r="BG20" i="52"/>
  <c r="BK20" i="52"/>
  <c r="BL20" i="52"/>
  <c r="BM20" i="52"/>
  <c r="BN20" i="52"/>
  <c r="BO20" i="52"/>
  <c r="BP20" i="52"/>
  <c r="BQ20" i="52"/>
  <c r="BR20" i="52"/>
  <c r="BS20" i="52"/>
  <c r="BT20" i="52"/>
  <c r="C21" i="52"/>
  <c r="D21" i="52"/>
  <c r="E21" i="52"/>
  <c r="F21" i="52"/>
  <c r="G21" i="52"/>
  <c r="H21" i="52"/>
  <c r="I21" i="52"/>
  <c r="J21" i="52"/>
  <c r="K21" i="52"/>
  <c r="L21" i="52"/>
  <c r="M21" i="52"/>
  <c r="N21" i="52"/>
  <c r="O21" i="52"/>
  <c r="P21" i="52"/>
  <c r="Q21" i="52"/>
  <c r="R21" i="52"/>
  <c r="S21" i="52"/>
  <c r="T21" i="52"/>
  <c r="U21" i="52"/>
  <c r="V21" i="52"/>
  <c r="W21" i="52"/>
  <c r="X21" i="52"/>
  <c r="Y21" i="52"/>
  <c r="Z21" i="52"/>
  <c r="AG21" i="52"/>
  <c r="AH21" i="52"/>
  <c r="AI21" i="52"/>
  <c r="AJ21" i="52"/>
  <c r="AK21" i="52"/>
  <c r="AL21" i="52"/>
  <c r="AM21" i="52"/>
  <c r="AN21" i="52"/>
  <c r="AO21" i="52"/>
  <c r="AS21" i="52"/>
  <c r="AT21" i="52"/>
  <c r="AW21" i="52" s="1"/>
  <c r="AU21" i="52"/>
  <c r="AV21" i="52"/>
  <c r="AX21" i="52"/>
  <c r="AY21" i="52"/>
  <c r="AZ21" i="52"/>
  <c r="BA21" i="52"/>
  <c r="BB21" i="52"/>
  <c r="BC21" i="52"/>
  <c r="BD21" i="52"/>
  <c r="BE21" i="52"/>
  <c r="BF21" i="52"/>
  <c r="BG21" i="52"/>
  <c r="BK21" i="52"/>
  <c r="BL21" i="52"/>
  <c r="BM21" i="52"/>
  <c r="BN21" i="52"/>
  <c r="BO21" i="52"/>
  <c r="BP21" i="52"/>
  <c r="BQ21" i="52"/>
  <c r="BR21" i="52"/>
  <c r="BS21" i="52"/>
  <c r="BT21" i="52"/>
  <c r="C22" i="52"/>
  <c r="D22" i="52"/>
  <c r="E22" i="52"/>
  <c r="F22" i="52"/>
  <c r="G22" i="52"/>
  <c r="H22" i="52"/>
  <c r="I22" i="52"/>
  <c r="J22" i="52"/>
  <c r="K22" i="52"/>
  <c r="L22" i="52"/>
  <c r="M22" i="52"/>
  <c r="N22" i="52"/>
  <c r="O22" i="52"/>
  <c r="P22" i="52"/>
  <c r="Q22" i="52"/>
  <c r="R22" i="52"/>
  <c r="S22" i="52"/>
  <c r="T22" i="52"/>
  <c r="U22" i="52"/>
  <c r="V22" i="52"/>
  <c r="W22" i="52"/>
  <c r="X22" i="52"/>
  <c r="Y22" i="52"/>
  <c r="Z22" i="52"/>
  <c r="AG22" i="52"/>
  <c r="AH22" i="52"/>
  <c r="AI22" i="52"/>
  <c r="AJ22" i="52"/>
  <c r="AK22" i="52"/>
  <c r="AL22" i="52"/>
  <c r="AM22" i="52"/>
  <c r="AN22" i="52"/>
  <c r="AO22" i="52"/>
  <c r="AS22" i="52"/>
  <c r="AT22" i="52"/>
  <c r="AW22" i="52" s="1"/>
  <c r="AU22" i="52"/>
  <c r="AV22" i="52"/>
  <c r="AX22" i="52"/>
  <c r="AY22" i="52"/>
  <c r="AZ22" i="52"/>
  <c r="BA22" i="52"/>
  <c r="BB22" i="52"/>
  <c r="BC22" i="52"/>
  <c r="BD22" i="52"/>
  <c r="BE22" i="52"/>
  <c r="BF22" i="52"/>
  <c r="BG22" i="52"/>
  <c r="BK22" i="52"/>
  <c r="BL22" i="52"/>
  <c r="BM22" i="52"/>
  <c r="BN22" i="52"/>
  <c r="BO22" i="52"/>
  <c r="BP22" i="52"/>
  <c r="BQ22" i="52"/>
  <c r="BR22" i="52"/>
  <c r="BS22" i="52"/>
  <c r="BT22" i="52"/>
  <c r="C23" i="52"/>
  <c r="D23" i="52"/>
  <c r="E23" i="52"/>
  <c r="F23" i="52"/>
  <c r="G23" i="52"/>
  <c r="H23" i="52"/>
  <c r="I23" i="52"/>
  <c r="J23" i="52"/>
  <c r="K23" i="52"/>
  <c r="L23" i="52"/>
  <c r="M23" i="52"/>
  <c r="N23" i="52"/>
  <c r="O23" i="52"/>
  <c r="P23" i="52"/>
  <c r="Q23" i="52"/>
  <c r="R23" i="52"/>
  <c r="S23" i="52"/>
  <c r="T23" i="52"/>
  <c r="U23" i="52"/>
  <c r="V23" i="52"/>
  <c r="W23" i="52"/>
  <c r="X23" i="52"/>
  <c r="Y23" i="52"/>
  <c r="Z23" i="52"/>
  <c r="AG23" i="52"/>
  <c r="AH23" i="52"/>
  <c r="AI23" i="52"/>
  <c r="AJ23" i="52"/>
  <c r="AK23" i="52"/>
  <c r="AL23" i="52"/>
  <c r="AM23" i="52"/>
  <c r="AN23" i="52"/>
  <c r="AO23" i="52"/>
  <c r="AS23" i="52"/>
  <c r="AT23" i="52"/>
  <c r="AW23" i="52" s="1"/>
  <c r="AU23" i="52"/>
  <c r="AV23" i="52"/>
  <c r="AX23" i="52"/>
  <c r="AY23" i="52"/>
  <c r="AZ23" i="52"/>
  <c r="BA23" i="52"/>
  <c r="BB23" i="52"/>
  <c r="BC23" i="52"/>
  <c r="BD23" i="52"/>
  <c r="BE23" i="52"/>
  <c r="BF23" i="52"/>
  <c r="BG23" i="52"/>
  <c r="BK23" i="52"/>
  <c r="BL23" i="52"/>
  <c r="BM23" i="52"/>
  <c r="BN23" i="52"/>
  <c r="BO23" i="52"/>
  <c r="BP23" i="52"/>
  <c r="BQ23" i="52"/>
  <c r="BR23" i="52"/>
  <c r="BS23" i="52"/>
  <c r="BT23" i="52"/>
  <c r="C24" i="52"/>
  <c r="D24" i="52"/>
  <c r="E24" i="52"/>
  <c r="F24" i="52"/>
  <c r="G24" i="52"/>
  <c r="H24" i="52"/>
  <c r="I24" i="52"/>
  <c r="J24" i="52"/>
  <c r="K24" i="52"/>
  <c r="L24" i="52"/>
  <c r="M24" i="52"/>
  <c r="N24" i="52"/>
  <c r="O24" i="52"/>
  <c r="P24" i="52"/>
  <c r="Q24" i="52"/>
  <c r="R24" i="52"/>
  <c r="S24" i="52"/>
  <c r="T24" i="52"/>
  <c r="U24" i="52"/>
  <c r="V24" i="52"/>
  <c r="W24" i="52"/>
  <c r="X24" i="52"/>
  <c r="Y24" i="52"/>
  <c r="Z24" i="52"/>
  <c r="AG24" i="52"/>
  <c r="AH24" i="52"/>
  <c r="AI24" i="52"/>
  <c r="AJ24" i="52"/>
  <c r="AK24" i="52"/>
  <c r="AL24" i="52"/>
  <c r="AM24" i="52"/>
  <c r="AN24" i="52"/>
  <c r="AO24" i="52"/>
  <c r="AS24" i="52"/>
  <c r="AT24" i="52"/>
  <c r="AW24" i="52" s="1"/>
  <c r="AU24" i="52"/>
  <c r="AV24" i="52"/>
  <c r="AX24" i="52"/>
  <c r="AY24" i="52"/>
  <c r="AZ24" i="52"/>
  <c r="BA24" i="52"/>
  <c r="BB24" i="52"/>
  <c r="BC24" i="52"/>
  <c r="BD24" i="52"/>
  <c r="BE24" i="52"/>
  <c r="BF24" i="52"/>
  <c r="BG24" i="52"/>
  <c r="BK24" i="52"/>
  <c r="BL24" i="52"/>
  <c r="BM24" i="52"/>
  <c r="BN24" i="52"/>
  <c r="BO24" i="52"/>
  <c r="BP24" i="52"/>
  <c r="BQ24" i="52"/>
  <c r="BR24" i="52"/>
  <c r="BS24" i="52"/>
  <c r="BT24" i="52"/>
  <c r="C25" i="52"/>
  <c r="D25" i="52"/>
  <c r="E25" i="52"/>
  <c r="F25" i="52"/>
  <c r="G25" i="52"/>
  <c r="H25" i="52"/>
  <c r="I25" i="52"/>
  <c r="J25" i="52"/>
  <c r="K25" i="52"/>
  <c r="L25" i="52"/>
  <c r="M25" i="52"/>
  <c r="N25" i="52"/>
  <c r="O25" i="52"/>
  <c r="P25" i="52"/>
  <c r="Q25" i="52"/>
  <c r="R25" i="52"/>
  <c r="S25" i="52"/>
  <c r="T25" i="52"/>
  <c r="U25" i="52"/>
  <c r="V25" i="52"/>
  <c r="W25" i="52"/>
  <c r="X25" i="52"/>
  <c r="Y25" i="52"/>
  <c r="Z25" i="52"/>
  <c r="AG25" i="52"/>
  <c r="AH25" i="52"/>
  <c r="AI25" i="52"/>
  <c r="AJ25" i="52"/>
  <c r="AK25" i="52"/>
  <c r="AL25" i="52"/>
  <c r="AM25" i="52"/>
  <c r="AN25" i="52"/>
  <c r="AO25" i="52"/>
  <c r="AS25" i="52"/>
  <c r="AT25" i="52"/>
  <c r="AW25" i="52" s="1"/>
  <c r="AU25" i="52"/>
  <c r="AV25" i="52"/>
  <c r="AX25" i="52"/>
  <c r="AY25" i="52"/>
  <c r="AZ25" i="52"/>
  <c r="BA25" i="52"/>
  <c r="BB25" i="52"/>
  <c r="BC25" i="52"/>
  <c r="BD25" i="52"/>
  <c r="BE25" i="52"/>
  <c r="BF25" i="52"/>
  <c r="BG25" i="52"/>
  <c r="BK25" i="52"/>
  <c r="BL25" i="52"/>
  <c r="BM25" i="52"/>
  <c r="BN25" i="52"/>
  <c r="BO25" i="52"/>
  <c r="BP25" i="52"/>
  <c r="BQ25" i="52"/>
  <c r="BR25" i="52"/>
  <c r="BS25" i="52"/>
  <c r="BT25" i="52"/>
  <c r="C26" i="52"/>
  <c r="D26" i="52"/>
  <c r="E26" i="52"/>
  <c r="F26" i="52"/>
  <c r="G26" i="52"/>
  <c r="H26" i="52"/>
  <c r="I26" i="52"/>
  <c r="J26" i="52"/>
  <c r="K26" i="52"/>
  <c r="L26" i="52"/>
  <c r="M26" i="52"/>
  <c r="N26" i="52"/>
  <c r="O26" i="52"/>
  <c r="P26" i="52"/>
  <c r="Q26" i="52"/>
  <c r="R26" i="52"/>
  <c r="S26" i="52"/>
  <c r="T26" i="52"/>
  <c r="U26" i="52"/>
  <c r="V26" i="52"/>
  <c r="W26" i="52"/>
  <c r="X26" i="52"/>
  <c r="Y26" i="52"/>
  <c r="Z26" i="52"/>
  <c r="AG26" i="52"/>
  <c r="AH26" i="52"/>
  <c r="AI26" i="52"/>
  <c r="AJ26" i="52"/>
  <c r="AK26" i="52"/>
  <c r="AL26" i="52"/>
  <c r="AM26" i="52"/>
  <c r="AN26" i="52"/>
  <c r="AO26" i="52"/>
  <c r="AS26" i="52"/>
  <c r="AT26" i="52"/>
  <c r="AW26" i="52" s="1"/>
  <c r="AU26" i="52"/>
  <c r="AV26" i="52"/>
  <c r="AX26" i="52"/>
  <c r="AY26" i="52"/>
  <c r="AZ26" i="52"/>
  <c r="BA26" i="52"/>
  <c r="BB26" i="52"/>
  <c r="BC26" i="52"/>
  <c r="BD26" i="52"/>
  <c r="BE26" i="52"/>
  <c r="BF26" i="52"/>
  <c r="BG26" i="52"/>
  <c r="BK26" i="52"/>
  <c r="BL26" i="52"/>
  <c r="BM26" i="52"/>
  <c r="BN26" i="52"/>
  <c r="BO26" i="52"/>
  <c r="BP26" i="52"/>
  <c r="BQ26" i="52"/>
  <c r="BR26" i="52"/>
  <c r="BS26" i="52"/>
  <c r="BT26" i="52"/>
  <c r="C27" i="52"/>
  <c r="D27" i="52"/>
  <c r="E27" i="52"/>
  <c r="F27" i="52"/>
  <c r="G27" i="52"/>
  <c r="H27" i="52"/>
  <c r="I27" i="52"/>
  <c r="J27" i="52"/>
  <c r="K27" i="52"/>
  <c r="L27" i="52"/>
  <c r="M27" i="52"/>
  <c r="N27" i="52"/>
  <c r="O27" i="52"/>
  <c r="P27" i="52"/>
  <c r="Q27" i="52"/>
  <c r="R27" i="52"/>
  <c r="S27" i="52"/>
  <c r="T27" i="52"/>
  <c r="U27" i="52"/>
  <c r="V27" i="52"/>
  <c r="W27" i="52"/>
  <c r="X27" i="52"/>
  <c r="Y27" i="52"/>
  <c r="Z27" i="52"/>
  <c r="AG27" i="52"/>
  <c r="AH27" i="52"/>
  <c r="AI27" i="52"/>
  <c r="AJ27" i="52"/>
  <c r="AK27" i="52"/>
  <c r="AL27" i="52"/>
  <c r="AM27" i="52"/>
  <c r="AN27" i="52"/>
  <c r="AO27" i="52"/>
  <c r="AS27" i="52"/>
  <c r="AT27" i="52"/>
  <c r="AW27" i="52" s="1"/>
  <c r="AU27" i="52"/>
  <c r="AV27" i="52"/>
  <c r="AX27" i="52"/>
  <c r="AY27" i="52"/>
  <c r="AZ27" i="52"/>
  <c r="BA27" i="52"/>
  <c r="BB27" i="52"/>
  <c r="BC27" i="52"/>
  <c r="BD27" i="52"/>
  <c r="BE27" i="52"/>
  <c r="BF27" i="52"/>
  <c r="BG27" i="52"/>
  <c r="BK27" i="52"/>
  <c r="BL27" i="52"/>
  <c r="BM27" i="52"/>
  <c r="BN27" i="52"/>
  <c r="BO27" i="52"/>
  <c r="BP27" i="52"/>
  <c r="BQ27" i="52"/>
  <c r="BR27" i="52"/>
  <c r="BS27" i="52"/>
  <c r="BT27" i="52"/>
  <c r="C28" i="52"/>
  <c r="D28" i="52"/>
  <c r="E28" i="52"/>
  <c r="F28" i="52"/>
  <c r="G28" i="52"/>
  <c r="H28" i="52"/>
  <c r="I28" i="52"/>
  <c r="J28" i="52"/>
  <c r="K28" i="52"/>
  <c r="L28" i="52"/>
  <c r="M28" i="52"/>
  <c r="N28" i="52"/>
  <c r="O28" i="52"/>
  <c r="P28" i="52"/>
  <c r="Q28" i="52"/>
  <c r="R28" i="52"/>
  <c r="S28" i="52"/>
  <c r="T28" i="52"/>
  <c r="U28" i="52"/>
  <c r="V28" i="52"/>
  <c r="W28" i="52"/>
  <c r="X28" i="52"/>
  <c r="Y28" i="52"/>
  <c r="Z28" i="52"/>
  <c r="AG28" i="52"/>
  <c r="AH28" i="52"/>
  <c r="AI28" i="52"/>
  <c r="AJ28" i="52"/>
  <c r="AK28" i="52"/>
  <c r="AL28" i="52"/>
  <c r="AM28" i="52"/>
  <c r="AN28" i="52"/>
  <c r="AO28" i="52"/>
  <c r="AS28" i="52"/>
  <c r="AT28" i="52"/>
  <c r="AW28" i="52" s="1"/>
  <c r="AU28" i="52"/>
  <c r="AV28" i="52"/>
  <c r="AX28" i="52"/>
  <c r="AY28" i="52"/>
  <c r="AZ28" i="52"/>
  <c r="BA28" i="52"/>
  <c r="BB28" i="52"/>
  <c r="BC28" i="52"/>
  <c r="BD28" i="52"/>
  <c r="BE28" i="52"/>
  <c r="BF28" i="52"/>
  <c r="BG28" i="52"/>
  <c r="BK28" i="52"/>
  <c r="BL28" i="52"/>
  <c r="BM28" i="52"/>
  <c r="BN28" i="52"/>
  <c r="BO28" i="52"/>
  <c r="BP28" i="52"/>
  <c r="BQ28" i="52"/>
  <c r="BR28" i="52"/>
  <c r="BS28" i="52"/>
  <c r="BT28" i="52"/>
  <c r="C29" i="52"/>
  <c r="D29" i="52"/>
  <c r="E29" i="52"/>
  <c r="F29" i="52"/>
  <c r="G29" i="52"/>
  <c r="H29" i="52"/>
  <c r="I29" i="52"/>
  <c r="J29" i="52"/>
  <c r="K29" i="52"/>
  <c r="L29" i="52"/>
  <c r="M29" i="52"/>
  <c r="N29" i="52"/>
  <c r="O29" i="52"/>
  <c r="P29" i="52"/>
  <c r="Q29" i="52"/>
  <c r="R29" i="52"/>
  <c r="S29" i="52"/>
  <c r="T29" i="52"/>
  <c r="U29" i="52"/>
  <c r="V29" i="52"/>
  <c r="W29" i="52"/>
  <c r="X29" i="52"/>
  <c r="Y29" i="52"/>
  <c r="Z29" i="52"/>
  <c r="AG29" i="52"/>
  <c r="AH29" i="52"/>
  <c r="AI29" i="52"/>
  <c r="AJ29" i="52"/>
  <c r="AK29" i="52"/>
  <c r="AL29" i="52"/>
  <c r="AM29" i="52"/>
  <c r="AN29" i="52"/>
  <c r="AO29" i="52"/>
  <c r="AS29" i="52"/>
  <c r="AT29" i="52"/>
  <c r="AW29" i="52" s="1"/>
  <c r="AU29" i="52"/>
  <c r="AV29" i="52"/>
  <c r="AX29" i="52"/>
  <c r="AY29" i="52"/>
  <c r="AZ29" i="52"/>
  <c r="BA29" i="52"/>
  <c r="BB29" i="52"/>
  <c r="BC29" i="52"/>
  <c r="BD29" i="52"/>
  <c r="BE29" i="52"/>
  <c r="BF29" i="52"/>
  <c r="BG29" i="52"/>
  <c r="BK29" i="52"/>
  <c r="BL29" i="52"/>
  <c r="BM29" i="52"/>
  <c r="BN29" i="52"/>
  <c r="BO29" i="52"/>
  <c r="BP29" i="52"/>
  <c r="BQ29" i="52"/>
  <c r="BR29" i="52"/>
  <c r="BS29" i="52"/>
  <c r="BT29" i="52"/>
  <c r="C30" i="52"/>
  <c r="D30" i="52"/>
  <c r="E30" i="52"/>
  <c r="F30" i="52"/>
  <c r="G30" i="52"/>
  <c r="H30" i="52"/>
  <c r="I30" i="52"/>
  <c r="J30" i="52"/>
  <c r="K30" i="52"/>
  <c r="L30" i="52"/>
  <c r="M30" i="52"/>
  <c r="N30" i="52"/>
  <c r="O30" i="52"/>
  <c r="P30" i="52"/>
  <c r="Q30" i="52"/>
  <c r="R30" i="52"/>
  <c r="S30" i="52"/>
  <c r="T30" i="52"/>
  <c r="U30" i="52"/>
  <c r="V30" i="52"/>
  <c r="W30" i="52"/>
  <c r="X30" i="52"/>
  <c r="Y30" i="52"/>
  <c r="Z30" i="52"/>
  <c r="AG30" i="52"/>
  <c r="AH30" i="52"/>
  <c r="AI30" i="52"/>
  <c r="AJ30" i="52"/>
  <c r="AK30" i="52"/>
  <c r="AL30" i="52"/>
  <c r="AM30" i="52"/>
  <c r="AN30" i="52"/>
  <c r="AO30" i="52"/>
  <c r="AS30" i="52"/>
  <c r="AT30" i="52"/>
  <c r="AW30" i="52" s="1"/>
  <c r="AU30" i="52"/>
  <c r="AV30" i="52"/>
  <c r="AX30" i="52"/>
  <c r="AY30" i="52"/>
  <c r="AZ30" i="52"/>
  <c r="BA30" i="52"/>
  <c r="BB30" i="52"/>
  <c r="BC30" i="52"/>
  <c r="BD30" i="52"/>
  <c r="BE30" i="52"/>
  <c r="BF30" i="52"/>
  <c r="BG30" i="52"/>
  <c r="BK30" i="52"/>
  <c r="BL30" i="52"/>
  <c r="BM30" i="52"/>
  <c r="BN30" i="52"/>
  <c r="BO30" i="52"/>
  <c r="BP30" i="52"/>
  <c r="BQ30" i="52"/>
  <c r="BR30" i="52"/>
  <c r="BS30" i="52"/>
  <c r="BT30" i="52"/>
  <c r="C31" i="52"/>
  <c r="D31" i="52"/>
  <c r="E31" i="52"/>
  <c r="F31" i="52"/>
  <c r="G31" i="52"/>
  <c r="H31" i="52"/>
  <c r="I31" i="52"/>
  <c r="J31" i="52"/>
  <c r="K31" i="52"/>
  <c r="L31" i="52"/>
  <c r="M31" i="52"/>
  <c r="N31" i="52"/>
  <c r="O31" i="52"/>
  <c r="P31" i="52"/>
  <c r="Q31" i="52"/>
  <c r="R31" i="52"/>
  <c r="S31" i="52"/>
  <c r="T31" i="52"/>
  <c r="U31" i="52"/>
  <c r="V31" i="52"/>
  <c r="W31" i="52"/>
  <c r="X31" i="52"/>
  <c r="Y31" i="52"/>
  <c r="Z31" i="52"/>
  <c r="AG31" i="52"/>
  <c r="AH31" i="52"/>
  <c r="AI31" i="52"/>
  <c r="AJ31" i="52"/>
  <c r="AK31" i="52"/>
  <c r="AL31" i="52"/>
  <c r="AM31" i="52"/>
  <c r="AN31" i="52"/>
  <c r="AO31" i="52"/>
  <c r="AS31" i="52"/>
  <c r="AT31" i="52"/>
  <c r="AW31" i="52" s="1"/>
  <c r="AU31" i="52"/>
  <c r="AV31" i="52"/>
  <c r="AX31" i="52"/>
  <c r="AY31" i="52"/>
  <c r="AZ31" i="52"/>
  <c r="BA31" i="52"/>
  <c r="BB31" i="52"/>
  <c r="BC31" i="52"/>
  <c r="BD31" i="52"/>
  <c r="BE31" i="52"/>
  <c r="BF31" i="52"/>
  <c r="BG31" i="52"/>
  <c r="BK31" i="52"/>
  <c r="BL31" i="52"/>
  <c r="BM31" i="52"/>
  <c r="BN31" i="52"/>
  <c r="BO31" i="52"/>
  <c r="BP31" i="52"/>
  <c r="BQ31" i="52"/>
  <c r="BR31" i="52"/>
  <c r="BS31" i="52"/>
  <c r="BT31" i="52"/>
  <c r="C32" i="52"/>
  <c r="D32" i="52"/>
  <c r="E32" i="52"/>
  <c r="F32" i="52"/>
  <c r="G32" i="52"/>
  <c r="H32" i="52"/>
  <c r="I32" i="52"/>
  <c r="J32" i="52"/>
  <c r="K32" i="52"/>
  <c r="L32" i="52"/>
  <c r="M32" i="52"/>
  <c r="N32" i="52"/>
  <c r="O32" i="52"/>
  <c r="P32" i="52"/>
  <c r="Q32" i="52"/>
  <c r="R32" i="52"/>
  <c r="S32" i="52"/>
  <c r="T32" i="52"/>
  <c r="U32" i="52"/>
  <c r="V32" i="52"/>
  <c r="W32" i="52"/>
  <c r="X32" i="52"/>
  <c r="Y32" i="52"/>
  <c r="Z32" i="52"/>
  <c r="AG32" i="52"/>
  <c r="AH32" i="52"/>
  <c r="AI32" i="52"/>
  <c r="AJ32" i="52"/>
  <c r="AK32" i="52"/>
  <c r="AL32" i="52"/>
  <c r="AM32" i="52"/>
  <c r="AN32" i="52"/>
  <c r="AO32" i="52"/>
  <c r="AS32" i="52"/>
  <c r="AT32" i="52"/>
  <c r="AW32" i="52" s="1"/>
  <c r="AU32" i="52"/>
  <c r="AV32" i="52"/>
  <c r="AX32" i="52"/>
  <c r="AY32" i="52"/>
  <c r="AZ32" i="52"/>
  <c r="BA32" i="52"/>
  <c r="BB32" i="52"/>
  <c r="BC32" i="52"/>
  <c r="BD32" i="52"/>
  <c r="BE32" i="52"/>
  <c r="BF32" i="52"/>
  <c r="BG32" i="52"/>
  <c r="BK32" i="52"/>
  <c r="BL32" i="52"/>
  <c r="BM32" i="52"/>
  <c r="BN32" i="52"/>
  <c r="BO32" i="52"/>
  <c r="BP32" i="52"/>
  <c r="BQ32" i="52"/>
  <c r="BR32" i="52"/>
  <c r="BS32" i="52"/>
  <c r="BT32" i="52"/>
  <c r="C33" i="52"/>
  <c r="D33" i="52"/>
  <c r="E33" i="52"/>
  <c r="F33" i="52"/>
  <c r="G33" i="52"/>
  <c r="H33" i="52"/>
  <c r="I33" i="52"/>
  <c r="J33" i="52"/>
  <c r="K33" i="52"/>
  <c r="L33" i="52"/>
  <c r="M33" i="52"/>
  <c r="N33" i="52"/>
  <c r="O33" i="52"/>
  <c r="P33" i="52"/>
  <c r="Q33" i="52"/>
  <c r="R33" i="52"/>
  <c r="S33" i="52"/>
  <c r="T33" i="52"/>
  <c r="U33" i="52"/>
  <c r="V33" i="52"/>
  <c r="W33" i="52"/>
  <c r="X33" i="52"/>
  <c r="Y33" i="52"/>
  <c r="Z33" i="52"/>
  <c r="AG33" i="52"/>
  <c r="AH33" i="52"/>
  <c r="AI33" i="52"/>
  <c r="AJ33" i="52"/>
  <c r="AK33" i="52"/>
  <c r="AL33" i="52"/>
  <c r="AM33" i="52"/>
  <c r="AN33" i="52"/>
  <c r="AO33" i="52"/>
  <c r="AS33" i="52"/>
  <c r="AT33" i="52"/>
  <c r="AW33" i="52" s="1"/>
  <c r="AU33" i="52"/>
  <c r="AV33" i="52"/>
  <c r="AX33" i="52"/>
  <c r="AY33" i="52"/>
  <c r="AZ33" i="52"/>
  <c r="BA33" i="52"/>
  <c r="BB33" i="52"/>
  <c r="BC33" i="52"/>
  <c r="BD33" i="52"/>
  <c r="BE33" i="52"/>
  <c r="BF33" i="52"/>
  <c r="BG33" i="52"/>
  <c r="BK33" i="52"/>
  <c r="BL33" i="52"/>
  <c r="BM33" i="52"/>
  <c r="BN33" i="52"/>
  <c r="BO33" i="52"/>
  <c r="BP33" i="52"/>
  <c r="BQ33" i="52"/>
  <c r="BR33" i="52"/>
  <c r="BS33" i="52"/>
  <c r="BT33" i="52"/>
  <c r="AT34" i="52"/>
  <c r="AW34" i="52" s="1"/>
  <c r="AU34" i="52"/>
  <c r="AV34" i="52"/>
  <c r="AT35" i="52"/>
  <c r="AW35" i="52" s="1"/>
  <c r="AU35" i="52"/>
  <c r="AV35" i="52"/>
  <c r="AT36" i="52"/>
  <c r="AW36" i="52" s="1"/>
  <c r="AU36" i="52"/>
  <c r="AV36" i="52"/>
  <c r="AT37" i="52"/>
  <c r="AW37" i="52" s="1"/>
  <c r="AU37" i="52"/>
  <c r="AV37" i="52"/>
  <c r="AT38" i="52"/>
  <c r="AW38" i="52" s="1"/>
  <c r="AU38" i="52"/>
  <c r="AV38" i="52"/>
  <c r="AT39" i="52"/>
  <c r="AW39" i="52" s="1"/>
  <c r="AU39" i="52"/>
  <c r="AV39" i="52"/>
  <c r="AT40" i="52"/>
  <c r="AW40" i="52" s="1"/>
  <c r="AU40" i="52"/>
  <c r="AV40" i="52"/>
  <c r="AT41" i="52"/>
  <c r="AW41" i="52" s="1"/>
  <c r="AU41" i="52"/>
  <c r="AV41" i="52"/>
  <c r="AT42" i="52"/>
  <c r="AW42" i="52" s="1"/>
  <c r="AU42" i="52"/>
  <c r="AV42" i="52"/>
  <c r="AT43" i="52"/>
  <c r="AW43" i="52" s="1"/>
  <c r="AU43" i="52"/>
  <c r="AV43" i="52"/>
  <c r="AT44" i="52"/>
  <c r="AW44" i="52" s="1"/>
  <c r="AU44" i="52"/>
  <c r="AV44" i="52"/>
  <c r="AT45" i="52"/>
  <c r="AW45" i="52" s="1"/>
  <c r="AU45" i="52"/>
  <c r="AV45" i="52"/>
  <c r="AT46" i="52"/>
  <c r="AW46" i="52" s="1"/>
  <c r="AU46" i="52"/>
  <c r="AV46" i="52"/>
  <c r="AT47" i="52"/>
  <c r="AW47" i="52" s="1"/>
  <c r="AU47" i="52"/>
  <c r="AV47" i="52"/>
  <c r="AT48" i="52"/>
  <c r="AW48" i="52" s="1"/>
  <c r="AU48" i="52"/>
  <c r="AV48" i="52"/>
  <c r="AT49" i="52"/>
  <c r="AW49" i="52" s="1"/>
  <c r="AU49" i="52"/>
  <c r="AV49" i="52"/>
  <c r="AT50" i="52"/>
  <c r="AW50" i="52" s="1"/>
  <c r="AU50" i="52"/>
  <c r="AV50" i="52"/>
  <c r="AT51" i="52"/>
  <c r="AW51" i="52" s="1"/>
  <c r="AU51" i="52"/>
  <c r="AV51" i="52"/>
  <c r="AT52" i="52"/>
  <c r="AW52" i="52" s="1"/>
  <c r="AU52" i="52"/>
  <c r="AV52" i="52"/>
  <c r="AT53" i="52"/>
  <c r="AW53" i="52" s="1"/>
  <c r="AU53" i="52"/>
  <c r="AV53" i="52"/>
  <c r="AT54" i="52"/>
  <c r="AW54" i="52" s="1"/>
  <c r="AU54" i="52"/>
  <c r="AV54" i="52"/>
  <c r="AW55" i="52"/>
  <c r="AW56" i="52"/>
  <c r="AW57" i="52"/>
  <c r="AW58" i="52"/>
  <c r="AW59" i="52"/>
  <c r="AW60" i="52"/>
  <c r="AW61" i="52"/>
  <c r="AW62" i="52"/>
  <c r="AW63" i="52"/>
  <c r="AW64" i="52"/>
  <c r="AW65" i="52"/>
  <c r="AW66" i="52"/>
  <c r="C7" i="51"/>
  <c r="C14" i="10" s="1"/>
  <c r="C8" i="51"/>
  <c r="D8" i="51"/>
  <c r="E8" i="51"/>
  <c r="F8" i="51"/>
  <c r="G8" i="51"/>
  <c r="H8" i="51"/>
  <c r="I8" i="51"/>
  <c r="J8" i="51"/>
  <c r="K8" i="51"/>
  <c r="L8" i="51"/>
  <c r="M8" i="51"/>
  <c r="N8" i="51"/>
  <c r="O8" i="51"/>
  <c r="P8" i="51"/>
  <c r="Q8" i="51"/>
  <c r="R8" i="51"/>
  <c r="S8" i="51"/>
  <c r="T8" i="51"/>
  <c r="U8" i="51"/>
  <c r="V8" i="51"/>
  <c r="W8" i="51"/>
  <c r="X8" i="51"/>
  <c r="Y8" i="51"/>
  <c r="Z8" i="51"/>
  <c r="AG8" i="51"/>
  <c r="AH8" i="51"/>
  <c r="AI8" i="51"/>
  <c r="AJ8" i="51"/>
  <c r="AK8" i="51"/>
  <c r="AL8" i="51"/>
  <c r="AM8" i="51"/>
  <c r="AN8" i="51"/>
  <c r="AO8" i="51"/>
  <c r="AS8" i="51"/>
  <c r="AT8" i="51"/>
  <c r="AU8" i="51"/>
  <c r="AV8" i="51"/>
  <c r="AX8" i="51"/>
  <c r="AY8" i="51"/>
  <c r="AZ8" i="51"/>
  <c r="BA8" i="51"/>
  <c r="BB8" i="51"/>
  <c r="BC8" i="51"/>
  <c r="BD8" i="51"/>
  <c r="BE8" i="51"/>
  <c r="BF8" i="51"/>
  <c r="BG8" i="51"/>
  <c r="BK8" i="51"/>
  <c r="BL8" i="51"/>
  <c r="BM8" i="51"/>
  <c r="BN8" i="51"/>
  <c r="BP8" i="51"/>
  <c r="BQ8" i="51"/>
  <c r="BR8" i="51"/>
  <c r="BS8" i="51"/>
  <c r="BT8" i="51"/>
  <c r="D9" i="51"/>
  <c r="E9" i="51"/>
  <c r="F9" i="51"/>
  <c r="G9" i="51"/>
  <c r="H9" i="51"/>
  <c r="I9" i="51"/>
  <c r="J9" i="51"/>
  <c r="K9" i="51"/>
  <c r="L9" i="51"/>
  <c r="M9" i="51"/>
  <c r="N9" i="51"/>
  <c r="O9" i="51"/>
  <c r="P9" i="51"/>
  <c r="Q9" i="51"/>
  <c r="R9" i="51"/>
  <c r="S9" i="51"/>
  <c r="T9" i="51"/>
  <c r="U9" i="51"/>
  <c r="V9" i="51"/>
  <c r="W9" i="51"/>
  <c r="X9" i="51"/>
  <c r="Y9" i="51"/>
  <c r="Z9" i="51"/>
  <c r="AG9" i="51"/>
  <c r="AH9" i="51"/>
  <c r="AI9" i="51"/>
  <c r="AJ9" i="51"/>
  <c r="AK9" i="51"/>
  <c r="AL9" i="51"/>
  <c r="AM9" i="51"/>
  <c r="AN9" i="51"/>
  <c r="AO9" i="51"/>
  <c r="AS9" i="51"/>
  <c r="AT9" i="51"/>
  <c r="AU9" i="51"/>
  <c r="AV9" i="51"/>
  <c r="AX9" i="51"/>
  <c r="AY9" i="51"/>
  <c r="AZ9" i="51"/>
  <c r="BA9" i="51"/>
  <c r="BB9" i="51"/>
  <c r="BC9" i="51"/>
  <c r="BD9" i="51"/>
  <c r="BE9" i="51"/>
  <c r="BF9" i="51"/>
  <c r="BG9" i="51"/>
  <c r="BK9" i="51"/>
  <c r="BL9" i="51"/>
  <c r="BM9" i="51"/>
  <c r="BN9" i="51"/>
  <c r="BO9" i="51"/>
  <c r="BP9" i="51"/>
  <c r="BQ9" i="51"/>
  <c r="BR9" i="51"/>
  <c r="BS9" i="51"/>
  <c r="BT9" i="51"/>
  <c r="D10" i="51"/>
  <c r="E10" i="51"/>
  <c r="F10" i="51"/>
  <c r="G10" i="51"/>
  <c r="H10" i="51"/>
  <c r="I10" i="51"/>
  <c r="J10" i="51"/>
  <c r="K10" i="51"/>
  <c r="L10" i="51"/>
  <c r="M10" i="51"/>
  <c r="N10" i="51"/>
  <c r="O10" i="51"/>
  <c r="P10" i="51"/>
  <c r="Q10" i="51"/>
  <c r="R10" i="51"/>
  <c r="S10" i="51"/>
  <c r="T10" i="51"/>
  <c r="U10" i="51"/>
  <c r="V10" i="51"/>
  <c r="W10" i="51"/>
  <c r="X10" i="51"/>
  <c r="Y10" i="51"/>
  <c r="Z10" i="51"/>
  <c r="AG10" i="51"/>
  <c r="AH10" i="51"/>
  <c r="AI10" i="51"/>
  <c r="AJ10" i="51"/>
  <c r="AK10" i="51"/>
  <c r="AL10" i="51"/>
  <c r="AM10" i="51"/>
  <c r="AN10" i="51"/>
  <c r="AO10" i="51"/>
  <c r="AS10" i="51"/>
  <c r="AT10" i="51"/>
  <c r="AU10" i="51"/>
  <c r="AV10" i="51"/>
  <c r="AX10" i="51"/>
  <c r="AY10" i="51"/>
  <c r="AZ10" i="51"/>
  <c r="BA10" i="51"/>
  <c r="BB10" i="51"/>
  <c r="BC10" i="51"/>
  <c r="BD10" i="51"/>
  <c r="BE10" i="51"/>
  <c r="BF10" i="51"/>
  <c r="BG10" i="51"/>
  <c r="BK10" i="51"/>
  <c r="BL10" i="51"/>
  <c r="BM10" i="51"/>
  <c r="BN10" i="51"/>
  <c r="BO10" i="51"/>
  <c r="BP10" i="51"/>
  <c r="BQ10" i="51"/>
  <c r="BR10" i="51"/>
  <c r="BS10" i="51"/>
  <c r="BT10" i="51"/>
  <c r="C11" i="51"/>
  <c r="D11" i="51"/>
  <c r="E11" i="51"/>
  <c r="F11" i="51"/>
  <c r="G11" i="51"/>
  <c r="H11" i="51"/>
  <c r="I11" i="51"/>
  <c r="J11" i="51"/>
  <c r="K11" i="51"/>
  <c r="L11" i="51"/>
  <c r="M11" i="51"/>
  <c r="N11" i="51"/>
  <c r="O11" i="51"/>
  <c r="P11" i="51"/>
  <c r="Q11" i="51"/>
  <c r="R11" i="51"/>
  <c r="S11" i="51"/>
  <c r="T11" i="51"/>
  <c r="U11" i="51"/>
  <c r="V11" i="51"/>
  <c r="W11" i="51"/>
  <c r="X11" i="51"/>
  <c r="Y11" i="51"/>
  <c r="Z11" i="51"/>
  <c r="AG11" i="51"/>
  <c r="AH11" i="51"/>
  <c r="AI11" i="51"/>
  <c r="AJ11" i="51"/>
  <c r="AK11" i="51"/>
  <c r="AL11" i="51"/>
  <c r="AM11" i="51"/>
  <c r="AN11" i="51"/>
  <c r="AO11" i="51"/>
  <c r="AS11" i="51"/>
  <c r="AT11" i="51"/>
  <c r="AU11" i="51"/>
  <c r="AV11" i="51"/>
  <c r="AX11" i="51"/>
  <c r="AY11" i="51"/>
  <c r="AZ11" i="51"/>
  <c r="BA11" i="51"/>
  <c r="BB11" i="51"/>
  <c r="BC11" i="51"/>
  <c r="BD11" i="51"/>
  <c r="BE11" i="51"/>
  <c r="BF11" i="51"/>
  <c r="BG11" i="51"/>
  <c r="BK11" i="51"/>
  <c r="BL11" i="51"/>
  <c r="BM11" i="51"/>
  <c r="BN11" i="51"/>
  <c r="BO11" i="51"/>
  <c r="BP11" i="51"/>
  <c r="BQ11" i="51"/>
  <c r="BR11" i="51"/>
  <c r="BS11" i="51"/>
  <c r="BT11" i="51"/>
  <c r="C12" i="51"/>
  <c r="D12" i="51"/>
  <c r="E12" i="51"/>
  <c r="F12" i="51"/>
  <c r="G12" i="51"/>
  <c r="H12" i="51"/>
  <c r="I12" i="51"/>
  <c r="J12" i="51"/>
  <c r="K12" i="51"/>
  <c r="L12" i="51"/>
  <c r="M12" i="51"/>
  <c r="N12" i="51"/>
  <c r="O12" i="51"/>
  <c r="P12" i="51"/>
  <c r="Q12" i="51"/>
  <c r="R12" i="51"/>
  <c r="S12" i="51"/>
  <c r="T12" i="51"/>
  <c r="U12" i="51"/>
  <c r="V12" i="51"/>
  <c r="W12" i="51"/>
  <c r="X12" i="51"/>
  <c r="Y12" i="51"/>
  <c r="Z12" i="51"/>
  <c r="AG12" i="51"/>
  <c r="AH12" i="51"/>
  <c r="AI12" i="51"/>
  <c r="AJ12" i="51"/>
  <c r="AK12" i="51"/>
  <c r="AL12" i="51"/>
  <c r="AM12" i="51"/>
  <c r="AN12" i="51"/>
  <c r="AO12" i="51"/>
  <c r="AS12" i="51"/>
  <c r="AT12" i="51"/>
  <c r="AW12" i="51" s="1"/>
  <c r="AU12" i="51"/>
  <c r="AV12" i="51"/>
  <c r="AX12" i="51"/>
  <c r="AY12" i="51"/>
  <c r="AZ12" i="51"/>
  <c r="BA12" i="51"/>
  <c r="BB12" i="51"/>
  <c r="BC12" i="51"/>
  <c r="BD12" i="51"/>
  <c r="BE12" i="51"/>
  <c r="BF12" i="51"/>
  <c r="BG12" i="51"/>
  <c r="BK12" i="51"/>
  <c r="BL12" i="51"/>
  <c r="BM12" i="51"/>
  <c r="BN12" i="51"/>
  <c r="BO12" i="51"/>
  <c r="BP12" i="51"/>
  <c r="BQ12" i="51"/>
  <c r="BR12" i="51"/>
  <c r="BS12" i="51"/>
  <c r="BT12" i="51"/>
  <c r="C13" i="51"/>
  <c r="D13" i="51"/>
  <c r="E13" i="51"/>
  <c r="F13" i="51"/>
  <c r="G13" i="51"/>
  <c r="H13" i="51"/>
  <c r="I13" i="51"/>
  <c r="J13" i="51"/>
  <c r="K13" i="51"/>
  <c r="L13" i="51"/>
  <c r="M13" i="51"/>
  <c r="N13" i="51"/>
  <c r="O13" i="51"/>
  <c r="P13" i="51"/>
  <c r="Q13" i="51"/>
  <c r="R13" i="51"/>
  <c r="S13" i="51"/>
  <c r="T13" i="51"/>
  <c r="U13" i="51"/>
  <c r="V13" i="51"/>
  <c r="W13" i="51"/>
  <c r="X13" i="51"/>
  <c r="Y13" i="51"/>
  <c r="Z13" i="51"/>
  <c r="AG13" i="51"/>
  <c r="AH13" i="51"/>
  <c r="AI13" i="51"/>
  <c r="AJ13" i="51"/>
  <c r="AK13" i="51"/>
  <c r="AL13" i="51"/>
  <c r="AM13" i="51"/>
  <c r="AN13" i="51"/>
  <c r="AO13" i="51"/>
  <c r="AS13" i="51"/>
  <c r="AT13" i="51"/>
  <c r="AW13" i="51" s="1"/>
  <c r="AU13" i="51"/>
  <c r="AV13" i="51"/>
  <c r="AX13" i="51"/>
  <c r="AY13" i="51"/>
  <c r="AZ13" i="51"/>
  <c r="BA13" i="51"/>
  <c r="BB13" i="51"/>
  <c r="BC13" i="51"/>
  <c r="BD13" i="51"/>
  <c r="BE13" i="51"/>
  <c r="BF13" i="51"/>
  <c r="BG13" i="51"/>
  <c r="BK13" i="51"/>
  <c r="BL13" i="51"/>
  <c r="BM13" i="51"/>
  <c r="BN13" i="51"/>
  <c r="BO13" i="51"/>
  <c r="BP13" i="51"/>
  <c r="BQ13" i="51"/>
  <c r="BR13" i="51"/>
  <c r="BS13" i="51"/>
  <c r="BT13" i="51"/>
  <c r="C14" i="51"/>
  <c r="D14" i="51"/>
  <c r="E14" i="51"/>
  <c r="F14" i="51"/>
  <c r="G14" i="51"/>
  <c r="H14" i="51"/>
  <c r="I14" i="51"/>
  <c r="J14" i="51"/>
  <c r="K14" i="51"/>
  <c r="L14" i="51"/>
  <c r="M14" i="51"/>
  <c r="N14" i="51"/>
  <c r="O14" i="51"/>
  <c r="P14" i="51"/>
  <c r="Q14" i="51"/>
  <c r="R14" i="51"/>
  <c r="S14" i="51"/>
  <c r="T14" i="51"/>
  <c r="U14" i="51"/>
  <c r="V14" i="51"/>
  <c r="W14" i="51"/>
  <c r="X14" i="51"/>
  <c r="Y14" i="51"/>
  <c r="Z14" i="51"/>
  <c r="AG14" i="51"/>
  <c r="AH14" i="51"/>
  <c r="AI14" i="51"/>
  <c r="AJ14" i="51"/>
  <c r="AK14" i="51"/>
  <c r="AL14" i="51"/>
  <c r="AM14" i="51"/>
  <c r="AN14" i="51"/>
  <c r="AO14" i="51"/>
  <c r="AS14" i="51"/>
  <c r="AT14" i="51"/>
  <c r="AW14" i="51" s="1"/>
  <c r="AU14" i="51"/>
  <c r="AV14" i="51"/>
  <c r="AX14" i="51"/>
  <c r="AY14" i="51"/>
  <c r="AZ14" i="51"/>
  <c r="BA14" i="51"/>
  <c r="BB14" i="51"/>
  <c r="BC14" i="51"/>
  <c r="BD14" i="51"/>
  <c r="BE14" i="51"/>
  <c r="BF14" i="51"/>
  <c r="BG14" i="51"/>
  <c r="BK14" i="51"/>
  <c r="BL14" i="51"/>
  <c r="BM14" i="51"/>
  <c r="BN14" i="51"/>
  <c r="BO14" i="51"/>
  <c r="BP14" i="51"/>
  <c r="BQ14" i="51"/>
  <c r="BR14" i="51"/>
  <c r="BS14" i="51"/>
  <c r="BT14" i="51"/>
  <c r="C15" i="51"/>
  <c r="D15" i="51"/>
  <c r="E15" i="51"/>
  <c r="F15" i="51"/>
  <c r="G15" i="51"/>
  <c r="H15" i="51"/>
  <c r="I15" i="51"/>
  <c r="J15" i="51"/>
  <c r="K15" i="51"/>
  <c r="L15" i="51"/>
  <c r="M15" i="51"/>
  <c r="N15" i="51"/>
  <c r="O15" i="51"/>
  <c r="P15" i="51"/>
  <c r="Q15" i="51"/>
  <c r="R15" i="51"/>
  <c r="S15" i="51"/>
  <c r="T15" i="51"/>
  <c r="U15" i="51"/>
  <c r="V15" i="51"/>
  <c r="W15" i="51"/>
  <c r="X15" i="51"/>
  <c r="Y15" i="51"/>
  <c r="Z15" i="51"/>
  <c r="AG15" i="51"/>
  <c r="AH15" i="51"/>
  <c r="AI15" i="51"/>
  <c r="AJ15" i="51"/>
  <c r="AK15" i="51"/>
  <c r="AL15" i="51"/>
  <c r="AM15" i="51"/>
  <c r="AN15" i="51"/>
  <c r="AO15" i="51"/>
  <c r="AS15" i="51"/>
  <c r="AT15" i="51"/>
  <c r="AW15" i="51" s="1"/>
  <c r="AU15" i="51"/>
  <c r="AV15" i="51"/>
  <c r="AX15" i="51"/>
  <c r="AY15" i="51"/>
  <c r="AZ15" i="51"/>
  <c r="BA15" i="51"/>
  <c r="BB15" i="51"/>
  <c r="BC15" i="51"/>
  <c r="BD15" i="51"/>
  <c r="BE15" i="51"/>
  <c r="BF15" i="51"/>
  <c r="BG15" i="51"/>
  <c r="BK15" i="51"/>
  <c r="BL15" i="51"/>
  <c r="BM15" i="51"/>
  <c r="BN15" i="51"/>
  <c r="BO15" i="51"/>
  <c r="BP15" i="51"/>
  <c r="BQ15" i="51"/>
  <c r="BR15" i="51"/>
  <c r="BS15" i="51"/>
  <c r="BT15" i="51"/>
  <c r="C16" i="51"/>
  <c r="D16" i="51"/>
  <c r="E16" i="51"/>
  <c r="F16" i="51"/>
  <c r="G16" i="51"/>
  <c r="H16" i="51"/>
  <c r="I16" i="51"/>
  <c r="J16" i="51"/>
  <c r="K16" i="51"/>
  <c r="L16" i="51"/>
  <c r="M16" i="51"/>
  <c r="N16" i="51"/>
  <c r="O16" i="51"/>
  <c r="P16" i="51"/>
  <c r="Q16" i="51"/>
  <c r="R16" i="51"/>
  <c r="S16" i="51"/>
  <c r="T16" i="51"/>
  <c r="U16" i="51"/>
  <c r="V16" i="51"/>
  <c r="W16" i="51"/>
  <c r="X16" i="51"/>
  <c r="Y16" i="51"/>
  <c r="Z16" i="51"/>
  <c r="AG16" i="51"/>
  <c r="AH16" i="51"/>
  <c r="AI16" i="51"/>
  <c r="AJ16" i="51"/>
  <c r="AK16" i="51"/>
  <c r="AL16" i="51"/>
  <c r="AM16" i="51"/>
  <c r="AN16" i="51"/>
  <c r="AO16" i="51"/>
  <c r="AS16" i="51"/>
  <c r="AT16" i="51"/>
  <c r="AW16" i="51" s="1"/>
  <c r="AU16" i="51"/>
  <c r="AV16" i="51"/>
  <c r="AX16" i="51"/>
  <c r="AY16" i="51"/>
  <c r="AZ16" i="51"/>
  <c r="BA16" i="51"/>
  <c r="BB16" i="51"/>
  <c r="BC16" i="51"/>
  <c r="BD16" i="51"/>
  <c r="BE16" i="51"/>
  <c r="BF16" i="51"/>
  <c r="BG16" i="51"/>
  <c r="BK16" i="51"/>
  <c r="BL16" i="51"/>
  <c r="BM16" i="51"/>
  <c r="BN16" i="51"/>
  <c r="BO16" i="51"/>
  <c r="BP16" i="51"/>
  <c r="BQ16" i="51"/>
  <c r="BR16" i="51"/>
  <c r="BS16" i="51"/>
  <c r="BT16" i="51"/>
  <c r="C17" i="51"/>
  <c r="D17" i="51"/>
  <c r="E17" i="51"/>
  <c r="F17" i="51"/>
  <c r="G17" i="51"/>
  <c r="H17" i="51"/>
  <c r="I17" i="51"/>
  <c r="J17" i="51"/>
  <c r="K17" i="51"/>
  <c r="L17" i="51"/>
  <c r="M17" i="51"/>
  <c r="N17" i="51"/>
  <c r="O17" i="51"/>
  <c r="P17" i="51"/>
  <c r="Q17" i="51"/>
  <c r="R17" i="51"/>
  <c r="S17" i="51"/>
  <c r="T17" i="51"/>
  <c r="U17" i="51"/>
  <c r="V17" i="51"/>
  <c r="W17" i="51"/>
  <c r="X17" i="51"/>
  <c r="Y17" i="51"/>
  <c r="Z17" i="51"/>
  <c r="AG17" i="51"/>
  <c r="AH17" i="51"/>
  <c r="AI17" i="51"/>
  <c r="AJ17" i="51"/>
  <c r="AK17" i="51"/>
  <c r="AL17" i="51"/>
  <c r="AM17" i="51"/>
  <c r="AN17" i="51"/>
  <c r="AO17" i="51"/>
  <c r="AS17" i="51"/>
  <c r="AT17" i="51"/>
  <c r="AW17" i="51" s="1"/>
  <c r="AU17" i="51"/>
  <c r="AV17" i="51"/>
  <c r="AX17" i="51"/>
  <c r="AY17" i="51"/>
  <c r="AZ17" i="51"/>
  <c r="BA17" i="51"/>
  <c r="BB17" i="51"/>
  <c r="BC17" i="51"/>
  <c r="BD17" i="51"/>
  <c r="BE17" i="51"/>
  <c r="BF17" i="51"/>
  <c r="BG17" i="51"/>
  <c r="BK17" i="51"/>
  <c r="BL17" i="51"/>
  <c r="BM17" i="51"/>
  <c r="BN17" i="51"/>
  <c r="BO17" i="51"/>
  <c r="BP17" i="51"/>
  <c r="BQ17" i="51"/>
  <c r="BR17" i="51"/>
  <c r="BS17" i="51"/>
  <c r="BT17" i="51"/>
  <c r="C18" i="51"/>
  <c r="D18" i="51"/>
  <c r="E18" i="51"/>
  <c r="F18" i="51"/>
  <c r="G18" i="51"/>
  <c r="H18" i="51"/>
  <c r="I18" i="51"/>
  <c r="J18" i="51"/>
  <c r="K18" i="51"/>
  <c r="L18" i="51"/>
  <c r="M18" i="51"/>
  <c r="N18" i="51"/>
  <c r="O18" i="51"/>
  <c r="P18" i="51"/>
  <c r="Q18" i="51"/>
  <c r="R18" i="51"/>
  <c r="S18" i="51"/>
  <c r="T18" i="51"/>
  <c r="U18" i="51"/>
  <c r="V18" i="51"/>
  <c r="W18" i="51"/>
  <c r="X18" i="51"/>
  <c r="Y18" i="51"/>
  <c r="Z18" i="51"/>
  <c r="AG18" i="51"/>
  <c r="AH18" i="51"/>
  <c r="AI18" i="51"/>
  <c r="AJ18" i="51"/>
  <c r="AK18" i="51"/>
  <c r="AL18" i="51"/>
  <c r="AM18" i="51"/>
  <c r="AN18" i="51"/>
  <c r="AO18" i="51"/>
  <c r="AS18" i="51"/>
  <c r="AT18" i="51"/>
  <c r="AW18" i="51" s="1"/>
  <c r="AU18" i="51"/>
  <c r="AV18" i="51"/>
  <c r="AX18" i="51"/>
  <c r="AY18" i="51"/>
  <c r="AZ18" i="51"/>
  <c r="BA18" i="51"/>
  <c r="BB18" i="51"/>
  <c r="BC18" i="51"/>
  <c r="BD18" i="51"/>
  <c r="BE18" i="51"/>
  <c r="BF18" i="51"/>
  <c r="BG18" i="51"/>
  <c r="BK18" i="51"/>
  <c r="BL18" i="51"/>
  <c r="BM18" i="51"/>
  <c r="BN18" i="51"/>
  <c r="BO18" i="51"/>
  <c r="BP18" i="51"/>
  <c r="BQ18" i="51"/>
  <c r="BR18" i="51"/>
  <c r="BS18" i="51"/>
  <c r="BT18" i="51"/>
  <c r="C19" i="51"/>
  <c r="D19" i="51"/>
  <c r="E19" i="51"/>
  <c r="F19" i="51"/>
  <c r="G19" i="51"/>
  <c r="H19" i="51"/>
  <c r="I19" i="51"/>
  <c r="J19" i="51"/>
  <c r="K19" i="51"/>
  <c r="L19" i="51"/>
  <c r="M19" i="51"/>
  <c r="N19" i="51"/>
  <c r="O19" i="51"/>
  <c r="P19" i="51"/>
  <c r="Q19" i="51"/>
  <c r="R19" i="51"/>
  <c r="S19" i="51"/>
  <c r="T19" i="51"/>
  <c r="U19" i="51"/>
  <c r="V19" i="51"/>
  <c r="W19" i="51"/>
  <c r="X19" i="51"/>
  <c r="Y19" i="51"/>
  <c r="Z19" i="51"/>
  <c r="AG19" i="51"/>
  <c r="AH19" i="51"/>
  <c r="AI19" i="51"/>
  <c r="AJ19" i="51"/>
  <c r="AK19" i="51"/>
  <c r="AL19" i="51"/>
  <c r="AM19" i="51"/>
  <c r="AN19" i="51"/>
  <c r="AO19" i="51"/>
  <c r="AS19" i="51"/>
  <c r="AT19" i="51"/>
  <c r="AW19" i="51" s="1"/>
  <c r="AU19" i="51"/>
  <c r="AV19" i="51"/>
  <c r="AX19" i="51"/>
  <c r="AY19" i="51"/>
  <c r="AZ19" i="51"/>
  <c r="BA19" i="51"/>
  <c r="BB19" i="51"/>
  <c r="BC19" i="51"/>
  <c r="BD19" i="51"/>
  <c r="BE19" i="51"/>
  <c r="BF19" i="51"/>
  <c r="BG19" i="51"/>
  <c r="BK19" i="51"/>
  <c r="BL19" i="51"/>
  <c r="BM19" i="51"/>
  <c r="BN19" i="51"/>
  <c r="BO19" i="51"/>
  <c r="BP19" i="51"/>
  <c r="BQ19" i="51"/>
  <c r="BR19" i="51"/>
  <c r="BS19" i="51"/>
  <c r="BT19" i="51"/>
  <c r="C20" i="51"/>
  <c r="D20" i="51"/>
  <c r="E20" i="51"/>
  <c r="F20" i="51"/>
  <c r="G20" i="51"/>
  <c r="H20" i="51"/>
  <c r="I20" i="51"/>
  <c r="J20" i="51"/>
  <c r="K20" i="51"/>
  <c r="L20" i="51"/>
  <c r="M20" i="51"/>
  <c r="N20" i="51"/>
  <c r="O20" i="51"/>
  <c r="P20" i="51"/>
  <c r="Q20" i="51"/>
  <c r="R20" i="51"/>
  <c r="S20" i="51"/>
  <c r="T20" i="51"/>
  <c r="U20" i="51"/>
  <c r="V20" i="51"/>
  <c r="W20" i="51"/>
  <c r="X20" i="51"/>
  <c r="Y20" i="51"/>
  <c r="Z20" i="51"/>
  <c r="AG20" i="51"/>
  <c r="AH20" i="51"/>
  <c r="AI20" i="51"/>
  <c r="AJ20" i="51"/>
  <c r="AK20" i="51"/>
  <c r="AL20" i="51"/>
  <c r="AM20" i="51"/>
  <c r="AN20" i="51"/>
  <c r="AO20" i="51"/>
  <c r="AS20" i="51"/>
  <c r="AT20" i="51"/>
  <c r="AW20" i="51" s="1"/>
  <c r="AU20" i="51"/>
  <c r="AV20" i="51"/>
  <c r="AX20" i="51"/>
  <c r="AY20" i="51"/>
  <c r="AZ20" i="51"/>
  <c r="BA20" i="51"/>
  <c r="BB20" i="51"/>
  <c r="BC20" i="51"/>
  <c r="BD20" i="51"/>
  <c r="BE20" i="51"/>
  <c r="BF20" i="51"/>
  <c r="BG20" i="51"/>
  <c r="BK20" i="51"/>
  <c r="BL20" i="51"/>
  <c r="BM20" i="51"/>
  <c r="BN20" i="51"/>
  <c r="BO20" i="51"/>
  <c r="BP20" i="51"/>
  <c r="BQ20" i="51"/>
  <c r="BR20" i="51"/>
  <c r="BS20" i="51"/>
  <c r="BT20" i="51"/>
  <c r="C21" i="51"/>
  <c r="D21" i="51"/>
  <c r="E21" i="51"/>
  <c r="F21" i="51"/>
  <c r="G21" i="51"/>
  <c r="H21" i="51"/>
  <c r="I21" i="51"/>
  <c r="J21" i="51"/>
  <c r="K21" i="51"/>
  <c r="L21" i="51"/>
  <c r="M21" i="51"/>
  <c r="N21" i="51"/>
  <c r="O21" i="51"/>
  <c r="P21" i="51"/>
  <c r="Q21" i="51"/>
  <c r="R21" i="51"/>
  <c r="S21" i="51"/>
  <c r="T21" i="51"/>
  <c r="U21" i="51"/>
  <c r="V21" i="51"/>
  <c r="W21" i="51"/>
  <c r="X21" i="51"/>
  <c r="Y21" i="51"/>
  <c r="Z21" i="51"/>
  <c r="AG21" i="51"/>
  <c r="AH21" i="51"/>
  <c r="AI21" i="51"/>
  <c r="AJ21" i="51"/>
  <c r="AK21" i="51"/>
  <c r="AL21" i="51"/>
  <c r="AM21" i="51"/>
  <c r="AN21" i="51"/>
  <c r="AO21" i="51"/>
  <c r="AS21" i="51"/>
  <c r="AT21" i="51"/>
  <c r="AW21" i="51" s="1"/>
  <c r="AU21" i="51"/>
  <c r="AV21" i="51"/>
  <c r="AX21" i="51"/>
  <c r="AY21" i="51"/>
  <c r="AZ21" i="51"/>
  <c r="BA21" i="51"/>
  <c r="BB21" i="51"/>
  <c r="BC21" i="51"/>
  <c r="BD21" i="51"/>
  <c r="BE21" i="51"/>
  <c r="BF21" i="51"/>
  <c r="BG21" i="51"/>
  <c r="BK21" i="51"/>
  <c r="BL21" i="51"/>
  <c r="BM21" i="51"/>
  <c r="BN21" i="51"/>
  <c r="BO21" i="51"/>
  <c r="BP21" i="51"/>
  <c r="BQ21" i="51"/>
  <c r="BR21" i="51"/>
  <c r="BS21" i="51"/>
  <c r="BT21" i="51"/>
  <c r="C22" i="51"/>
  <c r="D22" i="51"/>
  <c r="E22" i="51"/>
  <c r="F22" i="51"/>
  <c r="G22" i="51"/>
  <c r="H22" i="51"/>
  <c r="I22" i="51"/>
  <c r="J22" i="51"/>
  <c r="K22" i="51"/>
  <c r="L22" i="51"/>
  <c r="M22" i="51"/>
  <c r="N22" i="51"/>
  <c r="O22" i="51"/>
  <c r="P22" i="51"/>
  <c r="Q22" i="51"/>
  <c r="R22" i="51"/>
  <c r="S22" i="51"/>
  <c r="T22" i="51"/>
  <c r="U22" i="51"/>
  <c r="V22" i="51"/>
  <c r="W22" i="51"/>
  <c r="X22" i="51"/>
  <c r="Y22" i="51"/>
  <c r="Z22" i="51"/>
  <c r="AG22" i="51"/>
  <c r="AH22" i="51"/>
  <c r="AI22" i="51"/>
  <c r="AJ22" i="51"/>
  <c r="AK22" i="51"/>
  <c r="AL22" i="51"/>
  <c r="AM22" i="51"/>
  <c r="AN22" i="51"/>
  <c r="AO22" i="51"/>
  <c r="AS22" i="51"/>
  <c r="AT22" i="51"/>
  <c r="AW22" i="51" s="1"/>
  <c r="AU22" i="51"/>
  <c r="AV22" i="51"/>
  <c r="AX22" i="51"/>
  <c r="AY22" i="51"/>
  <c r="AZ22" i="51"/>
  <c r="BA22" i="51"/>
  <c r="BB22" i="51"/>
  <c r="BC22" i="51"/>
  <c r="BD22" i="51"/>
  <c r="BE22" i="51"/>
  <c r="BF22" i="51"/>
  <c r="BG22" i="51"/>
  <c r="BK22" i="51"/>
  <c r="BL22" i="51"/>
  <c r="BM22" i="51"/>
  <c r="BN22" i="51"/>
  <c r="BO22" i="51"/>
  <c r="BP22" i="51"/>
  <c r="BQ22" i="51"/>
  <c r="BR22" i="51"/>
  <c r="BS22" i="51"/>
  <c r="BT22" i="51"/>
  <c r="C23" i="51"/>
  <c r="D23" i="51"/>
  <c r="E23" i="51"/>
  <c r="F23" i="51"/>
  <c r="G23" i="51"/>
  <c r="H23" i="51"/>
  <c r="I23" i="51"/>
  <c r="J23" i="51"/>
  <c r="K23" i="51"/>
  <c r="L23" i="51"/>
  <c r="M23" i="51"/>
  <c r="N23" i="51"/>
  <c r="O23" i="51"/>
  <c r="P23" i="51"/>
  <c r="Q23" i="51"/>
  <c r="R23" i="51"/>
  <c r="S23" i="51"/>
  <c r="T23" i="51"/>
  <c r="U23" i="51"/>
  <c r="V23" i="51"/>
  <c r="W23" i="51"/>
  <c r="X23" i="51"/>
  <c r="Y23" i="51"/>
  <c r="Z23" i="51"/>
  <c r="AG23" i="51"/>
  <c r="AH23" i="51"/>
  <c r="AI23" i="51"/>
  <c r="AJ23" i="51"/>
  <c r="AK23" i="51"/>
  <c r="AL23" i="51"/>
  <c r="AM23" i="51"/>
  <c r="AN23" i="51"/>
  <c r="AO23" i="51"/>
  <c r="AS23" i="51"/>
  <c r="AT23" i="51"/>
  <c r="AW23" i="51" s="1"/>
  <c r="AU23" i="51"/>
  <c r="AV23" i="51"/>
  <c r="AX23" i="51"/>
  <c r="AY23" i="51"/>
  <c r="AZ23" i="51"/>
  <c r="BA23" i="51"/>
  <c r="BB23" i="51"/>
  <c r="BC23" i="51"/>
  <c r="BD23" i="51"/>
  <c r="BE23" i="51"/>
  <c r="BF23" i="51"/>
  <c r="BG23" i="51"/>
  <c r="BK23" i="51"/>
  <c r="BL23" i="51"/>
  <c r="BM23" i="51"/>
  <c r="BN23" i="51"/>
  <c r="BO23" i="51"/>
  <c r="BP23" i="51"/>
  <c r="BQ23" i="51"/>
  <c r="BR23" i="51"/>
  <c r="BS23" i="51"/>
  <c r="BT23" i="51"/>
  <c r="C24" i="51"/>
  <c r="D24" i="51"/>
  <c r="E24" i="51"/>
  <c r="F24" i="51"/>
  <c r="G24" i="51"/>
  <c r="H24" i="51"/>
  <c r="I24" i="51"/>
  <c r="J24" i="51"/>
  <c r="K24" i="51"/>
  <c r="L24" i="51"/>
  <c r="M24" i="51"/>
  <c r="N24" i="51"/>
  <c r="O24" i="51"/>
  <c r="P24" i="51"/>
  <c r="Q24" i="51"/>
  <c r="R24" i="51"/>
  <c r="S24" i="51"/>
  <c r="T24" i="51"/>
  <c r="U24" i="51"/>
  <c r="V24" i="51"/>
  <c r="W24" i="51"/>
  <c r="X24" i="51"/>
  <c r="Y24" i="51"/>
  <c r="Z24" i="51"/>
  <c r="AG24" i="51"/>
  <c r="AH24" i="51"/>
  <c r="AI24" i="51"/>
  <c r="AJ24" i="51"/>
  <c r="AK24" i="51"/>
  <c r="AL24" i="51"/>
  <c r="AM24" i="51"/>
  <c r="AN24" i="51"/>
  <c r="AO24" i="51"/>
  <c r="AS24" i="51"/>
  <c r="AT24" i="51"/>
  <c r="AW24" i="51" s="1"/>
  <c r="AU24" i="51"/>
  <c r="AV24" i="51"/>
  <c r="AX24" i="51"/>
  <c r="AY24" i="51"/>
  <c r="AZ24" i="51"/>
  <c r="BA24" i="51"/>
  <c r="BB24" i="51"/>
  <c r="BC24" i="51"/>
  <c r="BD24" i="51"/>
  <c r="BE24" i="51"/>
  <c r="BF24" i="51"/>
  <c r="BG24" i="51"/>
  <c r="BK24" i="51"/>
  <c r="BL24" i="51"/>
  <c r="BM24" i="51"/>
  <c r="BN24" i="51"/>
  <c r="BO24" i="51"/>
  <c r="BP24" i="51"/>
  <c r="BQ24" i="51"/>
  <c r="BR24" i="51"/>
  <c r="BS24" i="51"/>
  <c r="BT24" i="51"/>
  <c r="C25" i="51"/>
  <c r="D25" i="51"/>
  <c r="E25" i="51"/>
  <c r="F25" i="51"/>
  <c r="G25" i="51"/>
  <c r="H25" i="51"/>
  <c r="I25" i="51"/>
  <c r="J25" i="51"/>
  <c r="K25" i="51"/>
  <c r="L25" i="51"/>
  <c r="M25" i="51"/>
  <c r="N25" i="51"/>
  <c r="O25" i="51"/>
  <c r="P25" i="51"/>
  <c r="Q25" i="51"/>
  <c r="R25" i="51"/>
  <c r="S25" i="51"/>
  <c r="T25" i="51"/>
  <c r="U25" i="51"/>
  <c r="V25" i="51"/>
  <c r="W25" i="51"/>
  <c r="X25" i="51"/>
  <c r="Y25" i="51"/>
  <c r="Z25" i="51"/>
  <c r="AG25" i="51"/>
  <c r="AH25" i="51"/>
  <c r="AI25" i="51"/>
  <c r="AJ25" i="51"/>
  <c r="AK25" i="51"/>
  <c r="AL25" i="51"/>
  <c r="AM25" i="51"/>
  <c r="AN25" i="51"/>
  <c r="AO25" i="51"/>
  <c r="AS25" i="51"/>
  <c r="AT25" i="51"/>
  <c r="AW25" i="51" s="1"/>
  <c r="AU25" i="51"/>
  <c r="AV25" i="51"/>
  <c r="AX25" i="51"/>
  <c r="AY25" i="51"/>
  <c r="AZ25" i="51"/>
  <c r="BA25" i="51"/>
  <c r="BB25" i="51"/>
  <c r="BC25" i="51"/>
  <c r="BD25" i="51"/>
  <c r="BE25" i="51"/>
  <c r="BF25" i="51"/>
  <c r="BG25" i="51"/>
  <c r="BK25" i="51"/>
  <c r="BL25" i="51"/>
  <c r="BM25" i="51"/>
  <c r="BN25" i="51"/>
  <c r="BO25" i="51"/>
  <c r="BP25" i="51"/>
  <c r="BQ25" i="51"/>
  <c r="BR25" i="51"/>
  <c r="BS25" i="51"/>
  <c r="BT25" i="51"/>
  <c r="C26" i="51"/>
  <c r="D26" i="51"/>
  <c r="E26" i="51"/>
  <c r="F26" i="51"/>
  <c r="G26" i="51"/>
  <c r="H26" i="51"/>
  <c r="I26" i="51"/>
  <c r="J26" i="51"/>
  <c r="K26" i="51"/>
  <c r="L26" i="51"/>
  <c r="M26" i="51"/>
  <c r="N26" i="51"/>
  <c r="O26" i="51"/>
  <c r="P26" i="51"/>
  <c r="Q26" i="51"/>
  <c r="R26" i="51"/>
  <c r="S26" i="51"/>
  <c r="T26" i="51"/>
  <c r="U26" i="51"/>
  <c r="V26" i="51"/>
  <c r="W26" i="51"/>
  <c r="X26" i="51"/>
  <c r="Y26" i="51"/>
  <c r="Z26" i="51"/>
  <c r="AG26" i="51"/>
  <c r="AH26" i="51"/>
  <c r="AI26" i="51"/>
  <c r="AJ26" i="51"/>
  <c r="AK26" i="51"/>
  <c r="AL26" i="51"/>
  <c r="AM26" i="51"/>
  <c r="AN26" i="51"/>
  <c r="AO26" i="51"/>
  <c r="AS26" i="51"/>
  <c r="AT26" i="51"/>
  <c r="AW26" i="51" s="1"/>
  <c r="AU26" i="51"/>
  <c r="AV26" i="51"/>
  <c r="AX26" i="51"/>
  <c r="AY26" i="51"/>
  <c r="AZ26" i="51"/>
  <c r="BA26" i="51"/>
  <c r="BB26" i="51"/>
  <c r="BC26" i="51"/>
  <c r="BD26" i="51"/>
  <c r="BE26" i="51"/>
  <c r="BF26" i="51"/>
  <c r="BG26" i="51"/>
  <c r="BK26" i="51"/>
  <c r="BL26" i="51"/>
  <c r="BM26" i="51"/>
  <c r="BN26" i="51"/>
  <c r="BO26" i="51"/>
  <c r="BP26" i="51"/>
  <c r="BQ26" i="51"/>
  <c r="BR26" i="51"/>
  <c r="BS26" i="51"/>
  <c r="BT26" i="51"/>
  <c r="C27" i="51"/>
  <c r="D27" i="51"/>
  <c r="E27" i="51"/>
  <c r="F27" i="51"/>
  <c r="G27" i="51"/>
  <c r="H27" i="51"/>
  <c r="I27" i="51"/>
  <c r="J27" i="51"/>
  <c r="K27" i="51"/>
  <c r="L27" i="51"/>
  <c r="M27" i="51"/>
  <c r="N27" i="51"/>
  <c r="O27" i="51"/>
  <c r="P27" i="51"/>
  <c r="Q27" i="51"/>
  <c r="R27" i="51"/>
  <c r="S27" i="51"/>
  <c r="T27" i="51"/>
  <c r="U27" i="51"/>
  <c r="V27" i="51"/>
  <c r="W27" i="51"/>
  <c r="X27" i="51"/>
  <c r="Y27" i="51"/>
  <c r="Z27" i="51"/>
  <c r="AG27" i="51"/>
  <c r="AH27" i="51"/>
  <c r="AI27" i="51"/>
  <c r="AJ27" i="51"/>
  <c r="AK27" i="51"/>
  <c r="AL27" i="51"/>
  <c r="AM27" i="51"/>
  <c r="AN27" i="51"/>
  <c r="AO27" i="51"/>
  <c r="AS27" i="51"/>
  <c r="AT27" i="51"/>
  <c r="AW27" i="51" s="1"/>
  <c r="AU27" i="51"/>
  <c r="AV27" i="51"/>
  <c r="AX27" i="51"/>
  <c r="AY27" i="51"/>
  <c r="AZ27" i="51"/>
  <c r="BA27" i="51"/>
  <c r="BB27" i="51"/>
  <c r="BC27" i="51"/>
  <c r="BD27" i="51"/>
  <c r="BE27" i="51"/>
  <c r="BF27" i="51"/>
  <c r="BG27" i="51"/>
  <c r="BK27" i="51"/>
  <c r="BL27" i="51"/>
  <c r="BM27" i="51"/>
  <c r="BN27" i="51"/>
  <c r="BO27" i="51"/>
  <c r="BP27" i="51"/>
  <c r="BQ27" i="51"/>
  <c r="BR27" i="51"/>
  <c r="BS27" i="51"/>
  <c r="BT27" i="51"/>
  <c r="C28" i="51"/>
  <c r="D28" i="51"/>
  <c r="E28" i="51"/>
  <c r="F28" i="51"/>
  <c r="G28" i="51"/>
  <c r="H28" i="51"/>
  <c r="I28" i="51"/>
  <c r="J28" i="51"/>
  <c r="K28" i="51"/>
  <c r="L28" i="51"/>
  <c r="M28" i="51"/>
  <c r="N28" i="51"/>
  <c r="O28" i="51"/>
  <c r="P28" i="51"/>
  <c r="Q28" i="51"/>
  <c r="R28" i="51"/>
  <c r="S28" i="51"/>
  <c r="T28" i="51"/>
  <c r="U28" i="51"/>
  <c r="V28" i="51"/>
  <c r="W28" i="51"/>
  <c r="X28" i="51"/>
  <c r="Y28" i="51"/>
  <c r="Z28" i="51"/>
  <c r="AG28" i="51"/>
  <c r="AH28" i="51"/>
  <c r="AI28" i="51"/>
  <c r="AJ28" i="51"/>
  <c r="AK28" i="51"/>
  <c r="AL28" i="51"/>
  <c r="AM28" i="51"/>
  <c r="AN28" i="51"/>
  <c r="AO28" i="51"/>
  <c r="AS28" i="51"/>
  <c r="AT28" i="51"/>
  <c r="AW28" i="51" s="1"/>
  <c r="AU28" i="51"/>
  <c r="AV28" i="51"/>
  <c r="AX28" i="51"/>
  <c r="AY28" i="51"/>
  <c r="AZ28" i="51"/>
  <c r="BA28" i="51"/>
  <c r="BB28" i="51"/>
  <c r="BC28" i="51"/>
  <c r="BD28" i="51"/>
  <c r="BE28" i="51"/>
  <c r="BF28" i="51"/>
  <c r="BG28" i="51"/>
  <c r="BK28" i="51"/>
  <c r="BL28" i="51"/>
  <c r="BM28" i="51"/>
  <c r="BN28" i="51"/>
  <c r="BO28" i="51"/>
  <c r="BP28" i="51"/>
  <c r="BQ28" i="51"/>
  <c r="BR28" i="51"/>
  <c r="BS28" i="51"/>
  <c r="BT28" i="51"/>
  <c r="C29" i="51"/>
  <c r="D29" i="51"/>
  <c r="E29" i="51"/>
  <c r="F29" i="51"/>
  <c r="G29" i="51"/>
  <c r="H29" i="51"/>
  <c r="I29" i="51"/>
  <c r="J29" i="51"/>
  <c r="K29" i="51"/>
  <c r="L29" i="51"/>
  <c r="M29" i="51"/>
  <c r="N29" i="51"/>
  <c r="O29" i="51"/>
  <c r="P29" i="51"/>
  <c r="Q29" i="51"/>
  <c r="R29" i="51"/>
  <c r="S29" i="51"/>
  <c r="T29" i="51"/>
  <c r="U29" i="51"/>
  <c r="V29" i="51"/>
  <c r="W29" i="51"/>
  <c r="X29" i="51"/>
  <c r="Y29" i="51"/>
  <c r="Z29" i="51"/>
  <c r="AG29" i="51"/>
  <c r="AH29" i="51"/>
  <c r="AI29" i="51"/>
  <c r="AJ29" i="51"/>
  <c r="AK29" i="51"/>
  <c r="AL29" i="51"/>
  <c r="AM29" i="51"/>
  <c r="AN29" i="51"/>
  <c r="AO29" i="51"/>
  <c r="AS29" i="51"/>
  <c r="AT29" i="51"/>
  <c r="AW29" i="51" s="1"/>
  <c r="AU29" i="51"/>
  <c r="AV29" i="51"/>
  <c r="AX29" i="51"/>
  <c r="AY29" i="51"/>
  <c r="AZ29" i="51"/>
  <c r="BA29" i="51"/>
  <c r="BB29" i="51"/>
  <c r="BC29" i="51"/>
  <c r="BD29" i="51"/>
  <c r="BE29" i="51"/>
  <c r="BF29" i="51"/>
  <c r="BG29" i="51"/>
  <c r="BK29" i="51"/>
  <c r="BL29" i="51"/>
  <c r="BM29" i="51"/>
  <c r="BN29" i="51"/>
  <c r="BO29" i="51"/>
  <c r="BP29" i="51"/>
  <c r="BQ29" i="51"/>
  <c r="BR29" i="51"/>
  <c r="BS29" i="51"/>
  <c r="BT29" i="51"/>
  <c r="C30" i="51"/>
  <c r="D30" i="51"/>
  <c r="E30" i="51"/>
  <c r="F30" i="51"/>
  <c r="G30" i="51"/>
  <c r="H30" i="51"/>
  <c r="I30" i="51"/>
  <c r="J30" i="51"/>
  <c r="K30" i="51"/>
  <c r="L30" i="51"/>
  <c r="M30" i="51"/>
  <c r="N30" i="51"/>
  <c r="O30" i="51"/>
  <c r="P30" i="51"/>
  <c r="Q30" i="51"/>
  <c r="R30" i="51"/>
  <c r="S30" i="51"/>
  <c r="T30" i="51"/>
  <c r="U30" i="51"/>
  <c r="V30" i="51"/>
  <c r="W30" i="51"/>
  <c r="X30" i="51"/>
  <c r="Y30" i="51"/>
  <c r="Z30" i="51"/>
  <c r="AG30" i="51"/>
  <c r="AH30" i="51"/>
  <c r="AI30" i="51"/>
  <c r="AJ30" i="51"/>
  <c r="AK30" i="51"/>
  <c r="AL30" i="51"/>
  <c r="AM30" i="51"/>
  <c r="AN30" i="51"/>
  <c r="AO30" i="51"/>
  <c r="AS30" i="51"/>
  <c r="AT30" i="51"/>
  <c r="AW30" i="51" s="1"/>
  <c r="AU30" i="51"/>
  <c r="AV30" i="51"/>
  <c r="AX30" i="51"/>
  <c r="AY30" i="51"/>
  <c r="AZ30" i="51"/>
  <c r="BA30" i="51"/>
  <c r="BB30" i="51"/>
  <c r="BC30" i="51"/>
  <c r="BD30" i="51"/>
  <c r="BE30" i="51"/>
  <c r="BF30" i="51"/>
  <c r="BG30" i="51"/>
  <c r="BK30" i="51"/>
  <c r="BL30" i="51"/>
  <c r="BM30" i="51"/>
  <c r="BN30" i="51"/>
  <c r="BO30" i="51"/>
  <c r="BP30" i="51"/>
  <c r="BQ30" i="51"/>
  <c r="BR30" i="51"/>
  <c r="BS30" i="51"/>
  <c r="BT30" i="51"/>
  <c r="C31" i="51"/>
  <c r="D31" i="51"/>
  <c r="E31" i="51"/>
  <c r="F31" i="51"/>
  <c r="G31" i="51"/>
  <c r="H31" i="51"/>
  <c r="I31" i="51"/>
  <c r="J31" i="51"/>
  <c r="K31" i="51"/>
  <c r="L31" i="51"/>
  <c r="M31" i="51"/>
  <c r="N31" i="51"/>
  <c r="O31" i="51"/>
  <c r="P31" i="51"/>
  <c r="Q31" i="51"/>
  <c r="R31" i="51"/>
  <c r="S31" i="51"/>
  <c r="T31" i="51"/>
  <c r="U31" i="51"/>
  <c r="V31" i="51"/>
  <c r="W31" i="51"/>
  <c r="X31" i="51"/>
  <c r="Y31" i="51"/>
  <c r="Z31" i="51"/>
  <c r="AG31" i="51"/>
  <c r="AH31" i="51"/>
  <c r="AI31" i="51"/>
  <c r="AJ31" i="51"/>
  <c r="AK31" i="51"/>
  <c r="AL31" i="51"/>
  <c r="AM31" i="51"/>
  <c r="AN31" i="51"/>
  <c r="AO31" i="51"/>
  <c r="AS31" i="51"/>
  <c r="AT31" i="51"/>
  <c r="AW31" i="51" s="1"/>
  <c r="AU31" i="51"/>
  <c r="AV31" i="51"/>
  <c r="AX31" i="51"/>
  <c r="AY31" i="51"/>
  <c r="AZ31" i="51"/>
  <c r="BA31" i="51"/>
  <c r="BB31" i="51"/>
  <c r="BC31" i="51"/>
  <c r="BD31" i="51"/>
  <c r="BE31" i="51"/>
  <c r="BF31" i="51"/>
  <c r="BG31" i="51"/>
  <c r="BK31" i="51"/>
  <c r="BL31" i="51"/>
  <c r="BM31" i="51"/>
  <c r="BN31" i="51"/>
  <c r="BO31" i="51"/>
  <c r="BP31" i="51"/>
  <c r="BQ31" i="51"/>
  <c r="BR31" i="51"/>
  <c r="BS31" i="51"/>
  <c r="BT31" i="51"/>
  <c r="C32" i="51"/>
  <c r="D32" i="51"/>
  <c r="E32" i="51"/>
  <c r="F32" i="51"/>
  <c r="G32" i="51"/>
  <c r="H32" i="51"/>
  <c r="I32" i="51"/>
  <c r="J32" i="51"/>
  <c r="K32" i="51"/>
  <c r="L32" i="51"/>
  <c r="M32" i="51"/>
  <c r="N32" i="51"/>
  <c r="O32" i="51"/>
  <c r="P32" i="51"/>
  <c r="Q32" i="51"/>
  <c r="R32" i="51"/>
  <c r="S32" i="51"/>
  <c r="T32" i="51"/>
  <c r="U32" i="51"/>
  <c r="V32" i="51"/>
  <c r="W32" i="51"/>
  <c r="X32" i="51"/>
  <c r="Y32" i="51"/>
  <c r="Z32" i="51"/>
  <c r="AG32" i="51"/>
  <c r="AH32" i="51"/>
  <c r="AI32" i="51"/>
  <c r="AJ32" i="51"/>
  <c r="AK32" i="51"/>
  <c r="AL32" i="51"/>
  <c r="AM32" i="51"/>
  <c r="AN32" i="51"/>
  <c r="AO32" i="51"/>
  <c r="AS32" i="51"/>
  <c r="AT32" i="51"/>
  <c r="AW32" i="51" s="1"/>
  <c r="AU32" i="51"/>
  <c r="AV32" i="51"/>
  <c r="AX32" i="51"/>
  <c r="AY32" i="51"/>
  <c r="AZ32" i="51"/>
  <c r="BA32" i="51"/>
  <c r="BB32" i="51"/>
  <c r="BC32" i="51"/>
  <c r="BD32" i="51"/>
  <c r="BE32" i="51"/>
  <c r="BF32" i="51"/>
  <c r="BG32" i="51"/>
  <c r="BK32" i="51"/>
  <c r="BL32" i="51"/>
  <c r="BM32" i="51"/>
  <c r="BN32" i="51"/>
  <c r="BO32" i="51"/>
  <c r="BP32" i="51"/>
  <c r="BQ32" i="51"/>
  <c r="BR32" i="51"/>
  <c r="BS32" i="51"/>
  <c r="BT32" i="51"/>
  <c r="C33" i="51"/>
  <c r="D33" i="51"/>
  <c r="E33" i="51"/>
  <c r="F33" i="51"/>
  <c r="G33" i="51"/>
  <c r="H33" i="51"/>
  <c r="I33" i="51"/>
  <c r="J33" i="51"/>
  <c r="K33" i="51"/>
  <c r="L33" i="51"/>
  <c r="M33" i="51"/>
  <c r="N33" i="51"/>
  <c r="O33" i="51"/>
  <c r="P33" i="51"/>
  <c r="Q33" i="51"/>
  <c r="R33" i="51"/>
  <c r="S33" i="51"/>
  <c r="T33" i="51"/>
  <c r="U33" i="51"/>
  <c r="V33" i="51"/>
  <c r="W33" i="51"/>
  <c r="X33" i="51"/>
  <c r="Y33" i="51"/>
  <c r="Z33" i="51"/>
  <c r="AG33" i="51"/>
  <c r="AH33" i="51"/>
  <c r="AI33" i="51"/>
  <c r="AJ33" i="51"/>
  <c r="AK33" i="51"/>
  <c r="AL33" i="51"/>
  <c r="AM33" i="51"/>
  <c r="AN33" i="51"/>
  <c r="AO33" i="51"/>
  <c r="AS33" i="51"/>
  <c r="AT33" i="51"/>
  <c r="AW33" i="51" s="1"/>
  <c r="AU33" i="51"/>
  <c r="AV33" i="51"/>
  <c r="AX33" i="51"/>
  <c r="AY33" i="51"/>
  <c r="AZ33" i="51"/>
  <c r="BA33" i="51"/>
  <c r="BB33" i="51"/>
  <c r="BC33" i="51"/>
  <c r="BD33" i="51"/>
  <c r="BE33" i="51"/>
  <c r="BF33" i="51"/>
  <c r="BG33" i="51"/>
  <c r="BK33" i="51"/>
  <c r="BL33" i="51"/>
  <c r="BM33" i="51"/>
  <c r="BN33" i="51"/>
  <c r="BO33" i="51"/>
  <c r="BP33" i="51"/>
  <c r="BQ33" i="51"/>
  <c r="BR33" i="51"/>
  <c r="BS33" i="51"/>
  <c r="BT33" i="51"/>
  <c r="AT34" i="51"/>
  <c r="AW34" i="51" s="1"/>
  <c r="AU34" i="51"/>
  <c r="AV34" i="51"/>
  <c r="AT35" i="51"/>
  <c r="AW35" i="51" s="1"/>
  <c r="AU35" i="51"/>
  <c r="AV35" i="51"/>
  <c r="AT36" i="51"/>
  <c r="AW36" i="51" s="1"/>
  <c r="AU36" i="51"/>
  <c r="AV36" i="51"/>
  <c r="AT37" i="51"/>
  <c r="AW37" i="51" s="1"/>
  <c r="AU37" i="51"/>
  <c r="AV37" i="51"/>
  <c r="AT38" i="51"/>
  <c r="AW38" i="51" s="1"/>
  <c r="AU38" i="51"/>
  <c r="AV38" i="51"/>
  <c r="AT39" i="51"/>
  <c r="AW39" i="51" s="1"/>
  <c r="AU39" i="51"/>
  <c r="AV39" i="51"/>
  <c r="AT40" i="51"/>
  <c r="AW40" i="51" s="1"/>
  <c r="AU40" i="51"/>
  <c r="AV40" i="51"/>
  <c r="AT41" i="51"/>
  <c r="AW41" i="51" s="1"/>
  <c r="AU41" i="51"/>
  <c r="AV41" i="51"/>
  <c r="AT42" i="51"/>
  <c r="AW42" i="51" s="1"/>
  <c r="AU42" i="51"/>
  <c r="AV42" i="51"/>
  <c r="AT43" i="51"/>
  <c r="AW43" i="51" s="1"/>
  <c r="AU43" i="51"/>
  <c r="AV43" i="51"/>
  <c r="AT44" i="51"/>
  <c r="AW44" i="51" s="1"/>
  <c r="AU44" i="51"/>
  <c r="AV44" i="51"/>
  <c r="AT45" i="51"/>
  <c r="AW45" i="51" s="1"/>
  <c r="AU45" i="51"/>
  <c r="AV45" i="51"/>
  <c r="AT46" i="51"/>
  <c r="AW46" i="51" s="1"/>
  <c r="AU46" i="51"/>
  <c r="AV46" i="51"/>
  <c r="AT47" i="51"/>
  <c r="AW47" i="51" s="1"/>
  <c r="AU47" i="51"/>
  <c r="AV47" i="51"/>
  <c r="AT48" i="51"/>
  <c r="AW48" i="51" s="1"/>
  <c r="AU48" i="51"/>
  <c r="AV48" i="51"/>
  <c r="AT49" i="51"/>
  <c r="AW49" i="51" s="1"/>
  <c r="AU49" i="51"/>
  <c r="AV49" i="51"/>
  <c r="AT50" i="51"/>
  <c r="AW50" i="51" s="1"/>
  <c r="AU50" i="51"/>
  <c r="AV50" i="51"/>
  <c r="AT51" i="51"/>
  <c r="AW51" i="51" s="1"/>
  <c r="AU51" i="51"/>
  <c r="AV51" i="51"/>
  <c r="AT52" i="51"/>
  <c r="AW52" i="51" s="1"/>
  <c r="AU52" i="51"/>
  <c r="AV52" i="51"/>
  <c r="AT53" i="51"/>
  <c r="AW53" i="51" s="1"/>
  <c r="AU53" i="51"/>
  <c r="AV53" i="51"/>
  <c r="AT54" i="51"/>
  <c r="AW54" i="51" s="1"/>
  <c r="AU54" i="51"/>
  <c r="AV54" i="51"/>
  <c r="AW55" i="51"/>
  <c r="AW56" i="51"/>
  <c r="AW57" i="51"/>
  <c r="AW58" i="51"/>
  <c r="AW59" i="51"/>
  <c r="AW60" i="51"/>
  <c r="AW61" i="51"/>
  <c r="AW62" i="51"/>
  <c r="AW63" i="51"/>
  <c r="AW64" i="51"/>
  <c r="AW65" i="51"/>
  <c r="AW66" i="51"/>
  <c r="C7" i="50"/>
  <c r="C11" i="10" s="1"/>
  <c r="C8" i="50"/>
  <c r="D8" i="50"/>
  <c r="E8" i="50"/>
  <c r="F8" i="50"/>
  <c r="G8" i="50"/>
  <c r="H8" i="50"/>
  <c r="I8" i="50"/>
  <c r="J8" i="50"/>
  <c r="K8" i="50"/>
  <c r="L8" i="50"/>
  <c r="M8" i="50"/>
  <c r="N8" i="50"/>
  <c r="O8" i="50"/>
  <c r="P8" i="50"/>
  <c r="Q8" i="50"/>
  <c r="R8" i="50"/>
  <c r="S8" i="50"/>
  <c r="T8" i="50"/>
  <c r="U8" i="50"/>
  <c r="V8" i="50"/>
  <c r="W8" i="50"/>
  <c r="X8" i="50"/>
  <c r="Y8" i="50"/>
  <c r="Z8" i="50"/>
  <c r="AG8" i="50"/>
  <c r="AH8" i="50"/>
  <c r="AI8" i="50"/>
  <c r="AJ8" i="50"/>
  <c r="AK8" i="50"/>
  <c r="AL8" i="50"/>
  <c r="AM8" i="50"/>
  <c r="AN8" i="50"/>
  <c r="AO8" i="50"/>
  <c r="AS8" i="50"/>
  <c r="AT8" i="50"/>
  <c r="AU8" i="50"/>
  <c r="AV8" i="50"/>
  <c r="AX8" i="50"/>
  <c r="AY8" i="50"/>
  <c r="AZ8" i="50"/>
  <c r="BA8" i="50"/>
  <c r="BB8" i="50"/>
  <c r="BC8" i="50"/>
  <c r="BD8" i="50"/>
  <c r="BE8" i="50"/>
  <c r="BF8" i="50"/>
  <c r="BG8" i="50"/>
  <c r="BK8" i="50"/>
  <c r="BL8" i="50"/>
  <c r="BM8" i="50"/>
  <c r="BN8" i="50"/>
  <c r="BO8" i="50"/>
  <c r="BP8" i="50"/>
  <c r="BQ8" i="50"/>
  <c r="BR8" i="50"/>
  <c r="BS8" i="50"/>
  <c r="BT8" i="50"/>
  <c r="D9" i="50"/>
  <c r="E9" i="50"/>
  <c r="F9" i="50"/>
  <c r="G9" i="50"/>
  <c r="H9" i="50"/>
  <c r="I9" i="50"/>
  <c r="J9" i="50"/>
  <c r="K9" i="50"/>
  <c r="L9" i="50"/>
  <c r="M9" i="50"/>
  <c r="N9" i="50"/>
  <c r="O9" i="50"/>
  <c r="P9" i="50"/>
  <c r="Q9" i="50"/>
  <c r="R9" i="50"/>
  <c r="S9" i="50"/>
  <c r="T9" i="50"/>
  <c r="U9" i="50"/>
  <c r="V9" i="50"/>
  <c r="W9" i="50"/>
  <c r="X9" i="50"/>
  <c r="Y9" i="50"/>
  <c r="Z9" i="50"/>
  <c r="AG9" i="50"/>
  <c r="AH9" i="50"/>
  <c r="AI9" i="50"/>
  <c r="AJ9" i="50"/>
  <c r="AK9" i="50"/>
  <c r="AL9" i="50"/>
  <c r="AM9" i="50"/>
  <c r="AN9" i="50"/>
  <c r="AO9" i="50"/>
  <c r="AS9" i="50"/>
  <c r="AT9" i="50"/>
  <c r="AU9" i="50"/>
  <c r="AV9" i="50"/>
  <c r="AX9" i="50"/>
  <c r="AY9" i="50"/>
  <c r="AZ9" i="50"/>
  <c r="BA9" i="50"/>
  <c r="BB9" i="50"/>
  <c r="BC9" i="50"/>
  <c r="BD9" i="50"/>
  <c r="BE9" i="50"/>
  <c r="BF9" i="50"/>
  <c r="BG9" i="50"/>
  <c r="BK9" i="50"/>
  <c r="BL9" i="50"/>
  <c r="BM9" i="50"/>
  <c r="BN9" i="50"/>
  <c r="BO9" i="50"/>
  <c r="BP9" i="50"/>
  <c r="BQ9" i="50"/>
  <c r="BR9" i="50"/>
  <c r="BS9" i="50"/>
  <c r="BT9" i="50"/>
  <c r="C10" i="50"/>
  <c r="D10" i="50"/>
  <c r="E10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R10" i="50"/>
  <c r="S10" i="50"/>
  <c r="T10" i="50"/>
  <c r="U10" i="50"/>
  <c r="V10" i="50"/>
  <c r="W10" i="50"/>
  <c r="X10" i="50"/>
  <c r="Y10" i="50"/>
  <c r="Z10" i="50"/>
  <c r="AG10" i="50"/>
  <c r="AH10" i="50"/>
  <c r="AI10" i="50"/>
  <c r="AJ10" i="50"/>
  <c r="AK10" i="50"/>
  <c r="AL10" i="50"/>
  <c r="AM10" i="50"/>
  <c r="AN10" i="50"/>
  <c r="AO10" i="50"/>
  <c r="AS10" i="50"/>
  <c r="AT10" i="50"/>
  <c r="AU10" i="50"/>
  <c r="AV10" i="50"/>
  <c r="AX10" i="50"/>
  <c r="AY10" i="50"/>
  <c r="AZ10" i="50"/>
  <c r="BA10" i="50"/>
  <c r="BB10" i="50"/>
  <c r="BC10" i="50"/>
  <c r="BD10" i="50"/>
  <c r="BE10" i="50"/>
  <c r="BF10" i="50"/>
  <c r="BG10" i="50"/>
  <c r="BK10" i="50"/>
  <c r="BL10" i="50"/>
  <c r="BM10" i="50"/>
  <c r="BN10" i="50"/>
  <c r="BO10" i="50"/>
  <c r="BQ10" i="50"/>
  <c r="BR10" i="50"/>
  <c r="BS10" i="50"/>
  <c r="BT10" i="50"/>
  <c r="C11" i="50"/>
  <c r="D11" i="50"/>
  <c r="E11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R11" i="50"/>
  <c r="S11" i="50"/>
  <c r="T11" i="50"/>
  <c r="U11" i="50"/>
  <c r="V11" i="50"/>
  <c r="W11" i="50"/>
  <c r="X11" i="50"/>
  <c r="Y11" i="50"/>
  <c r="Z11" i="50"/>
  <c r="AG11" i="50"/>
  <c r="AH11" i="50"/>
  <c r="AI11" i="50"/>
  <c r="AJ11" i="50"/>
  <c r="AK11" i="50"/>
  <c r="AL11" i="50"/>
  <c r="AM11" i="50"/>
  <c r="AN11" i="50"/>
  <c r="AO11" i="50"/>
  <c r="AS11" i="50"/>
  <c r="AT11" i="50"/>
  <c r="AU11" i="50"/>
  <c r="AV11" i="50"/>
  <c r="AX11" i="50"/>
  <c r="AY11" i="50"/>
  <c r="AZ11" i="50"/>
  <c r="BA11" i="50"/>
  <c r="BB11" i="50"/>
  <c r="BC11" i="50"/>
  <c r="BD11" i="50"/>
  <c r="BE11" i="50"/>
  <c r="BF11" i="50"/>
  <c r="BG11" i="50"/>
  <c r="BK11" i="50"/>
  <c r="BL11" i="50"/>
  <c r="BM11" i="50"/>
  <c r="BN11" i="50"/>
  <c r="BO11" i="50"/>
  <c r="BP11" i="50"/>
  <c r="BQ11" i="50"/>
  <c r="BR11" i="50"/>
  <c r="BS11" i="50"/>
  <c r="BT11" i="50"/>
  <c r="C12" i="50"/>
  <c r="D12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S12" i="50"/>
  <c r="T12" i="50"/>
  <c r="U12" i="50"/>
  <c r="V12" i="50"/>
  <c r="W12" i="50"/>
  <c r="X12" i="50"/>
  <c r="Y12" i="50"/>
  <c r="Z12" i="50"/>
  <c r="AG12" i="50"/>
  <c r="AH12" i="50"/>
  <c r="AI12" i="50"/>
  <c r="AJ12" i="50"/>
  <c r="AK12" i="50"/>
  <c r="AL12" i="50"/>
  <c r="AM12" i="50"/>
  <c r="AN12" i="50"/>
  <c r="AO12" i="50"/>
  <c r="AS12" i="50"/>
  <c r="AT12" i="50"/>
  <c r="AU12" i="50"/>
  <c r="AV12" i="50"/>
  <c r="AX12" i="50"/>
  <c r="AY12" i="50"/>
  <c r="AZ12" i="50"/>
  <c r="BA12" i="50"/>
  <c r="BB12" i="50"/>
  <c r="BC12" i="50"/>
  <c r="BD12" i="50"/>
  <c r="BE12" i="50"/>
  <c r="BF12" i="50"/>
  <c r="BG12" i="50"/>
  <c r="BK12" i="50"/>
  <c r="BL12" i="50"/>
  <c r="BM12" i="50"/>
  <c r="BN12" i="50"/>
  <c r="BO12" i="50"/>
  <c r="BP12" i="50"/>
  <c r="BQ12" i="50"/>
  <c r="BR12" i="50"/>
  <c r="BS12" i="50"/>
  <c r="BT12" i="50"/>
  <c r="C13" i="50"/>
  <c r="D13" i="50"/>
  <c r="E13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S13" i="50"/>
  <c r="T13" i="50"/>
  <c r="U13" i="50"/>
  <c r="V13" i="50"/>
  <c r="W13" i="50"/>
  <c r="X13" i="50"/>
  <c r="Y13" i="50"/>
  <c r="Z13" i="50"/>
  <c r="AG13" i="50"/>
  <c r="AH13" i="50"/>
  <c r="AI13" i="50"/>
  <c r="AJ13" i="50"/>
  <c r="AK13" i="50"/>
  <c r="AL13" i="50"/>
  <c r="AM13" i="50"/>
  <c r="AN13" i="50"/>
  <c r="AO13" i="50"/>
  <c r="AS13" i="50"/>
  <c r="AT13" i="50"/>
  <c r="AU13" i="50"/>
  <c r="AV13" i="50"/>
  <c r="AX13" i="50"/>
  <c r="AY13" i="50"/>
  <c r="AZ13" i="50"/>
  <c r="BA13" i="50"/>
  <c r="BB13" i="50"/>
  <c r="BC13" i="50"/>
  <c r="BD13" i="50"/>
  <c r="BE13" i="50"/>
  <c r="BF13" i="50"/>
  <c r="BG13" i="50"/>
  <c r="BK13" i="50"/>
  <c r="BL13" i="50"/>
  <c r="BM13" i="50"/>
  <c r="BN13" i="50"/>
  <c r="BO13" i="50"/>
  <c r="BP13" i="50"/>
  <c r="BQ13" i="50"/>
  <c r="BR13" i="50"/>
  <c r="BS13" i="50"/>
  <c r="BT13" i="50"/>
  <c r="C14" i="50"/>
  <c r="D14" i="50"/>
  <c r="E14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Z14" i="50"/>
  <c r="AG14" i="50"/>
  <c r="AH14" i="50"/>
  <c r="AI14" i="50"/>
  <c r="AJ14" i="50"/>
  <c r="AK14" i="50"/>
  <c r="AL14" i="50"/>
  <c r="AM14" i="50"/>
  <c r="AN14" i="50"/>
  <c r="AO14" i="50"/>
  <c r="AS14" i="50"/>
  <c r="AT14" i="50"/>
  <c r="AU14" i="50"/>
  <c r="AV14" i="50"/>
  <c r="AX14" i="50"/>
  <c r="AY14" i="50"/>
  <c r="AZ14" i="50"/>
  <c r="BA14" i="50"/>
  <c r="BB14" i="50"/>
  <c r="BC14" i="50"/>
  <c r="BD14" i="50"/>
  <c r="BE14" i="50"/>
  <c r="BF14" i="50"/>
  <c r="BG14" i="50"/>
  <c r="BK14" i="50"/>
  <c r="BL14" i="50"/>
  <c r="BM14" i="50"/>
  <c r="BN14" i="50"/>
  <c r="BO14" i="50"/>
  <c r="BP14" i="50"/>
  <c r="BQ14" i="50"/>
  <c r="BR14" i="50"/>
  <c r="BS14" i="50"/>
  <c r="BT14" i="50"/>
  <c r="C15" i="50"/>
  <c r="D15" i="50"/>
  <c r="E15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S15" i="50"/>
  <c r="T15" i="50"/>
  <c r="U15" i="50"/>
  <c r="V15" i="50"/>
  <c r="W15" i="50"/>
  <c r="X15" i="50"/>
  <c r="Y15" i="50"/>
  <c r="Z15" i="50"/>
  <c r="AG15" i="50"/>
  <c r="AH15" i="50"/>
  <c r="AI15" i="50"/>
  <c r="AJ15" i="50"/>
  <c r="AK15" i="50"/>
  <c r="AL15" i="50"/>
  <c r="AM15" i="50"/>
  <c r="AN15" i="50"/>
  <c r="AO15" i="50"/>
  <c r="AS15" i="50"/>
  <c r="AT15" i="50"/>
  <c r="AU15" i="50"/>
  <c r="AV15" i="50"/>
  <c r="AX15" i="50"/>
  <c r="AY15" i="50"/>
  <c r="AZ15" i="50"/>
  <c r="BA15" i="50"/>
  <c r="BB15" i="50"/>
  <c r="BC15" i="50"/>
  <c r="BD15" i="50"/>
  <c r="BE15" i="50"/>
  <c r="BF15" i="50"/>
  <c r="BG15" i="50"/>
  <c r="BK15" i="50"/>
  <c r="BL15" i="50"/>
  <c r="BM15" i="50"/>
  <c r="BN15" i="50"/>
  <c r="BO15" i="50"/>
  <c r="BP15" i="50"/>
  <c r="BQ15" i="50"/>
  <c r="BR15" i="50"/>
  <c r="BS15" i="50"/>
  <c r="BT15" i="50"/>
  <c r="C16" i="50"/>
  <c r="D16" i="50"/>
  <c r="E16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S16" i="50"/>
  <c r="T16" i="50"/>
  <c r="U16" i="50"/>
  <c r="V16" i="50"/>
  <c r="W16" i="50"/>
  <c r="X16" i="50"/>
  <c r="Y16" i="50"/>
  <c r="Z16" i="50"/>
  <c r="AG16" i="50"/>
  <c r="AH16" i="50"/>
  <c r="AI16" i="50"/>
  <c r="AJ16" i="50"/>
  <c r="AK16" i="50"/>
  <c r="AL16" i="50"/>
  <c r="AM16" i="50"/>
  <c r="AN16" i="50"/>
  <c r="AO16" i="50"/>
  <c r="AS16" i="50"/>
  <c r="AT16" i="50"/>
  <c r="AU16" i="50"/>
  <c r="AV16" i="50"/>
  <c r="AX16" i="50"/>
  <c r="AY16" i="50"/>
  <c r="AZ16" i="50"/>
  <c r="BA16" i="50"/>
  <c r="BB16" i="50"/>
  <c r="BC16" i="50"/>
  <c r="BD16" i="50"/>
  <c r="BE16" i="50"/>
  <c r="BF16" i="50"/>
  <c r="BG16" i="50"/>
  <c r="BK16" i="50"/>
  <c r="BL16" i="50"/>
  <c r="BM16" i="50"/>
  <c r="BN16" i="50"/>
  <c r="BO16" i="50"/>
  <c r="BP16" i="50"/>
  <c r="BQ16" i="50"/>
  <c r="BR16" i="50"/>
  <c r="BS16" i="50"/>
  <c r="BT16" i="50"/>
  <c r="C17" i="50"/>
  <c r="D17" i="50"/>
  <c r="E17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R17" i="50"/>
  <c r="S17" i="50"/>
  <c r="T17" i="50"/>
  <c r="U17" i="50"/>
  <c r="V17" i="50"/>
  <c r="W17" i="50"/>
  <c r="X17" i="50"/>
  <c r="Y17" i="50"/>
  <c r="Z17" i="50"/>
  <c r="AG17" i="50"/>
  <c r="AH17" i="50"/>
  <c r="AI17" i="50"/>
  <c r="AJ17" i="50"/>
  <c r="AK17" i="50"/>
  <c r="AL17" i="50"/>
  <c r="AM17" i="50"/>
  <c r="AN17" i="50"/>
  <c r="AO17" i="50"/>
  <c r="AS17" i="50"/>
  <c r="AT17" i="50"/>
  <c r="AU17" i="50"/>
  <c r="AV17" i="50"/>
  <c r="AX17" i="50"/>
  <c r="AY17" i="50"/>
  <c r="AZ17" i="50"/>
  <c r="BA17" i="50"/>
  <c r="BB17" i="50"/>
  <c r="BC17" i="50"/>
  <c r="BD17" i="50"/>
  <c r="BE17" i="50"/>
  <c r="BF17" i="50"/>
  <c r="BG17" i="50"/>
  <c r="BK17" i="50"/>
  <c r="BL17" i="50"/>
  <c r="BM17" i="50"/>
  <c r="BN17" i="50"/>
  <c r="BO17" i="50"/>
  <c r="BP17" i="50"/>
  <c r="BQ17" i="50"/>
  <c r="BR17" i="50"/>
  <c r="BS17" i="50"/>
  <c r="BT17" i="50"/>
  <c r="C18" i="50"/>
  <c r="D18" i="50"/>
  <c r="E18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S18" i="50"/>
  <c r="T18" i="50"/>
  <c r="U18" i="50"/>
  <c r="V18" i="50"/>
  <c r="W18" i="50"/>
  <c r="X18" i="50"/>
  <c r="Y18" i="50"/>
  <c r="Z18" i="50"/>
  <c r="AG18" i="50"/>
  <c r="AH18" i="50"/>
  <c r="AI18" i="50"/>
  <c r="AJ18" i="50"/>
  <c r="AK18" i="50"/>
  <c r="AL18" i="50"/>
  <c r="AM18" i="50"/>
  <c r="AN18" i="50"/>
  <c r="AO18" i="50"/>
  <c r="AS18" i="50"/>
  <c r="AT18" i="50"/>
  <c r="AU18" i="50"/>
  <c r="AV18" i="50"/>
  <c r="AX18" i="50"/>
  <c r="AY18" i="50"/>
  <c r="AZ18" i="50"/>
  <c r="BA18" i="50"/>
  <c r="BB18" i="50"/>
  <c r="BC18" i="50"/>
  <c r="BD18" i="50"/>
  <c r="BE18" i="50"/>
  <c r="BF18" i="50"/>
  <c r="BG18" i="50"/>
  <c r="BK18" i="50"/>
  <c r="BL18" i="50"/>
  <c r="BM18" i="50"/>
  <c r="BN18" i="50"/>
  <c r="BO18" i="50"/>
  <c r="BP18" i="50"/>
  <c r="BQ18" i="50"/>
  <c r="BR18" i="50"/>
  <c r="BS18" i="50"/>
  <c r="BT18" i="50"/>
  <c r="C19" i="50"/>
  <c r="D19" i="50"/>
  <c r="E19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S19" i="50"/>
  <c r="T19" i="50"/>
  <c r="U19" i="50"/>
  <c r="V19" i="50"/>
  <c r="W19" i="50"/>
  <c r="X19" i="50"/>
  <c r="Y19" i="50"/>
  <c r="Z19" i="50"/>
  <c r="AG19" i="50"/>
  <c r="AH19" i="50"/>
  <c r="AI19" i="50"/>
  <c r="AJ19" i="50"/>
  <c r="AK19" i="50"/>
  <c r="AL19" i="50"/>
  <c r="AM19" i="50"/>
  <c r="AN19" i="50"/>
  <c r="AO19" i="50"/>
  <c r="AS19" i="50"/>
  <c r="AT19" i="50"/>
  <c r="AW19" i="50" s="1"/>
  <c r="AU19" i="50"/>
  <c r="AV19" i="50"/>
  <c r="AX19" i="50"/>
  <c r="AY19" i="50"/>
  <c r="AZ19" i="50"/>
  <c r="BA19" i="50"/>
  <c r="BB19" i="50"/>
  <c r="BC19" i="50"/>
  <c r="BD19" i="50"/>
  <c r="BE19" i="50"/>
  <c r="BF19" i="50"/>
  <c r="BG19" i="50"/>
  <c r="BK19" i="50"/>
  <c r="BL19" i="50"/>
  <c r="BM19" i="50"/>
  <c r="BN19" i="50"/>
  <c r="BO19" i="50"/>
  <c r="BP19" i="50"/>
  <c r="BQ19" i="50"/>
  <c r="BR19" i="50"/>
  <c r="BS19" i="50"/>
  <c r="BT19" i="50"/>
  <c r="C20" i="50"/>
  <c r="D20" i="50"/>
  <c r="E20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S20" i="50"/>
  <c r="T20" i="50"/>
  <c r="U20" i="50"/>
  <c r="V20" i="50"/>
  <c r="W20" i="50"/>
  <c r="X20" i="50"/>
  <c r="Y20" i="50"/>
  <c r="Z20" i="50"/>
  <c r="AG20" i="50"/>
  <c r="AH20" i="50"/>
  <c r="AI20" i="50"/>
  <c r="AJ20" i="50"/>
  <c r="AK20" i="50"/>
  <c r="AL20" i="50"/>
  <c r="AM20" i="50"/>
  <c r="AN20" i="50"/>
  <c r="AO20" i="50"/>
  <c r="AS20" i="50"/>
  <c r="AT20" i="50"/>
  <c r="AW20" i="50" s="1"/>
  <c r="AU20" i="50"/>
  <c r="AV20" i="50"/>
  <c r="AX20" i="50"/>
  <c r="AY20" i="50"/>
  <c r="AZ20" i="50"/>
  <c r="BA20" i="50"/>
  <c r="BB20" i="50"/>
  <c r="BC20" i="50"/>
  <c r="BD20" i="50"/>
  <c r="BE20" i="50"/>
  <c r="BF20" i="50"/>
  <c r="BG20" i="50"/>
  <c r="BK20" i="50"/>
  <c r="BL20" i="50"/>
  <c r="BM20" i="50"/>
  <c r="BN20" i="50"/>
  <c r="BO20" i="50"/>
  <c r="BP20" i="50"/>
  <c r="BQ20" i="50"/>
  <c r="BR20" i="50"/>
  <c r="BS20" i="50"/>
  <c r="BT20" i="50"/>
  <c r="C21" i="50"/>
  <c r="D21" i="50"/>
  <c r="E21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S21" i="50"/>
  <c r="T21" i="50"/>
  <c r="U21" i="50"/>
  <c r="V21" i="50"/>
  <c r="W21" i="50"/>
  <c r="X21" i="50"/>
  <c r="Y21" i="50"/>
  <c r="Z21" i="50"/>
  <c r="AG21" i="50"/>
  <c r="AH21" i="50"/>
  <c r="AI21" i="50"/>
  <c r="AJ21" i="50"/>
  <c r="AK21" i="50"/>
  <c r="AL21" i="50"/>
  <c r="AM21" i="50"/>
  <c r="AN21" i="50"/>
  <c r="AO21" i="50"/>
  <c r="AS21" i="50"/>
  <c r="AT21" i="50"/>
  <c r="AW21" i="50" s="1"/>
  <c r="AU21" i="50"/>
  <c r="AV21" i="50"/>
  <c r="AX21" i="50"/>
  <c r="AY21" i="50"/>
  <c r="AZ21" i="50"/>
  <c r="BA21" i="50"/>
  <c r="BB21" i="50"/>
  <c r="BC21" i="50"/>
  <c r="BD21" i="50"/>
  <c r="BE21" i="50"/>
  <c r="BF21" i="50"/>
  <c r="BG21" i="50"/>
  <c r="BK21" i="50"/>
  <c r="BL21" i="50"/>
  <c r="BM21" i="50"/>
  <c r="BN21" i="50"/>
  <c r="BO21" i="50"/>
  <c r="BP21" i="50"/>
  <c r="BQ21" i="50"/>
  <c r="BR21" i="50"/>
  <c r="BS21" i="50"/>
  <c r="BT21" i="50"/>
  <c r="C22" i="50"/>
  <c r="D22" i="50"/>
  <c r="E22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S22" i="50"/>
  <c r="T22" i="50"/>
  <c r="U22" i="50"/>
  <c r="V22" i="50"/>
  <c r="W22" i="50"/>
  <c r="X22" i="50"/>
  <c r="Y22" i="50"/>
  <c r="Z22" i="50"/>
  <c r="AG22" i="50"/>
  <c r="AH22" i="50"/>
  <c r="AI22" i="50"/>
  <c r="AJ22" i="50"/>
  <c r="AK22" i="50"/>
  <c r="AL22" i="50"/>
  <c r="AM22" i="50"/>
  <c r="AN22" i="50"/>
  <c r="AO22" i="50"/>
  <c r="AS22" i="50"/>
  <c r="AT22" i="50"/>
  <c r="AW22" i="50" s="1"/>
  <c r="AU22" i="50"/>
  <c r="AV22" i="50"/>
  <c r="AX22" i="50"/>
  <c r="AY22" i="50"/>
  <c r="AZ22" i="50"/>
  <c r="BA22" i="50"/>
  <c r="BB22" i="50"/>
  <c r="BC22" i="50"/>
  <c r="BD22" i="50"/>
  <c r="BE22" i="50"/>
  <c r="BF22" i="50"/>
  <c r="BG22" i="50"/>
  <c r="BK22" i="50"/>
  <c r="BL22" i="50"/>
  <c r="BM22" i="50"/>
  <c r="BN22" i="50"/>
  <c r="BO22" i="50"/>
  <c r="BP22" i="50"/>
  <c r="BQ22" i="50"/>
  <c r="BR22" i="50"/>
  <c r="BS22" i="50"/>
  <c r="BT22" i="50"/>
  <c r="C23" i="50"/>
  <c r="D23" i="50"/>
  <c r="E23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R23" i="50"/>
  <c r="S23" i="50"/>
  <c r="T23" i="50"/>
  <c r="U23" i="50"/>
  <c r="V23" i="50"/>
  <c r="W23" i="50"/>
  <c r="X23" i="50"/>
  <c r="Y23" i="50"/>
  <c r="Z23" i="50"/>
  <c r="AG23" i="50"/>
  <c r="AH23" i="50"/>
  <c r="AI23" i="50"/>
  <c r="AJ23" i="50"/>
  <c r="AK23" i="50"/>
  <c r="AL23" i="50"/>
  <c r="AM23" i="50"/>
  <c r="AN23" i="50"/>
  <c r="AO23" i="50"/>
  <c r="AS23" i="50"/>
  <c r="AT23" i="50"/>
  <c r="AW23" i="50" s="1"/>
  <c r="AU23" i="50"/>
  <c r="AV23" i="50"/>
  <c r="AX23" i="50"/>
  <c r="AY23" i="50"/>
  <c r="AZ23" i="50"/>
  <c r="BA23" i="50"/>
  <c r="BB23" i="50"/>
  <c r="BC23" i="50"/>
  <c r="BD23" i="50"/>
  <c r="BE23" i="50"/>
  <c r="BF23" i="50"/>
  <c r="BG23" i="50"/>
  <c r="BK23" i="50"/>
  <c r="BL23" i="50"/>
  <c r="BM23" i="50"/>
  <c r="BN23" i="50"/>
  <c r="BO23" i="50"/>
  <c r="BP23" i="50"/>
  <c r="BQ23" i="50"/>
  <c r="BR23" i="50"/>
  <c r="BS23" i="50"/>
  <c r="BT23" i="50"/>
  <c r="C24" i="50"/>
  <c r="D24" i="50"/>
  <c r="E24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W24" i="50"/>
  <c r="X24" i="50"/>
  <c r="Y24" i="50"/>
  <c r="Z24" i="50"/>
  <c r="AG24" i="50"/>
  <c r="AH24" i="50"/>
  <c r="AI24" i="50"/>
  <c r="AJ24" i="50"/>
  <c r="AK24" i="50"/>
  <c r="AL24" i="50"/>
  <c r="AM24" i="50"/>
  <c r="AN24" i="50"/>
  <c r="AO24" i="50"/>
  <c r="AS24" i="50"/>
  <c r="AT24" i="50"/>
  <c r="AW24" i="50" s="1"/>
  <c r="AU24" i="50"/>
  <c r="AV24" i="50"/>
  <c r="AX24" i="50"/>
  <c r="AY24" i="50"/>
  <c r="AZ24" i="50"/>
  <c r="BA24" i="50"/>
  <c r="BB24" i="50"/>
  <c r="BC24" i="50"/>
  <c r="BD24" i="50"/>
  <c r="BE24" i="50"/>
  <c r="BF24" i="50"/>
  <c r="BG24" i="50"/>
  <c r="BK24" i="50"/>
  <c r="BL24" i="50"/>
  <c r="BM24" i="50"/>
  <c r="BN24" i="50"/>
  <c r="BO24" i="50"/>
  <c r="BP24" i="50"/>
  <c r="BQ24" i="50"/>
  <c r="BR24" i="50"/>
  <c r="BS24" i="50"/>
  <c r="BT24" i="50"/>
  <c r="C25" i="50"/>
  <c r="D25" i="50"/>
  <c r="E25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R25" i="50"/>
  <c r="S25" i="50"/>
  <c r="T25" i="50"/>
  <c r="U25" i="50"/>
  <c r="V25" i="50"/>
  <c r="W25" i="50"/>
  <c r="X25" i="50"/>
  <c r="Y25" i="50"/>
  <c r="Z25" i="50"/>
  <c r="AG25" i="50"/>
  <c r="AH25" i="50"/>
  <c r="AI25" i="50"/>
  <c r="AJ25" i="50"/>
  <c r="AK25" i="50"/>
  <c r="AL25" i="50"/>
  <c r="AM25" i="50"/>
  <c r="AN25" i="50"/>
  <c r="AO25" i="50"/>
  <c r="AS25" i="50"/>
  <c r="AT25" i="50"/>
  <c r="AW25" i="50" s="1"/>
  <c r="AU25" i="50"/>
  <c r="AV25" i="50"/>
  <c r="AX25" i="50"/>
  <c r="AY25" i="50"/>
  <c r="AZ25" i="50"/>
  <c r="BA25" i="50"/>
  <c r="BB25" i="50"/>
  <c r="BC25" i="50"/>
  <c r="BD25" i="50"/>
  <c r="BE25" i="50"/>
  <c r="BF25" i="50"/>
  <c r="BG25" i="50"/>
  <c r="BK25" i="50"/>
  <c r="BL25" i="50"/>
  <c r="BM25" i="50"/>
  <c r="BN25" i="50"/>
  <c r="BO25" i="50"/>
  <c r="BP25" i="50"/>
  <c r="BQ25" i="50"/>
  <c r="BR25" i="50"/>
  <c r="BS25" i="50"/>
  <c r="BT25" i="50"/>
  <c r="C26" i="50"/>
  <c r="D26" i="50"/>
  <c r="E26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R26" i="50"/>
  <c r="S26" i="50"/>
  <c r="T26" i="50"/>
  <c r="U26" i="50"/>
  <c r="V26" i="50"/>
  <c r="W26" i="50"/>
  <c r="X26" i="50"/>
  <c r="Y26" i="50"/>
  <c r="Z26" i="50"/>
  <c r="AG26" i="50"/>
  <c r="AH26" i="50"/>
  <c r="AI26" i="50"/>
  <c r="AJ26" i="50"/>
  <c r="AK26" i="50"/>
  <c r="AL26" i="50"/>
  <c r="AM26" i="50"/>
  <c r="AN26" i="50"/>
  <c r="AO26" i="50"/>
  <c r="AS26" i="50"/>
  <c r="AT26" i="50"/>
  <c r="AW26" i="50" s="1"/>
  <c r="AU26" i="50"/>
  <c r="AV26" i="50"/>
  <c r="AX26" i="50"/>
  <c r="AY26" i="50"/>
  <c r="AZ26" i="50"/>
  <c r="BA26" i="50"/>
  <c r="BB26" i="50"/>
  <c r="BC26" i="50"/>
  <c r="BD26" i="50"/>
  <c r="BE26" i="50"/>
  <c r="BF26" i="50"/>
  <c r="BG26" i="50"/>
  <c r="BK26" i="50"/>
  <c r="BL26" i="50"/>
  <c r="BM26" i="50"/>
  <c r="BN26" i="50"/>
  <c r="BO26" i="50"/>
  <c r="BP26" i="50"/>
  <c r="BQ26" i="50"/>
  <c r="BR26" i="50"/>
  <c r="BS26" i="50"/>
  <c r="BT26" i="50"/>
  <c r="C27" i="50"/>
  <c r="D27" i="50"/>
  <c r="E27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R27" i="50"/>
  <c r="S27" i="50"/>
  <c r="T27" i="50"/>
  <c r="U27" i="50"/>
  <c r="V27" i="50"/>
  <c r="W27" i="50"/>
  <c r="X27" i="50"/>
  <c r="Y27" i="50"/>
  <c r="Z27" i="50"/>
  <c r="AG27" i="50"/>
  <c r="AH27" i="50"/>
  <c r="AI27" i="50"/>
  <c r="AJ27" i="50"/>
  <c r="AK27" i="50"/>
  <c r="AL27" i="50"/>
  <c r="AM27" i="50"/>
  <c r="AN27" i="50"/>
  <c r="AO27" i="50"/>
  <c r="AS27" i="50"/>
  <c r="AT27" i="50"/>
  <c r="AW27" i="50" s="1"/>
  <c r="AU27" i="50"/>
  <c r="AV27" i="50"/>
  <c r="AX27" i="50"/>
  <c r="AY27" i="50"/>
  <c r="AZ27" i="50"/>
  <c r="BA27" i="50"/>
  <c r="BB27" i="50"/>
  <c r="BC27" i="50"/>
  <c r="BD27" i="50"/>
  <c r="BE27" i="50"/>
  <c r="BF27" i="50"/>
  <c r="BG27" i="50"/>
  <c r="BK27" i="50"/>
  <c r="BL27" i="50"/>
  <c r="BM27" i="50"/>
  <c r="BN27" i="50"/>
  <c r="BO27" i="50"/>
  <c r="BP27" i="50"/>
  <c r="BQ27" i="50"/>
  <c r="BR27" i="50"/>
  <c r="BS27" i="50"/>
  <c r="BT27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S28" i="50"/>
  <c r="T28" i="50"/>
  <c r="U28" i="50"/>
  <c r="V28" i="50"/>
  <c r="W28" i="50"/>
  <c r="X28" i="50"/>
  <c r="Y28" i="50"/>
  <c r="Z28" i="50"/>
  <c r="AG28" i="50"/>
  <c r="AH28" i="50"/>
  <c r="AI28" i="50"/>
  <c r="AJ28" i="50"/>
  <c r="AK28" i="50"/>
  <c r="AL28" i="50"/>
  <c r="AM28" i="50"/>
  <c r="AN28" i="50"/>
  <c r="AO28" i="50"/>
  <c r="AS28" i="50"/>
  <c r="AT28" i="50"/>
  <c r="AW28" i="50" s="1"/>
  <c r="AU28" i="50"/>
  <c r="AV28" i="50"/>
  <c r="AX28" i="50"/>
  <c r="AY28" i="50"/>
  <c r="AZ28" i="50"/>
  <c r="BA28" i="50"/>
  <c r="BB28" i="50"/>
  <c r="BC28" i="50"/>
  <c r="BD28" i="50"/>
  <c r="BE28" i="50"/>
  <c r="BF28" i="50"/>
  <c r="BG28" i="50"/>
  <c r="BK28" i="50"/>
  <c r="BL28" i="50"/>
  <c r="BM28" i="50"/>
  <c r="BN28" i="50"/>
  <c r="BO28" i="50"/>
  <c r="BP28" i="50"/>
  <c r="BQ28" i="50"/>
  <c r="BR28" i="50"/>
  <c r="BS28" i="50"/>
  <c r="BT28" i="50"/>
  <c r="C29" i="50"/>
  <c r="D29" i="50"/>
  <c r="E29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S29" i="50"/>
  <c r="T29" i="50"/>
  <c r="U29" i="50"/>
  <c r="V29" i="50"/>
  <c r="W29" i="50"/>
  <c r="X29" i="50"/>
  <c r="Y29" i="50"/>
  <c r="Z29" i="50"/>
  <c r="AG29" i="50"/>
  <c r="AH29" i="50"/>
  <c r="AI29" i="50"/>
  <c r="AJ29" i="50"/>
  <c r="AK29" i="50"/>
  <c r="AL29" i="50"/>
  <c r="AM29" i="50"/>
  <c r="AN29" i="50"/>
  <c r="AO29" i="50"/>
  <c r="AS29" i="50"/>
  <c r="AT29" i="50"/>
  <c r="AW29" i="50" s="1"/>
  <c r="AU29" i="50"/>
  <c r="AV29" i="50"/>
  <c r="AX29" i="50"/>
  <c r="AY29" i="50"/>
  <c r="AZ29" i="50"/>
  <c r="BA29" i="50"/>
  <c r="BB29" i="50"/>
  <c r="BC29" i="50"/>
  <c r="BD29" i="50"/>
  <c r="BE29" i="50"/>
  <c r="BF29" i="50"/>
  <c r="BG29" i="50"/>
  <c r="BK29" i="50"/>
  <c r="BL29" i="50"/>
  <c r="BM29" i="50"/>
  <c r="BN29" i="50"/>
  <c r="BO29" i="50"/>
  <c r="BP29" i="50"/>
  <c r="BQ29" i="50"/>
  <c r="BR29" i="50"/>
  <c r="BS29" i="50"/>
  <c r="BT29" i="50"/>
  <c r="C30" i="50"/>
  <c r="D30" i="50"/>
  <c r="E30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R30" i="50"/>
  <c r="S30" i="50"/>
  <c r="T30" i="50"/>
  <c r="U30" i="50"/>
  <c r="V30" i="50"/>
  <c r="W30" i="50"/>
  <c r="X30" i="50"/>
  <c r="Y30" i="50"/>
  <c r="Z30" i="50"/>
  <c r="AG30" i="50"/>
  <c r="AH30" i="50"/>
  <c r="AI30" i="50"/>
  <c r="AJ30" i="50"/>
  <c r="AK30" i="50"/>
  <c r="AL30" i="50"/>
  <c r="AM30" i="50"/>
  <c r="AN30" i="50"/>
  <c r="AO30" i="50"/>
  <c r="AS30" i="50"/>
  <c r="AT30" i="50"/>
  <c r="AW30" i="50" s="1"/>
  <c r="AU30" i="50"/>
  <c r="AV30" i="50"/>
  <c r="AX30" i="50"/>
  <c r="AY30" i="50"/>
  <c r="AZ30" i="50"/>
  <c r="BA30" i="50"/>
  <c r="BB30" i="50"/>
  <c r="BC30" i="50"/>
  <c r="BD30" i="50"/>
  <c r="BE30" i="50"/>
  <c r="BF30" i="50"/>
  <c r="BG30" i="50"/>
  <c r="BK30" i="50"/>
  <c r="BL30" i="50"/>
  <c r="BM30" i="50"/>
  <c r="BN30" i="50"/>
  <c r="BO30" i="50"/>
  <c r="BP30" i="50"/>
  <c r="BQ30" i="50"/>
  <c r="BR30" i="50"/>
  <c r="BS30" i="50"/>
  <c r="BT30" i="50"/>
  <c r="C31" i="50"/>
  <c r="D31" i="50"/>
  <c r="E31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S31" i="50"/>
  <c r="T31" i="50"/>
  <c r="U31" i="50"/>
  <c r="V31" i="50"/>
  <c r="W31" i="50"/>
  <c r="X31" i="50"/>
  <c r="Y31" i="50"/>
  <c r="Z31" i="50"/>
  <c r="AG31" i="50"/>
  <c r="AH31" i="50"/>
  <c r="AI31" i="50"/>
  <c r="AJ31" i="50"/>
  <c r="AK31" i="50"/>
  <c r="AL31" i="50"/>
  <c r="AM31" i="50"/>
  <c r="AN31" i="50"/>
  <c r="AO31" i="50"/>
  <c r="AS31" i="50"/>
  <c r="AT31" i="50"/>
  <c r="AW31" i="50" s="1"/>
  <c r="AU31" i="50"/>
  <c r="AV31" i="50"/>
  <c r="AX31" i="50"/>
  <c r="AY31" i="50"/>
  <c r="AZ31" i="50"/>
  <c r="BA31" i="50"/>
  <c r="BB31" i="50"/>
  <c r="BC31" i="50"/>
  <c r="BD31" i="50"/>
  <c r="BE31" i="50"/>
  <c r="BF31" i="50"/>
  <c r="BG31" i="50"/>
  <c r="BK31" i="50"/>
  <c r="BL31" i="50"/>
  <c r="BM31" i="50"/>
  <c r="BN31" i="50"/>
  <c r="BO31" i="50"/>
  <c r="BP31" i="50"/>
  <c r="BQ31" i="50"/>
  <c r="BR31" i="50"/>
  <c r="BS31" i="50"/>
  <c r="BT31" i="50"/>
  <c r="C32" i="50"/>
  <c r="D32" i="50"/>
  <c r="E32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S32" i="50"/>
  <c r="T32" i="50"/>
  <c r="U32" i="50"/>
  <c r="V32" i="50"/>
  <c r="W32" i="50"/>
  <c r="X32" i="50"/>
  <c r="Y32" i="50"/>
  <c r="Z32" i="50"/>
  <c r="AG32" i="50"/>
  <c r="AH32" i="50"/>
  <c r="AI32" i="50"/>
  <c r="AJ32" i="50"/>
  <c r="AK32" i="50"/>
  <c r="AL32" i="50"/>
  <c r="AM32" i="50"/>
  <c r="AN32" i="50"/>
  <c r="AO32" i="50"/>
  <c r="AS32" i="50"/>
  <c r="AT32" i="50"/>
  <c r="AW32" i="50" s="1"/>
  <c r="AU32" i="50"/>
  <c r="AV32" i="50"/>
  <c r="AX32" i="50"/>
  <c r="AY32" i="50"/>
  <c r="AZ32" i="50"/>
  <c r="BA32" i="50"/>
  <c r="BB32" i="50"/>
  <c r="BC32" i="50"/>
  <c r="BD32" i="50"/>
  <c r="BE32" i="50"/>
  <c r="BF32" i="50"/>
  <c r="BG32" i="50"/>
  <c r="BK32" i="50"/>
  <c r="BL32" i="50"/>
  <c r="BM32" i="50"/>
  <c r="BN32" i="50"/>
  <c r="BO32" i="50"/>
  <c r="BP32" i="50"/>
  <c r="BQ32" i="50"/>
  <c r="BR32" i="50"/>
  <c r="BS32" i="50"/>
  <c r="BT32" i="50"/>
  <c r="C33" i="50"/>
  <c r="D33" i="50"/>
  <c r="E33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S33" i="50"/>
  <c r="T33" i="50"/>
  <c r="U33" i="50"/>
  <c r="V33" i="50"/>
  <c r="W33" i="50"/>
  <c r="X33" i="50"/>
  <c r="Y33" i="50"/>
  <c r="Z33" i="50"/>
  <c r="AG33" i="50"/>
  <c r="AH33" i="50"/>
  <c r="AI33" i="50"/>
  <c r="AJ33" i="50"/>
  <c r="AK33" i="50"/>
  <c r="AL33" i="50"/>
  <c r="AM33" i="50"/>
  <c r="AN33" i="50"/>
  <c r="AO33" i="50"/>
  <c r="AS33" i="50"/>
  <c r="AT33" i="50"/>
  <c r="AW33" i="50" s="1"/>
  <c r="AU33" i="50"/>
  <c r="AV33" i="50"/>
  <c r="AX33" i="50"/>
  <c r="AY33" i="50"/>
  <c r="AZ33" i="50"/>
  <c r="BA33" i="50"/>
  <c r="BB33" i="50"/>
  <c r="BC33" i="50"/>
  <c r="BD33" i="50"/>
  <c r="BE33" i="50"/>
  <c r="BF33" i="50"/>
  <c r="BG33" i="50"/>
  <c r="BK33" i="50"/>
  <c r="BL33" i="50"/>
  <c r="BM33" i="50"/>
  <c r="BN33" i="50"/>
  <c r="BO33" i="50"/>
  <c r="BP33" i="50"/>
  <c r="BQ33" i="50"/>
  <c r="BR33" i="50"/>
  <c r="BS33" i="50"/>
  <c r="BT33" i="50"/>
  <c r="AT34" i="50"/>
  <c r="AW34" i="50" s="1"/>
  <c r="AU34" i="50"/>
  <c r="AV34" i="50"/>
  <c r="AT35" i="50"/>
  <c r="AW35" i="50" s="1"/>
  <c r="AU35" i="50"/>
  <c r="AV35" i="50"/>
  <c r="AT36" i="50"/>
  <c r="AW36" i="50" s="1"/>
  <c r="AU36" i="50"/>
  <c r="AV36" i="50"/>
  <c r="AT37" i="50"/>
  <c r="AW37" i="50" s="1"/>
  <c r="AU37" i="50"/>
  <c r="AV37" i="50"/>
  <c r="AT38" i="50"/>
  <c r="AW38" i="50" s="1"/>
  <c r="AU38" i="50"/>
  <c r="AV38" i="50"/>
  <c r="AT39" i="50"/>
  <c r="AW39" i="50" s="1"/>
  <c r="AU39" i="50"/>
  <c r="AV39" i="50"/>
  <c r="AT40" i="50"/>
  <c r="AW40" i="50" s="1"/>
  <c r="AU40" i="50"/>
  <c r="AV40" i="50"/>
  <c r="AT41" i="50"/>
  <c r="AW41" i="50" s="1"/>
  <c r="AU41" i="50"/>
  <c r="AV41" i="50"/>
  <c r="AT42" i="50"/>
  <c r="AW42" i="50" s="1"/>
  <c r="AU42" i="50"/>
  <c r="AV42" i="50"/>
  <c r="AT43" i="50"/>
  <c r="AW43" i="50" s="1"/>
  <c r="AU43" i="50"/>
  <c r="AV43" i="50"/>
  <c r="AT44" i="50"/>
  <c r="AW44" i="50" s="1"/>
  <c r="AU44" i="50"/>
  <c r="AV44" i="50"/>
  <c r="AT45" i="50"/>
  <c r="AW45" i="50" s="1"/>
  <c r="AU45" i="50"/>
  <c r="AV45" i="50"/>
  <c r="AT46" i="50"/>
  <c r="AW46" i="50" s="1"/>
  <c r="AU46" i="50"/>
  <c r="AV46" i="50"/>
  <c r="AT47" i="50"/>
  <c r="AW47" i="50" s="1"/>
  <c r="AU47" i="50"/>
  <c r="AV47" i="50"/>
  <c r="AT48" i="50"/>
  <c r="AW48" i="50" s="1"/>
  <c r="AU48" i="50"/>
  <c r="AV48" i="50"/>
  <c r="AT49" i="50"/>
  <c r="AW49" i="50" s="1"/>
  <c r="AU49" i="50"/>
  <c r="AV49" i="50"/>
  <c r="AT50" i="50"/>
  <c r="AW50" i="50" s="1"/>
  <c r="AU50" i="50"/>
  <c r="AV50" i="50"/>
  <c r="AT51" i="50"/>
  <c r="AW51" i="50" s="1"/>
  <c r="AU51" i="50"/>
  <c r="AV51" i="50"/>
  <c r="AT52" i="50"/>
  <c r="AW52" i="50" s="1"/>
  <c r="AU52" i="50"/>
  <c r="AV52" i="50"/>
  <c r="AT53" i="50"/>
  <c r="AW53" i="50" s="1"/>
  <c r="AU53" i="50"/>
  <c r="AV53" i="50"/>
  <c r="AT54" i="50"/>
  <c r="AW54" i="50" s="1"/>
  <c r="AU54" i="50"/>
  <c r="AV54" i="50"/>
  <c r="AW55" i="50"/>
  <c r="AW56" i="50"/>
  <c r="AW57" i="50"/>
  <c r="AW58" i="50"/>
  <c r="AW59" i="50"/>
  <c r="AW60" i="50"/>
  <c r="AW61" i="50"/>
  <c r="AW62" i="50"/>
  <c r="AW63" i="50"/>
  <c r="AW64" i="50"/>
  <c r="AW65" i="50"/>
  <c r="AW66" i="50"/>
  <c r="C7" i="33"/>
  <c r="C9" i="10" s="1"/>
  <c r="C8" i="33"/>
  <c r="D8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G8" i="33"/>
  <c r="AH8" i="33"/>
  <c r="AI8" i="33"/>
  <c r="AJ8" i="33"/>
  <c r="AK8" i="33"/>
  <c r="AL8" i="33"/>
  <c r="AM8" i="33"/>
  <c r="AN8" i="33"/>
  <c r="AO8" i="33"/>
  <c r="AS8" i="33"/>
  <c r="AT8" i="33"/>
  <c r="AU8" i="33"/>
  <c r="AV8" i="33"/>
  <c r="AX8" i="33"/>
  <c r="AY8" i="33"/>
  <c r="AZ8" i="33"/>
  <c r="BA8" i="33"/>
  <c r="BB8" i="33"/>
  <c r="BC8" i="33"/>
  <c r="BD8" i="33"/>
  <c r="BE8" i="33"/>
  <c r="BF8" i="33"/>
  <c r="BG8" i="33"/>
  <c r="BK8" i="33"/>
  <c r="BL8" i="33"/>
  <c r="BM8" i="33"/>
  <c r="BN8" i="33"/>
  <c r="BP8" i="33"/>
  <c r="BQ8" i="33"/>
  <c r="BR8" i="33"/>
  <c r="BT8" i="33"/>
  <c r="C9" i="33"/>
  <c r="D9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G9" i="33"/>
  <c r="AH9" i="33"/>
  <c r="AI9" i="33"/>
  <c r="AJ9" i="33"/>
  <c r="AK9" i="33"/>
  <c r="AL9" i="33"/>
  <c r="AM9" i="33"/>
  <c r="AN9" i="33"/>
  <c r="AO9" i="33"/>
  <c r="AS9" i="33"/>
  <c r="AT9" i="33"/>
  <c r="AU9" i="33"/>
  <c r="AV9" i="33"/>
  <c r="AX9" i="33"/>
  <c r="AY9" i="33"/>
  <c r="AZ9" i="33"/>
  <c r="BA9" i="33"/>
  <c r="BB9" i="33"/>
  <c r="BC9" i="33"/>
  <c r="BD9" i="33"/>
  <c r="BE9" i="33"/>
  <c r="BF9" i="33"/>
  <c r="BG9" i="33"/>
  <c r="BK9" i="33"/>
  <c r="BL9" i="33"/>
  <c r="BM9" i="33"/>
  <c r="BN9" i="33"/>
  <c r="BO9" i="33"/>
  <c r="BP9" i="33"/>
  <c r="BQ9" i="33"/>
  <c r="BR9" i="33"/>
  <c r="BS9" i="33"/>
  <c r="BT9" i="33"/>
  <c r="C10" i="33"/>
  <c r="D10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G10" i="33"/>
  <c r="AH10" i="33"/>
  <c r="AI10" i="33"/>
  <c r="AJ10" i="33"/>
  <c r="AK10" i="33"/>
  <c r="AL10" i="33"/>
  <c r="AM10" i="33"/>
  <c r="AN10" i="33"/>
  <c r="AO10" i="33"/>
  <c r="AS10" i="33"/>
  <c r="AT10" i="33"/>
  <c r="AU10" i="33"/>
  <c r="AV10" i="33"/>
  <c r="AX10" i="33"/>
  <c r="AY10" i="33"/>
  <c r="AZ10" i="33"/>
  <c r="BA10" i="33"/>
  <c r="BB10" i="33"/>
  <c r="BC10" i="33"/>
  <c r="BD10" i="33"/>
  <c r="BE10" i="33"/>
  <c r="BF10" i="33"/>
  <c r="BG10" i="33"/>
  <c r="BK10" i="33"/>
  <c r="BL10" i="33"/>
  <c r="BM10" i="33"/>
  <c r="BN10" i="33"/>
  <c r="BO10" i="33"/>
  <c r="BP10" i="33"/>
  <c r="BQ10" i="33"/>
  <c r="BR10" i="33"/>
  <c r="BS10" i="33"/>
  <c r="BT10" i="33"/>
  <c r="C11" i="33"/>
  <c r="D11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G11" i="33"/>
  <c r="AH11" i="33"/>
  <c r="AI11" i="33"/>
  <c r="AJ11" i="33"/>
  <c r="AK11" i="33"/>
  <c r="AL11" i="33"/>
  <c r="AM11" i="33"/>
  <c r="AN11" i="33"/>
  <c r="AO11" i="33"/>
  <c r="AS11" i="33"/>
  <c r="AT11" i="33"/>
  <c r="AU11" i="33"/>
  <c r="AV11" i="33"/>
  <c r="AX11" i="33"/>
  <c r="AY11" i="33"/>
  <c r="AZ11" i="33"/>
  <c r="BA11" i="33"/>
  <c r="BB11" i="33"/>
  <c r="BC11" i="33"/>
  <c r="BD11" i="33"/>
  <c r="BE11" i="33"/>
  <c r="BF11" i="33"/>
  <c r="BG11" i="33"/>
  <c r="BK11" i="33"/>
  <c r="BL11" i="33"/>
  <c r="BM11" i="33"/>
  <c r="BN11" i="33"/>
  <c r="BO11" i="33"/>
  <c r="BP11" i="33"/>
  <c r="BQ11" i="33"/>
  <c r="BR11" i="33"/>
  <c r="BS11" i="33"/>
  <c r="BT11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G12" i="33"/>
  <c r="AH12" i="33"/>
  <c r="AI12" i="33"/>
  <c r="AJ12" i="33"/>
  <c r="AK12" i="33"/>
  <c r="AL12" i="33"/>
  <c r="AM12" i="33"/>
  <c r="AN12" i="33"/>
  <c r="AO12" i="33"/>
  <c r="AS12" i="33"/>
  <c r="AT12" i="33"/>
  <c r="AW12" i="33" s="1"/>
  <c r="AU12" i="33"/>
  <c r="AV12" i="33"/>
  <c r="AX12" i="33"/>
  <c r="AY12" i="33"/>
  <c r="AZ12" i="33"/>
  <c r="BA12" i="33"/>
  <c r="BB12" i="33"/>
  <c r="BC12" i="33"/>
  <c r="BD12" i="33"/>
  <c r="BE12" i="33"/>
  <c r="BF12" i="33"/>
  <c r="BG12" i="33"/>
  <c r="BK12" i="33"/>
  <c r="BL12" i="33"/>
  <c r="BM12" i="33"/>
  <c r="BN12" i="33"/>
  <c r="BO12" i="33"/>
  <c r="BP12" i="33"/>
  <c r="BQ12" i="33"/>
  <c r="BR12" i="33"/>
  <c r="BS12" i="33"/>
  <c r="BT12" i="33"/>
  <c r="C13" i="33"/>
  <c r="D13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G13" i="33"/>
  <c r="AH13" i="33"/>
  <c r="AI13" i="33"/>
  <c r="AJ13" i="33"/>
  <c r="AK13" i="33"/>
  <c r="AL13" i="33"/>
  <c r="AM13" i="33"/>
  <c r="AN13" i="33"/>
  <c r="AO13" i="33"/>
  <c r="AS13" i="33"/>
  <c r="AT13" i="33"/>
  <c r="AW13" i="33" s="1"/>
  <c r="AU13" i="33"/>
  <c r="AV13" i="33"/>
  <c r="AX13" i="33"/>
  <c r="AY13" i="33"/>
  <c r="AZ13" i="33"/>
  <c r="BA13" i="33"/>
  <c r="BB13" i="33"/>
  <c r="BC13" i="33"/>
  <c r="BD13" i="33"/>
  <c r="BE13" i="33"/>
  <c r="BF13" i="33"/>
  <c r="BG13" i="33"/>
  <c r="BK13" i="33"/>
  <c r="BL13" i="33"/>
  <c r="BM13" i="33"/>
  <c r="BN13" i="33"/>
  <c r="BO13" i="33"/>
  <c r="BP13" i="33"/>
  <c r="BQ13" i="33"/>
  <c r="BR13" i="33"/>
  <c r="BS13" i="33"/>
  <c r="BT13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G14" i="33"/>
  <c r="AH14" i="33"/>
  <c r="AI14" i="33"/>
  <c r="AJ14" i="33"/>
  <c r="AK14" i="33"/>
  <c r="AL14" i="33"/>
  <c r="AM14" i="33"/>
  <c r="AN14" i="33"/>
  <c r="AO14" i="33"/>
  <c r="AS14" i="33"/>
  <c r="AT14" i="33"/>
  <c r="AW14" i="33" s="1"/>
  <c r="AU14" i="33"/>
  <c r="AV14" i="33"/>
  <c r="AX14" i="33"/>
  <c r="AY14" i="33"/>
  <c r="AZ14" i="33"/>
  <c r="BA14" i="33"/>
  <c r="BB14" i="33"/>
  <c r="BC14" i="33"/>
  <c r="BD14" i="33"/>
  <c r="BE14" i="33"/>
  <c r="BF14" i="33"/>
  <c r="BG14" i="33"/>
  <c r="BK14" i="33"/>
  <c r="BL14" i="33"/>
  <c r="BM14" i="33"/>
  <c r="BN14" i="33"/>
  <c r="BO14" i="33"/>
  <c r="BP14" i="33"/>
  <c r="BQ14" i="33"/>
  <c r="BR14" i="33"/>
  <c r="BS14" i="33"/>
  <c r="BT14" i="33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G15" i="33"/>
  <c r="AH15" i="33"/>
  <c r="AI15" i="33"/>
  <c r="AJ15" i="33"/>
  <c r="AK15" i="33"/>
  <c r="AL15" i="33"/>
  <c r="AM15" i="33"/>
  <c r="AN15" i="33"/>
  <c r="AO15" i="33"/>
  <c r="AS15" i="33"/>
  <c r="AT15" i="33"/>
  <c r="AW15" i="33" s="1"/>
  <c r="AU15" i="33"/>
  <c r="AV15" i="33"/>
  <c r="AX15" i="33"/>
  <c r="AY15" i="33"/>
  <c r="AZ15" i="33"/>
  <c r="BA15" i="33"/>
  <c r="BB15" i="33"/>
  <c r="BC15" i="33"/>
  <c r="BD15" i="33"/>
  <c r="BE15" i="33"/>
  <c r="BF15" i="33"/>
  <c r="BG15" i="33"/>
  <c r="BK15" i="33"/>
  <c r="BL15" i="33"/>
  <c r="BM15" i="33"/>
  <c r="BN15" i="33"/>
  <c r="BO15" i="33"/>
  <c r="BP15" i="33"/>
  <c r="BQ15" i="33"/>
  <c r="BR15" i="33"/>
  <c r="BS15" i="33"/>
  <c r="BT15" i="33"/>
  <c r="C16" i="33"/>
  <c r="D16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G16" i="33"/>
  <c r="AH16" i="33"/>
  <c r="AI16" i="33"/>
  <c r="AJ16" i="33"/>
  <c r="AK16" i="33"/>
  <c r="AL16" i="33"/>
  <c r="AM16" i="33"/>
  <c r="AN16" i="33"/>
  <c r="AO16" i="33"/>
  <c r="AS16" i="33"/>
  <c r="AT16" i="33"/>
  <c r="AW16" i="33" s="1"/>
  <c r="AU16" i="33"/>
  <c r="AV16" i="33"/>
  <c r="AX16" i="33"/>
  <c r="AY16" i="33"/>
  <c r="AZ16" i="33"/>
  <c r="BA16" i="33"/>
  <c r="BB16" i="33"/>
  <c r="BC16" i="33"/>
  <c r="BD16" i="33"/>
  <c r="BE16" i="33"/>
  <c r="BF16" i="33"/>
  <c r="BG16" i="33"/>
  <c r="BK16" i="33"/>
  <c r="BL16" i="33"/>
  <c r="BM16" i="33"/>
  <c r="BN16" i="33"/>
  <c r="BO16" i="33"/>
  <c r="BP16" i="33"/>
  <c r="BQ16" i="33"/>
  <c r="BR16" i="33"/>
  <c r="BS16" i="33"/>
  <c r="BT16" i="33"/>
  <c r="C17" i="33"/>
  <c r="D17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G17" i="33"/>
  <c r="AH17" i="33"/>
  <c r="AI17" i="33"/>
  <c r="AJ17" i="33"/>
  <c r="AK17" i="33"/>
  <c r="AL17" i="33"/>
  <c r="AM17" i="33"/>
  <c r="AN17" i="33"/>
  <c r="AO17" i="33"/>
  <c r="AS17" i="33"/>
  <c r="AT17" i="33"/>
  <c r="AW17" i="33" s="1"/>
  <c r="AU17" i="33"/>
  <c r="AV17" i="33"/>
  <c r="AX17" i="33"/>
  <c r="AY17" i="33"/>
  <c r="AZ17" i="33"/>
  <c r="BA17" i="33"/>
  <c r="BB17" i="33"/>
  <c r="BC17" i="33"/>
  <c r="BD17" i="33"/>
  <c r="BE17" i="33"/>
  <c r="BF17" i="33"/>
  <c r="BG17" i="33"/>
  <c r="BK17" i="33"/>
  <c r="BL17" i="33"/>
  <c r="BM17" i="33"/>
  <c r="BN17" i="33"/>
  <c r="BO17" i="33"/>
  <c r="BP17" i="33"/>
  <c r="BQ17" i="33"/>
  <c r="BR17" i="33"/>
  <c r="BS17" i="33"/>
  <c r="BT17" i="33"/>
  <c r="C18" i="33"/>
  <c r="D18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G18" i="33"/>
  <c r="AH18" i="33"/>
  <c r="AI18" i="33"/>
  <c r="AJ18" i="33"/>
  <c r="AK18" i="33"/>
  <c r="AL18" i="33"/>
  <c r="AM18" i="33"/>
  <c r="AN18" i="33"/>
  <c r="AO18" i="33"/>
  <c r="AS18" i="33"/>
  <c r="AT18" i="33"/>
  <c r="AW18" i="33" s="1"/>
  <c r="AU18" i="33"/>
  <c r="AV18" i="33"/>
  <c r="AX18" i="33"/>
  <c r="AY18" i="33"/>
  <c r="AZ18" i="33"/>
  <c r="BA18" i="33"/>
  <c r="BB18" i="33"/>
  <c r="BC18" i="33"/>
  <c r="BD18" i="33"/>
  <c r="BE18" i="33"/>
  <c r="BF18" i="33"/>
  <c r="BG18" i="33"/>
  <c r="BK18" i="33"/>
  <c r="BL18" i="33"/>
  <c r="BM18" i="33"/>
  <c r="BN18" i="33"/>
  <c r="BO18" i="33"/>
  <c r="BP18" i="33"/>
  <c r="BQ18" i="33"/>
  <c r="BR18" i="33"/>
  <c r="BS18" i="33"/>
  <c r="BT18" i="33"/>
  <c r="C19" i="33"/>
  <c r="D19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G19" i="33"/>
  <c r="AH19" i="33"/>
  <c r="AI19" i="33"/>
  <c r="AJ19" i="33"/>
  <c r="AK19" i="33"/>
  <c r="AL19" i="33"/>
  <c r="AM19" i="33"/>
  <c r="AN19" i="33"/>
  <c r="AO19" i="33"/>
  <c r="AS19" i="33"/>
  <c r="AT19" i="33"/>
  <c r="AW19" i="33" s="1"/>
  <c r="AU19" i="33"/>
  <c r="AV19" i="33"/>
  <c r="AX19" i="33"/>
  <c r="AY19" i="33"/>
  <c r="AZ19" i="33"/>
  <c r="BA19" i="33"/>
  <c r="BB19" i="33"/>
  <c r="BC19" i="33"/>
  <c r="BD19" i="33"/>
  <c r="BE19" i="33"/>
  <c r="BF19" i="33"/>
  <c r="BG19" i="33"/>
  <c r="BK19" i="33"/>
  <c r="BL19" i="33"/>
  <c r="BM19" i="33"/>
  <c r="BN19" i="33"/>
  <c r="BO19" i="33"/>
  <c r="BP19" i="33"/>
  <c r="BQ19" i="33"/>
  <c r="BR19" i="33"/>
  <c r="BS19" i="33"/>
  <c r="BT19" i="33"/>
  <c r="C20" i="33"/>
  <c r="D20" i="33"/>
  <c r="E20" i="33"/>
  <c r="F20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G20" i="33"/>
  <c r="AH20" i="33"/>
  <c r="AI20" i="33"/>
  <c r="AJ20" i="33"/>
  <c r="AK20" i="33"/>
  <c r="AL20" i="33"/>
  <c r="AM20" i="33"/>
  <c r="AN20" i="33"/>
  <c r="AO20" i="33"/>
  <c r="AS20" i="33"/>
  <c r="AT20" i="33"/>
  <c r="AW20" i="33" s="1"/>
  <c r="AU20" i="33"/>
  <c r="AV20" i="33"/>
  <c r="AX20" i="33"/>
  <c r="AY20" i="33"/>
  <c r="AZ20" i="33"/>
  <c r="BA20" i="33"/>
  <c r="BB20" i="33"/>
  <c r="BC20" i="33"/>
  <c r="BD20" i="33"/>
  <c r="BE20" i="33"/>
  <c r="BF20" i="33"/>
  <c r="BG20" i="33"/>
  <c r="BK20" i="33"/>
  <c r="BL20" i="33"/>
  <c r="BM20" i="33"/>
  <c r="BN20" i="33"/>
  <c r="BO20" i="33"/>
  <c r="BP20" i="33"/>
  <c r="BQ20" i="33"/>
  <c r="BR20" i="33"/>
  <c r="BS20" i="33"/>
  <c r="BT20" i="33"/>
  <c r="C21" i="33"/>
  <c r="D21" i="33"/>
  <c r="E21" i="33"/>
  <c r="F21" i="33"/>
  <c r="G21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G21" i="33"/>
  <c r="AH21" i="33"/>
  <c r="AI21" i="33"/>
  <c r="AJ21" i="33"/>
  <c r="AK21" i="33"/>
  <c r="AL21" i="33"/>
  <c r="AM21" i="33"/>
  <c r="AN21" i="33"/>
  <c r="AO21" i="33"/>
  <c r="AS21" i="33"/>
  <c r="AT21" i="33"/>
  <c r="AW21" i="33" s="1"/>
  <c r="AU21" i="33"/>
  <c r="AV21" i="33"/>
  <c r="AX21" i="33"/>
  <c r="AY21" i="33"/>
  <c r="AZ21" i="33"/>
  <c r="BA21" i="33"/>
  <c r="BB21" i="33"/>
  <c r="BC21" i="33"/>
  <c r="BD21" i="33"/>
  <c r="BE21" i="33"/>
  <c r="BF21" i="33"/>
  <c r="BG21" i="33"/>
  <c r="BK21" i="33"/>
  <c r="BL21" i="33"/>
  <c r="BM21" i="33"/>
  <c r="BN21" i="33"/>
  <c r="BO21" i="33"/>
  <c r="BP21" i="33"/>
  <c r="BQ21" i="33"/>
  <c r="BR21" i="33"/>
  <c r="BS21" i="33"/>
  <c r="BT21" i="33"/>
  <c r="C22" i="33"/>
  <c r="D22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G22" i="33"/>
  <c r="AH22" i="33"/>
  <c r="AI22" i="33"/>
  <c r="AJ22" i="33"/>
  <c r="AK22" i="33"/>
  <c r="AL22" i="33"/>
  <c r="AM22" i="33"/>
  <c r="AN22" i="33"/>
  <c r="AO22" i="33"/>
  <c r="AS22" i="33"/>
  <c r="AT22" i="33"/>
  <c r="AW22" i="33" s="1"/>
  <c r="AU22" i="33"/>
  <c r="AV22" i="33"/>
  <c r="AX22" i="33"/>
  <c r="AY22" i="33"/>
  <c r="AZ22" i="33"/>
  <c r="BA22" i="33"/>
  <c r="BB22" i="33"/>
  <c r="BC22" i="33"/>
  <c r="BD22" i="33"/>
  <c r="BE22" i="33"/>
  <c r="BF22" i="33"/>
  <c r="BG22" i="33"/>
  <c r="BK22" i="33"/>
  <c r="BL22" i="33"/>
  <c r="BM22" i="33"/>
  <c r="BN22" i="33"/>
  <c r="BO22" i="33"/>
  <c r="BP22" i="33"/>
  <c r="BQ22" i="33"/>
  <c r="BR22" i="33"/>
  <c r="BS22" i="33"/>
  <c r="BT22" i="33"/>
  <c r="C23" i="33"/>
  <c r="D23" i="33"/>
  <c r="E23" i="33"/>
  <c r="F23" i="33"/>
  <c r="G23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G23" i="33"/>
  <c r="AH23" i="33"/>
  <c r="AI23" i="33"/>
  <c r="AJ23" i="33"/>
  <c r="AK23" i="33"/>
  <c r="AL23" i="33"/>
  <c r="AM23" i="33"/>
  <c r="AN23" i="33"/>
  <c r="AO23" i="33"/>
  <c r="AS23" i="33"/>
  <c r="AT23" i="33"/>
  <c r="AW23" i="33" s="1"/>
  <c r="AU23" i="33"/>
  <c r="AV23" i="33"/>
  <c r="AX23" i="33"/>
  <c r="AY23" i="33"/>
  <c r="AZ23" i="33"/>
  <c r="BA23" i="33"/>
  <c r="BB23" i="33"/>
  <c r="BC23" i="33"/>
  <c r="BD23" i="33"/>
  <c r="BE23" i="33"/>
  <c r="BF23" i="33"/>
  <c r="BG23" i="33"/>
  <c r="BK23" i="33"/>
  <c r="BL23" i="33"/>
  <c r="BM23" i="33"/>
  <c r="BN23" i="33"/>
  <c r="BO23" i="33"/>
  <c r="BP23" i="33"/>
  <c r="BQ23" i="33"/>
  <c r="BR23" i="33"/>
  <c r="BS23" i="33"/>
  <c r="BT23" i="33"/>
  <c r="C24" i="33"/>
  <c r="D24" i="33"/>
  <c r="E24" i="33"/>
  <c r="F24" i="33"/>
  <c r="G24" i="33"/>
  <c r="H24" i="33"/>
  <c r="I24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V24" i="33"/>
  <c r="W24" i="33"/>
  <c r="X24" i="33"/>
  <c r="Y24" i="33"/>
  <c r="Z24" i="33"/>
  <c r="AG24" i="33"/>
  <c r="AH24" i="33"/>
  <c r="AI24" i="33"/>
  <c r="AJ24" i="33"/>
  <c r="AK24" i="33"/>
  <c r="AL24" i="33"/>
  <c r="AM24" i="33"/>
  <c r="AN24" i="33"/>
  <c r="AO24" i="33"/>
  <c r="AS24" i="33"/>
  <c r="AT24" i="33"/>
  <c r="AW24" i="33" s="1"/>
  <c r="AU24" i="33"/>
  <c r="AV24" i="33"/>
  <c r="AX24" i="33"/>
  <c r="AY24" i="33"/>
  <c r="AZ24" i="33"/>
  <c r="BA24" i="33"/>
  <c r="BB24" i="33"/>
  <c r="BC24" i="33"/>
  <c r="BD24" i="33"/>
  <c r="BE24" i="33"/>
  <c r="BF24" i="33"/>
  <c r="BG24" i="33"/>
  <c r="BK24" i="33"/>
  <c r="BL24" i="33"/>
  <c r="BM24" i="33"/>
  <c r="BN24" i="33"/>
  <c r="BO24" i="33"/>
  <c r="BP24" i="33"/>
  <c r="BQ24" i="33"/>
  <c r="BR24" i="33"/>
  <c r="BS24" i="33"/>
  <c r="BT24" i="33"/>
  <c r="C25" i="33"/>
  <c r="D25" i="33"/>
  <c r="E25" i="33"/>
  <c r="F25" i="33"/>
  <c r="G25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G25" i="33"/>
  <c r="AH25" i="33"/>
  <c r="AI25" i="33"/>
  <c r="AJ25" i="33"/>
  <c r="AK25" i="33"/>
  <c r="AL25" i="33"/>
  <c r="AM25" i="33"/>
  <c r="AN25" i="33"/>
  <c r="AO25" i="33"/>
  <c r="AS25" i="33"/>
  <c r="AT25" i="33"/>
  <c r="AW25" i="33" s="1"/>
  <c r="AU25" i="33"/>
  <c r="AV25" i="33"/>
  <c r="AX25" i="33"/>
  <c r="AY25" i="33"/>
  <c r="AZ25" i="33"/>
  <c r="BA25" i="33"/>
  <c r="BB25" i="33"/>
  <c r="BC25" i="33"/>
  <c r="BD25" i="33"/>
  <c r="BE25" i="33"/>
  <c r="BF25" i="33"/>
  <c r="BG25" i="33"/>
  <c r="BK25" i="33"/>
  <c r="BL25" i="33"/>
  <c r="BM25" i="33"/>
  <c r="BN25" i="33"/>
  <c r="BO25" i="33"/>
  <c r="BP25" i="33"/>
  <c r="BQ25" i="33"/>
  <c r="BR25" i="33"/>
  <c r="BS25" i="33"/>
  <c r="BT25" i="33"/>
  <c r="C26" i="33"/>
  <c r="D26" i="33"/>
  <c r="E26" i="33"/>
  <c r="F26" i="33"/>
  <c r="G26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G26" i="33"/>
  <c r="AH26" i="33"/>
  <c r="AI26" i="33"/>
  <c r="AJ26" i="33"/>
  <c r="AK26" i="33"/>
  <c r="AL26" i="33"/>
  <c r="AM26" i="33"/>
  <c r="AN26" i="33"/>
  <c r="AO26" i="33"/>
  <c r="AS26" i="33"/>
  <c r="AT26" i="33"/>
  <c r="AW26" i="33" s="1"/>
  <c r="AU26" i="33"/>
  <c r="AV26" i="33"/>
  <c r="AX26" i="33"/>
  <c r="AY26" i="33"/>
  <c r="AZ26" i="33"/>
  <c r="BA26" i="33"/>
  <c r="BB26" i="33"/>
  <c r="BC26" i="33"/>
  <c r="BD26" i="33"/>
  <c r="BE26" i="33"/>
  <c r="BF26" i="33"/>
  <c r="BG26" i="33"/>
  <c r="BK26" i="33"/>
  <c r="BL26" i="33"/>
  <c r="BM26" i="33"/>
  <c r="BN26" i="33"/>
  <c r="BO26" i="33"/>
  <c r="BP26" i="33"/>
  <c r="BQ26" i="33"/>
  <c r="BR26" i="33"/>
  <c r="BS26" i="33"/>
  <c r="BT26" i="33"/>
  <c r="C27" i="33"/>
  <c r="D27" i="33"/>
  <c r="E27" i="33"/>
  <c r="F27" i="33"/>
  <c r="G27" i="33"/>
  <c r="H27" i="33"/>
  <c r="I27" i="33"/>
  <c r="J27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G27" i="33"/>
  <c r="AH27" i="33"/>
  <c r="AI27" i="33"/>
  <c r="AJ27" i="33"/>
  <c r="AK27" i="33"/>
  <c r="AL27" i="33"/>
  <c r="AM27" i="33"/>
  <c r="AN27" i="33"/>
  <c r="AO27" i="33"/>
  <c r="AS27" i="33"/>
  <c r="AT27" i="33"/>
  <c r="AW27" i="33" s="1"/>
  <c r="AU27" i="33"/>
  <c r="AV27" i="33"/>
  <c r="AX27" i="33"/>
  <c r="AY27" i="33"/>
  <c r="AZ27" i="33"/>
  <c r="BA27" i="33"/>
  <c r="BB27" i="33"/>
  <c r="BC27" i="33"/>
  <c r="BD27" i="33"/>
  <c r="BE27" i="33"/>
  <c r="BF27" i="33"/>
  <c r="BG27" i="33"/>
  <c r="BK27" i="33"/>
  <c r="BL27" i="33"/>
  <c r="BM27" i="33"/>
  <c r="BN27" i="33"/>
  <c r="BO27" i="33"/>
  <c r="BP27" i="33"/>
  <c r="BQ27" i="33"/>
  <c r="BR27" i="33"/>
  <c r="BS27" i="33"/>
  <c r="BT27" i="33"/>
  <c r="C28" i="33"/>
  <c r="D28" i="33"/>
  <c r="E28" i="33"/>
  <c r="F28" i="33"/>
  <c r="G28" i="33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Z28" i="33"/>
  <c r="AG28" i="33"/>
  <c r="AH28" i="33"/>
  <c r="AI28" i="33"/>
  <c r="AJ28" i="33"/>
  <c r="AK28" i="33"/>
  <c r="AL28" i="33"/>
  <c r="AM28" i="33"/>
  <c r="AN28" i="33"/>
  <c r="AO28" i="33"/>
  <c r="AS28" i="33"/>
  <c r="AT28" i="33"/>
  <c r="AW28" i="33" s="1"/>
  <c r="AU28" i="33"/>
  <c r="AV28" i="33"/>
  <c r="AX28" i="33"/>
  <c r="AY28" i="33"/>
  <c r="AZ28" i="33"/>
  <c r="BA28" i="33"/>
  <c r="BB28" i="33"/>
  <c r="BC28" i="33"/>
  <c r="BD28" i="33"/>
  <c r="BE28" i="33"/>
  <c r="BF28" i="33"/>
  <c r="BG28" i="33"/>
  <c r="BK28" i="33"/>
  <c r="BL28" i="33"/>
  <c r="BM28" i="33"/>
  <c r="BN28" i="33"/>
  <c r="BO28" i="33"/>
  <c r="BP28" i="33"/>
  <c r="BQ28" i="33"/>
  <c r="BR28" i="33"/>
  <c r="BS28" i="33"/>
  <c r="BT28" i="33"/>
  <c r="C29" i="33"/>
  <c r="D29" i="33"/>
  <c r="E29" i="33"/>
  <c r="F29" i="33"/>
  <c r="G29" i="33"/>
  <c r="H29" i="33"/>
  <c r="I29" i="33"/>
  <c r="J29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G29" i="33"/>
  <c r="AH29" i="33"/>
  <c r="AI29" i="33"/>
  <c r="AJ29" i="33"/>
  <c r="AK29" i="33"/>
  <c r="AL29" i="33"/>
  <c r="AM29" i="33"/>
  <c r="AN29" i="33"/>
  <c r="AO29" i="33"/>
  <c r="AS29" i="33"/>
  <c r="AT29" i="33"/>
  <c r="AW29" i="33" s="1"/>
  <c r="AU29" i="33"/>
  <c r="AV29" i="33"/>
  <c r="AX29" i="33"/>
  <c r="AY29" i="33"/>
  <c r="AZ29" i="33"/>
  <c r="BA29" i="33"/>
  <c r="BB29" i="33"/>
  <c r="BC29" i="33"/>
  <c r="BD29" i="33"/>
  <c r="BE29" i="33"/>
  <c r="BF29" i="33"/>
  <c r="BG29" i="33"/>
  <c r="BK29" i="33"/>
  <c r="BL29" i="33"/>
  <c r="BM29" i="33"/>
  <c r="BN29" i="33"/>
  <c r="BO29" i="33"/>
  <c r="BP29" i="33"/>
  <c r="BQ29" i="33"/>
  <c r="BR29" i="33"/>
  <c r="BS29" i="33"/>
  <c r="BT29" i="33"/>
  <c r="C30" i="33"/>
  <c r="D30" i="33"/>
  <c r="E30" i="33"/>
  <c r="F30" i="33"/>
  <c r="G30" i="33"/>
  <c r="H30" i="33"/>
  <c r="I30" i="33"/>
  <c r="J30" i="33"/>
  <c r="K30" i="33"/>
  <c r="L30" i="33"/>
  <c r="M30" i="33"/>
  <c r="N30" i="33"/>
  <c r="O30" i="33"/>
  <c r="P30" i="33"/>
  <c r="Q30" i="33"/>
  <c r="R30" i="33"/>
  <c r="S30" i="33"/>
  <c r="T30" i="33"/>
  <c r="U30" i="33"/>
  <c r="V30" i="33"/>
  <c r="W30" i="33"/>
  <c r="X30" i="33"/>
  <c r="Y30" i="33"/>
  <c r="Z30" i="33"/>
  <c r="AG30" i="33"/>
  <c r="AH30" i="33"/>
  <c r="AI30" i="33"/>
  <c r="AJ30" i="33"/>
  <c r="AK30" i="33"/>
  <c r="AL30" i="33"/>
  <c r="AM30" i="33"/>
  <c r="AN30" i="33"/>
  <c r="AO30" i="33"/>
  <c r="AS30" i="33"/>
  <c r="AT30" i="33"/>
  <c r="AW30" i="33" s="1"/>
  <c r="AU30" i="33"/>
  <c r="AV30" i="33"/>
  <c r="AX30" i="33"/>
  <c r="AY30" i="33"/>
  <c r="AZ30" i="33"/>
  <c r="BA30" i="33"/>
  <c r="BB30" i="33"/>
  <c r="BC30" i="33"/>
  <c r="BD30" i="33"/>
  <c r="BE30" i="33"/>
  <c r="BF30" i="33"/>
  <c r="BG30" i="33"/>
  <c r="BK30" i="33"/>
  <c r="BL30" i="33"/>
  <c r="BM30" i="33"/>
  <c r="BN30" i="33"/>
  <c r="BO30" i="33"/>
  <c r="BP30" i="33"/>
  <c r="BQ30" i="33"/>
  <c r="BR30" i="33"/>
  <c r="BS30" i="33"/>
  <c r="BT30" i="33"/>
  <c r="C31" i="33"/>
  <c r="D31" i="33"/>
  <c r="E31" i="33"/>
  <c r="F31" i="33"/>
  <c r="G31" i="33"/>
  <c r="H31" i="33"/>
  <c r="I31" i="33"/>
  <c r="J31" i="33"/>
  <c r="K31" i="33"/>
  <c r="L31" i="33"/>
  <c r="M31" i="33"/>
  <c r="N31" i="33"/>
  <c r="O31" i="33"/>
  <c r="P31" i="33"/>
  <c r="Q31" i="33"/>
  <c r="R31" i="33"/>
  <c r="S31" i="33"/>
  <c r="T31" i="33"/>
  <c r="U31" i="33"/>
  <c r="V31" i="33"/>
  <c r="W31" i="33"/>
  <c r="X31" i="33"/>
  <c r="Y31" i="33"/>
  <c r="Z31" i="33"/>
  <c r="AG31" i="33"/>
  <c r="AH31" i="33"/>
  <c r="AI31" i="33"/>
  <c r="AJ31" i="33"/>
  <c r="AK31" i="33"/>
  <c r="AL31" i="33"/>
  <c r="AM31" i="33"/>
  <c r="AN31" i="33"/>
  <c r="AO31" i="33"/>
  <c r="AS31" i="33"/>
  <c r="AT31" i="33"/>
  <c r="AW31" i="33" s="1"/>
  <c r="AU31" i="33"/>
  <c r="AV31" i="33"/>
  <c r="AX31" i="33"/>
  <c r="AY31" i="33"/>
  <c r="AZ31" i="33"/>
  <c r="BA31" i="33"/>
  <c r="BB31" i="33"/>
  <c r="BC31" i="33"/>
  <c r="BD31" i="33"/>
  <c r="BE31" i="33"/>
  <c r="BF31" i="33"/>
  <c r="BG31" i="33"/>
  <c r="BK31" i="33"/>
  <c r="BL31" i="33"/>
  <c r="BM31" i="33"/>
  <c r="BN31" i="33"/>
  <c r="BO31" i="33"/>
  <c r="BP31" i="33"/>
  <c r="BQ31" i="33"/>
  <c r="BR31" i="33"/>
  <c r="BS31" i="33"/>
  <c r="BT31" i="33"/>
  <c r="C32" i="33"/>
  <c r="D32" i="33"/>
  <c r="E32" i="33"/>
  <c r="F32" i="33"/>
  <c r="G32" i="33"/>
  <c r="H32" i="33"/>
  <c r="I32" i="33"/>
  <c r="J32" i="33"/>
  <c r="K32" i="33"/>
  <c r="L32" i="33"/>
  <c r="M32" i="33"/>
  <c r="N32" i="33"/>
  <c r="O32" i="33"/>
  <c r="P32" i="33"/>
  <c r="Q32" i="33"/>
  <c r="R32" i="33"/>
  <c r="S32" i="33"/>
  <c r="T32" i="33"/>
  <c r="U32" i="33"/>
  <c r="V32" i="33"/>
  <c r="W32" i="33"/>
  <c r="X32" i="33"/>
  <c r="Y32" i="33"/>
  <c r="Z32" i="33"/>
  <c r="AG32" i="33"/>
  <c r="AH32" i="33"/>
  <c r="AI32" i="33"/>
  <c r="AJ32" i="33"/>
  <c r="AK32" i="33"/>
  <c r="AL32" i="33"/>
  <c r="AM32" i="33"/>
  <c r="AN32" i="33"/>
  <c r="AO32" i="33"/>
  <c r="AS32" i="33"/>
  <c r="AT32" i="33"/>
  <c r="AW32" i="33" s="1"/>
  <c r="AU32" i="33"/>
  <c r="AV32" i="33"/>
  <c r="AX32" i="33"/>
  <c r="AY32" i="33"/>
  <c r="AZ32" i="33"/>
  <c r="BA32" i="33"/>
  <c r="BB32" i="33"/>
  <c r="BC32" i="33"/>
  <c r="BD32" i="33"/>
  <c r="BE32" i="33"/>
  <c r="BF32" i="33"/>
  <c r="BG32" i="33"/>
  <c r="BK32" i="33"/>
  <c r="BL32" i="33"/>
  <c r="BM32" i="33"/>
  <c r="BN32" i="33"/>
  <c r="BO32" i="33"/>
  <c r="BP32" i="33"/>
  <c r="BQ32" i="33"/>
  <c r="BR32" i="33"/>
  <c r="BS32" i="33"/>
  <c r="BT32" i="33"/>
  <c r="C33" i="33"/>
  <c r="D33" i="33"/>
  <c r="E33" i="33"/>
  <c r="F33" i="33"/>
  <c r="G33" i="33"/>
  <c r="H33" i="33"/>
  <c r="I33" i="33"/>
  <c r="J33" i="33"/>
  <c r="K33" i="33"/>
  <c r="L33" i="33"/>
  <c r="M33" i="33"/>
  <c r="N33" i="33"/>
  <c r="O33" i="33"/>
  <c r="P33" i="33"/>
  <c r="Q33" i="33"/>
  <c r="R33" i="33"/>
  <c r="S33" i="33"/>
  <c r="T33" i="33"/>
  <c r="U33" i="33"/>
  <c r="V33" i="33"/>
  <c r="W33" i="33"/>
  <c r="X33" i="33"/>
  <c r="Y33" i="33"/>
  <c r="Z33" i="33"/>
  <c r="AG33" i="33"/>
  <c r="AH33" i="33"/>
  <c r="AI33" i="33"/>
  <c r="AJ33" i="33"/>
  <c r="AK33" i="33"/>
  <c r="AL33" i="33"/>
  <c r="AM33" i="33"/>
  <c r="AN33" i="33"/>
  <c r="AO33" i="33"/>
  <c r="AS33" i="33"/>
  <c r="AT33" i="33"/>
  <c r="AW33" i="33" s="1"/>
  <c r="AU33" i="33"/>
  <c r="AV33" i="33"/>
  <c r="AX33" i="33"/>
  <c r="AY33" i="33"/>
  <c r="AZ33" i="33"/>
  <c r="BA33" i="33"/>
  <c r="BB33" i="33"/>
  <c r="BC33" i="33"/>
  <c r="BD33" i="33"/>
  <c r="BE33" i="33"/>
  <c r="BF33" i="33"/>
  <c r="BG33" i="33"/>
  <c r="BK33" i="33"/>
  <c r="BL33" i="33"/>
  <c r="BM33" i="33"/>
  <c r="BN33" i="33"/>
  <c r="BO33" i="33"/>
  <c r="BP33" i="33"/>
  <c r="BQ33" i="33"/>
  <c r="BR33" i="33"/>
  <c r="BS33" i="33"/>
  <c r="BT33" i="33"/>
  <c r="AT34" i="33"/>
  <c r="AW34" i="33" s="1"/>
  <c r="AU34" i="33"/>
  <c r="AV34" i="33"/>
  <c r="AT35" i="33"/>
  <c r="AW35" i="33" s="1"/>
  <c r="AU35" i="33"/>
  <c r="AV35" i="33"/>
  <c r="AT36" i="33"/>
  <c r="AW36" i="33" s="1"/>
  <c r="AU36" i="33"/>
  <c r="AV36" i="33"/>
  <c r="AT37" i="33"/>
  <c r="AW37" i="33" s="1"/>
  <c r="AU37" i="33"/>
  <c r="AV37" i="33"/>
  <c r="AT38" i="33"/>
  <c r="AW38" i="33" s="1"/>
  <c r="AU38" i="33"/>
  <c r="AV38" i="33"/>
  <c r="AT39" i="33"/>
  <c r="AW39" i="33" s="1"/>
  <c r="AU39" i="33"/>
  <c r="AV39" i="33"/>
  <c r="AT40" i="33"/>
  <c r="AW40" i="33" s="1"/>
  <c r="AU40" i="33"/>
  <c r="AV40" i="33"/>
  <c r="AT41" i="33"/>
  <c r="AW41" i="33" s="1"/>
  <c r="AU41" i="33"/>
  <c r="AV41" i="33"/>
  <c r="AT42" i="33"/>
  <c r="AW42" i="33" s="1"/>
  <c r="AU42" i="33"/>
  <c r="AV42" i="33"/>
  <c r="AT43" i="33"/>
  <c r="AW43" i="33" s="1"/>
  <c r="AU43" i="33"/>
  <c r="AV43" i="33"/>
  <c r="AT44" i="33"/>
  <c r="AW44" i="33" s="1"/>
  <c r="AU44" i="33"/>
  <c r="AV44" i="33"/>
  <c r="AT45" i="33"/>
  <c r="AW45" i="33" s="1"/>
  <c r="AU45" i="33"/>
  <c r="AV45" i="33"/>
  <c r="AT46" i="33"/>
  <c r="AW46" i="33" s="1"/>
  <c r="AU46" i="33"/>
  <c r="AV46" i="33"/>
  <c r="AT47" i="33"/>
  <c r="AW47" i="33" s="1"/>
  <c r="AU47" i="33"/>
  <c r="AV47" i="33"/>
  <c r="AT48" i="33"/>
  <c r="AW48" i="33" s="1"/>
  <c r="AU48" i="33"/>
  <c r="AV48" i="33"/>
  <c r="AT49" i="33"/>
  <c r="AW49" i="33" s="1"/>
  <c r="AU49" i="33"/>
  <c r="AV49" i="33"/>
  <c r="AT50" i="33"/>
  <c r="AW50" i="33" s="1"/>
  <c r="AU50" i="33"/>
  <c r="AV50" i="33"/>
  <c r="AT51" i="33"/>
  <c r="AW51" i="33" s="1"/>
  <c r="AU51" i="33"/>
  <c r="AV51" i="33"/>
  <c r="AT52" i="33"/>
  <c r="AW52" i="33" s="1"/>
  <c r="AU52" i="33"/>
  <c r="AV52" i="33"/>
  <c r="AT53" i="33"/>
  <c r="AW53" i="33" s="1"/>
  <c r="AU53" i="33"/>
  <c r="AV53" i="33"/>
  <c r="AT54" i="33"/>
  <c r="AW54" i="33" s="1"/>
  <c r="AU54" i="33"/>
  <c r="AV54" i="33"/>
  <c r="AW55" i="33"/>
  <c r="AW56" i="33"/>
  <c r="AW57" i="33"/>
  <c r="AW58" i="33"/>
  <c r="AW59" i="33"/>
  <c r="AW60" i="33"/>
  <c r="AW61" i="33"/>
  <c r="AW62" i="33"/>
  <c r="AW63" i="33"/>
  <c r="AW64" i="33"/>
  <c r="AW65" i="33"/>
  <c r="AW66" i="33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U8" i="24"/>
  <c r="V8" i="24"/>
  <c r="W8" i="24"/>
  <c r="X8" i="24"/>
  <c r="Z8" i="24"/>
  <c r="AA8" i="24"/>
  <c r="AB8" i="24"/>
  <c r="AC8" i="24"/>
  <c r="AD8" i="24"/>
  <c r="AE8" i="24"/>
  <c r="AF8" i="24"/>
  <c r="AG8" i="24"/>
  <c r="AH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U9" i="24"/>
  <c r="V9" i="24"/>
  <c r="W9" i="24"/>
  <c r="X9" i="24"/>
  <c r="Y9" i="24"/>
  <c r="Z9" i="24"/>
  <c r="AA9" i="24"/>
  <c r="AB9" i="24"/>
  <c r="AC9" i="24"/>
  <c r="AD9" i="24"/>
  <c r="AF9" i="24"/>
  <c r="AG9" i="24"/>
  <c r="AH9" i="24"/>
  <c r="D10" i="24"/>
  <c r="E10" i="24"/>
  <c r="F10" i="24"/>
  <c r="G10" i="24"/>
  <c r="H10" i="24"/>
  <c r="I10" i="24"/>
  <c r="J10" i="24"/>
  <c r="K10" i="24"/>
  <c r="L10" i="24"/>
  <c r="M10" i="24"/>
  <c r="N10" i="24"/>
  <c r="O10" i="24"/>
  <c r="P10" i="24"/>
  <c r="Q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D11" i="24"/>
  <c r="E11" i="24"/>
  <c r="F11" i="24"/>
  <c r="G11" i="24"/>
  <c r="H11" i="24"/>
  <c r="I11" i="24"/>
  <c r="J11" i="24"/>
  <c r="K11" i="24"/>
  <c r="L11" i="24"/>
  <c r="M11" i="24"/>
  <c r="N11" i="24"/>
  <c r="O11" i="24"/>
  <c r="P11" i="24"/>
  <c r="Q11" i="24"/>
  <c r="U11" i="24"/>
  <c r="V11" i="24"/>
  <c r="W11" i="24"/>
  <c r="X11" i="24"/>
  <c r="Y11" i="24"/>
  <c r="Z11" i="24"/>
  <c r="AA11" i="24"/>
  <c r="AB11" i="24"/>
  <c r="AC11" i="24"/>
  <c r="AD11" i="24"/>
  <c r="AE11" i="24"/>
  <c r="AF11" i="24"/>
  <c r="AG11" i="24"/>
  <c r="AH11" i="24"/>
  <c r="D12" i="24"/>
  <c r="E12" i="24"/>
  <c r="F12" i="24"/>
  <c r="G12" i="24"/>
  <c r="H12" i="24"/>
  <c r="I12" i="24"/>
  <c r="J12" i="24"/>
  <c r="K12" i="24"/>
  <c r="L12" i="24"/>
  <c r="M12" i="24"/>
  <c r="N12" i="24"/>
  <c r="O12" i="24"/>
  <c r="P12" i="24"/>
  <c r="Q12" i="24"/>
  <c r="U12" i="24"/>
  <c r="V12" i="24"/>
  <c r="W12" i="24"/>
  <c r="X12" i="24"/>
  <c r="Y12" i="24"/>
  <c r="Z12" i="24"/>
  <c r="AA12" i="24"/>
  <c r="AB12" i="24"/>
  <c r="AC12" i="24"/>
  <c r="AD12" i="24"/>
  <c r="AE12" i="24"/>
  <c r="AF12" i="24"/>
  <c r="AG12" i="24"/>
  <c r="AH12" i="24"/>
  <c r="D13" i="24"/>
  <c r="E13" i="24"/>
  <c r="F13" i="24"/>
  <c r="G13" i="24"/>
  <c r="H13" i="24"/>
  <c r="I13" i="24"/>
  <c r="J13" i="24"/>
  <c r="K13" i="24"/>
  <c r="L13" i="24"/>
  <c r="M13" i="24"/>
  <c r="N13" i="24"/>
  <c r="O13" i="24"/>
  <c r="P13" i="24"/>
  <c r="Q13" i="24"/>
  <c r="U13" i="24"/>
  <c r="V13" i="24"/>
  <c r="W13" i="24"/>
  <c r="X13" i="24"/>
  <c r="Y13" i="24"/>
  <c r="Z13" i="24"/>
  <c r="AA13" i="24"/>
  <c r="AB13" i="24"/>
  <c r="AC13" i="24"/>
  <c r="AD13" i="24"/>
  <c r="AE13" i="24"/>
  <c r="AF13" i="24"/>
  <c r="AG13" i="24"/>
  <c r="AH13" i="24"/>
  <c r="AH14" i="24"/>
  <c r="D15" i="24"/>
  <c r="E15" i="24"/>
  <c r="F15" i="24"/>
  <c r="G15" i="24"/>
  <c r="H15" i="24"/>
  <c r="I15" i="24"/>
  <c r="J15" i="24"/>
  <c r="K15" i="24"/>
  <c r="L15" i="24"/>
  <c r="M15" i="24"/>
  <c r="N15" i="24"/>
  <c r="O15" i="24"/>
  <c r="P15" i="24"/>
  <c r="Q15" i="24"/>
  <c r="U15" i="24"/>
  <c r="V15" i="24"/>
  <c r="W15" i="24"/>
  <c r="X15" i="24"/>
  <c r="Y15" i="24"/>
  <c r="Z15" i="24"/>
  <c r="AA15" i="24"/>
  <c r="AB15" i="24"/>
  <c r="AC15" i="24"/>
  <c r="AD15" i="24"/>
  <c r="AE15" i="24"/>
  <c r="AF15" i="24"/>
  <c r="AG15" i="24"/>
  <c r="AH15" i="24"/>
  <c r="D16" i="24"/>
  <c r="E16" i="24"/>
  <c r="F16" i="24"/>
  <c r="G16" i="24"/>
  <c r="H16" i="24"/>
  <c r="I16" i="24"/>
  <c r="J16" i="24"/>
  <c r="K16" i="24"/>
  <c r="L16" i="24"/>
  <c r="M16" i="24"/>
  <c r="N16" i="24"/>
  <c r="O16" i="24"/>
  <c r="P16" i="24"/>
  <c r="Q16" i="24"/>
  <c r="U16" i="24"/>
  <c r="V16" i="24"/>
  <c r="W16" i="24"/>
  <c r="X16" i="24"/>
  <c r="Y16" i="24"/>
  <c r="Z16" i="24"/>
  <c r="AA16" i="24"/>
  <c r="AB16" i="24"/>
  <c r="AC16" i="24"/>
  <c r="AD16" i="24"/>
  <c r="AE16" i="24"/>
  <c r="AF16" i="24"/>
  <c r="AG16" i="24"/>
  <c r="AH16" i="24"/>
  <c r="D17" i="24"/>
  <c r="E17" i="24"/>
  <c r="F17" i="24"/>
  <c r="G17" i="24"/>
  <c r="H17" i="24"/>
  <c r="I17" i="24"/>
  <c r="J17" i="24"/>
  <c r="K17" i="24"/>
  <c r="L17" i="24"/>
  <c r="M17" i="24"/>
  <c r="N17" i="24"/>
  <c r="O17" i="24"/>
  <c r="P17" i="24"/>
  <c r="Q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AH17" i="24"/>
  <c r="D32" i="24"/>
  <c r="AH32" i="24"/>
  <c r="D33" i="24"/>
  <c r="E33" i="24"/>
  <c r="F33" i="24"/>
  <c r="G33" i="24"/>
  <c r="H33" i="24"/>
  <c r="I33" i="24"/>
  <c r="J33" i="24"/>
  <c r="K33" i="24"/>
  <c r="L33" i="24"/>
  <c r="M33" i="24"/>
  <c r="N33" i="24"/>
  <c r="O33" i="24"/>
  <c r="P33" i="24"/>
  <c r="Q33" i="24"/>
  <c r="U33" i="24"/>
  <c r="V33" i="24"/>
  <c r="W33" i="24"/>
  <c r="X33" i="24"/>
  <c r="Y33" i="24"/>
  <c r="Z33" i="24"/>
  <c r="AA33" i="24"/>
  <c r="AB33" i="24"/>
  <c r="AC33" i="24"/>
  <c r="AD33" i="24"/>
  <c r="AE33" i="24"/>
  <c r="AF33" i="24"/>
  <c r="AG33" i="24"/>
  <c r="AH33" i="24"/>
  <c r="D34" i="24"/>
  <c r="E34" i="24"/>
  <c r="F34" i="24"/>
  <c r="G34" i="24"/>
  <c r="H34" i="24"/>
  <c r="I34" i="24"/>
  <c r="J34" i="24"/>
  <c r="K34" i="24"/>
  <c r="L34" i="24"/>
  <c r="M34" i="24"/>
  <c r="N34" i="24"/>
  <c r="O34" i="24"/>
  <c r="P34" i="24"/>
  <c r="Q34" i="24"/>
  <c r="U34" i="24"/>
  <c r="V34" i="24"/>
  <c r="W34" i="24"/>
  <c r="X34" i="24"/>
  <c r="Y34" i="24"/>
  <c r="Z34" i="24"/>
  <c r="AA34" i="24"/>
  <c r="AB34" i="24"/>
  <c r="AC34" i="24"/>
  <c r="AD34" i="24"/>
  <c r="AE34" i="24"/>
  <c r="AF34" i="24"/>
  <c r="AG34" i="24"/>
  <c r="AH34" i="24"/>
  <c r="D35" i="24"/>
  <c r="E35" i="24"/>
  <c r="F35" i="24"/>
  <c r="G35" i="24"/>
  <c r="H35" i="24"/>
  <c r="I35" i="24"/>
  <c r="J35" i="24"/>
  <c r="K35" i="24"/>
  <c r="L35" i="24"/>
  <c r="M35" i="24"/>
  <c r="N35" i="24"/>
  <c r="O35" i="24"/>
  <c r="P35" i="24"/>
  <c r="Q35" i="24"/>
  <c r="U35" i="24"/>
  <c r="V35" i="24"/>
  <c r="W35" i="24"/>
  <c r="X35" i="24"/>
  <c r="Y35" i="24"/>
  <c r="Z35" i="24"/>
  <c r="AA35" i="24"/>
  <c r="AB35" i="24"/>
  <c r="AC35" i="24"/>
  <c r="AD35" i="24"/>
  <c r="AE35" i="24"/>
  <c r="AF35" i="24"/>
  <c r="AG35" i="24"/>
  <c r="AH35" i="24"/>
  <c r="D36" i="24"/>
  <c r="E36" i="24"/>
  <c r="F36" i="24"/>
  <c r="G36" i="24"/>
  <c r="H36" i="24"/>
  <c r="I36" i="24"/>
  <c r="J36" i="24"/>
  <c r="K36" i="24"/>
  <c r="L36" i="24"/>
  <c r="M36" i="24"/>
  <c r="N36" i="24"/>
  <c r="O36" i="24"/>
  <c r="P36" i="24"/>
  <c r="Q36" i="24"/>
  <c r="U36" i="24"/>
  <c r="V36" i="24"/>
  <c r="W36" i="24"/>
  <c r="X36" i="24"/>
  <c r="Y36" i="24"/>
  <c r="Z36" i="24"/>
  <c r="AA36" i="24"/>
  <c r="AB36" i="24"/>
  <c r="AC36" i="24"/>
  <c r="AD36" i="24"/>
  <c r="AE36" i="24"/>
  <c r="AF36" i="24"/>
  <c r="AG36" i="24"/>
  <c r="AH36" i="24"/>
  <c r="D37" i="24"/>
  <c r="E37" i="24"/>
  <c r="F37" i="24"/>
  <c r="G37" i="24"/>
  <c r="H37" i="24"/>
  <c r="I37" i="24"/>
  <c r="J37" i="24"/>
  <c r="K37" i="24"/>
  <c r="L37" i="24"/>
  <c r="M37" i="24"/>
  <c r="N37" i="24"/>
  <c r="O37" i="24"/>
  <c r="P37" i="24"/>
  <c r="Q37" i="24"/>
  <c r="U37" i="24"/>
  <c r="V37" i="24"/>
  <c r="W37" i="24"/>
  <c r="X37" i="24"/>
  <c r="Y37" i="24"/>
  <c r="Z37" i="24"/>
  <c r="AA37" i="24"/>
  <c r="AB37" i="24"/>
  <c r="AC37" i="24"/>
  <c r="AD37" i="24"/>
  <c r="AE37" i="24"/>
  <c r="AF37" i="24"/>
  <c r="AG37" i="24"/>
  <c r="AH37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U38" i="24"/>
  <c r="V38" i="24"/>
  <c r="W38" i="24"/>
  <c r="X38" i="24"/>
  <c r="Y38" i="24"/>
  <c r="Z38" i="24"/>
  <c r="AA38" i="24"/>
  <c r="AB38" i="24"/>
  <c r="AC38" i="24"/>
  <c r="AD38" i="24"/>
  <c r="AE38" i="24"/>
  <c r="AG38" i="24"/>
  <c r="AH38" i="24"/>
  <c r="D39" i="24"/>
  <c r="E39" i="24"/>
  <c r="F39" i="24"/>
  <c r="G39" i="24"/>
  <c r="H39" i="24"/>
  <c r="I39" i="24"/>
  <c r="J39" i="24"/>
  <c r="K39" i="24"/>
  <c r="L39" i="24"/>
  <c r="M39" i="24"/>
  <c r="N39" i="24"/>
  <c r="O39" i="24"/>
  <c r="P39" i="24"/>
  <c r="Q39" i="24"/>
  <c r="U39" i="24"/>
  <c r="V39" i="24"/>
  <c r="W39" i="24"/>
  <c r="X39" i="24"/>
  <c r="Y39" i="24"/>
  <c r="Z39" i="24"/>
  <c r="AA39" i="24"/>
  <c r="AB39" i="24"/>
  <c r="AC39" i="24"/>
  <c r="AD39" i="24"/>
  <c r="AE39" i="24"/>
  <c r="AG39" i="24"/>
  <c r="AH39" i="24"/>
  <c r="D40" i="24"/>
  <c r="E40" i="24"/>
  <c r="F40" i="24"/>
  <c r="G40" i="24"/>
  <c r="H40" i="24"/>
  <c r="I40" i="24"/>
  <c r="J40" i="24"/>
  <c r="K40" i="24"/>
  <c r="L40" i="24"/>
  <c r="M40" i="24"/>
  <c r="N40" i="24"/>
  <c r="O40" i="24"/>
  <c r="P40" i="24"/>
  <c r="Q40" i="24"/>
  <c r="U40" i="24"/>
  <c r="V40" i="24"/>
  <c r="W40" i="24"/>
  <c r="X40" i="24"/>
  <c r="Y40" i="24"/>
  <c r="Z40" i="24"/>
  <c r="AA40" i="24"/>
  <c r="AB40" i="24"/>
  <c r="AC40" i="24"/>
  <c r="AD40" i="24"/>
  <c r="AE40" i="24"/>
  <c r="AG40" i="24"/>
  <c r="AH40" i="24"/>
  <c r="D41" i="24"/>
  <c r="E41" i="24"/>
  <c r="F41" i="24"/>
  <c r="G41" i="24"/>
  <c r="H41" i="24"/>
  <c r="I41" i="24"/>
  <c r="J41" i="24"/>
  <c r="K41" i="24"/>
  <c r="L41" i="24"/>
  <c r="M41" i="24"/>
  <c r="N41" i="24"/>
  <c r="O41" i="24"/>
  <c r="P41" i="24"/>
  <c r="Q41" i="24"/>
  <c r="U41" i="24"/>
  <c r="V41" i="24"/>
  <c r="W41" i="24"/>
  <c r="X41" i="24"/>
  <c r="Y41" i="24"/>
  <c r="Z41" i="24"/>
  <c r="AA41" i="24"/>
  <c r="AB41" i="24"/>
  <c r="AC41" i="24"/>
  <c r="AD41" i="24"/>
  <c r="AE41" i="24"/>
  <c r="AG41" i="24"/>
  <c r="AH41" i="24"/>
  <c r="D42" i="24"/>
  <c r="E42" i="24"/>
  <c r="F42" i="24"/>
  <c r="G42" i="24"/>
  <c r="H42" i="24"/>
  <c r="I42" i="24"/>
  <c r="J42" i="24"/>
  <c r="K42" i="24"/>
  <c r="L42" i="24"/>
  <c r="M42" i="24"/>
  <c r="N42" i="24"/>
  <c r="O42" i="24"/>
  <c r="P42" i="24"/>
  <c r="Q42" i="24"/>
  <c r="U42" i="24"/>
  <c r="V42" i="24"/>
  <c r="W42" i="24"/>
  <c r="X42" i="24"/>
  <c r="Y42" i="24"/>
  <c r="Z42" i="24"/>
  <c r="AA42" i="24"/>
  <c r="AB42" i="24"/>
  <c r="AC42" i="24"/>
  <c r="AD42" i="24"/>
  <c r="AE42" i="24"/>
  <c r="AG42" i="24"/>
  <c r="AH42" i="24"/>
  <c r="E43" i="24"/>
  <c r="F43" i="24"/>
  <c r="G43" i="24"/>
  <c r="H43" i="24"/>
  <c r="I43" i="24"/>
  <c r="J43" i="24"/>
  <c r="K43" i="24"/>
  <c r="L43" i="24"/>
  <c r="M43" i="24"/>
  <c r="N43" i="24"/>
  <c r="O43" i="24"/>
  <c r="P43" i="24"/>
  <c r="Q43" i="24"/>
  <c r="U43" i="24"/>
  <c r="V43" i="24"/>
  <c r="W43" i="24"/>
  <c r="X43" i="24"/>
  <c r="Y43" i="24"/>
  <c r="Z43" i="24"/>
  <c r="AA43" i="24"/>
  <c r="AB43" i="24"/>
  <c r="AC43" i="24"/>
  <c r="AD43" i="24"/>
  <c r="AE43" i="24"/>
  <c r="AG43" i="24"/>
  <c r="AH43" i="24"/>
  <c r="D44" i="24"/>
  <c r="AH44" i="24"/>
  <c r="D45" i="24"/>
  <c r="E45" i="24"/>
  <c r="F45" i="24"/>
  <c r="G45" i="24"/>
  <c r="H45" i="24"/>
  <c r="I45" i="24"/>
  <c r="J45" i="24"/>
  <c r="K45" i="24"/>
  <c r="L45" i="24"/>
  <c r="M45" i="24"/>
  <c r="N45" i="24"/>
  <c r="O45" i="24"/>
  <c r="P45" i="24"/>
  <c r="Q45" i="24"/>
  <c r="U45" i="24"/>
  <c r="V45" i="24"/>
  <c r="W45" i="24"/>
  <c r="X45" i="24"/>
  <c r="Y45" i="24"/>
  <c r="Z45" i="24"/>
  <c r="AA45" i="24"/>
  <c r="AB45" i="24"/>
  <c r="AC45" i="24"/>
  <c r="AD45" i="24"/>
  <c r="AE45" i="24"/>
  <c r="AF45" i="24"/>
  <c r="AG45" i="24"/>
  <c r="AH45" i="24"/>
  <c r="D68" i="24"/>
  <c r="E68" i="24"/>
  <c r="F68" i="24"/>
  <c r="G68" i="24"/>
  <c r="H68" i="24"/>
  <c r="I68" i="24"/>
  <c r="J68" i="24"/>
  <c r="K68" i="24"/>
  <c r="L68" i="24"/>
  <c r="M68" i="24"/>
  <c r="N68" i="24"/>
  <c r="O68" i="24"/>
  <c r="P68" i="24"/>
  <c r="Q68" i="24"/>
  <c r="U68" i="24"/>
  <c r="V68" i="24"/>
  <c r="W68" i="24"/>
  <c r="X68" i="24"/>
  <c r="Y68" i="24"/>
  <c r="Z68" i="24"/>
  <c r="AA68" i="24"/>
  <c r="AB68" i="24"/>
  <c r="AC68" i="24"/>
  <c r="AD68" i="24"/>
  <c r="AE68" i="24"/>
  <c r="AF68" i="24"/>
  <c r="AG68" i="24"/>
  <c r="AH68" i="24"/>
  <c r="D69" i="24"/>
  <c r="E69" i="24"/>
  <c r="F69" i="24"/>
  <c r="G69" i="24"/>
  <c r="H69" i="24"/>
  <c r="I69" i="24"/>
  <c r="J69" i="24"/>
  <c r="K69" i="24"/>
  <c r="L69" i="24"/>
  <c r="M69" i="24"/>
  <c r="N69" i="24"/>
  <c r="O69" i="24"/>
  <c r="P69" i="24"/>
  <c r="Q69" i="24"/>
  <c r="U69" i="24"/>
  <c r="V69" i="24"/>
  <c r="W69" i="24"/>
  <c r="X69" i="24"/>
  <c r="Y69" i="24"/>
  <c r="Z69" i="24"/>
  <c r="AA69" i="24"/>
  <c r="AB69" i="24"/>
  <c r="AC69" i="24"/>
  <c r="AD69" i="24"/>
  <c r="AE69" i="24"/>
  <c r="AF69" i="24"/>
  <c r="AG69" i="24"/>
  <c r="AH69" i="24"/>
  <c r="D70" i="24"/>
  <c r="E70" i="24"/>
  <c r="F70" i="24"/>
  <c r="G70" i="24"/>
  <c r="H70" i="24"/>
  <c r="I70" i="24"/>
  <c r="J70" i="24"/>
  <c r="K70" i="24"/>
  <c r="L70" i="24"/>
  <c r="M70" i="24"/>
  <c r="N70" i="24"/>
  <c r="O70" i="24"/>
  <c r="P70" i="24"/>
  <c r="Q70" i="24"/>
  <c r="U70" i="24"/>
  <c r="V70" i="24"/>
  <c r="W70" i="24"/>
  <c r="X70" i="24"/>
  <c r="Y70" i="24"/>
  <c r="Z70" i="24"/>
  <c r="AA70" i="24"/>
  <c r="AB70" i="24"/>
  <c r="AC70" i="24"/>
  <c r="AD70" i="24"/>
  <c r="AE70" i="24"/>
  <c r="AF70" i="24"/>
  <c r="AG70" i="24"/>
  <c r="AH70" i="24"/>
  <c r="D71" i="24"/>
  <c r="E71" i="24"/>
  <c r="F71" i="24"/>
  <c r="G71" i="24"/>
  <c r="H71" i="24"/>
  <c r="I71" i="24"/>
  <c r="J71" i="24"/>
  <c r="K71" i="24"/>
  <c r="L71" i="24"/>
  <c r="M71" i="24"/>
  <c r="N71" i="24"/>
  <c r="O71" i="24"/>
  <c r="P71" i="24"/>
  <c r="Q71" i="24"/>
  <c r="U71" i="24"/>
  <c r="V71" i="24"/>
  <c r="W71" i="24"/>
  <c r="X71" i="24"/>
  <c r="Y71" i="24"/>
  <c r="Z71" i="24"/>
  <c r="AA71" i="24"/>
  <c r="AB71" i="24"/>
  <c r="AC71" i="24"/>
  <c r="AD71" i="24"/>
  <c r="AE71" i="24"/>
  <c r="AF71" i="24"/>
  <c r="AG71" i="24"/>
  <c r="AH71" i="24"/>
  <c r="D72" i="24"/>
  <c r="E72" i="24"/>
  <c r="F72" i="24"/>
  <c r="G72" i="24"/>
  <c r="H72" i="24"/>
  <c r="I72" i="24"/>
  <c r="J72" i="24"/>
  <c r="K72" i="24"/>
  <c r="L72" i="24"/>
  <c r="M72" i="24"/>
  <c r="N72" i="24"/>
  <c r="O72" i="24"/>
  <c r="P72" i="24"/>
  <c r="Q72" i="24"/>
  <c r="U72" i="24"/>
  <c r="V72" i="24"/>
  <c r="W72" i="24"/>
  <c r="X72" i="24"/>
  <c r="Y72" i="24"/>
  <c r="Z72" i="24"/>
  <c r="AA72" i="24"/>
  <c r="AB72" i="24"/>
  <c r="AC72" i="24"/>
  <c r="AD72" i="24"/>
  <c r="AE72" i="24"/>
  <c r="AF72" i="24"/>
  <c r="AG72" i="24"/>
  <c r="AH72" i="24"/>
  <c r="D73" i="24"/>
  <c r="E73" i="24"/>
  <c r="F73" i="24"/>
  <c r="G73" i="24"/>
  <c r="H73" i="24"/>
  <c r="I73" i="24"/>
  <c r="J73" i="24"/>
  <c r="K73" i="24"/>
  <c r="L73" i="24"/>
  <c r="M73" i="24"/>
  <c r="N73" i="24"/>
  <c r="O73" i="24"/>
  <c r="P73" i="24"/>
  <c r="Q73" i="24"/>
  <c r="U73" i="24"/>
  <c r="V73" i="24"/>
  <c r="W73" i="24"/>
  <c r="X73" i="24"/>
  <c r="Y73" i="24"/>
  <c r="Z73" i="24"/>
  <c r="AA73" i="24"/>
  <c r="AB73" i="24"/>
  <c r="AC73" i="24"/>
  <c r="AD73" i="24"/>
  <c r="AE73" i="24"/>
  <c r="AF73" i="24"/>
  <c r="AG73" i="24"/>
  <c r="AH73" i="24"/>
  <c r="D74" i="24"/>
  <c r="E74" i="24"/>
  <c r="F74" i="24"/>
  <c r="G74" i="24"/>
  <c r="H74" i="24"/>
  <c r="I74" i="24"/>
  <c r="J74" i="24"/>
  <c r="K74" i="24"/>
  <c r="L74" i="24"/>
  <c r="M74" i="24"/>
  <c r="N74" i="24"/>
  <c r="O74" i="24"/>
  <c r="P74" i="24"/>
  <c r="Q74" i="24"/>
  <c r="U74" i="24"/>
  <c r="V74" i="24"/>
  <c r="W74" i="24"/>
  <c r="X74" i="24"/>
  <c r="Y74" i="24"/>
  <c r="Z74" i="24"/>
  <c r="AA74" i="24"/>
  <c r="AB74" i="24"/>
  <c r="AC74" i="24"/>
  <c r="AD74" i="24"/>
  <c r="AE74" i="24"/>
  <c r="AF74" i="24"/>
  <c r="AG74" i="24"/>
  <c r="AH74" i="24"/>
  <c r="D75" i="24"/>
  <c r="E75" i="24"/>
  <c r="F75" i="24"/>
  <c r="G75" i="24"/>
  <c r="H75" i="24"/>
  <c r="I75" i="24"/>
  <c r="J75" i="24"/>
  <c r="K75" i="24"/>
  <c r="L75" i="24"/>
  <c r="M75" i="24"/>
  <c r="N75" i="24"/>
  <c r="O75" i="24"/>
  <c r="P75" i="24"/>
  <c r="Q75" i="24"/>
  <c r="U75" i="24"/>
  <c r="V75" i="24"/>
  <c r="W75" i="24"/>
  <c r="X75" i="24"/>
  <c r="Y75" i="24"/>
  <c r="Z75" i="24"/>
  <c r="AA75" i="24"/>
  <c r="AB75" i="24"/>
  <c r="AC75" i="24"/>
  <c r="AD75" i="24"/>
  <c r="AE75" i="24"/>
  <c r="AF75" i="24"/>
  <c r="AG75" i="24"/>
  <c r="AH75" i="24"/>
  <c r="D76" i="24"/>
  <c r="E76" i="24"/>
  <c r="F76" i="24"/>
  <c r="G76" i="24"/>
  <c r="H76" i="24"/>
  <c r="I76" i="24"/>
  <c r="J76" i="24"/>
  <c r="K76" i="24"/>
  <c r="L76" i="24"/>
  <c r="M76" i="24"/>
  <c r="N76" i="24"/>
  <c r="O76" i="24"/>
  <c r="P76" i="24"/>
  <c r="Q76" i="24"/>
  <c r="U76" i="24"/>
  <c r="V76" i="24"/>
  <c r="W76" i="24"/>
  <c r="X76" i="24"/>
  <c r="Y76" i="24"/>
  <c r="Z76" i="24"/>
  <c r="AA76" i="24"/>
  <c r="AB76" i="24"/>
  <c r="AC76" i="24"/>
  <c r="AD76" i="24"/>
  <c r="AE76" i="24"/>
  <c r="AF76" i="24"/>
  <c r="AG76" i="24"/>
  <c r="AH76" i="24"/>
  <c r="D77" i="24"/>
  <c r="E77" i="24"/>
  <c r="F77" i="24"/>
  <c r="G77" i="24"/>
  <c r="H77" i="24"/>
  <c r="I77" i="24"/>
  <c r="J77" i="24"/>
  <c r="K77" i="24"/>
  <c r="L77" i="24"/>
  <c r="M77" i="24"/>
  <c r="N77" i="24"/>
  <c r="O77" i="24"/>
  <c r="P77" i="24"/>
  <c r="Q77" i="24"/>
  <c r="U77" i="24"/>
  <c r="V77" i="24"/>
  <c r="W77" i="24"/>
  <c r="X77" i="24"/>
  <c r="Y77" i="24"/>
  <c r="Z77" i="24"/>
  <c r="AA77" i="24"/>
  <c r="AB77" i="24"/>
  <c r="AC77" i="24"/>
  <c r="AD77" i="24"/>
  <c r="AE77" i="24"/>
  <c r="AF77" i="24"/>
  <c r="AG77" i="24"/>
  <c r="AH77" i="24"/>
  <c r="D78" i="24"/>
  <c r="E78" i="24"/>
  <c r="F78" i="24"/>
  <c r="G78" i="24"/>
  <c r="H78" i="24"/>
  <c r="I78" i="24"/>
  <c r="J78" i="24"/>
  <c r="K78" i="24"/>
  <c r="L78" i="24"/>
  <c r="M78" i="24"/>
  <c r="N78" i="24"/>
  <c r="O78" i="24"/>
  <c r="P78" i="24"/>
  <c r="Q78" i="24"/>
  <c r="U78" i="24"/>
  <c r="V78" i="24"/>
  <c r="W78" i="24"/>
  <c r="X78" i="24"/>
  <c r="Y78" i="24"/>
  <c r="Z78" i="24"/>
  <c r="AA78" i="24"/>
  <c r="AB78" i="24"/>
  <c r="AC78" i="24"/>
  <c r="AD78" i="24"/>
  <c r="AE78" i="24"/>
  <c r="AF78" i="24"/>
  <c r="AG78" i="24"/>
  <c r="AH78" i="24"/>
  <c r="D79" i="24"/>
  <c r="E79" i="24"/>
  <c r="F79" i="24"/>
  <c r="G79" i="24"/>
  <c r="H79" i="24"/>
  <c r="I79" i="24"/>
  <c r="J79" i="24"/>
  <c r="K79" i="24"/>
  <c r="L79" i="24"/>
  <c r="M79" i="24"/>
  <c r="N79" i="24"/>
  <c r="O79" i="24"/>
  <c r="P79" i="24"/>
  <c r="Q79" i="24"/>
  <c r="U79" i="24"/>
  <c r="V79" i="24"/>
  <c r="W79" i="24"/>
  <c r="X79" i="24"/>
  <c r="Y79" i="24"/>
  <c r="Z79" i="24"/>
  <c r="AA79" i="24"/>
  <c r="AB79" i="24"/>
  <c r="AC79" i="24"/>
  <c r="AD79" i="24"/>
  <c r="AE79" i="24"/>
  <c r="AF79" i="24"/>
  <c r="AG79" i="24"/>
  <c r="AH79" i="24"/>
  <c r="D80" i="24"/>
  <c r="E80" i="24"/>
  <c r="F80" i="24"/>
  <c r="G80" i="24"/>
  <c r="H80" i="24"/>
  <c r="I80" i="24"/>
  <c r="J80" i="24"/>
  <c r="K80" i="24"/>
  <c r="L80" i="24"/>
  <c r="M80" i="24"/>
  <c r="N80" i="24"/>
  <c r="O80" i="24"/>
  <c r="P80" i="24"/>
  <c r="Q80" i="24"/>
  <c r="U80" i="24"/>
  <c r="V80" i="24"/>
  <c r="W80" i="24"/>
  <c r="X80" i="24"/>
  <c r="Y80" i="24"/>
  <c r="Z80" i="24"/>
  <c r="AA80" i="24"/>
  <c r="AB80" i="24"/>
  <c r="AC80" i="24"/>
  <c r="AD80" i="24"/>
  <c r="AE80" i="24"/>
  <c r="AF80" i="24"/>
  <c r="AG80" i="24"/>
  <c r="AH80" i="24"/>
  <c r="D81" i="24"/>
  <c r="E81" i="24"/>
  <c r="F81" i="24"/>
  <c r="G81" i="24"/>
  <c r="H81" i="24"/>
  <c r="I81" i="24"/>
  <c r="J81" i="24"/>
  <c r="K81" i="24"/>
  <c r="L81" i="24"/>
  <c r="M81" i="24"/>
  <c r="N81" i="24"/>
  <c r="O81" i="24"/>
  <c r="P81" i="24"/>
  <c r="Q81" i="24"/>
  <c r="U81" i="24"/>
  <c r="V81" i="24"/>
  <c r="W81" i="24"/>
  <c r="X81" i="24"/>
  <c r="Y81" i="24"/>
  <c r="Z81" i="24"/>
  <c r="AA81" i="24"/>
  <c r="AB81" i="24"/>
  <c r="AC81" i="24"/>
  <c r="AD81" i="24"/>
  <c r="AE81" i="24"/>
  <c r="AF81" i="24"/>
  <c r="AG81" i="24"/>
  <c r="AH81" i="24"/>
  <c r="D82" i="24"/>
  <c r="E82" i="24"/>
  <c r="F82" i="24"/>
  <c r="G82" i="24"/>
  <c r="H82" i="24"/>
  <c r="I82" i="24"/>
  <c r="J82" i="24"/>
  <c r="K82" i="24"/>
  <c r="L82" i="24"/>
  <c r="M82" i="24"/>
  <c r="N82" i="24"/>
  <c r="O82" i="24"/>
  <c r="P82" i="24"/>
  <c r="Q82" i="24"/>
  <c r="U82" i="24"/>
  <c r="V82" i="24"/>
  <c r="W82" i="24"/>
  <c r="X82" i="24"/>
  <c r="Y82" i="24"/>
  <c r="Z82" i="24"/>
  <c r="AA82" i="24"/>
  <c r="AB82" i="24"/>
  <c r="AC82" i="24"/>
  <c r="AD82" i="24"/>
  <c r="AE82" i="24"/>
  <c r="AF82" i="24"/>
  <c r="AG82" i="24"/>
  <c r="AH82" i="24"/>
  <c r="D83" i="24"/>
  <c r="E83" i="24"/>
  <c r="F83" i="24"/>
  <c r="G83" i="24"/>
  <c r="H83" i="24"/>
  <c r="I83" i="24"/>
  <c r="J83" i="24"/>
  <c r="K83" i="24"/>
  <c r="L83" i="24"/>
  <c r="M83" i="24"/>
  <c r="N83" i="24"/>
  <c r="O83" i="24"/>
  <c r="P83" i="24"/>
  <c r="Q83" i="24"/>
  <c r="U83" i="24"/>
  <c r="V83" i="24"/>
  <c r="W83" i="24"/>
  <c r="X83" i="24"/>
  <c r="Y83" i="24"/>
  <c r="Z83" i="24"/>
  <c r="AA83" i="24"/>
  <c r="AB83" i="24"/>
  <c r="AC83" i="24"/>
  <c r="AD83" i="24"/>
  <c r="AE83" i="24"/>
  <c r="AF83" i="24"/>
  <c r="AG83" i="24"/>
  <c r="AH83" i="24"/>
  <c r="D84" i="24"/>
  <c r="E84" i="24"/>
  <c r="F84" i="24"/>
  <c r="G84" i="24"/>
  <c r="H84" i="24"/>
  <c r="I84" i="24"/>
  <c r="J84" i="24"/>
  <c r="K84" i="24"/>
  <c r="L84" i="24"/>
  <c r="M84" i="24"/>
  <c r="N84" i="24"/>
  <c r="O84" i="24"/>
  <c r="P84" i="24"/>
  <c r="Q84" i="24"/>
  <c r="U84" i="24"/>
  <c r="V84" i="24"/>
  <c r="W84" i="24"/>
  <c r="X84" i="24"/>
  <c r="Y84" i="24"/>
  <c r="Z84" i="24"/>
  <c r="AA84" i="24"/>
  <c r="AB84" i="24"/>
  <c r="AC84" i="24"/>
  <c r="AD84" i="24"/>
  <c r="AE84" i="24"/>
  <c r="AF84" i="24"/>
  <c r="AG84" i="24"/>
  <c r="AH84" i="24"/>
  <c r="D85" i="24"/>
  <c r="E85" i="24"/>
  <c r="F85" i="24"/>
  <c r="G85" i="24"/>
  <c r="H85" i="24"/>
  <c r="I85" i="24"/>
  <c r="J85" i="24"/>
  <c r="K85" i="24"/>
  <c r="L85" i="24"/>
  <c r="M85" i="24"/>
  <c r="N85" i="24"/>
  <c r="O85" i="24"/>
  <c r="P85" i="24"/>
  <c r="Q85" i="24"/>
  <c r="U85" i="24"/>
  <c r="V85" i="24"/>
  <c r="W85" i="24"/>
  <c r="X85" i="24"/>
  <c r="Y85" i="24"/>
  <c r="Z85" i="24"/>
  <c r="AA85" i="24"/>
  <c r="AB85" i="24"/>
  <c r="AC85" i="24"/>
  <c r="AD85" i="24"/>
  <c r="AE85" i="24"/>
  <c r="AF85" i="24"/>
  <c r="AG85" i="24"/>
  <c r="AH85" i="24"/>
  <c r="D86" i="24"/>
  <c r="E86" i="24"/>
  <c r="F86" i="24"/>
  <c r="G86" i="24"/>
  <c r="H86" i="24"/>
  <c r="I86" i="24"/>
  <c r="J86" i="24"/>
  <c r="K86" i="24"/>
  <c r="L86" i="24"/>
  <c r="M86" i="24"/>
  <c r="N86" i="24"/>
  <c r="O86" i="24"/>
  <c r="P86" i="24"/>
  <c r="Q86" i="24"/>
  <c r="U86" i="24"/>
  <c r="V86" i="24"/>
  <c r="W86" i="24"/>
  <c r="X86" i="24"/>
  <c r="Y86" i="24"/>
  <c r="Z86" i="24"/>
  <c r="AA86" i="24"/>
  <c r="AB86" i="24"/>
  <c r="AC86" i="24"/>
  <c r="AD86" i="24"/>
  <c r="AE86" i="24"/>
  <c r="AF86" i="24"/>
  <c r="AG86" i="24"/>
  <c r="AH86" i="24"/>
  <c r="D87" i="24"/>
  <c r="E87" i="24"/>
  <c r="F87" i="24"/>
  <c r="G87" i="24"/>
  <c r="H87" i="24"/>
  <c r="I87" i="24"/>
  <c r="J87" i="24"/>
  <c r="K87" i="24"/>
  <c r="L87" i="24"/>
  <c r="M87" i="24"/>
  <c r="N87" i="24"/>
  <c r="O87" i="24"/>
  <c r="P87" i="24"/>
  <c r="Q87" i="24"/>
  <c r="U87" i="24"/>
  <c r="V87" i="24"/>
  <c r="W87" i="24"/>
  <c r="X87" i="24"/>
  <c r="Y87" i="24"/>
  <c r="Z87" i="24"/>
  <c r="AA87" i="24"/>
  <c r="AB87" i="24"/>
  <c r="AC87" i="24"/>
  <c r="AD87" i="24"/>
  <c r="AE87" i="24"/>
  <c r="AF87" i="24"/>
  <c r="AG87" i="24"/>
  <c r="AH87" i="24"/>
  <c r="D88" i="24"/>
  <c r="E88" i="24"/>
  <c r="F88" i="24"/>
  <c r="G88" i="24"/>
  <c r="H88" i="24"/>
  <c r="I88" i="24"/>
  <c r="J88" i="24"/>
  <c r="K88" i="24"/>
  <c r="L88" i="24"/>
  <c r="M88" i="24"/>
  <c r="N88" i="24"/>
  <c r="O88" i="24"/>
  <c r="P88" i="24"/>
  <c r="Q88" i="24"/>
  <c r="U88" i="24"/>
  <c r="V88" i="24"/>
  <c r="W88" i="24"/>
  <c r="X88" i="24"/>
  <c r="Y88" i="24"/>
  <c r="Z88" i="24"/>
  <c r="AA88" i="24"/>
  <c r="AB88" i="24"/>
  <c r="AC88" i="24"/>
  <c r="AD88" i="24"/>
  <c r="AE88" i="24"/>
  <c r="AF88" i="24"/>
  <c r="AG88" i="24"/>
  <c r="AH88" i="24"/>
  <c r="E89" i="24"/>
  <c r="F89" i="24"/>
  <c r="G89" i="24"/>
  <c r="H89" i="24"/>
  <c r="I89" i="24"/>
  <c r="J89" i="24"/>
  <c r="K89" i="24"/>
  <c r="L89" i="24"/>
  <c r="M89" i="24"/>
  <c r="N89" i="24"/>
  <c r="O89" i="24"/>
  <c r="P89" i="24"/>
  <c r="Q89" i="24"/>
  <c r="U89" i="24"/>
  <c r="V89" i="24"/>
  <c r="W89" i="24"/>
  <c r="X89" i="24"/>
  <c r="Y89" i="24"/>
  <c r="Z89" i="24"/>
  <c r="AA89" i="24"/>
  <c r="AB89" i="24"/>
  <c r="AC89" i="24"/>
  <c r="AD89" i="24"/>
  <c r="AE89" i="24"/>
  <c r="AF89" i="24"/>
  <c r="AG89" i="24"/>
  <c r="AH89" i="24"/>
  <c r="D91" i="24"/>
  <c r="AH91" i="24"/>
  <c r="D131" i="24"/>
  <c r="E131" i="24"/>
  <c r="F131" i="24"/>
  <c r="G131" i="24"/>
  <c r="H131" i="24"/>
  <c r="I131" i="24"/>
  <c r="J131" i="24"/>
  <c r="K131" i="24"/>
  <c r="L131" i="24"/>
  <c r="M131" i="24"/>
  <c r="N131" i="24"/>
  <c r="O131" i="24"/>
  <c r="P131" i="24"/>
  <c r="Q131" i="24"/>
  <c r="U131" i="24"/>
  <c r="V131" i="24"/>
  <c r="W131" i="24"/>
  <c r="X131" i="24"/>
  <c r="Y131" i="24"/>
  <c r="Z131" i="24"/>
  <c r="AA131" i="24"/>
  <c r="AB131" i="24"/>
  <c r="AC131" i="24"/>
  <c r="AD131" i="24"/>
  <c r="AE131" i="24"/>
  <c r="AF131" i="24"/>
  <c r="AG131" i="24"/>
  <c r="AH131" i="24"/>
  <c r="D132" i="24"/>
  <c r="E132" i="24"/>
  <c r="F132" i="24"/>
  <c r="G132" i="24"/>
  <c r="H132" i="24"/>
  <c r="I132" i="24"/>
  <c r="J132" i="24"/>
  <c r="K132" i="24"/>
  <c r="L132" i="24"/>
  <c r="M132" i="24"/>
  <c r="N132" i="24"/>
  <c r="O132" i="24"/>
  <c r="P132" i="24"/>
  <c r="Q132" i="24"/>
  <c r="U132" i="24"/>
  <c r="V132" i="24"/>
  <c r="W132" i="24"/>
  <c r="X132" i="24"/>
  <c r="Y132" i="24"/>
  <c r="Z132" i="24"/>
  <c r="AA132" i="24"/>
  <c r="AB132" i="24"/>
  <c r="AC132" i="24"/>
  <c r="AD132" i="24"/>
  <c r="AE132" i="24"/>
  <c r="AF132" i="24"/>
  <c r="AG132" i="24"/>
  <c r="AH132" i="24"/>
  <c r="D133" i="24"/>
  <c r="E133" i="24"/>
  <c r="F133" i="24"/>
  <c r="G133" i="24"/>
  <c r="H133" i="24"/>
  <c r="I133" i="24"/>
  <c r="J133" i="24"/>
  <c r="K133" i="24"/>
  <c r="L133" i="24"/>
  <c r="M133" i="24"/>
  <c r="N133" i="24"/>
  <c r="O133" i="24"/>
  <c r="P133" i="24"/>
  <c r="Q133" i="24"/>
  <c r="U133" i="24"/>
  <c r="V133" i="24"/>
  <c r="W133" i="24"/>
  <c r="X133" i="24"/>
  <c r="Y133" i="24"/>
  <c r="Z133" i="24"/>
  <c r="AA133" i="24"/>
  <c r="AB133" i="24"/>
  <c r="AC133" i="24"/>
  <c r="AD133" i="24"/>
  <c r="AE133" i="24"/>
  <c r="AF133" i="24"/>
  <c r="AG133" i="24"/>
  <c r="AH133" i="24"/>
  <c r="D134" i="24"/>
  <c r="E134" i="24"/>
  <c r="F134" i="24"/>
  <c r="G134" i="24"/>
  <c r="H134" i="24"/>
  <c r="I134" i="24"/>
  <c r="J134" i="24"/>
  <c r="K134" i="24"/>
  <c r="L134" i="24"/>
  <c r="M134" i="24"/>
  <c r="N134" i="24"/>
  <c r="O134" i="24"/>
  <c r="P134" i="24"/>
  <c r="Q134" i="24"/>
  <c r="U134" i="24"/>
  <c r="V134" i="24"/>
  <c r="W134" i="24"/>
  <c r="X134" i="24"/>
  <c r="Y134" i="24"/>
  <c r="Z134" i="24"/>
  <c r="AA134" i="24"/>
  <c r="AB134" i="24"/>
  <c r="AC134" i="24"/>
  <c r="AD134" i="24"/>
  <c r="AE134" i="24"/>
  <c r="AF134" i="24"/>
  <c r="AG134" i="24"/>
  <c r="AH134" i="24"/>
  <c r="D135" i="24"/>
  <c r="E135" i="24"/>
  <c r="F135" i="24"/>
  <c r="G135" i="24"/>
  <c r="H135" i="24"/>
  <c r="I135" i="24"/>
  <c r="J135" i="24"/>
  <c r="K135" i="24"/>
  <c r="L135" i="24"/>
  <c r="M135" i="24"/>
  <c r="N135" i="24"/>
  <c r="O135" i="24"/>
  <c r="P135" i="24"/>
  <c r="Q135" i="24"/>
  <c r="U135" i="24"/>
  <c r="V135" i="24"/>
  <c r="W135" i="24"/>
  <c r="X135" i="24"/>
  <c r="Y135" i="24"/>
  <c r="Z135" i="24"/>
  <c r="AA135" i="24"/>
  <c r="AB135" i="24"/>
  <c r="AC135" i="24"/>
  <c r="AD135" i="24"/>
  <c r="AE135" i="24"/>
  <c r="AF135" i="24"/>
  <c r="AG135" i="24"/>
  <c r="AH135" i="24"/>
  <c r="D136" i="24"/>
  <c r="E136" i="24"/>
  <c r="F136" i="24"/>
  <c r="G136" i="24"/>
  <c r="H136" i="24"/>
  <c r="I136" i="24"/>
  <c r="J136" i="24"/>
  <c r="K136" i="24"/>
  <c r="L136" i="24"/>
  <c r="M136" i="24"/>
  <c r="N136" i="24"/>
  <c r="O136" i="24"/>
  <c r="P136" i="24"/>
  <c r="Q136" i="24"/>
  <c r="U136" i="24"/>
  <c r="V136" i="24"/>
  <c r="W136" i="24"/>
  <c r="X136" i="24"/>
  <c r="Y136" i="24"/>
  <c r="Z136" i="24"/>
  <c r="AA136" i="24"/>
  <c r="AB136" i="24"/>
  <c r="AC136" i="24"/>
  <c r="AD136" i="24"/>
  <c r="AE136" i="24"/>
  <c r="AF136" i="24"/>
  <c r="AG136" i="24"/>
  <c r="AH136" i="24"/>
  <c r="D137" i="24"/>
  <c r="E137" i="24"/>
  <c r="F137" i="24"/>
  <c r="G137" i="24"/>
  <c r="H137" i="24"/>
  <c r="I137" i="24"/>
  <c r="J137" i="24"/>
  <c r="K137" i="24"/>
  <c r="L137" i="24"/>
  <c r="M137" i="24"/>
  <c r="N137" i="24"/>
  <c r="O137" i="24"/>
  <c r="P137" i="24"/>
  <c r="Q137" i="24"/>
  <c r="U137" i="24"/>
  <c r="V137" i="24"/>
  <c r="W137" i="24"/>
  <c r="X137" i="24"/>
  <c r="Y137" i="24"/>
  <c r="Z137" i="24"/>
  <c r="AA137" i="24"/>
  <c r="AB137" i="24"/>
  <c r="AC137" i="24"/>
  <c r="AD137" i="24"/>
  <c r="AE137" i="24"/>
  <c r="AF137" i="24"/>
  <c r="AG137" i="24"/>
  <c r="AH137" i="24"/>
  <c r="D143" i="24"/>
  <c r="AH143" i="24"/>
  <c r="D145" i="24"/>
  <c r="E145" i="24"/>
  <c r="G145" i="24"/>
  <c r="H145" i="24"/>
  <c r="I145" i="24"/>
  <c r="J145" i="24"/>
  <c r="K145" i="24"/>
  <c r="L145" i="24"/>
  <c r="M145" i="24"/>
  <c r="N145" i="24"/>
  <c r="O145" i="24"/>
  <c r="P145" i="24"/>
  <c r="Q145" i="24"/>
  <c r="U145" i="24"/>
  <c r="V145" i="24"/>
  <c r="W145" i="24"/>
  <c r="X145" i="24"/>
  <c r="Y145" i="24"/>
  <c r="Z145" i="24"/>
  <c r="AA145" i="24"/>
  <c r="AB145" i="24"/>
  <c r="AC145" i="24"/>
  <c r="AD145" i="24"/>
  <c r="AE145" i="24"/>
  <c r="AG145" i="24"/>
  <c r="AH145" i="24"/>
  <c r="D146" i="24"/>
  <c r="E146" i="24"/>
  <c r="F146" i="24"/>
  <c r="G146" i="24"/>
  <c r="H146" i="24"/>
  <c r="I146" i="24"/>
  <c r="J146" i="24"/>
  <c r="K146" i="24"/>
  <c r="L146" i="24"/>
  <c r="M146" i="24"/>
  <c r="N146" i="24"/>
  <c r="O146" i="24"/>
  <c r="P146" i="24"/>
  <c r="Q146" i="24"/>
  <c r="U146" i="24"/>
  <c r="V146" i="24"/>
  <c r="W146" i="24"/>
  <c r="X146" i="24"/>
  <c r="Y146" i="24"/>
  <c r="Z146" i="24"/>
  <c r="AA146" i="24"/>
  <c r="AB146" i="24"/>
  <c r="AC146" i="24"/>
  <c r="AD146" i="24"/>
  <c r="AE146" i="24"/>
  <c r="AG146" i="24"/>
  <c r="AH146" i="24"/>
  <c r="D147" i="24"/>
  <c r="E147" i="24"/>
  <c r="F147" i="24"/>
  <c r="G147" i="24"/>
  <c r="H147" i="24"/>
  <c r="I147" i="24"/>
  <c r="J147" i="24"/>
  <c r="K147" i="24"/>
  <c r="L147" i="24"/>
  <c r="M147" i="24"/>
  <c r="N147" i="24"/>
  <c r="O147" i="24"/>
  <c r="P147" i="24"/>
  <c r="Q147" i="24"/>
  <c r="U147" i="24"/>
  <c r="V147" i="24"/>
  <c r="W147" i="24"/>
  <c r="X147" i="24"/>
  <c r="Y147" i="24"/>
  <c r="Z147" i="24"/>
  <c r="AA147" i="24"/>
  <c r="AB147" i="24"/>
  <c r="AC147" i="24"/>
  <c r="AD147" i="24"/>
  <c r="AE147" i="24"/>
  <c r="AG147" i="24"/>
  <c r="AH147" i="24"/>
  <c r="D148" i="24"/>
  <c r="E148" i="24"/>
  <c r="F148" i="24"/>
  <c r="G148" i="24"/>
  <c r="H148" i="24"/>
  <c r="I148" i="24"/>
  <c r="J148" i="24"/>
  <c r="K148" i="24"/>
  <c r="L148" i="24"/>
  <c r="M148" i="24"/>
  <c r="N148" i="24"/>
  <c r="O148" i="24"/>
  <c r="P148" i="24"/>
  <c r="Q148" i="24"/>
  <c r="U148" i="24"/>
  <c r="V148" i="24"/>
  <c r="W148" i="24"/>
  <c r="X148" i="24"/>
  <c r="Y148" i="24"/>
  <c r="Z148" i="24"/>
  <c r="AA148" i="24"/>
  <c r="AB148" i="24"/>
  <c r="AC148" i="24"/>
  <c r="AD148" i="24"/>
  <c r="AE148" i="24"/>
  <c r="AF148" i="24"/>
  <c r="AG148" i="24"/>
  <c r="AH148" i="24"/>
  <c r="D149" i="24"/>
  <c r="E149" i="24"/>
  <c r="F149" i="24"/>
  <c r="G149" i="24"/>
  <c r="H149" i="24"/>
  <c r="I149" i="24"/>
  <c r="J149" i="24"/>
  <c r="K149" i="24"/>
  <c r="L149" i="24"/>
  <c r="M149" i="24"/>
  <c r="N149" i="24"/>
  <c r="O149" i="24"/>
  <c r="P149" i="24"/>
  <c r="Q149" i="24"/>
  <c r="U149" i="24"/>
  <c r="V149" i="24"/>
  <c r="W149" i="24"/>
  <c r="X149" i="24"/>
  <c r="Y149" i="24"/>
  <c r="Z149" i="24"/>
  <c r="AA149" i="24"/>
  <c r="AB149" i="24"/>
  <c r="AC149" i="24"/>
  <c r="AD149" i="24"/>
  <c r="AE149" i="24"/>
  <c r="AF149" i="24"/>
  <c r="AG149" i="24"/>
  <c r="AH149" i="24"/>
  <c r="D150" i="24"/>
  <c r="E150" i="24"/>
  <c r="F150" i="24"/>
  <c r="G150" i="24"/>
  <c r="H150" i="24"/>
  <c r="I150" i="24"/>
  <c r="J150" i="24"/>
  <c r="K150" i="24"/>
  <c r="L150" i="24"/>
  <c r="M150" i="24"/>
  <c r="N150" i="24"/>
  <c r="O150" i="24"/>
  <c r="P150" i="24"/>
  <c r="Q150" i="24"/>
  <c r="U150" i="24"/>
  <c r="V150" i="24"/>
  <c r="W150" i="24"/>
  <c r="X150" i="24"/>
  <c r="Y150" i="24"/>
  <c r="Z150" i="24"/>
  <c r="AA150" i="24"/>
  <c r="AB150" i="24"/>
  <c r="AC150" i="24"/>
  <c r="AD150" i="24"/>
  <c r="AE150" i="24"/>
  <c r="AF150" i="24"/>
  <c r="AG150" i="24"/>
  <c r="AH150" i="24"/>
  <c r="D151" i="24"/>
  <c r="E151" i="24"/>
  <c r="F151" i="24"/>
  <c r="G151" i="24"/>
  <c r="H151" i="24"/>
  <c r="I151" i="24"/>
  <c r="J151" i="24"/>
  <c r="K151" i="24"/>
  <c r="L151" i="24"/>
  <c r="M151" i="24"/>
  <c r="N151" i="24"/>
  <c r="O151" i="24"/>
  <c r="P151" i="24"/>
  <c r="Q151" i="24"/>
  <c r="U151" i="24"/>
  <c r="V151" i="24"/>
  <c r="W151" i="24"/>
  <c r="X151" i="24"/>
  <c r="Y151" i="24"/>
  <c r="Z151" i="24"/>
  <c r="AA151" i="24"/>
  <c r="AB151" i="24"/>
  <c r="AC151" i="24"/>
  <c r="AD151" i="24"/>
  <c r="AE151" i="24"/>
  <c r="AF151" i="24"/>
  <c r="AG151" i="24"/>
  <c r="AH151" i="24"/>
  <c r="D152" i="24"/>
  <c r="E152" i="24"/>
  <c r="F152" i="24"/>
  <c r="G152" i="24"/>
  <c r="H152" i="24"/>
  <c r="I152" i="24"/>
  <c r="J152" i="24"/>
  <c r="K152" i="24"/>
  <c r="L152" i="24"/>
  <c r="M152" i="24"/>
  <c r="N152" i="24"/>
  <c r="O152" i="24"/>
  <c r="P152" i="24"/>
  <c r="Q152" i="24"/>
  <c r="U152" i="24"/>
  <c r="V152" i="24"/>
  <c r="W152" i="24"/>
  <c r="X152" i="24"/>
  <c r="Y152" i="24"/>
  <c r="Z152" i="24"/>
  <c r="AA152" i="24"/>
  <c r="AB152" i="24"/>
  <c r="AC152" i="24"/>
  <c r="AD152" i="24"/>
  <c r="AE152" i="24"/>
  <c r="AF152" i="24"/>
  <c r="AG152" i="24"/>
  <c r="AH152" i="24"/>
  <c r="D153" i="24"/>
  <c r="E153" i="24"/>
  <c r="F153" i="24"/>
  <c r="G153" i="24"/>
  <c r="H153" i="24"/>
  <c r="I153" i="24"/>
  <c r="J153" i="24"/>
  <c r="K153" i="24"/>
  <c r="L153" i="24"/>
  <c r="M153" i="24"/>
  <c r="N153" i="24"/>
  <c r="O153" i="24"/>
  <c r="P153" i="24"/>
  <c r="Q153" i="24"/>
  <c r="U153" i="24"/>
  <c r="V153" i="24"/>
  <c r="W153" i="24"/>
  <c r="X153" i="24"/>
  <c r="Y153" i="24"/>
  <c r="Z153" i="24"/>
  <c r="AA153" i="24"/>
  <c r="AB153" i="24"/>
  <c r="AC153" i="24"/>
  <c r="AD153" i="24"/>
  <c r="AE153" i="24"/>
  <c r="AF153" i="24"/>
  <c r="AG153" i="24"/>
  <c r="AH153" i="24"/>
  <c r="D154" i="24"/>
  <c r="E154" i="24"/>
  <c r="F154" i="24"/>
  <c r="G154" i="24"/>
  <c r="H154" i="24"/>
  <c r="I154" i="24"/>
  <c r="J154" i="24"/>
  <c r="K154" i="24"/>
  <c r="L154" i="24"/>
  <c r="M154" i="24"/>
  <c r="N154" i="24"/>
  <c r="O154" i="24"/>
  <c r="P154" i="24"/>
  <c r="Q154" i="24"/>
  <c r="U154" i="24"/>
  <c r="V154" i="24"/>
  <c r="W154" i="24"/>
  <c r="X154" i="24"/>
  <c r="Y154" i="24"/>
  <c r="Z154" i="24"/>
  <c r="AA154" i="24"/>
  <c r="AB154" i="24"/>
  <c r="AC154" i="24"/>
  <c r="AD154" i="24"/>
  <c r="AE154" i="24"/>
  <c r="AF154" i="24"/>
  <c r="AG154" i="24"/>
  <c r="AH154" i="24"/>
  <c r="D155" i="24"/>
  <c r="E155" i="24"/>
  <c r="F155" i="24"/>
  <c r="G155" i="24"/>
  <c r="H155" i="24"/>
  <c r="I155" i="24"/>
  <c r="J155" i="24"/>
  <c r="K155" i="24"/>
  <c r="L155" i="24"/>
  <c r="M155" i="24"/>
  <c r="N155" i="24"/>
  <c r="O155" i="24"/>
  <c r="P155" i="24"/>
  <c r="Q155" i="24"/>
  <c r="U155" i="24"/>
  <c r="V155" i="24"/>
  <c r="W155" i="24"/>
  <c r="X155" i="24"/>
  <c r="Y155" i="24"/>
  <c r="Z155" i="24"/>
  <c r="AA155" i="24"/>
  <c r="AB155" i="24"/>
  <c r="AC155" i="24"/>
  <c r="AD155" i="24"/>
  <c r="AE155" i="24"/>
  <c r="AF155" i="24"/>
  <c r="AG155" i="24"/>
  <c r="AH155" i="24"/>
  <c r="D156" i="24"/>
  <c r="E156" i="24"/>
  <c r="F156" i="24"/>
  <c r="G156" i="24"/>
  <c r="H156" i="24"/>
  <c r="I156" i="24"/>
  <c r="J156" i="24"/>
  <c r="K156" i="24"/>
  <c r="L156" i="24"/>
  <c r="M156" i="24"/>
  <c r="N156" i="24"/>
  <c r="O156" i="24"/>
  <c r="P156" i="24"/>
  <c r="Q156" i="24"/>
  <c r="U156" i="24"/>
  <c r="V156" i="24"/>
  <c r="W156" i="24"/>
  <c r="X156" i="24"/>
  <c r="Y156" i="24"/>
  <c r="Z156" i="24"/>
  <c r="AA156" i="24"/>
  <c r="AB156" i="24"/>
  <c r="AC156" i="24"/>
  <c r="AD156" i="24"/>
  <c r="AE156" i="24"/>
  <c r="AF156" i="24"/>
  <c r="AG156" i="24"/>
  <c r="AH156" i="24"/>
  <c r="D157" i="24"/>
  <c r="E157" i="24"/>
  <c r="F157" i="24"/>
  <c r="G157" i="24"/>
  <c r="H157" i="24"/>
  <c r="I157" i="24"/>
  <c r="J157" i="24"/>
  <c r="K157" i="24"/>
  <c r="L157" i="24"/>
  <c r="M157" i="24"/>
  <c r="N157" i="24"/>
  <c r="O157" i="24"/>
  <c r="P157" i="24"/>
  <c r="Q157" i="24"/>
  <c r="U157" i="24"/>
  <c r="V157" i="24"/>
  <c r="W157" i="24"/>
  <c r="X157" i="24"/>
  <c r="Y157" i="24"/>
  <c r="Z157" i="24"/>
  <c r="AA157" i="24"/>
  <c r="AB157" i="24"/>
  <c r="AC157" i="24"/>
  <c r="AD157" i="24"/>
  <c r="AE157" i="24"/>
  <c r="AF157" i="24"/>
  <c r="AG157" i="24"/>
  <c r="AH157" i="24"/>
  <c r="D158" i="24"/>
  <c r="E158" i="24"/>
  <c r="F158" i="24"/>
  <c r="G158" i="24"/>
  <c r="H158" i="24"/>
  <c r="I158" i="24"/>
  <c r="J158" i="24"/>
  <c r="K158" i="24"/>
  <c r="L158" i="24"/>
  <c r="M158" i="24"/>
  <c r="N158" i="24"/>
  <c r="O158" i="24"/>
  <c r="P158" i="24"/>
  <c r="Q158" i="24"/>
  <c r="U158" i="24"/>
  <c r="V158" i="24"/>
  <c r="W158" i="24"/>
  <c r="X158" i="24"/>
  <c r="Y158" i="24"/>
  <c r="Z158" i="24"/>
  <c r="AA158" i="24"/>
  <c r="AB158" i="24"/>
  <c r="AC158" i="24"/>
  <c r="AD158" i="24"/>
  <c r="AE158" i="24"/>
  <c r="AF158" i="24"/>
  <c r="AG158" i="24"/>
  <c r="AH158" i="24"/>
  <c r="D159" i="24"/>
  <c r="E159" i="24"/>
  <c r="F159" i="24"/>
  <c r="G159" i="24"/>
  <c r="H159" i="24"/>
  <c r="I159" i="24"/>
  <c r="J159" i="24"/>
  <c r="K159" i="24"/>
  <c r="L159" i="24"/>
  <c r="M159" i="24"/>
  <c r="N159" i="24"/>
  <c r="O159" i="24"/>
  <c r="P159" i="24"/>
  <c r="Q159" i="24"/>
  <c r="U159" i="24"/>
  <c r="V159" i="24"/>
  <c r="W159" i="24"/>
  <c r="X159" i="24"/>
  <c r="Y159" i="24"/>
  <c r="Z159" i="24"/>
  <c r="AA159" i="24"/>
  <c r="AB159" i="24"/>
  <c r="AC159" i="24"/>
  <c r="AD159" i="24"/>
  <c r="AE159" i="24"/>
  <c r="AF159" i="24"/>
  <c r="AG159" i="24"/>
  <c r="AH159" i="24"/>
  <c r="D160" i="24"/>
  <c r="E160" i="24"/>
  <c r="F160" i="24"/>
  <c r="G160" i="24"/>
  <c r="H160" i="24"/>
  <c r="I160" i="24"/>
  <c r="J160" i="24"/>
  <c r="K160" i="24"/>
  <c r="L160" i="24"/>
  <c r="M160" i="24"/>
  <c r="N160" i="24"/>
  <c r="O160" i="24"/>
  <c r="P160" i="24"/>
  <c r="Q160" i="24"/>
  <c r="U160" i="24"/>
  <c r="V160" i="24"/>
  <c r="W160" i="24"/>
  <c r="X160" i="24"/>
  <c r="Z160" i="24"/>
  <c r="AA160" i="24"/>
  <c r="AB160" i="24"/>
  <c r="AC160" i="24"/>
  <c r="AD160" i="24"/>
  <c r="AE160" i="24"/>
  <c r="AF160" i="24"/>
  <c r="AG160" i="24"/>
  <c r="AH160" i="24"/>
  <c r="D161" i="24"/>
  <c r="E161" i="24"/>
  <c r="F161" i="24"/>
  <c r="G161" i="24"/>
  <c r="H161" i="24"/>
  <c r="I161" i="24"/>
  <c r="J161" i="24"/>
  <c r="K161" i="24"/>
  <c r="L161" i="24"/>
  <c r="M161" i="24"/>
  <c r="N161" i="24"/>
  <c r="O161" i="24"/>
  <c r="P161" i="24"/>
  <c r="Q161" i="24"/>
  <c r="U161" i="24"/>
  <c r="V161" i="24"/>
  <c r="W161" i="24"/>
  <c r="X161" i="24"/>
  <c r="Y161" i="24"/>
  <c r="Z161" i="24"/>
  <c r="AA161" i="24"/>
  <c r="AB161" i="24"/>
  <c r="AC161" i="24"/>
  <c r="AD161" i="24"/>
  <c r="AE161" i="24"/>
  <c r="AF161" i="24"/>
  <c r="AG161" i="24"/>
  <c r="AH161" i="24"/>
  <c r="D162" i="24"/>
  <c r="E162" i="24"/>
  <c r="F162" i="24"/>
  <c r="G162" i="24"/>
  <c r="H162" i="24"/>
  <c r="I162" i="24"/>
  <c r="J162" i="24"/>
  <c r="K162" i="24"/>
  <c r="L162" i="24"/>
  <c r="M162" i="24"/>
  <c r="N162" i="24"/>
  <c r="O162" i="24"/>
  <c r="P162" i="24"/>
  <c r="Q162" i="24"/>
  <c r="U162" i="24"/>
  <c r="V162" i="24"/>
  <c r="W162" i="24"/>
  <c r="X162" i="24"/>
  <c r="Y162" i="24"/>
  <c r="Z162" i="24"/>
  <c r="AA162" i="24"/>
  <c r="AB162" i="24"/>
  <c r="AC162" i="24"/>
  <c r="AD162" i="24"/>
  <c r="AE162" i="24"/>
  <c r="AF162" i="24"/>
  <c r="AG162" i="24"/>
  <c r="AH162" i="24"/>
  <c r="D163" i="24"/>
  <c r="E163" i="24"/>
  <c r="F163" i="24"/>
  <c r="G163" i="24"/>
  <c r="H163" i="24"/>
  <c r="I163" i="24"/>
  <c r="J163" i="24"/>
  <c r="K163" i="24"/>
  <c r="L163" i="24"/>
  <c r="M163" i="24"/>
  <c r="N163" i="24"/>
  <c r="O163" i="24"/>
  <c r="P163" i="24"/>
  <c r="Q163" i="24"/>
  <c r="U163" i="24"/>
  <c r="V163" i="24"/>
  <c r="W163" i="24"/>
  <c r="X163" i="24"/>
  <c r="Y163" i="24"/>
  <c r="Z163" i="24"/>
  <c r="AA163" i="24"/>
  <c r="AB163" i="24"/>
  <c r="AC163" i="24"/>
  <c r="AD163" i="24"/>
  <c r="AE163" i="24"/>
  <c r="AF163" i="24"/>
  <c r="AG163" i="24"/>
  <c r="AH163" i="24"/>
  <c r="D164" i="24"/>
  <c r="E164" i="24"/>
  <c r="F164" i="24"/>
  <c r="G164" i="24"/>
  <c r="H164" i="24"/>
  <c r="I164" i="24"/>
  <c r="J164" i="24"/>
  <c r="K164" i="24"/>
  <c r="L164" i="24"/>
  <c r="M164" i="24"/>
  <c r="N164" i="24"/>
  <c r="O164" i="24"/>
  <c r="P164" i="24"/>
  <c r="Q164" i="24"/>
  <c r="U164" i="24"/>
  <c r="V164" i="24"/>
  <c r="W164" i="24"/>
  <c r="X164" i="24"/>
  <c r="Y164" i="24"/>
  <c r="Z164" i="24"/>
  <c r="AA164" i="24"/>
  <c r="AB164" i="24"/>
  <c r="AC164" i="24"/>
  <c r="AD164" i="24"/>
  <c r="AE164" i="24"/>
  <c r="AF164" i="24"/>
  <c r="AG164" i="24"/>
  <c r="AH164" i="24"/>
  <c r="D165" i="24"/>
  <c r="E165" i="24"/>
  <c r="F165" i="24"/>
  <c r="G165" i="24"/>
  <c r="H165" i="24"/>
  <c r="I165" i="24"/>
  <c r="J165" i="24"/>
  <c r="K165" i="24"/>
  <c r="L165" i="24"/>
  <c r="M165" i="24"/>
  <c r="N165" i="24"/>
  <c r="O165" i="24"/>
  <c r="P165" i="24"/>
  <c r="Q165" i="24"/>
  <c r="U165" i="24"/>
  <c r="V165" i="24"/>
  <c r="W165" i="24"/>
  <c r="X165" i="24"/>
  <c r="Y165" i="24"/>
  <c r="Z165" i="24"/>
  <c r="AA165" i="24"/>
  <c r="AB165" i="24"/>
  <c r="AC165" i="24"/>
  <c r="AD165" i="24"/>
  <c r="AE165" i="24"/>
  <c r="AF165" i="24"/>
  <c r="AG165" i="24"/>
  <c r="AH165" i="24"/>
  <c r="D166" i="24"/>
  <c r="E166" i="24"/>
  <c r="F166" i="24"/>
  <c r="G166" i="24"/>
  <c r="H166" i="24"/>
  <c r="I166" i="24"/>
  <c r="J166" i="24"/>
  <c r="K166" i="24"/>
  <c r="L166" i="24"/>
  <c r="M166" i="24"/>
  <c r="N166" i="24"/>
  <c r="O166" i="24"/>
  <c r="P166" i="24"/>
  <c r="Q166" i="24"/>
  <c r="U166" i="24"/>
  <c r="V166" i="24"/>
  <c r="W166" i="24"/>
  <c r="X166" i="24"/>
  <c r="Y166" i="24"/>
  <c r="Z166" i="24"/>
  <c r="AA166" i="24"/>
  <c r="AB166" i="24"/>
  <c r="AC166" i="24"/>
  <c r="AD166" i="24"/>
  <c r="AE166" i="24"/>
  <c r="AF166" i="24"/>
  <c r="AG166" i="24"/>
  <c r="AH166" i="24"/>
  <c r="D167" i="24"/>
  <c r="E167" i="24"/>
  <c r="F167" i="24"/>
  <c r="G167" i="24"/>
  <c r="H167" i="24"/>
  <c r="I167" i="24"/>
  <c r="J167" i="24"/>
  <c r="K167" i="24"/>
  <c r="L167" i="24"/>
  <c r="M167" i="24"/>
  <c r="N167" i="24"/>
  <c r="O167" i="24"/>
  <c r="P167" i="24"/>
  <c r="Q167" i="24"/>
  <c r="U167" i="24"/>
  <c r="V167" i="24"/>
  <c r="W167" i="24"/>
  <c r="X167" i="24"/>
  <c r="Y167" i="24"/>
  <c r="Z167" i="24"/>
  <c r="AA167" i="24"/>
  <c r="AB167" i="24"/>
  <c r="AC167" i="24"/>
  <c r="AD167" i="24"/>
  <c r="AE167" i="24"/>
  <c r="AF167" i="24"/>
  <c r="AG167" i="24"/>
  <c r="AH167" i="24"/>
  <c r="D168" i="24"/>
  <c r="E168" i="24"/>
  <c r="F168" i="24"/>
  <c r="G168" i="24"/>
  <c r="H168" i="24"/>
  <c r="I168" i="24"/>
  <c r="J168" i="24"/>
  <c r="K168" i="24"/>
  <c r="L168" i="24"/>
  <c r="M168" i="24"/>
  <c r="N168" i="24"/>
  <c r="O168" i="24"/>
  <c r="P168" i="24"/>
  <c r="Q168" i="24"/>
  <c r="U168" i="24"/>
  <c r="V168" i="24"/>
  <c r="W168" i="24"/>
  <c r="X168" i="24"/>
  <c r="Y168" i="24"/>
  <c r="Z168" i="24"/>
  <c r="AA168" i="24"/>
  <c r="AB168" i="24"/>
  <c r="AC168" i="24"/>
  <c r="AD168" i="24"/>
  <c r="AE168" i="24"/>
  <c r="AF168" i="24"/>
  <c r="AG168" i="24"/>
  <c r="AH168" i="24"/>
  <c r="D169" i="24"/>
  <c r="E169" i="24"/>
  <c r="F169" i="24"/>
  <c r="G169" i="24"/>
  <c r="H169" i="24"/>
  <c r="I169" i="24"/>
  <c r="J169" i="24"/>
  <c r="K169" i="24"/>
  <c r="L169" i="24"/>
  <c r="M169" i="24"/>
  <c r="N169" i="24"/>
  <c r="O169" i="24"/>
  <c r="P169" i="24"/>
  <c r="Q169" i="24"/>
  <c r="U169" i="24"/>
  <c r="V169" i="24"/>
  <c r="W169" i="24"/>
  <c r="X169" i="24"/>
  <c r="Y169" i="24"/>
  <c r="Z169" i="24"/>
  <c r="AA169" i="24"/>
  <c r="AB169" i="24"/>
  <c r="AC169" i="24"/>
  <c r="AD169" i="24"/>
  <c r="AE169" i="24"/>
  <c r="AF169" i="24"/>
  <c r="AG169" i="24"/>
  <c r="AH169" i="24"/>
  <c r="D170" i="24"/>
  <c r="E170" i="24"/>
  <c r="F170" i="24"/>
  <c r="G170" i="24"/>
  <c r="H170" i="24"/>
  <c r="I170" i="24"/>
  <c r="J170" i="24"/>
  <c r="K170" i="24"/>
  <c r="L170" i="24"/>
  <c r="M170" i="24"/>
  <c r="N170" i="24"/>
  <c r="O170" i="24"/>
  <c r="P170" i="24"/>
  <c r="Q170" i="24"/>
  <c r="U170" i="24"/>
  <c r="V170" i="24"/>
  <c r="W170" i="24"/>
  <c r="X170" i="24"/>
  <c r="Y170" i="24"/>
  <c r="Z170" i="24"/>
  <c r="AA170" i="24"/>
  <c r="AB170" i="24"/>
  <c r="AC170" i="24"/>
  <c r="AD170" i="24"/>
  <c r="AE170" i="24"/>
  <c r="AF170" i="24"/>
  <c r="AG170" i="24"/>
  <c r="AH170" i="24"/>
  <c r="D171" i="24"/>
  <c r="E171" i="24"/>
  <c r="F171" i="24"/>
  <c r="G171" i="24"/>
  <c r="H171" i="24"/>
  <c r="I171" i="24"/>
  <c r="J171" i="24"/>
  <c r="K171" i="24"/>
  <c r="L171" i="24"/>
  <c r="M171" i="24"/>
  <c r="N171" i="24"/>
  <c r="O171" i="24"/>
  <c r="P171" i="24"/>
  <c r="Q171" i="24"/>
  <c r="U171" i="24"/>
  <c r="V171" i="24"/>
  <c r="W171" i="24"/>
  <c r="X171" i="24"/>
  <c r="Z171" i="24"/>
  <c r="AA171" i="24"/>
  <c r="AB171" i="24"/>
  <c r="AC171" i="24"/>
  <c r="AD171" i="24"/>
  <c r="AE171" i="24"/>
  <c r="AF171" i="24"/>
  <c r="AG171" i="24"/>
  <c r="AH171" i="24"/>
  <c r="D172" i="24"/>
  <c r="E172" i="24"/>
  <c r="F172" i="24"/>
  <c r="G172" i="24"/>
  <c r="H172" i="24"/>
  <c r="I172" i="24"/>
  <c r="J172" i="24"/>
  <c r="K172" i="24"/>
  <c r="L172" i="24"/>
  <c r="M172" i="24"/>
  <c r="N172" i="24"/>
  <c r="O172" i="24"/>
  <c r="P172" i="24"/>
  <c r="Q172" i="24"/>
  <c r="U172" i="24"/>
  <c r="V172" i="24"/>
  <c r="W172" i="24"/>
  <c r="X172" i="24"/>
  <c r="Y172" i="24"/>
  <c r="Z172" i="24"/>
  <c r="AA172" i="24"/>
  <c r="AB172" i="24"/>
  <c r="AC172" i="24"/>
  <c r="AD172" i="24"/>
  <c r="AE172" i="24"/>
  <c r="AF172" i="24"/>
  <c r="AG172" i="24"/>
  <c r="AH172" i="24"/>
  <c r="D173" i="24"/>
  <c r="E173" i="24"/>
  <c r="F173" i="24"/>
  <c r="G173" i="24"/>
  <c r="H173" i="24"/>
  <c r="I173" i="24"/>
  <c r="J173" i="24"/>
  <c r="K173" i="24"/>
  <c r="L173" i="24"/>
  <c r="M173" i="24"/>
  <c r="N173" i="24"/>
  <c r="O173" i="24"/>
  <c r="P173" i="24"/>
  <c r="Q173" i="24"/>
  <c r="U173" i="24"/>
  <c r="V173" i="24"/>
  <c r="W173" i="24"/>
  <c r="X173" i="24"/>
  <c r="Y173" i="24"/>
  <c r="Z173" i="24"/>
  <c r="AA173" i="24"/>
  <c r="AB173" i="24"/>
  <c r="AC173" i="24"/>
  <c r="AD173" i="24"/>
  <c r="AE173" i="24"/>
  <c r="AF173" i="24"/>
  <c r="AG173" i="24"/>
  <c r="AH173" i="24"/>
  <c r="D174" i="24"/>
  <c r="E174" i="24"/>
  <c r="F174" i="24"/>
  <c r="G174" i="24"/>
  <c r="H174" i="24"/>
  <c r="I174" i="24"/>
  <c r="J174" i="24"/>
  <c r="K174" i="24"/>
  <c r="L174" i="24"/>
  <c r="M174" i="24"/>
  <c r="N174" i="24"/>
  <c r="O174" i="24"/>
  <c r="P174" i="24"/>
  <c r="Q174" i="24"/>
  <c r="U174" i="24"/>
  <c r="V174" i="24"/>
  <c r="W174" i="24"/>
  <c r="X174" i="24"/>
  <c r="Y174" i="24"/>
  <c r="Z174" i="24"/>
  <c r="AA174" i="24"/>
  <c r="AB174" i="24"/>
  <c r="AC174" i="24"/>
  <c r="AD174" i="24"/>
  <c r="AE174" i="24"/>
  <c r="AF174" i="24"/>
  <c r="AG174" i="24"/>
  <c r="AH174" i="24"/>
  <c r="D175" i="24"/>
  <c r="E175" i="24"/>
  <c r="F175" i="24"/>
  <c r="G175" i="24"/>
  <c r="H175" i="24"/>
  <c r="I175" i="24"/>
  <c r="J175" i="24"/>
  <c r="K175" i="24"/>
  <c r="L175" i="24"/>
  <c r="M175" i="24"/>
  <c r="N175" i="24"/>
  <c r="O175" i="24"/>
  <c r="P175" i="24"/>
  <c r="Q175" i="24"/>
  <c r="U175" i="24"/>
  <c r="V175" i="24"/>
  <c r="W175" i="24"/>
  <c r="X175" i="24"/>
  <c r="Y175" i="24"/>
  <c r="Z175" i="24"/>
  <c r="AA175" i="24"/>
  <c r="AB175" i="24"/>
  <c r="AC175" i="24"/>
  <c r="AD175" i="24"/>
  <c r="AE175" i="24"/>
  <c r="AF175" i="24"/>
  <c r="AG175" i="24"/>
  <c r="AH175" i="24"/>
  <c r="D176" i="24"/>
  <c r="E176" i="24"/>
  <c r="F176" i="24"/>
  <c r="G176" i="24"/>
  <c r="H176" i="24"/>
  <c r="I176" i="24"/>
  <c r="J176" i="24"/>
  <c r="K176" i="24"/>
  <c r="L176" i="24"/>
  <c r="M176" i="24"/>
  <c r="N176" i="24"/>
  <c r="O176" i="24"/>
  <c r="P176" i="24"/>
  <c r="Q176" i="24"/>
  <c r="U176" i="24"/>
  <c r="V176" i="24"/>
  <c r="W176" i="24"/>
  <c r="X176" i="24"/>
  <c r="Y176" i="24"/>
  <c r="Z176" i="24"/>
  <c r="AA176" i="24"/>
  <c r="AB176" i="24"/>
  <c r="AC176" i="24"/>
  <c r="AD176" i="24"/>
  <c r="AE176" i="24"/>
  <c r="AF176" i="24"/>
  <c r="AG176" i="24"/>
  <c r="AH176" i="24"/>
  <c r="D177" i="24"/>
  <c r="E177" i="24"/>
  <c r="F177" i="24"/>
  <c r="G177" i="24"/>
  <c r="H177" i="24"/>
  <c r="I177" i="24"/>
  <c r="J177" i="24"/>
  <c r="K177" i="24"/>
  <c r="L177" i="24"/>
  <c r="M177" i="24"/>
  <c r="N177" i="24"/>
  <c r="O177" i="24"/>
  <c r="P177" i="24"/>
  <c r="Q177" i="24"/>
  <c r="U177" i="24"/>
  <c r="V177" i="24"/>
  <c r="W177" i="24"/>
  <c r="X177" i="24"/>
  <c r="Y177" i="24"/>
  <c r="Z177" i="24"/>
  <c r="AA177" i="24"/>
  <c r="AB177" i="24"/>
  <c r="AC177" i="24"/>
  <c r="AD177" i="24"/>
  <c r="AE177" i="24"/>
  <c r="AF177" i="24"/>
  <c r="AG177" i="24"/>
  <c r="AH177" i="24"/>
  <c r="D178" i="24"/>
  <c r="E178" i="24"/>
  <c r="F178" i="24"/>
  <c r="G178" i="24"/>
  <c r="H178" i="24"/>
  <c r="I178" i="24"/>
  <c r="J178" i="24"/>
  <c r="K178" i="24"/>
  <c r="L178" i="24"/>
  <c r="M178" i="24"/>
  <c r="N178" i="24"/>
  <c r="O178" i="24"/>
  <c r="P178" i="24"/>
  <c r="Q178" i="24"/>
  <c r="U178" i="24"/>
  <c r="V178" i="24"/>
  <c r="W178" i="24"/>
  <c r="X178" i="24"/>
  <c r="Y178" i="24"/>
  <c r="Z178" i="24"/>
  <c r="AA178" i="24"/>
  <c r="AB178" i="24"/>
  <c r="AC178" i="24"/>
  <c r="AD178" i="24"/>
  <c r="AE178" i="24"/>
  <c r="AF178" i="24"/>
  <c r="AG178" i="24"/>
  <c r="AH178" i="24"/>
  <c r="D179" i="24"/>
  <c r="E179" i="24"/>
  <c r="F179" i="24"/>
  <c r="G179" i="24"/>
  <c r="H179" i="24"/>
  <c r="I179" i="24"/>
  <c r="J179" i="24"/>
  <c r="K179" i="24"/>
  <c r="L179" i="24"/>
  <c r="M179" i="24"/>
  <c r="N179" i="24"/>
  <c r="O179" i="24"/>
  <c r="P179" i="24"/>
  <c r="Q179" i="24"/>
  <c r="U179" i="24"/>
  <c r="V179" i="24"/>
  <c r="W179" i="24"/>
  <c r="X179" i="24"/>
  <c r="Y179" i="24"/>
  <c r="Z179" i="24"/>
  <c r="AA179" i="24"/>
  <c r="AB179" i="24"/>
  <c r="AC179" i="24"/>
  <c r="AD179" i="24"/>
  <c r="AE179" i="24"/>
  <c r="AF179" i="24"/>
  <c r="AG179" i="24"/>
  <c r="AH179" i="24"/>
  <c r="D180" i="24"/>
  <c r="E180" i="24"/>
  <c r="F180" i="24"/>
  <c r="G180" i="24"/>
  <c r="H180" i="24"/>
  <c r="I180" i="24"/>
  <c r="J180" i="24"/>
  <c r="K180" i="24"/>
  <c r="L180" i="24"/>
  <c r="M180" i="24"/>
  <c r="N180" i="24"/>
  <c r="O180" i="24"/>
  <c r="P180" i="24"/>
  <c r="Q180" i="24"/>
  <c r="U180" i="24"/>
  <c r="V180" i="24"/>
  <c r="W180" i="24"/>
  <c r="X180" i="24"/>
  <c r="Y180" i="24"/>
  <c r="Z180" i="24"/>
  <c r="AA180" i="24"/>
  <c r="AB180" i="24"/>
  <c r="AC180" i="24"/>
  <c r="AD180" i="24"/>
  <c r="AE180" i="24"/>
  <c r="AF180" i="24"/>
  <c r="AG180" i="24"/>
  <c r="AH180" i="24"/>
  <c r="D181" i="24"/>
  <c r="E181" i="24"/>
  <c r="F181" i="24"/>
  <c r="G181" i="24"/>
  <c r="H181" i="24"/>
  <c r="I181" i="24"/>
  <c r="J181" i="24"/>
  <c r="K181" i="24"/>
  <c r="L181" i="24"/>
  <c r="M181" i="24"/>
  <c r="N181" i="24"/>
  <c r="O181" i="24"/>
  <c r="P181" i="24"/>
  <c r="Q181" i="24"/>
  <c r="U181" i="24"/>
  <c r="V181" i="24"/>
  <c r="W181" i="24"/>
  <c r="X181" i="24"/>
  <c r="Y181" i="24"/>
  <c r="Z181" i="24"/>
  <c r="AA181" i="24"/>
  <c r="AB181" i="24"/>
  <c r="AC181" i="24"/>
  <c r="AD181" i="24"/>
  <c r="AE181" i="24"/>
  <c r="AF181" i="24"/>
  <c r="AG181" i="24"/>
  <c r="AH181" i="24"/>
  <c r="D182" i="24"/>
  <c r="E182" i="24"/>
  <c r="F182" i="24"/>
  <c r="G182" i="24"/>
  <c r="H182" i="24"/>
  <c r="I182" i="24"/>
  <c r="J182" i="24"/>
  <c r="K182" i="24"/>
  <c r="L182" i="24"/>
  <c r="M182" i="24"/>
  <c r="N182" i="24"/>
  <c r="O182" i="24"/>
  <c r="P182" i="24"/>
  <c r="Q182" i="24"/>
  <c r="U182" i="24"/>
  <c r="V182" i="24"/>
  <c r="W182" i="24"/>
  <c r="X182" i="24"/>
  <c r="Y182" i="24"/>
  <c r="Z182" i="24"/>
  <c r="AA182" i="24"/>
  <c r="AB182" i="24"/>
  <c r="AC182" i="24"/>
  <c r="AD182" i="24"/>
  <c r="AE182" i="24"/>
  <c r="AF182" i="24"/>
  <c r="AG182" i="24"/>
  <c r="AH182" i="24"/>
  <c r="D183" i="24"/>
  <c r="E183" i="24"/>
  <c r="F183" i="24"/>
  <c r="G183" i="24"/>
  <c r="H183" i="24"/>
  <c r="I183" i="24"/>
  <c r="J183" i="24"/>
  <c r="K183" i="24"/>
  <c r="L183" i="24"/>
  <c r="M183" i="24"/>
  <c r="N183" i="24"/>
  <c r="O183" i="24"/>
  <c r="P183" i="24"/>
  <c r="Q183" i="24"/>
  <c r="U183" i="24"/>
  <c r="V183" i="24"/>
  <c r="W183" i="24"/>
  <c r="X183" i="24"/>
  <c r="Y183" i="24"/>
  <c r="Z183" i="24"/>
  <c r="AA183" i="24"/>
  <c r="AB183" i="24"/>
  <c r="AC183" i="24"/>
  <c r="AD183" i="24"/>
  <c r="AE183" i="24"/>
  <c r="AF183" i="24"/>
  <c r="AG183" i="24"/>
  <c r="AH183" i="24"/>
  <c r="D184" i="24"/>
  <c r="E184" i="24"/>
  <c r="F184" i="24"/>
  <c r="G184" i="24"/>
  <c r="H184" i="24"/>
  <c r="I184" i="24"/>
  <c r="J184" i="24"/>
  <c r="K184" i="24"/>
  <c r="L184" i="24"/>
  <c r="M184" i="24"/>
  <c r="N184" i="24"/>
  <c r="O184" i="24"/>
  <c r="P184" i="24"/>
  <c r="Q184" i="24"/>
  <c r="U184" i="24"/>
  <c r="V184" i="24"/>
  <c r="W184" i="24"/>
  <c r="X184" i="24"/>
  <c r="Y184" i="24"/>
  <c r="Z184" i="24"/>
  <c r="AA184" i="24"/>
  <c r="AB184" i="24"/>
  <c r="AC184" i="24"/>
  <c r="AD184" i="24"/>
  <c r="AE184" i="24"/>
  <c r="AF184" i="24"/>
  <c r="AG184" i="24"/>
  <c r="AH184" i="24"/>
  <c r="D185" i="24"/>
  <c r="E185" i="24"/>
  <c r="F185" i="24"/>
  <c r="G185" i="24"/>
  <c r="H185" i="24"/>
  <c r="I185" i="24"/>
  <c r="J185" i="24"/>
  <c r="K185" i="24"/>
  <c r="L185" i="24"/>
  <c r="M185" i="24"/>
  <c r="N185" i="24"/>
  <c r="O185" i="24"/>
  <c r="P185" i="24"/>
  <c r="Q185" i="24"/>
  <c r="U185" i="24"/>
  <c r="V185" i="24"/>
  <c r="W185" i="24"/>
  <c r="X185" i="24"/>
  <c r="Y185" i="24"/>
  <c r="Z185" i="24"/>
  <c r="AA185" i="24"/>
  <c r="AB185" i="24"/>
  <c r="AC185" i="24"/>
  <c r="AD185" i="24"/>
  <c r="AE185" i="24"/>
  <c r="AF185" i="24"/>
  <c r="AG185" i="24"/>
  <c r="AH185" i="24"/>
  <c r="D186" i="24"/>
  <c r="E186" i="24"/>
  <c r="F186" i="24"/>
  <c r="G186" i="24"/>
  <c r="H186" i="24"/>
  <c r="I186" i="24"/>
  <c r="J186" i="24"/>
  <c r="K186" i="24"/>
  <c r="L186" i="24"/>
  <c r="M186" i="24"/>
  <c r="N186" i="24"/>
  <c r="O186" i="24"/>
  <c r="P186" i="24"/>
  <c r="Q186" i="24"/>
  <c r="U186" i="24"/>
  <c r="V186" i="24"/>
  <c r="W186" i="24"/>
  <c r="X186" i="24"/>
  <c r="Y186" i="24"/>
  <c r="Z186" i="24"/>
  <c r="AA186" i="24"/>
  <c r="AB186" i="24"/>
  <c r="AC186" i="24"/>
  <c r="AD186" i="24"/>
  <c r="AE186" i="24"/>
  <c r="AF186" i="24"/>
  <c r="AG186" i="24"/>
  <c r="AH186" i="24"/>
  <c r="D187" i="24"/>
  <c r="E187" i="24"/>
  <c r="F187" i="24"/>
  <c r="G187" i="24"/>
  <c r="H187" i="24"/>
  <c r="I187" i="24"/>
  <c r="J187" i="24"/>
  <c r="K187" i="24"/>
  <c r="L187" i="24"/>
  <c r="M187" i="24"/>
  <c r="N187" i="24"/>
  <c r="O187" i="24"/>
  <c r="P187" i="24"/>
  <c r="Q187" i="24"/>
  <c r="U187" i="24"/>
  <c r="V187" i="24"/>
  <c r="W187" i="24"/>
  <c r="X187" i="24"/>
  <c r="Y187" i="24"/>
  <c r="Z187" i="24"/>
  <c r="AA187" i="24"/>
  <c r="AB187" i="24"/>
  <c r="AC187" i="24"/>
  <c r="AD187" i="24"/>
  <c r="AE187" i="24"/>
  <c r="AF187" i="24"/>
  <c r="AG187" i="24"/>
  <c r="AH187" i="24"/>
  <c r="D188" i="24"/>
  <c r="E188" i="24"/>
  <c r="F188" i="24"/>
  <c r="G188" i="24"/>
  <c r="H188" i="24"/>
  <c r="I188" i="24"/>
  <c r="J188" i="24"/>
  <c r="K188" i="24"/>
  <c r="L188" i="24"/>
  <c r="M188" i="24"/>
  <c r="N188" i="24"/>
  <c r="O188" i="24"/>
  <c r="P188" i="24"/>
  <c r="Q188" i="24"/>
  <c r="U188" i="24"/>
  <c r="V188" i="24"/>
  <c r="W188" i="24"/>
  <c r="X188" i="24"/>
  <c r="Y188" i="24"/>
  <c r="Z188" i="24"/>
  <c r="AA188" i="24"/>
  <c r="AB188" i="24"/>
  <c r="AC188" i="24"/>
  <c r="AD188" i="24"/>
  <c r="AE188" i="24"/>
  <c r="AF188" i="24"/>
  <c r="AG188" i="24"/>
  <c r="AH188" i="24"/>
  <c r="D189" i="24"/>
  <c r="E189" i="24"/>
  <c r="F189" i="24"/>
  <c r="G189" i="24"/>
  <c r="H189" i="24"/>
  <c r="I189" i="24"/>
  <c r="J189" i="24"/>
  <c r="K189" i="24"/>
  <c r="L189" i="24"/>
  <c r="M189" i="24"/>
  <c r="N189" i="24"/>
  <c r="O189" i="24"/>
  <c r="P189" i="24"/>
  <c r="Q189" i="24"/>
  <c r="U189" i="24"/>
  <c r="V189" i="24"/>
  <c r="W189" i="24"/>
  <c r="X189" i="24"/>
  <c r="Y189" i="24"/>
  <c r="Z189" i="24"/>
  <c r="AA189" i="24"/>
  <c r="AB189" i="24"/>
  <c r="AC189" i="24"/>
  <c r="AD189" i="24"/>
  <c r="AE189" i="24"/>
  <c r="AF189" i="24"/>
  <c r="AG189" i="24"/>
  <c r="AH189" i="24"/>
  <c r="D190" i="24"/>
  <c r="E190" i="24"/>
  <c r="F190" i="24"/>
  <c r="G190" i="24"/>
  <c r="H190" i="24"/>
  <c r="I190" i="24"/>
  <c r="J190" i="24"/>
  <c r="K190" i="24"/>
  <c r="L190" i="24"/>
  <c r="M190" i="24"/>
  <c r="N190" i="24"/>
  <c r="O190" i="24"/>
  <c r="P190" i="24"/>
  <c r="Q190" i="24"/>
  <c r="U190" i="24"/>
  <c r="V190" i="24"/>
  <c r="W190" i="24"/>
  <c r="X190" i="24"/>
  <c r="Y190" i="24"/>
  <c r="Z190" i="24"/>
  <c r="AA190" i="24"/>
  <c r="AB190" i="24"/>
  <c r="AC190" i="24"/>
  <c r="AD190" i="24"/>
  <c r="AE190" i="24"/>
  <c r="AF190" i="24"/>
  <c r="AG190" i="24"/>
  <c r="AH190" i="24"/>
  <c r="D191" i="24"/>
  <c r="E191" i="24"/>
  <c r="F191" i="24"/>
  <c r="G191" i="24"/>
  <c r="H191" i="24"/>
  <c r="I191" i="24"/>
  <c r="J191" i="24"/>
  <c r="K191" i="24"/>
  <c r="L191" i="24"/>
  <c r="M191" i="24"/>
  <c r="N191" i="24"/>
  <c r="O191" i="24"/>
  <c r="P191" i="24"/>
  <c r="Q191" i="24"/>
  <c r="U191" i="24"/>
  <c r="V191" i="24"/>
  <c r="W191" i="24"/>
  <c r="X191" i="24"/>
  <c r="Y191" i="24"/>
  <c r="Z191" i="24"/>
  <c r="AA191" i="24"/>
  <c r="AB191" i="24"/>
  <c r="AC191" i="24"/>
  <c r="AD191" i="24"/>
  <c r="AE191" i="24"/>
  <c r="AF191" i="24"/>
  <c r="AG191" i="24"/>
  <c r="AH191" i="24"/>
  <c r="D192" i="24"/>
  <c r="E192" i="24"/>
  <c r="F192" i="24"/>
  <c r="G192" i="24"/>
  <c r="H192" i="24"/>
  <c r="I192" i="24"/>
  <c r="J192" i="24"/>
  <c r="K192" i="24"/>
  <c r="L192" i="24"/>
  <c r="M192" i="24"/>
  <c r="N192" i="24"/>
  <c r="O192" i="24"/>
  <c r="P192" i="24"/>
  <c r="Q192" i="24"/>
  <c r="U192" i="24"/>
  <c r="V192" i="24"/>
  <c r="W192" i="24"/>
  <c r="X192" i="24"/>
  <c r="Y192" i="24"/>
  <c r="Z192" i="24"/>
  <c r="AA192" i="24"/>
  <c r="AB192" i="24"/>
  <c r="AC192" i="24"/>
  <c r="AD192" i="24"/>
  <c r="AE192" i="24"/>
  <c r="AF192" i="24"/>
  <c r="AG192" i="24"/>
  <c r="AH192" i="24"/>
  <c r="D193" i="24"/>
  <c r="E193" i="24"/>
  <c r="F193" i="24"/>
  <c r="G193" i="24"/>
  <c r="H193" i="24"/>
  <c r="I193" i="24"/>
  <c r="J193" i="24"/>
  <c r="K193" i="24"/>
  <c r="L193" i="24"/>
  <c r="M193" i="24"/>
  <c r="N193" i="24"/>
  <c r="O193" i="24"/>
  <c r="P193" i="24"/>
  <c r="Q193" i="24"/>
  <c r="U193" i="24"/>
  <c r="V193" i="24"/>
  <c r="W193" i="24"/>
  <c r="X193" i="24"/>
  <c r="Y193" i="24"/>
  <c r="Z193" i="24"/>
  <c r="AA193" i="24"/>
  <c r="AB193" i="24"/>
  <c r="AC193" i="24"/>
  <c r="AD193" i="24"/>
  <c r="AE193" i="24"/>
  <c r="AF193" i="24"/>
  <c r="AG193" i="24"/>
  <c r="AH193" i="24"/>
  <c r="D194" i="24"/>
  <c r="E194" i="24"/>
  <c r="F194" i="24"/>
  <c r="G194" i="24"/>
  <c r="H194" i="24"/>
  <c r="I194" i="24"/>
  <c r="J194" i="24"/>
  <c r="K194" i="24"/>
  <c r="L194" i="24"/>
  <c r="M194" i="24"/>
  <c r="N194" i="24"/>
  <c r="O194" i="24"/>
  <c r="P194" i="24"/>
  <c r="Q194" i="24"/>
  <c r="U194" i="24"/>
  <c r="V194" i="24"/>
  <c r="W194" i="24"/>
  <c r="X194" i="24"/>
  <c r="Y194" i="24"/>
  <c r="Z194" i="24"/>
  <c r="AA194" i="24"/>
  <c r="AB194" i="24"/>
  <c r="AC194" i="24"/>
  <c r="AD194" i="24"/>
  <c r="AE194" i="24"/>
  <c r="AF194" i="24"/>
  <c r="AG194" i="24"/>
  <c r="AH194" i="24"/>
  <c r="D195" i="24"/>
  <c r="E195" i="24"/>
  <c r="F195" i="24"/>
  <c r="G195" i="24"/>
  <c r="H195" i="24"/>
  <c r="I195" i="24"/>
  <c r="J195" i="24"/>
  <c r="K195" i="24"/>
  <c r="L195" i="24"/>
  <c r="M195" i="24"/>
  <c r="N195" i="24"/>
  <c r="O195" i="24"/>
  <c r="P195" i="24"/>
  <c r="Q195" i="24"/>
  <c r="U195" i="24"/>
  <c r="V195" i="24"/>
  <c r="W195" i="24"/>
  <c r="X195" i="24"/>
  <c r="Y195" i="24"/>
  <c r="Z195" i="24"/>
  <c r="AA195" i="24"/>
  <c r="AB195" i="24"/>
  <c r="AC195" i="24"/>
  <c r="AD195" i="24"/>
  <c r="AE195" i="24"/>
  <c r="AF195" i="24"/>
  <c r="AG195" i="24"/>
  <c r="AH195" i="24"/>
  <c r="D196" i="24"/>
  <c r="E196" i="24"/>
  <c r="F196" i="24"/>
  <c r="G196" i="24"/>
  <c r="H196" i="24"/>
  <c r="I196" i="24"/>
  <c r="J196" i="24"/>
  <c r="K196" i="24"/>
  <c r="L196" i="24"/>
  <c r="M196" i="24"/>
  <c r="N196" i="24"/>
  <c r="O196" i="24"/>
  <c r="P196" i="24"/>
  <c r="Q196" i="24"/>
  <c r="U196" i="24"/>
  <c r="V196" i="24"/>
  <c r="W196" i="24"/>
  <c r="X196" i="24"/>
  <c r="Y196" i="24"/>
  <c r="Z196" i="24"/>
  <c r="AA196" i="24"/>
  <c r="AB196" i="24"/>
  <c r="AC196" i="24"/>
  <c r="AD196" i="24"/>
  <c r="AE196" i="24"/>
  <c r="AF196" i="24"/>
  <c r="AG196" i="24"/>
  <c r="AH196" i="24"/>
  <c r="D197" i="24"/>
  <c r="E197" i="24"/>
  <c r="F197" i="24"/>
  <c r="G197" i="24"/>
  <c r="H197" i="24"/>
  <c r="I197" i="24"/>
  <c r="J197" i="24"/>
  <c r="K197" i="24"/>
  <c r="L197" i="24"/>
  <c r="M197" i="24"/>
  <c r="N197" i="24"/>
  <c r="O197" i="24"/>
  <c r="P197" i="24"/>
  <c r="Q197" i="24"/>
  <c r="U197" i="24"/>
  <c r="V197" i="24"/>
  <c r="W197" i="24"/>
  <c r="X197" i="24"/>
  <c r="Y197" i="24"/>
  <c r="Z197" i="24"/>
  <c r="AA197" i="24"/>
  <c r="AB197" i="24"/>
  <c r="AC197" i="24"/>
  <c r="AD197" i="24"/>
  <c r="AE197" i="24"/>
  <c r="AF197" i="24"/>
  <c r="AG197" i="24"/>
  <c r="AH197" i="24"/>
  <c r="D198" i="24"/>
  <c r="E198" i="24"/>
  <c r="F198" i="24"/>
  <c r="G198" i="24"/>
  <c r="H198" i="24"/>
  <c r="I198" i="24"/>
  <c r="J198" i="24"/>
  <c r="K198" i="24"/>
  <c r="L198" i="24"/>
  <c r="M198" i="24"/>
  <c r="N198" i="24"/>
  <c r="O198" i="24"/>
  <c r="P198" i="24"/>
  <c r="Q198" i="24"/>
  <c r="U198" i="24"/>
  <c r="V198" i="24"/>
  <c r="W198" i="24"/>
  <c r="X198" i="24"/>
  <c r="Y198" i="24"/>
  <c r="Z198" i="24"/>
  <c r="AA198" i="24"/>
  <c r="AB198" i="24"/>
  <c r="AC198" i="24"/>
  <c r="AD198" i="24"/>
  <c r="AE198" i="24"/>
  <c r="AF198" i="24"/>
  <c r="AG198" i="24"/>
  <c r="AH198" i="24"/>
  <c r="D199" i="24"/>
  <c r="E199" i="24"/>
  <c r="F199" i="24"/>
  <c r="G199" i="24"/>
  <c r="H199" i="24"/>
  <c r="I199" i="24"/>
  <c r="J199" i="24"/>
  <c r="K199" i="24"/>
  <c r="L199" i="24"/>
  <c r="M199" i="24"/>
  <c r="N199" i="24"/>
  <c r="O199" i="24"/>
  <c r="P199" i="24"/>
  <c r="Q199" i="24"/>
  <c r="U199" i="24"/>
  <c r="V199" i="24"/>
  <c r="W199" i="24"/>
  <c r="X199" i="24"/>
  <c r="Y199" i="24"/>
  <c r="Z199" i="24"/>
  <c r="AA199" i="24"/>
  <c r="AB199" i="24"/>
  <c r="AC199" i="24"/>
  <c r="AD199" i="24"/>
  <c r="AE199" i="24"/>
  <c r="AF199" i="24"/>
  <c r="AG199" i="24"/>
  <c r="AH199" i="24"/>
  <c r="D200" i="24"/>
  <c r="E200" i="24"/>
  <c r="F200" i="24"/>
  <c r="G200" i="24"/>
  <c r="H200" i="24"/>
  <c r="I200" i="24"/>
  <c r="J200" i="24"/>
  <c r="K200" i="24"/>
  <c r="L200" i="24"/>
  <c r="M200" i="24"/>
  <c r="N200" i="24"/>
  <c r="O200" i="24"/>
  <c r="P200" i="24"/>
  <c r="Q200" i="24"/>
  <c r="U200" i="24"/>
  <c r="V200" i="24"/>
  <c r="W200" i="24"/>
  <c r="X200" i="24"/>
  <c r="Y200" i="24"/>
  <c r="Z200" i="24"/>
  <c r="AA200" i="24"/>
  <c r="AB200" i="24"/>
  <c r="AC200" i="24"/>
  <c r="AD200" i="24"/>
  <c r="AE200" i="24"/>
  <c r="AF200" i="24"/>
  <c r="AG200" i="24"/>
  <c r="AH200" i="24"/>
  <c r="D201" i="24"/>
  <c r="E201" i="24"/>
  <c r="F201" i="24"/>
  <c r="G201" i="24"/>
  <c r="H201" i="24"/>
  <c r="I201" i="24"/>
  <c r="J201" i="24"/>
  <c r="K201" i="24"/>
  <c r="L201" i="24"/>
  <c r="M201" i="24"/>
  <c r="N201" i="24"/>
  <c r="O201" i="24"/>
  <c r="P201" i="24"/>
  <c r="Q201" i="24"/>
  <c r="U201" i="24"/>
  <c r="V201" i="24"/>
  <c r="W201" i="24"/>
  <c r="X201" i="24"/>
  <c r="Y201" i="24"/>
  <c r="Z201" i="24"/>
  <c r="AA201" i="24"/>
  <c r="AB201" i="24"/>
  <c r="AC201" i="24"/>
  <c r="AD201" i="24"/>
  <c r="AE201" i="24"/>
  <c r="AF201" i="24"/>
  <c r="AG201" i="24"/>
  <c r="AH201" i="24"/>
  <c r="D202" i="24"/>
  <c r="E202" i="24"/>
  <c r="F202" i="24"/>
  <c r="G202" i="24"/>
  <c r="H202" i="24"/>
  <c r="I202" i="24"/>
  <c r="J202" i="24"/>
  <c r="K202" i="24"/>
  <c r="L202" i="24"/>
  <c r="M202" i="24"/>
  <c r="N202" i="24"/>
  <c r="O202" i="24"/>
  <c r="P202" i="24"/>
  <c r="Q202" i="24"/>
  <c r="U202" i="24"/>
  <c r="V202" i="24"/>
  <c r="W202" i="24"/>
  <c r="X202" i="24"/>
  <c r="Y202" i="24"/>
  <c r="Z202" i="24"/>
  <c r="AA202" i="24"/>
  <c r="AB202" i="24"/>
  <c r="AC202" i="24"/>
  <c r="AD202" i="24"/>
  <c r="AE202" i="24"/>
  <c r="AF202" i="24"/>
  <c r="AG202" i="24"/>
  <c r="AH202" i="24"/>
  <c r="D203" i="24"/>
  <c r="E203" i="24"/>
  <c r="F203" i="24"/>
  <c r="G203" i="24"/>
  <c r="H203" i="24"/>
  <c r="I203" i="24"/>
  <c r="J203" i="24"/>
  <c r="K203" i="24"/>
  <c r="L203" i="24"/>
  <c r="M203" i="24"/>
  <c r="N203" i="24"/>
  <c r="O203" i="24"/>
  <c r="P203" i="24"/>
  <c r="Q203" i="24"/>
  <c r="U203" i="24"/>
  <c r="V203" i="24"/>
  <c r="W203" i="24"/>
  <c r="X203" i="24"/>
  <c r="Y203" i="24"/>
  <c r="Z203" i="24"/>
  <c r="AA203" i="24"/>
  <c r="AB203" i="24"/>
  <c r="AC203" i="24"/>
  <c r="AD203" i="24"/>
  <c r="AE203" i="24"/>
  <c r="AF203" i="24"/>
  <c r="AG203" i="24"/>
  <c r="AH203" i="24"/>
  <c r="D204" i="24"/>
  <c r="E204" i="24"/>
  <c r="F204" i="24"/>
  <c r="G204" i="24"/>
  <c r="H204" i="24"/>
  <c r="I204" i="24"/>
  <c r="J204" i="24"/>
  <c r="K204" i="24"/>
  <c r="L204" i="24"/>
  <c r="M204" i="24"/>
  <c r="N204" i="24"/>
  <c r="O204" i="24"/>
  <c r="P204" i="24"/>
  <c r="Q204" i="24"/>
  <c r="U204" i="24"/>
  <c r="V204" i="24"/>
  <c r="W204" i="24"/>
  <c r="X204" i="24"/>
  <c r="Y204" i="24"/>
  <c r="Z204" i="24"/>
  <c r="AA204" i="24"/>
  <c r="AB204" i="24"/>
  <c r="AC204" i="24"/>
  <c r="AD204" i="24"/>
  <c r="AE204" i="24"/>
  <c r="AF204" i="24"/>
  <c r="AG204" i="24"/>
  <c r="AH204" i="24"/>
  <c r="D205" i="24"/>
  <c r="E205" i="24"/>
  <c r="F205" i="24"/>
  <c r="G205" i="24"/>
  <c r="H205" i="24"/>
  <c r="I205" i="24"/>
  <c r="J205" i="24"/>
  <c r="K205" i="24"/>
  <c r="L205" i="24"/>
  <c r="M205" i="24"/>
  <c r="N205" i="24"/>
  <c r="O205" i="24"/>
  <c r="P205" i="24"/>
  <c r="Q205" i="24"/>
  <c r="U205" i="24"/>
  <c r="V205" i="24"/>
  <c r="W205" i="24"/>
  <c r="X205" i="24"/>
  <c r="Y205" i="24"/>
  <c r="Z205" i="24"/>
  <c r="AA205" i="24"/>
  <c r="AB205" i="24"/>
  <c r="AC205" i="24"/>
  <c r="AD205" i="24"/>
  <c r="AE205" i="24"/>
  <c r="AF205" i="24"/>
  <c r="AG205" i="24"/>
  <c r="AH205" i="24"/>
  <c r="D206" i="24"/>
  <c r="E206" i="24"/>
  <c r="F206" i="24"/>
  <c r="G206" i="24"/>
  <c r="H206" i="24"/>
  <c r="I206" i="24"/>
  <c r="J206" i="24"/>
  <c r="K206" i="24"/>
  <c r="L206" i="24"/>
  <c r="M206" i="24"/>
  <c r="N206" i="24"/>
  <c r="O206" i="24"/>
  <c r="P206" i="24"/>
  <c r="Q206" i="24"/>
  <c r="U206" i="24"/>
  <c r="V206" i="24"/>
  <c r="W206" i="24"/>
  <c r="X206" i="24"/>
  <c r="Y206" i="24"/>
  <c r="Z206" i="24"/>
  <c r="AA206" i="24"/>
  <c r="AB206" i="24"/>
  <c r="AC206" i="24"/>
  <c r="AD206" i="24"/>
  <c r="AE206" i="24"/>
  <c r="AF206" i="24"/>
  <c r="AG206" i="24"/>
  <c r="AH206" i="24"/>
  <c r="D207" i="24"/>
  <c r="E207" i="24"/>
  <c r="F207" i="24"/>
  <c r="G207" i="24"/>
  <c r="H207" i="24"/>
  <c r="I207" i="24"/>
  <c r="J207" i="24"/>
  <c r="K207" i="24"/>
  <c r="L207" i="24"/>
  <c r="M207" i="24"/>
  <c r="N207" i="24"/>
  <c r="O207" i="24"/>
  <c r="P207" i="24"/>
  <c r="Q207" i="24"/>
  <c r="U207" i="24"/>
  <c r="V207" i="24"/>
  <c r="W207" i="24"/>
  <c r="X207" i="24"/>
  <c r="Y207" i="24"/>
  <c r="Z207" i="24"/>
  <c r="AA207" i="24"/>
  <c r="AB207" i="24"/>
  <c r="AC207" i="24"/>
  <c r="AD207" i="24"/>
  <c r="AE207" i="24"/>
  <c r="AF207" i="24"/>
  <c r="AG207" i="24"/>
  <c r="AH207" i="24"/>
  <c r="D208" i="24"/>
  <c r="E208" i="24"/>
  <c r="F208" i="24"/>
  <c r="G208" i="24"/>
  <c r="H208" i="24"/>
  <c r="I208" i="24"/>
  <c r="J208" i="24"/>
  <c r="K208" i="24"/>
  <c r="L208" i="24"/>
  <c r="M208" i="24"/>
  <c r="N208" i="24"/>
  <c r="O208" i="24"/>
  <c r="P208" i="24"/>
  <c r="Q208" i="24"/>
  <c r="U208" i="24"/>
  <c r="V208" i="24"/>
  <c r="W208" i="24"/>
  <c r="X208" i="24"/>
  <c r="Y208" i="24"/>
  <c r="Z208" i="24"/>
  <c r="AA208" i="24"/>
  <c r="AB208" i="24"/>
  <c r="AC208" i="24"/>
  <c r="AD208" i="24"/>
  <c r="AE208" i="24"/>
  <c r="AF208" i="24"/>
  <c r="AG208" i="24"/>
  <c r="AH208" i="24"/>
  <c r="D209" i="24"/>
  <c r="E209" i="24"/>
  <c r="F209" i="24"/>
  <c r="G209" i="24"/>
  <c r="H209" i="24"/>
  <c r="I209" i="24"/>
  <c r="J209" i="24"/>
  <c r="K209" i="24"/>
  <c r="L209" i="24"/>
  <c r="M209" i="24"/>
  <c r="N209" i="24"/>
  <c r="O209" i="24"/>
  <c r="P209" i="24"/>
  <c r="Q209" i="24"/>
  <c r="U209" i="24"/>
  <c r="V209" i="24"/>
  <c r="W209" i="24"/>
  <c r="X209" i="24"/>
  <c r="Y209" i="24"/>
  <c r="Z209" i="24"/>
  <c r="AA209" i="24"/>
  <c r="AB209" i="24"/>
  <c r="AC209" i="24"/>
  <c r="AD209" i="24"/>
  <c r="AE209" i="24"/>
  <c r="AF209" i="24"/>
  <c r="AG209" i="24"/>
  <c r="AH209" i="24"/>
  <c r="D210" i="24"/>
  <c r="E210" i="24"/>
  <c r="F210" i="24"/>
  <c r="G210" i="24"/>
  <c r="H210" i="24"/>
  <c r="I210" i="24"/>
  <c r="J210" i="24"/>
  <c r="K210" i="24"/>
  <c r="L210" i="24"/>
  <c r="M210" i="24"/>
  <c r="N210" i="24"/>
  <c r="O210" i="24"/>
  <c r="P210" i="24"/>
  <c r="Q210" i="24"/>
  <c r="U210" i="24"/>
  <c r="V210" i="24"/>
  <c r="W210" i="24"/>
  <c r="X210" i="24"/>
  <c r="Y210" i="24"/>
  <c r="Z210" i="24"/>
  <c r="AA210" i="24"/>
  <c r="AB210" i="24"/>
  <c r="AC210" i="24"/>
  <c r="AD210" i="24"/>
  <c r="AE210" i="24"/>
  <c r="AF210" i="24"/>
  <c r="AG210" i="24"/>
  <c r="AH210" i="24"/>
  <c r="D211" i="24"/>
  <c r="E211" i="24"/>
  <c r="F211" i="24"/>
  <c r="G211" i="24"/>
  <c r="H211" i="24"/>
  <c r="I211" i="24"/>
  <c r="J211" i="24"/>
  <c r="K211" i="24"/>
  <c r="L211" i="24"/>
  <c r="M211" i="24"/>
  <c r="N211" i="24"/>
  <c r="O211" i="24"/>
  <c r="P211" i="24"/>
  <c r="Q211" i="24"/>
  <c r="U211" i="24"/>
  <c r="V211" i="24"/>
  <c r="W211" i="24"/>
  <c r="X211" i="24"/>
  <c r="Y211" i="24"/>
  <c r="Z211" i="24"/>
  <c r="AA211" i="24"/>
  <c r="AB211" i="24"/>
  <c r="AC211" i="24"/>
  <c r="AD211" i="24"/>
  <c r="AE211" i="24"/>
  <c r="AF211" i="24"/>
  <c r="AG211" i="24"/>
  <c r="AH211" i="24"/>
  <c r="D212" i="24"/>
  <c r="E212" i="24"/>
  <c r="F212" i="24"/>
  <c r="G212" i="24"/>
  <c r="H212" i="24"/>
  <c r="I212" i="24"/>
  <c r="J212" i="24"/>
  <c r="K212" i="24"/>
  <c r="L212" i="24"/>
  <c r="M212" i="24"/>
  <c r="N212" i="24"/>
  <c r="O212" i="24"/>
  <c r="P212" i="24"/>
  <c r="Q212" i="24"/>
  <c r="U212" i="24"/>
  <c r="V212" i="24"/>
  <c r="W212" i="24"/>
  <c r="X212" i="24"/>
  <c r="Y212" i="24"/>
  <c r="Z212" i="24"/>
  <c r="AA212" i="24"/>
  <c r="AB212" i="24"/>
  <c r="AC212" i="24"/>
  <c r="AD212" i="24"/>
  <c r="AE212" i="24"/>
  <c r="AF212" i="24"/>
  <c r="AG212" i="24"/>
  <c r="AH212" i="24"/>
  <c r="D213" i="24"/>
  <c r="E213" i="24"/>
  <c r="F213" i="24"/>
  <c r="G213" i="24"/>
  <c r="H213" i="24"/>
  <c r="I213" i="24"/>
  <c r="J213" i="24"/>
  <c r="K213" i="24"/>
  <c r="L213" i="24"/>
  <c r="M213" i="24"/>
  <c r="N213" i="24"/>
  <c r="O213" i="24"/>
  <c r="P213" i="24"/>
  <c r="Q213" i="24"/>
  <c r="U213" i="24"/>
  <c r="V213" i="24"/>
  <c r="W213" i="24"/>
  <c r="X213" i="24"/>
  <c r="Y213" i="24"/>
  <c r="Z213" i="24"/>
  <c r="AA213" i="24"/>
  <c r="AB213" i="24"/>
  <c r="AC213" i="24"/>
  <c r="AD213" i="24"/>
  <c r="AE213" i="24"/>
  <c r="AF213" i="24"/>
  <c r="AG213" i="24"/>
  <c r="AH213" i="24"/>
  <c r="D214" i="24"/>
  <c r="E214" i="24"/>
  <c r="F214" i="24"/>
  <c r="G214" i="24"/>
  <c r="H214" i="24"/>
  <c r="I214" i="24"/>
  <c r="J214" i="24"/>
  <c r="K214" i="24"/>
  <c r="L214" i="24"/>
  <c r="M214" i="24"/>
  <c r="N214" i="24"/>
  <c r="O214" i="24"/>
  <c r="P214" i="24"/>
  <c r="Q214" i="24"/>
  <c r="U214" i="24"/>
  <c r="V214" i="24"/>
  <c r="W214" i="24"/>
  <c r="X214" i="24"/>
  <c r="Y214" i="24"/>
  <c r="Z214" i="24"/>
  <c r="AA214" i="24"/>
  <c r="AB214" i="24"/>
  <c r="AC214" i="24"/>
  <c r="AD214" i="24"/>
  <c r="AE214" i="24"/>
  <c r="AF214" i="24"/>
  <c r="AG214" i="24"/>
  <c r="AH214" i="24"/>
  <c r="D215" i="24"/>
  <c r="E215" i="24"/>
  <c r="F215" i="24"/>
  <c r="G215" i="24"/>
  <c r="H215" i="24"/>
  <c r="I215" i="24"/>
  <c r="J215" i="24"/>
  <c r="K215" i="24"/>
  <c r="L215" i="24"/>
  <c r="M215" i="24"/>
  <c r="N215" i="24"/>
  <c r="O215" i="24"/>
  <c r="P215" i="24"/>
  <c r="Q215" i="24"/>
  <c r="U215" i="24"/>
  <c r="V215" i="24"/>
  <c r="W215" i="24"/>
  <c r="X215" i="24"/>
  <c r="Y215" i="24"/>
  <c r="Z215" i="24"/>
  <c r="AA215" i="24"/>
  <c r="AB215" i="24"/>
  <c r="AC215" i="24"/>
  <c r="AD215" i="24"/>
  <c r="AE215" i="24"/>
  <c r="AF215" i="24"/>
  <c r="AG215" i="24"/>
  <c r="AH215" i="24"/>
  <c r="D216" i="24"/>
  <c r="E216" i="24"/>
  <c r="F216" i="24"/>
  <c r="G216" i="24"/>
  <c r="H216" i="24"/>
  <c r="I216" i="24"/>
  <c r="J216" i="24"/>
  <c r="K216" i="24"/>
  <c r="L216" i="24"/>
  <c r="M216" i="24"/>
  <c r="N216" i="24"/>
  <c r="O216" i="24"/>
  <c r="P216" i="24"/>
  <c r="Q216" i="24"/>
  <c r="U216" i="24"/>
  <c r="V216" i="24"/>
  <c r="W216" i="24"/>
  <c r="X216" i="24"/>
  <c r="Y216" i="24"/>
  <c r="Z216" i="24"/>
  <c r="AA216" i="24"/>
  <c r="AB216" i="24"/>
  <c r="AC216" i="24"/>
  <c r="AD216" i="24"/>
  <c r="AE216" i="24"/>
  <c r="AF216" i="24"/>
  <c r="AG216" i="24"/>
  <c r="AH216" i="24"/>
  <c r="D217" i="24"/>
  <c r="E217" i="24"/>
  <c r="F217" i="24"/>
  <c r="G217" i="24"/>
  <c r="H217" i="24"/>
  <c r="I217" i="24"/>
  <c r="J217" i="24"/>
  <c r="K217" i="24"/>
  <c r="L217" i="24"/>
  <c r="M217" i="24"/>
  <c r="N217" i="24"/>
  <c r="O217" i="24"/>
  <c r="P217" i="24"/>
  <c r="Q217" i="24"/>
  <c r="U217" i="24"/>
  <c r="V217" i="24"/>
  <c r="W217" i="24"/>
  <c r="X217" i="24"/>
  <c r="Y217" i="24"/>
  <c r="Z217" i="24"/>
  <c r="AA217" i="24"/>
  <c r="AB217" i="24"/>
  <c r="AC217" i="24"/>
  <c r="AD217" i="24"/>
  <c r="AE217" i="24"/>
  <c r="AF217" i="24"/>
  <c r="AG217" i="24"/>
  <c r="AH217" i="24"/>
  <c r="D218" i="24"/>
  <c r="AH218" i="24"/>
  <c r="D219" i="24"/>
  <c r="E219" i="24"/>
  <c r="F219" i="24"/>
  <c r="G219" i="24"/>
  <c r="H219" i="24"/>
  <c r="I219" i="24"/>
  <c r="J219" i="24"/>
  <c r="K219" i="24"/>
  <c r="L219" i="24"/>
  <c r="M219" i="24"/>
  <c r="N219" i="24"/>
  <c r="O219" i="24"/>
  <c r="P219" i="24"/>
  <c r="Q219" i="24"/>
  <c r="U219" i="24"/>
  <c r="V219" i="24"/>
  <c r="W219" i="24"/>
  <c r="X219" i="24"/>
  <c r="Y219" i="24"/>
  <c r="Z219" i="24"/>
  <c r="AA219" i="24"/>
  <c r="AB219" i="24"/>
  <c r="AC219" i="24"/>
  <c r="AD219" i="24"/>
  <c r="AE219" i="24"/>
  <c r="AF219" i="24"/>
  <c r="AG219" i="24"/>
  <c r="AH219" i="24"/>
  <c r="D220" i="24"/>
  <c r="E220" i="24"/>
  <c r="F220" i="24"/>
  <c r="G220" i="24"/>
  <c r="H220" i="24"/>
  <c r="I220" i="24"/>
  <c r="J220" i="24"/>
  <c r="K220" i="24"/>
  <c r="L220" i="24"/>
  <c r="M220" i="24"/>
  <c r="N220" i="24"/>
  <c r="O220" i="24"/>
  <c r="P220" i="24"/>
  <c r="Q220" i="24"/>
  <c r="U220" i="24"/>
  <c r="V220" i="24"/>
  <c r="W220" i="24"/>
  <c r="X220" i="24"/>
  <c r="Y220" i="24"/>
  <c r="Z220" i="24"/>
  <c r="AA220" i="24"/>
  <c r="AB220" i="24"/>
  <c r="AC220" i="24"/>
  <c r="AD220" i="24"/>
  <c r="AE220" i="24"/>
  <c r="AF220" i="24"/>
  <c r="AG220" i="24"/>
  <c r="AH220" i="24"/>
  <c r="D249" i="24"/>
  <c r="D7" i="9"/>
  <c r="G7" i="9"/>
  <c r="M50" i="7" s="1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J7" i="9"/>
  <c r="D74" i="7" s="1"/>
  <c r="AK7" i="9"/>
  <c r="AL7" i="9"/>
  <c r="AM7" i="9"/>
  <c r="AN7" i="9"/>
  <c r="AO7" i="9"/>
  <c r="AP7" i="9"/>
  <c r="AQ7" i="9"/>
  <c r="AR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O7" i="9"/>
  <c r="BP7" i="9"/>
  <c r="BQ7" i="9"/>
  <c r="BV7" i="9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AF8" i="25"/>
  <c r="AG8" i="25"/>
  <c r="AH8" i="25"/>
  <c r="AI8" i="25"/>
  <c r="AJ8" i="25"/>
  <c r="AK8" i="25"/>
  <c r="AL8" i="25"/>
  <c r="AM8" i="25"/>
  <c r="AN8" i="25"/>
  <c r="AR8" i="25"/>
  <c r="AS8" i="25"/>
  <c r="AT8" i="25"/>
  <c r="AU8" i="25"/>
  <c r="AW8" i="25"/>
  <c r="AX8" i="25"/>
  <c r="AY8" i="25"/>
  <c r="AZ8" i="25"/>
  <c r="BA8" i="25"/>
  <c r="BB8" i="25"/>
  <c r="BC8" i="25"/>
  <c r="BD8" i="25"/>
  <c r="BE8" i="25"/>
  <c r="BF8" i="25"/>
  <c r="BJ8" i="25"/>
  <c r="BK8" i="25"/>
  <c r="BL8" i="25"/>
  <c r="BM8" i="25"/>
  <c r="BN8" i="25"/>
  <c r="BR8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AF9" i="25"/>
  <c r="AG9" i="25"/>
  <c r="AH9" i="25"/>
  <c r="AI9" i="25"/>
  <c r="AJ9" i="25"/>
  <c r="AK9" i="25"/>
  <c r="AL9" i="25"/>
  <c r="AM9" i="25"/>
  <c r="AN9" i="25"/>
  <c r="AR9" i="25"/>
  <c r="AS9" i="25"/>
  <c r="AT9" i="25"/>
  <c r="AU9" i="25"/>
  <c r="AW9" i="25"/>
  <c r="AX9" i="25"/>
  <c r="AY9" i="25"/>
  <c r="AZ9" i="25"/>
  <c r="BA9" i="25"/>
  <c r="BB9" i="25"/>
  <c r="BC9" i="25"/>
  <c r="BD9" i="25"/>
  <c r="BE9" i="25"/>
  <c r="BF9" i="25"/>
  <c r="BJ9" i="25"/>
  <c r="BK9" i="25"/>
  <c r="BL9" i="25"/>
  <c r="BM9" i="25"/>
  <c r="BN9" i="25"/>
  <c r="BR9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AF10" i="25"/>
  <c r="AG10" i="25"/>
  <c r="AH10" i="25"/>
  <c r="AI10" i="25"/>
  <c r="AJ10" i="25"/>
  <c r="AK10" i="25"/>
  <c r="AL10" i="25"/>
  <c r="AM10" i="25"/>
  <c r="AN10" i="25"/>
  <c r="AR10" i="25"/>
  <c r="AS10" i="25"/>
  <c r="AT10" i="25"/>
  <c r="AU10" i="25"/>
  <c r="AW10" i="25"/>
  <c r="AX10" i="25"/>
  <c r="AY10" i="25"/>
  <c r="AZ10" i="25"/>
  <c r="BA10" i="25"/>
  <c r="BB10" i="25"/>
  <c r="BC10" i="25"/>
  <c r="BD10" i="25"/>
  <c r="BE10" i="25"/>
  <c r="BF10" i="25"/>
  <c r="BJ10" i="25"/>
  <c r="BK10" i="25"/>
  <c r="BL10" i="25"/>
  <c r="BM10" i="25"/>
  <c r="BN10" i="25"/>
  <c r="BR10" i="25"/>
  <c r="D11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AF11" i="25"/>
  <c r="AG11" i="25"/>
  <c r="AH11" i="25"/>
  <c r="AI11" i="25"/>
  <c r="AJ11" i="25"/>
  <c r="AK11" i="25"/>
  <c r="AL11" i="25"/>
  <c r="AM11" i="25"/>
  <c r="AN11" i="25"/>
  <c r="AR11" i="25"/>
  <c r="AS11" i="25"/>
  <c r="AT11" i="25"/>
  <c r="AU11" i="25"/>
  <c r="AW11" i="25"/>
  <c r="AX11" i="25"/>
  <c r="AY11" i="25"/>
  <c r="AZ11" i="25"/>
  <c r="BA11" i="25"/>
  <c r="BB11" i="25"/>
  <c r="BC11" i="25"/>
  <c r="BD11" i="25"/>
  <c r="BE11" i="25"/>
  <c r="BF11" i="25"/>
  <c r="BJ11" i="25"/>
  <c r="BK11" i="25"/>
  <c r="BL11" i="25"/>
  <c r="BM11" i="25"/>
  <c r="BN11" i="25"/>
  <c r="BO11" i="25"/>
  <c r="BP11" i="25"/>
  <c r="BQ11" i="25"/>
  <c r="BR11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AF12" i="25"/>
  <c r="AG12" i="25"/>
  <c r="AH12" i="25"/>
  <c r="AI12" i="25"/>
  <c r="AJ12" i="25"/>
  <c r="AK12" i="25"/>
  <c r="AL12" i="25"/>
  <c r="AM12" i="25"/>
  <c r="AN12" i="25"/>
  <c r="AR12" i="25"/>
  <c r="AS12" i="25"/>
  <c r="AV12" i="25" s="1"/>
  <c r="AT12" i="25"/>
  <c r="AU12" i="25"/>
  <c r="AW12" i="25"/>
  <c r="AX12" i="25"/>
  <c r="AY12" i="25"/>
  <c r="AZ12" i="25"/>
  <c r="BA12" i="25"/>
  <c r="BB12" i="25"/>
  <c r="BC12" i="25"/>
  <c r="BD12" i="25"/>
  <c r="BE12" i="25"/>
  <c r="BF12" i="25"/>
  <c r="BJ12" i="25"/>
  <c r="BK12" i="25"/>
  <c r="BL12" i="25"/>
  <c r="BM12" i="25"/>
  <c r="BN12" i="25"/>
  <c r="BO12" i="25"/>
  <c r="BP12" i="25"/>
  <c r="BQ12" i="25"/>
  <c r="BR12" i="25"/>
  <c r="D13" i="25"/>
  <c r="E13" i="25"/>
  <c r="F13" i="25"/>
  <c r="G13" i="25"/>
  <c r="H13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AF13" i="25"/>
  <c r="AG13" i="25"/>
  <c r="AH13" i="25"/>
  <c r="AI13" i="25"/>
  <c r="AJ13" i="25"/>
  <c r="AK13" i="25"/>
  <c r="AL13" i="25"/>
  <c r="AM13" i="25"/>
  <c r="AN13" i="25"/>
  <c r="AR13" i="25"/>
  <c r="AS13" i="25"/>
  <c r="AV13" i="25" s="1"/>
  <c r="AT13" i="25"/>
  <c r="AU13" i="25"/>
  <c r="AW13" i="25"/>
  <c r="AX13" i="25"/>
  <c r="AY13" i="25"/>
  <c r="AZ13" i="25"/>
  <c r="BA13" i="25"/>
  <c r="BB13" i="25"/>
  <c r="BC13" i="25"/>
  <c r="BD13" i="25"/>
  <c r="BE13" i="25"/>
  <c r="BF13" i="25"/>
  <c r="BJ13" i="25"/>
  <c r="BK13" i="25"/>
  <c r="BL13" i="25"/>
  <c r="BM13" i="25"/>
  <c r="BN13" i="25"/>
  <c r="BO13" i="25"/>
  <c r="BP13" i="25"/>
  <c r="BQ13" i="25"/>
  <c r="BR13" i="25"/>
  <c r="D14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AF14" i="25"/>
  <c r="AG14" i="25"/>
  <c r="AH14" i="25"/>
  <c r="AI14" i="25"/>
  <c r="AJ14" i="25"/>
  <c r="AK14" i="25"/>
  <c r="AL14" i="25"/>
  <c r="AM14" i="25"/>
  <c r="AN14" i="25"/>
  <c r="AR14" i="25"/>
  <c r="AS14" i="25"/>
  <c r="AV14" i="25" s="1"/>
  <c r="AT14" i="25"/>
  <c r="AU14" i="25"/>
  <c r="AW14" i="25"/>
  <c r="AX14" i="25"/>
  <c r="AY14" i="25"/>
  <c r="AZ14" i="25"/>
  <c r="BA14" i="25"/>
  <c r="BB14" i="25"/>
  <c r="BC14" i="25"/>
  <c r="BD14" i="25"/>
  <c r="BE14" i="25"/>
  <c r="BF14" i="25"/>
  <c r="BJ14" i="25"/>
  <c r="BK14" i="25"/>
  <c r="BL14" i="25"/>
  <c r="BM14" i="25"/>
  <c r="BN14" i="25"/>
  <c r="BO14" i="25"/>
  <c r="BP14" i="25"/>
  <c r="BQ14" i="25"/>
  <c r="BR14" i="25"/>
  <c r="D15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AF15" i="25"/>
  <c r="AG15" i="25"/>
  <c r="AH15" i="25"/>
  <c r="AI15" i="25"/>
  <c r="AJ15" i="25"/>
  <c r="AK15" i="25"/>
  <c r="AL15" i="25"/>
  <c r="AM15" i="25"/>
  <c r="AN15" i="25"/>
  <c r="AR15" i="25"/>
  <c r="AS15" i="25"/>
  <c r="AV15" i="25" s="1"/>
  <c r="AT15" i="25"/>
  <c r="AU15" i="25"/>
  <c r="AW15" i="25"/>
  <c r="AX15" i="25"/>
  <c r="AY15" i="25"/>
  <c r="AZ15" i="25"/>
  <c r="BA15" i="25"/>
  <c r="BB15" i="25"/>
  <c r="BC15" i="25"/>
  <c r="BD15" i="25"/>
  <c r="BE15" i="25"/>
  <c r="BF15" i="25"/>
  <c r="BJ15" i="25"/>
  <c r="BK15" i="25"/>
  <c r="BL15" i="25"/>
  <c r="BM15" i="25"/>
  <c r="BN15" i="25"/>
  <c r="BO15" i="25"/>
  <c r="BP15" i="25"/>
  <c r="BQ15" i="25"/>
  <c r="BR15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AF16" i="25"/>
  <c r="AG16" i="25"/>
  <c r="AH16" i="25"/>
  <c r="AI16" i="25"/>
  <c r="AJ16" i="25"/>
  <c r="AK16" i="25"/>
  <c r="AL16" i="25"/>
  <c r="AM16" i="25"/>
  <c r="AN16" i="25"/>
  <c r="AR16" i="25"/>
  <c r="AS16" i="25"/>
  <c r="AV16" i="25" s="1"/>
  <c r="AT16" i="25"/>
  <c r="AU16" i="25"/>
  <c r="AW16" i="25"/>
  <c r="AX16" i="25"/>
  <c r="AY16" i="25"/>
  <c r="AZ16" i="25"/>
  <c r="BA16" i="25"/>
  <c r="BB16" i="25"/>
  <c r="BC16" i="25"/>
  <c r="BD16" i="25"/>
  <c r="BE16" i="25"/>
  <c r="BF16" i="25"/>
  <c r="BJ16" i="25"/>
  <c r="BK16" i="25"/>
  <c r="BL16" i="25"/>
  <c r="BM16" i="25"/>
  <c r="BN16" i="25"/>
  <c r="BO16" i="25"/>
  <c r="BP16" i="25"/>
  <c r="BQ16" i="25"/>
  <c r="BR16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AF17" i="25"/>
  <c r="AG17" i="25"/>
  <c r="AH17" i="25"/>
  <c r="AI17" i="25"/>
  <c r="AJ17" i="25"/>
  <c r="AK17" i="25"/>
  <c r="AL17" i="25"/>
  <c r="AM17" i="25"/>
  <c r="AN17" i="25"/>
  <c r="AR17" i="25"/>
  <c r="AS17" i="25"/>
  <c r="AV17" i="25" s="1"/>
  <c r="AT17" i="25"/>
  <c r="AU17" i="25"/>
  <c r="AW17" i="25"/>
  <c r="AX17" i="25"/>
  <c r="AY17" i="25"/>
  <c r="AZ17" i="25"/>
  <c r="BA17" i="25"/>
  <c r="BB17" i="25"/>
  <c r="BC17" i="25"/>
  <c r="BD17" i="25"/>
  <c r="BE17" i="25"/>
  <c r="BF17" i="25"/>
  <c r="BJ17" i="25"/>
  <c r="BK17" i="25"/>
  <c r="BL17" i="25"/>
  <c r="BM17" i="25"/>
  <c r="BN17" i="25"/>
  <c r="BO17" i="25"/>
  <c r="BP17" i="25"/>
  <c r="BQ17" i="25"/>
  <c r="BR17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AF18" i="25"/>
  <c r="AG18" i="25"/>
  <c r="AH18" i="25"/>
  <c r="AI18" i="25"/>
  <c r="AJ18" i="25"/>
  <c r="AK18" i="25"/>
  <c r="AL18" i="25"/>
  <c r="AM18" i="25"/>
  <c r="AN18" i="25"/>
  <c r="AR18" i="25"/>
  <c r="AS18" i="25"/>
  <c r="AV18" i="25" s="1"/>
  <c r="AT18" i="25"/>
  <c r="AU18" i="25"/>
  <c r="AW18" i="25"/>
  <c r="AX18" i="25"/>
  <c r="AY18" i="25"/>
  <c r="AZ18" i="25"/>
  <c r="BA18" i="25"/>
  <c r="BB18" i="25"/>
  <c r="BC18" i="25"/>
  <c r="BD18" i="25"/>
  <c r="BE18" i="25"/>
  <c r="BF18" i="25"/>
  <c r="BJ18" i="25"/>
  <c r="BK18" i="25"/>
  <c r="BL18" i="25"/>
  <c r="BM18" i="25"/>
  <c r="BN18" i="25"/>
  <c r="BO18" i="25"/>
  <c r="BP18" i="25"/>
  <c r="BQ18" i="25"/>
  <c r="BR18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AF19" i="25"/>
  <c r="AG19" i="25"/>
  <c r="AH19" i="25"/>
  <c r="AI19" i="25"/>
  <c r="AJ19" i="25"/>
  <c r="AK19" i="25"/>
  <c r="AL19" i="25"/>
  <c r="AM19" i="25"/>
  <c r="AN19" i="25"/>
  <c r="AR19" i="25"/>
  <c r="AS19" i="25"/>
  <c r="AV19" i="25" s="1"/>
  <c r="AT19" i="25"/>
  <c r="AU19" i="25"/>
  <c r="AW19" i="25"/>
  <c r="AX19" i="25"/>
  <c r="AY19" i="25"/>
  <c r="AZ19" i="25"/>
  <c r="BA19" i="25"/>
  <c r="BB19" i="25"/>
  <c r="BC19" i="25"/>
  <c r="BD19" i="25"/>
  <c r="BE19" i="25"/>
  <c r="BF19" i="25"/>
  <c r="BJ19" i="25"/>
  <c r="BK19" i="25"/>
  <c r="BL19" i="25"/>
  <c r="BM19" i="25"/>
  <c r="BN19" i="25"/>
  <c r="BO19" i="25"/>
  <c r="BP19" i="25"/>
  <c r="BQ19" i="25"/>
  <c r="BR19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AF20" i="25"/>
  <c r="AG20" i="25"/>
  <c r="AH20" i="25"/>
  <c r="AI20" i="25"/>
  <c r="AJ20" i="25"/>
  <c r="AK20" i="25"/>
  <c r="AL20" i="25"/>
  <c r="AM20" i="25"/>
  <c r="AN20" i="25"/>
  <c r="AR20" i="25"/>
  <c r="AS20" i="25"/>
  <c r="AV20" i="25" s="1"/>
  <c r="AT20" i="25"/>
  <c r="AU20" i="25"/>
  <c r="AW20" i="25"/>
  <c r="AX20" i="25"/>
  <c r="AY20" i="25"/>
  <c r="AZ20" i="25"/>
  <c r="BA20" i="25"/>
  <c r="BB20" i="25"/>
  <c r="BC20" i="25"/>
  <c r="BD20" i="25"/>
  <c r="BE20" i="25"/>
  <c r="BF20" i="25"/>
  <c r="BJ20" i="25"/>
  <c r="BK20" i="25"/>
  <c r="BL20" i="25"/>
  <c r="BM20" i="25"/>
  <c r="BN20" i="25"/>
  <c r="BO20" i="25"/>
  <c r="BP20" i="25"/>
  <c r="BQ20" i="25"/>
  <c r="BR20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AF21" i="25"/>
  <c r="AG21" i="25"/>
  <c r="AH21" i="25"/>
  <c r="AI21" i="25"/>
  <c r="AJ21" i="25"/>
  <c r="AK21" i="25"/>
  <c r="AL21" i="25"/>
  <c r="AM21" i="25"/>
  <c r="AN21" i="25"/>
  <c r="AR21" i="25"/>
  <c r="AS21" i="25"/>
  <c r="AT21" i="25"/>
  <c r="AU21" i="25"/>
  <c r="AW21" i="25"/>
  <c r="AX21" i="25"/>
  <c r="AY21" i="25"/>
  <c r="AZ21" i="25"/>
  <c r="BA21" i="25"/>
  <c r="BB21" i="25"/>
  <c r="BC21" i="25"/>
  <c r="BD21" i="25"/>
  <c r="BE21" i="25"/>
  <c r="BF21" i="25"/>
  <c r="BJ21" i="25"/>
  <c r="BK21" i="25"/>
  <c r="BL21" i="25"/>
  <c r="BM21" i="25"/>
  <c r="BN21" i="25"/>
  <c r="BO21" i="25"/>
  <c r="BP21" i="25"/>
  <c r="BQ21" i="25"/>
  <c r="BR21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AF22" i="25"/>
  <c r="AG22" i="25"/>
  <c r="AH22" i="25"/>
  <c r="AI22" i="25"/>
  <c r="AJ22" i="25"/>
  <c r="AK22" i="25"/>
  <c r="AL22" i="25"/>
  <c r="AM22" i="25"/>
  <c r="AN22" i="25"/>
  <c r="AR22" i="25"/>
  <c r="AS22" i="25"/>
  <c r="AT22" i="25"/>
  <c r="AU22" i="25"/>
  <c r="AW22" i="25"/>
  <c r="AX22" i="25"/>
  <c r="AY22" i="25"/>
  <c r="AZ22" i="25"/>
  <c r="BA22" i="25"/>
  <c r="BB22" i="25"/>
  <c r="BC22" i="25"/>
  <c r="BD22" i="25"/>
  <c r="BE22" i="25"/>
  <c r="BF22" i="25"/>
  <c r="BJ22" i="25"/>
  <c r="BK22" i="25"/>
  <c r="BL22" i="25"/>
  <c r="BM22" i="25"/>
  <c r="BN22" i="25"/>
  <c r="BO22" i="25"/>
  <c r="BP22" i="25"/>
  <c r="BQ22" i="25"/>
  <c r="BR22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Q23" i="25"/>
  <c r="R23" i="25"/>
  <c r="S23" i="25"/>
  <c r="T23" i="25"/>
  <c r="U23" i="25"/>
  <c r="V23" i="25"/>
  <c r="W23" i="25"/>
  <c r="X23" i="25"/>
  <c r="Y23" i="25"/>
  <c r="AF23" i="25"/>
  <c r="AG23" i="25"/>
  <c r="AH23" i="25"/>
  <c r="AI23" i="25"/>
  <c r="AJ23" i="25"/>
  <c r="AK23" i="25"/>
  <c r="AL23" i="25"/>
  <c r="AM23" i="25"/>
  <c r="AN23" i="25"/>
  <c r="AR23" i="25"/>
  <c r="AS23" i="25"/>
  <c r="AT23" i="25"/>
  <c r="AU23" i="25"/>
  <c r="AW23" i="25"/>
  <c r="AX23" i="25"/>
  <c r="AY23" i="25"/>
  <c r="AZ23" i="25"/>
  <c r="BA23" i="25"/>
  <c r="BB23" i="25"/>
  <c r="BC23" i="25"/>
  <c r="BD23" i="25"/>
  <c r="BE23" i="25"/>
  <c r="BF23" i="25"/>
  <c r="BJ23" i="25"/>
  <c r="BK23" i="25"/>
  <c r="BL23" i="25"/>
  <c r="BM23" i="25"/>
  <c r="BN23" i="25"/>
  <c r="BO23" i="25"/>
  <c r="BP23" i="25"/>
  <c r="BQ23" i="25"/>
  <c r="BR23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Q24" i="25"/>
  <c r="R24" i="25"/>
  <c r="S24" i="25"/>
  <c r="T24" i="25"/>
  <c r="U24" i="25"/>
  <c r="V24" i="25"/>
  <c r="W24" i="25"/>
  <c r="X24" i="25"/>
  <c r="Y24" i="25"/>
  <c r="AF24" i="25"/>
  <c r="AG24" i="25"/>
  <c r="AH24" i="25"/>
  <c r="AI24" i="25"/>
  <c r="AJ24" i="25"/>
  <c r="AK24" i="25"/>
  <c r="AL24" i="25"/>
  <c r="AM24" i="25"/>
  <c r="AN24" i="25"/>
  <c r="AR24" i="25"/>
  <c r="AS24" i="25"/>
  <c r="AT24" i="25"/>
  <c r="AU24" i="25"/>
  <c r="AW24" i="25"/>
  <c r="AX24" i="25"/>
  <c r="AY24" i="25"/>
  <c r="AZ24" i="25"/>
  <c r="BA24" i="25"/>
  <c r="BB24" i="25"/>
  <c r="BC24" i="25"/>
  <c r="BD24" i="25"/>
  <c r="BE24" i="25"/>
  <c r="BF24" i="25"/>
  <c r="BJ24" i="25"/>
  <c r="BK24" i="25"/>
  <c r="BL24" i="25"/>
  <c r="BM24" i="25"/>
  <c r="BN24" i="25"/>
  <c r="BO24" i="25"/>
  <c r="BP24" i="25"/>
  <c r="BQ24" i="25"/>
  <c r="BR24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AF25" i="25"/>
  <c r="AG25" i="25"/>
  <c r="AH25" i="25"/>
  <c r="AI25" i="25"/>
  <c r="AJ25" i="25"/>
  <c r="AK25" i="25"/>
  <c r="AL25" i="25"/>
  <c r="AM25" i="25"/>
  <c r="AN25" i="25"/>
  <c r="AR25" i="25"/>
  <c r="AS25" i="25"/>
  <c r="AT25" i="25"/>
  <c r="AU25" i="25"/>
  <c r="AW25" i="25"/>
  <c r="AX25" i="25"/>
  <c r="AY25" i="25"/>
  <c r="AZ25" i="25"/>
  <c r="BA25" i="25"/>
  <c r="BB25" i="25"/>
  <c r="BC25" i="25"/>
  <c r="BD25" i="25"/>
  <c r="BE25" i="25"/>
  <c r="BF25" i="25"/>
  <c r="BJ25" i="25"/>
  <c r="BK25" i="25"/>
  <c r="BL25" i="25"/>
  <c r="BM25" i="25"/>
  <c r="BN25" i="25"/>
  <c r="BO25" i="25"/>
  <c r="BP25" i="25"/>
  <c r="BQ25" i="25"/>
  <c r="BR25" i="25"/>
  <c r="D26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AF26" i="25"/>
  <c r="AG26" i="25"/>
  <c r="AH26" i="25"/>
  <c r="AI26" i="25"/>
  <c r="AJ26" i="25"/>
  <c r="AK26" i="25"/>
  <c r="AL26" i="25"/>
  <c r="AM26" i="25"/>
  <c r="AN26" i="25"/>
  <c r="AR26" i="25"/>
  <c r="AS26" i="25"/>
  <c r="AT26" i="25"/>
  <c r="AU26" i="25"/>
  <c r="AW26" i="25"/>
  <c r="AX26" i="25"/>
  <c r="AY26" i="25"/>
  <c r="AZ26" i="25"/>
  <c r="BA26" i="25"/>
  <c r="BB26" i="25"/>
  <c r="BC26" i="25"/>
  <c r="BD26" i="25"/>
  <c r="BE26" i="25"/>
  <c r="BF26" i="25"/>
  <c r="BJ26" i="25"/>
  <c r="BK26" i="25"/>
  <c r="BL26" i="25"/>
  <c r="BM26" i="25"/>
  <c r="BN26" i="25"/>
  <c r="BO26" i="25"/>
  <c r="BP26" i="25"/>
  <c r="BQ26" i="25"/>
  <c r="BR26" i="25"/>
  <c r="D27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W27" i="25"/>
  <c r="X27" i="25"/>
  <c r="Y27" i="25"/>
  <c r="AF27" i="25"/>
  <c r="AG27" i="25"/>
  <c r="AH27" i="25"/>
  <c r="AI27" i="25"/>
  <c r="AJ27" i="25"/>
  <c r="AK27" i="25"/>
  <c r="AL27" i="25"/>
  <c r="AM27" i="25"/>
  <c r="AN27" i="25"/>
  <c r="AR27" i="25"/>
  <c r="AS27" i="25"/>
  <c r="AU27" i="25"/>
  <c r="AW27" i="25"/>
  <c r="AX27" i="25"/>
  <c r="AY27" i="25"/>
  <c r="AZ27" i="25"/>
  <c r="BA27" i="25"/>
  <c r="BB27" i="25"/>
  <c r="BC27" i="25"/>
  <c r="BD27" i="25"/>
  <c r="BE27" i="25"/>
  <c r="BF27" i="25"/>
  <c r="BJ27" i="25"/>
  <c r="BK27" i="25"/>
  <c r="BL27" i="25"/>
  <c r="BM27" i="25"/>
  <c r="BN27" i="25"/>
  <c r="BO27" i="25"/>
  <c r="BP27" i="25"/>
  <c r="BQ27" i="25"/>
  <c r="BR27" i="25"/>
  <c r="D28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S28" i="25"/>
  <c r="T28" i="25"/>
  <c r="U28" i="25"/>
  <c r="V28" i="25"/>
  <c r="W28" i="25"/>
  <c r="X28" i="25"/>
  <c r="Y28" i="25"/>
  <c r="AF28" i="25"/>
  <c r="AG28" i="25"/>
  <c r="AH28" i="25"/>
  <c r="AI28" i="25"/>
  <c r="AJ28" i="25"/>
  <c r="AK28" i="25"/>
  <c r="AL28" i="25"/>
  <c r="AM28" i="25"/>
  <c r="AN28" i="25"/>
  <c r="AR28" i="25"/>
  <c r="AS28" i="25"/>
  <c r="AW28" i="25"/>
  <c r="AX28" i="25"/>
  <c r="AY28" i="25"/>
  <c r="AZ28" i="25"/>
  <c r="BA28" i="25"/>
  <c r="BB28" i="25"/>
  <c r="BC28" i="25"/>
  <c r="BD28" i="25"/>
  <c r="BE28" i="25"/>
  <c r="BF28" i="25"/>
  <c r="BJ28" i="25"/>
  <c r="BK28" i="25"/>
  <c r="BL28" i="25"/>
  <c r="BM28" i="25"/>
  <c r="BN28" i="25"/>
  <c r="BO28" i="25"/>
  <c r="BP28" i="25"/>
  <c r="BQ28" i="25"/>
  <c r="BR28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AF29" i="25"/>
  <c r="AG29" i="25"/>
  <c r="AH29" i="25"/>
  <c r="AI29" i="25"/>
  <c r="AJ29" i="25"/>
  <c r="AK29" i="25"/>
  <c r="AL29" i="25"/>
  <c r="AM29" i="25"/>
  <c r="AN29" i="25"/>
  <c r="AR29" i="25"/>
  <c r="AS29" i="25"/>
  <c r="AT29" i="25"/>
  <c r="AU29" i="25"/>
  <c r="AW29" i="25"/>
  <c r="AX29" i="25"/>
  <c r="AY29" i="25"/>
  <c r="AZ29" i="25"/>
  <c r="BA29" i="25"/>
  <c r="BB29" i="25"/>
  <c r="BC29" i="25"/>
  <c r="BD29" i="25"/>
  <c r="BE29" i="25"/>
  <c r="BF29" i="25"/>
  <c r="BJ29" i="25"/>
  <c r="BK29" i="25"/>
  <c r="BL29" i="25"/>
  <c r="BM29" i="25"/>
  <c r="BN29" i="25"/>
  <c r="BO29" i="25"/>
  <c r="BP29" i="25"/>
  <c r="BQ29" i="25"/>
  <c r="BR29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AF30" i="25"/>
  <c r="AG30" i="25"/>
  <c r="AH30" i="25"/>
  <c r="AI30" i="25"/>
  <c r="AJ30" i="25"/>
  <c r="AK30" i="25"/>
  <c r="AL30" i="25"/>
  <c r="AM30" i="25"/>
  <c r="AN30" i="25"/>
  <c r="AR30" i="25"/>
  <c r="AS30" i="25"/>
  <c r="AT30" i="25"/>
  <c r="AU30" i="25"/>
  <c r="AW30" i="25"/>
  <c r="AX30" i="25"/>
  <c r="AY30" i="25"/>
  <c r="AZ30" i="25"/>
  <c r="BA30" i="25"/>
  <c r="BB30" i="25"/>
  <c r="BC30" i="25"/>
  <c r="BD30" i="25"/>
  <c r="BE30" i="25"/>
  <c r="BF30" i="25"/>
  <c r="BJ30" i="25"/>
  <c r="BK30" i="25"/>
  <c r="BL30" i="25"/>
  <c r="BM30" i="25"/>
  <c r="BN30" i="25"/>
  <c r="BO30" i="25"/>
  <c r="BP30" i="25"/>
  <c r="BQ30" i="25"/>
  <c r="BR30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S31" i="25"/>
  <c r="T31" i="25"/>
  <c r="U31" i="25"/>
  <c r="V31" i="25"/>
  <c r="W31" i="25"/>
  <c r="X31" i="25"/>
  <c r="Y31" i="25"/>
  <c r="AF31" i="25"/>
  <c r="AG31" i="25"/>
  <c r="AH31" i="25"/>
  <c r="AI31" i="25"/>
  <c r="AJ31" i="25"/>
  <c r="AK31" i="25"/>
  <c r="AL31" i="25"/>
  <c r="AM31" i="25"/>
  <c r="AN31" i="25"/>
  <c r="AR31" i="25"/>
  <c r="AS31" i="25"/>
  <c r="AT31" i="25"/>
  <c r="AU31" i="25"/>
  <c r="AW31" i="25"/>
  <c r="AX31" i="25"/>
  <c r="AY31" i="25"/>
  <c r="AZ31" i="25"/>
  <c r="BA31" i="25"/>
  <c r="BB31" i="25"/>
  <c r="BC31" i="25"/>
  <c r="BD31" i="25"/>
  <c r="BE31" i="25"/>
  <c r="BF31" i="25"/>
  <c r="BJ31" i="25"/>
  <c r="BK31" i="25"/>
  <c r="BL31" i="25"/>
  <c r="BM31" i="25"/>
  <c r="BN31" i="25"/>
  <c r="BO31" i="25"/>
  <c r="BP31" i="25"/>
  <c r="BQ31" i="25"/>
  <c r="BR31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S32" i="25"/>
  <c r="T32" i="25"/>
  <c r="U32" i="25"/>
  <c r="V32" i="25"/>
  <c r="W32" i="25"/>
  <c r="X32" i="25"/>
  <c r="Y32" i="25"/>
  <c r="AF32" i="25"/>
  <c r="AG32" i="25"/>
  <c r="AH32" i="25"/>
  <c r="AI32" i="25"/>
  <c r="AJ32" i="25"/>
  <c r="AK32" i="25"/>
  <c r="AL32" i="25"/>
  <c r="AM32" i="25"/>
  <c r="AN32" i="25"/>
  <c r="AR32" i="25"/>
  <c r="AS32" i="25"/>
  <c r="AV32" i="25" s="1"/>
  <c r="AT32" i="25"/>
  <c r="AU32" i="25"/>
  <c r="AW32" i="25"/>
  <c r="AX32" i="25"/>
  <c r="AY32" i="25"/>
  <c r="AZ32" i="25"/>
  <c r="BA32" i="25"/>
  <c r="BB32" i="25"/>
  <c r="BC32" i="25"/>
  <c r="BD32" i="25"/>
  <c r="BE32" i="25"/>
  <c r="BF32" i="25"/>
  <c r="BJ32" i="25"/>
  <c r="BK32" i="25"/>
  <c r="BL32" i="25"/>
  <c r="BM32" i="25"/>
  <c r="BN32" i="25"/>
  <c r="BO32" i="25"/>
  <c r="BP32" i="25"/>
  <c r="BQ32" i="25"/>
  <c r="BR32" i="25"/>
  <c r="D33" i="25"/>
  <c r="E33" i="25"/>
  <c r="F33" i="25"/>
  <c r="G33" i="25"/>
  <c r="H33" i="25"/>
  <c r="I33" i="25"/>
  <c r="J33" i="25"/>
  <c r="K33" i="25"/>
  <c r="L33" i="25"/>
  <c r="M33" i="25"/>
  <c r="N33" i="25"/>
  <c r="O33" i="25"/>
  <c r="P33" i="25"/>
  <c r="Q33" i="25"/>
  <c r="R33" i="25"/>
  <c r="S33" i="25"/>
  <c r="T33" i="25"/>
  <c r="U33" i="25"/>
  <c r="V33" i="25"/>
  <c r="W33" i="25"/>
  <c r="X33" i="25"/>
  <c r="Y33" i="25"/>
  <c r="AF33" i="25"/>
  <c r="AG33" i="25"/>
  <c r="AH33" i="25"/>
  <c r="AI33" i="25"/>
  <c r="AJ33" i="25"/>
  <c r="AK33" i="25"/>
  <c r="AL33" i="25"/>
  <c r="AM33" i="25"/>
  <c r="AN33" i="25"/>
  <c r="AR33" i="25"/>
  <c r="AS33" i="25"/>
  <c r="AV33" i="25" s="1"/>
  <c r="AT33" i="25"/>
  <c r="AU33" i="25"/>
  <c r="AW33" i="25"/>
  <c r="AX33" i="25"/>
  <c r="AY33" i="25"/>
  <c r="AZ33" i="25"/>
  <c r="BA33" i="25"/>
  <c r="BB33" i="25"/>
  <c r="BC33" i="25"/>
  <c r="BD33" i="25"/>
  <c r="BE33" i="25"/>
  <c r="BF33" i="25"/>
  <c r="BJ33" i="25"/>
  <c r="BK33" i="25"/>
  <c r="BL33" i="25"/>
  <c r="BM33" i="25"/>
  <c r="BN33" i="25"/>
  <c r="BO33" i="25"/>
  <c r="BP33" i="25"/>
  <c r="BQ33" i="25"/>
  <c r="BR33" i="25"/>
  <c r="D34" i="25"/>
  <c r="E34" i="25"/>
  <c r="F34" i="25"/>
  <c r="G34" i="25"/>
  <c r="H34" i="25"/>
  <c r="I34" i="25"/>
  <c r="J34" i="25"/>
  <c r="K34" i="25"/>
  <c r="L34" i="25"/>
  <c r="M34" i="25"/>
  <c r="N34" i="25"/>
  <c r="O34" i="25"/>
  <c r="P34" i="25"/>
  <c r="Q34" i="25"/>
  <c r="R34" i="25"/>
  <c r="S34" i="25"/>
  <c r="T34" i="25"/>
  <c r="U34" i="25"/>
  <c r="V34" i="25"/>
  <c r="W34" i="25"/>
  <c r="X34" i="25"/>
  <c r="Y34" i="25"/>
  <c r="AF34" i="25"/>
  <c r="AG34" i="25"/>
  <c r="AH34" i="25"/>
  <c r="AI34" i="25"/>
  <c r="AJ34" i="25"/>
  <c r="AK34" i="25"/>
  <c r="AL34" i="25"/>
  <c r="AM34" i="25"/>
  <c r="AN34" i="25"/>
  <c r="AR34" i="25"/>
  <c r="AS34" i="25"/>
  <c r="AT34" i="25"/>
  <c r="AU34" i="25"/>
  <c r="AW34" i="25"/>
  <c r="AX34" i="25"/>
  <c r="AY34" i="25"/>
  <c r="AZ34" i="25"/>
  <c r="BA34" i="25"/>
  <c r="BB34" i="25"/>
  <c r="BC34" i="25"/>
  <c r="BD34" i="25"/>
  <c r="BE34" i="25"/>
  <c r="BF34" i="25"/>
  <c r="BJ34" i="25"/>
  <c r="BK34" i="25"/>
  <c r="BL34" i="25"/>
  <c r="BM34" i="25"/>
  <c r="BN34" i="25"/>
  <c r="BO34" i="25"/>
  <c r="BP34" i="25"/>
  <c r="BQ34" i="25"/>
  <c r="BR34" i="25"/>
  <c r="D35" i="25"/>
  <c r="E35" i="25"/>
  <c r="F35" i="25"/>
  <c r="G35" i="25"/>
  <c r="H35" i="25"/>
  <c r="I35" i="25"/>
  <c r="J35" i="25"/>
  <c r="K35" i="25"/>
  <c r="L35" i="25"/>
  <c r="M35" i="25"/>
  <c r="N35" i="25"/>
  <c r="O35" i="25"/>
  <c r="P35" i="25"/>
  <c r="Q35" i="25"/>
  <c r="R35" i="25"/>
  <c r="S35" i="25"/>
  <c r="T35" i="25"/>
  <c r="U35" i="25"/>
  <c r="V35" i="25"/>
  <c r="W35" i="25"/>
  <c r="X35" i="25"/>
  <c r="Y35" i="25"/>
  <c r="AF35" i="25"/>
  <c r="AG35" i="25"/>
  <c r="AH35" i="25"/>
  <c r="AI35" i="25"/>
  <c r="AJ35" i="25"/>
  <c r="AK35" i="25"/>
  <c r="AL35" i="25"/>
  <c r="AM35" i="25"/>
  <c r="AN35" i="25"/>
  <c r="AR35" i="25"/>
  <c r="AS35" i="25"/>
  <c r="AT35" i="25"/>
  <c r="AU35" i="25"/>
  <c r="AW35" i="25"/>
  <c r="AX35" i="25"/>
  <c r="AY35" i="25"/>
  <c r="AZ35" i="25"/>
  <c r="BA35" i="25"/>
  <c r="BB35" i="25"/>
  <c r="BC35" i="25"/>
  <c r="BD35" i="25"/>
  <c r="BE35" i="25"/>
  <c r="BF35" i="25"/>
  <c r="BJ35" i="25"/>
  <c r="BK35" i="25"/>
  <c r="BL35" i="25"/>
  <c r="BM35" i="25"/>
  <c r="BN35" i="25"/>
  <c r="BO35" i="25"/>
  <c r="BP35" i="25"/>
  <c r="BQ35" i="25"/>
  <c r="BR35" i="25"/>
  <c r="D36" i="25"/>
  <c r="E36" i="25"/>
  <c r="F36" i="25"/>
  <c r="G36" i="25"/>
  <c r="H36" i="25"/>
  <c r="I36" i="25"/>
  <c r="J36" i="25"/>
  <c r="K36" i="25"/>
  <c r="L36" i="25"/>
  <c r="M36" i="25"/>
  <c r="N36" i="25"/>
  <c r="O36" i="25"/>
  <c r="P36" i="25"/>
  <c r="Q36" i="25"/>
  <c r="R36" i="25"/>
  <c r="S36" i="25"/>
  <c r="T36" i="25"/>
  <c r="U36" i="25"/>
  <c r="V36" i="25"/>
  <c r="W36" i="25"/>
  <c r="X36" i="25"/>
  <c r="Y36" i="25"/>
  <c r="AF36" i="25"/>
  <c r="AG36" i="25"/>
  <c r="AH36" i="25"/>
  <c r="AI36" i="25"/>
  <c r="AJ36" i="25"/>
  <c r="AK36" i="25"/>
  <c r="AL36" i="25"/>
  <c r="AM36" i="25"/>
  <c r="AN36" i="25"/>
  <c r="AR36" i="25"/>
  <c r="AS36" i="25"/>
  <c r="AT36" i="25"/>
  <c r="AU36" i="25"/>
  <c r="AW36" i="25"/>
  <c r="AX36" i="25"/>
  <c r="AY36" i="25"/>
  <c r="AZ36" i="25"/>
  <c r="BA36" i="25"/>
  <c r="BB36" i="25"/>
  <c r="BC36" i="25"/>
  <c r="BD36" i="25"/>
  <c r="BE36" i="25"/>
  <c r="BF36" i="25"/>
  <c r="BJ36" i="25"/>
  <c r="BK36" i="25"/>
  <c r="BL36" i="25"/>
  <c r="BM36" i="25"/>
  <c r="BN36" i="25"/>
  <c r="BO36" i="25"/>
  <c r="BP36" i="25"/>
  <c r="BQ36" i="25"/>
  <c r="BR36" i="25"/>
  <c r="D37" i="25"/>
  <c r="E37" i="25"/>
  <c r="F37" i="25"/>
  <c r="G37" i="25"/>
  <c r="H37" i="25"/>
  <c r="I37" i="25"/>
  <c r="J37" i="25"/>
  <c r="K37" i="25"/>
  <c r="L37" i="25"/>
  <c r="M37" i="25"/>
  <c r="N37" i="25"/>
  <c r="O37" i="25"/>
  <c r="P37" i="25"/>
  <c r="Q37" i="25"/>
  <c r="R37" i="25"/>
  <c r="S37" i="25"/>
  <c r="T37" i="25"/>
  <c r="U37" i="25"/>
  <c r="V37" i="25"/>
  <c r="W37" i="25"/>
  <c r="X37" i="25"/>
  <c r="Y37" i="25"/>
  <c r="AF37" i="25"/>
  <c r="AG37" i="25"/>
  <c r="AH37" i="25"/>
  <c r="AI37" i="25"/>
  <c r="AJ37" i="25"/>
  <c r="AK37" i="25"/>
  <c r="AL37" i="25"/>
  <c r="AM37" i="25"/>
  <c r="AN37" i="25"/>
  <c r="AR37" i="25"/>
  <c r="AS37" i="25"/>
  <c r="AV37" i="25" s="1"/>
  <c r="AT37" i="25"/>
  <c r="AU37" i="25"/>
  <c r="AW37" i="25"/>
  <c r="AX37" i="25"/>
  <c r="AY37" i="25"/>
  <c r="AZ37" i="25"/>
  <c r="BA37" i="25"/>
  <c r="BB37" i="25"/>
  <c r="BC37" i="25"/>
  <c r="BD37" i="25"/>
  <c r="BE37" i="25"/>
  <c r="BF37" i="25"/>
  <c r="BJ37" i="25"/>
  <c r="BK37" i="25"/>
  <c r="BL37" i="25"/>
  <c r="BM37" i="25"/>
  <c r="BN37" i="25"/>
  <c r="BO37" i="25"/>
  <c r="BP37" i="25"/>
  <c r="BQ37" i="25"/>
  <c r="BR37" i="25"/>
  <c r="D38" i="25"/>
  <c r="E38" i="25"/>
  <c r="F38" i="25"/>
  <c r="G38" i="25"/>
  <c r="H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AF38" i="25"/>
  <c r="AG38" i="25"/>
  <c r="AH38" i="25"/>
  <c r="AI38" i="25"/>
  <c r="AJ38" i="25"/>
  <c r="AK38" i="25"/>
  <c r="AL38" i="25"/>
  <c r="AM38" i="25"/>
  <c r="AN38" i="25"/>
  <c r="AR38" i="25"/>
  <c r="AS38" i="25"/>
  <c r="AV38" i="25" s="1"/>
  <c r="AT38" i="25"/>
  <c r="AU38" i="25"/>
  <c r="AW38" i="25"/>
  <c r="AX38" i="25"/>
  <c r="AY38" i="25"/>
  <c r="AZ38" i="25"/>
  <c r="BA38" i="25"/>
  <c r="BB38" i="25"/>
  <c r="BC38" i="25"/>
  <c r="BD38" i="25"/>
  <c r="BE38" i="25"/>
  <c r="BF38" i="25"/>
  <c r="BJ38" i="25"/>
  <c r="BK38" i="25"/>
  <c r="BL38" i="25"/>
  <c r="BM38" i="25"/>
  <c r="BN38" i="25"/>
  <c r="BO38" i="25"/>
  <c r="BP38" i="25"/>
  <c r="BQ38" i="25"/>
  <c r="BR38" i="25"/>
  <c r="D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AF39" i="25"/>
  <c r="AG39" i="25"/>
  <c r="AH39" i="25"/>
  <c r="AI39" i="25"/>
  <c r="AJ39" i="25"/>
  <c r="AK39" i="25"/>
  <c r="AL39" i="25"/>
  <c r="AM39" i="25"/>
  <c r="AN39" i="25"/>
  <c r="AR39" i="25"/>
  <c r="AS39" i="25"/>
  <c r="AV39" i="25" s="1"/>
  <c r="AT39" i="25"/>
  <c r="AU39" i="25"/>
  <c r="AW39" i="25"/>
  <c r="AX39" i="25"/>
  <c r="AY39" i="25"/>
  <c r="AZ39" i="25"/>
  <c r="BA39" i="25"/>
  <c r="BB39" i="25"/>
  <c r="BC39" i="25"/>
  <c r="BD39" i="25"/>
  <c r="BE39" i="25"/>
  <c r="BF39" i="25"/>
  <c r="BJ39" i="25"/>
  <c r="BK39" i="25"/>
  <c r="BL39" i="25"/>
  <c r="BM39" i="25"/>
  <c r="BN39" i="25"/>
  <c r="BO39" i="25"/>
  <c r="BP39" i="25"/>
  <c r="BQ39" i="25"/>
  <c r="BR39" i="25"/>
  <c r="D40" i="25"/>
  <c r="E40" i="25"/>
  <c r="F40" i="25"/>
  <c r="G40" i="25"/>
  <c r="H40" i="25"/>
  <c r="I40" i="25"/>
  <c r="J40" i="25"/>
  <c r="K40" i="25"/>
  <c r="L40" i="25"/>
  <c r="M40" i="25"/>
  <c r="N40" i="25"/>
  <c r="O40" i="25"/>
  <c r="P40" i="25"/>
  <c r="Q40" i="25"/>
  <c r="R40" i="25"/>
  <c r="S40" i="25"/>
  <c r="T40" i="25"/>
  <c r="U40" i="25"/>
  <c r="V40" i="25"/>
  <c r="W40" i="25"/>
  <c r="X40" i="25"/>
  <c r="Y40" i="25"/>
  <c r="AF40" i="25"/>
  <c r="AG40" i="25"/>
  <c r="AH40" i="25"/>
  <c r="AI40" i="25"/>
  <c r="AJ40" i="25"/>
  <c r="AK40" i="25"/>
  <c r="AL40" i="25"/>
  <c r="AM40" i="25"/>
  <c r="AN40" i="25"/>
  <c r="AR40" i="25"/>
  <c r="AS40" i="25"/>
  <c r="AV40" i="25" s="1"/>
  <c r="AT40" i="25"/>
  <c r="AU40" i="25"/>
  <c r="AW40" i="25"/>
  <c r="AX40" i="25"/>
  <c r="AY40" i="25"/>
  <c r="AZ40" i="25"/>
  <c r="BA40" i="25"/>
  <c r="BB40" i="25"/>
  <c r="BC40" i="25"/>
  <c r="BD40" i="25"/>
  <c r="BE40" i="25"/>
  <c r="BF40" i="25"/>
  <c r="BJ40" i="25"/>
  <c r="BK40" i="25"/>
  <c r="BL40" i="25"/>
  <c r="BM40" i="25"/>
  <c r="BN40" i="25"/>
  <c r="BO40" i="25"/>
  <c r="BP40" i="25"/>
  <c r="BQ40" i="25"/>
  <c r="BR40" i="25"/>
  <c r="D41" i="25"/>
  <c r="E41" i="25"/>
  <c r="F41" i="25"/>
  <c r="G41" i="25"/>
  <c r="H41" i="25"/>
  <c r="I41" i="25"/>
  <c r="J41" i="25"/>
  <c r="K41" i="25"/>
  <c r="L41" i="25"/>
  <c r="M41" i="25"/>
  <c r="N41" i="25"/>
  <c r="O41" i="25"/>
  <c r="P41" i="25"/>
  <c r="Q41" i="25"/>
  <c r="R41" i="25"/>
  <c r="S41" i="25"/>
  <c r="T41" i="25"/>
  <c r="U41" i="25"/>
  <c r="V41" i="25"/>
  <c r="W41" i="25"/>
  <c r="X41" i="25"/>
  <c r="Y41" i="25"/>
  <c r="AF41" i="25"/>
  <c r="AG41" i="25"/>
  <c r="AH41" i="25"/>
  <c r="AI41" i="25"/>
  <c r="AJ41" i="25"/>
  <c r="AK41" i="25"/>
  <c r="AL41" i="25"/>
  <c r="AM41" i="25"/>
  <c r="AN41" i="25"/>
  <c r="AR41" i="25"/>
  <c r="AS41" i="25"/>
  <c r="AV41" i="25" s="1"/>
  <c r="AT41" i="25"/>
  <c r="AU41" i="25"/>
  <c r="AW41" i="25"/>
  <c r="AX41" i="25"/>
  <c r="AY41" i="25"/>
  <c r="AZ41" i="25"/>
  <c r="BA41" i="25"/>
  <c r="BB41" i="25"/>
  <c r="BC41" i="25"/>
  <c r="BD41" i="25"/>
  <c r="BE41" i="25"/>
  <c r="BF41" i="25"/>
  <c r="BJ41" i="25"/>
  <c r="BK41" i="25"/>
  <c r="BL41" i="25"/>
  <c r="BM41" i="25"/>
  <c r="BN41" i="25"/>
  <c r="BO41" i="25"/>
  <c r="BP41" i="25"/>
  <c r="BQ41" i="25"/>
  <c r="BR41" i="25"/>
  <c r="D42" i="25"/>
  <c r="E42" i="25"/>
  <c r="F42" i="25"/>
  <c r="G42" i="25"/>
  <c r="H42" i="25"/>
  <c r="I42" i="25"/>
  <c r="J42" i="25"/>
  <c r="K42" i="25"/>
  <c r="L42" i="25"/>
  <c r="M42" i="25"/>
  <c r="N42" i="25"/>
  <c r="O42" i="25"/>
  <c r="P42" i="25"/>
  <c r="Q42" i="25"/>
  <c r="R42" i="25"/>
  <c r="S42" i="25"/>
  <c r="T42" i="25"/>
  <c r="U42" i="25"/>
  <c r="V42" i="25"/>
  <c r="W42" i="25"/>
  <c r="X42" i="25"/>
  <c r="Y42" i="25"/>
  <c r="AF42" i="25"/>
  <c r="AG42" i="25"/>
  <c r="AH42" i="25"/>
  <c r="AI42" i="25"/>
  <c r="AJ42" i="25"/>
  <c r="AK42" i="25"/>
  <c r="AL42" i="25"/>
  <c r="AM42" i="25"/>
  <c r="AN42" i="25"/>
  <c r="AR42" i="25"/>
  <c r="AS42" i="25"/>
  <c r="AV42" i="25" s="1"/>
  <c r="AT42" i="25"/>
  <c r="AU42" i="25"/>
  <c r="AW42" i="25"/>
  <c r="AX42" i="25"/>
  <c r="AY42" i="25"/>
  <c r="AZ42" i="25"/>
  <c r="BA42" i="25"/>
  <c r="BB42" i="25"/>
  <c r="BC42" i="25"/>
  <c r="BD42" i="25"/>
  <c r="BE42" i="25"/>
  <c r="BF42" i="25"/>
  <c r="BJ42" i="25"/>
  <c r="BK42" i="25"/>
  <c r="BL42" i="25"/>
  <c r="BM42" i="25"/>
  <c r="BN42" i="25"/>
  <c r="BO42" i="25"/>
  <c r="BP42" i="25"/>
  <c r="BQ42" i="25"/>
  <c r="BR42" i="25"/>
  <c r="D43" i="25"/>
  <c r="E43" i="25"/>
  <c r="F43" i="25"/>
  <c r="G43" i="25"/>
  <c r="H43" i="25"/>
  <c r="I43" i="25"/>
  <c r="J43" i="25"/>
  <c r="K43" i="25"/>
  <c r="L43" i="25"/>
  <c r="M43" i="25"/>
  <c r="N43" i="25"/>
  <c r="O43" i="25"/>
  <c r="P43" i="25"/>
  <c r="Q43" i="25"/>
  <c r="R43" i="25"/>
  <c r="S43" i="25"/>
  <c r="T43" i="25"/>
  <c r="U43" i="25"/>
  <c r="V43" i="25"/>
  <c r="W43" i="25"/>
  <c r="X43" i="25"/>
  <c r="Y43" i="25"/>
  <c r="AF43" i="25"/>
  <c r="AG43" i="25"/>
  <c r="AH43" i="25"/>
  <c r="AI43" i="25"/>
  <c r="AJ43" i="25"/>
  <c r="AK43" i="25"/>
  <c r="AL43" i="25"/>
  <c r="AM43" i="25"/>
  <c r="AN43" i="25"/>
  <c r="AR43" i="25"/>
  <c r="AS43" i="25"/>
  <c r="AV43" i="25" s="1"/>
  <c r="AT43" i="25"/>
  <c r="AU43" i="25"/>
  <c r="AW43" i="25"/>
  <c r="AX43" i="25"/>
  <c r="AY43" i="25"/>
  <c r="AZ43" i="25"/>
  <c r="BA43" i="25"/>
  <c r="BB43" i="25"/>
  <c r="BC43" i="25"/>
  <c r="BD43" i="25"/>
  <c r="BE43" i="25"/>
  <c r="BF43" i="25"/>
  <c r="BJ43" i="25"/>
  <c r="BK43" i="25"/>
  <c r="BL43" i="25"/>
  <c r="BM43" i="25"/>
  <c r="BN43" i="25"/>
  <c r="BO43" i="25"/>
  <c r="BP43" i="25"/>
  <c r="BQ43" i="25"/>
  <c r="BR43" i="25"/>
  <c r="D44" i="25"/>
  <c r="E44" i="25"/>
  <c r="F44" i="25"/>
  <c r="G44" i="25"/>
  <c r="H44" i="25"/>
  <c r="I44" i="25"/>
  <c r="J44" i="25"/>
  <c r="K44" i="25"/>
  <c r="L44" i="25"/>
  <c r="M44" i="25"/>
  <c r="N44" i="25"/>
  <c r="O44" i="25"/>
  <c r="P44" i="25"/>
  <c r="Q44" i="25"/>
  <c r="R44" i="25"/>
  <c r="S44" i="25"/>
  <c r="T44" i="25"/>
  <c r="U44" i="25"/>
  <c r="V44" i="25"/>
  <c r="W44" i="25"/>
  <c r="X44" i="25"/>
  <c r="Y44" i="25"/>
  <c r="AF44" i="25"/>
  <c r="AG44" i="25"/>
  <c r="AH44" i="25"/>
  <c r="AI44" i="25"/>
  <c r="AJ44" i="25"/>
  <c r="AK44" i="25"/>
  <c r="AL44" i="25"/>
  <c r="AM44" i="25"/>
  <c r="AN44" i="25"/>
  <c r="AR44" i="25"/>
  <c r="AS44" i="25"/>
  <c r="AV44" i="25" s="1"/>
  <c r="AT44" i="25"/>
  <c r="AU44" i="25"/>
  <c r="AW44" i="25"/>
  <c r="AX44" i="25"/>
  <c r="AY44" i="25"/>
  <c r="AZ44" i="25"/>
  <c r="BA44" i="25"/>
  <c r="BB44" i="25"/>
  <c r="BC44" i="25"/>
  <c r="BD44" i="25"/>
  <c r="BE44" i="25"/>
  <c r="BF44" i="25"/>
  <c r="BJ44" i="25"/>
  <c r="BK44" i="25"/>
  <c r="BL44" i="25"/>
  <c r="BM44" i="25"/>
  <c r="BN44" i="25"/>
  <c r="BO44" i="25"/>
  <c r="BP44" i="25"/>
  <c r="BQ44" i="25"/>
  <c r="BR44" i="25"/>
  <c r="D45" i="25"/>
  <c r="E45" i="25"/>
  <c r="F45" i="25"/>
  <c r="G45" i="25"/>
  <c r="H45" i="25"/>
  <c r="I45" i="25"/>
  <c r="J45" i="25"/>
  <c r="K45" i="25"/>
  <c r="L45" i="25"/>
  <c r="M45" i="25"/>
  <c r="N45" i="25"/>
  <c r="O45" i="25"/>
  <c r="P45" i="25"/>
  <c r="Q45" i="25"/>
  <c r="R45" i="25"/>
  <c r="S45" i="25"/>
  <c r="T45" i="25"/>
  <c r="U45" i="25"/>
  <c r="V45" i="25"/>
  <c r="W45" i="25"/>
  <c r="X45" i="25"/>
  <c r="Y45" i="25"/>
  <c r="AF45" i="25"/>
  <c r="AG45" i="25"/>
  <c r="AH45" i="25"/>
  <c r="AI45" i="25"/>
  <c r="AJ45" i="25"/>
  <c r="AK45" i="25"/>
  <c r="AL45" i="25"/>
  <c r="AM45" i="25"/>
  <c r="AN45" i="25"/>
  <c r="AR45" i="25"/>
  <c r="AS45" i="25"/>
  <c r="AV45" i="25" s="1"/>
  <c r="AT45" i="25"/>
  <c r="AU45" i="25"/>
  <c r="AW45" i="25"/>
  <c r="AX45" i="25"/>
  <c r="AY45" i="25"/>
  <c r="AZ45" i="25"/>
  <c r="BA45" i="25"/>
  <c r="BB45" i="25"/>
  <c r="BC45" i="25"/>
  <c r="BD45" i="25"/>
  <c r="BE45" i="25"/>
  <c r="BF45" i="25"/>
  <c r="BJ45" i="25"/>
  <c r="BK45" i="25"/>
  <c r="BL45" i="25"/>
  <c r="BM45" i="25"/>
  <c r="BN45" i="25"/>
  <c r="BO45" i="25"/>
  <c r="BP45" i="25"/>
  <c r="BQ45" i="25"/>
  <c r="BR45" i="25"/>
  <c r="D46" i="25"/>
  <c r="E46" i="25"/>
  <c r="F46" i="25"/>
  <c r="G46" i="25"/>
  <c r="H46" i="25"/>
  <c r="I46" i="25"/>
  <c r="J46" i="25"/>
  <c r="K46" i="25"/>
  <c r="L46" i="25"/>
  <c r="M46" i="25"/>
  <c r="N46" i="25"/>
  <c r="O46" i="25"/>
  <c r="P46" i="25"/>
  <c r="Q46" i="25"/>
  <c r="R46" i="25"/>
  <c r="S46" i="25"/>
  <c r="T46" i="25"/>
  <c r="U46" i="25"/>
  <c r="V46" i="25"/>
  <c r="W46" i="25"/>
  <c r="X46" i="25"/>
  <c r="Y46" i="25"/>
  <c r="AF46" i="25"/>
  <c r="AG46" i="25"/>
  <c r="AH46" i="25"/>
  <c r="AI46" i="25"/>
  <c r="AJ46" i="25"/>
  <c r="AK46" i="25"/>
  <c r="AL46" i="25"/>
  <c r="AM46" i="25"/>
  <c r="AN46" i="25"/>
  <c r="AR46" i="25"/>
  <c r="AS46" i="25"/>
  <c r="AV46" i="25" s="1"/>
  <c r="AT46" i="25"/>
  <c r="AU46" i="25"/>
  <c r="AW46" i="25"/>
  <c r="AX46" i="25"/>
  <c r="AY46" i="25"/>
  <c r="AZ46" i="25"/>
  <c r="BA46" i="25"/>
  <c r="BB46" i="25"/>
  <c r="BC46" i="25"/>
  <c r="BD46" i="25"/>
  <c r="BE46" i="25"/>
  <c r="BF46" i="25"/>
  <c r="BJ46" i="25"/>
  <c r="BK46" i="25"/>
  <c r="BL46" i="25"/>
  <c r="BM46" i="25"/>
  <c r="BN46" i="25"/>
  <c r="BO46" i="25"/>
  <c r="BP46" i="25"/>
  <c r="BQ46" i="25"/>
  <c r="BR46" i="25"/>
  <c r="D47" i="25"/>
  <c r="E47" i="25"/>
  <c r="F47" i="25"/>
  <c r="G47" i="25"/>
  <c r="H47" i="25"/>
  <c r="I47" i="25"/>
  <c r="J47" i="25"/>
  <c r="K47" i="25"/>
  <c r="L47" i="25"/>
  <c r="M47" i="25"/>
  <c r="N47" i="25"/>
  <c r="O47" i="25"/>
  <c r="P47" i="25"/>
  <c r="Q47" i="25"/>
  <c r="R47" i="25"/>
  <c r="S47" i="25"/>
  <c r="T47" i="25"/>
  <c r="U47" i="25"/>
  <c r="V47" i="25"/>
  <c r="W47" i="25"/>
  <c r="X47" i="25"/>
  <c r="Y47" i="25"/>
  <c r="AF47" i="25"/>
  <c r="AG47" i="25"/>
  <c r="AH47" i="25"/>
  <c r="AI47" i="25"/>
  <c r="AJ47" i="25"/>
  <c r="AK47" i="25"/>
  <c r="AL47" i="25"/>
  <c r="AM47" i="25"/>
  <c r="AN47" i="25"/>
  <c r="AR47" i="25"/>
  <c r="AS47" i="25"/>
  <c r="AV47" i="25" s="1"/>
  <c r="AT47" i="25"/>
  <c r="AU47" i="25"/>
  <c r="AW47" i="25"/>
  <c r="AX47" i="25"/>
  <c r="AY47" i="25"/>
  <c r="AZ47" i="25"/>
  <c r="BA47" i="25"/>
  <c r="BB47" i="25"/>
  <c r="BC47" i="25"/>
  <c r="BD47" i="25"/>
  <c r="BE47" i="25"/>
  <c r="BF47" i="25"/>
  <c r="BJ47" i="25"/>
  <c r="BK47" i="25"/>
  <c r="BL47" i="25"/>
  <c r="BM47" i="25"/>
  <c r="BN47" i="25"/>
  <c r="BO47" i="25"/>
  <c r="BP47" i="25"/>
  <c r="BQ47" i="25"/>
  <c r="BR47" i="25"/>
  <c r="D48" i="25"/>
  <c r="E48" i="25"/>
  <c r="F48" i="25"/>
  <c r="G48" i="25"/>
  <c r="H48" i="25"/>
  <c r="I48" i="25"/>
  <c r="J48" i="25"/>
  <c r="K48" i="25"/>
  <c r="L48" i="25"/>
  <c r="M48" i="25"/>
  <c r="N48" i="25"/>
  <c r="O48" i="25"/>
  <c r="P48" i="25"/>
  <c r="Q48" i="25"/>
  <c r="R48" i="25"/>
  <c r="S48" i="25"/>
  <c r="T48" i="25"/>
  <c r="U48" i="25"/>
  <c r="V48" i="25"/>
  <c r="W48" i="25"/>
  <c r="X48" i="25"/>
  <c r="Y48" i="25"/>
  <c r="AF48" i="25"/>
  <c r="AG48" i="25"/>
  <c r="AH48" i="25"/>
  <c r="AI48" i="25"/>
  <c r="AJ48" i="25"/>
  <c r="AK48" i="25"/>
  <c r="AL48" i="25"/>
  <c r="AM48" i="25"/>
  <c r="AN48" i="25"/>
  <c r="AR48" i="25"/>
  <c r="AS48" i="25"/>
  <c r="AT48" i="25"/>
  <c r="AU48" i="25"/>
  <c r="AW48" i="25"/>
  <c r="AX48" i="25"/>
  <c r="AY48" i="25"/>
  <c r="AZ48" i="25"/>
  <c r="BA48" i="25"/>
  <c r="BB48" i="25"/>
  <c r="BC48" i="25"/>
  <c r="BD48" i="25"/>
  <c r="BE48" i="25"/>
  <c r="BF48" i="25"/>
  <c r="BJ48" i="25"/>
  <c r="BK48" i="25"/>
  <c r="BL48" i="25"/>
  <c r="BM48" i="25"/>
  <c r="BN48" i="25"/>
  <c r="BO48" i="25"/>
  <c r="BP48" i="25"/>
  <c r="BQ48" i="25"/>
  <c r="BR48" i="25"/>
  <c r="E49" i="25"/>
  <c r="F49" i="25"/>
  <c r="G49" i="25"/>
  <c r="H49" i="25"/>
  <c r="I49" i="25"/>
  <c r="J49" i="25"/>
  <c r="K49" i="25"/>
  <c r="L49" i="25"/>
  <c r="M49" i="25"/>
  <c r="N49" i="25"/>
  <c r="O49" i="25"/>
  <c r="P49" i="25"/>
  <c r="Q49" i="25"/>
  <c r="R49" i="25"/>
  <c r="S49" i="25"/>
  <c r="T49" i="25"/>
  <c r="U49" i="25"/>
  <c r="V49" i="25"/>
  <c r="W49" i="25"/>
  <c r="X49" i="25"/>
  <c r="Y49" i="25"/>
  <c r="AF49" i="25"/>
  <c r="AG49" i="25"/>
  <c r="AH49" i="25"/>
  <c r="AI49" i="25"/>
  <c r="AJ49" i="25"/>
  <c r="AK49" i="25"/>
  <c r="AL49" i="25"/>
  <c r="AM49" i="25"/>
  <c r="AN49" i="25"/>
  <c r="AR49" i="25"/>
  <c r="AS49" i="25"/>
  <c r="AT49" i="25"/>
  <c r="AU49" i="25"/>
  <c r="AW49" i="25"/>
  <c r="AX49" i="25"/>
  <c r="AY49" i="25"/>
  <c r="AZ49" i="25"/>
  <c r="BA49" i="25"/>
  <c r="BB49" i="25"/>
  <c r="BC49" i="25"/>
  <c r="BD49" i="25"/>
  <c r="BE49" i="25"/>
  <c r="BF49" i="25"/>
  <c r="BJ49" i="25"/>
  <c r="BK49" i="25"/>
  <c r="BL49" i="25"/>
  <c r="BM49" i="25"/>
  <c r="BN49" i="25"/>
  <c r="BO49" i="25"/>
  <c r="BP49" i="25"/>
  <c r="BQ49" i="25"/>
  <c r="BR49" i="25"/>
  <c r="D50" i="25"/>
  <c r="E50" i="25"/>
  <c r="F50" i="25"/>
  <c r="G50" i="25"/>
  <c r="H50" i="25"/>
  <c r="I50" i="25"/>
  <c r="J50" i="25"/>
  <c r="K50" i="25"/>
  <c r="L50" i="25"/>
  <c r="M50" i="25"/>
  <c r="N50" i="25"/>
  <c r="O50" i="25"/>
  <c r="P50" i="25"/>
  <c r="Q50" i="25"/>
  <c r="R50" i="25"/>
  <c r="S50" i="25"/>
  <c r="T50" i="25"/>
  <c r="U50" i="25"/>
  <c r="V50" i="25"/>
  <c r="W50" i="25"/>
  <c r="X50" i="25"/>
  <c r="Y50" i="25"/>
  <c r="AF50" i="25"/>
  <c r="AG50" i="25"/>
  <c r="AH50" i="25"/>
  <c r="AI50" i="25"/>
  <c r="AJ50" i="25"/>
  <c r="AK50" i="25"/>
  <c r="AL50" i="25"/>
  <c r="AM50" i="25"/>
  <c r="AN50" i="25"/>
  <c r="AR50" i="25"/>
  <c r="AS50" i="25"/>
  <c r="AT50" i="25"/>
  <c r="AU50" i="25"/>
  <c r="AW50" i="25"/>
  <c r="AX50" i="25"/>
  <c r="AY50" i="25"/>
  <c r="AZ50" i="25"/>
  <c r="BA50" i="25"/>
  <c r="BB50" i="25"/>
  <c r="BC50" i="25"/>
  <c r="BD50" i="25"/>
  <c r="BE50" i="25"/>
  <c r="BF50" i="25"/>
  <c r="BJ50" i="25"/>
  <c r="BK50" i="25"/>
  <c r="BL50" i="25"/>
  <c r="BM50" i="25"/>
  <c r="BN50" i="25"/>
  <c r="BO50" i="25"/>
  <c r="BP50" i="25"/>
  <c r="BQ50" i="25"/>
  <c r="BR50" i="25"/>
  <c r="D51" i="25"/>
  <c r="E51" i="25"/>
  <c r="F51" i="25"/>
  <c r="G51" i="25"/>
  <c r="H51" i="25"/>
  <c r="I51" i="25"/>
  <c r="J51" i="25"/>
  <c r="K51" i="25"/>
  <c r="L51" i="25"/>
  <c r="M51" i="25"/>
  <c r="N51" i="25"/>
  <c r="O51" i="25"/>
  <c r="P51" i="25"/>
  <c r="Q51" i="25"/>
  <c r="R51" i="25"/>
  <c r="S51" i="25"/>
  <c r="T51" i="25"/>
  <c r="U51" i="25"/>
  <c r="V51" i="25"/>
  <c r="W51" i="25"/>
  <c r="X51" i="25"/>
  <c r="Y51" i="25"/>
  <c r="AF51" i="25"/>
  <c r="AG51" i="25"/>
  <c r="AH51" i="25"/>
  <c r="AI51" i="25"/>
  <c r="AJ51" i="25"/>
  <c r="AK51" i="25"/>
  <c r="AL51" i="25"/>
  <c r="AM51" i="25"/>
  <c r="AN51" i="25"/>
  <c r="AR51" i="25"/>
  <c r="AS51" i="25"/>
  <c r="AT51" i="25"/>
  <c r="AU51" i="25"/>
  <c r="AW51" i="25"/>
  <c r="AX51" i="25"/>
  <c r="AY51" i="25"/>
  <c r="AZ51" i="25"/>
  <c r="BA51" i="25"/>
  <c r="BB51" i="25"/>
  <c r="BC51" i="25"/>
  <c r="BD51" i="25"/>
  <c r="BE51" i="25"/>
  <c r="BF51" i="25"/>
  <c r="BJ51" i="25"/>
  <c r="BK51" i="25"/>
  <c r="BL51" i="25"/>
  <c r="BM51" i="25"/>
  <c r="BN51" i="25"/>
  <c r="BO51" i="25"/>
  <c r="BP51" i="25"/>
  <c r="BQ51" i="25"/>
  <c r="BR51" i="25"/>
  <c r="D52" i="25"/>
  <c r="E52" i="25"/>
  <c r="F52" i="25"/>
  <c r="G52" i="25"/>
  <c r="H52" i="25"/>
  <c r="I52" i="25"/>
  <c r="J52" i="25"/>
  <c r="K52" i="25"/>
  <c r="L52" i="25"/>
  <c r="M52" i="25"/>
  <c r="N52" i="25"/>
  <c r="O52" i="25"/>
  <c r="P52" i="25"/>
  <c r="Q52" i="25"/>
  <c r="R52" i="25"/>
  <c r="S52" i="25"/>
  <c r="T52" i="25"/>
  <c r="U52" i="25"/>
  <c r="V52" i="25"/>
  <c r="W52" i="25"/>
  <c r="X52" i="25"/>
  <c r="Y52" i="25"/>
  <c r="AF52" i="25"/>
  <c r="AG52" i="25"/>
  <c r="AH52" i="25"/>
  <c r="AI52" i="25"/>
  <c r="AJ52" i="25"/>
  <c r="AK52" i="25"/>
  <c r="AL52" i="25"/>
  <c r="AM52" i="25"/>
  <c r="AN52" i="25"/>
  <c r="AR52" i="25"/>
  <c r="AS52" i="25"/>
  <c r="AT52" i="25"/>
  <c r="AU52" i="25"/>
  <c r="AW52" i="25"/>
  <c r="AX52" i="25"/>
  <c r="AY52" i="25"/>
  <c r="AZ52" i="25"/>
  <c r="BA52" i="25"/>
  <c r="BB52" i="25"/>
  <c r="BC52" i="25"/>
  <c r="BD52" i="25"/>
  <c r="BE52" i="25"/>
  <c r="BF52" i="25"/>
  <c r="BJ52" i="25"/>
  <c r="BK52" i="25"/>
  <c r="BL52" i="25"/>
  <c r="BM52" i="25"/>
  <c r="BN52" i="25"/>
  <c r="BO52" i="25"/>
  <c r="BP52" i="25"/>
  <c r="BQ52" i="25"/>
  <c r="BR52" i="25"/>
  <c r="D53" i="25"/>
  <c r="E53" i="25"/>
  <c r="F53" i="25"/>
  <c r="G53" i="25"/>
  <c r="H53" i="25"/>
  <c r="I53" i="25"/>
  <c r="J53" i="25"/>
  <c r="K53" i="25"/>
  <c r="L53" i="25"/>
  <c r="M53" i="25"/>
  <c r="N53" i="25"/>
  <c r="O53" i="25"/>
  <c r="P53" i="25"/>
  <c r="Q53" i="25"/>
  <c r="R53" i="25"/>
  <c r="S53" i="25"/>
  <c r="T53" i="25"/>
  <c r="U53" i="25"/>
  <c r="V53" i="25"/>
  <c r="W53" i="25"/>
  <c r="X53" i="25"/>
  <c r="Y53" i="25"/>
  <c r="AF53" i="25"/>
  <c r="AG53" i="25"/>
  <c r="AH53" i="25"/>
  <c r="AI53" i="25"/>
  <c r="AJ53" i="25"/>
  <c r="AK53" i="25"/>
  <c r="AL53" i="25"/>
  <c r="AM53" i="25"/>
  <c r="AN53" i="25"/>
  <c r="AR53" i="25"/>
  <c r="AS53" i="25"/>
  <c r="AT53" i="25"/>
  <c r="AU53" i="25"/>
  <c r="AW53" i="25"/>
  <c r="AX53" i="25"/>
  <c r="AY53" i="25"/>
  <c r="AZ53" i="25"/>
  <c r="BA53" i="25"/>
  <c r="BB53" i="25"/>
  <c r="BC53" i="25"/>
  <c r="BD53" i="25"/>
  <c r="BE53" i="25"/>
  <c r="BF53" i="25"/>
  <c r="BJ53" i="25"/>
  <c r="BK53" i="25"/>
  <c r="BL53" i="25"/>
  <c r="BM53" i="25"/>
  <c r="BN53" i="25"/>
  <c r="BO53" i="25"/>
  <c r="BP53" i="25"/>
  <c r="BQ53" i="25"/>
  <c r="BR53" i="25"/>
  <c r="D54" i="25"/>
  <c r="E54" i="25"/>
  <c r="F54" i="25"/>
  <c r="G54" i="25"/>
  <c r="H54" i="25"/>
  <c r="I54" i="25"/>
  <c r="J54" i="25"/>
  <c r="K54" i="25"/>
  <c r="L54" i="25"/>
  <c r="M54" i="25"/>
  <c r="N54" i="25"/>
  <c r="O54" i="25"/>
  <c r="P54" i="25"/>
  <c r="Q54" i="25"/>
  <c r="R54" i="25"/>
  <c r="S54" i="25"/>
  <c r="T54" i="25"/>
  <c r="U54" i="25"/>
  <c r="V54" i="25"/>
  <c r="W54" i="25"/>
  <c r="X54" i="25"/>
  <c r="Y54" i="25"/>
  <c r="AF54" i="25"/>
  <c r="AG54" i="25"/>
  <c r="AH54" i="25"/>
  <c r="AI54" i="25"/>
  <c r="AJ54" i="25"/>
  <c r="AK54" i="25"/>
  <c r="AL54" i="25"/>
  <c r="AM54" i="25"/>
  <c r="AN54" i="25"/>
  <c r="AR54" i="25"/>
  <c r="AS54" i="25"/>
  <c r="AT54" i="25"/>
  <c r="AU54" i="25"/>
  <c r="AW54" i="25"/>
  <c r="AX54" i="25"/>
  <c r="AY54" i="25"/>
  <c r="AZ54" i="25"/>
  <c r="BA54" i="25"/>
  <c r="BB54" i="25"/>
  <c r="BC54" i="25"/>
  <c r="BD54" i="25"/>
  <c r="BE54" i="25"/>
  <c r="BF54" i="25"/>
  <c r="BJ54" i="25"/>
  <c r="BK54" i="25"/>
  <c r="BL54" i="25"/>
  <c r="BM54" i="25"/>
  <c r="BN54" i="25"/>
  <c r="BO54" i="25"/>
  <c r="BP54" i="25"/>
  <c r="BQ54" i="25"/>
  <c r="BR54" i="25"/>
  <c r="D55" i="25"/>
  <c r="E55" i="25"/>
  <c r="F55" i="25"/>
  <c r="G55" i="25"/>
  <c r="H55" i="25"/>
  <c r="I55" i="25"/>
  <c r="J55" i="25"/>
  <c r="K55" i="25"/>
  <c r="L55" i="25"/>
  <c r="M55" i="25"/>
  <c r="N55" i="25"/>
  <c r="O55" i="25"/>
  <c r="P55" i="25"/>
  <c r="Q55" i="25"/>
  <c r="R55" i="25"/>
  <c r="S55" i="25"/>
  <c r="T55" i="25"/>
  <c r="U55" i="25"/>
  <c r="V55" i="25"/>
  <c r="W55" i="25"/>
  <c r="X55" i="25"/>
  <c r="Y55" i="25"/>
  <c r="AF55" i="25"/>
  <c r="AG55" i="25"/>
  <c r="AH55" i="25"/>
  <c r="AI55" i="25"/>
  <c r="AJ55" i="25"/>
  <c r="AK55" i="25"/>
  <c r="AL55" i="25"/>
  <c r="AM55" i="25"/>
  <c r="AN55" i="25"/>
  <c r="AR55" i="25"/>
  <c r="AS55" i="25"/>
  <c r="AT55" i="25"/>
  <c r="AU55" i="25"/>
  <c r="AW55" i="25"/>
  <c r="AX55" i="25"/>
  <c r="AY55" i="25"/>
  <c r="AZ55" i="25"/>
  <c r="BA55" i="25"/>
  <c r="BB55" i="25"/>
  <c r="BC55" i="25"/>
  <c r="BD55" i="25"/>
  <c r="BE55" i="25"/>
  <c r="BF55" i="25"/>
  <c r="BJ55" i="25"/>
  <c r="BK55" i="25"/>
  <c r="BL55" i="25"/>
  <c r="BM55" i="25"/>
  <c r="BN55" i="25"/>
  <c r="BO55" i="25"/>
  <c r="BP55" i="25"/>
  <c r="BQ55" i="25"/>
  <c r="BR55" i="25"/>
  <c r="D56" i="25"/>
  <c r="E56" i="25"/>
  <c r="F56" i="25"/>
  <c r="G56" i="25"/>
  <c r="H56" i="25"/>
  <c r="I56" i="25"/>
  <c r="J56" i="25"/>
  <c r="K56" i="25"/>
  <c r="L56" i="25"/>
  <c r="M56" i="25"/>
  <c r="N56" i="25"/>
  <c r="O56" i="25"/>
  <c r="P56" i="25"/>
  <c r="Q56" i="25"/>
  <c r="R56" i="25"/>
  <c r="S56" i="25"/>
  <c r="T56" i="25"/>
  <c r="U56" i="25"/>
  <c r="V56" i="25"/>
  <c r="W56" i="25"/>
  <c r="X56" i="25"/>
  <c r="Y56" i="25"/>
  <c r="AF56" i="25"/>
  <c r="AG56" i="25"/>
  <c r="AH56" i="25"/>
  <c r="AI56" i="25"/>
  <c r="AJ56" i="25"/>
  <c r="AK56" i="25"/>
  <c r="AL56" i="25"/>
  <c r="AM56" i="25"/>
  <c r="AN56" i="25"/>
  <c r="AR56" i="25"/>
  <c r="AS56" i="25"/>
  <c r="AT56" i="25"/>
  <c r="AU56" i="25"/>
  <c r="AW56" i="25"/>
  <c r="AX56" i="25"/>
  <c r="AY56" i="25"/>
  <c r="AZ56" i="25"/>
  <c r="BA56" i="25"/>
  <c r="BB56" i="25"/>
  <c r="BC56" i="25"/>
  <c r="BD56" i="25"/>
  <c r="BE56" i="25"/>
  <c r="BF56" i="25"/>
  <c r="BJ56" i="25"/>
  <c r="BK56" i="25"/>
  <c r="BL56" i="25"/>
  <c r="BM56" i="25"/>
  <c r="BN56" i="25"/>
  <c r="BO56" i="25"/>
  <c r="BP56" i="25"/>
  <c r="BQ56" i="25"/>
  <c r="BR56" i="25"/>
  <c r="D57" i="25"/>
  <c r="E57" i="25"/>
  <c r="F57" i="25"/>
  <c r="G57" i="25"/>
  <c r="H57" i="25"/>
  <c r="I57" i="25"/>
  <c r="J57" i="25"/>
  <c r="K57" i="25"/>
  <c r="L57" i="25"/>
  <c r="M57" i="25"/>
  <c r="N57" i="25"/>
  <c r="O57" i="25"/>
  <c r="P57" i="25"/>
  <c r="Q57" i="25"/>
  <c r="R57" i="25"/>
  <c r="S57" i="25"/>
  <c r="T57" i="25"/>
  <c r="U57" i="25"/>
  <c r="V57" i="25"/>
  <c r="W57" i="25"/>
  <c r="X57" i="25"/>
  <c r="Y57" i="25"/>
  <c r="AF57" i="25"/>
  <c r="AG57" i="25"/>
  <c r="AH57" i="25"/>
  <c r="AI57" i="25"/>
  <c r="AJ57" i="25"/>
  <c r="AK57" i="25"/>
  <c r="AL57" i="25"/>
  <c r="AM57" i="25"/>
  <c r="AN57" i="25"/>
  <c r="AR57" i="25"/>
  <c r="AS57" i="25"/>
  <c r="AT57" i="25"/>
  <c r="AU57" i="25"/>
  <c r="AW57" i="25"/>
  <c r="AX57" i="25"/>
  <c r="AY57" i="25"/>
  <c r="AZ57" i="25"/>
  <c r="BA57" i="25"/>
  <c r="BB57" i="25"/>
  <c r="BC57" i="25"/>
  <c r="BD57" i="25"/>
  <c r="BE57" i="25"/>
  <c r="BF57" i="25"/>
  <c r="BJ57" i="25"/>
  <c r="BK57" i="25"/>
  <c r="BL57" i="25"/>
  <c r="BM57" i="25"/>
  <c r="BN57" i="25"/>
  <c r="BO57" i="25"/>
  <c r="BP57" i="25"/>
  <c r="BQ57" i="25"/>
  <c r="BR57" i="25"/>
  <c r="D58" i="25"/>
  <c r="E58" i="25"/>
  <c r="F58" i="25"/>
  <c r="G58" i="25"/>
  <c r="H58" i="25"/>
  <c r="I58" i="25"/>
  <c r="J58" i="25"/>
  <c r="K58" i="25"/>
  <c r="L58" i="25"/>
  <c r="M58" i="25"/>
  <c r="N58" i="25"/>
  <c r="O58" i="25"/>
  <c r="P58" i="25"/>
  <c r="Q58" i="25"/>
  <c r="R58" i="25"/>
  <c r="S58" i="25"/>
  <c r="T58" i="25"/>
  <c r="U58" i="25"/>
  <c r="V58" i="25"/>
  <c r="W58" i="25"/>
  <c r="X58" i="25"/>
  <c r="Y58" i="25"/>
  <c r="AF58" i="25"/>
  <c r="AG58" i="25"/>
  <c r="AH58" i="25"/>
  <c r="AI58" i="25"/>
  <c r="AJ58" i="25"/>
  <c r="AK58" i="25"/>
  <c r="AL58" i="25"/>
  <c r="AM58" i="25"/>
  <c r="AN58" i="25"/>
  <c r="AR58" i="25"/>
  <c r="AS58" i="25"/>
  <c r="AT58" i="25"/>
  <c r="AU58" i="25"/>
  <c r="AW58" i="25"/>
  <c r="AX58" i="25"/>
  <c r="AY58" i="25"/>
  <c r="AZ58" i="25"/>
  <c r="BA58" i="25"/>
  <c r="BB58" i="25"/>
  <c r="BC58" i="25"/>
  <c r="BD58" i="25"/>
  <c r="BE58" i="25"/>
  <c r="BF58" i="25"/>
  <c r="BJ58" i="25"/>
  <c r="BK58" i="25"/>
  <c r="BL58" i="25"/>
  <c r="BM58" i="25"/>
  <c r="BN58" i="25"/>
  <c r="BO58" i="25"/>
  <c r="BP58" i="25"/>
  <c r="BQ58" i="25"/>
  <c r="BR58" i="25"/>
  <c r="D59" i="25"/>
  <c r="E59" i="25"/>
  <c r="F59" i="25"/>
  <c r="G59" i="25"/>
  <c r="H59" i="25"/>
  <c r="I59" i="25"/>
  <c r="J59" i="25"/>
  <c r="K59" i="25"/>
  <c r="L59" i="25"/>
  <c r="M59" i="25"/>
  <c r="N59" i="25"/>
  <c r="O59" i="25"/>
  <c r="P59" i="25"/>
  <c r="Q59" i="25"/>
  <c r="R59" i="25"/>
  <c r="S59" i="25"/>
  <c r="T59" i="25"/>
  <c r="U59" i="25"/>
  <c r="V59" i="25"/>
  <c r="W59" i="25"/>
  <c r="X59" i="25"/>
  <c r="Y59" i="25"/>
  <c r="AF59" i="25"/>
  <c r="AG59" i="25"/>
  <c r="AH59" i="25"/>
  <c r="AI59" i="25"/>
  <c r="AJ59" i="25"/>
  <c r="AK59" i="25"/>
  <c r="AL59" i="25"/>
  <c r="AM59" i="25"/>
  <c r="AN59" i="25"/>
  <c r="AR59" i="25"/>
  <c r="AS59" i="25"/>
  <c r="AV59" i="25" s="1"/>
  <c r="AT59" i="25"/>
  <c r="AU59" i="25"/>
  <c r="AW59" i="25"/>
  <c r="AX59" i="25"/>
  <c r="AY59" i="25"/>
  <c r="AZ59" i="25"/>
  <c r="BA59" i="25"/>
  <c r="BB59" i="25"/>
  <c r="BC59" i="25"/>
  <c r="BD59" i="25"/>
  <c r="BE59" i="25"/>
  <c r="BF59" i="25"/>
  <c r="BJ59" i="25"/>
  <c r="BK59" i="25"/>
  <c r="BL59" i="25"/>
  <c r="BM59" i="25"/>
  <c r="BN59" i="25"/>
  <c r="BO59" i="25"/>
  <c r="BP59" i="25"/>
  <c r="BQ59" i="25"/>
  <c r="BR59" i="25"/>
  <c r="D60" i="25"/>
  <c r="E60" i="25"/>
  <c r="F60" i="25"/>
  <c r="G60" i="25"/>
  <c r="H60" i="25"/>
  <c r="I60" i="25"/>
  <c r="J60" i="25"/>
  <c r="K60" i="25"/>
  <c r="L60" i="25"/>
  <c r="M60" i="25"/>
  <c r="N60" i="25"/>
  <c r="O60" i="25"/>
  <c r="P60" i="25"/>
  <c r="Q60" i="25"/>
  <c r="R60" i="25"/>
  <c r="S60" i="25"/>
  <c r="T60" i="25"/>
  <c r="U60" i="25"/>
  <c r="V60" i="25"/>
  <c r="W60" i="25"/>
  <c r="X60" i="25"/>
  <c r="Y60" i="25"/>
  <c r="AF60" i="25"/>
  <c r="AG60" i="25"/>
  <c r="AH60" i="25"/>
  <c r="AI60" i="25"/>
  <c r="AJ60" i="25"/>
  <c r="AK60" i="25"/>
  <c r="AL60" i="25"/>
  <c r="AM60" i="25"/>
  <c r="AN60" i="25"/>
  <c r="AR60" i="25"/>
  <c r="AS60" i="25"/>
  <c r="AV60" i="25" s="1"/>
  <c r="AT60" i="25"/>
  <c r="AU60" i="25"/>
  <c r="AW60" i="25"/>
  <c r="AX60" i="25"/>
  <c r="AY60" i="25"/>
  <c r="AZ60" i="25"/>
  <c r="BA60" i="25"/>
  <c r="BB60" i="25"/>
  <c r="BC60" i="25"/>
  <c r="BD60" i="25"/>
  <c r="BE60" i="25"/>
  <c r="BF60" i="25"/>
  <c r="BJ60" i="25"/>
  <c r="BK60" i="25"/>
  <c r="BL60" i="25"/>
  <c r="BM60" i="25"/>
  <c r="BN60" i="25"/>
  <c r="BO60" i="25"/>
  <c r="BP60" i="25"/>
  <c r="BQ60" i="25"/>
  <c r="BR60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AF61" i="25"/>
  <c r="AG61" i="25"/>
  <c r="AH61" i="25"/>
  <c r="AI61" i="25"/>
  <c r="AJ61" i="25"/>
  <c r="AK61" i="25"/>
  <c r="AL61" i="25"/>
  <c r="AM61" i="25"/>
  <c r="AN61" i="25"/>
  <c r="AR61" i="25"/>
  <c r="AS61" i="25"/>
  <c r="AV61" i="25" s="1"/>
  <c r="AT61" i="25"/>
  <c r="AU61" i="25"/>
  <c r="AW61" i="25"/>
  <c r="AX61" i="25"/>
  <c r="AY61" i="25"/>
  <c r="AZ61" i="25"/>
  <c r="BA61" i="25"/>
  <c r="BB61" i="25"/>
  <c r="BC61" i="25"/>
  <c r="BD61" i="25"/>
  <c r="BE61" i="25"/>
  <c r="BF61" i="25"/>
  <c r="BJ61" i="25"/>
  <c r="BK61" i="25"/>
  <c r="BL61" i="25"/>
  <c r="BM61" i="25"/>
  <c r="BN61" i="25"/>
  <c r="BO61" i="25"/>
  <c r="BP61" i="25"/>
  <c r="BQ61" i="25"/>
  <c r="BR61" i="25"/>
  <c r="D86" i="25"/>
  <c r="E86" i="25"/>
  <c r="F86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AF86" i="25"/>
  <c r="AG86" i="25"/>
  <c r="AH86" i="25"/>
  <c r="AI86" i="25"/>
  <c r="AJ86" i="25"/>
  <c r="AK86" i="25"/>
  <c r="AL86" i="25"/>
  <c r="AM86" i="25"/>
  <c r="AN86" i="25"/>
  <c r="AR86" i="25"/>
  <c r="AS86" i="25"/>
  <c r="AT86" i="25"/>
  <c r="AU86" i="25"/>
  <c r="AW86" i="25"/>
  <c r="AX86" i="25"/>
  <c r="AY86" i="25"/>
  <c r="AZ86" i="25"/>
  <c r="BA86" i="25"/>
  <c r="BB86" i="25"/>
  <c r="BC86" i="25"/>
  <c r="BD86" i="25"/>
  <c r="BE86" i="25"/>
  <c r="BF86" i="25"/>
  <c r="BJ86" i="25"/>
  <c r="BK86" i="25"/>
  <c r="BL86" i="25"/>
  <c r="BM86" i="25"/>
  <c r="BN86" i="25"/>
  <c r="BO86" i="25"/>
  <c r="BP86" i="25"/>
  <c r="BQ86" i="25"/>
  <c r="BR86" i="25"/>
  <c r="D87" i="25"/>
  <c r="E87" i="25"/>
  <c r="F87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AF87" i="25"/>
  <c r="AG87" i="25"/>
  <c r="AH87" i="25"/>
  <c r="AI87" i="25"/>
  <c r="AJ87" i="25"/>
  <c r="AK87" i="25"/>
  <c r="AL87" i="25"/>
  <c r="AM87" i="25"/>
  <c r="AN87" i="25"/>
  <c r="AR87" i="25"/>
  <c r="AS87" i="25"/>
  <c r="AT87" i="25"/>
  <c r="AU87" i="25"/>
  <c r="AW87" i="25"/>
  <c r="AX87" i="25"/>
  <c r="AY87" i="25"/>
  <c r="AZ87" i="25"/>
  <c r="BA87" i="25"/>
  <c r="BB87" i="25"/>
  <c r="BC87" i="25"/>
  <c r="BD87" i="25"/>
  <c r="BE87" i="25"/>
  <c r="BF87" i="25"/>
  <c r="BJ87" i="25"/>
  <c r="BK87" i="25"/>
  <c r="BL87" i="25"/>
  <c r="BM87" i="25"/>
  <c r="BN87" i="25"/>
  <c r="BO87" i="25"/>
  <c r="BP87" i="25"/>
  <c r="BQ87" i="25"/>
  <c r="BR87" i="25"/>
  <c r="D88" i="25"/>
  <c r="E88" i="25"/>
  <c r="F88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AF88" i="25"/>
  <c r="AG88" i="25"/>
  <c r="AH88" i="25"/>
  <c r="AI88" i="25"/>
  <c r="AJ88" i="25"/>
  <c r="AK88" i="25"/>
  <c r="AL88" i="25"/>
  <c r="AM88" i="25"/>
  <c r="AN88" i="25"/>
  <c r="AR88" i="25"/>
  <c r="AS88" i="25"/>
  <c r="AT88" i="25"/>
  <c r="AU88" i="25"/>
  <c r="AW88" i="25"/>
  <c r="AX88" i="25"/>
  <c r="AY88" i="25"/>
  <c r="AZ88" i="25"/>
  <c r="BA88" i="25"/>
  <c r="BB88" i="25"/>
  <c r="BC88" i="25"/>
  <c r="BD88" i="25"/>
  <c r="BE88" i="25"/>
  <c r="BF88" i="25"/>
  <c r="BJ88" i="25"/>
  <c r="BK88" i="25"/>
  <c r="BL88" i="25"/>
  <c r="BM88" i="25"/>
  <c r="BN88" i="25"/>
  <c r="BO88" i="25"/>
  <c r="BP88" i="25"/>
  <c r="BQ88" i="25"/>
  <c r="BR88" i="25"/>
  <c r="D89" i="25"/>
  <c r="E89" i="25"/>
  <c r="F89" i="25"/>
  <c r="G89" i="25"/>
  <c r="H89" i="25"/>
  <c r="I89" i="25"/>
  <c r="J89" i="25"/>
  <c r="K89" i="25"/>
  <c r="L89" i="25"/>
  <c r="M89" i="25"/>
  <c r="N89" i="25"/>
  <c r="O89" i="25"/>
  <c r="P89" i="25"/>
  <c r="Q89" i="25"/>
  <c r="R89" i="25"/>
  <c r="S89" i="25"/>
  <c r="T89" i="25"/>
  <c r="U89" i="25"/>
  <c r="V89" i="25"/>
  <c r="W89" i="25"/>
  <c r="X89" i="25"/>
  <c r="Y89" i="25"/>
  <c r="AF89" i="25"/>
  <c r="AG89" i="25"/>
  <c r="AH89" i="25"/>
  <c r="AI89" i="25"/>
  <c r="AJ89" i="25"/>
  <c r="AK89" i="25"/>
  <c r="AL89" i="25"/>
  <c r="AM89" i="25"/>
  <c r="AN89" i="25"/>
  <c r="AR89" i="25"/>
  <c r="AS89" i="25"/>
  <c r="AT89" i="25"/>
  <c r="AU89" i="25"/>
  <c r="AW89" i="25"/>
  <c r="AX89" i="25"/>
  <c r="AY89" i="25"/>
  <c r="AZ89" i="25"/>
  <c r="BA89" i="25"/>
  <c r="BB89" i="25"/>
  <c r="BC89" i="25"/>
  <c r="BD89" i="25"/>
  <c r="BE89" i="25"/>
  <c r="BF89" i="25"/>
  <c r="BJ89" i="25"/>
  <c r="BK89" i="25"/>
  <c r="BL89" i="25"/>
  <c r="BM89" i="25"/>
  <c r="BN89" i="25"/>
  <c r="BO89" i="25"/>
  <c r="BP89" i="25"/>
  <c r="BQ89" i="25"/>
  <c r="BR89" i="25"/>
  <c r="D90" i="25"/>
  <c r="E90" i="25"/>
  <c r="F90" i="25"/>
  <c r="G90" i="25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AF90" i="25"/>
  <c r="AG90" i="25"/>
  <c r="AH90" i="25"/>
  <c r="AI90" i="25"/>
  <c r="AJ90" i="25"/>
  <c r="AK90" i="25"/>
  <c r="AL90" i="25"/>
  <c r="AM90" i="25"/>
  <c r="AN90" i="25"/>
  <c r="AR90" i="25"/>
  <c r="AS90" i="25"/>
  <c r="AT90" i="25"/>
  <c r="AU90" i="25"/>
  <c r="AW90" i="25"/>
  <c r="AX90" i="25"/>
  <c r="AY90" i="25"/>
  <c r="AZ90" i="25"/>
  <c r="BA90" i="25"/>
  <c r="BB90" i="25"/>
  <c r="BC90" i="25"/>
  <c r="BD90" i="25"/>
  <c r="BE90" i="25"/>
  <c r="BF90" i="25"/>
  <c r="BJ90" i="25"/>
  <c r="BK90" i="25"/>
  <c r="BL90" i="25"/>
  <c r="BM90" i="25"/>
  <c r="BN90" i="25"/>
  <c r="BO90" i="25"/>
  <c r="BP90" i="25"/>
  <c r="BQ90" i="25"/>
  <c r="BR90" i="25"/>
  <c r="D91" i="25"/>
  <c r="E91" i="25"/>
  <c r="F91" i="25"/>
  <c r="G91" i="25"/>
  <c r="H91" i="25"/>
  <c r="I91" i="25"/>
  <c r="J91" i="25"/>
  <c r="K91" i="25"/>
  <c r="L91" i="25"/>
  <c r="M91" i="25"/>
  <c r="N91" i="25"/>
  <c r="O91" i="25"/>
  <c r="P91" i="25"/>
  <c r="Q91" i="25"/>
  <c r="R91" i="25"/>
  <c r="S91" i="25"/>
  <c r="T91" i="25"/>
  <c r="U91" i="25"/>
  <c r="V91" i="25"/>
  <c r="W91" i="25"/>
  <c r="X91" i="25"/>
  <c r="Y91" i="25"/>
  <c r="AF91" i="25"/>
  <c r="AG91" i="25"/>
  <c r="AH91" i="25"/>
  <c r="AI91" i="25"/>
  <c r="AJ91" i="25"/>
  <c r="AK91" i="25"/>
  <c r="AL91" i="25"/>
  <c r="AM91" i="25"/>
  <c r="AN91" i="25"/>
  <c r="AR91" i="25"/>
  <c r="AS91" i="25"/>
  <c r="AT91" i="25"/>
  <c r="AU91" i="25"/>
  <c r="AW91" i="25"/>
  <c r="AX91" i="25"/>
  <c r="AY91" i="25"/>
  <c r="AZ91" i="25"/>
  <c r="BA91" i="25"/>
  <c r="BB91" i="25"/>
  <c r="BC91" i="25"/>
  <c r="BD91" i="25"/>
  <c r="BE91" i="25"/>
  <c r="BF91" i="25"/>
  <c r="BJ91" i="25"/>
  <c r="BK91" i="25"/>
  <c r="BL91" i="25"/>
  <c r="BM91" i="25"/>
  <c r="BN91" i="25"/>
  <c r="BO91" i="25"/>
  <c r="BP91" i="25"/>
  <c r="BQ91" i="25"/>
  <c r="BR91" i="25"/>
  <c r="D92" i="25"/>
  <c r="E92" i="25"/>
  <c r="F92" i="25"/>
  <c r="G92" i="25"/>
  <c r="H92" i="25"/>
  <c r="I92" i="25"/>
  <c r="J92" i="25"/>
  <c r="K92" i="25"/>
  <c r="L92" i="25"/>
  <c r="M92" i="25"/>
  <c r="N92" i="25"/>
  <c r="O92" i="25"/>
  <c r="P92" i="25"/>
  <c r="Q92" i="25"/>
  <c r="R92" i="25"/>
  <c r="S92" i="25"/>
  <c r="T92" i="25"/>
  <c r="U92" i="25"/>
  <c r="V92" i="25"/>
  <c r="W92" i="25"/>
  <c r="X92" i="25"/>
  <c r="Y92" i="25"/>
  <c r="AF92" i="25"/>
  <c r="AG92" i="25"/>
  <c r="AH92" i="25"/>
  <c r="AI92" i="25"/>
  <c r="AJ92" i="25"/>
  <c r="AK92" i="25"/>
  <c r="AL92" i="25"/>
  <c r="AM92" i="25"/>
  <c r="AN92" i="25"/>
  <c r="AR92" i="25"/>
  <c r="AS92" i="25"/>
  <c r="AT92" i="25"/>
  <c r="AU92" i="25"/>
  <c r="AW92" i="25"/>
  <c r="AX92" i="25"/>
  <c r="AY92" i="25"/>
  <c r="AZ92" i="25"/>
  <c r="BA92" i="25"/>
  <c r="BB92" i="25"/>
  <c r="BC92" i="25"/>
  <c r="BD92" i="25"/>
  <c r="BE92" i="25"/>
  <c r="BF92" i="25"/>
  <c r="BJ92" i="25"/>
  <c r="BK92" i="25"/>
  <c r="BL92" i="25"/>
  <c r="BM92" i="25"/>
  <c r="BN92" i="25"/>
  <c r="BO92" i="25"/>
  <c r="BP92" i="25"/>
  <c r="BQ92" i="25"/>
  <c r="BR92" i="25"/>
  <c r="D96" i="25"/>
  <c r="E96" i="25"/>
  <c r="F96" i="25"/>
  <c r="G96" i="25"/>
  <c r="H96" i="25"/>
  <c r="I96" i="25"/>
  <c r="J96" i="25"/>
  <c r="K96" i="25"/>
  <c r="L96" i="25"/>
  <c r="M96" i="25"/>
  <c r="N96" i="25"/>
  <c r="O96" i="25"/>
  <c r="P96" i="25"/>
  <c r="Q96" i="25"/>
  <c r="R96" i="25"/>
  <c r="S96" i="25"/>
  <c r="T96" i="25"/>
  <c r="U96" i="25"/>
  <c r="V96" i="25"/>
  <c r="W96" i="25"/>
  <c r="X96" i="25"/>
  <c r="Y96" i="25"/>
  <c r="AF96" i="25"/>
  <c r="AG96" i="25"/>
  <c r="AH96" i="25"/>
  <c r="AI96" i="25"/>
  <c r="AJ96" i="25"/>
  <c r="AK96" i="25"/>
  <c r="AL96" i="25"/>
  <c r="AM96" i="25"/>
  <c r="AN96" i="25"/>
  <c r="AR96" i="25"/>
  <c r="AS96" i="25"/>
  <c r="AT96" i="25"/>
  <c r="AU96" i="25"/>
  <c r="AW96" i="25"/>
  <c r="AX96" i="25"/>
  <c r="AY96" i="25"/>
  <c r="AZ96" i="25"/>
  <c r="BA96" i="25"/>
  <c r="BB96" i="25"/>
  <c r="BC96" i="25"/>
  <c r="BD96" i="25"/>
  <c r="BE96" i="25"/>
  <c r="BF96" i="25"/>
  <c r="BJ96" i="25"/>
  <c r="BK96" i="25"/>
  <c r="BL96" i="25"/>
  <c r="BM96" i="25"/>
  <c r="BN96" i="25"/>
  <c r="BO96" i="25"/>
  <c r="BP96" i="25"/>
  <c r="BQ96" i="25"/>
  <c r="BR96" i="25"/>
  <c r="D97" i="25"/>
  <c r="E97" i="25"/>
  <c r="F97" i="25"/>
  <c r="G97" i="25"/>
  <c r="H97" i="25"/>
  <c r="I97" i="25"/>
  <c r="J97" i="25"/>
  <c r="K97" i="25"/>
  <c r="L97" i="25"/>
  <c r="M97" i="25"/>
  <c r="N97" i="25"/>
  <c r="O97" i="25"/>
  <c r="P97" i="25"/>
  <c r="Q97" i="25"/>
  <c r="R97" i="25"/>
  <c r="S97" i="25"/>
  <c r="T97" i="25"/>
  <c r="U97" i="25"/>
  <c r="V97" i="25"/>
  <c r="W97" i="25"/>
  <c r="X97" i="25"/>
  <c r="Y97" i="25"/>
  <c r="AF97" i="25"/>
  <c r="AG97" i="25"/>
  <c r="AH97" i="25"/>
  <c r="AI97" i="25"/>
  <c r="AJ97" i="25"/>
  <c r="AK97" i="25"/>
  <c r="AL97" i="25"/>
  <c r="AM97" i="25"/>
  <c r="AN97" i="25"/>
  <c r="AR97" i="25"/>
  <c r="AS97" i="25"/>
  <c r="AV97" i="25" s="1"/>
  <c r="AT97" i="25"/>
  <c r="AU97" i="25"/>
  <c r="AW97" i="25"/>
  <c r="AX97" i="25"/>
  <c r="AY97" i="25"/>
  <c r="AZ97" i="25"/>
  <c r="BA97" i="25"/>
  <c r="BB97" i="25"/>
  <c r="BC97" i="25"/>
  <c r="BD97" i="25"/>
  <c r="BE97" i="25"/>
  <c r="BF97" i="25"/>
  <c r="BJ97" i="25"/>
  <c r="BK97" i="25"/>
  <c r="BL97" i="25"/>
  <c r="BM97" i="25"/>
  <c r="BN97" i="25"/>
  <c r="BO97" i="25"/>
  <c r="BP97" i="25"/>
  <c r="BQ97" i="25"/>
  <c r="BR97" i="25"/>
  <c r="D98" i="25"/>
  <c r="E98" i="25"/>
  <c r="G98" i="25"/>
  <c r="I98" i="25"/>
  <c r="J98" i="25"/>
  <c r="K98" i="25"/>
  <c r="L98" i="25"/>
  <c r="M98" i="25"/>
  <c r="N98" i="25"/>
  <c r="O98" i="25"/>
  <c r="P98" i="25"/>
  <c r="Q98" i="25"/>
  <c r="R98" i="25"/>
  <c r="S98" i="25"/>
  <c r="T98" i="25"/>
  <c r="U98" i="25"/>
  <c r="V98" i="25"/>
  <c r="W98" i="25"/>
  <c r="X98" i="25"/>
  <c r="Y98" i="25"/>
  <c r="AF98" i="25"/>
  <c r="AG98" i="25"/>
  <c r="AH98" i="25"/>
  <c r="AI98" i="25"/>
  <c r="AJ98" i="25"/>
  <c r="AK98" i="25"/>
  <c r="AL98" i="25"/>
  <c r="AM98" i="25"/>
  <c r="AN98" i="25"/>
  <c r="AR98" i="25"/>
  <c r="AS98" i="25"/>
  <c r="AT98" i="25"/>
  <c r="AU98" i="25"/>
  <c r="AW98" i="25"/>
  <c r="AX98" i="25"/>
  <c r="AY98" i="25"/>
  <c r="AZ98" i="25"/>
  <c r="BA98" i="25"/>
  <c r="BB98" i="25"/>
  <c r="BC98" i="25"/>
  <c r="BD98" i="25"/>
  <c r="BE98" i="25"/>
  <c r="BF98" i="25"/>
  <c r="BJ98" i="25"/>
  <c r="BK98" i="25"/>
  <c r="BL98" i="25"/>
  <c r="BM98" i="25"/>
  <c r="BN98" i="25"/>
  <c r="BO98" i="25"/>
  <c r="BQ98" i="25"/>
  <c r="BR98" i="25"/>
  <c r="D102" i="25"/>
  <c r="E102" i="25"/>
  <c r="F102" i="25"/>
  <c r="G102" i="25"/>
  <c r="H102" i="25"/>
  <c r="I102" i="25"/>
  <c r="J102" i="25"/>
  <c r="K102" i="25"/>
  <c r="L102" i="25"/>
  <c r="M102" i="25"/>
  <c r="N102" i="25"/>
  <c r="O102" i="25"/>
  <c r="P102" i="25"/>
  <c r="Q102" i="25"/>
  <c r="R102" i="25"/>
  <c r="S102" i="25"/>
  <c r="T102" i="25"/>
  <c r="U102" i="25"/>
  <c r="V102" i="25"/>
  <c r="W102" i="25"/>
  <c r="X102" i="25"/>
  <c r="Y102" i="25"/>
  <c r="AF102" i="25"/>
  <c r="AG102" i="25"/>
  <c r="AH102" i="25"/>
  <c r="AI102" i="25"/>
  <c r="AJ102" i="25"/>
  <c r="AK102" i="25"/>
  <c r="AL102" i="25"/>
  <c r="AM102" i="25"/>
  <c r="AN102" i="25"/>
  <c r="AR102" i="25"/>
  <c r="AS102" i="25"/>
  <c r="AT102" i="25"/>
  <c r="AU102" i="25"/>
  <c r="AW102" i="25"/>
  <c r="AX102" i="25"/>
  <c r="AY102" i="25"/>
  <c r="AZ102" i="25"/>
  <c r="BA102" i="25"/>
  <c r="BB102" i="25"/>
  <c r="BC102" i="25"/>
  <c r="BD102" i="25"/>
  <c r="BE102" i="25"/>
  <c r="BF102" i="25"/>
  <c r="BJ102" i="25"/>
  <c r="BK102" i="25"/>
  <c r="BL102" i="25"/>
  <c r="BM102" i="25"/>
  <c r="BN102" i="25"/>
  <c r="BO102" i="25"/>
  <c r="BQ102" i="25"/>
  <c r="BR102" i="25"/>
  <c r="D103" i="25"/>
  <c r="E103" i="25"/>
  <c r="F103" i="25"/>
  <c r="G103" i="25"/>
  <c r="H103" i="25"/>
  <c r="I103" i="25"/>
  <c r="J103" i="25"/>
  <c r="K103" i="25"/>
  <c r="L103" i="25"/>
  <c r="M103" i="25"/>
  <c r="N103" i="25"/>
  <c r="O103" i="25"/>
  <c r="P103" i="25"/>
  <c r="Q103" i="25"/>
  <c r="R103" i="25"/>
  <c r="S103" i="25"/>
  <c r="T103" i="25"/>
  <c r="U103" i="25"/>
  <c r="V103" i="25"/>
  <c r="W103" i="25"/>
  <c r="X103" i="25"/>
  <c r="Y103" i="25"/>
  <c r="AF103" i="25"/>
  <c r="AG103" i="25"/>
  <c r="AH103" i="25"/>
  <c r="AI103" i="25"/>
  <c r="AJ103" i="25"/>
  <c r="AK103" i="25"/>
  <c r="AL103" i="25"/>
  <c r="AM103" i="25"/>
  <c r="AN103" i="25"/>
  <c r="AR103" i="25"/>
  <c r="AS103" i="25"/>
  <c r="AT103" i="25"/>
  <c r="AU103" i="25"/>
  <c r="AW103" i="25"/>
  <c r="AX103" i="25"/>
  <c r="AY103" i="25"/>
  <c r="AZ103" i="25"/>
  <c r="BA103" i="25"/>
  <c r="BB103" i="25"/>
  <c r="BC103" i="25"/>
  <c r="BD103" i="25"/>
  <c r="BE103" i="25"/>
  <c r="BF103" i="25"/>
  <c r="BJ103" i="25"/>
  <c r="BK103" i="25"/>
  <c r="BL103" i="25"/>
  <c r="BM103" i="25"/>
  <c r="BN103" i="25"/>
  <c r="BO103" i="25"/>
  <c r="BQ103" i="25"/>
  <c r="BR103" i="25"/>
  <c r="D104" i="25"/>
  <c r="E104" i="25"/>
  <c r="F104" i="25"/>
  <c r="G104" i="25"/>
  <c r="H104" i="25"/>
  <c r="I104" i="25"/>
  <c r="J104" i="25"/>
  <c r="K104" i="25"/>
  <c r="L104" i="25"/>
  <c r="M104" i="25"/>
  <c r="N104" i="25"/>
  <c r="O104" i="25"/>
  <c r="P104" i="25"/>
  <c r="Q104" i="25"/>
  <c r="R104" i="25"/>
  <c r="S104" i="25"/>
  <c r="T104" i="25"/>
  <c r="U104" i="25"/>
  <c r="V104" i="25"/>
  <c r="W104" i="25"/>
  <c r="X104" i="25"/>
  <c r="Y104" i="25"/>
  <c r="AF104" i="25"/>
  <c r="AG104" i="25"/>
  <c r="AH104" i="25"/>
  <c r="AI104" i="25"/>
  <c r="AJ104" i="25"/>
  <c r="AK104" i="25"/>
  <c r="AL104" i="25"/>
  <c r="AM104" i="25"/>
  <c r="AN104" i="25"/>
  <c r="AR104" i="25"/>
  <c r="AS104" i="25"/>
  <c r="AT104" i="25"/>
  <c r="AU104" i="25"/>
  <c r="AW104" i="25"/>
  <c r="AX104" i="25"/>
  <c r="AY104" i="25"/>
  <c r="AZ104" i="25"/>
  <c r="BA104" i="25"/>
  <c r="BB104" i="25"/>
  <c r="BC104" i="25"/>
  <c r="BD104" i="25"/>
  <c r="BE104" i="25"/>
  <c r="BF104" i="25"/>
  <c r="BJ104" i="25"/>
  <c r="BK104" i="25"/>
  <c r="BL104" i="25"/>
  <c r="BM104" i="25"/>
  <c r="BN104" i="25"/>
  <c r="BO104" i="25"/>
  <c r="BP104" i="25"/>
  <c r="BQ104" i="25"/>
  <c r="BR104" i="25"/>
  <c r="D119" i="25"/>
  <c r="E119" i="25"/>
  <c r="F119" i="25"/>
  <c r="G119" i="25"/>
  <c r="H119" i="25"/>
  <c r="I119" i="25"/>
  <c r="J119" i="25"/>
  <c r="K119" i="25"/>
  <c r="L119" i="25"/>
  <c r="M119" i="25"/>
  <c r="N119" i="25"/>
  <c r="O119" i="25"/>
  <c r="P119" i="25"/>
  <c r="Q119" i="25"/>
  <c r="R119" i="25"/>
  <c r="S119" i="25"/>
  <c r="T119" i="25"/>
  <c r="U119" i="25"/>
  <c r="V119" i="25"/>
  <c r="W119" i="25"/>
  <c r="X119" i="25"/>
  <c r="Y119" i="25"/>
  <c r="AF119" i="25"/>
  <c r="AG119" i="25"/>
  <c r="AH119" i="25"/>
  <c r="AI119" i="25"/>
  <c r="AJ119" i="25"/>
  <c r="AK119" i="25"/>
  <c r="AL119" i="25"/>
  <c r="AM119" i="25"/>
  <c r="AN119" i="25"/>
  <c r="AR119" i="25"/>
  <c r="AS119" i="25"/>
  <c r="AT119" i="25"/>
  <c r="AU119" i="25"/>
  <c r="AW119" i="25"/>
  <c r="AX119" i="25"/>
  <c r="AY119" i="25"/>
  <c r="AZ119" i="25"/>
  <c r="BA119" i="25"/>
  <c r="BB119" i="25"/>
  <c r="BC119" i="25"/>
  <c r="BD119" i="25"/>
  <c r="BE119" i="25"/>
  <c r="BF119" i="25"/>
  <c r="BJ119" i="25"/>
  <c r="BK119" i="25"/>
  <c r="BL119" i="25"/>
  <c r="BM119" i="25"/>
  <c r="BN119" i="25"/>
  <c r="BO119" i="25"/>
  <c r="BP119" i="25"/>
  <c r="BQ119" i="25"/>
  <c r="BR119" i="25"/>
  <c r="D125" i="25"/>
  <c r="E125" i="25"/>
  <c r="F125" i="25"/>
  <c r="G125" i="25"/>
  <c r="H125" i="25"/>
  <c r="I125" i="25"/>
  <c r="J125" i="25"/>
  <c r="K125" i="25"/>
  <c r="L125" i="25"/>
  <c r="M125" i="25"/>
  <c r="N125" i="25"/>
  <c r="O125" i="25"/>
  <c r="P125" i="25"/>
  <c r="Q125" i="25"/>
  <c r="R125" i="25"/>
  <c r="S125" i="25"/>
  <c r="T125" i="25"/>
  <c r="U125" i="25"/>
  <c r="V125" i="25"/>
  <c r="W125" i="25"/>
  <c r="X125" i="25"/>
  <c r="Y125" i="25"/>
  <c r="AF125" i="25"/>
  <c r="AG125" i="25"/>
  <c r="AH125" i="25"/>
  <c r="AI125" i="25"/>
  <c r="AJ125" i="25"/>
  <c r="AK125" i="25"/>
  <c r="AL125" i="25"/>
  <c r="AM125" i="25"/>
  <c r="AN125" i="25"/>
  <c r="AR125" i="25"/>
  <c r="AS125" i="25"/>
  <c r="AT125" i="25"/>
  <c r="AU125" i="25"/>
  <c r="AW125" i="25"/>
  <c r="AX125" i="25"/>
  <c r="AY125" i="25"/>
  <c r="AZ125" i="25"/>
  <c r="BA125" i="25"/>
  <c r="BB125" i="25"/>
  <c r="BC125" i="25"/>
  <c r="BD125" i="25"/>
  <c r="BE125" i="25"/>
  <c r="BF125" i="25"/>
  <c r="BJ125" i="25"/>
  <c r="BK125" i="25"/>
  <c r="BL125" i="25"/>
  <c r="BM125" i="25"/>
  <c r="BN125" i="25"/>
  <c r="BO125" i="25"/>
  <c r="BP125" i="25"/>
  <c r="BQ125" i="25"/>
  <c r="BR125" i="25"/>
  <c r="D126" i="25"/>
  <c r="E126" i="25"/>
  <c r="F126" i="25"/>
  <c r="G126" i="25"/>
  <c r="H126" i="25"/>
  <c r="I126" i="25"/>
  <c r="J126" i="25"/>
  <c r="K126" i="25"/>
  <c r="L126" i="25"/>
  <c r="M126" i="25"/>
  <c r="N126" i="25"/>
  <c r="O126" i="25"/>
  <c r="P126" i="25"/>
  <c r="Q126" i="25"/>
  <c r="R126" i="25"/>
  <c r="S126" i="25"/>
  <c r="T126" i="25"/>
  <c r="U126" i="25"/>
  <c r="V126" i="25"/>
  <c r="W126" i="25"/>
  <c r="X126" i="25"/>
  <c r="Y126" i="25"/>
  <c r="AF126" i="25"/>
  <c r="AG126" i="25"/>
  <c r="AH126" i="25"/>
  <c r="AI126" i="25"/>
  <c r="AJ126" i="25"/>
  <c r="AK126" i="25"/>
  <c r="AL126" i="25"/>
  <c r="AM126" i="25"/>
  <c r="AN126" i="25"/>
  <c r="AR126" i="25"/>
  <c r="AS126" i="25"/>
  <c r="AT126" i="25"/>
  <c r="AU126" i="25"/>
  <c r="AW126" i="25"/>
  <c r="AX126" i="25"/>
  <c r="AY126" i="25"/>
  <c r="AZ126" i="25"/>
  <c r="BA126" i="25"/>
  <c r="BB126" i="25"/>
  <c r="BC126" i="25"/>
  <c r="BD126" i="25"/>
  <c r="BE126" i="25"/>
  <c r="BF126" i="25"/>
  <c r="BJ126" i="25"/>
  <c r="BK126" i="25"/>
  <c r="BL126" i="25"/>
  <c r="BM126" i="25"/>
  <c r="BN126" i="25"/>
  <c r="BO126" i="25"/>
  <c r="BP126" i="25"/>
  <c r="BQ126" i="25"/>
  <c r="BR126" i="25"/>
  <c r="D127" i="25"/>
  <c r="E127" i="25"/>
  <c r="F127" i="25"/>
  <c r="G127" i="25"/>
  <c r="H127" i="25"/>
  <c r="I127" i="25"/>
  <c r="J127" i="25"/>
  <c r="K127" i="25"/>
  <c r="L127" i="25"/>
  <c r="M127" i="25"/>
  <c r="N127" i="25"/>
  <c r="O127" i="25"/>
  <c r="P127" i="25"/>
  <c r="Q127" i="25"/>
  <c r="R127" i="25"/>
  <c r="S127" i="25"/>
  <c r="T127" i="25"/>
  <c r="U127" i="25"/>
  <c r="V127" i="25"/>
  <c r="W127" i="25"/>
  <c r="X127" i="25"/>
  <c r="Y127" i="25"/>
  <c r="AF127" i="25"/>
  <c r="AG127" i="25"/>
  <c r="AH127" i="25"/>
  <c r="AI127" i="25"/>
  <c r="AJ127" i="25"/>
  <c r="AK127" i="25"/>
  <c r="AL127" i="25"/>
  <c r="AM127" i="25"/>
  <c r="AN127" i="25"/>
  <c r="AR127" i="25"/>
  <c r="AS127" i="25"/>
  <c r="AT127" i="25"/>
  <c r="AU127" i="25"/>
  <c r="AW127" i="25"/>
  <c r="AX127" i="25"/>
  <c r="AY127" i="25"/>
  <c r="AZ127" i="25"/>
  <c r="BA127" i="25"/>
  <c r="BB127" i="25"/>
  <c r="BC127" i="25"/>
  <c r="BD127" i="25"/>
  <c r="BE127" i="25"/>
  <c r="BF127" i="25"/>
  <c r="BJ127" i="25"/>
  <c r="BK127" i="25"/>
  <c r="BL127" i="25"/>
  <c r="BM127" i="25"/>
  <c r="BN127" i="25"/>
  <c r="BO127" i="25"/>
  <c r="BP127" i="25"/>
  <c r="BQ127" i="25"/>
  <c r="BR127" i="25"/>
  <c r="D128" i="25"/>
  <c r="E128" i="25"/>
  <c r="F128" i="25"/>
  <c r="G128" i="25"/>
  <c r="H128" i="25"/>
  <c r="I128" i="25"/>
  <c r="J128" i="25"/>
  <c r="K128" i="25"/>
  <c r="L128" i="25"/>
  <c r="M128" i="25"/>
  <c r="N128" i="25"/>
  <c r="O128" i="25"/>
  <c r="P128" i="25"/>
  <c r="Q128" i="25"/>
  <c r="R128" i="25"/>
  <c r="S128" i="25"/>
  <c r="T128" i="25"/>
  <c r="U128" i="25"/>
  <c r="V128" i="25"/>
  <c r="W128" i="25"/>
  <c r="X128" i="25"/>
  <c r="Y128" i="25"/>
  <c r="AF128" i="25"/>
  <c r="AG128" i="25"/>
  <c r="AH128" i="25"/>
  <c r="AI128" i="25"/>
  <c r="AJ128" i="25"/>
  <c r="AK128" i="25"/>
  <c r="AL128" i="25"/>
  <c r="AM128" i="25"/>
  <c r="AN128" i="25"/>
  <c r="AR128" i="25"/>
  <c r="AS128" i="25"/>
  <c r="AT128" i="25"/>
  <c r="AU128" i="25"/>
  <c r="AW128" i="25"/>
  <c r="AX128" i="25"/>
  <c r="AY128" i="25"/>
  <c r="AZ128" i="25"/>
  <c r="BA128" i="25"/>
  <c r="BB128" i="25"/>
  <c r="BC128" i="25"/>
  <c r="BD128" i="25"/>
  <c r="BE128" i="25"/>
  <c r="BF128" i="25"/>
  <c r="BJ128" i="25"/>
  <c r="BK128" i="25"/>
  <c r="BL128" i="25"/>
  <c r="BM128" i="25"/>
  <c r="BN128" i="25"/>
  <c r="BO128" i="25"/>
  <c r="BP128" i="25"/>
  <c r="BQ128" i="25"/>
  <c r="BR128" i="25"/>
  <c r="D129" i="25"/>
  <c r="E129" i="25"/>
  <c r="F129" i="25"/>
  <c r="G129" i="25"/>
  <c r="H129" i="25"/>
  <c r="I129" i="25"/>
  <c r="J129" i="25"/>
  <c r="K129" i="25"/>
  <c r="L129" i="25"/>
  <c r="M129" i="25"/>
  <c r="N129" i="25"/>
  <c r="O129" i="25"/>
  <c r="P129" i="25"/>
  <c r="Q129" i="25"/>
  <c r="R129" i="25"/>
  <c r="S129" i="25"/>
  <c r="T129" i="25"/>
  <c r="U129" i="25"/>
  <c r="V129" i="25"/>
  <c r="W129" i="25"/>
  <c r="X129" i="25"/>
  <c r="Y129" i="25"/>
  <c r="AF129" i="25"/>
  <c r="AG129" i="25"/>
  <c r="AH129" i="25"/>
  <c r="AI129" i="25"/>
  <c r="AJ129" i="25"/>
  <c r="AK129" i="25"/>
  <c r="AL129" i="25"/>
  <c r="AM129" i="25"/>
  <c r="AN129" i="25"/>
  <c r="AR129" i="25"/>
  <c r="AS129" i="25"/>
  <c r="AT129" i="25"/>
  <c r="AU129" i="25"/>
  <c r="AW129" i="25"/>
  <c r="AX129" i="25"/>
  <c r="AY129" i="25"/>
  <c r="AZ129" i="25"/>
  <c r="BA129" i="25"/>
  <c r="BB129" i="25"/>
  <c r="BC129" i="25"/>
  <c r="BD129" i="25"/>
  <c r="BE129" i="25"/>
  <c r="BF129" i="25"/>
  <c r="BJ129" i="25"/>
  <c r="BK129" i="25"/>
  <c r="BL129" i="25"/>
  <c r="BM129" i="25"/>
  <c r="BN129" i="25"/>
  <c r="BO129" i="25"/>
  <c r="BP129" i="25"/>
  <c r="BQ129" i="25"/>
  <c r="BR129" i="25"/>
  <c r="D130" i="25"/>
  <c r="E130" i="25"/>
  <c r="F130" i="25"/>
  <c r="G130" i="25"/>
  <c r="H130" i="25"/>
  <c r="I130" i="25"/>
  <c r="J130" i="25"/>
  <c r="K130" i="25"/>
  <c r="L130" i="25"/>
  <c r="M130" i="25"/>
  <c r="N130" i="25"/>
  <c r="O130" i="25"/>
  <c r="P130" i="25"/>
  <c r="Q130" i="25"/>
  <c r="R130" i="25"/>
  <c r="S130" i="25"/>
  <c r="T130" i="25"/>
  <c r="U130" i="25"/>
  <c r="V130" i="25"/>
  <c r="W130" i="25"/>
  <c r="X130" i="25"/>
  <c r="Y130" i="25"/>
  <c r="AF130" i="25"/>
  <c r="AG130" i="25"/>
  <c r="AH130" i="25"/>
  <c r="AI130" i="25"/>
  <c r="AJ130" i="25"/>
  <c r="AK130" i="25"/>
  <c r="AL130" i="25"/>
  <c r="AM130" i="25"/>
  <c r="AN130" i="25"/>
  <c r="AR130" i="25"/>
  <c r="AS130" i="25"/>
  <c r="AT130" i="25"/>
  <c r="AU130" i="25"/>
  <c r="AW130" i="25"/>
  <c r="AX130" i="25"/>
  <c r="AY130" i="25"/>
  <c r="AZ130" i="25"/>
  <c r="BA130" i="25"/>
  <c r="BB130" i="25"/>
  <c r="BC130" i="25"/>
  <c r="BD130" i="25"/>
  <c r="BE130" i="25"/>
  <c r="BF130" i="25"/>
  <c r="BJ130" i="25"/>
  <c r="BK130" i="25"/>
  <c r="BL130" i="25"/>
  <c r="BM130" i="25"/>
  <c r="BN130" i="25"/>
  <c r="BO130" i="25"/>
  <c r="BP130" i="25"/>
  <c r="BQ130" i="25"/>
  <c r="BR130" i="25"/>
  <c r="D131" i="25"/>
  <c r="E131" i="25"/>
  <c r="F131" i="25"/>
  <c r="G131" i="25"/>
  <c r="H131" i="25"/>
  <c r="I131" i="25"/>
  <c r="J131" i="25"/>
  <c r="K131" i="25"/>
  <c r="L131" i="25"/>
  <c r="M131" i="25"/>
  <c r="N131" i="25"/>
  <c r="O131" i="25"/>
  <c r="P131" i="25"/>
  <c r="Q131" i="25"/>
  <c r="R131" i="25"/>
  <c r="S131" i="25"/>
  <c r="T131" i="25"/>
  <c r="U131" i="25"/>
  <c r="V131" i="25"/>
  <c r="W131" i="25"/>
  <c r="X131" i="25"/>
  <c r="Y131" i="25"/>
  <c r="AF131" i="25"/>
  <c r="AG131" i="25"/>
  <c r="AH131" i="25"/>
  <c r="AI131" i="25"/>
  <c r="AJ131" i="25"/>
  <c r="AK131" i="25"/>
  <c r="AL131" i="25"/>
  <c r="AM131" i="25"/>
  <c r="AN131" i="25"/>
  <c r="AR131" i="25"/>
  <c r="AS131" i="25"/>
  <c r="AT131" i="25"/>
  <c r="AU131" i="25"/>
  <c r="AW131" i="25"/>
  <c r="AX131" i="25"/>
  <c r="AY131" i="25"/>
  <c r="AZ131" i="25"/>
  <c r="BA131" i="25"/>
  <c r="BB131" i="25"/>
  <c r="BC131" i="25"/>
  <c r="BD131" i="25"/>
  <c r="BE131" i="25"/>
  <c r="BF131" i="25"/>
  <c r="BJ131" i="25"/>
  <c r="BK131" i="25"/>
  <c r="BL131" i="25"/>
  <c r="BM131" i="25"/>
  <c r="BN131" i="25"/>
  <c r="BO131" i="25"/>
  <c r="BP131" i="25"/>
  <c r="BQ131" i="25"/>
  <c r="BR131" i="25"/>
  <c r="D132" i="25"/>
  <c r="E132" i="25"/>
  <c r="F132" i="25"/>
  <c r="G132" i="25"/>
  <c r="H132" i="25"/>
  <c r="I132" i="25"/>
  <c r="J132" i="25"/>
  <c r="K132" i="25"/>
  <c r="L132" i="25"/>
  <c r="M132" i="25"/>
  <c r="N132" i="25"/>
  <c r="O132" i="25"/>
  <c r="P132" i="25"/>
  <c r="Q132" i="25"/>
  <c r="R132" i="25"/>
  <c r="S132" i="25"/>
  <c r="T132" i="25"/>
  <c r="U132" i="25"/>
  <c r="V132" i="25"/>
  <c r="W132" i="25"/>
  <c r="X132" i="25"/>
  <c r="Y132" i="25"/>
  <c r="AF132" i="25"/>
  <c r="AG132" i="25"/>
  <c r="AH132" i="25"/>
  <c r="AI132" i="25"/>
  <c r="AJ132" i="25"/>
  <c r="AK132" i="25"/>
  <c r="AL132" i="25"/>
  <c r="AM132" i="25"/>
  <c r="AN132" i="25"/>
  <c r="AR132" i="25"/>
  <c r="AS132" i="25"/>
  <c r="AT132" i="25"/>
  <c r="AU132" i="25"/>
  <c r="AW132" i="25"/>
  <c r="AX132" i="25"/>
  <c r="AY132" i="25"/>
  <c r="AZ132" i="25"/>
  <c r="BA132" i="25"/>
  <c r="BB132" i="25"/>
  <c r="BC132" i="25"/>
  <c r="BD132" i="25"/>
  <c r="BE132" i="25"/>
  <c r="BF132" i="25"/>
  <c r="BJ132" i="25"/>
  <c r="BK132" i="25"/>
  <c r="BL132" i="25"/>
  <c r="BM132" i="25"/>
  <c r="BN132" i="25"/>
  <c r="BO132" i="25"/>
  <c r="BP132" i="25"/>
  <c r="BQ132" i="25"/>
  <c r="BR132" i="25"/>
  <c r="D133" i="25"/>
  <c r="E133" i="25"/>
  <c r="F133" i="25"/>
  <c r="G133" i="25"/>
  <c r="H133" i="25"/>
  <c r="I133" i="25"/>
  <c r="J133" i="25"/>
  <c r="K133" i="25"/>
  <c r="L133" i="25"/>
  <c r="M133" i="25"/>
  <c r="N133" i="25"/>
  <c r="O133" i="25"/>
  <c r="P133" i="25"/>
  <c r="Q133" i="25"/>
  <c r="R133" i="25"/>
  <c r="S133" i="25"/>
  <c r="T133" i="25"/>
  <c r="U133" i="25"/>
  <c r="V133" i="25"/>
  <c r="W133" i="25"/>
  <c r="X133" i="25"/>
  <c r="Y133" i="25"/>
  <c r="AF133" i="25"/>
  <c r="AG133" i="25"/>
  <c r="AH133" i="25"/>
  <c r="AI133" i="25"/>
  <c r="AJ133" i="25"/>
  <c r="AK133" i="25"/>
  <c r="AL133" i="25"/>
  <c r="AM133" i="25"/>
  <c r="AN133" i="25"/>
  <c r="AR133" i="25"/>
  <c r="AS133" i="25"/>
  <c r="AT133" i="25"/>
  <c r="AU133" i="25"/>
  <c r="AW133" i="25"/>
  <c r="AX133" i="25"/>
  <c r="AY133" i="25"/>
  <c r="AZ133" i="25"/>
  <c r="BA133" i="25"/>
  <c r="BB133" i="25"/>
  <c r="BC133" i="25"/>
  <c r="BD133" i="25"/>
  <c r="BE133" i="25"/>
  <c r="BF133" i="25"/>
  <c r="BJ133" i="25"/>
  <c r="BK133" i="25"/>
  <c r="BL133" i="25"/>
  <c r="BM133" i="25"/>
  <c r="BN133" i="25"/>
  <c r="BO133" i="25"/>
  <c r="BP133" i="25"/>
  <c r="BQ133" i="25"/>
  <c r="BR133" i="25"/>
  <c r="D134" i="25"/>
  <c r="E134" i="25"/>
  <c r="F134" i="25"/>
  <c r="G134" i="25"/>
  <c r="H134" i="25"/>
  <c r="I134" i="25"/>
  <c r="J134" i="25"/>
  <c r="K134" i="25"/>
  <c r="L134" i="25"/>
  <c r="M134" i="25"/>
  <c r="N134" i="25"/>
  <c r="O134" i="25"/>
  <c r="P134" i="25"/>
  <c r="Q134" i="25"/>
  <c r="R134" i="25"/>
  <c r="S134" i="25"/>
  <c r="T134" i="25"/>
  <c r="U134" i="25"/>
  <c r="V134" i="25"/>
  <c r="W134" i="25"/>
  <c r="X134" i="25"/>
  <c r="Y134" i="25"/>
  <c r="AF134" i="25"/>
  <c r="AG134" i="25"/>
  <c r="AH134" i="25"/>
  <c r="AI134" i="25"/>
  <c r="AJ134" i="25"/>
  <c r="AK134" i="25"/>
  <c r="AL134" i="25"/>
  <c r="AM134" i="25"/>
  <c r="AN134" i="25"/>
  <c r="AR134" i="25"/>
  <c r="AS134" i="25"/>
  <c r="AT134" i="25"/>
  <c r="AU134" i="25"/>
  <c r="AW134" i="25"/>
  <c r="AX134" i="25"/>
  <c r="AY134" i="25"/>
  <c r="AZ134" i="25"/>
  <c r="BA134" i="25"/>
  <c r="BB134" i="25"/>
  <c r="BC134" i="25"/>
  <c r="BD134" i="25"/>
  <c r="BE134" i="25"/>
  <c r="BF134" i="25"/>
  <c r="BJ134" i="25"/>
  <c r="BK134" i="25"/>
  <c r="BL134" i="25"/>
  <c r="BM134" i="25"/>
  <c r="BN134" i="25"/>
  <c r="BO134" i="25"/>
  <c r="BP134" i="25"/>
  <c r="BQ134" i="25"/>
  <c r="BR134" i="25"/>
  <c r="D135" i="25"/>
  <c r="E135" i="25"/>
  <c r="F135" i="25"/>
  <c r="G135" i="25"/>
  <c r="H135" i="25"/>
  <c r="I135" i="25"/>
  <c r="J135" i="25"/>
  <c r="K135" i="25"/>
  <c r="L135" i="25"/>
  <c r="M135" i="25"/>
  <c r="N135" i="25"/>
  <c r="O135" i="25"/>
  <c r="P135" i="25"/>
  <c r="Q135" i="25"/>
  <c r="R135" i="25"/>
  <c r="S135" i="25"/>
  <c r="T135" i="25"/>
  <c r="U135" i="25"/>
  <c r="V135" i="25"/>
  <c r="W135" i="25"/>
  <c r="X135" i="25"/>
  <c r="Y135" i="25"/>
  <c r="AF135" i="25"/>
  <c r="AG135" i="25"/>
  <c r="AH135" i="25"/>
  <c r="AI135" i="25"/>
  <c r="AJ135" i="25"/>
  <c r="AK135" i="25"/>
  <c r="AL135" i="25"/>
  <c r="AM135" i="25"/>
  <c r="AN135" i="25"/>
  <c r="AR135" i="25"/>
  <c r="AS135" i="25"/>
  <c r="AT135" i="25"/>
  <c r="AU135" i="25"/>
  <c r="AW135" i="25"/>
  <c r="AX135" i="25"/>
  <c r="AY135" i="25"/>
  <c r="AZ135" i="25"/>
  <c r="BA135" i="25"/>
  <c r="BB135" i="25"/>
  <c r="BC135" i="25"/>
  <c r="BD135" i="25"/>
  <c r="BE135" i="25"/>
  <c r="BF135" i="25"/>
  <c r="BJ135" i="25"/>
  <c r="BK135" i="25"/>
  <c r="BL135" i="25"/>
  <c r="BM135" i="25"/>
  <c r="BN135" i="25"/>
  <c r="BO135" i="25"/>
  <c r="BP135" i="25"/>
  <c r="BQ135" i="25"/>
  <c r="BR135" i="25"/>
  <c r="D136" i="25"/>
  <c r="E136" i="25"/>
  <c r="F136" i="25"/>
  <c r="G136" i="25"/>
  <c r="H136" i="25"/>
  <c r="I136" i="25"/>
  <c r="J136" i="25"/>
  <c r="K136" i="25"/>
  <c r="L136" i="25"/>
  <c r="M136" i="25"/>
  <c r="N136" i="25"/>
  <c r="O136" i="25"/>
  <c r="P136" i="25"/>
  <c r="Q136" i="25"/>
  <c r="R136" i="25"/>
  <c r="S136" i="25"/>
  <c r="T136" i="25"/>
  <c r="U136" i="25"/>
  <c r="V136" i="25"/>
  <c r="W136" i="25"/>
  <c r="X136" i="25"/>
  <c r="Y136" i="25"/>
  <c r="AF136" i="25"/>
  <c r="AG136" i="25"/>
  <c r="AH136" i="25"/>
  <c r="AI136" i="25"/>
  <c r="AJ136" i="25"/>
  <c r="AK136" i="25"/>
  <c r="AL136" i="25"/>
  <c r="AM136" i="25"/>
  <c r="AN136" i="25"/>
  <c r="AR136" i="25"/>
  <c r="AS136" i="25"/>
  <c r="AT136" i="25"/>
  <c r="AU136" i="25"/>
  <c r="AW136" i="25"/>
  <c r="AX136" i="25"/>
  <c r="AY136" i="25"/>
  <c r="AZ136" i="25"/>
  <c r="BA136" i="25"/>
  <c r="BB136" i="25"/>
  <c r="BC136" i="25"/>
  <c r="BD136" i="25"/>
  <c r="BE136" i="25"/>
  <c r="BF136" i="25"/>
  <c r="BJ136" i="25"/>
  <c r="BK136" i="25"/>
  <c r="BL136" i="25"/>
  <c r="BM136" i="25"/>
  <c r="BN136" i="25"/>
  <c r="BO136" i="25"/>
  <c r="BP136" i="25"/>
  <c r="BQ136" i="25"/>
  <c r="BR136" i="25"/>
  <c r="D137" i="25"/>
  <c r="E137" i="25"/>
  <c r="F137" i="25"/>
  <c r="G137" i="25"/>
  <c r="H137" i="25"/>
  <c r="I137" i="25"/>
  <c r="J137" i="25"/>
  <c r="K137" i="25"/>
  <c r="L137" i="25"/>
  <c r="M137" i="25"/>
  <c r="N137" i="25"/>
  <c r="O137" i="25"/>
  <c r="P137" i="25"/>
  <c r="Q137" i="25"/>
  <c r="R137" i="25"/>
  <c r="S137" i="25"/>
  <c r="T137" i="25"/>
  <c r="U137" i="25"/>
  <c r="V137" i="25"/>
  <c r="W137" i="25"/>
  <c r="X137" i="25"/>
  <c r="Y137" i="25"/>
  <c r="AF137" i="25"/>
  <c r="AG137" i="25"/>
  <c r="AH137" i="25"/>
  <c r="AI137" i="25"/>
  <c r="AJ137" i="25"/>
  <c r="AK137" i="25"/>
  <c r="AL137" i="25"/>
  <c r="AM137" i="25"/>
  <c r="AN137" i="25"/>
  <c r="AR137" i="25"/>
  <c r="AS137" i="25"/>
  <c r="AT137" i="25"/>
  <c r="AU137" i="25"/>
  <c r="AW137" i="25"/>
  <c r="AX137" i="25"/>
  <c r="AY137" i="25"/>
  <c r="AZ137" i="25"/>
  <c r="BA137" i="25"/>
  <c r="BB137" i="25"/>
  <c r="BC137" i="25"/>
  <c r="BD137" i="25"/>
  <c r="BE137" i="25"/>
  <c r="BF137" i="25"/>
  <c r="BJ137" i="25"/>
  <c r="BK137" i="25"/>
  <c r="BL137" i="25"/>
  <c r="BM137" i="25"/>
  <c r="BN137" i="25"/>
  <c r="BO137" i="25"/>
  <c r="BP137" i="25"/>
  <c r="BQ137" i="25"/>
  <c r="BR137" i="25"/>
  <c r="D138" i="25"/>
  <c r="E138" i="25"/>
  <c r="F138" i="25"/>
  <c r="G138" i="25"/>
  <c r="H138" i="25"/>
  <c r="I138" i="25"/>
  <c r="J138" i="25"/>
  <c r="K138" i="25"/>
  <c r="L138" i="25"/>
  <c r="M138" i="25"/>
  <c r="N138" i="25"/>
  <c r="O138" i="25"/>
  <c r="P138" i="25"/>
  <c r="Q138" i="25"/>
  <c r="R138" i="25"/>
  <c r="S138" i="25"/>
  <c r="T138" i="25"/>
  <c r="U138" i="25"/>
  <c r="V138" i="25"/>
  <c r="W138" i="25"/>
  <c r="X138" i="25"/>
  <c r="Y138" i="25"/>
  <c r="AF138" i="25"/>
  <c r="AG138" i="25"/>
  <c r="AH138" i="25"/>
  <c r="AI138" i="25"/>
  <c r="AJ138" i="25"/>
  <c r="AK138" i="25"/>
  <c r="AL138" i="25"/>
  <c r="AM138" i="25"/>
  <c r="AN138" i="25"/>
  <c r="AR138" i="25"/>
  <c r="AS138" i="25"/>
  <c r="AT138" i="25"/>
  <c r="AU138" i="25"/>
  <c r="AW138" i="25"/>
  <c r="AX138" i="25"/>
  <c r="AY138" i="25"/>
  <c r="AZ138" i="25"/>
  <c r="BA138" i="25"/>
  <c r="BB138" i="25"/>
  <c r="BC138" i="25"/>
  <c r="BD138" i="25"/>
  <c r="BE138" i="25"/>
  <c r="BF138" i="25"/>
  <c r="BJ138" i="25"/>
  <c r="BK138" i="25"/>
  <c r="BL138" i="25"/>
  <c r="BM138" i="25"/>
  <c r="BN138" i="25"/>
  <c r="BO138" i="25"/>
  <c r="BP138" i="25"/>
  <c r="BQ138" i="25"/>
  <c r="BR138" i="25"/>
  <c r="D139" i="25"/>
  <c r="E139" i="25"/>
  <c r="F139" i="25"/>
  <c r="G139" i="25"/>
  <c r="H139" i="25"/>
  <c r="I139" i="25"/>
  <c r="J139" i="25"/>
  <c r="K139" i="25"/>
  <c r="L139" i="25"/>
  <c r="M139" i="25"/>
  <c r="N139" i="25"/>
  <c r="O139" i="25"/>
  <c r="P139" i="25"/>
  <c r="Q139" i="25"/>
  <c r="R139" i="25"/>
  <c r="S139" i="25"/>
  <c r="T139" i="25"/>
  <c r="U139" i="25"/>
  <c r="V139" i="25"/>
  <c r="W139" i="25"/>
  <c r="X139" i="25"/>
  <c r="Y139" i="25"/>
  <c r="AF139" i="25"/>
  <c r="AG139" i="25"/>
  <c r="AH139" i="25"/>
  <c r="AI139" i="25"/>
  <c r="AJ139" i="25"/>
  <c r="AK139" i="25"/>
  <c r="AL139" i="25"/>
  <c r="AM139" i="25"/>
  <c r="AN139" i="25"/>
  <c r="AR139" i="25"/>
  <c r="AS139" i="25"/>
  <c r="AT139" i="25"/>
  <c r="AU139" i="25"/>
  <c r="AW139" i="25"/>
  <c r="AX139" i="25"/>
  <c r="AY139" i="25"/>
  <c r="AZ139" i="25"/>
  <c r="BA139" i="25"/>
  <c r="BB139" i="25"/>
  <c r="BC139" i="25"/>
  <c r="BD139" i="25"/>
  <c r="BE139" i="25"/>
  <c r="BF139" i="25"/>
  <c r="BJ139" i="25"/>
  <c r="BK139" i="25"/>
  <c r="BL139" i="25"/>
  <c r="BM139" i="25"/>
  <c r="BN139" i="25"/>
  <c r="BO139" i="25"/>
  <c r="BP139" i="25"/>
  <c r="BQ139" i="25"/>
  <c r="BR139" i="25"/>
  <c r="D140" i="25"/>
  <c r="E140" i="25"/>
  <c r="F140" i="25"/>
  <c r="G140" i="25"/>
  <c r="H140" i="25"/>
  <c r="I140" i="25"/>
  <c r="J140" i="25"/>
  <c r="K140" i="25"/>
  <c r="L140" i="25"/>
  <c r="M140" i="25"/>
  <c r="N140" i="25"/>
  <c r="O140" i="25"/>
  <c r="P140" i="25"/>
  <c r="Q140" i="25"/>
  <c r="R140" i="25"/>
  <c r="S140" i="25"/>
  <c r="T140" i="25"/>
  <c r="U140" i="25"/>
  <c r="V140" i="25"/>
  <c r="W140" i="25"/>
  <c r="X140" i="25"/>
  <c r="Y140" i="25"/>
  <c r="AF140" i="25"/>
  <c r="AG140" i="25"/>
  <c r="AH140" i="25"/>
  <c r="AI140" i="25"/>
  <c r="AJ140" i="25"/>
  <c r="AK140" i="25"/>
  <c r="AL140" i="25"/>
  <c r="AM140" i="25"/>
  <c r="AN140" i="25"/>
  <c r="AR140" i="25"/>
  <c r="AS140" i="25"/>
  <c r="AT140" i="25"/>
  <c r="AU140" i="25"/>
  <c r="AW140" i="25"/>
  <c r="AX140" i="25"/>
  <c r="AY140" i="25"/>
  <c r="AZ140" i="25"/>
  <c r="BA140" i="25"/>
  <c r="BB140" i="25"/>
  <c r="BC140" i="25"/>
  <c r="BD140" i="25"/>
  <c r="BE140" i="25"/>
  <c r="BF140" i="25"/>
  <c r="BJ140" i="25"/>
  <c r="BK140" i="25"/>
  <c r="BL140" i="25"/>
  <c r="BM140" i="25"/>
  <c r="BN140" i="25"/>
  <c r="BO140" i="25"/>
  <c r="BP140" i="25"/>
  <c r="BQ140" i="25"/>
  <c r="BR140" i="25"/>
  <c r="D141" i="25"/>
  <c r="E141" i="25"/>
  <c r="F141" i="25"/>
  <c r="G141" i="25"/>
  <c r="H141" i="25"/>
  <c r="I141" i="25"/>
  <c r="J141" i="25"/>
  <c r="K141" i="25"/>
  <c r="L141" i="25"/>
  <c r="M141" i="25"/>
  <c r="N141" i="25"/>
  <c r="O141" i="25"/>
  <c r="P141" i="25"/>
  <c r="Q141" i="25"/>
  <c r="R141" i="25"/>
  <c r="S141" i="25"/>
  <c r="T141" i="25"/>
  <c r="U141" i="25"/>
  <c r="V141" i="25"/>
  <c r="W141" i="25"/>
  <c r="X141" i="25"/>
  <c r="Y141" i="25"/>
  <c r="AF141" i="25"/>
  <c r="AG141" i="25"/>
  <c r="AH141" i="25"/>
  <c r="AI141" i="25"/>
  <c r="AJ141" i="25"/>
  <c r="AK141" i="25"/>
  <c r="AL141" i="25"/>
  <c r="AM141" i="25"/>
  <c r="AN141" i="25"/>
  <c r="AR141" i="25"/>
  <c r="AS141" i="25"/>
  <c r="AT141" i="25"/>
  <c r="AU141" i="25"/>
  <c r="AW141" i="25"/>
  <c r="AX141" i="25"/>
  <c r="AY141" i="25"/>
  <c r="AZ141" i="25"/>
  <c r="BA141" i="25"/>
  <c r="BB141" i="25"/>
  <c r="BC141" i="25"/>
  <c r="BD141" i="25"/>
  <c r="BE141" i="25"/>
  <c r="BF141" i="25"/>
  <c r="BJ141" i="25"/>
  <c r="BK141" i="25"/>
  <c r="BL141" i="25"/>
  <c r="BM141" i="25"/>
  <c r="BN141" i="25"/>
  <c r="BO141" i="25"/>
  <c r="BP141" i="25"/>
  <c r="BQ141" i="25"/>
  <c r="BR141" i="25"/>
  <c r="D142" i="25"/>
  <c r="E142" i="25"/>
  <c r="F142" i="25"/>
  <c r="G142" i="25"/>
  <c r="H142" i="25"/>
  <c r="I142" i="25"/>
  <c r="J142" i="25"/>
  <c r="K142" i="25"/>
  <c r="L142" i="25"/>
  <c r="M142" i="25"/>
  <c r="N142" i="25"/>
  <c r="O142" i="25"/>
  <c r="P142" i="25"/>
  <c r="Q142" i="25"/>
  <c r="R142" i="25"/>
  <c r="S142" i="25"/>
  <c r="T142" i="25"/>
  <c r="U142" i="25"/>
  <c r="V142" i="25"/>
  <c r="W142" i="25"/>
  <c r="X142" i="25"/>
  <c r="Y142" i="25"/>
  <c r="AF142" i="25"/>
  <c r="AG142" i="25"/>
  <c r="AH142" i="25"/>
  <c r="AI142" i="25"/>
  <c r="AJ142" i="25"/>
  <c r="AK142" i="25"/>
  <c r="AL142" i="25"/>
  <c r="AM142" i="25"/>
  <c r="AN142" i="25"/>
  <c r="AR142" i="25"/>
  <c r="AS142" i="25"/>
  <c r="AV142" i="25" s="1"/>
  <c r="AT142" i="25"/>
  <c r="AU142" i="25"/>
  <c r="AW142" i="25"/>
  <c r="AX142" i="25"/>
  <c r="AY142" i="25"/>
  <c r="AZ142" i="25"/>
  <c r="BA142" i="25"/>
  <c r="BB142" i="25"/>
  <c r="BC142" i="25"/>
  <c r="BD142" i="25"/>
  <c r="BE142" i="25"/>
  <c r="BF142" i="25"/>
  <c r="BJ142" i="25"/>
  <c r="BK142" i="25"/>
  <c r="BL142" i="25"/>
  <c r="BM142" i="25"/>
  <c r="BN142" i="25"/>
  <c r="BO142" i="25"/>
  <c r="BP142" i="25"/>
  <c r="BQ142" i="25"/>
  <c r="BR142" i="25"/>
  <c r="D143" i="25"/>
  <c r="E143" i="25"/>
  <c r="F143" i="25"/>
  <c r="G143" i="25"/>
  <c r="H143" i="25"/>
  <c r="I143" i="25"/>
  <c r="J143" i="25"/>
  <c r="K143" i="25"/>
  <c r="L143" i="25"/>
  <c r="M143" i="25"/>
  <c r="N143" i="25"/>
  <c r="O143" i="25"/>
  <c r="P143" i="25"/>
  <c r="Q143" i="25"/>
  <c r="R143" i="25"/>
  <c r="S143" i="25"/>
  <c r="T143" i="25"/>
  <c r="U143" i="25"/>
  <c r="V143" i="25"/>
  <c r="W143" i="25"/>
  <c r="X143" i="25"/>
  <c r="Y143" i="25"/>
  <c r="AF143" i="25"/>
  <c r="AG143" i="25"/>
  <c r="AH143" i="25"/>
  <c r="AI143" i="25"/>
  <c r="AJ143" i="25"/>
  <c r="AK143" i="25"/>
  <c r="AL143" i="25"/>
  <c r="AM143" i="25"/>
  <c r="AN143" i="25"/>
  <c r="AR143" i="25"/>
  <c r="AS143" i="25"/>
  <c r="AV143" i="25" s="1"/>
  <c r="AT143" i="25"/>
  <c r="AU143" i="25"/>
  <c r="AW143" i="25"/>
  <c r="AX143" i="25"/>
  <c r="AY143" i="25"/>
  <c r="AZ143" i="25"/>
  <c r="BA143" i="25"/>
  <c r="BB143" i="25"/>
  <c r="BC143" i="25"/>
  <c r="BD143" i="25"/>
  <c r="BE143" i="25"/>
  <c r="BF143" i="25"/>
  <c r="BJ143" i="25"/>
  <c r="BK143" i="25"/>
  <c r="BL143" i="25"/>
  <c r="BM143" i="25"/>
  <c r="BN143" i="25"/>
  <c r="BO143" i="25"/>
  <c r="BP143" i="25"/>
  <c r="BQ143" i="25"/>
  <c r="BR143" i="25"/>
  <c r="D144" i="25"/>
  <c r="E144" i="25"/>
  <c r="F144" i="25"/>
  <c r="G144" i="25"/>
  <c r="H144" i="25"/>
  <c r="I144" i="25"/>
  <c r="J144" i="25"/>
  <c r="K144" i="25"/>
  <c r="L144" i="25"/>
  <c r="M144" i="25"/>
  <c r="N144" i="25"/>
  <c r="O144" i="25"/>
  <c r="P144" i="25"/>
  <c r="Q144" i="25"/>
  <c r="R144" i="25"/>
  <c r="S144" i="25"/>
  <c r="T144" i="25"/>
  <c r="U144" i="25"/>
  <c r="V144" i="25"/>
  <c r="W144" i="25"/>
  <c r="X144" i="25"/>
  <c r="Y144" i="25"/>
  <c r="AF144" i="25"/>
  <c r="AG144" i="25"/>
  <c r="AH144" i="25"/>
  <c r="AI144" i="25"/>
  <c r="AJ144" i="25"/>
  <c r="AK144" i="25"/>
  <c r="AL144" i="25"/>
  <c r="AM144" i="25"/>
  <c r="AN144" i="25"/>
  <c r="AR144" i="25"/>
  <c r="AS144" i="25"/>
  <c r="AV144" i="25" s="1"/>
  <c r="AT144" i="25"/>
  <c r="AU144" i="25"/>
  <c r="AW144" i="25"/>
  <c r="AX144" i="25"/>
  <c r="AY144" i="25"/>
  <c r="AZ144" i="25"/>
  <c r="BA144" i="25"/>
  <c r="BB144" i="25"/>
  <c r="BC144" i="25"/>
  <c r="BD144" i="25"/>
  <c r="BE144" i="25"/>
  <c r="BF144" i="25"/>
  <c r="BJ144" i="25"/>
  <c r="BK144" i="25"/>
  <c r="BL144" i="25"/>
  <c r="BM144" i="25"/>
  <c r="BN144" i="25"/>
  <c r="BO144" i="25"/>
  <c r="BP144" i="25"/>
  <c r="BQ144" i="25"/>
  <c r="BR144" i="25"/>
  <c r="D145" i="25"/>
  <c r="E145" i="25"/>
  <c r="F145" i="25"/>
  <c r="G145" i="25"/>
  <c r="H145" i="25"/>
  <c r="I145" i="25"/>
  <c r="J145" i="25"/>
  <c r="K145" i="25"/>
  <c r="L145" i="25"/>
  <c r="M145" i="25"/>
  <c r="N145" i="25"/>
  <c r="O145" i="25"/>
  <c r="P145" i="25"/>
  <c r="Q145" i="25"/>
  <c r="R145" i="25"/>
  <c r="S145" i="25"/>
  <c r="T145" i="25"/>
  <c r="U145" i="25"/>
  <c r="V145" i="25"/>
  <c r="W145" i="25"/>
  <c r="X145" i="25"/>
  <c r="Y145" i="25"/>
  <c r="AF145" i="25"/>
  <c r="AG145" i="25"/>
  <c r="AH145" i="25"/>
  <c r="AI145" i="25"/>
  <c r="AJ145" i="25"/>
  <c r="AK145" i="25"/>
  <c r="AL145" i="25"/>
  <c r="AM145" i="25"/>
  <c r="AN145" i="25"/>
  <c r="AR145" i="25"/>
  <c r="AS145" i="25"/>
  <c r="AV145" i="25" s="1"/>
  <c r="AT145" i="25"/>
  <c r="AU145" i="25"/>
  <c r="AW145" i="25"/>
  <c r="AX145" i="25"/>
  <c r="AY145" i="25"/>
  <c r="AZ145" i="25"/>
  <c r="BA145" i="25"/>
  <c r="BB145" i="25"/>
  <c r="BC145" i="25"/>
  <c r="BD145" i="25"/>
  <c r="BE145" i="25"/>
  <c r="BF145" i="25"/>
  <c r="BJ145" i="25"/>
  <c r="BK145" i="25"/>
  <c r="BL145" i="25"/>
  <c r="BM145" i="25"/>
  <c r="BN145" i="25"/>
  <c r="BO145" i="25"/>
  <c r="BP145" i="25"/>
  <c r="BQ145" i="25"/>
  <c r="BR145" i="25"/>
  <c r="D146" i="25"/>
  <c r="E146" i="25"/>
  <c r="F146" i="25"/>
  <c r="G146" i="25"/>
  <c r="H146" i="25"/>
  <c r="I146" i="25"/>
  <c r="J146" i="25"/>
  <c r="K146" i="25"/>
  <c r="L146" i="25"/>
  <c r="M146" i="25"/>
  <c r="N146" i="25"/>
  <c r="O146" i="25"/>
  <c r="P146" i="25"/>
  <c r="Q146" i="25"/>
  <c r="R146" i="25"/>
  <c r="S146" i="25"/>
  <c r="T146" i="25"/>
  <c r="U146" i="25"/>
  <c r="V146" i="25"/>
  <c r="W146" i="25"/>
  <c r="X146" i="25"/>
  <c r="Y146" i="25"/>
  <c r="AF146" i="25"/>
  <c r="AG146" i="25"/>
  <c r="AH146" i="25"/>
  <c r="AI146" i="25"/>
  <c r="AJ146" i="25"/>
  <c r="AK146" i="25"/>
  <c r="AL146" i="25"/>
  <c r="AM146" i="25"/>
  <c r="AN146" i="25"/>
  <c r="AR146" i="25"/>
  <c r="AS146" i="25"/>
  <c r="AV146" i="25" s="1"/>
  <c r="AT146" i="25"/>
  <c r="AU146" i="25"/>
  <c r="AW146" i="25"/>
  <c r="AX146" i="25"/>
  <c r="AY146" i="25"/>
  <c r="AZ146" i="25"/>
  <c r="BA146" i="25"/>
  <c r="BB146" i="25"/>
  <c r="BC146" i="25"/>
  <c r="BD146" i="25"/>
  <c r="BE146" i="25"/>
  <c r="BF146" i="25"/>
  <c r="BJ146" i="25"/>
  <c r="BK146" i="25"/>
  <c r="BL146" i="25"/>
  <c r="BM146" i="25"/>
  <c r="BN146" i="25"/>
  <c r="BO146" i="25"/>
  <c r="BP146" i="25"/>
  <c r="BQ146" i="25"/>
  <c r="BR146" i="25"/>
  <c r="D147" i="25"/>
  <c r="E147" i="25"/>
  <c r="F147" i="25"/>
  <c r="G147" i="25"/>
  <c r="H147" i="25"/>
  <c r="I147" i="25"/>
  <c r="J147" i="25"/>
  <c r="K147" i="25"/>
  <c r="L147" i="25"/>
  <c r="M147" i="25"/>
  <c r="N147" i="25"/>
  <c r="O147" i="25"/>
  <c r="P147" i="25"/>
  <c r="Q147" i="25"/>
  <c r="R147" i="25"/>
  <c r="S147" i="25"/>
  <c r="T147" i="25"/>
  <c r="U147" i="25"/>
  <c r="V147" i="25"/>
  <c r="W147" i="25"/>
  <c r="X147" i="25"/>
  <c r="Y147" i="25"/>
  <c r="AF147" i="25"/>
  <c r="AG147" i="25"/>
  <c r="AH147" i="25"/>
  <c r="AI147" i="25"/>
  <c r="AJ147" i="25"/>
  <c r="AK147" i="25"/>
  <c r="AL147" i="25"/>
  <c r="AM147" i="25"/>
  <c r="AN147" i="25"/>
  <c r="AR147" i="25"/>
  <c r="AS147" i="25"/>
  <c r="AV147" i="25" s="1"/>
  <c r="AT147" i="25"/>
  <c r="AU147" i="25"/>
  <c r="AW147" i="25"/>
  <c r="AX147" i="25"/>
  <c r="AY147" i="25"/>
  <c r="AZ147" i="25"/>
  <c r="BA147" i="25"/>
  <c r="BB147" i="25"/>
  <c r="BC147" i="25"/>
  <c r="BD147" i="25"/>
  <c r="BE147" i="25"/>
  <c r="BF147" i="25"/>
  <c r="BJ147" i="25"/>
  <c r="BK147" i="25"/>
  <c r="BL147" i="25"/>
  <c r="BM147" i="25"/>
  <c r="BN147" i="25"/>
  <c r="BO147" i="25"/>
  <c r="BP147" i="25"/>
  <c r="BQ147" i="25"/>
  <c r="BR147" i="25"/>
  <c r="D148" i="25"/>
  <c r="E148" i="25"/>
  <c r="F148" i="25"/>
  <c r="G148" i="25"/>
  <c r="H148" i="25"/>
  <c r="I148" i="25"/>
  <c r="J148" i="25"/>
  <c r="K148" i="25"/>
  <c r="L148" i="25"/>
  <c r="M148" i="25"/>
  <c r="N148" i="25"/>
  <c r="O148" i="25"/>
  <c r="P148" i="25"/>
  <c r="Q148" i="25"/>
  <c r="R148" i="25"/>
  <c r="S148" i="25"/>
  <c r="T148" i="25"/>
  <c r="U148" i="25"/>
  <c r="V148" i="25"/>
  <c r="W148" i="25"/>
  <c r="X148" i="25"/>
  <c r="Y148" i="25"/>
  <c r="AF148" i="25"/>
  <c r="AG148" i="25"/>
  <c r="AH148" i="25"/>
  <c r="AI148" i="25"/>
  <c r="AJ148" i="25"/>
  <c r="AK148" i="25"/>
  <c r="AL148" i="25"/>
  <c r="AM148" i="25"/>
  <c r="AN148" i="25"/>
  <c r="AR148" i="25"/>
  <c r="AS148" i="25"/>
  <c r="AV148" i="25" s="1"/>
  <c r="AT148" i="25"/>
  <c r="AU148" i="25"/>
  <c r="AW148" i="25"/>
  <c r="AX148" i="25"/>
  <c r="AY148" i="25"/>
  <c r="AZ148" i="25"/>
  <c r="BA148" i="25"/>
  <c r="BB148" i="25"/>
  <c r="BC148" i="25"/>
  <c r="BD148" i="25"/>
  <c r="BE148" i="25"/>
  <c r="BF148" i="25"/>
  <c r="BJ148" i="25"/>
  <c r="BK148" i="25"/>
  <c r="BL148" i="25"/>
  <c r="BM148" i="25"/>
  <c r="BN148" i="25"/>
  <c r="BO148" i="25"/>
  <c r="BP148" i="25"/>
  <c r="BQ148" i="25"/>
  <c r="BR148" i="25"/>
  <c r="D149" i="25"/>
  <c r="E149" i="25"/>
  <c r="F149" i="25"/>
  <c r="G149" i="25"/>
  <c r="H149" i="25"/>
  <c r="I149" i="25"/>
  <c r="J149" i="25"/>
  <c r="K149" i="25"/>
  <c r="L149" i="25"/>
  <c r="M149" i="25"/>
  <c r="N149" i="25"/>
  <c r="O149" i="25"/>
  <c r="P149" i="25"/>
  <c r="Q149" i="25"/>
  <c r="R149" i="25"/>
  <c r="S149" i="25"/>
  <c r="T149" i="25"/>
  <c r="U149" i="25"/>
  <c r="V149" i="25"/>
  <c r="W149" i="25"/>
  <c r="X149" i="25"/>
  <c r="Y149" i="25"/>
  <c r="AF149" i="25"/>
  <c r="AG149" i="25"/>
  <c r="AH149" i="25"/>
  <c r="AI149" i="25"/>
  <c r="AJ149" i="25"/>
  <c r="AK149" i="25"/>
  <c r="AL149" i="25"/>
  <c r="AM149" i="25"/>
  <c r="AN149" i="25"/>
  <c r="AR149" i="25"/>
  <c r="AS149" i="25"/>
  <c r="AV149" i="25" s="1"/>
  <c r="AT149" i="25"/>
  <c r="AU149" i="25"/>
  <c r="AW149" i="25"/>
  <c r="AX149" i="25"/>
  <c r="AY149" i="25"/>
  <c r="AZ149" i="25"/>
  <c r="BA149" i="25"/>
  <c r="BB149" i="25"/>
  <c r="BC149" i="25"/>
  <c r="BD149" i="25"/>
  <c r="BE149" i="25"/>
  <c r="BF149" i="25"/>
  <c r="BJ149" i="25"/>
  <c r="BK149" i="25"/>
  <c r="BL149" i="25"/>
  <c r="BM149" i="25"/>
  <c r="BN149" i="25"/>
  <c r="BO149" i="25"/>
  <c r="BP149" i="25"/>
  <c r="BQ149" i="25"/>
  <c r="BR149" i="25"/>
  <c r="D150" i="25"/>
  <c r="E150" i="25"/>
  <c r="F150" i="25"/>
  <c r="G150" i="25"/>
  <c r="H150" i="25"/>
  <c r="I150" i="25"/>
  <c r="J150" i="25"/>
  <c r="K150" i="25"/>
  <c r="L150" i="25"/>
  <c r="M150" i="25"/>
  <c r="N150" i="25"/>
  <c r="O150" i="25"/>
  <c r="P150" i="25"/>
  <c r="Q150" i="25"/>
  <c r="R150" i="25"/>
  <c r="S150" i="25"/>
  <c r="T150" i="25"/>
  <c r="U150" i="25"/>
  <c r="V150" i="25"/>
  <c r="W150" i="25"/>
  <c r="X150" i="25"/>
  <c r="Y150" i="25"/>
  <c r="AF150" i="25"/>
  <c r="AG150" i="25"/>
  <c r="AH150" i="25"/>
  <c r="AI150" i="25"/>
  <c r="AJ150" i="25"/>
  <c r="AK150" i="25"/>
  <c r="AL150" i="25"/>
  <c r="AM150" i="25"/>
  <c r="AN150" i="25"/>
  <c r="AR150" i="25"/>
  <c r="AS150" i="25"/>
  <c r="AV150" i="25" s="1"/>
  <c r="AT150" i="25"/>
  <c r="AU150" i="25"/>
  <c r="AW150" i="25"/>
  <c r="AX150" i="25"/>
  <c r="AY150" i="25"/>
  <c r="AZ150" i="25"/>
  <c r="BA150" i="25"/>
  <c r="BB150" i="25"/>
  <c r="BC150" i="25"/>
  <c r="BD150" i="25"/>
  <c r="BE150" i="25"/>
  <c r="BF150" i="25"/>
  <c r="BJ150" i="25"/>
  <c r="BK150" i="25"/>
  <c r="BL150" i="25"/>
  <c r="BM150" i="25"/>
  <c r="BN150" i="25"/>
  <c r="BO150" i="25"/>
  <c r="BP150" i="25"/>
  <c r="BQ150" i="25"/>
  <c r="BR150" i="25"/>
  <c r="D151" i="25"/>
  <c r="E151" i="25"/>
  <c r="F151" i="25"/>
  <c r="G151" i="25"/>
  <c r="H151" i="25"/>
  <c r="I151" i="25"/>
  <c r="J151" i="25"/>
  <c r="K151" i="25"/>
  <c r="L151" i="25"/>
  <c r="M151" i="25"/>
  <c r="N151" i="25"/>
  <c r="O151" i="25"/>
  <c r="P151" i="25"/>
  <c r="Q151" i="25"/>
  <c r="R151" i="25"/>
  <c r="S151" i="25"/>
  <c r="T151" i="25"/>
  <c r="U151" i="25"/>
  <c r="V151" i="25"/>
  <c r="W151" i="25"/>
  <c r="X151" i="25"/>
  <c r="Y151" i="25"/>
  <c r="AF151" i="25"/>
  <c r="AG151" i="25"/>
  <c r="AH151" i="25"/>
  <c r="AI151" i="25"/>
  <c r="AJ151" i="25"/>
  <c r="AK151" i="25"/>
  <c r="AL151" i="25"/>
  <c r="AM151" i="25"/>
  <c r="AN151" i="25"/>
  <c r="AR151" i="25"/>
  <c r="AS151" i="25"/>
  <c r="AV151" i="25" s="1"/>
  <c r="AT151" i="25"/>
  <c r="AU151" i="25"/>
  <c r="AW151" i="25"/>
  <c r="AX151" i="25"/>
  <c r="AY151" i="25"/>
  <c r="AZ151" i="25"/>
  <c r="BA151" i="25"/>
  <c r="BB151" i="25"/>
  <c r="BC151" i="25"/>
  <c r="BD151" i="25"/>
  <c r="BE151" i="25"/>
  <c r="BF151" i="25"/>
  <c r="BJ151" i="25"/>
  <c r="BK151" i="25"/>
  <c r="BL151" i="25"/>
  <c r="BM151" i="25"/>
  <c r="BN151" i="25"/>
  <c r="BO151" i="25"/>
  <c r="BP151" i="25"/>
  <c r="BQ151" i="25"/>
  <c r="BR151" i="25"/>
  <c r="D152" i="25"/>
  <c r="E152" i="25"/>
  <c r="F152" i="25"/>
  <c r="G152" i="25"/>
  <c r="H152" i="25"/>
  <c r="I152" i="25"/>
  <c r="J152" i="25"/>
  <c r="K152" i="25"/>
  <c r="L152" i="25"/>
  <c r="M152" i="25"/>
  <c r="N152" i="25"/>
  <c r="O152" i="25"/>
  <c r="P152" i="25"/>
  <c r="Q152" i="25"/>
  <c r="R152" i="25"/>
  <c r="S152" i="25"/>
  <c r="T152" i="25"/>
  <c r="U152" i="25"/>
  <c r="V152" i="25"/>
  <c r="W152" i="25"/>
  <c r="X152" i="25"/>
  <c r="Y152" i="25"/>
  <c r="AF152" i="25"/>
  <c r="AG152" i="25"/>
  <c r="AH152" i="25"/>
  <c r="AI152" i="25"/>
  <c r="AJ152" i="25"/>
  <c r="AK152" i="25"/>
  <c r="AL152" i="25"/>
  <c r="AM152" i="25"/>
  <c r="AN152" i="25"/>
  <c r="AR152" i="25"/>
  <c r="AS152" i="25"/>
  <c r="AV152" i="25" s="1"/>
  <c r="AT152" i="25"/>
  <c r="AU152" i="25"/>
  <c r="AW152" i="25"/>
  <c r="AX152" i="25"/>
  <c r="AY152" i="25"/>
  <c r="AZ152" i="25"/>
  <c r="BA152" i="25"/>
  <c r="BB152" i="25"/>
  <c r="BC152" i="25"/>
  <c r="BD152" i="25"/>
  <c r="BE152" i="25"/>
  <c r="BF152" i="25"/>
  <c r="BJ152" i="25"/>
  <c r="BK152" i="25"/>
  <c r="BL152" i="25"/>
  <c r="BM152" i="25"/>
  <c r="BN152" i="25"/>
  <c r="BO152" i="25"/>
  <c r="BP152" i="25"/>
  <c r="BQ152" i="25"/>
  <c r="BR152" i="25"/>
  <c r="D153" i="25"/>
  <c r="E153" i="25"/>
  <c r="F153" i="25"/>
  <c r="G153" i="25"/>
  <c r="H153" i="25"/>
  <c r="I153" i="25"/>
  <c r="J153" i="25"/>
  <c r="K153" i="25"/>
  <c r="L153" i="25"/>
  <c r="M153" i="25"/>
  <c r="N153" i="25"/>
  <c r="O153" i="25"/>
  <c r="P153" i="25"/>
  <c r="Q153" i="25"/>
  <c r="R153" i="25"/>
  <c r="S153" i="25"/>
  <c r="T153" i="25"/>
  <c r="U153" i="25"/>
  <c r="V153" i="25"/>
  <c r="W153" i="25"/>
  <c r="X153" i="25"/>
  <c r="Y153" i="25"/>
  <c r="AF153" i="25"/>
  <c r="AG153" i="25"/>
  <c r="AH153" i="25"/>
  <c r="AI153" i="25"/>
  <c r="AJ153" i="25"/>
  <c r="AK153" i="25"/>
  <c r="AL153" i="25"/>
  <c r="AM153" i="25"/>
  <c r="AN153" i="25"/>
  <c r="AR153" i="25"/>
  <c r="AS153" i="25"/>
  <c r="AV153" i="25" s="1"/>
  <c r="AT153" i="25"/>
  <c r="AU153" i="25"/>
  <c r="AW153" i="25"/>
  <c r="AX153" i="25"/>
  <c r="AY153" i="25"/>
  <c r="AZ153" i="25"/>
  <c r="BA153" i="25"/>
  <c r="BB153" i="25"/>
  <c r="BC153" i="25"/>
  <c r="BD153" i="25"/>
  <c r="BE153" i="25"/>
  <c r="BF153" i="25"/>
  <c r="BJ153" i="25"/>
  <c r="BK153" i="25"/>
  <c r="BL153" i="25"/>
  <c r="BM153" i="25"/>
  <c r="BN153" i="25"/>
  <c r="BO153" i="25"/>
  <c r="BP153" i="25"/>
  <c r="BQ153" i="25"/>
  <c r="BR153" i="25"/>
  <c r="D154" i="25"/>
  <c r="E154" i="25"/>
  <c r="F154" i="25"/>
  <c r="G154" i="25"/>
  <c r="H154" i="25"/>
  <c r="I154" i="25"/>
  <c r="J154" i="25"/>
  <c r="K154" i="25"/>
  <c r="L154" i="25"/>
  <c r="M154" i="25"/>
  <c r="N154" i="25"/>
  <c r="O154" i="25"/>
  <c r="P154" i="25"/>
  <c r="Q154" i="25"/>
  <c r="R154" i="25"/>
  <c r="S154" i="25"/>
  <c r="T154" i="25"/>
  <c r="U154" i="25"/>
  <c r="V154" i="25"/>
  <c r="W154" i="25"/>
  <c r="X154" i="25"/>
  <c r="Y154" i="25"/>
  <c r="AF154" i="25"/>
  <c r="AG154" i="25"/>
  <c r="AH154" i="25"/>
  <c r="AI154" i="25"/>
  <c r="AJ154" i="25"/>
  <c r="AK154" i="25"/>
  <c r="AL154" i="25"/>
  <c r="AM154" i="25"/>
  <c r="AN154" i="25"/>
  <c r="AR154" i="25"/>
  <c r="AS154" i="25"/>
  <c r="AV154" i="25" s="1"/>
  <c r="AT154" i="25"/>
  <c r="AU154" i="25"/>
  <c r="AW154" i="25"/>
  <c r="AX154" i="25"/>
  <c r="AY154" i="25"/>
  <c r="AZ154" i="25"/>
  <c r="BA154" i="25"/>
  <c r="BB154" i="25"/>
  <c r="BC154" i="25"/>
  <c r="BD154" i="25"/>
  <c r="BE154" i="25"/>
  <c r="BF154" i="25"/>
  <c r="BJ154" i="25"/>
  <c r="BK154" i="25"/>
  <c r="BL154" i="25"/>
  <c r="BM154" i="25"/>
  <c r="BN154" i="25"/>
  <c r="BO154" i="25"/>
  <c r="BP154" i="25"/>
  <c r="BQ154" i="25"/>
  <c r="BR154" i="25"/>
  <c r="D155" i="25"/>
  <c r="E155" i="25"/>
  <c r="F155" i="25"/>
  <c r="G155" i="25"/>
  <c r="H155" i="25"/>
  <c r="I155" i="25"/>
  <c r="J155" i="25"/>
  <c r="K155" i="25"/>
  <c r="L155" i="25"/>
  <c r="M155" i="25"/>
  <c r="N155" i="25"/>
  <c r="O155" i="25"/>
  <c r="P155" i="25"/>
  <c r="Q155" i="25"/>
  <c r="R155" i="25"/>
  <c r="S155" i="25"/>
  <c r="T155" i="25"/>
  <c r="U155" i="25"/>
  <c r="V155" i="25"/>
  <c r="W155" i="25"/>
  <c r="X155" i="25"/>
  <c r="Y155" i="25"/>
  <c r="AF155" i="25"/>
  <c r="AG155" i="25"/>
  <c r="AH155" i="25"/>
  <c r="AI155" i="25"/>
  <c r="AJ155" i="25"/>
  <c r="AK155" i="25"/>
  <c r="AL155" i="25"/>
  <c r="AM155" i="25"/>
  <c r="AN155" i="25"/>
  <c r="AR155" i="25"/>
  <c r="AS155" i="25"/>
  <c r="AV155" i="25" s="1"/>
  <c r="AT155" i="25"/>
  <c r="AU155" i="25"/>
  <c r="AW155" i="25"/>
  <c r="AX155" i="25"/>
  <c r="AY155" i="25"/>
  <c r="AZ155" i="25"/>
  <c r="BA155" i="25"/>
  <c r="BB155" i="25"/>
  <c r="BC155" i="25"/>
  <c r="BD155" i="25"/>
  <c r="BE155" i="25"/>
  <c r="BF155" i="25"/>
  <c r="BJ155" i="25"/>
  <c r="BK155" i="25"/>
  <c r="BL155" i="25"/>
  <c r="BM155" i="25"/>
  <c r="BN155" i="25"/>
  <c r="BO155" i="25"/>
  <c r="BP155" i="25"/>
  <c r="BQ155" i="25"/>
  <c r="BR155" i="25"/>
  <c r="D156" i="25"/>
  <c r="E156" i="25"/>
  <c r="F156" i="25"/>
  <c r="G156" i="25"/>
  <c r="H156" i="25"/>
  <c r="I156" i="25"/>
  <c r="J156" i="25"/>
  <c r="K156" i="25"/>
  <c r="L156" i="25"/>
  <c r="M156" i="25"/>
  <c r="N156" i="25"/>
  <c r="O156" i="25"/>
  <c r="P156" i="25"/>
  <c r="Q156" i="25"/>
  <c r="R156" i="25"/>
  <c r="S156" i="25"/>
  <c r="T156" i="25"/>
  <c r="U156" i="25"/>
  <c r="V156" i="25"/>
  <c r="W156" i="25"/>
  <c r="X156" i="25"/>
  <c r="Y156" i="25"/>
  <c r="AF156" i="25"/>
  <c r="AG156" i="25"/>
  <c r="AH156" i="25"/>
  <c r="AI156" i="25"/>
  <c r="AJ156" i="25"/>
  <c r="AK156" i="25"/>
  <c r="AL156" i="25"/>
  <c r="AM156" i="25"/>
  <c r="AN156" i="25"/>
  <c r="AR156" i="25"/>
  <c r="AS156" i="25"/>
  <c r="AV156" i="25" s="1"/>
  <c r="AT156" i="25"/>
  <c r="AU156" i="25"/>
  <c r="AW156" i="25"/>
  <c r="AX156" i="25"/>
  <c r="AY156" i="25"/>
  <c r="AZ156" i="25"/>
  <c r="BA156" i="25"/>
  <c r="BB156" i="25"/>
  <c r="BC156" i="25"/>
  <c r="BD156" i="25"/>
  <c r="BE156" i="25"/>
  <c r="BF156" i="25"/>
  <c r="BJ156" i="25"/>
  <c r="BK156" i="25"/>
  <c r="BL156" i="25"/>
  <c r="BM156" i="25"/>
  <c r="BN156" i="25"/>
  <c r="BO156" i="25"/>
  <c r="BP156" i="25"/>
  <c r="BQ156" i="25"/>
  <c r="BR156" i="25"/>
  <c r="D157" i="25"/>
  <c r="E157" i="25"/>
  <c r="F157" i="25"/>
  <c r="G157" i="25"/>
  <c r="H157" i="25"/>
  <c r="I157" i="25"/>
  <c r="J157" i="25"/>
  <c r="K157" i="25"/>
  <c r="L157" i="25"/>
  <c r="M157" i="25"/>
  <c r="N157" i="25"/>
  <c r="O157" i="25"/>
  <c r="P157" i="25"/>
  <c r="Q157" i="25"/>
  <c r="R157" i="25"/>
  <c r="S157" i="25"/>
  <c r="T157" i="25"/>
  <c r="U157" i="25"/>
  <c r="V157" i="25"/>
  <c r="W157" i="25"/>
  <c r="X157" i="25"/>
  <c r="Y157" i="25"/>
  <c r="AF157" i="25"/>
  <c r="AG157" i="25"/>
  <c r="AH157" i="25"/>
  <c r="AI157" i="25"/>
  <c r="AJ157" i="25"/>
  <c r="AK157" i="25"/>
  <c r="AL157" i="25"/>
  <c r="AM157" i="25"/>
  <c r="AN157" i="25"/>
  <c r="AR157" i="25"/>
  <c r="AS157" i="25"/>
  <c r="AV157" i="25" s="1"/>
  <c r="AT157" i="25"/>
  <c r="AU157" i="25"/>
  <c r="AW157" i="25"/>
  <c r="AX157" i="25"/>
  <c r="AY157" i="25"/>
  <c r="AZ157" i="25"/>
  <c r="BA157" i="25"/>
  <c r="BB157" i="25"/>
  <c r="BC157" i="25"/>
  <c r="BD157" i="25"/>
  <c r="BE157" i="25"/>
  <c r="BF157" i="25"/>
  <c r="BJ157" i="25"/>
  <c r="BK157" i="25"/>
  <c r="BL157" i="25"/>
  <c r="BM157" i="25"/>
  <c r="BN157" i="25"/>
  <c r="BO157" i="25"/>
  <c r="BP157" i="25"/>
  <c r="BQ157" i="25"/>
  <c r="BR157" i="25"/>
  <c r="D158" i="25"/>
  <c r="E158" i="25"/>
  <c r="F158" i="25"/>
  <c r="G158" i="25"/>
  <c r="H158" i="25"/>
  <c r="I158" i="25"/>
  <c r="J158" i="25"/>
  <c r="K158" i="25"/>
  <c r="L158" i="25"/>
  <c r="M158" i="25"/>
  <c r="N158" i="25"/>
  <c r="O158" i="25"/>
  <c r="P158" i="25"/>
  <c r="Q158" i="25"/>
  <c r="R158" i="25"/>
  <c r="S158" i="25"/>
  <c r="T158" i="25"/>
  <c r="U158" i="25"/>
  <c r="V158" i="25"/>
  <c r="W158" i="25"/>
  <c r="X158" i="25"/>
  <c r="Y158" i="25"/>
  <c r="AF158" i="25"/>
  <c r="AG158" i="25"/>
  <c r="AH158" i="25"/>
  <c r="AI158" i="25"/>
  <c r="AJ158" i="25"/>
  <c r="AK158" i="25"/>
  <c r="AL158" i="25"/>
  <c r="AM158" i="25"/>
  <c r="AN158" i="25"/>
  <c r="AR158" i="25"/>
  <c r="AS158" i="25"/>
  <c r="AV158" i="25" s="1"/>
  <c r="AT158" i="25"/>
  <c r="AU158" i="25"/>
  <c r="AW158" i="25"/>
  <c r="AX158" i="25"/>
  <c r="AY158" i="25"/>
  <c r="AZ158" i="25"/>
  <c r="BA158" i="25"/>
  <c r="BB158" i="25"/>
  <c r="BC158" i="25"/>
  <c r="BD158" i="25"/>
  <c r="BE158" i="25"/>
  <c r="BF158" i="25"/>
  <c r="BJ158" i="25"/>
  <c r="BK158" i="25"/>
  <c r="BL158" i="25"/>
  <c r="BM158" i="25"/>
  <c r="BN158" i="25"/>
  <c r="BO158" i="25"/>
  <c r="BP158" i="25"/>
  <c r="BQ158" i="25"/>
  <c r="BR158" i="25"/>
  <c r="D159" i="25"/>
  <c r="E159" i="25"/>
  <c r="F159" i="25"/>
  <c r="G159" i="25"/>
  <c r="H159" i="25"/>
  <c r="I159" i="25"/>
  <c r="J159" i="25"/>
  <c r="K159" i="25"/>
  <c r="L159" i="25"/>
  <c r="M159" i="25"/>
  <c r="N159" i="25"/>
  <c r="O159" i="25"/>
  <c r="P159" i="25"/>
  <c r="Q159" i="25"/>
  <c r="R159" i="25"/>
  <c r="S159" i="25"/>
  <c r="T159" i="25"/>
  <c r="U159" i="25"/>
  <c r="V159" i="25"/>
  <c r="W159" i="25"/>
  <c r="X159" i="25"/>
  <c r="Y159" i="25"/>
  <c r="AF159" i="25"/>
  <c r="AG159" i="25"/>
  <c r="AH159" i="25"/>
  <c r="AI159" i="25"/>
  <c r="AJ159" i="25"/>
  <c r="AK159" i="25"/>
  <c r="AL159" i="25"/>
  <c r="AM159" i="25"/>
  <c r="AN159" i="25"/>
  <c r="AR159" i="25"/>
  <c r="AS159" i="25"/>
  <c r="AV159" i="25" s="1"/>
  <c r="AT159" i="25"/>
  <c r="AU159" i="25"/>
  <c r="AW159" i="25"/>
  <c r="AX159" i="25"/>
  <c r="AY159" i="25"/>
  <c r="AZ159" i="25"/>
  <c r="BA159" i="25"/>
  <c r="BB159" i="25"/>
  <c r="BC159" i="25"/>
  <c r="BD159" i="25"/>
  <c r="BE159" i="25"/>
  <c r="BF159" i="25"/>
  <c r="BJ159" i="25"/>
  <c r="BK159" i="25"/>
  <c r="BL159" i="25"/>
  <c r="BM159" i="25"/>
  <c r="BN159" i="25"/>
  <c r="BO159" i="25"/>
  <c r="BP159" i="25"/>
  <c r="BQ159" i="25"/>
  <c r="BR159" i="25"/>
  <c r="D160" i="25"/>
  <c r="E160" i="25"/>
  <c r="F160" i="25"/>
  <c r="G160" i="25"/>
  <c r="H160" i="25"/>
  <c r="I160" i="25"/>
  <c r="J160" i="25"/>
  <c r="K160" i="25"/>
  <c r="L160" i="25"/>
  <c r="M160" i="25"/>
  <c r="N160" i="25"/>
  <c r="O160" i="25"/>
  <c r="P160" i="25"/>
  <c r="Q160" i="25"/>
  <c r="R160" i="25"/>
  <c r="S160" i="25"/>
  <c r="T160" i="25"/>
  <c r="U160" i="25"/>
  <c r="V160" i="25"/>
  <c r="W160" i="25"/>
  <c r="X160" i="25"/>
  <c r="Y160" i="25"/>
  <c r="AF160" i="25"/>
  <c r="AG160" i="25"/>
  <c r="AH160" i="25"/>
  <c r="AI160" i="25"/>
  <c r="AJ160" i="25"/>
  <c r="AK160" i="25"/>
  <c r="AL160" i="25"/>
  <c r="AM160" i="25"/>
  <c r="AN160" i="25"/>
  <c r="AR160" i="25"/>
  <c r="AS160" i="25"/>
  <c r="AV160" i="25" s="1"/>
  <c r="AT160" i="25"/>
  <c r="AU160" i="25"/>
  <c r="AW160" i="25"/>
  <c r="AX160" i="25"/>
  <c r="AY160" i="25"/>
  <c r="AZ160" i="25"/>
  <c r="BA160" i="25"/>
  <c r="BB160" i="25"/>
  <c r="BC160" i="25"/>
  <c r="BD160" i="25"/>
  <c r="BE160" i="25"/>
  <c r="BF160" i="25"/>
  <c r="BJ160" i="25"/>
  <c r="BK160" i="25"/>
  <c r="BL160" i="25"/>
  <c r="BM160" i="25"/>
  <c r="BN160" i="25"/>
  <c r="BO160" i="25"/>
  <c r="BP160" i="25"/>
  <c r="BQ160" i="25"/>
  <c r="BR160" i="25"/>
  <c r="D161" i="25"/>
  <c r="E161" i="25"/>
  <c r="F161" i="25"/>
  <c r="G161" i="25"/>
  <c r="H161" i="25"/>
  <c r="I161" i="25"/>
  <c r="J161" i="25"/>
  <c r="K161" i="25"/>
  <c r="L161" i="25"/>
  <c r="M161" i="25"/>
  <c r="N161" i="25"/>
  <c r="O161" i="25"/>
  <c r="P161" i="25"/>
  <c r="Q161" i="25"/>
  <c r="R161" i="25"/>
  <c r="S161" i="25"/>
  <c r="T161" i="25"/>
  <c r="U161" i="25"/>
  <c r="V161" i="25"/>
  <c r="W161" i="25"/>
  <c r="X161" i="25"/>
  <c r="Y161" i="25"/>
  <c r="AF161" i="25"/>
  <c r="AG161" i="25"/>
  <c r="AH161" i="25"/>
  <c r="AI161" i="25"/>
  <c r="AJ161" i="25"/>
  <c r="AK161" i="25"/>
  <c r="AL161" i="25"/>
  <c r="AM161" i="25"/>
  <c r="AN161" i="25"/>
  <c r="AR161" i="25"/>
  <c r="AS161" i="25"/>
  <c r="AV161" i="25" s="1"/>
  <c r="AT161" i="25"/>
  <c r="AU161" i="25"/>
  <c r="AW161" i="25"/>
  <c r="AX161" i="25"/>
  <c r="AY161" i="25"/>
  <c r="AZ161" i="25"/>
  <c r="BA161" i="25"/>
  <c r="BB161" i="25"/>
  <c r="BC161" i="25"/>
  <c r="BD161" i="25"/>
  <c r="BE161" i="25"/>
  <c r="BF161" i="25"/>
  <c r="BJ161" i="25"/>
  <c r="BK161" i="25"/>
  <c r="BL161" i="25"/>
  <c r="BM161" i="25"/>
  <c r="BN161" i="25"/>
  <c r="BO161" i="25"/>
  <c r="BP161" i="25"/>
  <c r="BQ161" i="25"/>
  <c r="BR161" i="25"/>
  <c r="D162" i="25"/>
  <c r="E162" i="25"/>
  <c r="F162" i="25"/>
  <c r="G162" i="25"/>
  <c r="H162" i="25"/>
  <c r="I162" i="25"/>
  <c r="J162" i="25"/>
  <c r="K162" i="25"/>
  <c r="L162" i="25"/>
  <c r="M162" i="25"/>
  <c r="N162" i="25"/>
  <c r="O162" i="25"/>
  <c r="P162" i="25"/>
  <c r="Q162" i="25"/>
  <c r="R162" i="25"/>
  <c r="S162" i="25"/>
  <c r="T162" i="25"/>
  <c r="U162" i="25"/>
  <c r="V162" i="25"/>
  <c r="W162" i="25"/>
  <c r="X162" i="25"/>
  <c r="Y162" i="25"/>
  <c r="AF162" i="25"/>
  <c r="AG162" i="25"/>
  <c r="AH162" i="25"/>
  <c r="AI162" i="25"/>
  <c r="AJ162" i="25"/>
  <c r="AK162" i="25"/>
  <c r="AL162" i="25"/>
  <c r="AM162" i="25"/>
  <c r="AN162" i="25"/>
  <c r="AR162" i="25"/>
  <c r="AS162" i="25"/>
  <c r="AV162" i="25" s="1"/>
  <c r="AT162" i="25"/>
  <c r="AU162" i="25"/>
  <c r="AW162" i="25"/>
  <c r="AX162" i="25"/>
  <c r="AY162" i="25"/>
  <c r="AZ162" i="25"/>
  <c r="BA162" i="25"/>
  <c r="BB162" i="25"/>
  <c r="BC162" i="25"/>
  <c r="BD162" i="25"/>
  <c r="BE162" i="25"/>
  <c r="BF162" i="25"/>
  <c r="BJ162" i="25"/>
  <c r="BK162" i="25"/>
  <c r="BL162" i="25"/>
  <c r="BM162" i="25"/>
  <c r="BN162" i="25"/>
  <c r="BO162" i="25"/>
  <c r="BP162" i="25"/>
  <c r="BQ162" i="25"/>
  <c r="BR162" i="25"/>
  <c r="D163" i="25"/>
  <c r="E163" i="25"/>
  <c r="F163" i="25"/>
  <c r="G163" i="25"/>
  <c r="H163" i="25"/>
  <c r="I163" i="25"/>
  <c r="J163" i="25"/>
  <c r="K163" i="25"/>
  <c r="L163" i="25"/>
  <c r="M163" i="25"/>
  <c r="N163" i="25"/>
  <c r="O163" i="25"/>
  <c r="P163" i="25"/>
  <c r="Q163" i="25"/>
  <c r="R163" i="25"/>
  <c r="S163" i="25"/>
  <c r="T163" i="25"/>
  <c r="U163" i="25"/>
  <c r="V163" i="25"/>
  <c r="W163" i="25"/>
  <c r="X163" i="25"/>
  <c r="Y163" i="25"/>
  <c r="AF163" i="25"/>
  <c r="AG163" i="25"/>
  <c r="AH163" i="25"/>
  <c r="AI163" i="25"/>
  <c r="AJ163" i="25"/>
  <c r="AK163" i="25"/>
  <c r="AL163" i="25"/>
  <c r="AM163" i="25"/>
  <c r="AN163" i="25"/>
  <c r="AR163" i="25"/>
  <c r="AS163" i="25"/>
  <c r="AV163" i="25" s="1"/>
  <c r="AT163" i="25"/>
  <c r="AU163" i="25"/>
  <c r="AW163" i="25"/>
  <c r="AX163" i="25"/>
  <c r="AY163" i="25"/>
  <c r="AZ163" i="25"/>
  <c r="BA163" i="25"/>
  <c r="BB163" i="25"/>
  <c r="BC163" i="25"/>
  <c r="BD163" i="25"/>
  <c r="BE163" i="25"/>
  <c r="BF163" i="25"/>
  <c r="BJ163" i="25"/>
  <c r="BK163" i="25"/>
  <c r="BL163" i="25"/>
  <c r="BM163" i="25"/>
  <c r="BN163" i="25"/>
  <c r="BO163" i="25"/>
  <c r="BP163" i="25"/>
  <c r="BQ163" i="25"/>
  <c r="BR163" i="25"/>
  <c r="D164" i="25"/>
  <c r="E164" i="25"/>
  <c r="F164" i="25"/>
  <c r="G164" i="25"/>
  <c r="H164" i="25"/>
  <c r="I164" i="25"/>
  <c r="J164" i="25"/>
  <c r="K164" i="25"/>
  <c r="L164" i="25"/>
  <c r="M164" i="25"/>
  <c r="N164" i="25"/>
  <c r="O164" i="25"/>
  <c r="P164" i="25"/>
  <c r="Q164" i="25"/>
  <c r="R164" i="25"/>
  <c r="S164" i="25"/>
  <c r="T164" i="25"/>
  <c r="U164" i="25"/>
  <c r="V164" i="25"/>
  <c r="W164" i="25"/>
  <c r="X164" i="25"/>
  <c r="Y164" i="25"/>
  <c r="AF164" i="25"/>
  <c r="AG164" i="25"/>
  <c r="AH164" i="25"/>
  <c r="AI164" i="25"/>
  <c r="AJ164" i="25"/>
  <c r="AK164" i="25"/>
  <c r="AL164" i="25"/>
  <c r="AM164" i="25"/>
  <c r="AN164" i="25"/>
  <c r="AR164" i="25"/>
  <c r="AS164" i="25"/>
  <c r="AV164" i="25" s="1"/>
  <c r="AT164" i="25"/>
  <c r="AU164" i="25"/>
  <c r="AW164" i="25"/>
  <c r="AX164" i="25"/>
  <c r="AY164" i="25"/>
  <c r="AZ164" i="25"/>
  <c r="BA164" i="25"/>
  <c r="BB164" i="25"/>
  <c r="BC164" i="25"/>
  <c r="BD164" i="25"/>
  <c r="BE164" i="25"/>
  <c r="BF164" i="25"/>
  <c r="BJ164" i="25"/>
  <c r="BK164" i="25"/>
  <c r="BL164" i="25"/>
  <c r="BM164" i="25"/>
  <c r="BN164" i="25"/>
  <c r="BO164" i="25"/>
  <c r="BP164" i="25"/>
  <c r="BQ164" i="25"/>
  <c r="BR164" i="25"/>
  <c r="D165" i="25"/>
  <c r="E165" i="25"/>
  <c r="F165" i="25"/>
  <c r="G165" i="25"/>
  <c r="H165" i="25"/>
  <c r="I165" i="25"/>
  <c r="J165" i="25"/>
  <c r="K165" i="25"/>
  <c r="L165" i="25"/>
  <c r="M165" i="25"/>
  <c r="N165" i="25"/>
  <c r="O165" i="25"/>
  <c r="P165" i="25"/>
  <c r="Q165" i="25"/>
  <c r="R165" i="25"/>
  <c r="S165" i="25"/>
  <c r="T165" i="25"/>
  <c r="U165" i="25"/>
  <c r="V165" i="25"/>
  <c r="W165" i="25"/>
  <c r="X165" i="25"/>
  <c r="Y165" i="25"/>
  <c r="AF165" i="25"/>
  <c r="AG165" i="25"/>
  <c r="AH165" i="25"/>
  <c r="AI165" i="25"/>
  <c r="AJ165" i="25"/>
  <c r="AK165" i="25"/>
  <c r="AL165" i="25"/>
  <c r="AM165" i="25"/>
  <c r="AN165" i="25"/>
  <c r="AR165" i="25"/>
  <c r="AS165" i="25"/>
  <c r="AV165" i="25" s="1"/>
  <c r="AT165" i="25"/>
  <c r="AU165" i="25"/>
  <c r="AW165" i="25"/>
  <c r="AX165" i="25"/>
  <c r="AY165" i="25"/>
  <c r="AZ165" i="25"/>
  <c r="BA165" i="25"/>
  <c r="BB165" i="25"/>
  <c r="BC165" i="25"/>
  <c r="BD165" i="25"/>
  <c r="BE165" i="25"/>
  <c r="BF165" i="25"/>
  <c r="BJ165" i="25"/>
  <c r="BK165" i="25"/>
  <c r="BL165" i="25"/>
  <c r="BM165" i="25"/>
  <c r="BN165" i="25"/>
  <c r="BO165" i="25"/>
  <c r="BP165" i="25"/>
  <c r="BQ165" i="25"/>
  <c r="BR165" i="25"/>
  <c r="D173" i="25"/>
  <c r="I173" i="25"/>
  <c r="J173" i="25"/>
  <c r="K173" i="25"/>
  <c r="L173" i="25"/>
  <c r="M173" i="25"/>
  <c r="N173" i="25"/>
  <c r="O173" i="25"/>
  <c r="P173" i="25"/>
  <c r="Q173" i="25"/>
  <c r="R173" i="25"/>
  <c r="S173" i="25"/>
  <c r="T173" i="25"/>
  <c r="U173" i="25"/>
  <c r="V173" i="25"/>
  <c r="W173" i="25"/>
  <c r="X173" i="25"/>
  <c r="Y173" i="25"/>
  <c r="AF173" i="25"/>
  <c r="AG173" i="25"/>
  <c r="AH173" i="25"/>
  <c r="AI173" i="25"/>
  <c r="AJ173" i="25"/>
  <c r="AK173" i="25"/>
  <c r="AL173" i="25"/>
  <c r="AM173" i="25"/>
  <c r="AN173" i="25"/>
  <c r="AR173" i="25"/>
  <c r="AS173" i="25"/>
  <c r="AT173" i="25"/>
  <c r="AU173" i="25"/>
  <c r="AW173" i="25"/>
  <c r="AX173" i="25"/>
  <c r="AY173" i="25"/>
  <c r="AZ173" i="25"/>
  <c r="BA173" i="25"/>
  <c r="BB173" i="25"/>
  <c r="BC173" i="25"/>
  <c r="BD173" i="25"/>
  <c r="BE173" i="25"/>
  <c r="BF173" i="25"/>
  <c r="BJ173" i="25"/>
  <c r="BK173" i="25"/>
  <c r="BL173" i="25"/>
  <c r="BM173" i="25"/>
  <c r="BN173" i="25"/>
  <c r="BO173" i="25"/>
  <c r="BP173" i="25"/>
  <c r="BQ173" i="25"/>
  <c r="BR173" i="25"/>
  <c r="D176" i="25"/>
  <c r="E176" i="25"/>
  <c r="F176" i="25"/>
  <c r="G176" i="25"/>
  <c r="H176" i="25"/>
  <c r="I176" i="25"/>
  <c r="J176" i="25"/>
  <c r="K176" i="25"/>
  <c r="L176" i="25"/>
  <c r="M176" i="25"/>
  <c r="N176" i="25"/>
  <c r="O176" i="25"/>
  <c r="P176" i="25"/>
  <c r="Q176" i="25"/>
  <c r="R176" i="25"/>
  <c r="S176" i="25"/>
  <c r="T176" i="25"/>
  <c r="U176" i="25"/>
  <c r="V176" i="25"/>
  <c r="W176" i="25"/>
  <c r="X176" i="25"/>
  <c r="Y176" i="25"/>
  <c r="AF176" i="25"/>
  <c r="AG176" i="25"/>
  <c r="AH176" i="25"/>
  <c r="AI176" i="25"/>
  <c r="AJ176" i="25"/>
  <c r="AK176" i="25"/>
  <c r="AL176" i="25"/>
  <c r="AM176" i="25"/>
  <c r="AN176" i="25"/>
  <c r="AR176" i="25"/>
  <c r="AS176" i="25"/>
  <c r="AT176" i="25"/>
  <c r="AU176" i="25"/>
  <c r="AW176" i="25"/>
  <c r="AX176" i="25"/>
  <c r="AY176" i="25"/>
  <c r="AZ176" i="25"/>
  <c r="BA176" i="25"/>
  <c r="BB176" i="25"/>
  <c r="BC176" i="25"/>
  <c r="BD176" i="25"/>
  <c r="BE176" i="25"/>
  <c r="BF176" i="25"/>
  <c r="BJ176" i="25"/>
  <c r="BK176" i="25"/>
  <c r="BL176" i="25"/>
  <c r="BM176" i="25"/>
  <c r="BN176" i="25"/>
  <c r="BO176" i="25"/>
  <c r="BP176" i="25"/>
  <c r="BQ176" i="25"/>
  <c r="BR176" i="25"/>
  <c r="D177" i="25"/>
  <c r="E177" i="25"/>
  <c r="F177" i="25"/>
  <c r="G177" i="25"/>
  <c r="H177" i="25"/>
  <c r="I177" i="25"/>
  <c r="J177" i="25"/>
  <c r="K177" i="25"/>
  <c r="L177" i="25"/>
  <c r="M177" i="25"/>
  <c r="N177" i="25"/>
  <c r="O177" i="25"/>
  <c r="P177" i="25"/>
  <c r="Q177" i="25"/>
  <c r="R177" i="25"/>
  <c r="S177" i="25"/>
  <c r="T177" i="25"/>
  <c r="U177" i="25"/>
  <c r="V177" i="25"/>
  <c r="W177" i="25"/>
  <c r="X177" i="25"/>
  <c r="Y177" i="25"/>
  <c r="AF177" i="25"/>
  <c r="AG177" i="25"/>
  <c r="AH177" i="25"/>
  <c r="AI177" i="25"/>
  <c r="AJ177" i="25"/>
  <c r="AK177" i="25"/>
  <c r="AL177" i="25"/>
  <c r="AM177" i="25"/>
  <c r="AN177" i="25"/>
  <c r="AR177" i="25"/>
  <c r="AS177" i="25"/>
  <c r="AT177" i="25"/>
  <c r="AU177" i="25"/>
  <c r="AW177" i="25"/>
  <c r="AX177" i="25"/>
  <c r="AY177" i="25"/>
  <c r="AZ177" i="25"/>
  <c r="BA177" i="25"/>
  <c r="BB177" i="25"/>
  <c r="BC177" i="25"/>
  <c r="BD177" i="25"/>
  <c r="BE177" i="25"/>
  <c r="BF177" i="25"/>
  <c r="BJ177" i="25"/>
  <c r="BK177" i="25"/>
  <c r="BL177" i="25"/>
  <c r="BM177" i="25"/>
  <c r="BN177" i="25"/>
  <c r="BO177" i="25"/>
  <c r="BP177" i="25"/>
  <c r="BQ177" i="25"/>
  <c r="BR177" i="25"/>
  <c r="D182" i="25"/>
  <c r="E182" i="25"/>
  <c r="F182" i="25"/>
  <c r="G182" i="25"/>
  <c r="H182" i="25"/>
  <c r="I182" i="25"/>
  <c r="J182" i="25"/>
  <c r="K182" i="25"/>
  <c r="L182" i="25"/>
  <c r="M182" i="25"/>
  <c r="N182" i="25"/>
  <c r="O182" i="25"/>
  <c r="P182" i="25"/>
  <c r="Q182" i="25"/>
  <c r="R182" i="25"/>
  <c r="S182" i="25"/>
  <c r="T182" i="25"/>
  <c r="U182" i="25"/>
  <c r="V182" i="25"/>
  <c r="W182" i="25"/>
  <c r="X182" i="25"/>
  <c r="Y182" i="25"/>
  <c r="AF182" i="25"/>
  <c r="AG182" i="25"/>
  <c r="AH182" i="25"/>
  <c r="AI182" i="25"/>
  <c r="AJ182" i="25"/>
  <c r="AK182" i="25"/>
  <c r="AL182" i="25"/>
  <c r="AM182" i="25"/>
  <c r="AN182" i="25"/>
  <c r="AR182" i="25"/>
  <c r="AS182" i="25"/>
  <c r="AT182" i="25"/>
  <c r="AU182" i="25"/>
  <c r="AW182" i="25"/>
  <c r="AX182" i="25"/>
  <c r="AY182" i="25"/>
  <c r="AZ182" i="25"/>
  <c r="BA182" i="25"/>
  <c r="BB182" i="25"/>
  <c r="BC182" i="25"/>
  <c r="BD182" i="25"/>
  <c r="BE182" i="25"/>
  <c r="BF182" i="25"/>
  <c r="BJ182" i="25"/>
  <c r="BK182" i="25"/>
  <c r="BL182" i="25"/>
  <c r="BM182" i="25"/>
  <c r="BN182" i="25"/>
  <c r="BO182" i="25"/>
  <c r="BP182" i="25"/>
  <c r="BQ182" i="25"/>
  <c r="BR182" i="25"/>
  <c r="D183" i="25"/>
  <c r="E183" i="25"/>
  <c r="F183" i="25"/>
  <c r="G183" i="25"/>
  <c r="H183" i="25"/>
  <c r="I183" i="25"/>
  <c r="J183" i="25"/>
  <c r="K183" i="25"/>
  <c r="L183" i="25"/>
  <c r="M183" i="25"/>
  <c r="N183" i="25"/>
  <c r="O183" i="25"/>
  <c r="P183" i="25"/>
  <c r="Q183" i="25"/>
  <c r="R183" i="25"/>
  <c r="S183" i="25"/>
  <c r="T183" i="25"/>
  <c r="U183" i="25"/>
  <c r="V183" i="25"/>
  <c r="W183" i="25"/>
  <c r="X183" i="25"/>
  <c r="Y183" i="25"/>
  <c r="AF183" i="25"/>
  <c r="AG183" i="25"/>
  <c r="AH183" i="25"/>
  <c r="AI183" i="25"/>
  <c r="AJ183" i="25"/>
  <c r="AK183" i="25"/>
  <c r="AL183" i="25"/>
  <c r="AM183" i="25"/>
  <c r="AN183" i="25"/>
  <c r="AR183" i="25"/>
  <c r="AS183" i="25"/>
  <c r="AT183" i="25"/>
  <c r="AU183" i="25"/>
  <c r="AW183" i="25"/>
  <c r="AX183" i="25"/>
  <c r="AY183" i="25"/>
  <c r="AZ183" i="25"/>
  <c r="BA183" i="25"/>
  <c r="BB183" i="25"/>
  <c r="BC183" i="25"/>
  <c r="BD183" i="25"/>
  <c r="BE183" i="25"/>
  <c r="BF183" i="25"/>
  <c r="BJ183" i="25"/>
  <c r="BK183" i="25"/>
  <c r="BL183" i="25"/>
  <c r="BM183" i="25"/>
  <c r="BN183" i="25"/>
  <c r="BO183" i="25"/>
  <c r="BP183" i="25"/>
  <c r="BQ183" i="25"/>
  <c r="BR183" i="25"/>
  <c r="D184" i="25"/>
  <c r="E184" i="25"/>
  <c r="F184" i="25"/>
  <c r="G184" i="25"/>
  <c r="H184" i="25"/>
  <c r="I184" i="25"/>
  <c r="J184" i="25"/>
  <c r="K184" i="25"/>
  <c r="L184" i="25"/>
  <c r="M184" i="25"/>
  <c r="N184" i="25"/>
  <c r="O184" i="25"/>
  <c r="P184" i="25"/>
  <c r="Q184" i="25"/>
  <c r="R184" i="25"/>
  <c r="S184" i="25"/>
  <c r="T184" i="25"/>
  <c r="U184" i="25"/>
  <c r="V184" i="25"/>
  <c r="W184" i="25"/>
  <c r="X184" i="25"/>
  <c r="Y184" i="25"/>
  <c r="AF184" i="25"/>
  <c r="AG184" i="25"/>
  <c r="AH184" i="25"/>
  <c r="AI184" i="25"/>
  <c r="AJ184" i="25"/>
  <c r="AK184" i="25"/>
  <c r="AL184" i="25"/>
  <c r="AM184" i="25"/>
  <c r="AN184" i="25"/>
  <c r="AR184" i="25"/>
  <c r="AS184" i="25"/>
  <c r="AT184" i="25"/>
  <c r="AU184" i="25"/>
  <c r="AW184" i="25"/>
  <c r="AX184" i="25"/>
  <c r="AY184" i="25"/>
  <c r="AZ184" i="25"/>
  <c r="BA184" i="25"/>
  <c r="BB184" i="25"/>
  <c r="BC184" i="25"/>
  <c r="BD184" i="25"/>
  <c r="BE184" i="25"/>
  <c r="BF184" i="25"/>
  <c r="BJ184" i="25"/>
  <c r="BK184" i="25"/>
  <c r="BL184" i="25"/>
  <c r="BM184" i="25"/>
  <c r="BN184" i="25"/>
  <c r="BO184" i="25"/>
  <c r="BP184" i="25"/>
  <c r="BQ184" i="25"/>
  <c r="BR184" i="25"/>
  <c r="D185" i="25"/>
  <c r="E185" i="25"/>
  <c r="F185" i="25"/>
  <c r="G185" i="25"/>
  <c r="H185" i="25"/>
  <c r="I185" i="25"/>
  <c r="J185" i="25"/>
  <c r="K185" i="25"/>
  <c r="L185" i="25"/>
  <c r="M185" i="25"/>
  <c r="N185" i="25"/>
  <c r="O185" i="25"/>
  <c r="P185" i="25"/>
  <c r="Q185" i="25"/>
  <c r="R185" i="25"/>
  <c r="S185" i="25"/>
  <c r="T185" i="25"/>
  <c r="U185" i="25"/>
  <c r="V185" i="25"/>
  <c r="W185" i="25"/>
  <c r="X185" i="25"/>
  <c r="Y185" i="25"/>
  <c r="AF185" i="25"/>
  <c r="AG185" i="25"/>
  <c r="AH185" i="25"/>
  <c r="AI185" i="25"/>
  <c r="AJ185" i="25"/>
  <c r="AK185" i="25"/>
  <c r="AL185" i="25"/>
  <c r="AM185" i="25"/>
  <c r="AN185" i="25"/>
  <c r="AR185" i="25"/>
  <c r="AS185" i="25"/>
  <c r="AT185" i="25"/>
  <c r="AU185" i="25"/>
  <c r="AW185" i="25"/>
  <c r="AX185" i="25"/>
  <c r="AY185" i="25"/>
  <c r="AZ185" i="25"/>
  <c r="BA185" i="25"/>
  <c r="BB185" i="25"/>
  <c r="BC185" i="25"/>
  <c r="BD185" i="25"/>
  <c r="BE185" i="25"/>
  <c r="BF185" i="25"/>
  <c r="BJ185" i="25"/>
  <c r="BK185" i="25"/>
  <c r="BL185" i="25"/>
  <c r="BM185" i="25"/>
  <c r="BN185" i="25"/>
  <c r="BO185" i="25"/>
  <c r="BP185" i="25"/>
  <c r="BQ185" i="25"/>
  <c r="BR185" i="25"/>
  <c r="D186" i="25"/>
  <c r="E186" i="25"/>
  <c r="F186" i="25"/>
  <c r="G186" i="25"/>
  <c r="H186" i="25"/>
  <c r="I186" i="25"/>
  <c r="J186" i="25"/>
  <c r="K186" i="25"/>
  <c r="L186" i="25"/>
  <c r="M186" i="25"/>
  <c r="N186" i="25"/>
  <c r="O186" i="25"/>
  <c r="P186" i="25"/>
  <c r="Q186" i="25"/>
  <c r="R186" i="25"/>
  <c r="S186" i="25"/>
  <c r="T186" i="25"/>
  <c r="U186" i="25"/>
  <c r="V186" i="25"/>
  <c r="W186" i="25"/>
  <c r="X186" i="25"/>
  <c r="Y186" i="25"/>
  <c r="AF186" i="25"/>
  <c r="AG186" i="25"/>
  <c r="AH186" i="25"/>
  <c r="AI186" i="25"/>
  <c r="AJ186" i="25"/>
  <c r="AK186" i="25"/>
  <c r="AL186" i="25"/>
  <c r="AM186" i="25"/>
  <c r="AN186" i="25"/>
  <c r="AR186" i="25"/>
  <c r="AS186" i="25"/>
  <c r="AT186" i="25"/>
  <c r="AU186" i="25"/>
  <c r="AW186" i="25"/>
  <c r="AX186" i="25"/>
  <c r="AY186" i="25"/>
  <c r="AZ186" i="25"/>
  <c r="BA186" i="25"/>
  <c r="BB186" i="25"/>
  <c r="BC186" i="25"/>
  <c r="BD186" i="25"/>
  <c r="BE186" i="25"/>
  <c r="BF186" i="25"/>
  <c r="BJ186" i="25"/>
  <c r="BK186" i="25"/>
  <c r="BL186" i="25"/>
  <c r="BM186" i="25"/>
  <c r="BN186" i="25"/>
  <c r="BO186" i="25"/>
  <c r="BP186" i="25"/>
  <c r="BQ186" i="25"/>
  <c r="BR186" i="25"/>
  <c r="D187" i="25"/>
  <c r="E187" i="25"/>
  <c r="F187" i="25"/>
  <c r="G187" i="25"/>
  <c r="H187" i="25"/>
  <c r="I187" i="25"/>
  <c r="J187" i="25"/>
  <c r="K187" i="25"/>
  <c r="L187" i="25"/>
  <c r="M187" i="25"/>
  <c r="N187" i="25"/>
  <c r="O187" i="25"/>
  <c r="P187" i="25"/>
  <c r="Q187" i="25"/>
  <c r="R187" i="25"/>
  <c r="S187" i="25"/>
  <c r="T187" i="25"/>
  <c r="U187" i="25"/>
  <c r="V187" i="25"/>
  <c r="W187" i="25"/>
  <c r="X187" i="25"/>
  <c r="Y187" i="25"/>
  <c r="AF187" i="25"/>
  <c r="AG187" i="25"/>
  <c r="AH187" i="25"/>
  <c r="AI187" i="25"/>
  <c r="AJ187" i="25"/>
  <c r="AK187" i="25"/>
  <c r="AL187" i="25"/>
  <c r="AM187" i="25"/>
  <c r="AN187" i="25"/>
  <c r="AR187" i="25"/>
  <c r="AS187" i="25"/>
  <c r="AT187" i="25"/>
  <c r="AU187" i="25"/>
  <c r="AW187" i="25"/>
  <c r="AX187" i="25"/>
  <c r="AY187" i="25"/>
  <c r="AZ187" i="25"/>
  <c r="BA187" i="25"/>
  <c r="BB187" i="25"/>
  <c r="BC187" i="25"/>
  <c r="BD187" i="25"/>
  <c r="BE187" i="25"/>
  <c r="BF187" i="25"/>
  <c r="BJ187" i="25"/>
  <c r="BK187" i="25"/>
  <c r="BL187" i="25"/>
  <c r="BM187" i="25"/>
  <c r="BN187" i="25"/>
  <c r="BO187" i="25"/>
  <c r="BP187" i="25"/>
  <c r="BQ187" i="25"/>
  <c r="BR187" i="25"/>
  <c r="B64" i="7"/>
  <c r="D9" i="8"/>
  <c r="E27" i="8"/>
  <c r="AC19" i="58"/>
  <c r="AC27" i="58" s="1"/>
  <c r="AC28" i="58" s="1"/>
  <c r="AD19" i="58"/>
  <c r="AD27" i="58" s="1"/>
  <c r="AD28" i="58" s="1"/>
  <c r="AF19" i="58"/>
  <c r="AF27" i="58" s="1"/>
  <c r="U17" i="58"/>
  <c r="X17" i="58"/>
  <c r="U20" i="58"/>
  <c r="W20" i="58"/>
  <c r="AF20" i="58"/>
  <c r="U21" i="58"/>
  <c r="V21" i="58"/>
  <c r="W21" i="58"/>
  <c r="AF21" i="58"/>
  <c r="U22" i="58"/>
  <c r="V22" i="58"/>
  <c r="W22" i="58"/>
  <c r="AF22" i="58"/>
  <c r="U23" i="58"/>
  <c r="W23" i="58"/>
  <c r="AF23" i="58"/>
  <c r="AF24" i="58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C62" i="11"/>
  <c r="E62" i="11"/>
  <c r="D63" i="11"/>
  <c r="E63" i="11"/>
  <c r="F63" i="11"/>
  <c r="G63" i="11"/>
  <c r="F103" i="31"/>
  <c r="G18" i="7" s="1"/>
  <c r="F18" i="7"/>
  <c r="H103" i="31"/>
  <c r="I103" i="31"/>
  <c r="J103" i="31"/>
  <c r="E10" i="34"/>
  <c r="F10" i="34"/>
  <c r="G10" i="34"/>
  <c r="H10" i="34"/>
  <c r="I10" i="34"/>
  <c r="I17" i="34" s="1"/>
  <c r="J10" i="34"/>
  <c r="K10" i="34"/>
  <c r="G26" i="7" s="1"/>
  <c r="L10" i="34"/>
  <c r="F26" i="7" s="1"/>
  <c r="E16" i="34"/>
  <c r="F16" i="34"/>
  <c r="G16" i="34"/>
  <c r="H16" i="34"/>
  <c r="H17" i="34" s="1"/>
  <c r="W24" i="58"/>
  <c r="Y160" i="24"/>
  <c r="F28" i="7"/>
  <c r="C3" i="57"/>
  <c r="H98" i="25"/>
  <c r="F145" i="24"/>
  <c r="F98" i="25"/>
  <c r="N50" i="7"/>
  <c r="Y171" i="24"/>
  <c r="AE19" i="58"/>
  <c r="AE27" i="58" s="1"/>
  <c r="AE28" i="58" s="1"/>
  <c r="L16" i="34"/>
  <c r="F20" i="7" s="1"/>
  <c r="P23" i="25"/>
  <c r="F22" i="7"/>
  <c r="C2" i="57"/>
  <c r="H25" i="11" l="1"/>
  <c r="H28" i="11"/>
  <c r="H23" i="11"/>
  <c r="AB21" i="58"/>
  <c r="AG21" i="58"/>
  <c r="AB22" i="58"/>
  <c r="AG22" i="58"/>
  <c r="AB23" i="58"/>
  <c r="AG23" i="58"/>
  <c r="AB24" i="58"/>
  <c r="AG24" i="58"/>
  <c r="G11" i="11"/>
  <c r="H11" i="11" s="1"/>
  <c r="G8" i="11"/>
  <c r="H8" i="11" s="1"/>
  <c r="I63" i="11"/>
  <c r="I64" i="11" s="1"/>
  <c r="G13" i="11"/>
  <c r="H13" i="11" s="1"/>
  <c r="H63" i="11"/>
  <c r="H64" i="11" s="1"/>
  <c r="G7" i="11"/>
  <c r="H7" i="11" s="1"/>
  <c r="I7" i="11" s="1"/>
  <c r="G16" i="11"/>
  <c r="H16" i="11" s="1"/>
  <c r="G15" i="11"/>
  <c r="H15" i="11" s="1"/>
  <c r="H81" i="7"/>
  <c r="H21" i="11"/>
  <c r="G21" i="11"/>
  <c r="H22" i="11"/>
  <c r="G20" i="11"/>
  <c r="H20" i="11" s="1"/>
  <c r="G17" i="11"/>
  <c r="H17" i="11" s="1"/>
  <c r="AV28" i="25"/>
  <c r="G18" i="11"/>
  <c r="H18" i="11" s="1"/>
  <c r="G19" i="11"/>
  <c r="H19" i="11" s="1"/>
  <c r="AW14" i="50"/>
  <c r="AV31" i="25"/>
  <c r="AV27" i="25"/>
  <c r="AV29" i="25"/>
  <c r="AV30" i="25"/>
  <c r="AW18" i="50"/>
  <c r="AW17" i="50"/>
  <c r="AW15" i="50"/>
  <c r="AW16" i="50"/>
  <c r="AV26" i="25"/>
  <c r="AW13" i="50"/>
  <c r="D75" i="7"/>
  <c r="AF28" i="58"/>
  <c r="C28" i="58"/>
  <c r="R28" i="58"/>
  <c r="S28" i="58"/>
  <c r="D28" i="58"/>
  <c r="E25" i="58" s="1"/>
  <c r="J17" i="34"/>
  <c r="AW11" i="51"/>
  <c r="BJ29" i="10"/>
  <c r="BK29" i="10"/>
  <c r="BJ38" i="10"/>
  <c r="BK38" i="10"/>
  <c r="BJ9" i="10"/>
  <c r="BK9" i="10"/>
  <c r="BJ11" i="10"/>
  <c r="BK11" i="10"/>
  <c r="BJ14" i="10"/>
  <c r="BK14" i="10"/>
  <c r="BJ17" i="10"/>
  <c r="BK17" i="10"/>
  <c r="BJ32" i="10"/>
  <c r="BK32" i="10"/>
  <c r="AS29" i="10"/>
  <c r="BI29" i="10"/>
  <c r="AS38" i="10"/>
  <c r="BI38" i="10"/>
  <c r="AS9" i="10"/>
  <c r="BI9" i="10"/>
  <c r="AS11" i="10"/>
  <c r="BI11" i="10"/>
  <c r="AS14" i="10"/>
  <c r="BI14" i="10"/>
  <c r="AS17" i="10"/>
  <c r="BI17" i="10"/>
  <c r="AS32" i="10"/>
  <c r="BI32" i="10"/>
  <c r="AQ29" i="10"/>
  <c r="AR29" i="10"/>
  <c r="AQ38" i="10"/>
  <c r="AR38" i="10"/>
  <c r="AQ9" i="10"/>
  <c r="AR9" i="10"/>
  <c r="AQ11" i="10"/>
  <c r="AR11" i="10"/>
  <c r="AQ14" i="10"/>
  <c r="AR14" i="10"/>
  <c r="AQ17" i="10"/>
  <c r="AR17" i="10"/>
  <c r="AQ32" i="10"/>
  <c r="AR32" i="10"/>
  <c r="AF29" i="10"/>
  <c r="AG29" i="10"/>
  <c r="AF38" i="10"/>
  <c r="AG38" i="10"/>
  <c r="AF9" i="10"/>
  <c r="AG9" i="10"/>
  <c r="AF11" i="10"/>
  <c r="AG11" i="10"/>
  <c r="AF14" i="10"/>
  <c r="AG14" i="10"/>
  <c r="AF17" i="10"/>
  <c r="AG17" i="10"/>
  <c r="AF32" i="10"/>
  <c r="AG32" i="10"/>
  <c r="AD29" i="10"/>
  <c r="AE29" i="10"/>
  <c r="AE38" i="10"/>
  <c r="AD38" i="10"/>
  <c r="AD9" i="10"/>
  <c r="AE9" i="10"/>
  <c r="AD11" i="10"/>
  <c r="AE11" i="10"/>
  <c r="AD14" i="10"/>
  <c r="AE14" i="10"/>
  <c r="AD17" i="10"/>
  <c r="AE17" i="10"/>
  <c r="AD32" i="10"/>
  <c r="AE32" i="10"/>
  <c r="AB29" i="10"/>
  <c r="AC29" i="10"/>
  <c r="BR38" i="10"/>
  <c r="AB38" i="10"/>
  <c r="AC38" i="10"/>
  <c r="AB9" i="10"/>
  <c r="AC9" i="10"/>
  <c r="AB11" i="10"/>
  <c r="AC11" i="10"/>
  <c r="AB14" i="10"/>
  <c r="AC14" i="10"/>
  <c r="AB17" i="10"/>
  <c r="AC17" i="10"/>
  <c r="AB32" i="10"/>
  <c r="AC32" i="10"/>
  <c r="H24" i="11"/>
  <c r="BP3" i="33"/>
  <c r="R110" i="31"/>
  <c r="Y143" i="24"/>
  <c r="N143" i="24"/>
  <c r="Z143" i="24"/>
  <c r="V143" i="24"/>
  <c r="O143" i="24"/>
  <c r="K143" i="24"/>
  <c r="G143" i="24"/>
  <c r="J143" i="24"/>
  <c r="AA143" i="24"/>
  <c r="W143" i="24"/>
  <c r="P143" i="24"/>
  <c r="L143" i="24"/>
  <c r="H143" i="24"/>
  <c r="AC143" i="24"/>
  <c r="U143" i="24"/>
  <c r="F143" i="24"/>
  <c r="AB143" i="24"/>
  <c r="X143" i="24"/>
  <c r="Q143" i="24"/>
  <c r="M143" i="24"/>
  <c r="I143" i="24"/>
  <c r="E143" i="24"/>
  <c r="J104" i="31"/>
  <c r="AV96" i="25"/>
  <c r="AW16" i="53"/>
  <c r="AW15" i="53"/>
  <c r="AW17" i="53"/>
  <c r="AW18" i="53"/>
  <c r="AW14" i="53"/>
  <c r="BJ7" i="25"/>
  <c r="BC7" i="25"/>
  <c r="AY7" i="25"/>
  <c r="AT7" i="25"/>
  <c r="AM7" i="25"/>
  <c r="AI7" i="25"/>
  <c r="Y7" i="25"/>
  <c r="U7" i="25"/>
  <c r="Q7" i="25"/>
  <c r="M7" i="25"/>
  <c r="I7" i="25"/>
  <c r="E7" i="25"/>
  <c r="AW31" i="55"/>
  <c r="AW27" i="55"/>
  <c r="BK7" i="25"/>
  <c r="BD7" i="25"/>
  <c r="AZ7" i="25"/>
  <c r="AU7" i="25"/>
  <c r="AN7" i="25"/>
  <c r="AJ7" i="25"/>
  <c r="AF7" i="25"/>
  <c r="V7" i="25"/>
  <c r="R7" i="25"/>
  <c r="N7" i="25"/>
  <c r="J7" i="25"/>
  <c r="F7" i="25"/>
  <c r="E7" i="53"/>
  <c r="BL7" i="25"/>
  <c r="BE7" i="25"/>
  <c r="BA7" i="25"/>
  <c r="AW7" i="25"/>
  <c r="AR7" i="25"/>
  <c r="AK7" i="25"/>
  <c r="AG7" i="25"/>
  <c r="W7" i="25"/>
  <c r="S7" i="25"/>
  <c r="O7" i="25"/>
  <c r="K7" i="25"/>
  <c r="G7" i="25"/>
  <c r="BM7" i="25"/>
  <c r="BF7" i="25"/>
  <c r="BB7" i="25"/>
  <c r="AX7" i="25"/>
  <c r="AS7" i="25"/>
  <c r="AL7" i="25"/>
  <c r="AH7" i="25"/>
  <c r="X7" i="25"/>
  <c r="T7" i="25"/>
  <c r="P7" i="25"/>
  <c r="L7" i="25"/>
  <c r="H7" i="25"/>
  <c r="AV92" i="25"/>
  <c r="AW28" i="55"/>
  <c r="AW29" i="55"/>
  <c r="AW25" i="55"/>
  <c r="AW30" i="55"/>
  <c r="AW26" i="55"/>
  <c r="AV36" i="25"/>
  <c r="AW10" i="51"/>
  <c r="AV187" i="25"/>
  <c r="AW12" i="53"/>
  <c r="AW13" i="53"/>
  <c r="AV186" i="25"/>
  <c r="AV90" i="25"/>
  <c r="AV91" i="25"/>
  <c r="D7" i="24"/>
  <c r="AV185" i="25"/>
  <c r="AV89" i="25"/>
  <c r="AW11" i="53"/>
  <c r="AV88" i="25"/>
  <c r="AW10" i="53"/>
  <c r="H34" i="11"/>
  <c r="H35" i="11"/>
  <c r="B2" i="57"/>
  <c r="B5" i="57" s="1"/>
  <c r="U27" i="58"/>
  <c r="G17" i="34"/>
  <c r="K17" i="34"/>
  <c r="E17" i="34"/>
  <c r="H104" i="31"/>
  <c r="AV58" i="25"/>
  <c r="AV56" i="25"/>
  <c r="AV25" i="25"/>
  <c r="AV184" i="25"/>
  <c r="AV182" i="25"/>
  <c r="AV183" i="25"/>
  <c r="AV57" i="25"/>
  <c r="AW11" i="50"/>
  <c r="AW16" i="52"/>
  <c r="AW17" i="52"/>
  <c r="AW18" i="52"/>
  <c r="AW12" i="50"/>
  <c r="AC249" i="24"/>
  <c r="N249" i="24"/>
  <c r="Z249" i="24"/>
  <c r="V249" i="24"/>
  <c r="O249" i="24"/>
  <c r="K249" i="24"/>
  <c r="Y249" i="24"/>
  <c r="J249" i="24"/>
  <c r="AA249" i="24"/>
  <c r="W249" i="24"/>
  <c r="P249" i="24"/>
  <c r="L249" i="24"/>
  <c r="U249" i="24"/>
  <c r="AB249" i="24"/>
  <c r="X249" i="24"/>
  <c r="Q249" i="24"/>
  <c r="M249" i="24"/>
  <c r="I249" i="24"/>
  <c r="T19" i="58"/>
  <c r="T28" i="58" s="1"/>
  <c r="AB20" i="58"/>
  <c r="Z27" i="58"/>
  <c r="AG27" i="58" s="1"/>
  <c r="E249" i="24"/>
  <c r="C5" i="57"/>
  <c r="E2" i="57"/>
  <c r="E5" i="57" s="1"/>
  <c r="E7" i="54"/>
  <c r="J62" i="11"/>
  <c r="I104" i="31"/>
  <c r="AV35" i="25"/>
  <c r="AW9" i="51"/>
  <c r="F104" i="31"/>
  <c r="K104" i="31"/>
  <c r="AV87" i="25"/>
  <c r="AW9" i="53"/>
  <c r="AW14" i="52"/>
  <c r="AV55" i="25"/>
  <c r="AV53" i="25"/>
  <c r="AV24" i="25"/>
  <c r="AW15" i="52"/>
  <c r="AW24" i="55"/>
  <c r="AV172" i="25"/>
  <c r="AV171" i="25"/>
  <c r="AV170" i="25"/>
  <c r="AW46" i="54"/>
  <c r="AW45" i="54"/>
  <c r="AW44" i="54"/>
  <c r="AW43" i="54"/>
  <c r="AW42" i="54"/>
  <c r="AW41" i="54"/>
  <c r="AW40" i="54"/>
  <c r="AW39" i="54"/>
  <c r="AW38" i="54"/>
  <c r="AW37" i="54"/>
  <c r="AW36" i="54"/>
  <c r="AW35" i="54"/>
  <c r="AW34" i="54"/>
  <c r="AW33" i="54"/>
  <c r="AW32" i="54"/>
  <c r="AW31" i="54"/>
  <c r="AW30" i="54"/>
  <c r="AW29" i="54"/>
  <c r="AW27" i="54"/>
  <c r="AW26" i="54"/>
  <c r="AW25" i="54"/>
  <c r="AW24" i="54"/>
  <c r="AW23" i="54"/>
  <c r="AW22" i="54"/>
  <c r="AW21" i="54"/>
  <c r="AW22" i="55"/>
  <c r="AW18" i="55"/>
  <c r="AW14" i="55"/>
  <c r="AV177" i="25"/>
  <c r="AV173" i="25"/>
  <c r="AV140" i="25"/>
  <c r="AW21" i="55"/>
  <c r="AW17" i="55"/>
  <c r="AV138" i="25"/>
  <c r="AV136" i="25"/>
  <c r="AV134" i="25"/>
  <c r="AV132" i="25"/>
  <c r="AV130" i="25"/>
  <c r="AV128" i="25"/>
  <c r="AV126" i="25"/>
  <c r="AV119" i="25"/>
  <c r="AV120" i="25"/>
  <c r="AV118" i="25"/>
  <c r="AV176" i="25"/>
  <c r="AV175" i="25"/>
  <c r="AV174" i="25"/>
  <c r="AV121" i="25"/>
  <c r="AV122" i="25"/>
  <c r="AV141" i="25"/>
  <c r="AV139" i="25"/>
  <c r="AV137" i="25"/>
  <c r="AV135" i="25"/>
  <c r="AV133" i="25"/>
  <c r="AV131" i="25"/>
  <c r="AV129" i="25"/>
  <c r="AV127" i="25"/>
  <c r="AV125" i="25"/>
  <c r="AW23" i="55"/>
  <c r="AW19" i="55"/>
  <c r="AW15" i="55"/>
  <c r="AW20" i="55"/>
  <c r="AW16" i="55"/>
  <c r="AW48" i="54"/>
  <c r="AW47" i="54"/>
  <c r="AW28" i="54"/>
  <c r="AW13" i="55"/>
  <c r="AW9" i="55"/>
  <c r="AV166" i="25"/>
  <c r="AW10" i="55"/>
  <c r="AV169" i="25"/>
  <c r="AW12" i="55"/>
  <c r="AW11" i="55"/>
  <c r="BP38" i="10"/>
  <c r="AW8" i="55"/>
  <c r="AV51" i="25"/>
  <c r="AV49" i="25"/>
  <c r="AV21" i="25"/>
  <c r="AV9" i="25"/>
  <c r="AW9" i="50"/>
  <c r="AW9" i="33"/>
  <c r="AW10" i="50"/>
  <c r="AW10" i="52"/>
  <c r="AW20" i="54"/>
  <c r="AW19" i="54"/>
  <c r="AW18" i="54"/>
  <c r="AW17" i="54"/>
  <c r="AW16" i="54"/>
  <c r="AW15" i="54"/>
  <c r="AW14" i="54"/>
  <c r="AW13" i="54"/>
  <c r="AW12" i="54"/>
  <c r="AW11" i="54"/>
  <c r="AV34" i="25"/>
  <c r="AW8" i="51"/>
  <c r="AW8" i="53"/>
  <c r="AV106" i="25"/>
  <c r="AV104" i="25"/>
  <c r="AV105" i="25"/>
  <c r="AV107" i="25"/>
  <c r="AV86" i="25"/>
  <c r="AV50" i="25"/>
  <c r="AV48" i="25"/>
  <c r="AV23" i="25"/>
  <c r="AV11" i="25"/>
  <c r="AV10" i="25"/>
  <c r="AV8" i="25"/>
  <c r="AW11" i="52"/>
  <c r="AW9" i="52"/>
  <c r="AW8" i="50"/>
  <c r="AW11" i="33"/>
  <c r="AW10" i="33"/>
  <c r="AW8" i="33"/>
  <c r="BP3" i="54"/>
  <c r="BP3" i="52"/>
  <c r="BP3" i="50"/>
  <c r="E32" i="24"/>
  <c r="AC14" i="24"/>
  <c r="P218" i="24"/>
  <c r="BP3" i="51"/>
  <c r="BP3" i="53"/>
  <c r="F67" i="11"/>
  <c r="V27" i="58"/>
  <c r="AV103" i="25"/>
  <c r="AV102" i="25"/>
  <c r="AV98" i="25"/>
  <c r="AV54" i="25"/>
  <c r="AV52" i="25"/>
  <c r="AV22" i="25"/>
  <c r="AW10" i="54"/>
  <c r="AW9" i="54"/>
  <c r="AW8" i="54"/>
  <c r="AW13" i="52"/>
  <c r="AW12" i="52"/>
  <c r="AW8" i="52"/>
  <c r="L218" i="24"/>
  <c r="M32" i="24"/>
  <c r="AB32" i="24"/>
  <c r="X32" i="24"/>
  <c r="W32" i="24"/>
  <c r="J14" i="24"/>
  <c r="O218" i="24"/>
  <c r="K218" i="24"/>
  <c r="P91" i="24"/>
  <c r="AA32" i="24"/>
  <c r="P32" i="24"/>
  <c r="AB14" i="24"/>
  <c r="W44" i="24"/>
  <c r="Q44" i="24"/>
  <c r="AX7" i="53"/>
  <c r="AY29" i="10" s="1"/>
  <c r="AV7" i="55"/>
  <c r="AW38" i="10" s="1"/>
  <c r="U218" i="24"/>
  <c r="AL7" i="50"/>
  <c r="AM11" i="10" s="1"/>
  <c r="I14" i="24"/>
  <c r="AI7" i="51"/>
  <c r="AJ14" i="10" s="1"/>
  <c r="AF218" i="24"/>
  <c r="V32" i="24"/>
  <c r="AX7" i="33"/>
  <c r="AY9" i="10" s="1"/>
  <c r="P7" i="50"/>
  <c r="Q7" i="50" s="1"/>
  <c r="R11" i="10" s="1"/>
  <c r="AM7" i="54"/>
  <c r="AN32" i="10" s="1"/>
  <c r="BN7" i="54"/>
  <c r="BO32" i="10" s="1"/>
  <c r="AC91" i="24"/>
  <c r="H14" i="24"/>
  <c r="G14" i="24"/>
  <c r="BB7" i="51"/>
  <c r="BC14" i="10" s="1"/>
  <c r="M7" i="51"/>
  <c r="N14" i="10" s="1"/>
  <c r="G218" i="24"/>
  <c r="I218" i="24"/>
  <c r="L91" i="24"/>
  <c r="H91" i="24"/>
  <c r="L32" i="24"/>
  <c r="H32" i="24"/>
  <c r="AG7" i="50"/>
  <c r="AH11" i="10" s="1"/>
  <c r="H7" i="50"/>
  <c r="I11" i="10" s="1"/>
  <c r="K7" i="52"/>
  <c r="L17" i="10" s="1"/>
  <c r="V7" i="52"/>
  <c r="W17" i="10" s="1"/>
  <c r="AS7" i="55"/>
  <c r="AT38" i="10" s="1"/>
  <c r="P7" i="55"/>
  <c r="Q7" i="55" s="1"/>
  <c r="R38" i="10" s="1"/>
  <c r="D7" i="55"/>
  <c r="E38" i="10" s="1"/>
  <c r="G12" i="7" s="1"/>
  <c r="F61" i="7" s="1"/>
  <c r="P17" i="58" s="1"/>
  <c r="BN7" i="55"/>
  <c r="BO38" i="10" s="1"/>
  <c r="V7" i="55"/>
  <c r="W7" i="55" s="1"/>
  <c r="X7" i="55" s="1"/>
  <c r="Y38" i="10" s="1"/>
  <c r="R7" i="55"/>
  <c r="S7" i="55" s="1"/>
  <c r="T38" i="10" s="1"/>
  <c r="N7" i="55"/>
  <c r="O7" i="55" s="1"/>
  <c r="P38" i="10" s="1"/>
  <c r="BE7" i="55"/>
  <c r="BF38" i="10" s="1"/>
  <c r="AH7" i="51"/>
  <c r="AI14" i="10" s="1"/>
  <c r="Y7" i="51"/>
  <c r="Z7" i="51" s="1"/>
  <c r="AA14" i="10" s="1"/>
  <c r="AO7" i="53"/>
  <c r="AP29" i="10" s="1"/>
  <c r="AK7" i="53"/>
  <c r="AL29" i="10" s="1"/>
  <c r="G7" i="53"/>
  <c r="BM7" i="53"/>
  <c r="BN29" i="10" s="1"/>
  <c r="BF7" i="53"/>
  <c r="BG29" i="10" s="1"/>
  <c r="AL7" i="53"/>
  <c r="AM29" i="10" s="1"/>
  <c r="AH7" i="53"/>
  <c r="AI29" i="10" s="1"/>
  <c r="BS7" i="53"/>
  <c r="AU7" i="53"/>
  <c r="AV29" i="10" s="1"/>
  <c r="Q218" i="24"/>
  <c r="M218" i="24"/>
  <c r="Z218" i="24"/>
  <c r="U91" i="24"/>
  <c r="Z44" i="24"/>
  <c r="O44" i="24"/>
  <c r="P44" i="24"/>
  <c r="Y32" i="24"/>
  <c r="F32" i="24"/>
  <c r="Z14" i="24"/>
  <c r="AH7" i="50"/>
  <c r="AI11" i="10" s="1"/>
  <c r="AK7" i="52"/>
  <c r="AL17" i="10" s="1"/>
  <c r="J7" i="54"/>
  <c r="K32" i="10" s="1"/>
  <c r="BS7" i="54"/>
  <c r="BE7" i="33"/>
  <c r="BF9" i="10" s="1"/>
  <c r="M7" i="33"/>
  <c r="N9" i="10" s="1"/>
  <c r="AZ7" i="33"/>
  <c r="BA9" i="10" s="1"/>
  <c r="I7" i="51"/>
  <c r="J14" i="10" s="1"/>
  <c r="Y7" i="53"/>
  <c r="J7" i="55"/>
  <c r="K38" i="10" s="1"/>
  <c r="J218" i="24"/>
  <c r="AC218" i="24"/>
  <c r="E218" i="24"/>
  <c r="V44" i="24"/>
  <c r="M44" i="24"/>
  <c r="Z32" i="24"/>
  <c r="W14" i="24"/>
  <c r="AA14" i="24"/>
  <c r="V14" i="24"/>
  <c r="O14" i="24"/>
  <c r="K14" i="24"/>
  <c r="AG7" i="33"/>
  <c r="AH9" i="10" s="1"/>
  <c r="AJ9" i="58" s="1"/>
  <c r="BE7" i="50"/>
  <c r="BF11" i="10" s="1"/>
  <c r="T7" i="51"/>
  <c r="U14" i="10" s="1"/>
  <c r="BS7" i="51"/>
  <c r="AZ7" i="51"/>
  <c r="BA14" i="10" s="1"/>
  <c r="R7" i="52"/>
  <c r="S17" i="10" s="1"/>
  <c r="F7" i="52"/>
  <c r="G17" i="10" s="1"/>
  <c r="BL7" i="52"/>
  <c r="BM17" i="10" s="1"/>
  <c r="BE7" i="52"/>
  <c r="BF17" i="10" s="1"/>
  <c r="AO7" i="52"/>
  <c r="AP17" i="10" s="1"/>
  <c r="BK7" i="53"/>
  <c r="BL29" i="10" s="1"/>
  <c r="AZ7" i="53"/>
  <c r="BA29" i="10" s="1"/>
  <c r="H7" i="55"/>
  <c r="I38" i="10" s="1"/>
  <c r="E91" i="24"/>
  <c r="I7" i="33"/>
  <c r="J9" i="10" s="1"/>
  <c r="AM7" i="51"/>
  <c r="AN14" i="10" s="1"/>
  <c r="AI7" i="53"/>
  <c r="AJ29" i="10" s="1"/>
  <c r="I7" i="53"/>
  <c r="J29" i="10" s="1"/>
  <c r="I7" i="54"/>
  <c r="J32" i="10" s="1"/>
  <c r="BM7" i="54"/>
  <c r="BN32" i="10" s="1"/>
  <c r="AN7" i="55"/>
  <c r="AO38" i="10" s="1"/>
  <c r="AG7" i="51"/>
  <c r="AH14" i="10" s="1"/>
  <c r="AO12" i="61" s="1"/>
  <c r="T12" i="61" s="1"/>
  <c r="BB7" i="52"/>
  <c r="BC17" i="10" s="1"/>
  <c r="AL7" i="52"/>
  <c r="AM17" i="10" s="1"/>
  <c r="H7" i="53"/>
  <c r="I29" i="10" s="1"/>
  <c r="K7" i="53"/>
  <c r="L29" i="10" s="1"/>
  <c r="BB7" i="55"/>
  <c r="BC38" i="10" s="1"/>
  <c r="AL7" i="55"/>
  <c r="AM38" i="10" s="1"/>
  <c r="T7" i="55"/>
  <c r="L7" i="55"/>
  <c r="M38" i="10" s="1"/>
  <c r="AB91" i="24"/>
  <c r="BK7" i="33"/>
  <c r="BL9" i="10" s="1"/>
  <c r="AJ7" i="52"/>
  <c r="AK17" i="10" s="1"/>
  <c r="J7" i="53"/>
  <c r="K29" i="10" s="1"/>
  <c r="AM7" i="53"/>
  <c r="AN29" i="10" s="1"/>
  <c r="AJ7" i="55"/>
  <c r="AK38" i="10" s="1"/>
  <c r="AT7" i="53"/>
  <c r="AU29" i="10" s="1"/>
  <c r="AT7" i="51"/>
  <c r="AU14" i="10" s="1"/>
  <c r="X14" i="24"/>
  <c r="Q14" i="24"/>
  <c r="M14" i="24"/>
  <c r="AS7" i="50"/>
  <c r="AT11" i="10" s="1"/>
  <c r="L7" i="50"/>
  <c r="M11" i="10" s="1"/>
  <c r="AT7" i="50"/>
  <c r="AU11" i="10" s="1"/>
  <c r="G7" i="51"/>
  <c r="BF7" i="51"/>
  <c r="BG14" i="10" s="1"/>
  <c r="AX7" i="51"/>
  <c r="AY14" i="10" s="1"/>
  <c r="BA7" i="52"/>
  <c r="BB17" i="10" s="1"/>
  <c r="AG7" i="52"/>
  <c r="AH17" i="10" s="1"/>
  <c r="AO13" i="61" s="1"/>
  <c r="T13" i="61" s="1"/>
  <c r="AY7" i="52"/>
  <c r="AZ17" i="10" s="1"/>
  <c r="BB7" i="53"/>
  <c r="BC29" i="10" s="1"/>
  <c r="AY7" i="55"/>
  <c r="AZ38" i="10" s="1"/>
  <c r="C7" i="10"/>
  <c r="Q91" i="24"/>
  <c r="H249" i="24"/>
  <c r="X218" i="24"/>
  <c r="X44" i="24"/>
  <c r="E44" i="24"/>
  <c r="K32" i="24"/>
  <c r="L14" i="24"/>
  <c r="D7" i="33"/>
  <c r="BF7" i="33"/>
  <c r="BG9" i="10" s="1"/>
  <c r="E7" i="33"/>
  <c r="L17" i="34"/>
  <c r="Z91" i="24"/>
  <c r="V91" i="24"/>
  <c r="O91" i="24"/>
  <c r="K91" i="24"/>
  <c r="AA218" i="24"/>
  <c r="BQ38" i="10"/>
  <c r="BS38" i="10"/>
  <c r="X91" i="24"/>
  <c r="M91" i="24"/>
  <c r="N218" i="24"/>
  <c r="Y44" i="24"/>
  <c r="O32" i="24"/>
  <c r="G32" i="24"/>
  <c r="AS7" i="33"/>
  <c r="AT9" i="10" s="1"/>
  <c r="BM7" i="33"/>
  <c r="BN9" i="10" s="1"/>
  <c r="AH7" i="33"/>
  <c r="AI9" i="10" s="1"/>
  <c r="AY7" i="33"/>
  <c r="AZ9" i="10" s="1"/>
  <c r="H218" i="24"/>
  <c r="F17" i="34"/>
  <c r="W27" i="58"/>
  <c r="F249" i="24"/>
  <c r="W218" i="24"/>
  <c r="V218" i="24"/>
  <c r="F218" i="24"/>
  <c r="AG218" i="24"/>
  <c r="Y218" i="24"/>
  <c r="AA44" i="24"/>
  <c r="H44" i="24"/>
  <c r="K44" i="24"/>
  <c r="G44" i="24"/>
  <c r="Q32" i="24"/>
  <c r="I32" i="24"/>
  <c r="U14" i="24"/>
  <c r="N14" i="24"/>
  <c r="F14" i="24"/>
  <c r="BS7" i="33"/>
  <c r="AO7" i="33"/>
  <c r="AP9" i="10" s="1"/>
  <c r="AK7" i="33"/>
  <c r="AL9" i="10" s="1"/>
  <c r="Y14" i="24"/>
  <c r="BN7" i="33"/>
  <c r="BO9" i="10" s="1"/>
  <c r="BC7" i="33"/>
  <c r="BD9" i="10" s="1"/>
  <c r="AN7" i="33"/>
  <c r="AO9" i="10" s="1"/>
  <c r="N7" i="33"/>
  <c r="O7" i="33" s="1"/>
  <c r="P9" i="10" s="1"/>
  <c r="AV7" i="33"/>
  <c r="AW9" i="10" s="1"/>
  <c r="BM7" i="50"/>
  <c r="BN11" i="10" s="1"/>
  <c r="BF7" i="50"/>
  <c r="BG11" i="10" s="1"/>
  <c r="BB7" i="50"/>
  <c r="BC11" i="10" s="1"/>
  <c r="AO7" i="50"/>
  <c r="AP11" i="10" s="1"/>
  <c r="K7" i="50"/>
  <c r="L11" i="10" s="1"/>
  <c r="G7" i="50"/>
  <c r="AV7" i="50"/>
  <c r="AW11" i="10" s="1"/>
  <c r="AK7" i="50"/>
  <c r="AL11" i="10" s="1"/>
  <c r="AL7" i="51"/>
  <c r="AM14" i="10" s="1"/>
  <c r="BD7" i="53"/>
  <c r="BE29" i="10" s="1"/>
  <c r="M7" i="53"/>
  <c r="N29" i="10" s="1"/>
  <c r="D7" i="54"/>
  <c r="Y7" i="54"/>
  <c r="Z7" i="54" s="1"/>
  <c r="AA32" i="10" s="1"/>
  <c r="AX7" i="54"/>
  <c r="AY32" i="10" s="1"/>
  <c r="AH7" i="55"/>
  <c r="AI38" i="10" s="1"/>
  <c r="AB218" i="24"/>
  <c r="N91" i="24"/>
  <c r="J91" i="24"/>
  <c r="P14" i="24"/>
  <c r="E14" i="24"/>
  <c r="BB7" i="33"/>
  <c r="BC9" i="10" s="1"/>
  <c r="P7" i="33"/>
  <c r="Q9" i="10" s="1"/>
  <c r="BG7" i="33"/>
  <c r="BH9" i="10" s="1"/>
  <c r="BD7" i="33"/>
  <c r="BE9" i="10" s="1"/>
  <c r="AU7" i="33"/>
  <c r="AV9" i="10" s="1"/>
  <c r="T7" i="50"/>
  <c r="U7" i="50" s="1"/>
  <c r="V11" i="10" s="1"/>
  <c r="AS7" i="51"/>
  <c r="AT14" i="10" s="1"/>
  <c r="P7" i="51"/>
  <c r="Q14" i="10" s="1"/>
  <c r="L7" i="51"/>
  <c r="M14" i="10" s="1"/>
  <c r="D7" i="51"/>
  <c r="BC7" i="51"/>
  <c r="BD14" i="10" s="1"/>
  <c r="N7" i="51"/>
  <c r="O14" i="10" s="1"/>
  <c r="BE7" i="51"/>
  <c r="BF14" i="10" s="1"/>
  <c r="BA7" i="51"/>
  <c r="BB14" i="10" s="1"/>
  <c r="AV7" i="51"/>
  <c r="AW14" i="10" s="1"/>
  <c r="BM7" i="51"/>
  <c r="BN14" i="10" s="1"/>
  <c r="AS7" i="52"/>
  <c r="AT17" i="10" s="1"/>
  <c r="BG7" i="52"/>
  <c r="BH17" i="10" s="1"/>
  <c r="AN7" i="52"/>
  <c r="AO17" i="10" s="1"/>
  <c r="BF7" i="52"/>
  <c r="BG17" i="10" s="1"/>
  <c r="L7" i="52"/>
  <c r="M17" i="10" s="1"/>
  <c r="H7" i="52"/>
  <c r="I17" i="10" s="1"/>
  <c r="D7" i="52"/>
  <c r="P7" i="53"/>
  <c r="Q29" i="10" s="1"/>
  <c r="D7" i="53"/>
  <c r="V7" i="53"/>
  <c r="W7" i="53" s="1"/>
  <c r="BL7" i="53"/>
  <c r="BM29" i="10" s="1"/>
  <c r="BE7" i="53"/>
  <c r="BF29" i="10" s="1"/>
  <c r="AG7" i="53"/>
  <c r="AH29" i="10" s="1"/>
  <c r="AO14" i="61" s="1"/>
  <c r="T14" i="61" s="1"/>
  <c r="M7" i="54"/>
  <c r="N32" i="10" s="1"/>
  <c r="AY7" i="54"/>
  <c r="AZ32" i="10" s="1"/>
  <c r="AN7" i="54"/>
  <c r="AO32" i="10" s="1"/>
  <c r="AJ7" i="54"/>
  <c r="AK32" i="10" s="1"/>
  <c r="V7" i="54"/>
  <c r="W32" i="10" s="1"/>
  <c r="R7" i="54"/>
  <c r="S7" i="54" s="1"/>
  <c r="T32" i="10" s="1"/>
  <c r="BG7" i="54"/>
  <c r="BH32" i="10" s="1"/>
  <c r="AI7" i="54"/>
  <c r="AJ32" i="10" s="1"/>
  <c r="AO7" i="55"/>
  <c r="AP38" i="10" s="1"/>
  <c r="AZ7" i="54"/>
  <c r="BA32" i="10" s="1"/>
  <c r="BD7" i="54"/>
  <c r="BE32" i="10" s="1"/>
  <c r="J32" i="24"/>
  <c r="N32" i="24"/>
  <c r="U32" i="24"/>
  <c r="AC32" i="24"/>
  <c r="W91" i="24"/>
  <c r="G20" i="7"/>
  <c r="J7" i="51"/>
  <c r="K14" i="10" s="1"/>
  <c r="AU7" i="51"/>
  <c r="AV14" i="10" s="1"/>
  <c r="K7" i="51"/>
  <c r="L14" i="10" s="1"/>
  <c r="BM7" i="52"/>
  <c r="BN17" i="10" s="1"/>
  <c r="BC7" i="55"/>
  <c r="BD38" i="10" s="1"/>
  <c r="BL7" i="55"/>
  <c r="BM38" i="10" s="1"/>
  <c r="BA7" i="55"/>
  <c r="BB38" i="10" s="1"/>
  <c r="G91" i="24"/>
  <c r="I91" i="24"/>
  <c r="AA91" i="24"/>
  <c r="U44" i="24"/>
  <c r="N44" i="24"/>
  <c r="J44" i="24"/>
  <c r="L44" i="24"/>
  <c r="AM7" i="33"/>
  <c r="AN9" i="10" s="1"/>
  <c r="AI7" i="33"/>
  <c r="AJ9" i="10" s="1"/>
  <c r="AJ7" i="51"/>
  <c r="AK14" i="10" s="1"/>
  <c r="BK7" i="51"/>
  <c r="BL14" i="10" s="1"/>
  <c r="BD7" i="51"/>
  <c r="BE14" i="10" s="1"/>
  <c r="AO7" i="51"/>
  <c r="AP14" i="10" s="1"/>
  <c r="AK7" i="51"/>
  <c r="AL14" i="10" s="1"/>
  <c r="E7" i="51"/>
  <c r="BK7" i="52"/>
  <c r="BL17" i="10" s="1"/>
  <c r="BD7" i="52"/>
  <c r="BE17" i="10" s="1"/>
  <c r="AU7" i="52"/>
  <c r="AV17" i="10" s="1"/>
  <c r="AI7" i="52"/>
  <c r="AJ17" i="10" s="1"/>
  <c r="Y7" i="52"/>
  <c r="Z7" i="52" s="1"/>
  <c r="AA17" i="10" s="1"/>
  <c r="M7" i="52"/>
  <c r="N17" i="10" s="1"/>
  <c r="F7" i="53"/>
  <c r="G29" i="10" s="1"/>
  <c r="BC7" i="53"/>
  <c r="BD29" i="10" s="1"/>
  <c r="AY7" i="53"/>
  <c r="AZ29" i="10" s="1"/>
  <c r="R7" i="53"/>
  <c r="S7" i="53" s="1"/>
  <c r="T29" i="10" s="1"/>
  <c r="AK7" i="54"/>
  <c r="AL32" i="10" s="1"/>
  <c r="K7" i="54"/>
  <c r="L32" i="10" s="1"/>
  <c r="G7" i="54"/>
  <c r="BL7" i="54"/>
  <c r="BM32" i="10" s="1"/>
  <c r="BE7" i="54"/>
  <c r="BF32" i="10" s="1"/>
  <c r="AV7" i="54"/>
  <c r="AW32" i="10" s="1"/>
  <c r="AS7" i="54"/>
  <c r="AT32" i="10" s="1"/>
  <c r="AL7" i="54"/>
  <c r="AM32" i="10" s="1"/>
  <c r="AH7" i="54"/>
  <c r="AI32" i="10" s="1"/>
  <c r="T7" i="54"/>
  <c r="U32" i="10" s="1"/>
  <c r="L7" i="54"/>
  <c r="M32" i="10" s="1"/>
  <c r="BM7" i="55"/>
  <c r="BN38" i="10" s="1"/>
  <c r="BS7" i="55"/>
  <c r="G7" i="55"/>
  <c r="H38" i="10" s="1"/>
  <c r="F12" i="7" s="1"/>
  <c r="G61" i="7" s="1"/>
  <c r="BG7" i="55"/>
  <c r="BH38" i="10" s="1"/>
  <c r="Y7" i="55"/>
  <c r="Z38" i="10" s="1"/>
  <c r="E7" i="55"/>
  <c r="F38" i="10" s="1"/>
  <c r="BD7" i="55"/>
  <c r="BE38" i="10" s="1"/>
  <c r="AZ7" i="55"/>
  <c r="BA38" i="10" s="1"/>
  <c r="F7" i="55"/>
  <c r="G38" i="10" s="1"/>
  <c r="AL7" i="33"/>
  <c r="AM9" i="10" s="1"/>
  <c r="T7" i="33"/>
  <c r="L7" i="33"/>
  <c r="M9" i="10" s="1"/>
  <c r="H7" i="33"/>
  <c r="I9" i="10" s="1"/>
  <c r="BL7" i="50"/>
  <c r="BM11" i="10" s="1"/>
  <c r="BA7" i="50"/>
  <c r="BB11" i="10" s="1"/>
  <c r="D7" i="50"/>
  <c r="E7" i="50"/>
  <c r="BS7" i="50"/>
  <c r="BK7" i="50"/>
  <c r="BL11" i="10" s="1"/>
  <c r="BD7" i="50"/>
  <c r="BE11" i="10" s="1"/>
  <c r="AZ7" i="50"/>
  <c r="BA11" i="10" s="1"/>
  <c r="AU7" i="50"/>
  <c r="AV11" i="10" s="1"/>
  <c r="AN7" i="50"/>
  <c r="AO11" i="10" s="1"/>
  <c r="AJ7" i="50"/>
  <c r="AK11" i="10" s="1"/>
  <c r="R7" i="51"/>
  <c r="BN7" i="52"/>
  <c r="BO17" i="10" s="1"/>
  <c r="AT7" i="52"/>
  <c r="AU17" i="10" s="1"/>
  <c r="N7" i="52"/>
  <c r="BA7" i="53"/>
  <c r="BB29" i="10" s="1"/>
  <c r="AO7" i="54"/>
  <c r="AP32" i="10" s="1"/>
  <c r="AG7" i="54"/>
  <c r="AH32" i="10" s="1"/>
  <c r="BF7" i="54"/>
  <c r="BG32" i="10" s="1"/>
  <c r="BB7" i="54"/>
  <c r="BC32" i="10" s="1"/>
  <c r="P7" i="54"/>
  <c r="H7" i="54"/>
  <c r="I32" i="10" s="1"/>
  <c r="BF7" i="55"/>
  <c r="BG38" i="10" s="1"/>
  <c r="AX7" i="55"/>
  <c r="AY38" i="10" s="1"/>
  <c r="K7" i="55"/>
  <c r="L38" i="10" s="1"/>
  <c r="V7" i="33"/>
  <c r="BN7" i="53"/>
  <c r="BO29" i="10" s="1"/>
  <c r="AN7" i="53"/>
  <c r="AO29" i="10" s="1"/>
  <c r="BK7" i="55"/>
  <c r="BL38" i="10" s="1"/>
  <c r="AK7" i="55"/>
  <c r="AL38" i="10" s="1"/>
  <c r="I44" i="24"/>
  <c r="J7" i="33"/>
  <c r="K9" i="10" s="1"/>
  <c r="Y7" i="50"/>
  <c r="Z7" i="50" s="1"/>
  <c r="AA11" i="10" s="1"/>
  <c r="M7" i="50"/>
  <c r="N11" i="10" s="1"/>
  <c r="I7" i="50"/>
  <c r="J11" i="10" s="1"/>
  <c r="BL7" i="51"/>
  <c r="BM14" i="10" s="1"/>
  <c r="BN7" i="51"/>
  <c r="BO14" i="10" s="1"/>
  <c r="F7" i="51"/>
  <c r="G14" i="10" s="1"/>
  <c r="G7" i="52"/>
  <c r="BS7" i="52"/>
  <c r="BC7" i="52"/>
  <c r="BD17" i="10" s="1"/>
  <c r="AV7" i="52"/>
  <c r="AW17" i="10" s="1"/>
  <c r="AM7" i="52"/>
  <c r="AN17" i="10" s="1"/>
  <c r="P7" i="52"/>
  <c r="I7" i="52"/>
  <c r="J17" i="10" s="1"/>
  <c r="E7" i="52"/>
  <c r="T7" i="53"/>
  <c r="F7" i="54"/>
  <c r="G32" i="10" s="1"/>
  <c r="BK7" i="54"/>
  <c r="BL32" i="10" s="1"/>
  <c r="M7" i="55"/>
  <c r="N38" i="10" s="1"/>
  <c r="I7" i="55"/>
  <c r="J38" i="10" s="1"/>
  <c r="AB44" i="24"/>
  <c r="AJ7" i="33"/>
  <c r="AK9" i="10" s="1"/>
  <c r="R7" i="33"/>
  <c r="F7" i="33"/>
  <c r="G9" i="10" s="1"/>
  <c r="Y7" i="33"/>
  <c r="BG7" i="51"/>
  <c r="BH14" i="10" s="1"/>
  <c r="V7" i="51"/>
  <c r="AZ7" i="52"/>
  <c r="BA17" i="10" s="1"/>
  <c r="BG7" i="53"/>
  <c r="BH29" i="10" s="1"/>
  <c r="AJ7" i="53"/>
  <c r="AK29" i="10" s="1"/>
  <c r="N7" i="53"/>
  <c r="BC7" i="54"/>
  <c r="BD32" i="10" s="1"/>
  <c r="AU7" i="55"/>
  <c r="AV38" i="10" s="1"/>
  <c r="AT7" i="33"/>
  <c r="AU9" i="10" s="1"/>
  <c r="AT7" i="54"/>
  <c r="AU32" i="10" s="1"/>
  <c r="AT7" i="55"/>
  <c r="AU38" i="10" s="1"/>
  <c r="Y91" i="24"/>
  <c r="F91" i="24"/>
  <c r="F44" i="24"/>
  <c r="AC44" i="24"/>
  <c r="K7" i="33"/>
  <c r="L9" i="10" s="1"/>
  <c r="G7" i="33"/>
  <c r="BL7" i="33"/>
  <c r="BM9" i="10" s="1"/>
  <c r="BA7" i="33"/>
  <c r="BB9" i="10" s="1"/>
  <c r="AX7" i="50"/>
  <c r="AY11" i="10" s="1"/>
  <c r="BN7" i="50"/>
  <c r="BO11" i="10" s="1"/>
  <c r="BG7" i="50"/>
  <c r="BH11" i="10" s="1"/>
  <c r="BC7" i="50"/>
  <c r="BD11" i="10" s="1"/>
  <c r="AY7" i="50"/>
  <c r="AZ11" i="10" s="1"/>
  <c r="AM7" i="50"/>
  <c r="AN11" i="10" s="1"/>
  <c r="AI7" i="50"/>
  <c r="AJ11" i="10" s="1"/>
  <c r="V7" i="50"/>
  <c r="R7" i="50"/>
  <c r="N7" i="50"/>
  <c r="J7" i="50"/>
  <c r="K11" i="10" s="1"/>
  <c r="F7" i="50"/>
  <c r="G11" i="10" s="1"/>
  <c r="H7" i="51"/>
  <c r="I14" i="10" s="1"/>
  <c r="AY7" i="51"/>
  <c r="AZ14" i="10" s="1"/>
  <c r="AN7" i="51"/>
  <c r="AO14" i="10" s="1"/>
  <c r="J7" i="52"/>
  <c r="K17" i="10" s="1"/>
  <c r="AX7" i="52"/>
  <c r="AY17" i="10" s="1"/>
  <c r="AH7" i="52"/>
  <c r="AI17" i="10" s="1"/>
  <c r="T7" i="52"/>
  <c r="AV7" i="53"/>
  <c r="AW29" i="10" s="1"/>
  <c r="AS7" i="53"/>
  <c r="AT29" i="10" s="1"/>
  <c r="L7" i="53"/>
  <c r="M29" i="10" s="1"/>
  <c r="N7" i="54"/>
  <c r="AU7" i="54"/>
  <c r="AV32" i="10" s="1"/>
  <c r="BA7" i="54"/>
  <c r="BB32" i="10" s="1"/>
  <c r="AG7" i="55"/>
  <c r="AH38" i="10" s="1"/>
  <c r="AM7" i="55"/>
  <c r="AN38" i="10" s="1"/>
  <c r="AI7" i="55"/>
  <c r="AJ38" i="10" s="1"/>
  <c r="H80" i="7" l="1"/>
  <c r="Q17" i="58"/>
  <c r="Z17" i="58" s="1"/>
  <c r="O9" i="58"/>
  <c r="X9" i="58" s="1"/>
  <c r="G62" i="11"/>
  <c r="G66" i="11" s="1"/>
  <c r="U17" i="61"/>
  <c r="E12" i="58"/>
  <c r="E20" i="58"/>
  <c r="E21" i="58"/>
  <c r="E22" i="58"/>
  <c r="E23" i="58"/>
  <c r="E24" i="58"/>
  <c r="E9" i="58"/>
  <c r="E15" i="58"/>
  <c r="E11" i="58"/>
  <c r="E14" i="58"/>
  <c r="E17" i="58"/>
  <c r="E18" i="58"/>
  <c r="E10" i="58"/>
  <c r="E13" i="58"/>
  <c r="S110" i="31"/>
  <c r="T110" i="31" s="1"/>
  <c r="V110" i="31" s="1"/>
  <c r="BJ7" i="10"/>
  <c r="BK7" i="10"/>
  <c r="AS7" i="10"/>
  <c r="BI7" i="10"/>
  <c r="AQ7" i="10"/>
  <c r="AR7" i="10"/>
  <c r="AF7" i="10"/>
  <c r="AG7" i="10" s="1"/>
  <c r="AD7" i="10"/>
  <c r="AE7" i="10" s="1"/>
  <c r="AB7" i="10"/>
  <c r="AC7" i="10" s="1"/>
  <c r="AV7" i="25"/>
  <c r="H33" i="11"/>
  <c r="AC13" i="61"/>
  <c r="Z13" i="61"/>
  <c r="Z12" i="61"/>
  <c r="AC12" i="61"/>
  <c r="AJ10" i="58"/>
  <c r="O10" i="58" s="1"/>
  <c r="AO11" i="61"/>
  <c r="AJ15" i="58"/>
  <c r="AO15" i="61"/>
  <c r="T15" i="61" s="1"/>
  <c r="F62" i="11"/>
  <c r="V17" i="61"/>
  <c r="AC14" i="61"/>
  <c r="Z14" i="61"/>
  <c r="E7" i="24"/>
  <c r="F7" i="24"/>
  <c r="H7" i="24"/>
  <c r="G67" i="11"/>
  <c r="D3" i="57"/>
  <c r="F14" i="10"/>
  <c r="F29" i="10"/>
  <c r="P7" i="24"/>
  <c r="O7" i="24"/>
  <c r="J7" i="24"/>
  <c r="X7" i="24"/>
  <c r="U7" i="24"/>
  <c r="L7" i="24"/>
  <c r="K7" i="24"/>
  <c r="W7" i="24"/>
  <c r="Q7" i="24"/>
  <c r="N7" i="24"/>
  <c r="AA7" i="24"/>
  <c r="M7" i="24"/>
  <c r="Y7" i="24"/>
  <c r="V7" i="24"/>
  <c r="Z7" i="24"/>
  <c r="AB7" i="24"/>
  <c r="AC7" i="24"/>
  <c r="I7" i="24"/>
  <c r="V17" i="58"/>
  <c r="F62" i="7"/>
  <c r="G62" i="7"/>
  <c r="F9" i="10"/>
  <c r="E9" i="10"/>
  <c r="AW7" i="51"/>
  <c r="AX14" i="10" s="1"/>
  <c r="AJ11" i="58"/>
  <c r="AJ13" i="58"/>
  <c r="AJ12" i="58"/>
  <c r="I8" i="11"/>
  <c r="F17" i="10"/>
  <c r="F32" i="10"/>
  <c r="F11" i="10"/>
  <c r="AW7" i="53"/>
  <c r="AX29" i="10" s="1"/>
  <c r="AW7" i="55"/>
  <c r="AX38" i="10" s="1"/>
  <c r="AW7" i="50"/>
  <c r="AX11" i="10" s="1"/>
  <c r="AW7" i="33"/>
  <c r="AX9" i="10" s="1"/>
  <c r="E29" i="10"/>
  <c r="AP14" i="61" s="1"/>
  <c r="U14" i="61" s="1"/>
  <c r="M49" i="7"/>
  <c r="F49" i="7" s="1"/>
  <c r="H32" i="10"/>
  <c r="AQ15" i="61" s="1"/>
  <c r="V15" i="61" s="1"/>
  <c r="E14" i="10"/>
  <c r="AP12" i="61" s="1"/>
  <c r="U12" i="61" s="1"/>
  <c r="E17" i="10"/>
  <c r="AP13" i="61" s="1"/>
  <c r="U13" i="61" s="1"/>
  <c r="H11" i="10"/>
  <c r="AQ11" i="61" s="1"/>
  <c r="V11" i="61" s="1"/>
  <c r="N43" i="7"/>
  <c r="G43" i="7" s="1"/>
  <c r="N48" i="7"/>
  <c r="G48" i="7" s="1"/>
  <c r="N49" i="7"/>
  <c r="G49" i="7" s="1"/>
  <c r="M41" i="7"/>
  <c r="F41" i="7" s="1"/>
  <c r="H29" i="10"/>
  <c r="AQ14" i="61" s="1"/>
  <c r="V14" i="61" s="1"/>
  <c r="AE14" i="61" s="1"/>
  <c r="Z14" i="10"/>
  <c r="S38" i="10"/>
  <c r="Q38" i="10"/>
  <c r="O9" i="10"/>
  <c r="U7" i="51"/>
  <c r="V14" i="10" s="1"/>
  <c r="M43" i="7"/>
  <c r="F43" i="7" s="1"/>
  <c r="X38" i="10"/>
  <c r="AW7" i="54"/>
  <c r="AX32" i="10" s="1"/>
  <c r="AW7" i="52"/>
  <c r="AX17" i="10" s="1"/>
  <c r="N42" i="7"/>
  <c r="G42" i="7" s="1"/>
  <c r="Z17" i="10"/>
  <c r="W29" i="10"/>
  <c r="Q7" i="33"/>
  <c r="R9" i="10" s="1"/>
  <c r="O38" i="10"/>
  <c r="W7" i="52"/>
  <c r="X7" i="52" s="1"/>
  <c r="Y17" i="10" s="1"/>
  <c r="W7" i="54"/>
  <c r="X32" i="10" s="1"/>
  <c r="G249" i="24"/>
  <c r="G277" i="24" s="1"/>
  <c r="W38" i="10"/>
  <c r="Q11" i="10"/>
  <c r="U11" i="10"/>
  <c r="S29" i="10"/>
  <c r="H14" i="10"/>
  <c r="S7" i="52"/>
  <c r="T17" i="10" s="1"/>
  <c r="O7" i="51"/>
  <c r="P14" i="10" s="1"/>
  <c r="S32" i="10"/>
  <c r="Q7" i="53"/>
  <c r="R29" i="10" s="1"/>
  <c r="Q7" i="51"/>
  <c r="R14" i="10" s="1"/>
  <c r="U7" i="55"/>
  <c r="V38" i="10" s="1"/>
  <c r="U38" i="10"/>
  <c r="Z29" i="10"/>
  <c r="Z7" i="53"/>
  <c r="AA29" i="10" s="1"/>
  <c r="AY7" i="10"/>
  <c r="AT7" i="10"/>
  <c r="U7" i="54"/>
  <c r="V32" i="10" s="1"/>
  <c r="Z32" i="10"/>
  <c r="BE7" i="10"/>
  <c r="AP7" i="10"/>
  <c r="N7" i="10"/>
  <c r="AO7" i="10"/>
  <c r="M48" i="7"/>
  <c r="F48" i="7" s="1"/>
  <c r="AI7" i="10"/>
  <c r="AW7" i="10"/>
  <c r="BD7" i="10"/>
  <c r="BH7" i="10"/>
  <c r="AV7" i="10"/>
  <c r="AN7" i="10"/>
  <c r="BO7" i="10"/>
  <c r="BC7" i="10"/>
  <c r="BA7" i="10"/>
  <c r="Z7" i="55"/>
  <c r="AA38" i="10" s="1"/>
  <c r="E32" i="10"/>
  <c r="AP15" i="61" s="1"/>
  <c r="U15" i="61" s="1"/>
  <c r="BN7" i="10"/>
  <c r="BB7" i="10"/>
  <c r="BL7" i="10"/>
  <c r="AZ7" i="10"/>
  <c r="AL7" i="10"/>
  <c r="BG7" i="10"/>
  <c r="AJ7" i="10"/>
  <c r="M44" i="7"/>
  <c r="F44" i="7" s="1"/>
  <c r="J7" i="10"/>
  <c r="O11" i="10"/>
  <c r="O7" i="50"/>
  <c r="P11" i="10" s="1"/>
  <c r="S7" i="33"/>
  <c r="T9" i="10" s="1"/>
  <c r="S9" i="10"/>
  <c r="U29" i="10"/>
  <c r="U7" i="53"/>
  <c r="V29" i="10" s="1"/>
  <c r="W11" i="10"/>
  <c r="W7" i="50"/>
  <c r="Z7" i="33"/>
  <c r="AA9" i="10" s="1"/>
  <c r="Z9" i="10"/>
  <c r="S14" i="10"/>
  <c r="S7" i="51"/>
  <c r="T14" i="10" s="1"/>
  <c r="I7" i="10"/>
  <c r="H9" i="10"/>
  <c r="AQ10" i="61" s="1"/>
  <c r="N41" i="7"/>
  <c r="G41" i="7" s="1"/>
  <c r="W7" i="51"/>
  <c r="W14" i="10"/>
  <c r="U7" i="52"/>
  <c r="V17" i="10" s="1"/>
  <c r="U17" i="10"/>
  <c r="O7" i="54"/>
  <c r="P32" i="10" s="1"/>
  <c r="O32" i="10"/>
  <c r="S7" i="50"/>
  <c r="T11" i="10" s="1"/>
  <c r="S11" i="10"/>
  <c r="Q32" i="10"/>
  <c r="Q7" i="54"/>
  <c r="R32" i="10" s="1"/>
  <c r="K7" i="10"/>
  <c r="L7" i="10"/>
  <c r="AU7" i="10"/>
  <c r="AK7" i="10"/>
  <c r="AM7" i="10"/>
  <c r="O29" i="10"/>
  <c r="O7" i="53"/>
  <c r="P29" i="10" s="1"/>
  <c r="H17" i="10"/>
  <c r="N44" i="7"/>
  <c r="G44" i="7" s="1"/>
  <c r="U7" i="33"/>
  <c r="V9" i="10" s="1"/>
  <c r="U9" i="10"/>
  <c r="Q17" i="10"/>
  <c r="Q7" i="52"/>
  <c r="R17" i="10" s="1"/>
  <c r="W9" i="10"/>
  <c r="W7" i="33"/>
  <c r="O17" i="10"/>
  <c r="O7" i="52"/>
  <c r="P17" i="10" s="1"/>
  <c r="M42" i="7"/>
  <c r="F42" i="7" s="1"/>
  <c r="E11" i="10"/>
  <c r="X7" i="53"/>
  <c r="Y29" i="10" s="1"/>
  <c r="X29" i="10"/>
  <c r="BM7" i="10"/>
  <c r="G7" i="10"/>
  <c r="Z11" i="10"/>
  <c r="M7" i="10"/>
  <c r="AH7" i="10"/>
  <c r="BR7" i="50" l="1"/>
  <c r="BR7" i="52"/>
  <c r="BR7" i="53"/>
  <c r="O13" i="58"/>
  <c r="X13" i="58" s="1"/>
  <c r="O15" i="58"/>
  <c r="U15" i="58" s="1"/>
  <c r="O12" i="58"/>
  <c r="U12" i="58" s="1"/>
  <c r="O11" i="58"/>
  <c r="U11" i="58" s="1"/>
  <c r="U9" i="58"/>
  <c r="AB17" i="58"/>
  <c r="G3" i="57" s="1"/>
  <c r="AG17" i="58"/>
  <c r="I9" i="1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E27" i="58"/>
  <c r="AD17" i="61"/>
  <c r="AA17" i="61"/>
  <c r="E16" i="58"/>
  <c r="E19" i="58" s="1"/>
  <c r="I27" i="11"/>
  <c r="I28" i="11" s="1"/>
  <c r="I29" i="11" s="1"/>
  <c r="I30" i="11" s="1"/>
  <c r="I31" i="11" s="1"/>
  <c r="I32" i="11" s="1"/>
  <c r="I33" i="11" s="1"/>
  <c r="I34" i="11" s="1"/>
  <c r="I35" i="11" s="1"/>
  <c r="I36" i="11" s="1"/>
  <c r="U10" i="58"/>
  <c r="X10" i="58"/>
  <c r="AL12" i="58"/>
  <c r="Q12" i="58" s="1"/>
  <c r="W12" i="58" s="1"/>
  <c r="AQ13" i="61"/>
  <c r="V13" i="61" s="1"/>
  <c r="AD13" i="61"/>
  <c r="AA13" i="61"/>
  <c r="AD14" i="61"/>
  <c r="AA14" i="61"/>
  <c r="AE11" i="61"/>
  <c r="AB11" i="61"/>
  <c r="AE17" i="61"/>
  <c r="AB17" i="61"/>
  <c r="T11" i="61"/>
  <c r="AO16" i="61"/>
  <c r="AO19" i="61" s="1"/>
  <c r="AB14" i="61"/>
  <c r="AN4" i="61"/>
  <c r="AE15" i="61"/>
  <c r="AB15" i="61"/>
  <c r="AK9" i="58"/>
  <c r="P9" i="58" s="1"/>
  <c r="AP10" i="61"/>
  <c r="AK10" i="58"/>
  <c r="P10" i="58" s="1"/>
  <c r="V10" i="58" s="1"/>
  <c r="AP11" i="61"/>
  <c r="U11" i="61" s="1"/>
  <c r="AL11" i="58"/>
  <c r="Q11" i="58" s="1"/>
  <c r="Z11" i="58" s="1"/>
  <c r="AQ12" i="61"/>
  <c r="V12" i="61" s="1"/>
  <c r="V10" i="61"/>
  <c r="AE10" i="61" s="1"/>
  <c r="AD15" i="61"/>
  <c r="AA15" i="61"/>
  <c r="AD12" i="61"/>
  <c r="AA12" i="61"/>
  <c r="AC15" i="61"/>
  <c r="Z15" i="61"/>
  <c r="G7" i="24"/>
  <c r="Y17" i="58"/>
  <c r="AJ16" i="58"/>
  <c r="AJ19" i="58" s="1"/>
  <c r="AK12" i="58"/>
  <c r="P12" i="58" s="1"/>
  <c r="Y12" i="58" s="1"/>
  <c r="AK13" i="58"/>
  <c r="P13" i="58" s="1"/>
  <c r="V13" i="58" s="1"/>
  <c r="AK15" i="58"/>
  <c r="P15" i="58" s="1"/>
  <c r="V15" i="58" s="1"/>
  <c r="AL10" i="58"/>
  <c r="Q10" i="58" s="1"/>
  <c r="AL13" i="58"/>
  <c r="Q13" i="58" s="1"/>
  <c r="W13" i="58" s="1"/>
  <c r="AL15" i="58"/>
  <c r="Q15" i="58" s="1"/>
  <c r="AK11" i="58"/>
  <c r="P11" i="58" s="1"/>
  <c r="V11" i="58" s="1"/>
  <c r="F7" i="10"/>
  <c r="X17" i="10"/>
  <c r="AX7" i="10"/>
  <c r="X7" i="54"/>
  <c r="Y32" i="10" s="1"/>
  <c r="W17" i="58"/>
  <c r="R7" i="10"/>
  <c r="Q7" i="10"/>
  <c r="F50" i="7"/>
  <c r="F64" i="7" s="1"/>
  <c r="O7" i="10"/>
  <c r="P7" i="10" s="1"/>
  <c r="G50" i="7"/>
  <c r="X14" i="10"/>
  <c r="X7" i="51"/>
  <c r="Y14" i="10" s="1"/>
  <c r="X7" i="33"/>
  <c r="Y9" i="10" s="1"/>
  <c r="X9" i="10"/>
  <c r="F3" i="57"/>
  <c r="H7" i="10"/>
  <c r="AL9" i="58"/>
  <c r="Q9" i="58" s="1"/>
  <c r="X7" i="50"/>
  <c r="Y11" i="10" s="1"/>
  <c r="X11" i="10"/>
  <c r="U7" i="10"/>
  <c r="E7" i="10"/>
  <c r="Z7" i="10"/>
  <c r="AA7" i="10" s="1"/>
  <c r="S7" i="10"/>
  <c r="T7" i="10" s="1"/>
  <c r="U13" i="58" l="1"/>
  <c r="U16" i="58" s="1"/>
  <c r="X15" i="58"/>
  <c r="O16" i="58"/>
  <c r="O19" i="58" s="1"/>
  <c r="O28" i="58" s="1"/>
  <c r="X12" i="58"/>
  <c r="X11" i="58"/>
  <c r="AB11" i="58"/>
  <c r="AG11" i="58"/>
  <c r="E28" i="58"/>
  <c r="F58" i="7"/>
  <c r="F10" i="7"/>
  <c r="D2" i="57" s="1"/>
  <c r="Z12" i="58"/>
  <c r="W11" i="58"/>
  <c r="AQ16" i="61"/>
  <c r="AQ19" i="61" s="1"/>
  <c r="AG15" i="61"/>
  <c r="AA11" i="61"/>
  <c r="AD11" i="61"/>
  <c r="AG14" i="61"/>
  <c r="AG17" i="61"/>
  <c r="Y10" i="58"/>
  <c r="AE13" i="61"/>
  <c r="AB13" i="61"/>
  <c r="V16" i="61"/>
  <c r="V19" i="61" s="1"/>
  <c r="V28" i="61" s="1"/>
  <c r="AG30" i="61" s="1"/>
  <c r="AB10" i="61"/>
  <c r="AE12" i="61"/>
  <c r="AB12" i="61"/>
  <c r="U10" i="61"/>
  <c r="AP16" i="61"/>
  <c r="AP19" i="61" s="1"/>
  <c r="Z11" i="61"/>
  <c r="Z16" i="61" s="1"/>
  <c r="Z19" i="61" s="1"/>
  <c r="Z28" i="61" s="1"/>
  <c r="AC11" i="61"/>
  <c r="AC16" i="61" s="1"/>
  <c r="AC19" i="61" s="1"/>
  <c r="AC28" i="61" s="1"/>
  <c r="T16" i="61"/>
  <c r="T19" i="61" s="1"/>
  <c r="T28" i="61" s="1"/>
  <c r="AG11" i="61"/>
  <c r="Z15" i="58"/>
  <c r="G10" i="7"/>
  <c r="G32" i="7" s="1"/>
  <c r="Y15" i="58"/>
  <c r="W15" i="58"/>
  <c r="Z13" i="58"/>
  <c r="V12" i="58"/>
  <c r="P16" i="58"/>
  <c r="P19" i="58" s="1"/>
  <c r="Q16" i="58"/>
  <c r="Q19" i="58" s="1"/>
  <c r="Q28" i="58" s="1"/>
  <c r="AK16" i="58"/>
  <c r="AK19" i="58" s="1"/>
  <c r="Y13" i="58"/>
  <c r="Y11" i="58"/>
  <c r="Z10" i="58"/>
  <c r="W10" i="58"/>
  <c r="G64" i="7"/>
  <c r="AL16" i="58"/>
  <c r="AL19" i="58" s="1"/>
  <c r="Y9" i="58"/>
  <c r="V9" i="58"/>
  <c r="Y7" i="10"/>
  <c r="V7" i="10"/>
  <c r="X16" i="58" l="1"/>
  <c r="X19" i="58" s="1"/>
  <c r="X28" i="58" s="1"/>
  <c r="AB15" i="58"/>
  <c r="AG15" i="58"/>
  <c r="AB12" i="58"/>
  <c r="AG12" i="58"/>
  <c r="AB13" i="58"/>
  <c r="AG13" i="58"/>
  <c r="AB10" i="58"/>
  <c r="AG10" i="58"/>
  <c r="D5" i="57"/>
  <c r="I2" i="57"/>
  <c r="D81" i="7"/>
  <c r="F57" i="7"/>
  <c r="F59" i="7"/>
  <c r="F55" i="7"/>
  <c r="G55" i="7"/>
  <c r="G58" i="7"/>
  <c r="G59" i="7"/>
  <c r="G56" i="7"/>
  <c r="G54" i="7"/>
  <c r="F54" i="7"/>
  <c r="F56" i="7"/>
  <c r="G57" i="7"/>
  <c r="P28" i="58"/>
  <c r="AL14" i="61"/>
  <c r="AB16" i="61"/>
  <c r="AB19" i="61" s="1"/>
  <c r="AB28" i="61" s="1"/>
  <c r="AG10" i="61"/>
  <c r="AE16" i="61"/>
  <c r="AA10" i="61"/>
  <c r="AA16" i="61" s="1"/>
  <c r="AA19" i="61" s="1"/>
  <c r="AA28" i="61" s="1"/>
  <c r="AD10" i="61"/>
  <c r="AD16" i="61" s="1"/>
  <c r="U16" i="61"/>
  <c r="U19" i="61" s="1"/>
  <c r="U28" i="61" s="1"/>
  <c r="AG13" i="61"/>
  <c r="AG12" i="61"/>
  <c r="F32" i="7"/>
  <c r="H37" i="11"/>
  <c r="H62" i="11" s="1"/>
  <c r="E32" i="8" s="1"/>
  <c r="F66" i="11"/>
  <c r="F68" i="11" s="1"/>
  <c r="U19" i="58"/>
  <c r="Y16" i="58"/>
  <c r="AJ22" i="58" s="1"/>
  <c r="V16" i="58"/>
  <c r="D80" i="7"/>
  <c r="H82" i="7" s="1"/>
  <c r="Z9" i="58"/>
  <c r="W9" i="58"/>
  <c r="W16" i="58" s="1"/>
  <c r="AB9" i="58" l="1"/>
  <c r="AB16" i="58" s="1"/>
  <c r="AB19" i="58" s="1"/>
  <c r="AG9" i="58"/>
  <c r="U28" i="58"/>
  <c r="AJ23" i="58"/>
  <c r="AN17" i="61"/>
  <c r="AD19" i="61"/>
  <c r="AD28" i="61" s="1"/>
  <c r="AN22" i="61"/>
  <c r="AG16" i="61"/>
  <c r="AG19" i="61" s="1"/>
  <c r="AG28" i="61" s="1"/>
  <c r="AG31" i="61" s="1"/>
  <c r="AN18" i="61"/>
  <c r="AO22" i="61"/>
  <c r="AO24" i="61" s="1"/>
  <c r="AO25" i="61" s="1"/>
  <c r="AE19" i="61"/>
  <c r="AE28" i="61" s="1"/>
  <c r="AF16" i="61" s="1"/>
  <c r="Y19" i="58"/>
  <c r="AI17" i="58"/>
  <c r="I37" i="11"/>
  <c r="W19" i="58"/>
  <c r="W28" i="58" s="1"/>
  <c r="V19" i="58"/>
  <c r="Z16" i="58"/>
  <c r="AK23" i="58" l="1"/>
  <c r="AG16" i="58"/>
  <c r="V28" i="58"/>
  <c r="Y28" i="58"/>
  <c r="AK22" i="58"/>
  <c r="AF23" i="61"/>
  <c r="AF22" i="61"/>
  <c r="AF24" i="61"/>
  <c r="AF21" i="61"/>
  <c r="AF25" i="61"/>
  <c r="AF26" i="61"/>
  <c r="AF20" i="61"/>
  <c r="AF18" i="61"/>
  <c r="AF17" i="61"/>
  <c r="AF11" i="61"/>
  <c r="AF15" i="61"/>
  <c r="AF14" i="61"/>
  <c r="AF13" i="61"/>
  <c r="AF10" i="61"/>
  <c r="AF12" i="61"/>
  <c r="Z19" i="58"/>
  <c r="AG19" i="58" s="1"/>
  <c r="AI18" i="58"/>
  <c r="I38" i="11"/>
  <c r="H66" i="11"/>
  <c r="F2" i="57"/>
  <c r="F5" i="57" s="1"/>
  <c r="G2" i="57"/>
  <c r="G5" i="57" s="1"/>
  <c r="Z28" i="58" l="1"/>
  <c r="AJ24" i="58"/>
  <c r="AB33" i="58"/>
  <c r="AL35" i="58" s="1"/>
  <c r="AF19" i="61"/>
  <c r="AF27" i="61"/>
  <c r="I39" i="11"/>
  <c r="AG28" i="58" l="1"/>
  <c r="AJ28" i="58"/>
  <c r="AA9" i="58"/>
  <c r="AA14" i="58"/>
  <c r="AA23" i="58"/>
  <c r="AA16" i="58"/>
  <c r="H67" i="11"/>
  <c r="H68" i="11" s="1"/>
  <c r="AA12" i="58"/>
  <c r="AA15" i="58"/>
  <c r="AA10" i="58"/>
  <c r="AA22" i="58"/>
  <c r="AA25" i="58"/>
  <c r="AA17" i="58"/>
  <c r="AA20" i="58"/>
  <c r="AA21" i="58"/>
  <c r="AA26" i="58"/>
  <c r="AA13" i="58"/>
  <c r="AA11" i="58"/>
  <c r="AA24" i="58"/>
  <c r="AA18" i="58"/>
  <c r="AF28" i="61"/>
  <c r="I40" i="11"/>
  <c r="I41" i="11" s="1"/>
  <c r="I42" i="11" s="1"/>
  <c r="I43" i="11" s="1"/>
  <c r="I44" i="11" s="1"/>
  <c r="AA27" i="58" l="1"/>
  <c r="AA19" i="58"/>
  <c r="I62" i="11"/>
  <c r="Z30" i="58" s="1"/>
  <c r="AA28" i="58" l="1"/>
  <c r="AB26" i="58" l="1"/>
  <c r="AB27" i="58" s="1"/>
  <c r="H5" i="11" l="1"/>
  <c r="AB28" i="58"/>
  <c r="AB34" i="58"/>
  <c r="AL36" i="58" s="1"/>
  <c r="AJ25" i="58"/>
  <c r="AB30" i="58" l="1"/>
  <c r="AB31" i="58" s="1"/>
  <c r="AB32" i="58"/>
  <c r="AL37" i="58" s="1"/>
  <c r="AJ26" i="58"/>
  <c r="H26" i="58"/>
  <c r="H27" i="58" s="1"/>
  <c r="H28" i="58" l="1"/>
  <c r="BP7" i="10" l="1"/>
  <c r="AG14" i="24" l="1"/>
  <c r="BS9" i="10"/>
  <c r="BR9" i="10" l="1"/>
  <c r="AF14" i="24"/>
  <c r="BP9" i="10"/>
  <c r="BQ9" i="10" l="1"/>
  <c r="BQ3" i="33"/>
  <c r="AE14" i="24"/>
  <c r="AI14" i="24" s="1"/>
  <c r="BR7" i="65" l="1"/>
  <c r="BS26" i="10" s="1"/>
  <c r="BR7" i="64"/>
  <c r="BS23" i="10" s="1"/>
  <c r="BS20" i="10"/>
  <c r="BQ7" i="65" l="1"/>
  <c r="BR26" i="10" s="1"/>
  <c r="BR20" i="10"/>
  <c r="BQ7" i="64"/>
  <c r="BR23" i="10" s="1"/>
  <c r="BP7" i="64" l="1"/>
  <c r="BO7" i="64"/>
  <c r="BP23" i="10" s="1"/>
  <c r="BP20" i="10"/>
  <c r="BO7" i="65"/>
  <c r="BP26" i="10" s="1"/>
  <c r="BP7" i="65"/>
  <c r="BQ3" i="65" l="1"/>
  <c r="BQ26" i="10"/>
  <c r="BQ20" i="10"/>
  <c r="AE104" i="24" s="1"/>
  <c r="AI104" i="24" s="1"/>
  <c r="BQ3" i="63"/>
  <c r="BQ3" i="64"/>
  <c r="BQ23" i="10"/>
  <c r="BS29" i="10" l="1"/>
  <c r="AG143" i="24" l="1"/>
  <c r="AG117" i="24"/>
  <c r="BQ7" i="25" l="1"/>
  <c r="AG104" i="24"/>
  <c r="AG7" i="24"/>
  <c r="BP7" i="25" l="1"/>
  <c r="AF104" i="24"/>
  <c r="AF7" i="24"/>
  <c r="BQ7" i="52" l="1"/>
  <c r="BQ7" i="53"/>
  <c r="BR29" i="10" s="1"/>
  <c r="BO7" i="25"/>
  <c r="AE7" i="24"/>
  <c r="AI7" i="24" s="1"/>
  <c r="BP7" i="52" l="1"/>
  <c r="BO7" i="52"/>
  <c r="AF143" i="24"/>
  <c r="AF117" i="24"/>
  <c r="BO7" i="53"/>
  <c r="BP29" i="10" s="1"/>
  <c r="BP7" i="53"/>
  <c r="BS32" i="10"/>
  <c r="BS14" i="10"/>
  <c r="AG44" i="24" s="1"/>
  <c r="BS17" i="10"/>
  <c r="AG91" i="24" s="1"/>
  <c r="BS11" i="10"/>
  <c r="AG32" i="24" s="1"/>
  <c r="BQ3" i="53" l="1"/>
  <c r="BQ29" i="10"/>
  <c r="BR14" i="10"/>
  <c r="AF44" i="24" s="1"/>
  <c r="BR17" i="10"/>
  <c r="AF91" i="24" s="1"/>
  <c r="AE117" i="24" l="1"/>
  <c r="AI117" i="24" s="1"/>
  <c r="AE143" i="24"/>
  <c r="AI143" i="24" s="1"/>
  <c r="BP14" i="10"/>
  <c r="BP32" i="10"/>
  <c r="BP17" i="10"/>
  <c r="BQ32" i="10" l="1"/>
  <c r="AE218" i="24" s="1"/>
  <c r="AI218" i="24" s="1"/>
  <c r="BQ3" i="54"/>
  <c r="BQ3" i="52"/>
  <c r="BQ17" i="10"/>
  <c r="AE91" i="24" s="1"/>
  <c r="AI91" i="24" s="1"/>
  <c r="BQ14" i="10"/>
  <c r="AE44" i="24" s="1"/>
  <c r="AI44" i="24" s="1"/>
  <c r="BQ3" i="51"/>
  <c r="BQ7" i="50" l="1"/>
  <c r="BR11" i="10" s="1"/>
  <c r="AF32" i="24" s="1"/>
  <c r="BO7" i="50"/>
  <c r="BP11" i="10" s="1"/>
  <c r="BP7" i="50" l="1"/>
  <c r="BQ3" i="50" l="1"/>
  <c r="BQ11" i="10"/>
  <c r="AE32" i="24" s="1"/>
  <c r="AI32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tc={B854E11F-940F-4D07-B0F0-8BC190E53DCC}</author>
    <author>tc={E08CA67A-B40F-4CEB-B688-0BAC1C6C8EAC}</author>
    <author>user</author>
  </authors>
  <commentList>
    <comment ref="T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T1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I18" authorId="1" shapeId="0" xr:uid="{B854E11F-940F-4D07-B0F0-8BC190E53DC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4234-1367</t>
      </text>
    </comment>
    <comment ref="J18" authorId="2" shapeId="0" xr:uid="{E08CA67A-B40F-4CEB-B688-0BAC1C6C8EA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(실천사업계획)투자한도 계산시 _ 공무팀(실천사업계획 최종본 _ 용도요약사용 but 2-3.관로공사 구간 sheet에 
투자 한도 계산시
투자보수율 소계 - 전년도 인정 이월 공사
= 2,985,850 - 1,158,404 = 1,827,446
</t>
      </text>
    </comment>
    <comment ref="AK21" authorId="3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투자품의1차_택지이월분</t>
        </r>
      </text>
    </comment>
    <comment ref="B26" authorId="3" shapeId="0" xr:uid="{00000000-0006-0000-0300-000004000000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jhtt</author>
  </authors>
  <commentList>
    <comment ref="D6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배관투자재원구간</t>
        </r>
      </text>
    </comment>
    <comment ref="D76" authorId="1" shapeId="0" xr:uid="{00000000-0006-0000-0400-000002000000}">
      <text>
        <r>
          <rPr>
            <b/>
            <sz val="48"/>
            <color indexed="81"/>
            <rFont val="HY견고딕"/>
            <family val="1"/>
            <charset val="129"/>
          </rPr>
          <t>반드시 확인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</authors>
  <commentList>
    <comment ref="T5" authorId="0" shapeId="0" xr:uid="{00000000-0006-0000-0600-000001000000}">
      <text>
        <r>
          <rPr>
            <b/>
            <sz val="1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</authors>
  <commentList>
    <comment ref="T5" authorId="0" shapeId="0" xr:uid="{00000000-0006-0000-0700-000001000000}">
      <text>
        <r>
          <rPr>
            <b/>
            <sz val="1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V5" authorId="0" shapeId="0" xr:uid="{00000000-0006-0000-0900-000001000000}">
      <text>
        <r>
          <rPr>
            <b/>
            <sz val="1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J7" authorId="1" shapeId="0" xr:uid="{00000000-0006-0000-0900-000002000000}">
      <text>
        <r>
          <rPr>
            <b/>
            <sz val="16"/>
            <color indexed="81"/>
            <rFont val="돋움"/>
            <family val="3"/>
            <charset val="129"/>
          </rPr>
          <t>투자재원금액까지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합한</t>
        </r>
        <r>
          <rPr>
            <b/>
            <sz val="16"/>
            <color indexed="81"/>
            <rFont val="Tahoma"/>
            <family val="2"/>
          </rPr>
          <t xml:space="preserve"> </t>
        </r>
        <r>
          <rPr>
            <b/>
            <sz val="16"/>
            <color indexed="81"/>
            <rFont val="돋움"/>
            <family val="3"/>
            <charset val="129"/>
          </rPr>
          <t>금액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  <author>tgc</author>
  </authors>
  <commentList>
    <comment ref="S5" authorId="0" shapeId="0" xr:uid="{00000000-0006-0000-0A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0A00-000002000000}">
      <text>
        <r>
          <rPr>
            <b/>
            <sz val="22"/>
            <color indexed="81"/>
            <rFont val="굴림"/>
            <family val="3"/>
            <charset val="129"/>
          </rPr>
          <t>노란색은 경제성 분석시트의 내용을 가져온다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8" authorId="2" shapeId="0" xr:uid="{00000000-0006-0000-0A00-000003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9" authorId="2" shapeId="0" xr:uid="{00000000-0006-0000-0A00-000004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0" authorId="2" shapeId="0" xr:uid="{00000000-0006-0000-0A00-000005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1" authorId="2" shapeId="0" xr:uid="{00000000-0006-0000-0A00-000006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2" authorId="2" shapeId="0" xr:uid="{00000000-0006-0000-0A00-000007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3" authorId="2" shapeId="0" xr:uid="{00000000-0006-0000-0A00-000008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0B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0B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  <author>tgc</author>
  </authors>
  <commentList>
    <comment ref="S5" authorId="0" shapeId="0" xr:uid="{00000000-0006-0000-0C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0C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8" authorId="2" shapeId="0" xr:uid="{00000000-0006-0000-0C00-000003000000}">
      <text>
        <r>
          <rPr>
            <b/>
            <sz val="24"/>
            <color indexed="81"/>
            <rFont val="굴림"/>
            <family val="3"/>
            <charset val="129"/>
          </rPr>
          <t>tgc:</t>
        </r>
        <r>
          <rPr>
            <sz val="24"/>
            <color indexed="81"/>
            <rFont val="굴림"/>
            <family val="3"/>
            <charset val="129"/>
          </rPr>
          <t xml:space="preserve">
</t>
        </r>
      </text>
    </comment>
    <comment ref="B9" authorId="2" shapeId="0" xr:uid="{00000000-0006-0000-0C00-000004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0" authorId="2" shapeId="0" xr:uid="{00000000-0006-0000-0C00-000005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1" authorId="2" shapeId="0" xr:uid="{00000000-0006-0000-0C00-000006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2" authorId="2" shapeId="0" xr:uid="{00000000-0006-0000-0C00-000007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B13" authorId="2" shapeId="0" xr:uid="{00000000-0006-0000-0C00-000008000000}">
      <text>
        <r>
          <rPr>
            <b/>
            <sz val="9"/>
            <color indexed="81"/>
            <rFont val="굴림"/>
            <family val="3"/>
            <charset val="129"/>
          </rPr>
          <t>tgc: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0D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0D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0E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0E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0F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0F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10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10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11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11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</authors>
  <commentList>
    <comment ref="S5" authorId="0" shapeId="0" xr:uid="{00000000-0006-0000-12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13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13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백승호</author>
    <author>user</author>
  </authors>
  <commentList>
    <comment ref="S5" authorId="0" shapeId="0" xr:uid="{00000000-0006-0000-1400-000001000000}">
      <text>
        <r>
          <rPr>
            <b/>
            <sz val="20"/>
            <color indexed="81"/>
            <rFont val="굴림"/>
            <family val="3"/>
            <charset val="129"/>
          </rPr>
          <t>백승호:
"영업용2" 용도
 - 목욕탕
 - 폐기물처리시설</t>
        </r>
      </text>
    </comment>
    <comment ref="BR7" authorId="1" shapeId="0" xr:uid="{00000000-0006-0000-1400-000002000000}">
      <text>
        <r>
          <rPr>
            <b/>
            <sz val="22"/>
            <color indexed="81"/>
            <rFont val="굴림"/>
            <family val="3"/>
            <charset val="129"/>
          </rPr>
          <t xml:space="preserve">노란색은 경제성 분석시트의 내용을 가져와서 입력해준다.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</authors>
  <commentList>
    <comment ref="Y15" authorId="0" shapeId="0" xr:uid="{00000000-0006-0000-18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</commentList>
</comments>
</file>

<file path=xl/sharedStrings.xml><?xml version="1.0" encoding="utf-8"?>
<sst xmlns="http://schemas.openxmlformats.org/spreadsheetml/2006/main" count="2132" uniqueCount="529">
  <si>
    <t>주택용</t>
    <phoneticPr fontId="4" type="noConversion"/>
  </si>
  <si>
    <t>시설투자</t>
    <phoneticPr fontId="4" type="noConversion"/>
  </si>
  <si>
    <t>시설분담금</t>
  </si>
  <si>
    <t>계</t>
  </si>
  <si>
    <t>전수</t>
  </si>
  <si>
    <t>취사</t>
  </si>
  <si>
    <t>난방</t>
  </si>
  <si>
    <t>판매량</t>
  </si>
  <si>
    <t>[원/년]</t>
  </si>
  <si>
    <t>난   방
판매량</t>
    <phoneticPr fontId="4" type="noConversion"/>
  </si>
  <si>
    <t>냉   방
판매량</t>
    <phoneticPr fontId="4" type="noConversion"/>
  </si>
  <si>
    <t>영업용1
(영업용)</t>
    <phoneticPr fontId="4" type="noConversion"/>
  </si>
  <si>
    <t>영업용2
(목욕탕 등)</t>
    <phoneticPr fontId="4" type="noConversion"/>
  </si>
  <si>
    <t>(원)</t>
    <phoneticPr fontId="4" type="noConversion"/>
  </si>
  <si>
    <t>(m)</t>
    <phoneticPr fontId="4" type="noConversion"/>
  </si>
  <si>
    <t>개별난방용</t>
    <phoneticPr fontId="4" type="noConversion"/>
  </si>
  <si>
    <t>중앙난방용
(중집용)</t>
    <phoneticPr fontId="4" type="noConversion"/>
  </si>
  <si>
    <t>[원/년]</t>
    <phoneticPr fontId="4" type="noConversion"/>
  </si>
  <si>
    <t>년수</t>
    <phoneticPr fontId="4" type="noConversion"/>
  </si>
  <si>
    <t>(%)</t>
    <phoneticPr fontId="4" type="noConversion"/>
  </si>
  <si>
    <t>용 도 별</t>
    <phoneticPr fontId="4" type="noConversion"/>
  </si>
  <si>
    <t>공       사       명</t>
    <phoneticPr fontId="4" type="noConversion"/>
  </si>
  <si>
    <t>(첨부 1)</t>
  </si>
  <si>
    <t>신  규  투  자  계  획  서</t>
  </si>
  <si>
    <t>1.</t>
  </si>
  <si>
    <t>투자사업장</t>
  </si>
  <si>
    <t>:</t>
  </si>
  <si>
    <t>2.</t>
  </si>
  <si>
    <t>투자명</t>
  </si>
  <si>
    <t>3.</t>
  </si>
  <si>
    <t>총투자예상금액</t>
  </si>
  <si>
    <t>⇒</t>
  </si>
  <si>
    <t>(VAT별도)</t>
  </si>
  <si>
    <t>4.</t>
  </si>
  <si>
    <t>투자내역</t>
  </si>
  <si>
    <t>자  산  명</t>
  </si>
  <si>
    <t>적   요( 내 용)</t>
  </si>
  <si>
    <t>5.</t>
  </si>
  <si>
    <t>투자방법</t>
  </si>
  <si>
    <t>시공자</t>
  </si>
  <si>
    <t>투자시기</t>
  </si>
  <si>
    <t>대금지불조건</t>
  </si>
  <si>
    <t>6.</t>
  </si>
  <si>
    <t>투자사유  및  효과</t>
  </si>
  <si>
    <t>▷ 사          유</t>
  </si>
  <si>
    <t>▷ 효          과</t>
  </si>
  <si>
    <t>7.</t>
  </si>
  <si>
    <t>자금조달계획</t>
  </si>
  <si>
    <t>시설분담금:</t>
  </si>
  <si>
    <t>8.</t>
  </si>
  <si>
    <t>기시설 대체 투자시 구자산 처분명세</t>
  </si>
  <si>
    <t>▷ 해당 없음</t>
  </si>
  <si>
    <t>9.</t>
  </si>
  <si>
    <t>인원충원 계획</t>
  </si>
  <si>
    <t>10.</t>
  </si>
  <si>
    <t>본사  검토사항(평가)</t>
  </si>
  <si>
    <t>11.</t>
  </si>
  <si>
    <t>공사규모(m)</t>
    <phoneticPr fontId="12" type="noConversion"/>
  </si>
  <si>
    <t>투자금액(원)</t>
    <phoneticPr fontId="12" type="noConversion"/>
  </si>
  <si>
    <t>비  고</t>
    <phoneticPr fontId="12" type="noConversion"/>
  </si>
  <si>
    <t>문서번호</t>
  </si>
  <si>
    <t>수신</t>
  </si>
  <si>
    <t>제목</t>
  </si>
  <si>
    <t>투자내용</t>
  </si>
  <si>
    <t>투자금액</t>
  </si>
  <si>
    <t>투자사유</t>
  </si>
  <si>
    <t>첨부:</t>
  </si>
  <si>
    <t>투자사업장명</t>
    <phoneticPr fontId="25" type="noConversion"/>
  </si>
  <si>
    <t>취사용</t>
  </si>
  <si>
    <t>영업용1
(영업용)</t>
  </si>
  <si>
    <t>영업용2
(목욕탕 등)</t>
  </si>
  <si>
    <t>업무난방용</t>
  </si>
  <si>
    <t>수 요</t>
    <phoneticPr fontId="4" type="noConversion"/>
  </si>
  <si>
    <t>연     간</t>
    <phoneticPr fontId="4" type="noConversion"/>
  </si>
  <si>
    <t>연        간</t>
    <phoneticPr fontId="4" type="noConversion"/>
  </si>
  <si>
    <t>경제성분석</t>
    <phoneticPr fontId="4" type="noConversion"/>
  </si>
  <si>
    <t>비고</t>
    <phoneticPr fontId="4" type="noConversion"/>
  </si>
  <si>
    <t>길이</t>
    <phoneticPr fontId="4" type="noConversion"/>
  </si>
  <si>
    <t>공동주택
전     수</t>
    <phoneticPr fontId="4" type="noConversion"/>
  </si>
  <si>
    <t>단독주택
전     수</t>
    <phoneticPr fontId="4" type="noConversion"/>
  </si>
  <si>
    <t>원  룸
전  수</t>
    <phoneticPr fontId="4" type="noConversion"/>
  </si>
  <si>
    <t>중앙난방
(중집)</t>
    <phoneticPr fontId="4" type="noConversion"/>
  </si>
  <si>
    <t>업무 난방ㆍ냉방용</t>
    <phoneticPr fontId="4" type="noConversion"/>
  </si>
  <si>
    <t>전 수</t>
    <phoneticPr fontId="4" type="noConversion"/>
  </si>
  <si>
    <t>가    정    용</t>
    <phoneticPr fontId="4" type="noConversion"/>
  </si>
  <si>
    <t>일    반    용</t>
    <phoneticPr fontId="4" type="noConversion"/>
  </si>
  <si>
    <t>산 업 용</t>
    <phoneticPr fontId="4" type="noConversion"/>
  </si>
  <si>
    <t>계</t>
    <phoneticPr fontId="4" type="noConversion"/>
  </si>
  <si>
    <t>판 매 액</t>
    <phoneticPr fontId="4" type="noConversion"/>
  </si>
  <si>
    <t>판 매 원 가</t>
    <phoneticPr fontId="4" type="noConversion"/>
  </si>
  <si>
    <t>판 매 수 익</t>
    <phoneticPr fontId="4" type="noConversion"/>
  </si>
  <si>
    <t>회수</t>
    <phoneticPr fontId="4" type="noConversion"/>
  </si>
  <si>
    <t>NPV</t>
    <phoneticPr fontId="4" type="noConversion"/>
  </si>
  <si>
    <t>IRR</t>
    <phoneticPr fontId="4" type="noConversion"/>
  </si>
  <si>
    <t>[㎥/년]</t>
    <phoneticPr fontId="4" type="noConversion"/>
  </si>
  <si>
    <t>연     간</t>
  </si>
  <si>
    <t>판 매 량</t>
    <phoneticPr fontId="4" type="noConversion"/>
  </si>
  <si>
    <t>시설투자금액</t>
    <phoneticPr fontId="4" type="noConversion"/>
  </si>
  <si>
    <t>총 투자금액</t>
    <phoneticPr fontId="4" type="noConversion"/>
  </si>
  <si>
    <t>투자금액</t>
    <phoneticPr fontId="4" type="noConversion"/>
  </si>
  <si>
    <t>배관투자금액</t>
    <phoneticPr fontId="4" type="noConversion"/>
  </si>
  <si>
    <t>공급설비 합계</t>
    <phoneticPr fontId="12" type="noConversion"/>
  </si>
  <si>
    <t>▷공동주택</t>
  </si>
  <si>
    <t>당사 자금 관리 규정에 의거</t>
  </si>
  <si>
    <t>투자 분석 기본데이터</t>
    <phoneticPr fontId="4" type="noConversion"/>
  </si>
  <si>
    <t>금회승인(관로,시설공사)</t>
    <phoneticPr fontId="12" type="noConversion"/>
  </si>
  <si>
    <t>(배관공사)</t>
  </si>
  <si>
    <t>공급설비</t>
  </si>
  <si>
    <t>영업용</t>
  </si>
  <si>
    <t>공급대상총계(건)</t>
    <phoneticPr fontId="4" type="noConversion"/>
  </si>
  <si>
    <t>업무용</t>
    <phoneticPr fontId="4" type="noConversion"/>
  </si>
  <si>
    <t>주택용
간접비
배부액</t>
    <phoneticPr fontId="4" type="noConversion"/>
  </si>
  <si>
    <t>******장기공급 확인필</t>
    <phoneticPr fontId="4" type="noConversion"/>
  </si>
  <si>
    <t>본부투자 취소구간</t>
    <phoneticPr fontId="12" type="noConversion"/>
  </si>
  <si>
    <t>산업용</t>
    <phoneticPr fontId="4" type="noConversion"/>
  </si>
  <si>
    <t>일반</t>
  </si>
  <si>
    <t>취사전용</t>
  </si>
  <si>
    <t>수요가부담금</t>
  </si>
  <si>
    <t>총 시설분담금</t>
  </si>
  <si>
    <t>신규 공급관 투자 분석</t>
    <phoneticPr fontId="4" type="noConversion"/>
  </si>
  <si>
    <t>100m</t>
    <phoneticPr fontId="4" type="noConversion"/>
  </si>
  <si>
    <t>환산세대수</t>
    <phoneticPr fontId="4" type="noConversion"/>
  </si>
  <si>
    <t>환산 세대수</t>
    <phoneticPr fontId="4" type="noConversion"/>
  </si>
  <si>
    <t>경제성분석</t>
  </si>
  <si>
    <t>공동주택</t>
    <phoneticPr fontId="4" type="noConversion"/>
  </si>
  <si>
    <t>산업용</t>
  </si>
  <si>
    <t>업무용</t>
  </si>
  <si>
    <t>금액</t>
  </si>
  <si>
    <t>규모(m)</t>
  </si>
  <si>
    <t>금회취소(관로,시설공사)</t>
    <phoneticPr fontId="12" type="noConversion"/>
  </si>
  <si>
    <t>연    간</t>
    <phoneticPr fontId="4" type="noConversion"/>
  </si>
  <si>
    <t>일반</t>
    <phoneticPr fontId="43" type="noConversion"/>
  </si>
  <si>
    <t>취사전용</t>
    <phoneticPr fontId="43" type="noConversion"/>
  </si>
  <si>
    <t>수요가부담</t>
    <phoneticPr fontId="43" type="noConversion"/>
  </si>
  <si>
    <t>주택용</t>
    <phoneticPr fontId="4" type="noConversion"/>
  </si>
  <si>
    <t>용도별 표준가스 소비량 합계</t>
    <phoneticPr fontId="4" type="noConversion"/>
  </si>
  <si>
    <t>주택용 외</t>
    <phoneticPr fontId="4" type="noConversion"/>
  </si>
  <si>
    <t>취사</t>
    <phoneticPr fontId="4" type="noConversion"/>
  </si>
  <si>
    <t>난방</t>
    <phoneticPr fontId="4" type="noConversion"/>
  </si>
  <si>
    <t>중앙</t>
    <phoneticPr fontId="4" type="noConversion"/>
  </si>
  <si>
    <t>영업용1</t>
    <phoneticPr fontId="4" type="noConversion"/>
  </si>
  <si>
    <t>영업용2</t>
    <phoneticPr fontId="4" type="noConversion"/>
  </si>
  <si>
    <t>업무난방</t>
    <phoneticPr fontId="4" type="noConversion"/>
  </si>
  <si>
    <t>냉난
방용</t>
    <phoneticPr fontId="4" type="noConversion"/>
  </si>
  <si>
    <t>계</t>
    <phoneticPr fontId="4" type="noConversion"/>
  </si>
  <si>
    <t>가스
 소비량
합계</t>
    <phoneticPr fontId="4" type="noConversion"/>
  </si>
  <si>
    <t>주택용 외</t>
    <phoneticPr fontId="4" type="noConversion"/>
  </si>
  <si>
    <t>가    스
소 비 량
합    계</t>
    <phoneticPr fontId="4" type="noConversion"/>
  </si>
  <si>
    <t>수 요
전 수</t>
    <phoneticPr fontId="4" type="noConversion"/>
  </si>
  <si>
    <t>가  스
소비량
합  계</t>
    <phoneticPr fontId="4" type="noConversion"/>
  </si>
  <si>
    <t>가  스
 소비량
합  계</t>
    <phoneticPr fontId="4" type="noConversion"/>
  </si>
  <si>
    <t>구분</t>
    <phoneticPr fontId="43" type="noConversion"/>
  </si>
  <si>
    <t>승인
차수</t>
    <phoneticPr fontId="43" type="noConversion"/>
  </si>
  <si>
    <t>용도</t>
    <phoneticPr fontId="43" type="noConversion"/>
  </si>
  <si>
    <t>구간번호</t>
    <phoneticPr fontId="43" type="noConversion"/>
  </si>
  <si>
    <t>공 사 명</t>
    <phoneticPr fontId="43" type="noConversion"/>
  </si>
  <si>
    <t>관로길이</t>
    <phoneticPr fontId="43" type="noConversion"/>
  </si>
  <si>
    <t>투자금액</t>
    <phoneticPr fontId="43" type="noConversion"/>
  </si>
  <si>
    <t>시 설 분 담 금</t>
    <phoneticPr fontId="43" type="noConversion"/>
  </si>
  <si>
    <t>비고</t>
    <phoneticPr fontId="43" type="noConversion"/>
  </si>
  <si>
    <t>합     계</t>
    <phoneticPr fontId="43" type="noConversion"/>
  </si>
  <si>
    <t>공공택지</t>
    <phoneticPr fontId="4" type="noConversion"/>
  </si>
  <si>
    <t>금회이월(관로,시설공사)</t>
    <phoneticPr fontId="12" type="noConversion"/>
  </si>
  <si>
    <t>본부투자이월구간</t>
    <phoneticPr fontId="12" type="noConversion"/>
  </si>
  <si>
    <t>길이(m)</t>
    <phoneticPr fontId="43" type="noConversion"/>
  </si>
  <si>
    <t>금액(원)</t>
    <phoneticPr fontId="43" type="noConversion"/>
  </si>
  <si>
    <t>본부투자승인 공공택지 이월 현황</t>
    <phoneticPr fontId="43" type="noConversion"/>
  </si>
  <si>
    <t>본부투자 승인 내역</t>
    <phoneticPr fontId="43" type="noConversion"/>
  </si>
  <si>
    <t>이월누계현황</t>
    <phoneticPr fontId="43" type="noConversion"/>
  </si>
  <si>
    <t>이 월 현 황</t>
    <phoneticPr fontId="43" type="noConversion"/>
  </si>
  <si>
    <t>구분</t>
    <phoneticPr fontId="43" type="noConversion"/>
  </si>
  <si>
    <t>본부투자이월구간</t>
    <phoneticPr fontId="43" type="noConversion"/>
  </si>
  <si>
    <t>금회이월구간</t>
    <phoneticPr fontId="43" type="noConversion"/>
  </si>
  <si>
    <t>소      계</t>
    <phoneticPr fontId="43" type="noConversion"/>
  </si>
  <si>
    <t/>
  </si>
  <si>
    <t>공공택지</t>
    <phoneticPr fontId="4" type="noConversion"/>
  </si>
  <si>
    <t xml:space="preserve">                       ▷공동주택</t>
    <phoneticPr fontId="12" type="noConversion"/>
  </si>
  <si>
    <t>▷공공택지</t>
    <phoneticPr fontId="12" type="noConversion"/>
  </si>
  <si>
    <t>계획배관</t>
  </si>
  <si>
    <t>Loop</t>
  </si>
  <si>
    <t>이설배관</t>
  </si>
  <si>
    <t>인입배관</t>
  </si>
  <si>
    <t>[금액단위:천원]</t>
    <phoneticPr fontId="43" type="noConversion"/>
  </si>
  <si>
    <t>구       분</t>
    <phoneticPr fontId="43" type="noConversion"/>
  </si>
  <si>
    <t>투자한도
잔   액</t>
    <phoneticPr fontId="43" type="noConversion"/>
  </si>
  <si>
    <t>시설분담금</t>
    <phoneticPr fontId="43" type="noConversion"/>
  </si>
  <si>
    <t>비   고</t>
    <phoneticPr fontId="43" type="noConversion"/>
  </si>
  <si>
    <t>전수</t>
    <phoneticPr fontId="43" type="noConversion"/>
  </si>
  <si>
    <t>규모(m)</t>
    <phoneticPr fontId="43" type="noConversion"/>
  </si>
  <si>
    <t>구성비</t>
    <phoneticPr fontId="43" type="noConversion"/>
  </si>
  <si>
    <t>금액</t>
    <phoneticPr fontId="43" type="noConversion"/>
  </si>
  <si>
    <t>규모</t>
    <phoneticPr fontId="43" type="noConversion"/>
  </si>
  <si>
    <t>수요개발</t>
    <phoneticPr fontId="43" type="noConversion"/>
  </si>
  <si>
    <t>공공택지</t>
    <phoneticPr fontId="43" type="noConversion"/>
  </si>
  <si>
    <t>공동주택</t>
    <phoneticPr fontId="43" type="noConversion"/>
  </si>
  <si>
    <t>합  계</t>
    <phoneticPr fontId="43" type="noConversion"/>
  </si>
  <si>
    <t>공동주택</t>
  </si>
  <si>
    <t>주택용</t>
  </si>
  <si>
    <t>구청</t>
    <phoneticPr fontId="4" type="noConversion"/>
  </si>
  <si>
    <t>구간번호</t>
    <phoneticPr fontId="4" type="noConversion"/>
  </si>
  <si>
    <t>영업용</t>
    <phoneticPr fontId="4" type="noConversion"/>
  </si>
  <si>
    <t>일반</t>
    <phoneticPr fontId="4" type="noConversion"/>
  </si>
  <si>
    <t>취사전용</t>
    <phoneticPr fontId="4" type="noConversion"/>
  </si>
  <si>
    <t>수요가부담금</t>
    <phoneticPr fontId="4" type="noConversion"/>
  </si>
  <si>
    <t>총 시설분담금</t>
    <phoneticPr fontId="4" type="noConversion"/>
  </si>
  <si>
    <t>▷업무용</t>
    <phoneticPr fontId="12" type="noConversion"/>
  </si>
  <si>
    <t>▷영업용</t>
    <phoneticPr fontId="12" type="noConversion"/>
  </si>
  <si>
    <t>▷산업용</t>
    <phoneticPr fontId="12" type="noConversion"/>
  </si>
  <si>
    <t>▷주택용</t>
    <phoneticPr fontId="12" type="noConversion"/>
  </si>
  <si>
    <t>산업용</t>
    <phoneticPr fontId="43" type="noConversion"/>
  </si>
  <si>
    <t>공공택지</t>
  </si>
  <si>
    <t>4. 신규 배관 투자 경제성 분석서(구간별)    ----  각 1부</t>
    <phoneticPr fontId="25" type="noConversion"/>
  </si>
  <si>
    <t>3. 신규 배관 투자 경제성 분석서(용도별)    ----  각 1부</t>
    <phoneticPr fontId="25" type="noConversion"/>
  </si>
  <si>
    <t>2. 신규 배관 투자 경제성 분석서(총괄)      ----  1부</t>
    <phoneticPr fontId="25" type="noConversion"/>
  </si>
  <si>
    <t>1. 신규 투자 계획서                        ----  1부</t>
    <phoneticPr fontId="25" type="noConversion"/>
  </si>
  <si>
    <t xml:space="preserve">신규 배관 투자 경제성 분석서(용도별) </t>
    <phoneticPr fontId="4" type="noConversion"/>
  </si>
  <si>
    <t>결재 구분</t>
  </si>
  <si>
    <t>결</t>
  </si>
  <si>
    <t>재</t>
  </si>
  <si>
    <t>소     계</t>
    <phoneticPr fontId="43" type="noConversion"/>
  </si>
  <si>
    <t>소     계</t>
    <phoneticPr fontId="43" type="noConversion"/>
  </si>
  <si>
    <t>합     계</t>
    <phoneticPr fontId="43" type="noConversion"/>
  </si>
  <si>
    <t>담당</t>
  </si>
  <si>
    <t>팀장</t>
  </si>
  <si>
    <t>임원</t>
    <phoneticPr fontId="43" type="noConversion"/>
  </si>
  <si>
    <t>사장</t>
    <phoneticPr fontId="43" type="noConversion"/>
  </si>
  <si>
    <t>회장</t>
    <phoneticPr fontId="43" type="noConversion"/>
  </si>
  <si>
    <t>기 타
이 익</t>
    <phoneticPr fontId="4" type="noConversion"/>
  </si>
  <si>
    <t>기타
이익</t>
    <phoneticPr fontId="4" type="noConversion"/>
  </si>
  <si>
    <t>기타
이익</t>
    <phoneticPr fontId="4" type="noConversion"/>
  </si>
  <si>
    <t>용도별</t>
    <phoneticPr fontId="4" type="noConversion"/>
  </si>
  <si>
    <t>공급대상 총계</t>
    <phoneticPr fontId="4" type="noConversion"/>
  </si>
  <si>
    <t>신규 배관 투자 경제성 분석서(구간별)</t>
    <phoneticPr fontId="4" type="noConversion"/>
  </si>
  <si>
    <t>비고
(일련
번호)</t>
    <phoneticPr fontId="4" type="noConversion"/>
  </si>
  <si>
    <t>과년도 경제성분석 승인 구간</t>
    <phoneticPr fontId="12" type="noConversion"/>
  </si>
  <si>
    <t>배관투자재원구간</t>
    <phoneticPr fontId="12" type="noConversion"/>
  </si>
  <si>
    <t>금회배관투자재원구간</t>
    <phoneticPr fontId="12" type="noConversion"/>
  </si>
  <si>
    <t>대성에너지주식회사</t>
    <phoneticPr fontId="25" type="noConversion"/>
  </si>
  <si>
    <t>사업부명 : 대성에너지주식회사</t>
    <phoneticPr fontId="12" type="noConversion"/>
  </si>
  <si>
    <t>대성에너지주식회사</t>
    <phoneticPr fontId="12" type="noConversion"/>
  </si>
  <si>
    <t>배관투자재원:</t>
    <phoneticPr fontId="12" type="noConversion"/>
  </si>
  <si>
    <t>투자재원</t>
  </si>
  <si>
    <t>회   람</t>
    <phoneticPr fontId="43" type="noConversion"/>
  </si>
  <si>
    <t>주택용</t>
    <phoneticPr fontId="4" type="noConversion"/>
  </si>
  <si>
    <t>배관투자재원</t>
    <phoneticPr fontId="4" type="noConversion"/>
  </si>
  <si>
    <t>판매량</t>
    <phoneticPr fontId="4" type="noConversion"/>
  </si>
  <si>
    <r>
      <t>가    정    용  [</t>
    </r>
    <r>
      <rPr>
        <sz val="14"/>
        <color indexed="10"/>
        <rFont val="굴림"/>
        <family val="3"/>
        <charset val="129"/>
      </rPr>
      <t>MJ</t>
    </r>
    <r>
      <rPr>
        <sz val="14"/>
        <rFont val="굴림"/>
        <family val="3"/>
        <charset val="129"/>
      </rPr>
      <t>/(전,월)]</t>
    </r>
    <phoneticPr fontId="4" type="noConversion"/>
  </si>
  <si>
    <r>
      <t>일    반    용  [</t>
    </r>
    <r>
      <rPr>
        <sz val="14"/>
        <color indexed="10"/>
        <rFont val="굴림"/>
        <family val="3"/>
        <charset val="129"/>
      </rPr>
      <t>MJ</t>
    </r>
    <r>
      <rPr>
        <sz val="14"/>
        <rFont val="굴림"/>
        <family val="3"/>
        <charset val="129"/>
      </rPr>
      <t>/(전,월)]</t>
    </r>
    <phoneticPr fontId="4" type="noConversion"/>
  </si>
  <si>
    <t>업무 난방용</t>
    <phoneticPr fontId="4" type="noConversion"/>
  </si>
  <si>
    <t>판매량</t>
    <phoneticPr fontId="4" type="noConversion"/>
  </si>
  <si>
    <t>냉난방용</t>
    <phoneticPr fontId="4" type="noConversion"/>
  </si>
  <si>
    <t>전수</t>
    <phoneticPr fontId="4" type="noConversion"/>
  </si>
  <si>
    <t>난 방
판매량</t>
    <phoneticPr fontId="4" type="noConversion"/>
  </si>
  <si>
    <r>
      <t>산  업  용
[</t>
    </r>
    <r>
      <rPr>
        <sz val="14"/>
        <color indexed="10"/>
        <rFont val="굴림"/>
        <family val="3"/>
        <charset val="129"/>
      </rPr>
      <t>MJ</t>
    </r>
    <r>
      <rPr>
        <sz val="14"/>
        <rFont val="굴림"/>
        <family val="3"/>
        <charset val="129"/>
      </rPr>
      <t>/(전,월)]</t>
    </r>
    <phoneticPr fontId="4" type="noConversion"/>
  </si>
  <si>
    <t>냉난방용
(난방용)</t>
    <phoneticPr fontId="4" type="noConversion"/>
  </si>
  <si>
    <t>냉난방용
(냉방용)</t>
    <phoneticPr fontId="4" type="noConversion"/>
  </si>
  <si>
    <t>업무난방용</t>
    <phoneticPr fontId="4" type="noConversion"/>
  </si>
  <si>
    <t>난  방
판매량</t>
    <phoneticPr fontId="4" type="noConversion"/>
  </si>
  <si>
    <t>냉  방
판매량</t>
    <phoneticPr fontId="4" type="noConversion"/>
  </si>
  <si>
    <r>
      <t>산  업  용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</si>
  <si>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일    반    용  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</si>
  <si>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가    정    용  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</si>
  <si>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연    간        판    매    량  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/년]</t>
    </r>
    <phoneticPr fontId="4" type="noConversion"/>
  </si>
  <si>
    <t>산업용</t>
    <phoneticPr fontId="4" type="noConversion"/>
  </si>
  <si>
    <t>공동주택</t>
    <phoneticPr fontId="4" type="noConversion"/>
  </si>
  <si>
    <t>업무용</t>
    <phoneticPr fontId="4" type="noConversion"/>
  </si>
  <si>
    <t>영업용</t>
    <phoneticPr fontId="4" type="noConversion"/>
  </si>
  <si>
    <t>주택용</t>
    <phoneticPr fontId="4" type="noConversion"/>
  </si>
  <si>
    <t>투자재원</t>
    <phoneticPr fontId="4" type="noConversion"/>
  </si>
  <si>
    <t>냉난방용</t>
    <phoneticPr fontId="4" type="noConversion"/>
  </si>
  <si>
    <t>냉난방용
(난방용)</t>
    <phoneticPr fontId="4" type="noConversion"/>
  </si>
  <si>
    <t>냉난방용
(냉방용)</t>
    <phoneticPr fontId="4" type="noConversion"/>
  </si>
  <si>
    <t>가    정    용  [MJ/(월)]</t>
    <phoneticPr fontId="4" type="noConversion"/>
  </si>
  <si>
    <t>업무난방용</t>
    <phoneticPr fontId="4" type="noConversion"/>
  </si>
  <si>
    <t>냉  방
판매량</t>
    <phoneticPr fontId="4" type="noConversion"/>
  </si>
  <si>
    <t>일    반    용  [MJ/(월)]</t>
    <phoneticPr fontId="4" type="noConversion"/>
  </si>
  <si>
    <t>산  업  용
[MJ/(월)]</t>
    <phoneticPr fontId="4" type="noConversion"/>
  </si>
  <si>
    <t>연    간        판    매    량  [MJ/년]</t>
    <phoneticPr fontId="4" type="noConversion"/>
  </si>
  <si>
    <t>냉난방용
(냉방용)</t>
    <phoneticPr fontId="4" type="noConversion"/>
  </si>
  <si>
    <t>회 수</t>
    <phoneticPr fontId="4" type="noConversion"/>
  </si>
  <si>
    <t>년 수</t>
    <phoneticPr fontId="4" type="noConversion"/>
  </si>
  <si>
    <t>[MJ/년]</t>
    <phoneticPr fontId="4" type="noConversion"/>
  </si>
  <si>
    <t>투  자  금  액</t>
    <phoneticPr fontId="4" type="noConversion"/>
  </si>
  <si>
    <t>시 설 분 담 금</t>
    <phoneticPr fontId="4" type="noConversion"/>
  </si>
  <si>
    <t>환산세대수</t>
    <phoneticPr fontId="4" type="noConversion"/>
  </si>
  <si>
    <t>[MJ/년]</t>
    <phoneticPr fontId="4" type="noConversion"/>
  </si>
  <si>
    <t>배관투자재원</t>
    <phoneticPr fontId="43" type="noConversion"/>
  </si>
  <si>
    <t>수요개발배관</t>
    <phoneticPr fontId="43" type="noConversion"/>
  </si>
  <si>
    <t>①투자한도</t>
    <phoneticPr fontId="43" type="noConversion"/>
  </si>
  <si>
    <t>⑥투자한도잔액(①-⑤)</t>
    <phoneticPr fontId="43" type="noConversion"/>
  </si>
  <si>
    <t>⑤본부투자 누계(②+③-④)</t>
    <phoneticPr fontId="43" type="noConversion"/>
  </si>
  <si>
    <t>구  분</t>
    <phoneticPr fontId="43" type="noConversion"/>
  </si>
  <si>
    <t>④이월 및 취소누계</t>
    <phoneticPr fontId="43" type="noConversion"/>
  </si>
  <si>
    <t>업무용</t>
    <phoneticPr fontId="43" type="noConversion"/>
  </si>
  <si>
    <t>영업용</t>
    <phoneticPr fontId="43" type="noConversion"/>
  </si>
  <si>
    <t>주택용</t>
    <phoneticPr fontId="43" type="noConversion"/>
  </si>
  <si>
    <t>소 계</t>
    <phoneticPr fontId="43" type="noConversion"/>
  </si>
  <si>
    <t>소계</t>
    <phoneticPr fontId="43" type="noConversion"/>
  </si>
  <si>
    <t>공무팀</t>
    <phoneticPr fontId="43" type="noConversion"/>
  </si>
  <si>
    <t>지역
정압기</t>
    <phoneticPr fontId="43" type="noConversion"/>
  </si>
  <si>
    <t>총 합 계</t>
    <phoneticPr fontId="43" type="noConversion"/>
  </si>
  <si>
    <t xml:space="preserve"> </t>
    <phoneticPr fontId="25" type="noConversion"/>
  </si>
  <si>
    <t>차수</t>
    <phoneticPr fontId="16" type="noConversion"/>
  </si>
  <si>
    <t>건 수</t>
    <phoneticPr fontId="16" type="noConversion"/>
  </si>
  <si>
    <t>길이(m)</t>
    <phoneticPr fontId="16" type="noConversion"/>
  </si>
  <si>
    <t>관로투자금액</t>
    <phoneticPr fontId="16" type="noConversion"/>
  </si>
  <si>
    <t>시설투자금액</t>
    <phoneticPr fontId="16" type="noConversion"/>
  </si>
  <si>
    <t>투자재원</t>
    <phoneticPr fontId="16" type="noConversion"/>
  </si>
  <si>
    <t>취소금액</t>
    <phoneticPr fontId="16" type="noConversion"/>
  </si>
  <si>
    <t>합   계</t>
    <phoneticPr fontId="16" type="noConversion"/>
  </si>
  <si>
    <t>누   계</t>
    <phoneticPr fontId="16" type="noConversion"/>
  </si>
  <si>
    <t xml:space="preserve"> </t>
    <phoneticPr fontId="16" type="noConversion"/>
  </si>
  <si>
    <t>합계</t>
    <phoneticPr fontId="16" type="noConversion"/>
  </si>
  <si>
    <t>승 인 현 황</t>
    <phoneticPr fontId="16" type="noConversion"/>
  </si>
  <si>
    <t>차수별 취소 금액</t>
    <phoneticPr fontId="16" type="noConversion"/>
  </si>
  <si>
    <t>협력업체 선정 및 관리지침에 의한 업체 선정</t>
    <phoneticPr fontId="12" type="noConversion"/>
  </si>
  <si>
    <t>첨부 자료 참조</t>
    <phoneticPr fontId="25" type="noConversion"/>
  </si>
  <si>
    <t xml:space="preserve"> </t>
    <phoneticPr fontId="43" type="noConversion"/>
  </si>
  <si>
    <t>설계용역</t>
    <phoneticPr fontId="43" type="noConversion"/>
  </si>
  <si>
    <t>주택용</t>
    <phoneticPr fontId="4" type="noConversion"/>
  </si>
  <si>
    <t>관로공사 발주에 따른 시공도급비 감소분</t>
    <phoneticPr fontId="16" type="noConversion"/>
  </si>
  <si>
    <t>774(건)</t>
  </si>
  <si>
    <t>산업용</t>
    <phoneticPr fontId="4" type="noConversion"/>
  </si>
  <si>
    <t>산업용</t>
    <phoneticPr fontId="4" type="noConversion"/>
  </si>
  <si>
    <t xml:space="preserve"> ---&gt; 다음회차 작업시 금회 취소분은 기존 취소로 이동복사 할 것.</t>
    <phoneticPr fontId="43" type="noConversion"/>
  </si>
  <si>
    <t>2017년 본부투자 누계</t>
    <phoneticPr fontId="43" type="noConversion"/>
  </si>
  <si>
    <t>기
존
취
소
구
간</t>
    <phoneticPr fontId="43" type="noConversion"/>
  </si>
  <si>
    <t xml:space="preserve">                    ▷산업용</t>
    <phoneticPr fontId="12" type="noConversion"/>
  </si>
  <si>
    <t>투자보수율가산</t>
    <phoneticPr fontId="4" type="noConversion"/>
  </si>
  <si>
    <t>투자보수율가산</t>
    <phoneticPr fontId="4" type="noConversion"/>
  </si>
  <si>
    <t>투자보수율가산</t>
    <phoneticPr fontId="43" type="noConversion"/>
  </si>
  <si>
    <t>금회투자보수율가산구간</t>
    <phoneticPr fontId="12" type="noConversion"/>
  </si>
  <si>
    <t>투자보수율가산구간</t>
    <phoneticPr fontId="12" type="noConversion"/>
  </si>
  <si>
    <t>공급설비 합계</t>
    <phoneticPr fontId="12" type="noConversion"/>
  </si>
  <si>
    <t>투자보수율가산</t>
    <phoneticPr fontId="43" type="noConversion"/>
  </si>
  <si>
    <t>투자보수율가산구간</t>
    <phoneticPr fontId="12" type="noConversion"/>
  </si>
  <si>
    <t>ROE</t>
    <phoneticPr fontId="43" type="noConversion"/>
  </si>
  <si>
    <t>주택용</t>
    <phoneticPr fontId="43" type="noConversion"/>
  </si>
  <si>
    <t>업무용</t>
    <phoneticPr fontId="43" type="noConversion"/>
  </si>
  <si>
    <t>공동주택</t>
    <phoneticPr fontId="43" type="noConversion"/>
  </si>
  <si>
    <t>투자재원</t>
    <phoneticPr fontId="43" type="noConversion"/>
  </si>
  <si>
    <t>공공택지</t>
    <phoneticPr fontId="43" type="noConversion"/>
  </si>
  <si>
    <t>산업용</t>
    <phoneticPr fontId="43" type="noConversion"/>
  </si>
  <si>
    <t>영업용</t>
    <phoneticPr fontId="43" type="noConversion"/>
  </si>
  <si>
    <t>투자보수율</t>
  </si>
  <si>
    <t>가산</t>
  </si>
  <si>
    <t>투자재원</t>
    <phoneticPr fontId="4" type="noConversion"/>
  </si>
  <si>
    <t xml:space="preserve"> --&gt; 과년도 투자승인_입력</t>
    <phoneticPr fontId="12" type="noConversion"/>
  </si>
  <si>
    <t>구분</t>
    <phoneticPr fontId="43" type="noConversion"/>
  </si>
  <si>
    <t>금액</t>
    <phoneticPr fontId="43" type="noConversion"/>
  </si>
  <si>
    <t>합 계</t>
    <phoneticPr fontId="43" type="noConversion"/>
  </si>
  <si>
    <t>기본계획</t>
    <phoneticPr fontId="43" type="noConversion"/>
  </si>
  <si>
    <t>소 계</t>
  </si>
  <si>
    <t>취 소</t>
  </si>
  <si>
    <t>취 소</t>
    <phoneticPr fontId="43" type="noConversion"/>
  </si>
  <si>
    <t>이 월</t>
    <phoneticPr fontId="43" type="noConversion"/>
  </si>
  <si>
    <t>수 요 개 발</t>
    <phoneticPr fontId="43" type="noConversion"/>
  </si>
  <si>
    <t>공급시설물보수</t>
    <phoneticPr fontId="43" type="noConversion"/>
  </si>
  <si>
    <t>2017년 투자 실적</t>
    <phoneticPr fontId="43" type="noConversion"/>
  </si>
  <si>
    <t>취 소 사 유</t>
    <phoneticPr fontId="43" type="noConversion"/>
  </si>
  <si>
    <t>부팀장</t>
    <phoneticPr fontId="43" type="noConversion"/>
  </si>
  <si>
    <t>본부장</t>
    <phoneticPr fontId="43" type="noConversion"/>
  </si>
  <si>
    <t>2017년 이월분</t>
    <phoneticPr fontId="43" type="noConversion"/>
  </si>
  <si>
    <t>주택용→ROE전환
1,100,243,274원</t>
    <phoneticPr fontId="43" type="noConversion"/>
  </si>
  <si>
    <t>구성비</t>
  </si>
  <si>
    <t>투자한도
잔   액</t>
  </si>
  <si>
    <t>투자항목 변경</t>
    <phoneticPr fontId="43" type="noConversion"/>
  </si>
  <si>
    <t>전수</t>
    <phoneticPr fontId="43" type="noConversion"/>
  </si>
  <si>
    <t>취소항목 변경</t>
    <phoneticPr fontId="43" type="noConversion"/>
  </si>
  <si>
    <t>변경 내역</t>
    <phoneticPr fontId="43" type="noConversion"/>
  </si>
  <si>
    <t>2018년 본부투자  변경 누계</t>
    <phoneticPr fontId="43" type="noConversion"/>
  </si>
  <si>
    <t>주택용</t>
    <phoneticPr fontId="4" type="noConversion"/>
  </si>
  <si>
    <t>고객마케팅본부</t>
    <phoneticPr fontId="43" type="noConversion"/>
  </si>
  <si>
    <t>경영기획본부</t>
    <phoneticPr fontId="43" type="noConversion"/>
  </si>
  <si>
    <t>실장</t>
    <phoneticPr fontId="43" type="noConversion"/>
  </si>
  <si>
    <t>담 당</t>
  </si>
  <si>
    <t>부팀장</t>
  </si>
  <si>
    <t>팀 장</t>
  </si>
  <si>
    <t>본부장</t>
  </si>
  <si>
    <t>회 장</t>
  </si>
  <si>
    <t xml:space="preserve">  </t>
  </si>
  <si>
    <t>회 람</t>
  </si>
  <si>
    <t>『세계를 아는 기업, 세계가 아는 기업』</t>
    <phoneticPr fontId="25" type="noConversion"/>
  </si>
  <si>
    <t xml:space="preserve">금
회
취
소
</t>
    <phoneticPr fontId="43" type="noConversion"/>
  </si>
  <si>
    <t>전체</t>
    <phoneticPr fontId="43" type="noConversion"/>
  </si>
  <si>
    <t>수요개발</t>
    <phoneticPr fontId="43" type="noConversion"/>
  </si>
  <si>
    <t>기본계획</t>
    <phoneticPr fontId="43" type="noConversion"/>
  </si>
  <si>
    <t>수요개발</t>
    <phoneticPr fontId="43" type="noConversion"/>
  </si>
  <si>
    <t>기본계획</t>
    <phoneticPr fontId="43" type="noConversion"/>
  </si>
  <si>
    <t>전체</t>
    <phoneticPr fontId="43" type="noConversion"/>
  </si>
  <si>
    <t>당초 2019년 본부투자 누계
(16차 기준)</t>
    <phoneticPr fontId="43" type="noConversion"/>
  </si>
  <si>
    <t>2019년 본부투자 변경누계
(16차 기준)</t>
    <phoneticPr fontId="43" type="noConversion"/>
  </si>
  <si>
    <t>본부투자 17차</t>
    <phoneticPr fontId="43" type="noConversion"/>
  </si>
  <si>
    <t>신규투자 착수 품의서</t>
    <phoneticPr fontId="25" type="noConversion"/>
  </si>
  <si>
    <r>
      <rPr>
        <b/>
        <sz val="10"/>
        <rFont val="굴림체"/>
        <family val="3"/>
        <charset val="129"/>
      </rPr>
      <t>DGBB-0102-01</t>
    </r>
    <r>
      <rPr>
        <b/>
        <sz val="14"/>
        <color indexed="11"/>
        <rFont val="굴림체"/>
        <family val="3"/>
        <charset val="129"/>
      </rPr>
      <t xml:space="preserve">      "고객과 함께할 대성 100년, 그 첫걸음은 안전입니다."</t>
    </r>
    <phoneticPr fontId="25" type="noConversion"/>
  </si>
  <si>
    <r>
      <t>연 료 전 지
[</t>
    </r>
    <r>
      <rPr>
        <sz val="14"/>
        <color rgb="FFFF0000"/>
        <rFont val="굴림"/>
        <family val="3"/>
        <charset val="129"/>
      </rPr>
      <t>MJ</t>
    </r>
    <r>
      <rPr>
        <sz val="14"/>
        <rFont val="굴림"/>
        <family val="3"/>
        <charset val="129"/>
      </rPr>
      <t>/(전,월)]</t>
    </r>
    <phoneticPr fontId="4" type="noConversion"/>
  </si>
  <si>
    <r>
      <t>열  병  합
[</t>
    </r>
    <r>
      <rPr>
        <sz val="14"/>
        <color rgb="FFFF0000"/>
        <rFont val="굴림"/>
        <family val="3"/>
        <charset val="129"/>
      </rPr>
      <t>MJ</t>
    </r>
    <r>
      <rPr>
        <sz val="14"/>
        <rFont val="굴림"/>
        <family val="3"/>
        <charset val="129"/>
      </rPr>
      <t>/(전,월)]</t>
    </r>
    <phoneticPr fontId="4" type="noConversion"/>
  </si>
  <si>
    <r>
      <t xml:space="preserve">열전용설비 (주택용 外)
</t>
    </r>
    <r>
      <rPr>
        <sz val="14"/>
        <rFont val="굴림"/>
        <family val="3"/>
        <charset val="129"/>
      </rPr>
      <t xml:space="preserve">
[</t>
    </r>
    <r>
      <rPr>
        <sz val="14"/>
        <color rgb="FFFF0000"/>
        <rFont val="굴림"/>
        <family val="3"/>
        <charset val="129"/>
      </rPr>
      <t>MJ</t>
    </r>
    <r>
      <rPr>
        <sz val="14"/>
        <rFont val="굴림"/>
        <family val="3"/>
        <charset val="129"/>
      </rPr>
      <t>/(전,월)]</t>
    </r>
    <phoneticPr fontId="4" type="noConversion"/>
  </si>
  <si>
    <t>연료전지</t>
  </si>
  <si>
    <t>열병합</t>
  </si>
  <si>
    <t>열전용설비
(주택용 外)</t>
  </si>
  <si>
    <t>연료전지</t>
    <phoneticPr fontId="4" type="noConversion"/>
  </si>
  <si>
    <t>열병합</t>
    <phoneticPr fontId="4" type="noConversion"/>
  </si>
  <si>
    <t>열전용설비</t>
    <phoneticPr fontId="4" type="noConversion"/>
  </si>
  <si>
    <r>
      <t>연    간        판    매    량  [</t>
    </r>
    <r>
      <rPr>
        <sz val="14"/>
        <color indexed="10"/>
        <rFont val="굴림"/>
        <family val="3"/>
        <charset val="129"/>
      </rPr>
      <t>MJ</t>
    </r>
    <r>
      <rPr>
        <sz val="14"/>
        <rFont val="굴림"/>
        <family val="3"/>
        <charset val="129"/>
      </rPr>
      <t>/년]</t>
    </r>
    <phoneticPr fontId="4" type="noConversion"/>
  </si>
  <si>
    <t>가    정    용</t>
    <phoneticPr fontId="4" type="noConversion"/>
  </si>
  <si>
    <t>일    반    용</t>
    <phoneticPr fontId="4" type="noConversion"/>
  </si>
  <si>
    <t>산 업 용</t>
    <phoneticPr fontId="4" type="noConversion"/>
  </si>
  <si>
    <t>연료전지</t>
    <phoneticPr fontId="4" type="noConversion"/>
  </si>
  <si>
    <t>열병합</t>
    <phoneticPr fontId="4" type="noConversion"/>
  </si>
  <si>
    <t>열전용설비</t>
    <phoneticPr fontId="4" type="noConversion"/>
  </si>
  <si>
    <t>계</t>
    <phoneticPr fontId="4" type="noConversion"/>
  </si>
  <si>
    <t>개별난방용</t>
    <phoneticPr fontId="4" type="noConversion"/>
  </si>
  <si>
    <t>중앙난방용
(중집용)</t>
    <phoneticPr fontId="4" type="noConversion"/>
  </si>
  <si>
    <t>냉난방용
(난방용)</t>
    <phoneticPr fontId="43" type="noConversion"/>
  </si>
  <si>
    <t>냉난방용
(냉방용)</t>
    <phoneticPr fontId="43" type="noConversion"/>
  </si>
  <si>
    <r>
      <t>연 료 전 지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</si>
  <si>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t>연 료 전 지
[MJ/(전,월)]</t>
  </si>
  <si>
    <r>
      <t>연 료 전 지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</si>
  <si>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열 병 합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</si>
  <si>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열 병 합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</si>
  <si>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열전용설비
(주택용 外)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</si>
  <si>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r>
      <t>열전용설비
(주택용 外)
[</t>
    </r>
    <r>
      <rPr>
        <b/>
        <sz val="15"/>
        <color indexed="10"/>
        <rFont val="굴림"/>
        <family val="3"/>
        <charset val="129"/>
      </rPr>
      <t>MJ</t>
    </r>
    <r>
      <rPr>
        <b/>
        <sz val="15"/>
        <rFont val="굴림"/>
        <family val="3"/>
        <charset val="129"/>
      </rPr>
      <t>/(전,월)]</t>
    </r>
    <phoneticPr fontId="4" type="noConversion"/>
  </si>
  <si>
    <t>연료전지</t>
    <phoneticPr fontId="4" type="noConversion"/>
  </si>
  <si>
    <t>열병합</t>
    <phoneticPr fontId="4" type="noConversion"/>
  </si>
  <si>
    <t>열전용설비
(주택용 外)</t>
    <phoneticPr fontId="4" type="noConversion"/>
  </si>
  <si>
    <t>열전용설비
(주택용 外)</t>
    <phoneticPr fontId="4" type="noConversion"/>
  </si>
  <si>
    <t>열전용설비
(주택용 外)</t>
    <phoneticPr fontId="4" type="noConversion"/>
  </si>
  <si>
    <t>열전용설비
(주택용 外)</t>
    <phoneticPr fontId="4" type="noConversion"/>
  </si>
  <si>
    <t>열  병  합
[MJ/(전,월)]</t>
  </si>
  <si>
    <t>가    정    용  [MJ/(월)]</t>
  </si>
  <si>
    <t>일    반    용  [MJ/(월)]</t>
  </si>
  <si>
    <t>산  업  용
[MJ/(월)]</t>
  </si>
  <si>
    <t>취사</t>
    <phoneticPr fontId="4" type="noConversion"/>
  </si>
  <si>
    <t>난방</t>
    <phoneticPr fontId="4" type="noConversion"/>
  </si>
  <si>
    <t>중앙</t>
    <phoneticPr fontId="4" type="noConversion"/>
  </si>
  <si>
    <t>영업용1</t>
    <phoneticPr fontId="4" type="noConversion"/>
  </si>
  <si>
    <t>영업용2</t>
    <phoneticPr fontId="4" type="noConversion"/>
  </si>
  <si>
    <t>업무난방</t>
    <phoneticPr fontId="4" type="noConversion"/>
  </si>
  <si>
    <t>냉난
방용</t>
    <phoneticPr fontId="4" type="noConversion"/>
  </si>
  <si>
    <t>산업용</t>
    <phoneticPr fontId="4" type="noConversion"/>
  </si>
  <si>
    <t>연    간        판    매    량  [MJ/년]</t>
    <phoneticPr fontId="4" type="noConversion"/>
  </si>
  <si>
    <t>산 업 용</t>
  </si>
  <si>
    <t>열 병 합</t>
  </si>
  <si>
    <t>열전용설비
(주택용 外)
[MJ/(전,월)]</t>
    <phoneticPr fontId="4" type="noConversion"/>
  </si>
  <si>
    <t>열  병  합</t>
    <phoneticPr fontId="4" type="noConversion"/>
  </si>
  <si>
    <t>열전용설비
(주택용 外)
[MJ/(전,월)]</t>
    <phoneticPr fontId="4" type="noConversion"/>
  </si>
  <si>
    <t>▷연료전지</t>
    <phoneticPr fontId="12" type="noConversion"/>
  </si>
  <si>
    <t>▷열병합</t>
    <phoneticPr fontId="12" type="noConversion"/>
  </si>
  <si>
    <t>▷열전용설비</t>
    <phoneticPr fontId="12" type="noConversion"/>
  </si>
  <si>
    <t xml:space="preserve">                          ▷열전용설비</t>
    <phoneticPr fontId="12" type="noConversion"/>
  </si>
  <si>
    <t xml:space="preserve">                       ▷연료전지</t>
    <phoneticPr fontId="12" type="noConversion"/>
  </si>
  <si>
    <t xml:space="preserve">                   ▷열병합</t>
    <phoneticPr fontId="12" type="noConversion"/>
  </si>
  <si>
    <t xml:space="preserve">                    ▷업무용</t>
    <phoneticPr fontId="12" type="noConversion"/>
  </si>
  <si>
    <t xml:space="preserve">                    ▷영업용</t>
    <phoneticPr fontId="12" type="noConversion"/>
  </si>
  <si>
    <t xml:space="preserve">                    ▷주택용</t>
    <phoneticPr fontId="12" type="noConversion"/>
  </si>
  <si>
    <t>열전용</t>
    <phoneticPr fontId="4" type="noConversion"/>
  </si>
  <si>
    <t>열병합</t>
    <phoneticPr fontId="4" type="noConversion"/>
  </si>
  <si>
    <t>구분</t>
    <phoneticPr fontId="43" type="noConversion"/>
  </si>
  <si>
    <t>투자누계(%)</t>
    <phoneticPr fontId="43" type="noConversion"/>
  </si>
  <si>
    <t>수요개발투자</t>
    <phoneticPr fontId="43" type="noConversion"/>
  </si>
  <si>
    <t>기본계획투자</t>
    <phoneticPr fontId="43" type="noConversion"/>
  </si>
  <si>
    <t>전체 투자</t>
    <phoneticPr fontId="43" type="noConversion"/>
  </si>
  <si>
    <t>이월,취소금액</t>
    <phoneticPr fontId="16" type="noConversion"/>
  </si>
  <si>
    <t>연료전지용</t>
    <phoneticPr fontId="43" type="noConversion"/>
  </si>
  <si>
    <t>연료전지용</t>
    <phoneticPr fontId="43" type="noConversion"/>
  </si>
  <si>
    <t xml:space="preserve"> --&gt; E33 수식변경  :  = "        "&amp;$E$27&amp;"차 :    "&amp;TEXT(신규투자계획서!$G$64,"###,0")&amp;"원"</t>
    <phoneticPr fontId="25" type="noConversion"/>
  </si>
  <si>
    <t>공급시설물
개선</t>
    <phoneticPr fontId="43" type="noConversion"/>
  </si>
  <si>
    <t>▷ 가스요금 체납에 대비하여 보증보험 가입의 조건으로 보증보험증권 징구 예정</t>
    <phoneticPr fontId="12" type="noConversion"/>
  </si>
  <si>
    <t>부회장</t>
    <phoneticPr fontId="43" type="noConversion"/>
  </si>
  <si>
    <t>회       장</t>
    <phoneticPr fontId="25" type="noConversion"/>
  </si>
  <si>
    <t>대성에너지주식회사 대표이사</t>
    <phoneticPr fontId="25" type="noConversion"/>
  </si>
  <si>
    <t>D22 입력할 것</t>
    <phoneticPr fontId="12" type="noConversion"/>
  </si>
  <si>
    <t>실 장</t>
    <phoneticPr fontId="43" type="noConversion"/>
  </si>
  <si>
    <t>금년투자(2023년)</t>
    <phoneticPr fontId="43" type="noConversion"/>
  </si>
  <si>
    <t>공급설비
(배관공사)</t>
    <phoneticPr fontId="12" type="noConversion"/>
  </si>
  <si>
    <t>자체자금(관로) :</t>
    <phoneticPr fontId="12" type="noConversion"/>
  </si>
  <si>
    <t>기 타 사 항</t>
    <phoneticPr fontId="12" type="noConversion"/>
  </si>
  <si>
    <t>결재구분</t>
    <phoneticPr fontId="43" type="noConversion"/>
  </si>
  <si>
    <t>임원</t>
    <phoneticPr fontId="43" type="noConversion"/>
  </si>
  <si>
    <t>대표이사</t>
    <phoneticPr fontId="43" type="noConversion"/>
  </si>
  <si>
    <t>경영기획팀</t>
    <phoneticPr fontId="43" type="noConversion"/>
  </si>
  <si>
    <t>승인비율</t>
    <phoneticPr fontId="43" type="noConversion"/>
  </si>
  <si>
    <t>마케팅팀</t>
    <phoneticPr fontId="43" type="noConversion"/>
  </si>
  <si>
    <t>주택용
(지자체)</t>
    <phoneticPr fontId="43" type="noConversion"/>
  </si>
  <si>
    <t>IF($C32="","",주택용!BQ$7)</t>
    <phoneticPr fontId="4" type="noConversion"/>
  </si>
  <si>
    <t>수식확인</t>
    <phoneticPr fontId="4" type="noConversion"/>
  </si>
  <si>
    <t>2025년 본부투자 누계</t>
    <phoneticPr fontId="43" type="noConversion"/>
  </si>
  <si>
    <t>1차</t>
    <phoneticPr fontId="16" type="noConversion"/>
  </si>
  <si>
    <t>합  계</t>
  </si>
  <si>
    <t>2024년
신규투자
잔여분</t>
    <phoneticPr fontId="43" type="noConversion"/>
  </si>
  <si>
    <t>2025년 투자 실적</t>
    <phoneticPr fontId="43" type="noConversion"/>
  </si>
  <si>
    <t>2026년 당초 투자한도액</t>
    <phoneticPr fontId="43" type="noConversion"/>
  </si>
  <si>
    <t>2026년 사업계획 투자한도액</t>
    <phoneticPr fontId="43" type="noConversion"/>
  </si>
  <si>
    <t>2026년 본부투자
이월 및 취소분</t>
    <phoneticPr fontId="43" type="noConversion"/>
  </si>
  <si>
    <t>2026년 본부투자 누계</t>
    <phoneticPr fontId="43" type="noConversion"/>
  </si>
  <si>
    <t>2026년도 신규배관 투자승인 취소현황</t>
    <phoneticPr fontId="43" type="noConversion"/>
  </si>
  <si>
    <t>2026년도 본부투자승인 현황</t>
    <phoneticPr fontId="16" type="noConversion"/>
  </si>
  <si>
    <t>2026년투자누계</t>
    <phoneticPr fontId="12" type="noConversion"/>
  </si>
  <si>
    <t>2026년 관로공사</t>
    <phoneticPr fontId="12" type="noConversion"/>
  </si>
  <si>
    <t xml:space="preserve">      제 26 -     호</t>
    <phoneticPr fontId="25" type="noConversion"/>
  </si>
  <si>
    <t>2026년 본부투자 승인내역</t>
    <phoneticPr fontId="43" type="noConversion"/>
  </si>
  <si>
    <t>1건</t>
    <phoneticPr fontId="16" type="noConversion"/>
  </si>
  <si>
    <t xml:space="preserve">     (2026년 사업계획 투자한도액 : 14,866,426,837원)</t>
    <phoneticPr fontId="25" type="noConversion"/>
  </si>
  <si>
    <t>2차</t>
    <phoneticPr fontId="16" type="noConversion"/>
  </si>
  <si>
    <t>2건</t>
    <phoneticPr fontId="16" type="noConversion"/>
  </si>
  <si>
    <t>북구</t>
  </si>
  <si>
    <t>3차</t>
  </si>
  <si>
    <t>4건</t>
  </si>
  <si>
    <t>4차</t>
    <phoneticPr fontId="16" type="noConversion"/>
  </si>
  <si>
    <t>ROE</t>
  </si>
  <si>
    <t>서구</t>
  </si>
  <si>
    <t>5차</t>
    <phoneticPr fontId="16" type="noConversion"/>
  </si>
  <si>
    <t>6차</t>
    <phoneticPr fontId="16" type="noConversion"/>
  </si>
  <si>
    <t>12건</t>
    <phoneticPr fontId="16" type="noConversion"/>
  </si>
  <si>
    <t>COO</t>
    <phoneticPr fontId="43" type="noConversion"/>
  </si>
  <si>
    <t>7차</t>
  </si>
  <si>
    <t>8차</t>
  </si>
  <si>
    <t>1건</t>
  </si>
  <si>
    <t>10건</t>
    <phoneticPr fontId="16" type="noConversion"/>
  </si>
  <si>
    <t xml:space="preserve">          2026.  05.    </t>
    <phoneticPr fontId="25" type="noConversion"/>
  </si>
  <si>
    <t xml:space="preserve">         8차 :    428,872,000원</t>
    <phoneticPr fontId="25" type="noConversion"/>
  </si>
  <si>
    <t>2026-2C00080</t>
  </si>
  <si>
    <t>2026-2A00018</t>
  </si>
  <si>
    <t>복현대백맨션개별난방전환</t>
  </si>
  <si>
    <t>비산동729-17번지R</t>
  </si>
  <si>
    <t>9차</t>
    <phoneticPr fontId="16" type="noConversion"/>
  </si>
  <si>
    <t xml:space="preserve">   1차 ~ 7차 :  4,696,001,000원</t>
    <phoneticPr fontId="25" type="noConversion"/>
  </si>
  <si>
    <t xml:space="preserve">         9차 :    69,443,000원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</si>
</sst>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#,##0.00_ "/>
    <numFmt numFmtId="179" formatCode="0.0%"/>
    <numFmt numFmtId="180" formatCode="#,##0.0_ "/>
    <numFmt numFmtId="181" formatCode="0.0"/>
    <numFmt numFmtId="182" formatCode="0_);[Red]\(0\)"/>
    <numFmt numFmtId="183" formatCode="0.0_);[Red]\(0.0\)"/>
    <numFmt numFmtId="184" formatCode="_ * #,##0.0_ ;_ * \-#,##0.0_ ;_ * &quot;-&quot;??_ ;_ @_ "/>
    <numFmt numFmtId="185" formatCode="#&quot;차  승   인     계&quot;"/>
    <numFmt numFmtId="186" formatCode="&quot;건  :   &quot;###,##0&quot;m)&quot;"/>
    <numFmt numFmtId="187" formatCode="&quot;2000년 &quot;#&quot;차분&quot;"/>
    <numFmt numFmtId="188" formatCode="#,##0,&quot; 천원&quot;"/>
    <numFmt numFmtId="189" formatCode="#,##0,,&quot;백만원&quot;"/>
    <numFmt numFmtId="190" formatCode="#,##0.0&quot;m ----- [①＋②－③]&quot;"/>
    <numFmt numFmtId="191" formatCode="###,###,###,##0&quot; 원&quot;"/>
    <numFmt numFmtId="192" formatCode="#,##0,&quot; 천원)&quot;"/>
    <numFmt numFmtId="193" formatCode="&quot;공급대상처 &quot;#&quot;건&quot;"/>
    <numFmt numFmtId="194" formatCode="#&quot;건&quot;"/>
    <numFmt numFmtId="195" formatCode="0.00_ "/>
    <numFmt numFmtId="196" formatCode="#,##0\ &quot;건&quot;"/>
    <numFmt numFmtId="197" formatCode="#,##0\ \ \ \ "/>
    <numFmt numFmtId="198" formatCode="#,##0\ "/>
    <numFmt numFmtId="199" formatCode="_-* #,##0_-;\-* #,##0_-;_-* &quot;-&quot;??_-;_-@_-"/>
    <numFmt numFmtId="200" formatCode="#,##0.0&quot;m --------------- [③]&quot;"/>
    <numFmt numFmtId="201" formatCode="#,##0_);[Red]\(#,##0\)"/>
    <numFmt numFmtId="202" formatCode="_-* #,##0,_-;\-\ #,##0,_-;;_-@_-"/>
    <numFmt numFmtId="203" formatCode="0.0_ "/>
    <numFmt numFmtId="204" formatCode="#,##0.0_);[Red]\(#,##0.0\)"/>
    <numFmt numFmtId="205" formatCode="_-* #,##0.0_-;\-* #,##0.0_-;_-* &quot;-&quot;_-;_-@_-"/>
    <numFmt numFmtId="206" formatCode="0.00_);[Red]\(0.00\)"/>
    <numFmt numFmtId="207" formatCode="#,##0\ &quot;m --------------- [①]&quot;"/>
    <numFmt numFmtId="208" formatCode="#,##0\ &quot;m --------------- [②]&quot;"/>
    <numFmt numFmtId="209" formatCode="#,##0\ &quot;m --------------- [③]&quot;"/>
    <numFmt numFmtId="210" formatCode="#,##0\ &quot;m --------------- [④]&quot;"/>
    <numFmt numFmtId="211" formatCode="#,##0\ &quot;m --------------- [⑤]&quot;"/>
    <numFmt numFmtId="212" formatCode="#,##0\ &quot;m --------------- [⑥]&quot;"/>
    <numFmt numFmtId="213" formatCode="#,##0\ &quot;m --------------- [⑦]&quot;"/>
    <numFmt numFmtId="214" formatCode="#,##0\ &quot;m --------------- [⑧]&quot;"/>
    <numFmt numFmtId="215" formatCode="#,##0\ &quot;m --------------- [⑨]&quot;"/>
    <numFmt numFmtId="216" formatCode="#,##0_ ;[Red]\-#,##0\ "/>
    <numFmt numFmtId="217" formatCode="_-* #,##0.0_-;\-* #,##0.0_-;_-* &quot;-&quot;?_-;_-@_-"/>
    <numFmt numFmtId="218" formatCode="&quot;②투자승인누계(&quot;#&quot;차)&quot;"/>
    <numFmt numFmtId="219" formatCode="&quot;③금회투자신청(&quot;#&quot;차)&quot;"/>
    <numFmt numFmtId="220" formatCode="&quot;관로공사(     &quot;#&quot; 차분누계)&quot;"/>
    <numFmt numFmtId="221" formatCode="0&quot;건&quot;"/>
    <numFmt numFmtId="222" formatCode="0.00_ ;[Red]\-0.00\ "/>
    <numFmt numFmtId="223" formatCode="0_ ;[Red]\-0\ "/>
    <numFmt numFmtId="224" formatCode="0.0_ ;[Red]\-0.0\ "/>
    <numFmt numFmtId="225" formatCode="0.000_);[Red]\(0.000\)"/>
    <numFmt numFmtId="226" formatCode="#,##0\ &quot;m --------------- [⑩]&quot;"/>
    <numFmt numFmtId="227" formatCode="_-* #,##0.0,_-;\-\ #,##0.0000,_-;;_-@_-"/>
    <numFmt numFmtId="228" formatCode="_-* #,##0.0,_-;\-\ #,##0.000,_-;;_-@_-"/>
    <numFmt numFmtId="229" formatCode="#,##0.000_ "/>
    <numFmt numFmtId="230" formatCode="#,##0&quot;m -[①+②+③+⑥+⑨-(④+⑤+⑦+⑧)]&quot;"/>
    <numFmt numFmtId="231" formatCode="#,##0\ \ \ \ ;\-#,##0\ \ \ \ ;#"/>
    <numFmt numFmtId="232" formatCode="&quot;2026년 관로공사중 &quot;#&quot;차분&quot;"/>
  </numFmts>
  <fonts count="121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바탕"/>
      <family val="1"/>
      <charset val="129"/>
    </font>
    <font>
      <b/>
      <sz val="11"/>
      <name val="굴림"/>
      <family val="3"/>
      <charset val="129"/>
    </font>
    <font>
      <b/>
      <sz val="16"/>
      <name val="굴림"/>
      <family val="3"/>
      <charset val="129"/>
    </font>
    <font>
      <b/>
      <sz val="17"/>
      <name val="굴림"/>
      <family val="3"/>
      <charset val="129"/>
    </font>
    <font>
      <b/>
      <sz val="14"/>
      <name val="굴림"/>
      <family val="3"/>
      <charset val="129"/>
    </font>
    <font>
      <b/>
      <sz val="12"/>
      <color indexed="12"/>
      <name val="굴림"/>
      <family val="3"/>
      <charset val="129"/>
    </font>
    <font>
      <b/>
      <sz val="10"/>
      <color indexed="81"/>
      <name val="굴림"/>
      <family val="3"/>
      <charset val="129"/>
    </font>
    <font>
      <b/>
      <sz val="40"/>
      <name val="HY견고딕"/>
      <family val="1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0"/>
      <name val="굴림"/>
      <family val="3"/>
      <charset val="129"/>
    </font>
    <font>
      <sz val="27"/>
      <name val="굴림체"/>
      <family val="3"/>
      <charset val="129"/>
    </font>
    <font>
      <sz val="12"/>
      <name val="굴림체"/>
      <family val="3"/>
      <charset val="129"/>
    </font>
    <font>
      <sz val="12"/>
      <name val="순명조"/>
      <family val="1"/>
      <charset val="129"/>
    </font>
    <font>
      <sz val="13"/>
      <name val="굴림체"/>
      <family val="3"/>
      <charset val="129"/>
    </font>
    <font>
      <sz val="13"/>
      <name val="HY견고딕"/>
      <family val="1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9.5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b/>
      <sz val="10"/>
      <color indexed="10"/>
      <name val="굴림체"/>
      <family val="3"/>
      <charset val="129"/>
    </font>
    <font>
      <sz val="11"/>
      <name val="HY견고딕"/>
      <family val="1"/>
      <charset val="129"/>
    </font>
    <font>
      <sz val="14"/>
      <name val="HY견고딕"/>
      <family val="1"/>
      <charset val="129"/>
    </font>
    <font>
      <sz val="12"/>
      <name val="HY견고딕"/>
      <family val="1"/>
      <charset val="129"/>
    </font>
    <font>
      <sz val="14"/>
      <name val="굴림체"/>
      <family val="3"/>
      <charset val="129"/>
    </font>
    <font>
      <b/>
      <sz val="13"/>
      <name val="순명조"/>
      <family val="1"/>
      <charset val="129"/>
    </font>
    <font>
      <b/>
      <sz val="14"/>
      <name val="순명조"/>
      <family val="1"/>
      <charset val="129"/>
    </font>
    <font>
      <sz val="16"/>
      <name val="굴림"/>
      <family val="3"/>
      <charset val="129"/>
    </font>
    <font>
      <sz val="14"/>
      <name val="굴림"/>
      <family val="3"/>
      <charset val="129"/>
    </font>
    <font>
      <sz val="11"/>
      <name val="굴림체"/>
      <family val="3"/>
      <charset val="129"/>
    </font>
    <font>
      <b/>
      <sz val="18"/>
      <name val="굴림"/>
      <family val="3"/>
      <charset val="129"/>
    </font>
    <font>
      <b/>
      <sz val="15"/>
      <name val="굴림"/>
      <family val="3"/>
      <charset val="129"/>
    </font>
    <font>
      <b/>
      <sz val="20"/>
      <name val="굴림"/>
      <family val="3"/>
      <charset val="129"/>
    </font>
    <font>
      <b/>
      <sz val="36"/>
      <name val="HY견고딕"/>
      <family val="1"/>
      <charset val="129"/>
    </font>
    <font>
      <b/>
      <sz val="18"/>
      <color indexed="10"/>
      <name val="굴림"/>
      <family val="3"/>
      <charset val="129"/>
    </font>
    <font>
      <sz val="12"/>
      <color indexed="8"/>
      <name val="굴림체"/>
      <family val="3"/>
      <charset val="129"/>
    </font>
    <font>
      <sz val="10"/>
      <color indexed="8"/>
      <name val="굴림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  <font>
      <u/>
      <sz val="20"/>
      <name val="굴림"/>
      <family val="3"/>
      <charset val="129"/>
    </font>
    <font>
      <b/>
      <u/>
      <sz val="20"/>
      <name val="굴림"/>
      <family val="3"/>
      <charset val="129"/>
    </font>
    <font>
      <b/>
      <u/>
      <sz val="24"/>
      <name val="굴림"/>
      <family val="3"/>
      <charset val="129"/>
    </font>
    <font>
      <b/>
      <sz val="10"/>
      <color indexed="8"/>
      <name val="굴림"/>
      <family val="3"/>
      <charset val="129"/>
    </font>
    <font>
      <sz val="12"/>
      <color indexed="8"/>
      <name val="한양신명조"/>
      <family val="3"/>
      <charset val="129"/>
    </font>
    <font>
      <sz val="12"/>
      <name val="뼻뮝"/>
      <family val="1"/>
      <charset val="129"/>
    </font>
    <font>
      <b/>
      <sz val="17"/>
      <name val="돋움"/>
      <family val="3"/>
      <charset val="129"/>
    </font>
    <font>
      <b/>
      <sz val="18"/>
      <name val="돋움"/>
      <family val="3"/>
      <charset val="129"/>
    </font>
    <font>
      <b/>
      <sz val="40"/>
      <name val="돋움"/>
      <family val="3"/>
      <charset val="129"/>
    </font>
    <font>
      <b/>
      <sz val="12"/>
      <color indexed="12"/>
      <name val="돋움"/>
      <family val="3"/>
      <charset val="129"/>
    </font>
    <font>
      <b/>
      <sz val="16"/>
      <name val="돋움"/>
      <family val="3"/>
      <charset val="129"/>
    </font>
    <font>
      <sz val="16"/>
      <name val="돋움"/>
      <family val="3"/>
      <charset val="129"/>
    </font>
    <font>
      <b/>
      <sz val="15"/>
      <name val="돋움"/>
      <family val="3"/>
      <charset val="129"/>
    </font>
    <font>
      <sz val="18"/>
      <name val="돋움"/>
      <family val="3"/>
      <charset val="129"/>
    </font>
    <font>
      <b/>
      <sz val="20"/>
      <name val="돋움"/>
      <family val="3"/>
      <charset val="129"/>
    </font>
    <font>
      <sz val="17"/>
      <name val="돋움"/>
      <family val="3"/>
      <charset val="129"/>
    </font>
    <font>
      <b/>
      <sz val="14"/>
      <color indexed="11"/>
      <name val="굴림체"/>
      <family val="3"/>
      <charset val="129"/>
    </font>
    <font>
      <b/>
      <sz val="9"/>
      <color indexed="81"/>
      <name val="Tahoma"/>
      <family val="2"/>
    </font>
    <font>
      <sz val="14"/>
      <color indexed="10"/>
      <name val="굴림"/>
      <family val="3"/>
      <charset val="129"/>
    </font>
    <font>
      <b/>
      <sz val="15"/>
      <color indexed="10"/>
      <name val="굴림"/>
      <family val="3"/>
      <charset val="129"/>
    </font>
    <font>
      <b/>
      <sz val="22"/>
      <color indexed="81"/>
      <name val="굴림"/>
      <family val="3"/>
      <charset val="129"/>
    </font>
    <font>
      <b/>
      <sz val="20"/>
      <color indexed="81"/>
      <name val="굴림"/>
      <family val="3"/>
      <charset val="129"/>
    </font>
    <font>
      <b/>
      <sz val="24"/>
      <color indexed="81"/>
      <name val="굴림"/>
      <family val="3"/>
      <charset val="129"/>
    </font>
    <font>
      <sz val="24"/>
      <color indexed="81"/>
      <name val="굴림"/>
      <family val="3"/>
      <charset val="129"/>
    </font>
    <font>
      <b/>
      <sz val="16"/>
      <color indexed="81"/>
      <name val="Tahoma"/>
      <family val="2"/>
    </font>
    <font>
      <b/>
      <sz val="16"/>
      <color indexed="81"/>
      <name val="돋움"/>
      <family val="3"/>
      <charset val="129"/>
    </font>
    <font>
      <b/>
      <sz val="9"/>
      <name val="굴림체"/>
      <family val="3"/>
      <charset val="129"/>
    </font>
    <font>
      <sz val="12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26"/>
      <name val="굴림체"/>
      <family val="3"/>
      <charset val="129"/>
    </font>
    <font>
      <sz val="10"/>
      <name val="돋움"/>
      <family val="3"/>
      <charset val="129"/>
    </font>
    <font>
      <sz val="10"/>
      <color indexed="8"/>
      <name val="굴림체"/>
      <family val="3"/>
      <charset val="129"/>
    </font>
    <font>
      <sz val="6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4"/>
      <color rgb="FFFF0000"/>
      <name val="굴림"/>
      <family val="3"/>
      <charset val="129"/>
    </font>
    <font>
      <b/>
      <sz val="10"/>
      <color rgb="FFFF0000"/>
      <name val="돋움"/>
      <family val="3"/>
      <charset val="129"/>
    </font>
    <font>
      <b/>
      <sz val="10"/>
      <color theme="0"/>
      <name val="굴림체"/>
      <family val="3"/>
      <charset val="129"/>
    </font>
    <font>
      <b/>
      <sz val="10"/>
      <color rgb="FF0000CC"/>
      <name val="굴림"/>
      <family val="3"/>
      <charset val="129"/>
    </font>
    <font>
      <b/>
      <sz val="11"/>
      <color rgb="FF0000CC"/>
      <name val="굴림"/>
      <family val="3"/>
      <charset val="129"/>
    </font>
    <font>
      <b/>
      <sz val="11"/>
      <color theme="3"/>
      <name val="돋움"/>
      <family val="3"/>
      <charset val="129"/>
    </font>
    <font>
      <b/>
      <sz val="10"/>
      <color theme="3"/>
      <name val="돋움"/>
      <family val="3"/>
      <charset val="129"/>
    </font>
    <font>
      <b/>
      <sz val="14"/>
      <color rgb="FF0AA611"/>
      <name val="굴림체"/>
      <family val="3"/>
      <charset val="129"/>
    </font>
    <font>
      <sz val="10"/>
      <color rgb="FFFF0000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48"/>
      <color indexed="81"/>
      <name val="HY견고딕"/>
      <family val="1"/>
      <charset val="129"/>
    </font>
    <font>
      <sz val="9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2"/>
      <color rgb="FF000000"/>
      <name val="굴림체"/>
      <family val="3"/>
      <charset val="129"/>
    </font>
    <font>
      <sz val="12"/>
      <color rgb="FF000000"/>
      <name val="한양신명조"/>
      <family val="3"/>
      <charset val="129"/>
    </font>
    <font>
      <sz val="18"/>
      <name val="굴림체"/>
      <family val="3"/>
      <charset val="129"/>
    </font>
    <font>
      <b/>
      <sz val="22"/>
      <name val="돋움"/>
      <family val="3"/>
      <charset val="129"/>
    </font>
    <font>
      <b/>
      <sz val="14"/>
      <name val="돋움"/>
      <family val="3"/>
      <charset val="129"/>
    </font>
    <font>
      <b/>
      <sz val="12"/>
      <name val="돋움"/>
      <family val="3"/>
      <charset val="129"/>
    </font>
    <font>
      <b/>
      <sz val="10"/>
      <color theme="3"/>
      <name val="굴림"/>
      <family val="3"/>
      <charset val="129"/>
    </font>
    <font>
      <sz val="16"/>
      <name val="굴림체"/>
      <family val="3"/>
      <charset val="129"/>
    </font>
    <font>
      <i/>
      <sz val="10"/>
      <name val="굴림"/>
      <family val="3"/>
      <charset val="129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FA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ck">
        <color theme="0" tint="-0.499984740745262"/>
      </top>
      <bottom style="hair">
        <color indexed="64"/>
      </bottom>
      <diagonal/>
    </border>
    <border>
      <left style="hair">
        <color indexed="64"/>
      </left>
      <right/>
      <top/>
      <bottom style="thick">
        <color theme="0" tint="-0.34998626667073579"/>
      </bottom>
      <diagonal/>
    </border>
    <border>
      <left/>
      <right style="hair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64"/>
      </bottom>
      <diagonal/>
    </border>
    <border>
      <left style="thin">
        <color indexed="8"/>
      </left>
      <right/>
      <top style="dotted">
        <color indexed="8"/>
      </top>
      <bottom style="thin">
        <color indexed="64"/>
      </bottom>
      <diagonal/>
    </border>
    <border>
      <left/>
      <right/>
      <top style="dotted">
        <color indexed="8"/>
      </top>
      <bottom style="thin">
        <color indexed="64"/>
      </bottom>
      <diagonal/>
    </border>
    <border>
      <left/>
      <right style="thin">
        <color indexed="8"/>
      </right>
      <top style="dotted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10">
    <xf numFmtId="0" fontId="0" fillId="0" borderId="0"/>
    <xf numFmtId="0" fontId="79" fillId="9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7" borderId="0" applyNumberFormat="0" applyBorder="0" applyAlignment="0" applyProtection="0">
      <alignment vertical="center"/>
    </xf>
    <xf numFmtId="0" fontId="79" fillId="18" borderId="0" applyNumberFormat="0" applyBorder="0" applyAlignment="0" applyProtection="0">
      <alignment vertical="center"/>
    </xf>
    <xf numFmtId="0" fontId="79" fillId="18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2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5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80" fillId="26" borderId="0" applyNumberFormat="0" applyBorder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80" fillId="27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29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0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33" borderId="207" applyNumberFormat="0" applyAlignment="0" applyProtection="0">
      <alignment vertical="center"/>
    </xf>
    <xf numFmtId="0" fontId="82" fillId="33" borderId="207" applyNumberFormat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79" fillId="35" borderId="208" applyNumberFormat="0" applyFont="0" applyAlignment="0" applyProtection="0">
      <alignment vertical="center"/>
    </xf>
    <xf numFmtId="0" fontId="79" fillId="35" borderId="208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0" fontId="84" fillId="36" borderId="0" applyNumberFormat="0" applyBorder="0" applyAlignment="0" applyProtection="0">
      <alignment vertical="center"/>
    </xf>
    <xf numFmtId="0" fontId="84" fillId="36" borderId="0" applyNumberFormat="0" applyBorder="0" applyAlignment="0" applyProtection="0">
      <alignment vertical="center"/>
    </xf>
    <xf numFmtId="0" fontId="50" fillId="0" borderId="0"/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37" borderId="209" applyNumberFormat="0" applyAlignment="0" applyProtection="0">
      <alignment vertical="center"/>
    </xf>
    <xf numFmtId="0" fontId="86" fillId="37" borderId="209" applyNumberFormat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87" fillId="0" borderId="210" applyNumberFormat="0" applyFill="0" applyAlignment="0" applyProtection="0">
      <alignment vertical="center"/>
    </xf>
    <xf numFmtId="0" fontId="87" fillId="0" borderId="210" applyNumberFormat="0" applyFill="0" applyAlignment="0" applyProtection="0">
      <alignment vertical="center"/>
    </xf>
    <xf numFmtId="0" fontId="88" fillId="0" borderId="211" applyNumberFormat="0" applyFill="0" applyAlignment="0" applyProtection="0">
      <alignment vertical="center"/>
    </xf>
    <xf numFmtId="0" fontId="88" fillId="0" borderId="211" applyNumberFormat="0" applyFill="0" applyAlignment="0" applyProtection="0">
      <alignment vertical="center"/>
    </xf>
    <xf numFmtId="0" fontId="89" fillId="38" borderId="207" applyNumberFormat="0" applyAlignment="0" applyProtection="0">
      <alignment vertical="center"/>
    </xf>
    <xf numFmtId="0" fontId="89" fillId="38" borderId="207" applyNumberFormat="0" applyAlignment="0" applyProtection="0">
      <alignment vertical="center"/>
    </xf>
    <xf numFmtId="0" fontId="91" fillId="0" borderId="212" applyNumberFormat="0" applyFill="0" applyAlignment="0" applyProtection="0">
      <alignment vertical="center"/>
    </xf>
    <xf numFmtId="0" fontId="91" fillId="0" borderId="212" applyNumberFormat="0" applyFill="0" applyAlignment="0" applyProtection="0">
      <alignment vertical="center"/>
    </xf>
    <xf numFmtId="0" fontId="92" fillId="0" borderId="213" applyNumberFormat="0" applyFill="0" applyAlignment="0" applyProtection="0">
      <alignment vertical="center"/>
    </xf>
    <xf numFmtId="0" fontId="92" fillId="0" borderId="213" applyNumberFormat="0" applyFill="0" applyAlignment="0" applyProtection="0">
      <alignment vertical="center"/>
    </xf>
    <xf numFmtId="0" fontId="93" fillId="0" borderId="214" applyNumberFormat="0" applyFill="0" applyAlignment="0" applyProtection="0">
      <alignment vertical="center"/>
    </xf>
    <xf numFmtId="0" fontId="93" fillId="0" borderId="214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5" fillId="33" borderId="215" applyNumberFormat="0" applyAlignment="0" applyProtection="0">
      <alignment vertical="center"/>
    </xf>
    <xf numFmtId="0" fontId="95" fillId="33" borderId="215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79" fillId="0" borderId="0">
      <alignment vertical="center"/>
    </xf>
    <xf numFmtId="0" fontId="79" fillId="0" borderId="0">
      <alignment vertical="center"/>
    </xf>
    <xf numFmtId="0" fontId="21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</cellStyleXfs>
  <cellXfs count="2203">
    <xf numFmtId="0" fontId="0" fillId="0" borderId="0" xfId="0"/>
    <xf numFmtId="0" fontId="7" fillId="0" borderId="0" xfId="100" applyFont="1" applyAlignment="1">
      <alignment vertical="center"/>
    </xf>
    <xf numFmtId="0" fontId="5" fillId="0" borderId="0" xfId="100" applyFont="1" applyAlignment="1">
      <alignment vertical="center"/>
    </xf>
    <xf numFmtId="0" fontId="5" fillId="0" borderId="0" xfId="100" applyFont="1" applyAlignment="1">
      <alignment horizontal="centerContinuous" vertical="center"/>
    </xf>
    <xf numFmtId="178" fontId="5" fillId="0" borderId="0" xfId="100" applyNumberFormat="1" applyFont="1" applyAlignment="1">
      <alignment vertical="center"/>
    </xf>
    <xf numFmtId="0" fontId="11" fillId="0" borderId="0" xfId="100" applyFont="1" applyAlignment="1">
      <alignment horizontal="centerContinuous" vertical="center"/>
    </xf>
    <xf numFmtId="0" fontId="9" fillId="0" borderId="0" xfId="100" applyFont="1" applyAlignment="1">
      <alignment horizontal="right" vertical="center"/>
    </xf>
    <xf numFmtId="0" fontId="8" fillId="0" borderId="0" xfId="100" applyFont="1" applyAlignment="1">
      <alignment vertical="center"/>
    </xf>
    <xf numFmtId="0" fontId="6" fillId="0" borderId="1" xfId="100" applyFont="1" applyBorder="1" applyAlignment="1" applyProtection="1">
      <alignment horizontal="left" vertical="center"/>
      <protection locked="0"/>
    </xf>
    <xf numFmtId="41" fontId="6" fillId="0" borderId="1" xfId="71" applyFont="1" applyBorder="1" applyAlignment="1" applyProtection="1">
      <alignment horizontal="center" vertical="center"/>
      <protection locked="0"/>
    </xf>
    <xf numFmtId="177" fontId="6" fillId="0" borderId="1" xfId="71" applyNumberFormat="1" applyFont="1" applyBorder="1" applyAlignment="1" applyProtection="1">
      <alignment vertical="center"/>
      <protection locked="0"/>
    </xf>
    <xf numFmtId="177" fontId="6" fillId="0" borderId="1" xfId="71" applyNumberFormat="1" applyFont="1" applyBorder="1" applyAlignment="1" applyProtection="1">
      <alignment vertical="center"/>
    </xf>
    <xf numFmtId="180" fontId="6" fillId="0" borderId="1" xfId="71" applyNumberFormat="1" applyFont="1" applyBorder="1" applyAlignment="1">
      <alignment vertical="center"/>
    </xf>
    <xf numFmtId="177" fontId="6" fillId="0" borderId="1" xfId="71" applyNumberFormat="1" applyFont="1" applyBorder="1" applyAlignment="1">
      <alignment vertical="center"/>
    </xf>
    <xf numFmtId="177" fontId="6" fillId="0" borderId="2" xfId="71" applyNumberFormat="1" applyFont="1" applyBorder="1" applyAlignment="1">
      <alignment vertical="center"/>
    </xf>
    <xf numFmtId="41" fontId="6" fillId="0" borderId="1" xfId="71" applyFont="1" applyFill="1" applyBorder="1" applyAlignment="1" applyProtection="1">
      <alignment horizontal="center" vertical="center"/>
      <protection locked="0"/>
    </xf>
    <xf numFmtId="177" fontId="6" fillId="0" borderId="1" xfId="71" applyNumberFormat="1" applyFont="1" applyFill="1" applyBorder="1" applyAlignment="1" applyProtection="1">
      <alignment vertical="center"/>
      <protection locked="0"/>
    </xf>
    <xf numFmtId="177" fontId="6" fillId="0" borderId="1" xfId="71" applyNumberFormat="1" applyFont="1" applyFill="1" applyBorder="1" applyAlignment="1" applyProtection="1">
      <alignment vertical="center"/>
    </xf>
    <xf numFmtId="177" fontId="6" fillId="0" borderId="2" xfId="71" applyNumberFormat="1" applyFont="1" applyFill="1" applyBorder="1" applyAlignment="1">
      <alignment vertical="center"/>
    </xf>
    <xf numFmtId="0" fontId="6" fillId="0" borderId="3" xfId="100" applyFont="1" applyBorder="1" applyAlignment="1">
      <alignment horizontal="center" vertical="center"/>
    </xf>
    <xf numFmtId="181" fontId="6" fillId="0" borderId="4" xfId="0" applyNumberFormat="1" applyFont="1" applyBorder="1" applyAlignment="1" applyProtection="1">
      <alignment horizontal="center" vertical="center"/>
      <protection locked="0"/>
    </xf>
    <xf numFmtId="41" fontId="6" fillId="0" borderId="4" xfId="71" applyFont="1" applyFill="1" applyBorder="1" applyAlignment="1" applyProtection="1">
      <alignment horizontal="center" vertical="center"/>
      <protection locked="0"/>
    </xf>
    <xf numFmtId="177" fontId="6" fillId="0" borderId="4" xfId="0" quotePrefix="1" applyNumberFormat="1" applyFont="1" applyBorder="1" applyAlignment="1" applyProtection="1">
      <alignment vertical="center"/>
      <protection locked="0"/>
    </xf>
    <xf numFmtId="177" fontId="6" fillId="0" borderId="4" xfId="0" applyNumberFormat="1" applyFont="1" applyBorder="1" applyAlignment="1" applyProtection="1">
      <alignment vertical="center"/>
      <protection locked="0"/>
    </xf>
    <xf numFmtId="177" fontId="6" fillId="0" borderId="4" xfId="0" applyNumberFormat="1" applyFont="1" applyBorder="1" applyAlignment="1">
      <alignment vertical="center"/>
    </xf>
    <xf numFmtId="0" fontId="6" fillId="2" borderId="5" xfId="100" applyFont="1" applyFill="1" applyBorder="1" applyAlignment="1">
      <alignment horizontal="center" vertical="center"/>
    </xf>
    <xf numFmtId="0" fontId="6" fillId="2" borderId="6" xfId="100" applyFont="1" applyFill="1" applyBorder="1" applyAlignment="1">
      <alignment horizontal="center" vertical="center"/>
    </xf>
    <xf numFmtId="0" fontId="13" fillId="0" borderId="0" xfId="101" applyFont="1" applyAlignment="1">
      <alignment vertical="center"/>
    </xf>
    <xf numFmtId="0" fontId="14" fillId="0" borderId="0" xfId="101" applyFont="1" applyAlignment="1">
      <alignment vertical="center"/>
    </xf>
    <xf numFmtId="0" fontId="15" fillId="0" borderId="0" xfId="101" applyFont="1" applyAlignment="1">
      <alignment horizontal="centerContinuous" vertical="center"/>
    </xf>
    <xf numFmtId="0" fontId="16" fillId="0" borderId="0" xfId="101" applyFont="1" applyAlignment="1">
      <alignment horizontal="centerContinuous" vertical="center"/>
    </xf>
    <xf numFmtId="0" fontId="17" fillId="0" borderId="0" xfId="101" applyFont="1" applyAlignment="1">
      <alignment vertical="center"/>
    </xf>
    <xf numFmtId="0" fontId="16" fillId="0" borderId="0" xfId="101" applyFont="1" applyAlignment="1">
      <alignment vertical="center"/>
    </xf>
    <xf numFmtId="0" fontId="18" fillId="0" borderId="7" xfId="101" applyFont="1" applyBorder="1" applyAlignment="1">
      <alignment horizontal="left" vertical="center"/>
    </xf>
    <xf numFmtId="0" fontId="18" fillId="0" borderId="7" xfId="101" applyFont="1" applyBorder="1" applyAlignment="1">
      <alignment horizontal="centerContinuous" vertical="center"/>
    </xf>
    <xf numFmtId="0" fontId="18" fillId="0" borderId="7" xfId="101" applyFont="1" applyBorder="1" applyAlignment="1">
      <alignment vertical="center"/>
    </xf>
    <xf numFmtId="0" fontId="19" fillId="0" borderId="0" xfId="101" applyFont="1" applyAlignment="1">
      <alignment vertical="center"/>
    </xf>
    <xf numFmtId="0" fontId="12" fillId="0" borderId="8" xfId="101" applyFont="1" applyBorder="1" applyAlignment="1">
      <alignment vertical="center"/>
    </xf>
    <xf numFmtId="0" fontId="12" fillId="0" borderId="9" xfId="101" applyFont="1" applyBorder="1" applyAlignment="1">
      <alignment vertical="center"/>
    </xf>
    <xf numFmtId="0" fontId="12" fillId="0" borderId="10" xfId="101" applyFont="1" applyBorder="1" applyAlignment="1">
      <alignment vertical="center"/>
    </xf>
    <xf numFmtId="0" fontId="20" fillId="0" borderId="0" xfId="101" applyFont="1" applyAlignment="1">
      <alignment vertical="center"/>
    </xf>
    <xf numFmtId="49" fontId="20" fillId="0" borderId="11" xfId="101" quotePrefix="1" applyNumberFormat="1" applyFont="1" applyBorder="1" applyAlignment="1">
      <alignment horizontal="center" vertical="center"/>
    </xf>
    <xf numFmtId="0" fontId="20" fillId="0" borderId="0" xfId="101" quotePrefix="1" applyFont="1" applyAlignment="1">
      <alignment horizontal="distributed" vertical="center"/>
    </xf>
    <xf numFmtId="0" fontId="20" fillId="0" borderId="0" xfId="101" applyFont="1" applyAlignment="1">
      <alignment horizontal="distributed" vertical="center"/>
    </xf>
    <xf numFmtId="0" fontId="20" fillId="0" borderId="12" xfId="101" applyFont="1" applyBorder="1" applyAlignment="1">
      <alignment vertical="center"/>
    </xf>
    <xf numFmtId="49" fontId="20" fillId="0" borderId="11" xfId="101" applyNumberFormat="1" applyFont="1" applyBorder="1" applyAlignment="1">
      <alignment horizontal="center" vertical="center"/>
    </xf>
    <xf numFmtId="184" fontId="20" fillId="0" borderId="0" xfId="74" applyNumberFormat="1" applyFont="1" applyAlignment="1">
      <alignment vertical="center"/>
    </xf>
    <xf numFmtId="0" fontId="20" fillId="0" borderId="0" xfId="74" applyFont="1" applyAlignment="1">
      <alignment vertical="center"/>
    </xf>
    <xf numFmtId="177" fontId="20" fillId="0" borderId="0" xfId="74" applyNumberFormat="1" applyFont="1" applyFill="1" applyBorder="1" applyAlignment="1">
      <alignment horizontal="right" vertical="center"/>
    </xf>
    <xf numFmtId="3" fontId="20" fillId="0" borderId="0" xfId="101" applyNumberFormat="1" applyFont="1" applyAlignment="1">
      <alignment vertical="center"/>
    </xf>
    <xf numFmtId="0" fontId="20" fillId="0" borderId="0" xfId="101" applyFont="1" applyAlignment="1">
      <alignment horizontal="center" vertical="center"/>
    </xf>
    <xf numFmtId="0" fontId="21" fillId="0" borderId="12" xfId="101" applyFont="1" applyBorder="1" applyAlignment="1">
      <alignment horizontal="left" vertical="center"/>
    </xf>
    <xf numFmtId="184" fontId="20" fillId="0" borderId="0" xfId="74" applyNumberFormat="1" applyFont="1" applyFill="1" applyAlignment="1">
      <alignment vertical="center"/>
    </xf>
    <xf numFmtId="0" fontId="20" fillId="0" borderId="0" xfId="74" applyFont="1" applyFill="1" applyAlignment="1">
      <alignment vertical="center"/>
    </xf>
    <xf numFmtId="0" fontId="20" fillId="0" borderId="0" xfId="101" quotePrefix="1" applyFont="1" applyAlignment="1">
      <alignment horizontal="center" vertical="center"/>
    </xf>
    <xf numFmtId="185" fontId="20" fillId="0" borderId="0" xfId="101" applyNumberFormat="1" applyFont="1" applyAlignment="1">
      <alignment horizontal="distributed" vertical="center"/>
    </xf>
    <xf numFmtId="191" fontId="20" fillId="0" borderId="0" xfId="73" applyNumberFormat="1" applyFont="1" applyFill="1" applyBorder="1" applyAlignment="1">
      <alignment vertical="center"/>
    </xf>
    <xf numFmtId="190" fontId="20" fillId="0" borderId="0" xfId="101" applyNumberFormat="1" applyFont="1" applyAlignment="1">
      <alignment horizontal="right" vertical="center"/>
    </xf>
    <xf numFmtId="186" fontId="20" fillId="0" borderId="0" xfId="101" applyNumberFormat="1" applyFont="1" applyAlignment="1">
      <alignment horizontal="left" vertical="center"/>
    </xf>
    <xf numFmtId="192" fontId="20" fillId="0" borderId="0" xfId="101" applyNumberFormat="1" applyFont="1" applyAlignment="1">
      <alignment horizontal="left" vertical="center"/>
    </xf>
    <xf numFmtId="0" fontId="22" fillId="0" borderId="0" xfId="101" applyFont="1" applyAlignment="1">
      <alignment horizontal="right"/>
    </xf>
    <xf numFmtId="0" fontId="20" fillId="3" borderId="13" xfId="101" applyFont="1" applyFill="1" applyBorder="1" applyAlignment="1">
      <alignment horizontal="centerContinuous" vertical="center"/>
    </xf>
    <xf numFmtId="0" fontId="20" fillId="3" borderId="14" xfId="101" applyFont="1" applyFill="1" applyBorder="1" applyAlignment="1">
      <alignment horizontal="centerContinuous" vertical="center"/>
    </xf>
    <xf numFmtId="0" fontId="20" fillId="3" borderId="14" xfId="101" applyFont="1" applyFill="1" applyBorder="1" applyAlignment="1">
      <alignment horizontal="center" vertical="center"/>
    </xf>
    <xf numFmtId="0" fontId="20" fillId="3" borderId="15" xfId="101" applyFont="1" applyFill="1" applyBorder="1" applyAlignment="1">
      <alignment horizontal="centerContinuous" vertical="center"/>
    </xf>
    <xf numFmtId="0" fontId="20" fillId="0" borderId="0" xfId="101" applyFont="1" applyAlignment="1">
      <alignment horizontal="left" vertical="center"/>
    </xf>
    <xf numFmtId="0" fontId="20" fillId="0" borderId="16" xfId="101" quotePrefix="1" applyFont="1" applyBorder="1" applyAlignment="1">
      <alignment horizontal="centerContinuous" vertical="center"/>
    </xf>
    <xf numFmtId="177" fontId="20" fillId="0" borderId="17" xfId="101" applyNumberFormat="1" applyFont="1" applyBorder="1" applyAlignment="1">
      <alignment vertical="center"/>
    </xf>
    <xf numFmtId="177" fontId="20" fillId="0" borderId="0" xfId="101" applyNumberFormat="1" applyFont="1" applyAlignment="1">
      <alignment vertical="center"/>
    </xf>
    <xf numFmtId="0" fontId="20" fillId="0" borderId="18" xfId="101" quotePrefix="1" applyFont="1" applyBorder="1" applyAlignment="1">
      <alignment horizontal="centerContinuous" vertical="center"/>
    </xf>
    <xf numFmtId="177" fontId="20" fillId="0" borderId="19" xfId="101" applyNumberFormat="1" applyFont="1" applyBorder="1" applyAlignment="1">
      <alignment vertical="center"/>
    </xf>
    <xf numFmtId="177" fontId="20" fillId="0" borderId="20" xfId="101" applyNumberFormat="1" applyFont="1" applyBorder="1" applyAlignment="1">
      <alignment vertical="center"/>
    </xf>
    <xf numFmtId="0" fontId="20" fillId="0" borderId="0" xfId="101" quotePrefix="1" applyFont="1" applyAlignment="1">
      <alignment horizontal="left" vertical="center"/>
    </xf>
    <xf numFmtId="0" fontId="22" fillId="0" borderId="0" xfId="101" applyFont="1" applyAlignment="1">
      <alignment vertical="center"/>
    </xf>
    <xf numFmtId="176" fontId="20" fillId="0" borderId="0" xfId="73" applyFont="1" applyBorder="1" applyAlignment="1">
      <alignment vertical="center"/>
    </xf>
    <xf numFmtId="189" fontId="20" fillId="0" borderId="0" xfId="101" applyNumberFormat="1" applyFont="1" applyAlignment="1">
      <alignment horizontal="center" vertical="center"/>
    </xf>
    <xf numFmtId="3" fontId="20" fillId="0" borderId="0" xfId="101" applyNumberFormat="1" applyFont="1" applyAlignment="1">
      <alignment horizontal="distributed" vertical="center"/>
    </xf>
    <xf numFmtId="189" fontId="20" fillId="0" borderId="0" xfId="101" applyNumberFormat="1" applyFont="1" applyAlignment="1">
      <alignment vertical="center"/>
    </xf>
    <xf numFmtId="49" fontId="20" fillId="0" borderId="21" xfId="101" applyNumberFormat="1" applyFont="1" applyBorder="1" applyAlignment="1">
      <alignment horizontal="center" vertical="center"/>
    </xf>
    <xf numFmtId="0" fontId="20" fillId="0" borderId="7" xfId="101" applyFont="1" applyBorder="1" applyAlignment="1">
      <alignment vertical="center"/>
    </xf>
    <xf numFmtId="0" fontId="20" fillId="0" borderId="22" xfId="101" applyFont="1" applyBorder="1" applyAlignment="1">
      <alignment vertical="center"/>
    </xf>
    <xf numFmtId="0" fontId="20" fillId="0" borderId="0" xfId="101" quotePrefix="1" applyFont="1" applyAlignment="1">
      <alignment horizontal="right" vertical="center"/>
    </xf>
    <xf numFmtId="49" fontId="14" fillId="0" borderId="11" xfId="101" applyNumberFormat="1" applyFont="1" applyBorder="1" applyAlignment="1">
      <alignment horizontal="center" vertical="center"/>
    </xf>
    <xf numFmtId="0" fontId="14" fillId="0" borderId="0" xfId="101" applyFont="1" applyAlignment="1">
      <alignment horizontal="left" vertical="center"/>
    </xf>
    <xf numFmtId="0" fontId="14" fillId="0" borderId="12" xfId="101" applyFont="1" applyBorder="1" applyAlignment="1">
      <alignment vertical="center"/>
    </xf>
    <xf numFmtId="0" fontId="20" fillId="0" borderId="12" xfId="101" applyFont="1" applyBorder="1" applyAlignment="1">
      <alignment horizontal="left" vertical="center"/>
    </xf>
    <xf numFmtId="0" fontId="20" fillId="0" borderId="7" xfId="101" applyFont="1" applyBorder="1" applyAlignment="1">
      <alignment horizontal="left" vertical="center"/>
    </xf>
    <xf numFmtId="0" fontId="26" fillId="0" borderId="0" xfId="101" applyFont="1" applyAlignment="1">
      <alignment vertical="center"/>
    </xf>
    <xf numFmtId="0" fontId="27" fillId="0" borderId="0" xfId="101" applyFont="1" applyAlignment="1">
      <alignment vertical="center"/>
    </xf>
    <xf numFmtId="0" fontId="28" fillId="0" borderId="0" xfId="101" applyFont="1" applyAlignment="1">
      <alignment horizontal="right" vertical="center"/>
    </xf>
    <xf numFmtId="0" fontId="2" fillId="0" borderId="0" xfId="101"/>
    <xf numFmtId="0" fontId="29" fillId="0" borderId="0" xfId="101" applyFont="1" applyAlignment="1">
      <alignment vertical="center"/>
    </xf>
    <xf numFmtId="0" fontId="29" fillId="0" borderId="0" xfId="101" applyFont="1"/>
    <xf numFmtId="0" fontId="29" fillId="0" borderId="0" xfId="101" applyFont="1" applyAlignment="1">
      <alignment horizontal="right" vertical="center"/>
    </xf>
    <xf numFmtId="0" fontId="16" fillId="0" borderId="0" xfId="101" quotePrefix="1" applyFont="1" applyAlignment="1">
      <alignment horizontal="distributed" vertical="center"/>
    </xf>
    <xf numFmtId="0" fontId="16" fillId="0" borderId="0" xfId="101" applyFont="1" applyAlignment="1">
      <alignment horizontal="center" vertical="center"/>
    </xf>
    <xf numFmtId="0" fontId="16" fillId="0" borderId="0" xfId="101" applyFont="1" applyAlignment="1">
      <alignment horizontal="distributed" vertical="center"/>
    </xf>
    <xf numFmtId="49" fontId="16" fillId="0" borderId="0" xfId="101" quotePrefix="1" applyNumberFormat="1" applyFont="1" applyAlignment="1">
      <alignment horizontal="right" vertical="center"/>
    </xf>
    <xf numFmtId="49" fontId="16" fillId="0" borderId="0" xfId="101" applyNumberFormat="1" applyFont="1" applyAlignment="1">
      <alignment vertical="center"/>
    </xf>
    <xf numFmtId="0" fontId="16" fillId="0" borderId="0" xfId="101" applyFont="1" applyAlignment="1">
      <alignment horizontal="left" vertical="center"/>
    </xf>
    <xf numFmtId="0" fontId="16" fillId="0" borderId="0" xfId="101" quotePrefix="1" applyFont="1" applyAlignment="1">
      <alignment horizontal="left" vertical="center"/>
    </xf>
    <xf numFmtId="3" fontId="16" fillId="0" borderId="0" xfId="101" applyNumberFormat="1" applyFont="1" applyAlignment="1">
      <alignment vertical="center"/>
    </xf>
    <xf numFmtId="49" fontId="16" fillId="0" borderId="0" xfId="101" applyNumberFormat="1" applyFont="1" applyAlignment="1">
      <alignment horizontal="right" vertical="center"/>
    </xf>
    <xf numFmtId="3" fontId="16" fillId="0" borderId="0" xfId="101" applyNumberFormat="1" applyFont="1" applyAlignment="1">
      <alignment horizontal="left" vertical="center"/>
    </xf>
    <xf numFmtId="0" fontId="28" fillId="0" borderId="0" xfId="101" applyFont="1" applyAlignment="1">
      <alignment vertical="center"/>
    </xf>
    <xf numFmtId="0" fontId="0" fillId="0" borderId="0" xfId="0" applyAlignment="1">
      <alignment vertical="center"/>
    </xf>
    <xf numFmtId="0" fontId="29" fillId="0" borderId="0" xfId="101" applyFont="1" applyAlignment="1">
      <alignment horizontal="distributed" vertical="center"/>
    </xf>
    <xf numFmtId="0" fontId="30" fillId="0" borderId="0" xfId="101" applyFont="1" applyAlignment="1">
      <alignment vertical="center"/>
    </xf>
    <xf numFmtId="0" fontId="31" fillId="0" borderId="0" xfId="101" applyFont="1" applyAlignment="1">
      <alignment vertical="center"/>
    </xf>
    <xf numFmtId="0" fontId="32" fillId="2" borderId="23" xfId="100" applyFont="1" applyFill="1" applyBorder="1" applyAlignment="1">
      <alignment horizontal="center" vertical="center"/>
    </xf>
    <xf numFmtId="0" fontId="32" fillId="2" borderId="24" xfId="100" applyFont="1" applyFill="1" applyBorder="1" applyAlignment="1">
      <alignment horizontal="center" vertical="center"/>
    </xf>
    <xf numFmtId="0" fontId="33" fillId="2" borderId="25" xfId="100" applyFont="1" applyFill="1" applyBorder="1" applyAlignment="1">
      <alignment horizontal="centerContinuous" vertical="center"/>
    </xf>
    <xf numFmtId="0" fontId="33" fillId="2" borderId="5" xfId="100" applyFont="1" applyFill="1" applyBorder="1" applyAlignment="1">
      <alignment horizontal="center" vertical="center"/>
    </xf>
    <xf numFmtId="0" fontId="21" fillId="0" borderId="0" xfId="100" applyFont="1" applyAlignment="1">
      <alignment vertical="center"/>
    </xf>
    <xf numFmtId="0" fontId="32" fillId="2" borderId="26" xfId="100" applyFont="1" applyFill="1" applyBorder="1" applyAlignment="1">
      <alignment horizontal="center" vertical="center"/>
    </xf>
    <xf numFmtId="0" fontId="32" fillId="2" borderId="27" xfId="100" applyFont="1" applyFill="1" applyBorder="1" applyAlignment="1">
      <alignment horizontal="center" vertical="center"/>
    </xf>
    <xf numFmtId="0" fontId="33" fillId="2" borderId="29" xfId="100" applyFont="1" applyFill="1" applyBorder="1" applyAlignment="1">
      <alignment horizontal="centerContinuous" vertical="center" wrapText="1"/>
    </xf>
    <xf numFmtId="0" fontId="33" fillId="2" borderId="29" xfId="100" applyFont="1" applyFill="1" applyBorder="1" applyAlignment="1">
      <alignment horizontal="centerContinuous" vertical="center"/>
    </xf>
    <xf numFmtId="0" fontId="33" fillId="2" borderId="29" xfId="100" applyFont="1" applyFill="1" applyBorder="1" applyAlignment="1">
      <alignment horizontal="center" vertical="center"/>
    </xf>
    <xf numFmtId="0" fontId="33" fillId="2" borderId="6" xfId="100" applyFont="1" applyFill="1" applyBorder="1" applyAlignment="1">
      <alignment horizontal="center" vertical="center"/>
    </xf>
    <xf numFmtId="0" fontId="33" fillId="2" borderId="28" xfId="100" applyFont="1" applyFill="1" applyBorder="1" applyAlignment="1">
      <alignment horizontal="center" vertical="center"/>
    </xf>
    <xf numFmtId="0" fontId="32" fillId="2" borderId="30" xfId="100" applyFont="1" applyFill="1" applyBorder="1" applyAlignment="1">
      <alignment horizontal="center" vertical="center"/>
    </xf>
    <xf numFmtId="0" fontId="32" fillId="2" borderId="31" xfId="100" applyFont="1" applyFill="1" applyBorder="1" applyAlignment="1">
      <alignment horizontal="center" vertical="center"/>
    </xf>
    <xf numFmtId="0" fontId="33" fillId="2" borderId="31" xfId="100" applyFont="1" applyFill="1" applyBorder="1" applyAlignment="1">
      <alignment horizontal="center" vertical="center"/>
    </xf>
    <xf numFmtId="0" fontId="33" fillId="2" borderId="29" xfId="100" quotePrefix="1" applyFont="1" applyFill="1" applyBorder="1" applyAlignment="1">
      <alignment horizontal="center" vertical="center"/>
    </xf>
    <xf numFmtId="0" fontId="33" fillId="2" borderId="32" xfId="100" applyFont="1" applyFill="1" applyBorder="1" applyAlignment="1">
      <alignment horizontal="center" vertical="center"/>
    </xf>
    <xf numFmtId="0" fontId="32" fillId="2" borderId="29" xfId="100" applyFont="1" applyFill="1" applyBorder="1" applyAlignment="1">
      <alignment horizontal="center" vertical="center"/>
    </xf>
    <xf numFmtId="0" fontId="36" fillId="2" borderId="29" xfId="100" applyFont="1" applyFill="1" applyBorder="1" applyAlignment="1">
      <alignment horizontal="center" vertical="center"/>
    </xf>
    <xf numFmtId="177" fontId="32" fillId="2" borderId="29" xfId="71" applyNumberFormat="1" applyFont="1" applyFill="1" applyBorder="1" applyAlignment="1" applyProtection="1">
      <alignment horizontal="center" vertical="center"/>
    </xf>
    <xf numFmtId="177" fontId="32" fillId="2" borderId="29" xfId="71" applyNumberFormat="1" applyFont="1" applyFill="1" applyBorder="1" applyAlignment="1" applyProtection="1">
      <alignment horizontal="center" vertical="center" wrapText="1"/>
    </xf>
    <xf numFmtId="0" fontId="34" fillId="0" borderId="0" xfId="0" applyFont="1" applyAlignment="1">
      <alignment vertical="center"/>
    </xf>
    <xf numFmtId="0" fontId="35" fillId="0" borderId="33" xfId="0" applyFont="1" applyBorder="1" applyAlignment="1" applyProtection="1">
      <alignment horizontal="left" vertical="center"/>
      <protection locked="0"/>
    </xf>
    <xf numFmtId="0" fontId="36" fillId="2" borderId="28" xfId="100" applyFont="1" applyFill="1" applyBorder="1" applyAlignment="1">
      <alignment horizontal="center" vertical="center"/>
    </xf>
    <xf numFmtId="0" fontId="36" fillId="2" borderId="31" xfId="100" applyFont="1" applyFill="1" applyBorder="1" applyAlignment="1">
      <alignment horizontal="center" vertical="center"/>
    </xf>
    <xf numFmtId="177" fontId="35" fillId="2" borderId="29" xfId="71" applyNumberFormat="1" applyFont="1" applyFill="1" applyBorder="1" applyAlignment="1" applyProtection="1">
      <alignment horizontal="right" vertical="center"/>
    </xf>
    <xf numFmtId="177" fontId="35" fillId="0" borderId="33" xfId="71" applyNumberFormat="1" applyFont="1" applyBorder="1" applyAlignment="1" applyProtection="1">
      <alignment horizontal="right" vertical="center"/>
    </xf>
    <xf numFmtId="177" fontId="35" fillId="0" borderId="33" xfId="71" applyNumberFormat="1" applyFont="1" applyBorder="1" applyAlignment="1" applyProtection="1">
      <alignment horizontal="right" vertical="center"/>
      <protection locked="0"/>
    </xf>
    <xf numFmtId="180" fontId="35" fillId="2" borderId="29" xfId="71" applyNumberFormat="1" applyFont="1" applyFill="1" applyBorder="1" applyAlignment="1" applyProtection="1">
      <alignment horizontal="right" vertical="center"/>
    </xf>
    <xf numFmtId="177" fontId="35" fillId="2" borderId="29" xfId="71" quotePrefix="1" applyNumberFormat="1" applyFont="1" applyFill="1" applyBorder="1" applyAlignment="1" applyProtection="1">
      <alignment horizontal="right" vertical="center"/>
    </xf>
    <xf numFmtId="177" fontId="35" fillId="2" borderId="29" xfId="71" applyNumberFormat="1" applyFont="1" applyFill="1" applyBorder="1" applyAlignment="1" applyProtection="1">
      <alignment horizontal="right" vertical="center" wrapText="1"/>
    </xf>
    <xf numFmtId="177" fontId="35" fillId="2" borderId="29" xfId="71" quotePrefix="1" applyNumberFormat="1" applyFont="1" applyFill="1" applyBorder="1" applyAlignment="1" applyProtection="1">
      <alignment horizontal="right" vertical="center" wrapText="1"/>
    </xf>
    <xf numFmtId="177" fontId="35" fillId="2" borderId="31" xfId="71" applyNumberFormat="1" applyFont="1" applyFill="1" applyBorder="1" applyAlignment="1" applyProtection="1">
      <alignment horizontal="right" vertical="center"/>
    </xf>
    <xf numFmtId="177" fontId="35" fillId="4" borderId="29" xfId="71" applyNumberFormat="1" applyFont="1" applyFill="1" applyBorder="1" applyAlignment="1">
      <alignment horizontal="right" vertical="center"/>
    </xf>
    <xf numFmtId="10" fontId="35" fillId="4" borderId="33" xfId="62" applyNumberFormat="1" applyFont="1" applyFill="1" applyBorder="1" applyAlignment="1">
      <alignment horizontal="right" vertical="center"/>
    </xf>
    <xf numFmtId="183" fontId="35" fillId="0" borderId="33" xfId="0" applyNumberFormat="1" applyFont="1" applyBorder="1" applyAlignment="1" applyProtection="1">
      <alignment horizontal="right" vertical="center"/>
      <protection locked="0"/>
    </xf>
    <xf numFmtId="41" fontId="35" fillId="0" borderId="33" xfId="71" applyFont="1" applyBorder="1" applyAlignment="1" applyProtection="1">
      <alignment horizontal="right" vertical="center"/>
      <protection locked="0"/>
    </xf>
    <xf numFmtId="177" fontId="35" fillId="0" borderId="33" xfId="71" quotePrefix="1" applyNumberFormat="1" applyFont="1" applyBorder="1" applyAlignment="1" applyProtection="1">
      <alignment horizontal="right" vertical="center"/>
      <protection locked="0"/>
    </xf>
    <xf numFmtId="0" fontId="6" fillId="2" borderId="28" xfId="100" applyFont="1" applyFill="1" applyBorder="1" applyAlignment="1">
      <alignment horizontal="center" vertical="center"/>
    </xf>
    <xf numFmtId="0" fontId="6" fillId="2" borderId="31" xfId="100" applyFont="1" applyFill="1" applyBorder="1" applyAlignment="1">
      <alignment horizontal="center" vertical="center"/>
    </xf>
    <xf numFmtId="0" fontId="36" fillId="2" borderId="5" xfId="100" applyFont="1" applyFill="1" applyBorder="1" applyAlignment="1">
      <alignment horizontal="center" vertical="center"/>
    </xf>
    <xf numFmtId="0" fontId="36" fillId="2" borderId="25" xfId="100" applyFont="1" applyFill="1" applyBorder="1" applyAlignment="1">
      <alignment horizontal="centerContinuous" vertical="center"/>
    </xf>
    <xf numFmtId="178" fontId="36" fillId="2" borderId="25" xfId="100" applyNumberFormat="1" applyFont="1" applyFill="1" applyBorder="1" applyAlignment="1">
      <alignment horizontal="centerContinuous" vertical="center"/>
    </xf>
    <xf numFmtId="0" fontId="36" fillId="2" borderId="6" xfId="100" applyFont="1" applyFill="1" applyBorder="1" applyAlignment="1">
      <alignment horizontal="center" vertical="center"/>
    </xf>
    <xf numFmtId="0" fontId="36" fillId="2" borderId="29" xfId="100" quotePrefix="1" applyFont="1" applyFill="1" applyBorder="1" applyAlignment="1">
      <alignment horizontal="center" vertical="center" wrapText="1"/>
    </xf>
    <xf numFmtId="0" fontId="36" fillId="2" borderId="29" xfId="100" applyFont="1" applyFill="1" applyBorder="1" applyAlignment="1">
      <alignment horizontal="center" vertical="center" wrapText="1"/>
    </xf>
    <xf numFmtId="0" fontId="36" fillId="2" borderId="29" xfId="100" applyFont="1" applyFill="1" applyBorder="1" applyAlignment="1">
      <alignment horizontal="centerContinuous" vertical="center" wrapText="1"/>
    </xf>
    <xf numFmtId="0" fontId="36" fillId="2" borderId="29" xfId="100" applyFont="1" applyFill="1" applyBorder="1" applyAlignment="1">
      <alignment horizontal="centerContinuous" vertical="center"/>
    </xf>
    <xf numFmtId="0" fontId="36" fillId="2" borderId="29" xfId="100" quotePrefix="1" applyFont="1" applyFill="1" applyBorder="1" applyAlignment="1">
      <alignment horizontal="center" vertical="center"/>
    </xf>
    <xf numFmtId="0" fontId="35" fillId="2" borderId="23" xfId="100" applyFont="1" applyFill="1" applyBorder="1" applyAlignment="1">
      <alignment horizontal="center" vertical="center"/>
    </xf>
    <xf numFmtId="0" fontId="35" fillId="2" borderId="26" xfId="100" applyFont="1" applyFill="1" applyBorder="1" applyAlignment="1">
      <alignment horizontal="center" vertical="center"/>
    </xf>
    <xf numFmtId="0" fontId="35" fillId="2" borderId="30" xfId="100" applyFont="1" applyFill="1" applyBorder="1" applyAlignment="1">
      <alignment horizontal="center" vertical="center"/>
    </xf>
    <xf numFmtId="0" fontId="6" fillId="2" borderId="34" xfId="100" applyFont="1" applyFill="1" applyBorder="1" applyAlignment="1">
      <alignment horizontal="center" vertical="center"/>
    </xf>
    <xf numFmtId="0" fontId="35" fillId="0" borderId="35" xfId="100" applyFont="1" applyBorder="1" applyAlignment="1">
      <alignment horizontal="center" vertical="center"/>
    </xf>
    <xf numFmtId="0" fontId="35" fillId="0" borderId="36" xfId="100" applyFont="1" applyBorder="1" applyAlignment="1">
      <alignment horizontal="center" vertical="center"/>
    </xf>
    <xf numFmtId="0" fontId="35" fillId="0" borderId="1" xfId="0" applyFont="1" applyBorder="1" applyAlignment="1" applyProtection="1">
      <alignment horizontal="left" vertical="center"/>
      <protection locked="0"/>
    </xf>
    <xf numFmtId="183" fontId="35" fillId="0" borderId="1" xfId="0" applyNumberFormat="1" applyFont="1" applyBorder="1" applyAlignment="1" applyProtection="1">
      <alignment horizontal="right" vertical="center"/>
      <protection locked="0"/>
    </xf>
    <xf numFmtId="41" fontId="35" fillId="0" borderId="1" xfId="71" applyFont="1" applyBorder="1" applyAlignment="1" applyProtection="1">
      <alignment horizontal="right" vertical="center"/>
      <protection locked="0"/>
    </xf>
    <xf numFmtId="177" fontId="35" fillId="0" borderId="1" xfId="71" quotePrefix="1" applyNumberFormat="1" applyFont="1" applyBorder="1" applyAlignment="1" applyProtection="1">
      <alignment horizontal="right" vertical="center"/>
      <protection locked="0"/>
    </xf>
    <xf numFmtId="177" fontId="35" fillId="0" borderId="1" xfId="71" applyNumberFormat="1" applyFont="1" applyBorder="1" applyAlignment="1" applyProtection="1">
      <alignment horizontal="right" vertical="center"/>
      <protection locked="0"/>
    </xf>
    <xf numFmtId="177" fontId="35" fillId="0" borderId="1" xfId="71" applyNumberFormat="1" applyFont="1" applyBorder="1" applyAlignment="1" applyProtection="1">
      <alignment horizontal="right" vertical="center"/>
    </xf>
    <xf numFmtId="0" fontId="35" fillId="5" borderId="33" xfId="100" applyFont="1" applyFill="1" applyBorder="1" applyAlignment="1">
      <alignment horizontal="center" vertical="center"/>
    </xf>
    <xf numFmtId="0" fontId="35" fillId="5" borderId="1" xfId="100" applyFont="1" applyFill="1" applyBorder="1" applyAlignment="1">
      <alignment horizontal="center" vertical="center"/>
    </xf>
    <xf numFmtId="0" fontId="35" fillId="5" borderId="37" xfId="100" applyFont="1" applyFill="1" applyBorder="1" applyAlignment="1">
      <alignment horizontal="center" vertical="center"/>
    </xf>
    <xf numFmtId="0" fontId="20" fillId="0" borderId="38" xfId="101" applyFont="1" applyBorder="1" applyAlignment="1">
      <alignment horizontal="centerContinuous" vertical="center"/>
    </xf>
    <xf numFmtId="0" fontId="32" fillId="0" borderId="1" xfId="0" applyFont="1" applyBorder="1" applyAlignment="1" applyProtection="1">
      <alignment horizontal="left" vertical="center"/>
      <protection locked="0"/>
    </xf>
    <xf numFmtId="41" fontId="32" fillId="0" borderId="1" xfId="71" applyFont="1" applyFill="1" applyBorder="1" applyAlignment="1" applyProtection="1">
      <alignment horizontal="center" vertical="center"/>
      <protection locked="0"/>
    </xf>
    <xf numFmtId="177" fontId="32" fillId="0" borderId="1" xfId="71" quotePrefix="1" applyNumberFormat="1" applyFont="1" applyFill="1" applyBorder="1" applyAlignment="1" applyProtection="1">
      <alignment vertical="center"/>
      <protection locked="0"/>
    </xf>
    <xf numFmtId="177" fontId="32" fillId="0" borderId="1" xfId="71" applyNumberFormat="1" applyFont="1" applyFill="1" applyBorder="1" applyAlignment="1" applyProtection="1">
      <alignment vertical="center"/>
      <protection locked="0"/>
    </xf>
    <xf numFmtId="177" fontId="32" fillId="0" borderId="1" xfId="71" applyNumberFormat="1" applyFont="1" applyFill="1" applyBorder="1" applyAlignment="1" applyProtection="1">
      <alignment vertical="center"/>
    </xf>
    <xf numFmtId="180" fontId="32" fillId="0" borderId="1" xfId="71" applyNumberFormat="1" applyFont="1" applyFill="1" applyBorder="1" applyAlignment="1">
      <alignment vertical="center"/>
    </xf>
    <xf numFmtId="177" fontId="32" fillId="0" borderId="1" xfId="71" applyNumberFormat="1" applyFont="1" applyFill="1" applyBorder="1" applyAlignment="1">
      <alignment vertical="center"/>
    </xf>
    <xf numFmtId="193" fontId="6" fillId="2" borderId="39" xfId="100" applyNumberFormat="1" applyFont="1" applyFill="1" applyBorder="1" applyAlignment="1">
      <alignment horizontal="center" vertical="center"/>
    </xf>
    <xf numFmtId="196" fontId="32" fillId="2" borderId="32" xfId="100" applyNumberFormat="1" applyFont="1" applyFill="1" applyBorder="1" applyAlignment="1">
      <alignment horizontal="center" vertical="center"/>
    </xf>
    <xf numFmtId="177" fontId="20" fillId="3" borderId="40" xfId="101" applyNumberFormat="1" applyFont="1" applyFill="1" applyBorder="1" applyAlignment="1">
      <alignment vertical="center"/>
    </xf>
    <xf numFmtId="197" fontId="20" fillId="0" borderId="41" xfId="71" applyNumberFormat="1" applyFont="1" applyBorder="1" applyAlignment="1">
      <alignment horizontal="right" vertical="center"/>
    </xf>
    <xf numFmtId="197" fontId="20" fillId="0" borderId="19" xfId="71" applyNumberFormat="1" applyFont="1" applyBorder="1" applyAlignment="1">
      <alignment horizontal="right" vertical="center"/>
    </xf>
    <xf numFmtId="197" fontId="20" fillId="3" borderId="40" xfId="71" applyNumberFormat="1" applyFont="1" applyFill="1" applyBorder="1" applyAlignment="1">
      <alignment horizontal="right" vertical="center"/>
    </xf>
    <xf numFmtId="0" fontId="6" fillId="0" borderId="0" xfId="100" applyFont="1" applyAlignment="1">
      <alignment vertical="center"/>
    </xf>
    <xf numFmtId="177" fontId="6" fillId="0" borderId="33" xfId="71" applyNumberFormat="1" applyFont="1" applyFill="1" applyBorder="1" applyAlignment="1" applyProtection="1">
      <alignment vertical="center"/>
      <protection locked="0"/>
    </xf>
    <xf numFmtId="0" fontId="6" fillId="5" borderId="1" xfId="100" applyFont="1" applyFill="1" applyBorder="1" applyAlignment="1">
      <alignment horizontal="center" vertical="center"/>
    </xf>
    <xf numFmtId="0" fontId="6" fillId="0" borderId="26" xfId="100" applyFont="1" applyBorder="1" applyAlignment="1">
      <alignment horizontal="center" vertical="center"/>
    </xf>
    <xf numFmtId="0" fontId="6" fillId="0" borderId="42" xfId="100" applyFont="1" applyBorder="1" applyAlignment="1" applyProtection="1">
      <alignment horizontal="left" vertical="center"/>
      <protection locked="0"/>
    </xf>
    <xf numFmtId="177" fontId="6" fillId="0" borderId="37" xfId="71" applyNumberFormat="1" applyFont="1" applyFill="1" applyBorder="1" applyAlignment="1" applyProtection="1">
      <alignment vertical="center"/>
      <protection locked="0"/>
    </xf>
    <xf numFmtId="0" fontId="6" fillId="0" borderId="43" xfId="100" applyFont="1" applyBorder="1" applyAlignment="1">
      <alignment horizontal="centerContinuous" vertical="center"/>
    </xf>
    <xf numFmtId="0" fontId="6" fillId="0" borderId="44" xfId="100" applyFont="1" applyBorder="1" applyAlignment="1">
      <alignment horizontal="center" vertical="center"/>
    </xf>
    <xf numFmtId="0" fontId="6" fillId="0" borderId="37" xfId="100" applyFont="1" applyBorder="1" applyAlignment="1" applyProtection="1">
      <alignment horizontal="left" vertical="center"/>
      <protection locked="0"/>
    </xf>
    <xf numFmtId="183" fontId="6" fillId="0" borderId="37" xfId="0" applyNumberFormat="1" applyFont="1" applyBorder="1" applyAlignment="1" applyProtection="1">
      <alignment vertical="center"/>
      <protection locked="0"/>
    </xf>
    <xf numFmtId="41" fontId="6" fillId="0" borderId="37" xfId="71" applyFont="1" applyBorder="1" applyAlignment="1" applyProtection="1">
      <alignment horizontal="center" vertical="center"/>
      <protection locked="0"/>
    </xf>
    <xf numFmtId="0" fontId="38" fillId="0" borderId="0" xfId="100" applyFont="1" applyAlignment="1">
      <alignment horizontal="centerContinuous" vertical="center"/>
    </xf>
    <xf numFmtId="0" fontId="5" fillId="0" borderId="0" xfId="100" applyFont="1" applyAlignment="1">
      <alignment horizontal="center" vertical="center"/>
    </xf>
    <xf numFmtId="0" fontId="32" fillId="2" borderId="6" xfId="100" applyFont="1" applyFill="1" applyBorder="1" applyAlignment="1">
      <alignment horizontal="center" vertical="center"/>
    </xf>
    <xf numFmtId="198" fontId="6" fillId="2" borderId="6" xfId="71" applyNumberFormat="1" applyFont="1" applyFill="1" applyBorder="1" applyAlignment="1" applyProtection="1">
      <alignment horizontal="center" vertical="center"/>
    </xf>
    <xf numFmtId="198" fontId="6" fillId="2" borderId="31" xfId="71" applyNumberFormat="1" applyFont="1" applyFill="1" applyBorder="1" applyAlignment="1" applyProtection="1">
      <alignment horizontal="right" vertical="center"/>
    </xf>
    <xf numFmtId="0" fontId="6" fillId="2" borderId="45" xfId="100" applyFont="1" applyFill="1" applyBorder="1" applyAlignment="1">
      <alignment horizontal="centerContinuous" vertical="center"/>
    </xf>
    <xf numFmtId="198" fontId="32" fillId="2" borderId="46" xfId="71" applyNumberFormat="1" applyFont="1" applyFill="1" applyBorder="1" applyAlignment="1" applyProtection="1">
      <alignment horizontal="centerContinuous" vertical="center"/>
    </xf>
    <xf numFmtId="198" fontId="32" fillId="2" borderId="24" xfId="71" applyNumberFormat="1" applyFont="1" applyFill="1" applyBorder="1" applyAlignment="1" applyProtection="1">
      <alignment horizontal="centerContinuous" vertical="center"/>
    </xf>
    <xf numFmtId="0" fontId="32" fillId="2" borderId="45" xfId="100" applyFont="1" applyFill="1" applyBorder="1" applyAlignment="1">
      <alignment horizontal="centerContinuous" vertical="center"/>
    </xf>
    <xf numFmtId="198" fontId="32" fillId="2" borderId="6" xfId="71" applyNumberFormat="1" applyFont="1" applyFill="1" applyBorder="1" applyAlignment="1" applyProtection="1">
      <alignment horizontal="center" vertical="center"/>
    </xf>
    <xf numFmtId="198" fontId="32" fillId="2" borderId="31" xfId="71" applyNumberFormat="1" applyFont="1" applyFill="1" applyBorder="1" applyAlignment="1" applyProtection="1">
      <alignment horizontal="right" vertical="center"/>
    </xf>
    <xf numFmtId="0" fontId="20" fillId="0" borderId="47" xfId="101" applyFont="1" applyBorder="1" applyAlignment="1">
      <alignment horizontal="centerContinuous" vertical="center"/>
    </xf>
    <xf numFmtId="187" fontId="20" fillId="0" borderId="48" xfId="101" applyNumberFormat="1" applyFont="1" applyBorder="1" applyAlignment="1">
      <alignment horizontal="center" vertical="center"/>
    </xf>
    <xf numFmtId="187" fontId="20" fillId="0" borderId="49" xfId="101" applyNumberFormat="1" applyFont="1" applyBorder="1" applyAlignment="1">
      <alignment horizontal="center" vertical="center"/>
    </xf>
    <xf numFmtId="197" fontId="20" fillId="0" borderId="50" xfId="71" applyNumberFormat="1" applyFont="1" applyBorder="1" applyAlignment="1">
      <alignment horizontal="right" vertical="center"/>
    </xf>
    <xf numFmtId="177" fontId="20" fillId="0" borderId="50" xfId="101" applyNumberFormat="1" applyFont="1" applyBorder="1" applyAlignment="1">
      <alignment vertical="center"/>
    </xf>
    <xf numFmtId="177" fontId="20" fillId="0" borderId="51" xfId="101" applyNumberFormat="1" applyFont="1" applyBorder="1" applyAlignment="1">
      <alignment vertical="center"/>
    </xf>
    <xf numFmtId="0" fontId="20" fillId="0" borderId="52" xfId="101" quotePrefix="1" applyFont="1" applyBorder="1" applyAlignment="1">
      <alignment horizontal="centerContinuous" vertical="center"/>
    </xf>
    <xf numFmtId="0" fontId="20" fillId="0" borderId="53" xfId="101" quotePrefix="1" applyFont="1" applyBorder="1" applyAlignment="1">
      <alignment horizontal="centerContinuous" vertical="center"/>
    </xf>
    <xf numFmtId="187" fontId="20" fillId="3" borderId="54" xfId="101" applyNumberFormat="1" applyFont="1" applyFill="1" applyBorder="1" applyAlignment="1">
      <alignment horizontal="center" vertical="center"/>
    </xf>
    <xf numFmtId="177" fontId="20" fillId="3" borderId="55" xfId="101" applyNumberFormat="1" applyFont="1" applyFill="1" applyBorder="1" applyAlignment="1">
      <alignment vertical="center"/>
    </xf>
    <xf numFmtId="0" fontId="20" fillId="0" borderId="56" xfId="101" quotePrefix="1" applyFont="1" applyBorder="1" applyAlignment="1">
      <alignment horizontal="centerContinuous" vertical="center"/>
    </xf>
    <xf numFmtId="187" fontId="20" fillId="0" borderId="56" xfId="101" applyNumberFormat="1" applyFont="1" applyBorder="1" applyAlignment="1">
      <alignment horizontal="center" vertical="center"/>
    </xf>
    <xf numFmtId="197" fontId="20" fillId="0" borderId="56" xfId="71" applyNumberFormat="1" applyFont="1" applyFill="1" applyBorder="1" applyAlignment="1">
      <alignment horizontal="right" vertical="center"/>
    </xf>
    <xf numFmtId="177" fontId="20" fillId="0" borderId="56" xfId="101" applyNumberFormat="1" applyFont="1" applyBorder="1" applyAlignment="1">
      <alignment vertical="center"/>
    </xf>
    <xf numFmtId="184" fontId="20" fillId="0" borderId="0" xfId="74" applyNumberFormat="1" applyFont="1" applyFill="1" applyBorder="1" applyAlignment="1">
      <alignment vertical="center"/>
    </xf>
    <xf numFmtId="0" fontId="20" fillId="0" borderId="0" xfId="74" applyFont="1" applyFill="1" applyBorder="1" applyAlignment="1">
      <alignment vertical="center"/>
    </xf>
    <xf numFmtId="187" fontId="20" fillId="0" borderId="57" xfId="101" applyNumberFormat="1" applyFont="1" applyBorder="1" applyAlignment="1">
      <alignment horizontal="left" vertical="center"/>
    </xf>
    <xf numFmtId="187" fontId="20" fillId="0" borderId="58" xfId="101" applyNumberFormat="1" applyFont="1" applyBorder="1" applyAlignment="1">
      <alignment horizontal="left" vertical="center"/>
    </xf>
    <xf numFmtId="0" fontId="20" fillId="0" borderId="47" xfId="101" applyFont="1" applyBorder="1" applyAlignment="1">
      <alignment horizontal="center" vertical="center"/>
    </xf>
    <xf numFmtId="0" fontId="20" fillId="0" borderId="59" xfId="101" applyFont="1" applyBorder="1" applyAlignment="1">
      <alignment horizontal="centerContinuous" vertical="center"/>
    </xf>
    <xf numFmtId="0" fontId="20" fillId="0" borderId="60" xfId="101" quotePrefix="1" applyFont="1" applyBorder="1" applyAlignment="1">
      <alignment horizontal="centerContinuous" vertical="center"/>
    </xf>
    <xf numFmtId="0" fontId="20" fillId="0" borderId="0" xfId="101" applyFont="1" applyAlignment="1">
      <alignment horizontal="centerContinuous" vertical="center"/>
    </xf>
    <xf numFmtId="197" fontId="20" fillId="0" borderId="0" xfId="71" applyNumberFormat="1" applyFont="1" applyFill="1" applyBorder="1" applyAlignment="1">
      <alignment horizontal="right" vertical="center"/>
    </xf>
    <xf numFmtId="198" fontId="20" fillId="0" borderId="0" xfId="71" applyNumberFormat="1" applyFont="1" applyFill="1" applyBorder="1" applyAlignment="1">
      <alignment vertical="center"/>
    </xf>
    <xf numFmtId="197" fontId="20" fillId="3" borderId="14" xfId="71" applyNumberFormat="1" applyFont="1" applyFill="1" applyBorder="1" applyAlignment="1">
      <alignment horizontal="right" vertical="center"/>
    </xf>
    <xf numFmtId="3" fontId="20" fillId="3" borderId="15" xfId="101" applyNumberFormat="1" applyFont="1" applyFill="1" applyBorder="1" applyAlignment="1">
      <alignment vertical="center"/>
    </xf>
    <xf numFmtId="191" fontId="20" fillId="0" borderId="0" xfId="101" applyNumberFormat="1" applyFont="1" applyAlignment="1">
      <alignment horizontal="centerContinuous" vertical="center" wrapText="1"/>
    </xf>
    <xf numFmtId="183" fontId="20" fillId="0" borderId="0" xfId="101" applyNumberFormat="1" applyFont="1" applyAlignment="1">
      <alignment vertical="center"/>
    </xf>
    <xf numFmtId="0" fontId="33" fillId="0" borderId="0" xfId="100" applyFont="1" applyAlignment="1">
      <alignment vertical="center"/>
    </xf>
    <xf numFmtId="0" fontId="37" fillId="0" borderId="0" xfId="100" applyFont="1" applyAlignment="1">
      <alignment vertical="center"/>
    </xf>
    <xf numFmtId="0" fontId="11" fillId="0" borderId="0" xfId="100" applyFont="1" applyAlignment="1">
      <alignment horizontal="left" vertical="center"/>
    </xf>
    <xf numFmtId="177" fontId="5" fillId="0" borderId="0" xfId="100" applyNumberFormat="1" applyFont="1" applyAlignment="1">
      <alignment vertical="center"/>
    </xf>
    <xf numFmtId="199" fontId="37" fillId="0" borderId="0" xfId="70" applyNumberFormat="1" applyFont="1" applyAlignment="1">
      <alignment vertical="center"/>
    </xf>
    <xf numFmtId="199" fontId="37" fillId="0" borderId="0" xfId="70" applyNumberFormat="1" applyFont="1" applyBorder="1" applyAlignment="1">
      <alignment vertical="center"/>
    </xf>
    <xf numFmtId="0" fontId="20" fillId="0" borderId="7" xfId="101" applyFont="1" applyBorder="1" applyAlignment="1">
      <alignment horizontal="distributed" vertical="center"/>
    </xf>
    <xf numFmtId="0" fontId="20" fillId="0" borderId="7" xfId="101" applyFont="1" applyBorder="1" applyAlignment="1">
      <alignment horizontal="center" vertical="center"/>
    </xf>
    <xf numFmtId="176" fontId="20" fillId="0" borderId="7" xfId="73" applyFont="1" applyBorder="1" applyAlignment="1">
      <alignment vertical="center"/>
    </xf>
    <xf numFmtId="3" fontId="20" fillId="0" borderId="7" xfId="101" applyNumberFormat="1" applyFont="1" applyBorder="1" applyAlignment="1">
      <alignment vertical="center"/>
    </xf>
    <xf numFmtId="0" fontId="6" fillId="0" borderId="33" xfId="100" applyFont="1" applyBorder="1" applyAlignment="1" applyProtection="1">
      <alignment horizontal="left" vertical="center"/>
      <protection locked="0"/>
    </xf>
    <xf numFmtId="183" fontId="6" fillId="0" borderId="33" xfId="0" applyNumberFormat="1" applyFont="1" applyBorder="1" applyAlignment="1" applyProtection="1">
      <alignment vertical="center"/>
      <protection locked="0"/>
    </xf>
    <xf numFmtId="41" fontId="6" fillId="0" borderId="33" xfId="71" applyFont="1" applyFill="1" applyBorder="1" applyAlignment="1" applyProtection="1">
      <alignment horizontal="center" vertical="center"/>
      <protection locked="0"/>
    </xf>
    <xf numFmtId="177" fontId="6" fillId="0" borderId="33" xfId="71" applyNumberFormat="1" applyFont="1" applyFill="1" applyBorder="1" applyAlignment="1" applyProtection="1">
      <alignment vertical="center"/>
    </xf>
    <xf numFmtId="177" fontId="6" fillId="0" borderId="61" xfId="71" applyNumberFormat="1" applyFont="1" applyFill="1" applyBorder="1" applyAlignment="1">
      <alignment vertical="center"/>
    </xf>
    <xf numFmtId="183" fontId="6" fillId="0" borderId="1" xfId="0" applyNumberFormat="1" applyFont="1" applyBorder="1" applyAlignment="1" applyProtection="1">
      <alignment vertical="center"/>
      <protection locked="0"/>
    </xf>
    <xf numFmtId="10" fontId="6" fillId="0" borderId="1" xfId="62" applyNumberFormat="1" applyFont="1" applyBorder="1" applyAlignment="1">
      <alignment horizontal="right" vertical="center"/>
    </xf>
    <xf numFmtId="183" fontId="6" fillId="0" borderId="28" xfId="0" applyNumberFormat="1" applyFont="1" applyBorder="1" applyAlignment="1" applyProtection="1">
      <alignment vertical="center"/>
      <protection locked="0"/>
    </xf>
    <xf numFmtId="177" fontId="6" fillId="0" borderId="28" xfId="71" applyNumberFormat="1" applyFont="1" applyBorder="1" applyAlignment="1" applyProtection="1">
      <alignment vertical="center"/>
    </xf>
    <xf numFmtId="177" fontId="6" fillId="0" borderId="62" xfId="71" applyNumberFormat="1" applyFont="1" applyBorder="1" applyAlignment="1">
      <alignment vertical="center"/>
    </xf>
    <xf numFmtId="0" fontId="35" fillId="0" borderId="42" xfId="0" applyFont="1" applyBorder="1" applyAlignment="1" applyProtection="1">
      <alignment horizontal="left" vertical="center"/>
      <protection locked="0"/>
    </xf>
    <xf numFmtId="198" fontId="20" fillId="3" borderId="14" xfId="71" applyNumberFormat="1" applyFont="1" applyFill="1" applyBorder="1" applyAlignment="1">
      <alignment vertical="center"/>
    </xf>
    <xf numFmtId="49" fontId="20" fillId="0" borderId="11" xfId="101" applyNumberFormat="1" applyFont="1" applyBorder="1" applyAlignment="1">
      <alignment horizontal="left" vertical="center"/>
    </xf>
    <xf numFmtId="41" fontId="20" fillId="0" borderId="0" xfId="71" applyFont="1" applyBorder="1" applyAlignment="1">
      <alignment vertical="center"/>
    </xf>
    <xf numFmtId="0" fontId="6" fillId="0" borderId="63" xfId="100" applyFont="1" applyBorder="1" applyAlignment="1" applyProtection="1">
      <alignment horizontal="left" vertical="center"/>
      <protection locked="0"/>
    </xf>
    <xf numFmtId="183" fontId="6" fillId="0" borderId="63" xfId="0" applyNumberFormat="1" applyFont="1" applyBorder="1" applyAlignment="1" applyProtection="1">
      <alignment vertical="center"/>
      <protection locked="0"/>
    </xf>
    <xf numFmtId="41" fontId="6" fillId="0" borderId="63" xfId="71" applyFont="1" applyFill="1" applyBorder="1" applyAlignment="1" applyProtection="1">
      <alignment horizontal="center" vertical="center"/>
      <protection locked="0"/>
    </xf>
    <xf numFmtId="177" fontId="6" fillId="0" borderId="0" xfId="100" applyNumberFormat="1" applyFont="1" applyAlignment="1">
      <alignment vertical="center"/>
    </xf>
    <xf numFmtId="41" fontId="6" fillId="0" borderId="28" xfId="71" applyFont="1" applyBorder="1" applyAlignment="1" applyProtection="1">
      <alignment vertical="center"/>
      <protection locked="0"/>
    </xf>
    <xf numFmtId="0" fontId="39" fillId="0" borderId="0" xfId="100" applyFont="1" applyAlignment="1">
      <alignment vertical="center"/>
    </xf>
    <xf numFmtId="0" fontId="20" fillId="0" borderId="48" xfId="101" applyFont="1" applyBorder="1" applyAlignment="1">
      <alignment horizontal="center" vertical="center"/>
    </xf>
    <xf numFmtId="197" fontId="20" fillId="6" borderId="19" xfId="71" applyNumberFormat="1" applyFont="1" applyFill="1" applyBorder="1" applyAlignment="1">
      <alignment horizontal="right" vertical="center"/>
    </xf>
    <xf numFmtId="0" fontId="35" fillId="7" borderId="23" xfId="100" applyFont="1" applyFill="1" applyBorder="1" applyAlignment="1">
      <alignment horizontal="center" vertical="center"/>
    </xf>
    <xf numFmtId="0" fontId="6" fillId="7" borderId="5" xfId="100" applyFont="1" applyFill="1" applyBorder="1" applyAlignment="1">
      <alignment horizontal="center" vertical="center"/>
    </xf>
    <xf numFmtId="0" fontId="6" fillId="7" borderId="45" xfId="100" applyFont="1" applyFill="1" applyBorder="1" applyAlignment="1">
      <alignment horizontal="centerContinuous" vertical="center"/>
    </xf>
    <xf numFmtId="0" fontId="36" fillId="7" borderId="5" xfId="100" applyFont="1" applyFill="1" applyBorder="1" applyAlignment="1">
      <alignment horizontal="center" vertical="center"/>
    </xf>
    <xf numFmtId="178" fontId="36" fillId="7" borderId="5" xfId="100" applyNumberFormat="1" applyFont="1" applyFill="1" applyBorder="1" applyAlignment="1">
      <alignment horizontal="centerContinuous" vertical="center"/>
    </xf>
    <xf numFmtId="0" fontId="35" fillId="7" borderId="26" xfId="100" applyFont="1" applyFill="1" applyBorder="1" applyAlignment="1">
      <alignment horizontal="center" vertical="center"/>
    </xf>
    <xf numFmtId="0" fontId="6" fillId="7" borderId="6" xfId="100" applyFont="1" applyFill="1" applyBorder="1" applyAlignment="1">
      <alignment horizontal="center" vertical="center"/>
    </xf>
    <xf numFmtId="198" fontId="6" fillId="7" borderId="6" xfId="71" applyNumberFormat="1" applyFont="1" applyFill="1" applyBorder="1" applyAlignment="1" applyProtection="1">
      <alignment horizontal="center" vertical="center"/>
    </xf>
    <xf numFmtId="0" fontId="36" fillId="7" borderId="6" xfId="100" applyFont="1" applyFill="1" applyBorder="1" applyAlignment="1">
      <alignment horizontal="center" vertical="center"/>
    </xf>
    <xf numFmtId="0" fontId="6" fillId="7" borderId="28" xfId="100" applyFont="1" applyFill="1" applyBorder="1" applyAlignment="1">
      <alignment horizontal="center" vertical="center"/>
    </xf>
    <xf numFmtId="0" fontId="35" fillId="7" borderId="30" xfId="100" applyFont="1" applyFill="1" applyBorder="1" applyAlignment="1">
      <alignment horizontal="center" vertical="center"/>
    </xf>
    <xf numFmtId="0" fontId="6" fillId="7" borderId="31" xfId="100" applyFont="1" applyFill="1" applyBorder="1" applyAlignment="1">
      <alignment horizontal="center" vertical="center"/>
    </xf>
    <xf numFmtId="198" fontId="6" fillId="7" borderId="31" xfId="71" applyNumberFormat="1" applyFont="1" applyFill="1" applyBorder="1" applyAlignment="1" applyProtection="1">
      <alignment horizontal="right" vertical="center"/>
    </xf>
    <xf numFmtId="0" fontId="36" fillId="7" borderId="31" xfId="100" applyFont="1" applyFill="1" applyBorder="1" applyAlignment="1">
      <alignment horizontal="center" vertical="center"/>
    </xf>
    <xf numFmtId="0" fontId="6" fillId="7" borderId="34" xfId="100" applyFont="1" applyFill="1" applyBorder="1" applyAlignment="1">
      <alignment horizontal="center" vertical="center"/>
    </xf>
    <xf numFmtId="193" fontId="6" fillId="7" borderId="39" xfId="100" applyNumberFormat="1" applyFont="1" applyFill="1" applyBorder="1" applyAlignment="1">
      <alignment horizontal="center" vertical="center"/>
    </xf>
    <xf numFmtId="180" fontId="6" fillId="7" borderId="29" xfId="71" applyNumberFormat="1" applyFont="1" applyFill="1" applyBorder="1" applyAlignment="1" applyProtection="1">
      <alignment horizontal="right" vertical="center"/>
    </xf>
    <xf numFmtId="177" fontId="6" fillId="7" borderId="29" xfId="71" applyNumberFormat="1" applyFont="1" applyFill="1" applyBorder="1" applyAlignment="1" applyProtection="1">
      <alignment horizontal="right" vertical="center"/>
    </xf>
    <xf numFmtId="180" fontId="6" fillId="7" borderId="33" xfId="71" applyNumberFormat="1" applyFont="1" applyFill="1" applyBorder="1" applyAlignment="1">
      <alignment vertical="center"/>
    </xf>
    <xf numFmtId="10" fontId="6" fillId="7" borderId="33" xfId="62" applyNumberFormat="1" applyFont="1" applyFill="1" applyBorder="1" applyAlignment="1">
      <alignment vertical="center"/>
    </xf>
    <xf numFmtId="177" fontId="6" fillId="7" borderId="64" xfId="71" applyNumberFormat="1" applyFont="1" applyFill="1" applyBorder="1" applyAlignment="1">
      <alignment horizontal="center" vertical="center"/>
    </xf>
    <xf numFmtId="0" fontId="36" fillId="7" borderId="29" xfId="100" applyFont="1" applyFill="1" applyBorder="1" applyAlignment="1">
      <alignment horizontal="center" vertical="center"/>
    </xf>
    <xf numFmtId="196" fontId="32" fillId="2" borderId="29" xfId="100" applyNumberFormat="1" applyFont="1" applyFill="1" applyBorder="1" applyAlignment="1">
      <alignment horizontal="center" vertical="center"/>
    </xf>
    <xf numFmtId="0" fontId="32" fillId="2" borderId="32" xfId="100" applyFont="1" applyFill="1" applyBorder="1" applyAlignment="1">
      <alignment horizontal="center" vertical="center"/>
    </xf>
    <xf numFmtId="0" fontId="8" fillId="2" borderId="29" xfId="100" applyFont="1" applyFill="1" applyBorder="1" applyAlignment="1">
      <alignment horizontal="center" vertical="center"/>
    </xf>
    <xf numFmtId="10" fontId="6" fillId="0" borderId="1" xfId="71" applyNumberFormat="1" applyFont="1" applyFill="1" applyBorder="1" applyAlignment="1" applyProtection="1">
      <alignment vertical="center"/>
    </xf>
    <xf numFmtId="177" fontId="6" fillId="0" borderId="37" xfId="71" applyNumberFormat="1" applyFont="1" applyFill="1" applyBorder="1" applyAlignment="1" applyProtection="1">
      <alignment vertical="center"/>
    </xf>
    <xf numFmtId="10" fontId="6" fillId="0" borderId="37" xfId="71" applyNumberFormat="1" applyFont="1" applyFill="1" applyBorder="1" applyAlignment="1" applyProtection="1">
      <alignment vertical="center"/>
    </xf>
    <xf numFmtId="177" fontId="6" fillId="0" borderId="65" xfId="71" applyNumberFormat="1" applyFont="1" applyFill="1" applyBorder="1" applyAlignment="1">
      <alignment vertical="center"/>
    </xf>
    <xf numFmtId="177" fontId="6" fillId="7" borderId="64" xfId="71" applyNumberFormat="1" applyFont="1" applyFill="1" applyBorder="1" applyAlignment="1">
      <alignment vertical="center"/>
    </xf>
    <xf numFmtId="204" fontId="6" fillId="0" borderId="1" xfId="62" applyNumberFormat="1" applyFont="1" applyBorder="1" applyAlignment="1">
      <alignment horizontal="right" vertical="center"/>
    </xf>
    <xf numFmtId="203" fontId="35" fillId="4" borderId="33" xfId="62" applyNumberFormat="1" applyFont="1" applyFill="1" applyBorder="1" applyAlignment="1">
      <alignment horizontal="right" vertical="center"/>
    </xf>
    <xf numFmtId="41" fontId="6" fillId="0" borderId="42" xfId="71" applyFont="1" applyFill="1" applyBorder="1" applyAlignment="1" applyProtection="1">
      <alignment horizontal="center" vertical="center"/>
      <protection locked="0"/>
    </xf>
    <xf numFmtId="177" fontId="6" fillId="0" borderId="42" xfId="71" applyNumberFormat="1" applyFont="1" applyFill="1" applyBorder="1" applyAlignment="1" applyProtection="1">
      <alignment vertical="center"/>
      <protection locked="0"/>
    </xf>
    <xf numFmtId="177" fontId="6" fillId="0" borderId="42" xfId="71" applyNumberFormat="1" applyFont="1" applyFill="1" applyBorder="1" applyAlignment="1" applyProtection="1">
      <alignment vertical="center"/>
    </xf>
    <xf numFmtId="177" fontId="6" fillId="0" borderId="66" xfId="71" applyNumberFormat="1" applyFont="1" applyFill="1" applyBorder="1" applyAlignment="1">
      <alignment vertical="center"/>
    </xf>
    <xf numFmtId="183" fontId="6" fillId="0" borderId="42" xfId="0" applyNumberFormat="1" applyFont="1" applyBorder="1" applyAlignment="1" applyProtection="1">
      <alignment vertical="center"/>
      <protection locked="0"/>
    </xf>
    <xf numFmtId="0" fontId="6" fillId="0" borderId="21" xfId="100" applyFont="1" applyBorder="1" applyAlignment="1">
      <alignment horizontal="centerContinuous" vertical="center"/>
    </xf>
    <xf numFmtId="195" fontId="6" fillId="0" borderId="0" xfId="100" applyNumberFormat="1" applyFont="1" applyAlignment="1">
      <alignment vertical="center"/>
    </xf>
    <xf numFmtId="193" fontId="6" fillId="7" borderId="32" xfId="100" applyNumberFormat="1" applyFont="1" applyFill="1" applyBorder="1" applyAlignment="1" applyProtection="1">
      <alignment horizontal="centerContinuous" vertical="center"/>
      <protection locked="0"/>
    </xf>
    <xf numFmtId="183" fontId="6" fillId="7" borderId="31" xfId="0" applyNumberFormat="1" applyFont="1" applyFill="1" applyBorder="1" applyAlignment="1" applyProtection="1">
      <alignment vertical="center"/>
      <protection locked="0"/>
    </xf>
    <xf numFmtId="41" fontId="6" fillId="7" borderId="31" xfId="71" applyFont="1" applyFill="1" applyBorder="1" applyAlignment="1" applyProtection="1">
      <alignment horizontal="center" vertical="center"/>
      <protection locked="0"/>
    </xf>
    <xf numFmtId="177" fontId="6" fillId="7" borderId="31" xfId="71" applyNumberFormat="1" applyFont="1" applyFill="1" applyBorder="1" applyAlignment="1" applyProtection="1">
      <alignment vertical="center"/>
    </xf>
    <xf numFmtId="177" fontId="6" fillId="7" borderId="31" xfId="71" applyNumberFormat="1" applyFont="1" applyFill="1" applyBorder="1" applyAlignment="1" applyProtection="1">
      <alignment vertical="center"/>
      <protection locked="0"/>
    </xf>
    <xf numFmtId="180" fontId="6" fillId="7" borderId="31" xfId="71" applyNumberFormat="1" applyFont="1" applyFill="1" applyBorder="1" applyAlignment="1">
      <alignment vertical="center"/>
    </xf>
    <xf numFmtId="177" fontId="6" fillId="7" borderId="31" xfId="71" applyNumberFormat="1" applyFont="1" applyFill="1" applyBorder="1" applyAlignment="1">
      <alignment vertical="center"/>
    </xf>
    <xf numFmtId="193" fontId="6" fillId="7" borderId="39" xfId="100" applyNumberFormat="1" applyFont="1" applyFill="1" applyBorder="1" applyAlignment="1" applyProtection="1">
      <alignment horizontal="centerContinuous" vertical="center"/>
      <protection locked="0"/>
    </xf>
    <xf numFmtId="183" fontId="6" fillId="7" borderId="29" xfId="0" applyNumberFormat="1" applyFont="1" applyFill="1" applyBorder="1" applyAlignment="1" applyProtection="1">
      <alignment vertical="center"/>
      <protection locked="0"/>
    </xf>
    <xf numFmtId="41" fontId="6" fillId="7" borderId="29" xfId="71" applyFont="1" applyFill="1" applyBorder="1" applyAlignment="1" applyProtection="1">
      <alignment horizontal="center" vertical="center"/>
      <protection locked="0"/>
    </xf>
    <xf numFmtId="177" fontId="6" fillId="7" borderId="29" xfId="71" applyNumberFormat="1" applyFont="1" applyFill="1" applyBorder="1" applyAlignment="1" applyProtection="1">
      <alignment vertical="center"/>
    </xf>
    <xf numFmtId="177" fontId="6" fillId="7" borderId="29" xfId="71" applyNumberFormat="1" applyFont="1" applyFill="1" applyBorder="1" applyAlignment="1" applyProtection="1">
      <alignment vertical="center"/>
      <protection locked="0"/>
    </xf>
    <xf numFmtId="180" fontId="6" fillId="7" borderId="29" xfId="71" applyNumberFormat="1" applyFont="1" applyFill="1" applyBorder="1" applyAlignment="1">
      <alignment vertical="center"/>
    </xf>
    <xf numFmtId="177" fontId="6" fillId="7" borderId="29" xfId="71" applyNumberFormat="1" applyFont="1" applyFill="1" applyBorder="1" applyAlignment="1">
      <alignment vertical="center"/>
    </xf>
    <xf numFmtId="177" fontId="6" fillId="7" borderId="67" xfId="71" applyNumberFormat="1" applyFont="1" applyFill="1" applyBorder="1" applyAlignment="1">
      <alignment vertical="center"/>
    </xf>
    <xf numFmtId="191" fontId="20" fillId="0" borderId="0" xfId="101" applyNumberFormat="1" applyFont="1" applyAlignment="1">
      <alignment vertical="center"/>
    </xf>
    <xf numFmtId="200" fontId="22" fillId="0" borderId="0" xfId="101" applyNumberFormat="1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1" fillId="0" borderId="1" xfId="99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99" applyBorder="1" applyAlignment="1">
      <alignment horizontal="center" vertical="center" wrapText="1"/>
    </xf>
    <xf numFmtId="0" fontId="21" fillId="0" borderId="42" xfId="99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Continuous" vertical="center"/>
    </xf>
    <xf numFmtId="0" fontId="21" fillId="0" borderId="0" xfId="0" applyFont="1" applyAlignment="1">
      <alignment horizontal="centerContinuous" vertical="center"/>
    </xf>
    <xf numFmtId="205" fontId="21" fillId="0" borderId="0" xfId="71" applyNumberFormat="1" applyFont="1" applyFill="1" applyAlignment="1">
      <alignment horizontal="centerContinuous" vertical="center"/>
    </xf>
    <xf numFmtId="201" fontId="21" fillId="0" borderId="0" xfId="71" applyNumberFormat="1" applyFont="1" applyFill="1" applyAlignment="1">
      <alignment horizontal="centerContinuous" vertical="center"/>
    </xf>
    <xf numFmtId="41" fontId="21" fillId="0" borderId="0" xfId="71" applyFont="1" applyFill="1" applyAlignment="1">
      <alignment horizontal="centerContinuous" vertical="center"/>
    </xf>
    <xf numFmtId="205" fontId="21" fillId="0" borderId="0" xfId="71" applyNumberFormat="1" applyFont="1" applyFill="1" applyAlignment="1">
      <alignment horizontal="center" vertical="center"/>
    </xf>
    <xf numFmtId="201" fontId="21" fillId="0" borderId="0" xfId="71" applyNumberFormat="1" applyFont="1" applyFill="1" applyAlignment="1">
      <alignment horizontal="center" vertical="center"/>
    </xf>
    <xf numFmtId="41" fontId="21" fillId="0" borderId="0" xfId="7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centerContinuous" vertical="center"/>
    </xf>
    <xf numFmtId="201" fontId="46" fillId="0" borderId="0" xfId="0" applyNumberFormat="1" applyFont="1" applyAlignment="1">
      <alignment horizontal="centerContinuous" vertical="center"/>
    </xf>
    <xf numFmtId="201" fontId="0" fillId="0" borderId="0" xfId="0" applyNumberFormat="1" applyAlignment="1">
      <alignment horizontal="right" vertical="center"/>
    </xf>
    <xf numFmtId="201" fontId="34" fillId="0" borderId="0" xfId="0" applyNumberFormat="1" applyFont="1" applyAlignment="1">
      <alignment horizontal="right" vertical="center"/>
    </xf>
    <xf numFmtId="0" fontId="6" fillId="5" borderId="42" xfId="100" applyFont="1" applyFill="1" applyBorder="1" applyAlignment="1">
      <alignment horizontal="center" vertical="center"/>
    </xf>
    <xf numFmtId="0" fontId="6" fillId="5" borderId="37" xfId="100" applyFont="1" applyFill="1" applyBorder="1" applyAlignment="1">
      <alignment horizontal="center" vertical="center"/>
    </xf>
    <xf numFmtId="0" fontId="6" fillId="0" borderId="56" xfId="100" applyFont="1" applyBorder="1" applyAlignment="1">
      <alignment vertical="center"/>
    </xf>
    <xf numFmtId="0" fontId="33" fillId="2" borderId="24" xfId="100" applyFont="1" applyFill="1" applyBorder="1" applyAlignment="1">
      <alignment horizontal="center" vertical="center"/>
    </xf>
    <xf numFmtId="0" fontId="33" fillId="2" borderId="68" xfId="100" applyFont="1" applyFill="1" applyBorder="1" applyAlignment="1">
      <alignment horizontal="center" vertical="center" wrapText="1"/>
    </xf>
    <xf numFmtId="0" fontId="33" fillId="2" borderId="69" xfId="100" applyFont="1" applyFill="1" applyBorder="1" applyAlignment="1">
      <alignment horizontal="centerContinuous" vertical="center"/>
    </xf>
    <xf numFmtId="0" fontId="33" fillId="2" borderId="45" xfId="100" applyFont="1" applyFill="1" applyBorder="1" applyAlignment="1">
      <alignment horizontal="centerContinuous" vertical="center"/>
    </xf>
    <xf numFmtId="0" fontId="33" fillId="2" borderId="68" xfId="100" applyFont="1" applyFill="1" applyBorder="1" applyAlignment="1">
      <alignment horizontal="centerContinuous" vertical="center"/>
    </xf>
    <xf numFmtId="0" fontId="33" fillId="2" borderId="27" xfId="100" applyFont="1" applyFill="1" applyBorder="1" applyAlignment="1">
      <alignment horizontal="center" vertical="center"/>
    </xf>
    <xf numFmtId="177" fontId="32" fillId="2" borderId="39" xfId="71" applyNumberFormat="1" applyFont="1" applyFill="1" applyBorder="1" applyAlignment="1" applyProtection="1">
      <alignment horizontal="center" vertical="center"/>
    </xf>
    <xf numFmtId="177" fontId="6" fillId="0" borderId="42" xfId="71" applyNumberFormat="1" applyFont="1" applyBorder="1" applyAlignment="1" applyProtection="1">
      <alignment vertical="center"/>
      <protection locked="0"/>
    </xf>
    <xf numFmtId="177" fontId="6" fillId="7" borderId="29" xfId="71" applyNumberFormat="1" applyFont="1" applyFill="1" applyBorder="1" applyAlignment="1" applyProtection="1">
      <alignment horizontal="center" vertical="center"/>
    </xf>
    <xf numFmtId="201" fontId="6" fillId="2" borderId="29" xfId="71" applyNumberFormat="1" applyFont="1" applyFill="1" applyBorder="1" applyAlignment="1" applyProtection="1">
      <alignment horizontal="center" vertical="center"/>
    </xf>
    <xf numFmtId="177" fontId="6" fillId="0" borderId="1" xfId="0" applyNumberFormat="1" applyFont="1" applyBorder="1" applyAlignment="1" applyProtection="1">
      <alignment vertical="center"/>
      <protection locked="0"/>
    </xf>
    <xf numFmtId="177" fontId="6" fillId="0" borderId="4" xfId="71" applyNumberFormat="1" applyFont="1" applyBorder="1" applyAlignment="1" applyProtection="1">
      <alignment vertical="center"/>
      <protection locked="0"/>
    </xf>
    <xf numFmtId="201" fontId="5" fillId="0" borderId="0" xfId="100" applyNumberFormat="1" applyFont="1" applyAlignment="1">
      <alignment vertical="center"/>
    </xf>
    <xf numFmtId="201" fontId="5" fillId="0" borderId="0" xfId="100" applyNumberFormat="1" applyFont="1" applyAlignment="1">
      <alignment horizontal="centerContinuous" vertical="center"/>
    </xf>
    <xf numFmtId="201" fontId="8" fillId="2" borderId="25" xfId="100" applyNumberFormat="1" applyFont="1" applyFill="1" applyBorder="1" applyAlignment="1">
      <alignment horizontal="centerContinuous" vertical="center"/>
    </xf>
    <xf numFmtId="201" fontId="8" fillId="2" borderId="29" xfId="100" applyNumberFormat="1" applyFont="1" applyFill="1" applyBorder="1" applyAlignment="1">
      <alignment horizontal="center" vertical="center"/>
    </xf>
    <xf numFmtId="201" fontId="5" fillId="0" borderId="1" xfId="100" applyNumberFormat="1" applyFont="1" applyBorder="1" applyAlignment="1">
      <alignment vertical="center"/>
    </xf>
    <xf numFmtId="201" fontId="5" fillId="0" borderId="4" xfId="100" applyNumberFormat="1" applyFont="1" applyBorder="1" applyAlignment="1">
      <alignment vertical="center"/>
    </xf>
    <xf numFmtId="201" fontId="8" fillId="2" borderId="29" xfId="100" applyNumberFormat="1" applyFont="1" applyFill="1" applyBorder="1" applyAlignment="1">
      <alignment horizontal="center" vertical="center" wrapText="1"/>
    </xf>
    <xf numFmtId="201" fontId="35" fillId="2" borderId="29" xfId="71" applyNumberFormat="1" applyFont="1" applyFill="1" applyBorder="1" applyAlignment="1" applyProtection="1">
      <alignment horizontal="right" vertical="center"/>
    </xf>
    <xf numFmtId="201" fontId="6" fillId="0" borderId="1" xfId="71" applyNumberFormat="1" applyFont="1" applyFill="1" applyBorder="1" applyAlignment="1" applyProtection="1">
      <alignment vertical="center"/>
    </xf>
    <xf numFmtId="201" fontId="33" fillId="2" borderId="25" xfId="100" applyNumberFormat="1" applyFont="1" applyFill="1" applyBorder="1" applyAlignment="1">
      <alignment horizontal="centerContinuous" vertical="center"/>
    </xf>
    <xf numFmtId="201" fontId="33" fillId="2" borderId="29" xfId="100" applyNumberFormat="1" applyFont="1" applyFill="1" applyBorder="1" applyAlignment="1">
      <alignment horizontal="center" vertical="center"/>
    </xf>
    <xf numFmtId="201" fontId="5" fillId="0" borderId="0" xfId="100" applyNumberFormat="1" applyFont="1" applyAlignment="1">
      <alignment horizontal="center" vertical="center"/>
    </xf>
    <xf numFmtId="201" fontId="33" fillId="2" borderId="25" xfId="100" applyNumberFormat="1" applyFont="1" applyFill="1" applyBorder="1" applyAlignment="1">
      <alignment horizontal="center" vertical="center"/>
    </xf>
    <xf numFmtId="0" fontId="35" fillId="0" borderId="0" xfId="100" applyFont="1" applyAlignment="1">
      <alignment horizontal="centerContinuous" vertical="center"/>
    </xf>
    <xf numFmtId="0" fontId="8" fillId="7" borderId="29" xfId="100" applyFont="1" applyFill="1" applyBorder="1" applyAlignment="1">
      <alignment horizontal="center" vertical="center"/>
    </xf>
    <xf numFmtId="0" fontId="8" fillId="7" borderId="29" xfId="100" applyFont="1" applyFill="1" applyBorder="1" applyAlignment="1">
      <alignment horizontal="center" vertical="center" wrapText="1"/>
    </xf>
    <xf numFmtId="0" fontId="6" fillId="0" borderId="33" xfId="71" applyNumberFormat="1" applyFont="1" applyFill="1" applyBorder="1" applyAlignment="1" applyProtection="1">
      <alignment horizontal="center" vertical="center"/>
      <protection locked="0"/>
    </xf>
    <xf numFmtId="0" fontId="35" fillId="0" borderId="0" xfId="100" applyFont="1" applyAlignment="1">
      <alignment horizontal="center" vertical="center"/>
    </xf>
    <xf numFmtId="177" fontId="6" fillId="0" borderId="33" xfId="71" applyNumberFormat="1" applyFont="1" applyFill="1" applyBorder="1" applyAlignment="1" applyProtection="1">
      <alignment horizontal="center" vertical="center"/>
      <protection locked="0"/>
    </xf>
    <xf numFmtId="177" fontId="6" fillId="7" borderId="29" xfId="100" applyNumberFormat="1" applyFont="1" applyFill="1" applyBorder="1" applyAlignment="1">
      <alignment horizontal="center" vertical="center"/>
    </xf>
    <xf numFmtId="0" fontId="6" fillId="0" borderId="63" xfId="100" applyFont="1" applyBorder="1" applyAlignment="1">
      <alignment horizontal="center" vertical="center"/>
    </xf>
    <xf numFmtId="0" fontId="6" fillId="0" borderId="1" xfId="100" applyFont="1" applyBorder="1" applyAlignment="1">
      <alignment horizontal="center" vertical="center"/>
    </xf>
    <xf numFmtId="177" fontId="6" fillId="7" borderId="31" xfId="71" applyNumberFormat="1" applyFont="1" applyFill="1" applyBorder="1" applyAlignment="1" applyProtection="1">
      <alignment horizontal="center" vertical="center"/>
    </xf>
    <xf numFmtId="0" fontId="6" fillId="0" borderId="42" xfId="100" applyFont="1" applyBorder="1" applyAlignment="1">
      <alignment horizontal="center" vertical="center"/>
    </xf>
    <xf numFmtId="0" fontId="6" fillId="0" borderId="0" xfId="100" applyFont="1" applyAlignment="1">
      <alignment horizontal="center" vertical="center"/>
    </xf>
    <xf numFmtId="177" fontId="6" fillId="0" borderId="33" xfId="71" applyNumberFormat="1" applyFont="1" applyFill="1" applyBorder="1" applyAlignment="1" applyProtection="1">
      <alignment horizontal="center" vertical="center"/>
    </xf>
    <xf numFmtId="177" fontId="6" fillId="0" borderId="1" xfId="71" applyNumberFormat="1" applyFont="1" applyFill="1" applyBorder="1" applyAlignment="1" applyProtection="1">
      <alignment horizontal="center" vertical="center"/>
    </xf>
    <xf numFmtId="177" fontId="6" fillId="0" borderId="63" xfId="71" applyNumberFormat="1" applyFont="1" applyFill="1" applyBorder="1" applyAlignment="1" applyProtection="1">
      <alignment horizontal="center" vertical="center"/>
    </xf>
    <xf numFmtId="0" fontId="6" fillId="0" borderId="6" xfId="100" applyFont="1" applyBorder="1" applyAlignment="1" applyProtection="1">
      <alignment horizontal="left" vertical="center"/>
      <protection locked="0"/>
    </xf>
    <xf numFmtId="183" fontId="6" fillId="0" borderId="6" xfId="0" applyNumberFormat="1" applyFont="1" applyBorder="1" applyAlignment="1" applyProtection="1">
      <alignment vertical="center"/>
      <protection locked="0"/>
    </xf>
    <xf numFmtId="41" fontId="6" fillId="0" borderId="6" xfId="71" applyFont="1" applyFill="1" applyBorder="1" applyAlignment="1" applyProtection="1">
      <alignment horizontal="center" vertical="center"/>
      <protection locked="0"/>
    </xf>
    <xf numFmtId="177" fontId="6" fillId="0" borderId="63" xfId="71" applyNumberFormat="1" applyFont="1" applyFill="1" applyBorder="1" applyAlignment="1" applyProtection="1">
      <alignment vertical="center"/>
    </xf>
    <xf numFmtId="177" fontId="6" fillId="0" borderId="63" xfId="71" applyNumberFormat="1" applyFont="1" applyFill="1" applyBorder="1" applyAlignment="1" applyProtection="1">
      <alignment vertical="center"/>
      <protection locked="0"/>
    </xf>
    <xf numFmtId="10" fontId="6" fillId="0" borderId="63" xfId="71" applyNumberFormat="1" applyFont="1" applyFill="1" applyBorder="1" applyAlignment="1" applyProtection="1">
      <alignment vertical="center"/>
    </xf>
    <xf numFmtId="177" fontId="6" fillId="0" borderId="72" xfId="71" applyNumberFormat="1" applyFont="1" applyFill="1" applyBorder="1" applyAlignment="1">
      <alignment vertical="center"/>
    </xf>
    <xf numFmtId="0" fontId="21" fillId="0" borderId="1" xfId="99" applyBorder="1" applyAlignment="1">
      <alignment vertical="center" wrapText="1"/>
    </xf>
    <xf numFmtId="0" fontId="21" fillId="0" borderId="59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59" xfId="99" applyBorder="1" applyAlignment="1">
      <alignment horizontal="left" vertical="center"/>
    </xf>
    <xf numFmtId="205" fontId="21" fillId="2" borderId="75" xfId="71" applyNumberFormat="1" applyFont="1" applyFill="1" applyBorder="1" applyAlignment="1">
      <alignment horizontal="centerContinuous" vertical="center"/>
    </xf>
    <xf numFmtId="205" fontId="21" fillId="2" borderId="76" xfId="71" applyNumberFormat="1" applyFont="1" applyFill="1" applyBorder="1" applyAlignment="1">
      <alignment horizontal="center" vertical="center"/>
    </xf>
    <xf numFmtId="205" fontId="21" fillId="0" borderId="77" xfId="71" applyNumberFormat="1" applyFont="1" applyFill="1" applyBorder="1" applyAlignment="1" applyProtection="1">
      <alignment vertical="center"/>
    </xf>
    <xf numFmtId="205" fontId="21" fillId="0" borderId="78" xfId="71" applyNumberFormat="1" applyFont="1" applyFill="1" applyBorder="1" applyAlignment="1" applyProtection="1">
      <alignment vertical="center"/>
      <protection locked="0"/>
    </xf>
    <xf numFmtId="205" fontId="21" fillId="0" borderId="79" xfId="71" applyNumberFormat="1" applyFont="1" applyFill="1" applyBorder="1" applyAlignment="1" applyProtection="1">
      <alignment vertical="center"/>
      <protection locked="0"/>
    </xf>
    <xf numFmtId="205" fontId="21" fillId="0" borderId="78" xfId="71" applyNumberFormat="1" applyFont="1" applyFill="1" applyBorder="1" applyAlignment="1" applyProtection="1">
      <alignment vertical="center"/>
    </xf>
    <xf numFmtId="205" fontId="21" fillId="2" borderId="80" xfId="71" applyNumberFormat="1" applyFont="1" applyFill="1" applyBorder="1" applyAlignment="1">
      <alignment horizontal="centerContinuous" vertical="center"/>
    </xf>
    <xf numFmtId="201" fontId="21" fillId="2" borderId="81" xfId="71" applyNumberFormat="1" applyFont="1" applyFill="1" applyBorder="1" applyAlignment="1">
      <alignment horizontal="centerContinuous" vertical="center" wrapText="1"/>
    </xf>
    <xf numFmtId="205" fontId="21" fillId="2" borderId="82" xfId="71" applyNumberFormat="1" applyFont="1" applyFill="1" applyBorder="1" applyAlignment="1">
      <alignment horizontal="center" vertical="center"/>
    </xf>
    <xf numFmtId="201" fontId="21" fillId="2" borderId="83" xfId="71" applyNumberFormat="1" applyFont="1" applyFill="1" applyBorder="1" applyAlignment="1">
      <alignment horizontal="center" vertical="center" wrapText="1"/>
    </xf>
    <xf numFmtId="205" fontId="21" fillId="0" borderId="84" xfId="71" applyNumberFormat="1" applyFont="1" applyFill="1" applyBorder="1" applyAlignment="1" applyProtection="1">
      <alignment vertical="center"/>
    </xf>
    <xf numFmtId="201" fontId="21" fillId="0" borderId="85" xfId="71" applyNumberFormat="1" applyFont="1" applyFill="1" applyBorder="1" applyAlignment="1" applyProtection="1">
      <alignment horizontal="right" vertical="center"/>
    </xf>
    <xf numFmtId="205" fontId="21" fillId="0" borderId="86" xfId="71" applyNumberFormat="1" applyFont="1" applyFill="1" applyBorder="1" applyAlignment="1" applyProtection="1">
      <alignment vertical="center"/>
      <protection locked="0"/>
    </xf>
    <xf numFmtId="201" fontId="21" fillId="0" borderId="87" xfId="71" applyNumberFormat="1" applyFont="1" applyFill="1" applyBorder="1" applyAlignment="1" applyProtection="1">
      <alignment horizontal="right" vertical="center"/>
      <protection locked="0"/>
    </xf>
    <xf numFmtId="205" fontId="21" fillId="0" borderId="88" xfId="71" applyNumberFormat="1" applyFont="1" applyFill="1" applyBorder="1" applyAlignment="1" applyProtection="1">
      <alignment vertical="center"/>
      <protection locked="0"/>
    </xf>
    <xf numFmtId="205" fontId="21" fillId="0" borderId="86" xfId="71" applyNumberFormat="1" applyFont="1" applyFill="1" applyBorder="1" applyAlignment="1" applyProtection="1">
      <alignment vertical="center"/>
    </xf>
    <xf numFmtId="201" fontId="21" fillId="0" borderId="87" xfId="71" applyNumberFormat="1" applyFont="1" applyFill="1" applyBorder="1" applyAlignment="1" applyProtection="1">
      <alignment vertical="center"/>
    </xf>
    <xf numFmtId="201" fontId="21" fillId="2" borderId="38" xfId="71" applyNumberFormat="1" applyFont="1" applyFill="1" applyBorder="1" applyAlignment="1">
      <alignment horizontal="centerContinuous" vertical="center" wrapText="1"/>
    </xf>
    <xf numFmtId="201" fontId="21" fillId="2" borderId="89" xfId="71" applyNumberFormat="1" applyFont="1" applyFill="1" applyBorder="1" applyAlignment="1">
      <alignment horizontal="center" vertical="center" wrapText="1"/>
    </xf>
    <xf numFmtId="201" fontId="21" fillId="0" borderId="73" xfId="71" applyNumberFormat="1" applyFont="1" applyFill="1" applyBorder="1" applyAlignment="1" applyProtection="1">
      <alignment horizontal="right" vertical="center"/>
    </xf>
    <xf numFmtId="201" fontId="21" fillId="0" borderId="59" xfId="71" applyNumberFormat="1" applyFont="1" applyFill="1" applyBorder="1" applyAlignment="1" applyProtection="1">
      <alignment horizontal="right" vertical="center"/>
      <protection locked="0"/>
    </xf>
    <xf numFmtId="201" fontId="21" fillId="0" borderId="74" xfId="71" applyNumberFormat="1" applyFont="1" applyFill="1" applyBorder="1" applyAlignment="1" applyProtection="1">
      <alignment horizontal="center" vertical="center"/>
      <protection locked="0"/>
    </xf>
    <xf numFmtId="201" fontId="21" fillId="0" borderId="59" xfId="71" applyNumberFormat="1" applyFont="1" applyFill="1" applyBorder="1" applyAlignment="1" applyProtection="1">
      <alignment vertical="center"/>
    </xf>
    <xf numFmtId="0" fontId="21" fillId="0" borderId="78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4" borderId="39" xfId="0" applyFont="1" applyFill="1" applyBorder="1" applyAlignment="1">
      <alignment horizontal="center" vertical="center"/>
    </xf>
    <xf numFmtId="0" fontId="47" fillId="0" borderId="0" xfId="0" applyFont="1" applyAlignment="1">
      <alignment horizontal="centerContinuous" vertical="center"/>
    </xf>
    <xf numFmtId="0" fontId="45" fillId="0" borderId="0" xfId="0" applyFont="1" applyAlignment="1">
      <alignment horizontal="centerContinuous" vertical="center"/>
    </xf>
    <xf numFmtId="0" fontId="21" fillId="0" borderId="77" xfId="0" applyFont="1" applyBorder="1" applyAlignment="1">
      <alignment horizontal="left" vertical="center"/>
    </xf>
    <xf numFmtId="203" fontId="6" fillId="7" borderId="33" xfId="62" applyNumberFormat="1" applyFont="1" applyFill="1" applyBorder="1" applyAlignment="1">
      <alignment vertical="center"/>
    </xf>
    <xf numFmtId="203" fontId="6" fillId="0" borderId="28" xfId="62" applyNumberFormat="1" applyFont="1" applyBorder="1" applyAlignment="1">
      <alignment horizontal="right" vertical="center"/>
    </xf>
    <xf numFmtId="203" fontId="6" fillId="0" borderId="1" xfId="62" applyNumberFormat="1" applyFont="1" applyBorder="1" applyAlignment="1">
      <alignment horizontal="right" vertical="center"/>
    </xf>
    <xf numFmtId="203" fontId="6" fillId="0" borderId="1" xfId="71" applyNumberFormat="1" applyFont="1" applyFill="1" applyBorder="1" applyAlignment="1" applyProtection="1">
      <alignment vertical="center"/>
    </xf>
    <xf numFmtId="204" fontId="6" fillId="0" borderId="1" xfId="71" applyNumberFormat="1" applyFont="1" applyFill="1" applyBorder="1" applyAlignment="1" applyProtection="1">
      <alignment vertical="center"/>
    </xf>
    <xf numFmtId="204" fontId="6" fillId="0" borderId="37" xfId="71" applyNumberFormat="1" applyFont="1" applyFill="1" applyBorder="1" applyAlignment="1" applyProtection="1">
      <alignment vertical="center"/>
    </xf>
    <xf numFmtId="204" fontId="6" fillId="7" borderId="31" xfId="62" applyNumberFormat="1" applyFont="1" applyFill="1" applyBorder="1" applyAlignment="1">
      <alignment horizontal="right" vertical="center"/>
    </xf>
    <xf numFmtId="204" fontId="6" fillId="0" borderId="33" xfId="71" applyNumberFormat="1" applyFont="1" applyFill="1" applyBorder="1" applyAlignment="1" applyProtection="1">
      <alignment vertical="center"/>
    </xf>
    <xf numFmtId="204" fontId="6" fillId="0" borderId="42" xfId="71" applyNumberFormat="1" applyFont="1" applyFill="1" applyBorder="1" applyAlignment="1" applyProtection="1">
      <alignment vertical="center"/>
    </xf>
    <xf numFmtId="204" fontId="6" fillId="0" borderId="63" xfId="71" applyNumberFormat="1" applyFont="1" applyFill="1" applyBorder="1" applyAlignment="1" applyProtection="1">
      <alignment vertical="center"/>
    </xf>
    <xf numFmtId="204" fontId="5" fillId="0" borderId="0" xfId="100" applyNumberFormat="1" applyFont="1" applyAlignment="1">
      <alignment vertical="center"/>
    </xf>
    <xf numFmtId="204" fontId="5" fillId="0" borderId="0" xfId="100" applyNumberFormat="1" applyFont="1" applyAlignment="1">
      <alignment horizontal="center" vertical="center"/>
    </xf>
    <xf numFmtId="0" fontId="20" fillId="2" borderId="38" xfId="71" applyNumberFormat="1" applyFont="1" applyFill="1" applyBorder="1" applyAlignment="1">
      <alignment horizontal="centerContinuous" vertical="center" wrapText="1"/>
    </xf>
    <xf numFmtId="0" fontId="20" fillId="2" borderId="90" xfId="71" applyNumberFormat="1" applyFont="1" applyFill="1" applyBorder="1" applyAlignment="1">
      <alignment horizontal="centerContinuous" vertical="center" wrapText="1"/>
    </xf>
    <xf numFmtId="0" fontId="20" fillId="0" borderId="0" xfId="0" applyFont="1" applyAlignment="1">
      <alignment horizontal="center" vertical="center"/>
    </xf>
    <xf numFmtId="0" fontId="20" fillId="2" borderId="13" xfId="71" applyNumberFormat="1" applyFont="1" applyFill="1" applyBorder="1" applyAlignment="1">
      <alignment horizontal="center" vertical="center" wrapText="1"/>
    </xf>
    <xf numFmtId="0" fontId="20" fillId="2" borderId="14" xfId="71" applyNumberFormat="1" applyFont="1" applyFill="1" applyBorder="1" applyAlignment="1">
      <alignment horizontal="center" vertical="center" wrapText="1"/>
    </xf>
    <xf numFmtId="0" fontId="20" fillId="2" borderId="15" xfId="71" applyNumberFormat="1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/>
    </xf>
    <xf numFmtId="0" fontId="20" fillId="0" borderId="1" xfId="99" applyFont="1" applyBorder="1" applyAlignment="1" applyProtection="1">
      <alignment horizontal="center" vertical="center"/>
      <protection locked="0"/>
    </xf>
    <xf numFmtId="41" fontId="20" fillId="0" borderId="1" xfId="71" applyFont="1" applyFill="1" applyBorder="1" applyAlignment="1" applyProtection="1">
      <alignment vertical="center"/>
    </xf>
    <xf numFmtId="0" fontId="20" fillId="0" borderId="63" xfId="71" applyNumberFormat="1" applyFont="1" applyFill="1" applyBorder="1" applyAlignment="1" applyProtection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63" xfId="99" applyFont="1" applyBorder="1" applyAlignment="1">
      <alignment horizontal="center" vertical="center" wrapText="1"/>
    </xf>
    <xf numFmtId="0" fontId="20" fillId="0" borderId="63" xfId="99" applyFont="1" applyBorder="1" applyAlignment="1" applyProtection="1">
      <alignment horizontal="center" vertical="center"/>
      <protection locked="0"/>
    </xf>
    <xf numFmtId="0" fontId="20" fillId="0" borderId="63" xfId="99" applyFont="1" applyBorder="1" applyAlignment="1">
      <alignment horizontal="left" vertical="center"/>
    </xf>
    <xf numFmtId="205" fontId="20" fillId="0" borderId="63" xfId="71" applyNumberFormat="1" applyFont="1" applyFill="1" applyBorder="1" applyAlignment="1" applyProtection="1">
      <alignment vertical="center"/>
    </xf>
    <xf numFmtId="201" fontId="20" fillId="0" borderId="63" xfId="71" applyNumberFormat="1" applyFont="1" applyFill="1" applyBorder="1" applyAlignment="1" applyProtection="1">
      <alignment vertical="center"/>
    </xf>
    <xf numFmtId="41" fontId="20" fillId="0" borderId="91" xfId="71" applyFont="1" applyFill="1" applyBorder="1" applyAlignment="1" applyProtection="1">
      <alignment vertical="center"/>
    </xf>
    <xf numFmtId="41" fontId="20" fillId="0" borderId="92" xfId="71" applyFont="1" applyFill="1" applyBorder="1" applyAlignment="1" applyProtection="1">
      <alignment vertical="center"/>
    </xf>
    <xf numFmtId="41" fontId="20" fillId="0" borderId="93" xfId="71" applyFont="1" applyFill="1" applyBorder="1" applyAlignment="1" applyProtection="1">
      <alignment vertical="center"/>
    </xf>
    <xf numFmtId="0" fontId="20" fillId="0" borderId="63" xfId="0" applyFont="1" applyBorder="1" applyAlignment="1">
      <alignment horizontal="center" vertical="center"/>
    </xf>
    <xf numFmtId="41" fontId="20" fillId="0" borderId="37" xfId="71" applyFont="1" applyFill="1" applyBorder="1" applyAlignment="1" applyProtection="1">
      <alignment vertical="center"/>
    </xf>
    <xf numFmtId="205" fontId="20" fillId="4" borderId="29" xfId="71" applyNumberFormat="1" applyFont="1" applyFill="1" applyBorder="1" applyAlignment="1" applyProtection="1">
      <alignment vertical="center"/>
    </xf>
    <xf numFmtId="201" fontId="20" fillId="4" borderId="29" xfId="71" applyNumberFormat="1" applyFont="1" applyFill="1" applyBorder="1" applyAlignment="1" applyProtection="1">
      <alignment vertical="center"/>
    </xf>
    <xf numFmtId="201" fontId="20" fillId="4" borderId="13" xfId="71" applyNumberFormat="1" applyFont="1" applyFill="1" applyBorder="1" applyAlignment="1" applyProtection="1">
      <alignment vertical="center"/>
    </xf>
    <xf numFmtId="201" fontId="20" fillId="4" borderId="14" xfId="71" applyNumberFormat="1" applyFont="1" applyFill="1" applyBorder="1" applyAlignment="1" applyProtection="1">
      <alignment vertical="center"/>
    </xf>
    <xf numFmtId="201" fontId="20" fillId="4" borderId="15" xfId="71" applyNumberFormat="1" applyFont="1" applyFill="1" applyBorder="1" applyAlignment="1" applyProtection="1">
      <alignment vertical="center"/>
    </xf>
    <xf numFmtId="0" fontId="20" fillId="4" borderId="29" xfId="71" applyNumberFormat="1" applyFont="1" applyFill="1" applyBorder="1" applyAlignment="1" applyProtection="1">
      <alignment horizontal="left" vertical="center" wrapText="1"/>
    </xf>
    <xf numFmtId="0" fontId="20" fillId="4" borderId="29" xfId="0" applyFont="1" applyFill="1" applyBorder="1" applyAlignment="1">
      <alignment horizontal="center" vertical="center"/>
    </xf>
    <xf numFmtId="0" fontId="20" fillId="0" borderId="42" xfId="99" applyFont="1" applyBorder="1" applyAlignment="1" applyProtection="1">
      <alignment horizontal="center" vertical="center"/>
      <protection locked="0"/>
    </xf>
    <xf numFmtId="0" fontId="14" fillId="2" borderId="31" xfId="0" applyFont="1" applyFill="1" applyBorder="1" applyAlignment="1">
      <alignment horizontal="center" vertical="center"/>
    </xf>
    <xf numFmtId="205" fontId="14" fillId="2" borderId="31" xfId="71" applyNumberFormat="1" applyFont="1" applyFill="1" applyBorder="1" applyAlignment="1">
      <alignment vertical="center" shrinkToFit="1"/>
    </xf>
    <xf numFmtId="41" fontId="14" fillId="2" borderId="95" xfId="71" applyFont="1" applyFill="1" applyBorder="1" applyAlignment="1">
      <alignment horizontal="center" vertical="center"/>
    </xf>
    <xf numFmtId="41" fontId="14" fillId="2" borderId="96" xfId="71" applyFont="1" applyFill="1" applyBorder="1" applyAlignment="1">
      <alignment horizontal="center" vertical="center"/>
    </xf>
    <xf numFmtId="177" fontId="14" fillId="2" borderId="15" xfId="71" applyNumberFormat="1" applyFont="1" applyFill="1" applyBorder="1" applyAlignment="1">
      <alignment vertical="center"/>
    </xf>
    <xf numFmtId="41" fontId="48" fillId="2" borderId="52" xfId="71" applyFont="1" applyFill="1" applyBorder="1" applyAlignment="1">
      <alignment horizontal="center" vertical="center"/>
    </xf>
    <xf numFmtId="41" fontId="14" fillId="2" borderId="31" xfId="71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01" fontId="21" fillId="0" borderId="85" xfId="71" applyNumberFormat="1" applyFont="1" applyFill="1" applyBorder="1" applyAlignment="1" applyProtection="1">
      <alignment vertical="center"/>
    </xf>
    <xf numFmtId="0" fontId="21" fillId="0" borderId="78" xfId="0" applyFont="1" applyBorder="1" applyAlignment="1">
      <alignment horizontal="left" vertical="center"/>
    </xf>
    <xf numFmtId="0" fontId="21" fillId="0" borderId="29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205" fontId="21" fillId="0" borderId="77" xfId="71" applyNumberFormat="1" applyFont="1" applyFill="1" applyBorder="1" applyAlignment="1" applyProtection="1">
      <alignment vertical="center"/>
      <protection locked="0"/>
    </xf>
    <xf numFmtId="201" fontId="21" fillId="0" borderId="73" xfId="71" applyNumberFormat="1" applyFont="1" applyFill="1" applyBorder="1" applyAlignment="1" applyProtection="1">
      <alignment horizontal="center" vertical="center"/>
      <protection locked="0"/>
    </xf>
    <xf numFmtId="0" fontId="21" fillId="0" borderId="63" xfId="0" applyFont="1" applyBorder="1" applyAlignment="1">
      <alignment horizontal="center" vertical="center" wrapText="1"/>
    </xf>
    <xf numFmtId="201" fontId="21" fillId="0" borderId="97" xfId="71" applyNumberFormat="1" applyFont="1" applyFill="1" applyBorder="1" applyAlignment="1" applyProtection="1">
      <alignment horizontal="right" vertical="center"/>
      <protection locked="0"/>
    </xf>
    <xf numFmtId="201" fontId="21" fillId="0" borderId="74" xfId="71" applyNumberFormat="1" applyFont="1" applyFill="1" applyBorder="1" applyAlignment="1" applyProtection="1">
      <alignment horizontal="right" vertical="center"/>
      <protection locked="0"/>
    </xf>
    <xf numFmtId="0" fontId="21" fillId="0" borderId="6" xfId="99" applyBorder="1" applyAlignment="1">
      <alignment horizontal="center" vertical="center" wrapText="1"/>
    </xf>
    <xf numFmtId="0" fontId="21" fillId="0" borderId="6" xfId="99" applyBorder="1" applyAlignment="1" applyProtection="1">
      <alignment horizontal="center" vertical="center"/>
      <protection locked="0"/>
    </xf>
    <xf numFmtId="0" fontId="21" fillId="0" borderId="47" xfId="99" applyBorder="1" applyAlignment="1">
      <alignment horizontal="left" vertical="center"/>
    </xf>
    <xf numFmtId="205" fontId="21" fillId="0" borderId="98" xfId="71" applyNumberFormat="1" applyFont="1" applyFill="1" applyBorder="1" applyAlignment="1" applyProtection="1">
      <alignment vertical="center"/>
    </xf>
    <xf numFmtId="201" fontId="21" fillId="0" borderId="99" xfId="71" applyNumberFormat="1" applyFont="1" applyFill="1" applyBorder="1" applyAlignment="1" applyProtection="1">
      <alignment horizontal="right" vertical="center"/>
    </xf>
    <xf numFmtId="205" fontId="21" fillId="0" borderId="27" xfId="71" applyNumberFormat="1" applyFont="1" applyFill="1" applyBorder="1" applyAlignment="1" applyProtection="1">
      <alignment vertical="center"/>
    </xf>
    <xf numFmtId="201" fontId="21" fillId="0" borderId="47" xfId="71" applyNumberFormat="1" applyFont="1" applyFill="1" applyBorder="1" applyAlignment="1" applyProtection="1">
      <alignment horizontal="right" vertical="center"/>
    </xf>
    <xf numFmtId="0" fontId="21" fillId="0" borderId="27" xfId="0" applyFont="1" applyBorder="1" applyAlignment="1">
      <alignment horizontal="center" vertical="center"/>
    </xf>
    <xf numFmtId="0" fontId="21" fillId="4" borderId="68" xfId="0" applyFont="1" applyFill="1" applyBorder="1" applyAlignment="1">
      <alignment horizontal="left" vertical="center"/>
    </xf>
    <xf numFmtId="205" fontId="21" fillId="4" borderId="71" xfId="71" applyNumberFormat="1" applyFont="1" applyFill="1" applyBorder="1" applyAlignment="1" applyProtection="1">
      <alignment vertical="center"/>
      <protection locked="0"/>
    </xf>
    <xf numFmtId="201" fontId="21" fillId="4" borderId="70" xfId="71" applyNumberFormat="1" applyFont="1" applyFill="1" applyBorder="1" applyAlignment="1" applyProtection="1">
      <alignment horizontal="right" vertical="center"/>
      <protection locked="0"/>
    </xf>
    <xf numFmtId="205" fontId="21" fillId="4" borderId="39" xfId="71" applyNumberFormat="1" applyFont="1" applyFill="1" applyBorder="1" applyAlignment="1" applyProtection="1">
      <alignment vertical="center"/>
      <protection locked="0"/>
    </xf>
    <xf numFmtId="201" fontId="21" fillId="4" borderId="68" xfId="71" applyNumberFormat="1" applyFont="1" applyFill="1" applyBorder="1" applyAlignment="1" applyProtection="1">
      <alignment horizontal="right" vertical="center"/>
      <protection locked="0"/>
    </xf>
    <xf numFmtId="0" fontId="5" fillId="7" borderId="68" xfId="99" applyFont="1" applyFill="1" applyBorder="1" applyAlignment="1">
      <alignment horizontal="left" vertical="center"/>
    </xf>
    <xf numFmtId="205" fontId="5" fillId="7" borderId="71" xfId="71" applyNumberFormat="1" applyFont="1" applyFill="1" applyBorder="1" applyAlignment="1" applyProtection="1">
      <alignment vertical="center"/>
    </xf>
    <xf numFmtId="201" fontId="5" fillId="7" borderId="70" xfId="71" applyNumberFormat="1" applyFont="1" applyFill="1" applyBorder="1" applyAlignment="1" applyProtection="1">
      <alignment vertical="center"/>
    </xf>
    <xf numFmtId="205" fontId="5" fillId="7" borderId="39" xfId="71" applyNumberFormat="1" applyFont="1" applyFill="1" applyBorder="1" applyAlignment="1" applyProtection="1">
      <alignment vertical="center"/>
    </xf>
    <xf numFmtId="201" fontId="5" fillId="7" borderId="68" xfId="71" applyNumberFormat="1" applyFont="1" applyFill="1" applyBorder="1" applyAlignment="1" applyProtection="1">
      <alignment vertical="center"/>
    </xf>
    <xf numFmtId="0" fontId="5" fillId="7" borderId="39" xfId="0" applyFont="1" applyFill="1" applyBorder="1" applyAlignment="1">
      <alignment horizontal="center" vertical="center"/>
    </xf>
    <xf numFmtId="0" fontId="20" fillId="4" borderId="29" xfId="99" applyFont="1" applyFill="1" applyBorder="1" applyAlignment="1">
      <alignment horizontal="center" vertical="center"/>
    </xf>
    <xf numFmtId="197" fontId="20" fillId="0" borderId="100" xfId="71" applyNumberFormat="1" applyFont="1" applyBorder="1" applyAlignment="1">
      <alignment horizontal="right" vertical="center"/>
    </xf>
    <xf numFmtId="177" fontId="20" fillId="0" borderId="100" xfId="101" applyNumberFormat="1" applyFont="1" applyBorder="1" applyAlignment="1">
      <alignment vertical="center"/>
    </xf>
    <xf numFmtId="177" fontId="20" fillId="0" borderId="101" xfId="101" applyNumberFormat="1" applyFont="1" applyBorder="1" applyAlignment="1">
      <alignment vertical="center"/>
    </xf>
    <xf numFmtId="177" fontId="20" fillId="0" borderId="41" xfId="101" applyNumberFormat="1" applyFont="1" applyBorder="1" applyAlignment="1">
      <alignment vertical="center"/>
    </xf>
    <xf numFmtId="187" fontId="20" fillId="0" borderId="48" xfId="101" applyNumberFormat="1" applyFont="1" applyBorder="1" applyAlignment="1">
      <alignment horizontal="left" vertical="center"/>
    </xf>
    <xf numFmtId="41" fontId="6" fillId="0" borderId="63" xfId="71" applyFont="1" applyBorder="1" applyAlignment="1" applyProtection="1">
      <alignment horizontal="center" vertical="center"/>
      <protection locked="0"/>
    </xf>
    <xf numFmtId="203" fontId="6" fillId="0" borderId="63" xfId="71" applyNumberFormat="1" applyFont="1" applyFill="1" applyBorder="1" applyAlignment="1" applyProtection="1">
      <alignment vertical="center"/>
    </xf>
    <xf numFmtId="0" fontId="32" fillId="0" borderId="1" xfId="100" applyFont="1" applyBorder="1" applyAlignment="1">
      <alignment horizontal="center" vertical="center"/>
    </xf>
    <xf numFmtId="0" fontId="36" fillId="2" borderId="68" xfId="100" applyFont="1" applyFill="1" applyBorder="1" applyAlignment="1">
      <alignment vertical="center"/>
    </xf>
    <xf numFmtId="0" fontId="36" fillId="2" borderId="68" xfId="100" quotePrefix="1" applyFont="1" applyFill="1" applyBorder="1" applyAlignment="1">
      <alignment vertical="center" wrapText="1"/>
    </xf>
    <xf numFmtId="0" fontId="36" fillId="2" borderId="68" xfId="100" applyFont="1" applyFill="1" applyBorder="1" applyAlignment="1">
      <alignment horizontal="centerContinuous" vertical="center"/>
    </xf>
    <xf numFmtId="0" fontId="36" fillId="2" borderId="103" xfId="100" applyFont="1" applyFill="1" applyBorder="1" applyAlignment="1">
      <alignment horizontal="centerContinuous" vertical="center"/>
    </xf>
    <xf numFmtId="0" fontId="35" fillId="0" borderId="4" xfId="0" applyFont="1" applyBorder="1" applyAlignment="1" applyProtection="1">
      <alignment horizontal="left" vertical="center"/>
      <protection locked="0"/>
    </xf>
    <xf numFmtId="198" fontId="6" fillId="7" borderId="46" xfId="71" applyNumberFormat="1" applyFont="1" applyFill="1" applyBorder="1" applyAlignment="1" applyProtection="1">
      <alignment horizontal="centerContinuous" vertical="center"/>
    </xf>
    <xf numFmtId="198" fontId="6" fillId="7" borderId="24" xfId="71" applyNumberFormat="1" applyFont="1" applyFill="1" applyBorder="1" applyAlignment="1" applyProtection="1">
      <alignment horizontal="centerContinuous" vertical="center"/>
    </xf>
    <xf numFmtId="177" fontId="6" fillId="0" borderId="37" xfId="71" applyNumberFormat="1" applyFont="1" applyFill="1" applyBorder="1" applyAlignment="1" applyProtection="1">
      <alignment horizontal="center" vertical="center"/>
    </xf>
    <xf numFmtId="178" fontId="6" fillId="0" borderId="33" xfId="62" applyNumberFormat="1" applyFont="1" applyBorder="1" applyAlignment="1">
      <alignment horizontal="right" vertical="center"/>
    </xf>
    <xf numFmtId="178" fontId="6" fillId="0" borderId="1" xfId="62" applyNumberFormat="1" applyFont="1" applyBorder="1" applyAlignment="1">
      <alignment horizontal="right" vertical="center"/>
    </xf>
    <xf numFmtId="193" fontId="6" fillId="7" borderId="104" xfId="100" applyNumberFormat="1" applyFont="1" applyFill="1" applyBorder="1" applyAlignment="1" applyProtection="1">
      <alignment horizontal="centerContinuous" vertical="center"/>
      <protection locked="0"/>
    </xf>
    <xf numFmtId="183" fontId="6" fillId="7" borderId="105" xfId="0" applyNumberFormat="1" applyFont="1" applyFill="1" applyBorder="1" applyAlignment="1" applyProtection="1">
      <alignment vertical="center"/>
      <protection locked="0"/>
    </xf>
    <xf numFmtId="41" fontId="6" fillId="7" borderId="105" xfId="71" applyFont="1" applyFill="1" applyBorder="1" applyAlignment="1" applyProtection="1">
      <alignment horizontal="center" vertical="center"/>
      <protection locked="0"/>
    </xf>
    <xf numFmtId="177" fontId="6" fillId="7" borderId="105" xfId="71" applyNumberFormat="1" applyFont="1" applyFill="1" applyBorder="1" applyAlignment="1" applyProtection="1">
      <alignment vertical="center"/>
    </xf>
    <xf numFmtId="177" fontId="6" fillId="7" borderId="105" xfId="71" applyNumberFormat="1" applyFont="1" applyFill="1" applyBorder="1" applyAlignment="1" applyProtection="1">
      <alignment horizontal="center" vertical="center"/>
    </xf>
    <xf numFmtId="177" fontId="6" fillId="7" borderId="105" xfId="71" applyNumberFormat="1" applyFont="1" applyFill="1" applyBorder="1" applyAlignment="1" applyProtection="1">
      <alignment vertical="center"/>
      <protection locked="0"/>
    </xf>
    <xf numFmtId="180" fontId="6" fillId="7" borderId="105" xfId="71" applyNumberFormat="1" applyFont="1" applyFill="1" applyBorder="1" applyAlignment="1">
      <alignment vertical="center"/>
    </xf>
    <xf numFmtId="177" fontId="6" fillId="7" borderId="105" xfId="71" applyNumberFormat="1" applyFont="1" applyFill="1" applyBorder="1" applyAlignment="1">
      <alignment vertical="center"/>
    </xf>
    <xf numFmtId="10" fontId="6" fillId="7" borderId="105" xfId="62" applyNumberFormat="1" applyFont="1" applyFill="1" applyBorder="1" applyAlignment="1">
      <alignment horizontal="right" vertical="center"/>
    </xf>
    <xf numFmtId="204" fontId="6" fillId="7" borderId="105" xfId="62" applyNumberFormat="1" applyFont="1" applyFill="1" applyBorder="1" applyAlignment="1">
      <alignment horizontal="right" vertical="center"/>
    </xf>
    <xf numFmtId="177" fontId="6" fillId="7" borderId="106" xfId="71" applyNumberFormat="1" applyFont="1" applyFill="1" applyBorder="1" applyAlignment="1">
      <alignment vertical="center"/>
    </xf>
    <xf numFmtId="187" fontId="20" fillId="0" borderId="0" xfId="101" applyNumberFormat="1" applyFont="1" applyAlignment="1">
      <alignment horizontal="center" vertical="center"/>
    </xf>
    <xf numFmtId="0" fontId="49" fillId="0" borderId="107" xfId="0" applyFont="1" applyBorder="1" applyAlignment="1">
      <alignment vertical="center" wrapText="1"/>
    </xf>
    <xf numFmtId="0" fontId="40" fillId="0" borderId="108" xfId="0" applyFont="1" applyBorder="1" applyAlignment="1">
      <alignment horizontal="center" vertical="center" wrapText="1"/>
    </xf>
    <xf numFmtId="0" fontId="40" fillId="0" borderId="109" xfId="0" applyFont="1" applyBorder="1" applyAlignment="1">
      <alignment horizontal="center" vertical="center" wrapText="1"/>
    </xf>
    <xf numFmtId="0" fontId="40" fillId="0" borderId="110" xfId="0" applyFont="1" applyBorder="1" applyAlignment="1">
      <alignment horizontal="center" vertical="center" wrapText="1"/>
    </xf>
    <xf numFmtId="0" fontId="40" fillId="0" borderId="111" xfId="0" applyFont="1" applyBorder="1" applyAlignment="1">
      <alignment horizontal="center" vertical="center" wrapText="1"/>
    </xf>
    <xf numFmtId="10" fontId="6" fillId="7" borderId="29" xfId="62" applyNumberFormat="1" applyFont="1" applyFill="1" applyBorder="1" applyAlignment="1">
      <alignment horizontal="right" vertical="center"/>
    </xf>
    <xf numFmtId="203" fontId="6" fillId="7" borderId="29" xfId="62" applyNumberFormat="1" applyFont="1" applyFill="1" applyBorder="1" applyAlignment="1">
      <alignment horizontal="right" vertical="center"/>
    </xf>
    <xf numFmtId="195" fontId="6" fillId="0" borderId="28" xfId="62" applyNumberFormat="1" applyFont="1" applyBorder="1" applyAlignment="1">
      <alignment horizontal="right" vertical="center"/>
    </xf>
    <xf numFmtId="201" fontId="6" fillId="7" borderId="29" xfId="71" applyNumberFormat="1" applyFont="1" applyFill="1" applyBorder="1" applyAlignment="1" applyProtection="1">
      <alignment horizontal="right" vertical="center"/>
    </xf>
    <xf numFmtId="0" fontId="20" fillId="0" borderId="1" xfId="99" applyFont="1" applyBorder="1" applyAlignment="1">
      <alignment horizontal="center" vertical="center" wrapText="1"/>
    </xf>
    <xf numFmtId="205" fontId="20" fillId="0" borderId="1" xfId="71" applyNumberFormat="1" applyFont="1" applyFill="1" applyBorder="1" applyAlignment="1" applyProtection="1">
      <alignment vertical="center"/>
    </xf>
    <xf numFmtId="201" fontId="20" fillId="0" borderId="1" xfId="71" applyNumberFormat="1" applyFont="1" applyFill="1" applyBorder="1" applyAlignment="1" applyProtection="1">
      <alignment vertical="center"/>
    </xf>
    <xf numFmtId="41" fontId="20" fillId="0" borderId="94" xfId="71" applyFont="1" applyFill="1" applyBorder="1" applyAlignment="1" applyProtection="1">
      <alignment vertical="center"/>
    </xf>
    <xf numFmtId="41" fontId="20" fillId="0" borderId="19" xfId="71" applyFont="1" applyFill="1" applyBorder="1" applyAlignment="1" applyProtection="1">
      <alignment vertical="center"/>
    </xf>
    <xf numFmtId="41" fontId="20" fillId="0" borderId="20" xfId="71" applyFont="1" applyFill="1" applyBorder="1" applyAlignment="1" applyProtection="1">
      <alignment vertical="center"/>
    </xf>
    <xf numFmtId="41" fontId="0" fillId="0" borderId="0" xfId="0" applyNumberFormat="1"/>
    <xf numFmtId="183" fontId="32" fillId="0" borderId="1" xfId="62" applyNumberFormat="1" applyFont="1" applyFill="1" applyBorder="1" applyAlignment="1">
      <alignment horizontal="right" vertical="center"/>
    </xf>
    <xf numFmtId="201" fontId="32" fillId="0" borderId="2" xfId="100" applyNumberFormat="1" applyFont="1" applyBorder="1" applyAlignment="1">
      <alignment vertical="center"/>
    </xf>
    <xf numFmtId="0" fontId="20" fillId="0" borderId="73" xfId="101" applyFont="1" applyBorder="1" applyAlignment="1">
      <alignment horizontal="centerContinuous" vertical="center"/>
    </xf>
    <xf numFmtId="0" fontId="20" fillId="0" borderId="49" xfId="101" quotePrefix="1" applyFont="1" applyBorder="1" applyAlignment="1">
      <alignment horizontal="centerContinuous" vertical="center"/>
    </xf>
    <xf numFmtId="187" fontId="20" fillId="0" borderId="112" xfId="101" applyNumberFormat="1" applyFont="1" applyBorder="1" applyAlignment="1">
      <alignment horizontal="center" vertical="center"/>
    </xf>
    <xf numFmtId="187" fontId="20" fillId="0" borderId="53" xfId="101" applyNumberFormat="1" applyFont="1" applyBorder="1" applyAlignment="1">
      <alignment horizontal="center" vertical="center"/>
    </xf>
    <xf numFmtId="197" fontId="20" fillId="0" borderId="96" xfId="71" applyNumberFormat="1" applyFont="1" applyBorder="1" applyAlignment="1">
      <alignment horizontal="right" vertical="center"/>
    </xf>
    <xf numFmtId="177" fontId="20" fillId="0" borderId="96" xfId="101" applyNumberFormat="1" applyFont="1" applyBorder="1" applyAlignment="1">
      <alignment vertical="center"/>
    </xf>
    <xf numFmtId="177" fontId="20" fillId="0" borderId="113" xfId="101" applyNumberFormat="1" applyFont="1" applyBorder="1" applyAlignment="1">
      <alignment vertical="center"/>
    </xf>
    <xf numFmtId="0" fontId="20" fillId="0" borderId="52" xfId="101" applyFont="1" applyBorder="1" applyAlignment="1">
      <alignment horizontal="centerContinuous" vertical="center"/>
    </xf>
    <xf numFmtId="0" fontId="20" fillId="0" borderId="68" xfId="101" applyFont="1" applyBorder="1" applyAlignment="1">
      <alignment horizontal="centerContinuous" vertical="center"/>
    </xf>
    <xf numFmtId="0" fontId="20" fillId="0" borderId="114" xfId="101" quotePrefix="1" applyFont="1" applyBorder="1" applyAlignment="1">
      <alignment horizontal="centerContinuous" vertical="center"/>
    </xf>
    <xf numFmtId="197" fontId="20" fillId="0" borderId="14" xfId="71" applyNumberFormat="1" applyFont="1" applyBorder="1" applyAlignment="1">
      <alignment horizontal="right" vertical="center"/>
    </xf>
    <xf numFmtId="177" fontId="20" fillId="0" borderId="14" xfId="101" applyNumberFormat="1" applyFont="1" applyBorder="1" applyAlignment="1">
      <alignment vertical="center"/>
    </xf>
    <xf numFmtId="177" fontId="20" fillId="0" borderId="15" xfId="101" applyNumberFormat="1" applyFont="1" applyBorder="1" applyAlignment="1">
      <alignment horizontal="center" vertical="center"/>
    </xf>
    <xf numFmtId="0" fontId="42" fillId="0" borderId="0" xfId="100" applyFont="1" applyAlignment="1">
      <alignment vertical="center"/>
    </xf>
    <xf numFmtId="0" fontId="51" fillId="0" borderId="0" xfId="100" applyFont="1" applyAlignment="1">
      <alignment vertical="center"/>
    </xf>
    <xf numFmtId="201" fontId="42" fillId="0" borderId="0" xfId="100" applyNumberFormat="1" applyFont="1" applyAlignment="1">
      <alignment vertical="center"/>
    </xf>
    <xf numFmtId="0" fontId="52" fillId="0" borderId="0" xfId="100" applyFont="1" applyAlignment="1">
      <alignment vertical="center"/>
    </xf>
    <xf numFmtId="0" fontId="53" fillId="0" borderId="0" xfId="100" applyFont="1" applyAlignment="1">
      <alignment horizontal="centerContinuous" vertical="center"/>
    </xf>
    <xf numFmtId="0" fontId="42" fillId="0" borderId="0" xfId="100" applyFont="1" applyAlignment="1">
      <alignment horizontal="centerContinuous" vertical="center"/>
    </xf>
    <xf numFmtId="201" fontId="42" fillId="0" borderId="0" xfId="100" applyNumberFormat="1" applyFont="1" applyAlignment="1">
      <alignment horizontal="centerContinuous" vertical="center"/>
    </xf>
    <xf numFmtId="0" fontId="52" fillId="0" borderId="0" xfId="100" applyFont="1" applyAlignment="1">
      <alignment horizontal="centerContinuous" vertical="center"/>
    </xf>
    <xf numFmtId="178" fontId="42" fillId="0" borderId="0" xfId="100" applyNumberFormat="1" applyFont="1" applyAlignment="1">
      <alignment vertical="center"/>
    </xf>
    <xf numFmtId="0" fontId="54" fillId="0" borderId="0" xfId="100" applyFont="1" applyAlignment="1">
      <alignment horizontal="right" vertical="center"/>
    </xf>
    <xf numFmtId="0" fontId="52" fillId="5" borderId="1" xfId="100" applyFont="1" applyFill="1" applyBorder="1" applyAlignment="1">
      <alignment horizontal="center" vertical="center"/>
    </xf>
    <xf numFmtId="177" fontId="52" fillId="0" borderId="1" xfId="71" applyNumberFormat="1" applyFont="1" applyBorder="1" applyAlignment="1">
      <alignment vertical="center"/>
    </xf>
    <xf numFmtId="177" fontId="58" fillId="0" borderId="1" xfId="71" applyNumberFormat="1" applyFont="1" applyFill="1" applyBorder="1" applyAlignment="1" applyProtection="1">
      <alignment vertical="center"/>
    </xf>
    <xf numFmtId="198" fontId="42" fillId="0" borderId="0" xfId="71" applyNumberFormat="1" applyFont="1" applyAlignment="1">
      <alignment horizontal="right" vertical="center"/>
    </xf>
    <xf numFmtId="201" fontId="52" fillId="0" borderId="0" xfId="100" applyNumberFormat="1" applyFont="1" applyAlignment="1">
      <alignment vertical="center"/>
    </xf>
    <xf numFmtId="0" fontId="42" fillId="0" borderId="0" xfId="100" applyFont="1" applyAlignment="1">
      <alignment horizontal="center" vertical="center"/>
    </xf>
    <xf numFmtId="198" fontId="42" fillId="0" borderId="0" xfId="71" applyNumberFormat="1" applyFont="1" applyAlignment="1" applyProtection="1">
      <alignment horizontal="centerContinuous" vertical="center"/>
    </xf>
    <xf numFmtId="198" fontId="59" fillId="0" borderId="0" xfId="71" applyNumberFormat="1" applyFont="1" applyAlignment="1" applyProtection="1">
      <alignment horizontal="centerContinuous" vertical="center"/>
    </xf>
    <xf numFmtId="0" fontId="42" fillId="0" borderId="0" xfId="100" quotePrefix="1" applyFont="1" applyAlignment="1">
      <alignment horizontal="centerContinuous" vertical="center"/>
    </xf>
    <xf numFmtId="201" fontId="52" fillId="0" borderId="0" xfId="100" applyNumberFormat="1" applyFont="1" applyAlignment="1">
      <alignment horizontal="centerContinuous" vertical="center"/>
    </xf>
    <xf numFmtId="198" fontId="42" fillId="0" borderId="0" xfId="71" applyNumberFormat="1" applyFont="1" applyAlignment="1" applyProtection="1">
      <alignment horizontal="right" vertical="center"/>
    </xf>
    <xf numFmtId="0" fontId="52" fillId="8" borderId="0" xfId="100" applyFont="1" applyFill="1" applyAlignment="1">
      <alignment vertical="center"/>
    </xf>
    <xf numFmtId="0" fontId="52" fillId="0" borderId="26" xfId="100" applyFont="1" applyBorder="1" applyAlignment="1">
      <alignment horizontal="center" vertical="center"/>
    </xf>
    <xf numFmtId="0" fontId="52" fillId="0" borderId="42" xfId="100" applyFont="1" applyBorder="1" applyAlignment="1" applyProtection="1">
      <alignment horizontal="left" vertical="center" wrapText="1"/>
      <protection locked="0"/>
    </xf>
    <xf numFmtId="201" fontId="52" fillId="0" borderId="42" xfId="0" applyNumberFormat="1" applyFont="1" applyBorder="1" applyAlignment="1" applyProtection="1">
      <alignment vertical="center"/>
      <protection locked="0"/>
    </xf>
    <xf numFmtId="41" fontId="52" fillId="0" borderId="42" xfId="71" applyFont="1" applyFill="1" applyBorder="1" applyAlignment="1" applyProtection="1">
      <alignment horizontal="center" vertical="center"/>
      <protection locked="0"/>
    </xf>
    <xf numFmtId="198" fontId="52" fillId="0" borderId="42" xfId="71" applyNumberFormat="1" applyFont="1" applyFill="1" applyBorder="1" applyAlignment="1" applyProtection="1">
      <alignment horizontal="right" vertical="center"/>
      <protection locked="0"/>
    </xf>
    <xf numFmtId="177" fontId="52" fillId="0" borderId="42" xfId="71" quotePrefix="1" applyNumberFormat="1" applyFont="1" applyFill="1" applyBorder="1" applyAlignment="1" applyProtection="1">
      <alignment vertical="center"/>
      <protection locked="0"/>
    </xf>
    <xf numFmtId="177" fontId="52" fillId="0" borderId="42" xfId="71" applyNumberFormat="1" applyFont="1" applyFill="1" applyBorder="1" applyAlignment="1" applyProtection="1">
      <alignment vertical="center"/>
      <protection locked="0"/>
    </xf>
    <xf numFmtId="177" fontId="52" fillId="0" borderId="42" xfId="71" applyNumberFormat="1" applyFont="1" applyFill="1" applyBorder="1" applyAlignment="1" applyProtection="1">
      <alignment vertical="center"/>
    </xf>
    <xf numFmtId="201" fontId="52" fillId="0" borderId="1" xfId="71" applyNumberFormat="1" applyFont="1" applyFill="1" applyBorder="1" applyAlignment="1" applyProtection="1">
      <alignment vertical="center"/>
    </xf>
    <xf numFmtId="180" fontId="52" fillId="0" borderId="42" xfId="71" applyNumberFormat="1" applyFont="1" applyBorder="1" applyAlignment="1">
      <alignment vertical="center"/>
    </xf>
    <xf numFmtId="177" fontId="52" fillId="0" borderId="42" xfId="71" applyNumberFormat="1" applyFont="1" applyBorder="1" applyAlignment="1">
      <alignment vertical="center"/>
    </xf>
    <xf numFmtId="10" fontId="52" fillId="0" borderId="42" xfId="62" applyNumberFormat="1" applyFont="1" applyBorder="1" applyAlignment="1">
      <alignment horizontal="right" vertical="center"/>
    </xf>
    <xf numFmtId="204" fontId="52" fillId="0" borderId="42" xfId="62" applyNumberFormat="1" applyFont="1" applyBorder="1" applyAlignment="1">
      <alignment horizontal="right" vertical="center"/>
    </xf>
    <xf numFmtId="177" fontId="52" fillId="0" borderId="66" xfId="71" applyNumberFormat="1" applyFont="1" applyFill="1" applyBorder="1" applyAlignment="1">
      <alignment horizontal="center" vertical="center"/>
    </xf>
    <xf numFmtId="41" fontId="52" fillId="0" borderId="42" xfId="71" applyFont="1" applyFill="1" applyBorder="1" applyAlignment="1" applyProtection="1">
      <alignment vertical="center"/>
      <protection locked="0"/>
    </xf>
    <xf numFmtId="182" fontId="52" fillId="0" borderId="42" xfId="0" applyNumberFormat="1" applyFont="1" applyBorder="1" applyAlignment="1" applyProtection="1">
      <alignment vertical="center"/>
      <protection locked="0"/>
    </xf>
    <xf numFmtId="0" fontId="52" fillId="5" borderId="42" xfId="100" applyFont="1" applyFill="1" applyBorder="1" applyAlignment="1">
      <alignment horizontal="center" vertical="center"/>
    </xf>
    <xf numFmtId="0" fontId="52" fillId="0" borderId="6" xfId="100" applyFont="1" applyBorder="1" applyAlignment="1" applyProtection="1">
      <alignment horizontal="left" vertical="center" wrapText="1"/>
      <protection locked="0"/>
    </xf>
    <xf numFmtId="201" fontId="52" fillId="0" borderId="6" xfId="0" applyNumberFormat="1" applyFont="1" applyBorder="1" applyAlignment="1" applyProtection="1">
      <alignment vertical="center"/>
      <protection locked="0"/>
    </xf>
    <xf numFmtId="41" fontId="52" fillId="0" borderId="6" xfId="71" applyFont="1" applyFill="1" applyBorder="1" applyAlignment="1" applyProtection="1">
      <alignment horizontal="center" vertical="center"/>
      <protection locked="0"/>
    </xf>
    <xf numFmtId="198" fontId="52" fillId="0" borderId="6" xfId="71" applyNumberFormat="1" applyFont="1" applyFill="1" applyBorder="1" applyAlignment="1" applyProtection="1">
      <alignment horizontal="right" vertical="center"/>
      <protection locked="0"/>
    </xf>
    <xf numFmtId="177" fontId="52" fillId="0" borderId="6" xfId="71" quotePrefix="1" applyNumberFormat="1" applyFont="1" applyFill="1" applyBorder="1" applyAlignment="1" applyProtection="1">
      <alignment vertical="center"/>
      <protection locked="0"/>
    </xf>
    <xf numFmtId="177" fontId="52" fillId="0" borderId="6" xfId="71" applyNumberFormat="1" applyFont="1" applyFill="1" applyBorder="1" applyAlignment="1" applyProtection="1">
      <alignment vertical="center"/>
      <protection locked="0"/>
    </xf>
    <xf numFmtId="177" fontId="52" fillId="0" borderId="6" xfId="71" applyNumberFormat="1" applyFont="1" applyFill="1" applyBorder="1" applyAlignment="1" applyProtection="1">
      <alignment vertical="center"/>
    </xf>
    <xf numFmtId="177" fontId="58" fillId="0" borderId="63" xfId="71" applyNumberFormat="1" applyFont="1" applyFill="1" applyBorder="1" applyAlignment="1" applyProtection="1">
      <alignment vertical="center"/>
    </xf>
    <xf numFmtId="201" fontId="52" fillId="0" borderId="63" xfId="71" applyNumberFormat="1" applyFont="1" applyFill="1" applyBorder="1" applyAlignment="1" applyProtection="1">
      <alignment vertical="center"/>
    </xf>
    <xf numFmtId="180" fontId="52" fillId="0" borderId="6" xfId="71" applyNumberFormat="1" applyFont="1" applyBorder="1" applyAlignment="1">
      <alignment vertical="center"/>
    </xf>
    <xf numFmtId="177" fontId="52" fillId="0" borderId="6" xfId="71" applyNumberFormat="1" applyFont="1" applyBorder="1" applyAlignment="1">
      <alignment vertical="center"/>
    </xf>
    <xf numFmtId="10" fontId="52" fillId="0" borderId="6" xfId="62" applyNumberFormat="1" applyFont="1" applyBorder="1" applyAlignment="1">
      <alignment horizontal="right" vertical="center"/>
    </xf>
    <xf numFmtId="204" fontId="52" fillId="0" borderId="6" xfId="62" applyNumberFormat="1" applyFont="1" applyBorder="1" applyAlignment="1">
      <alignment horizontal="right" vertical="center"/>
    </xf>
    <xf numFmtId="177" fontId="52" fillId="0" borderId="115" xfId="71" applyNumberFormat="1" applyFont="1" applyFill="1" applyBorder="1" applyAlignment="1">
      <alignment horizontal="center" vertical="center"/>
    </xf>
    <xf numFmtId="177" fontId="58" fillId="0" borderId="42" xfId="71" applyNumberFormat="1" applyFont="1" applyFill="1" applyBorder="1" applyAlignment="1" applyProtection="1">
      <alignment vertical="center"/>
    </xf>
    <xf numFmtId="201" fontId="52" fillId="0" borderId="42" xfId="71" applyNumberFormat="1" applyFont="1" applyFill="1" applyBorder="1" applyAlignment="1" applyProtection="1">
      <alignment vertical="center"/>
    </xf>
    <xf numFmtId="195" fontId="52" fillId="0" borderId="42" xfId="62" applyNumberFormat="1" applyFont="1" applyBorder="1" applyAlignment="1">
      <alignment horizontal="right" vertical="center"/>
    </xf>
    <xf numFmtId="177" fontId="58" fillId="0" borderId="37" xfId="71" applyNumberFormat="1" applyFont="1" applyFill="1" applyBorder="1" applyAlignment="1" applyProtection="1">
      <alignment vertical="center"/>
    </xf>
    <xf numFmtId="177" fontId="52" fillId="0" borderId="2" xfId="71" applyNumberFormat="1" applyFont="1" applyFill="1" applyBorder="1" applyAlignment="1">
      <alignment horizontal="center" vertical="center"/>
    </xf>
    <xf numFmtId="0" fontId="52" fillId="0" borderId="37" xfId="100" applyFont="1" applyBorder="1" applyAlignment="1">
      <alignment vertical="center"/>
    </xf>
    <xf numFmtId="201" fontId="52" fillId="0" borderId="37" xfId="100" applyNumberFormat="1" applyFont="1" applyBorder="1" applyAlignment="1">
      <alignment vertical="center"/>
    </xf>
    <xf numFmtId="195" fontId="52" fillId="0" borderId="6" xfId="62" applyNumberFormat="1" applyFont="1" applyBorder="1" applyAlignment="1">
      <alignment horizontal="right" vertical="center"/>
    </xf>
    <xf numFmtId="0" fontId="52" fillId="0" borderId="1" xfId="100" applyFont="1" applyBorder="1" applyAlignment="1" applyProtection="1">
      <alignment horizontal="left" vertical="center" wrapText="1"/>
      <protection locked="0"/>
    </xf>
    <xf numFmtId="201" fontId="52" fillId="0" borderId="1" xfId="0" applyNumberFormat="1" applyFont="1" applyBorder="1" applyAlignment="1" applyProtection="1">
      <alignment vertical="center"/>
      <protection locked="0"/>
    </xf>
    <xf numFmtId="41" fontId="52" fillId="0" borderId="1" xfId="71" applyFont="1" applyFill="1" applyBorder="1" applyAlignment="1" applyProtection="1">
      <alignment horizontal="center" vertical="center"/>
      <protection locked="0"/>
    </xf>
    <xf numFmtId="198" fontId="52" fillId="0" borderId="1" xfId="71" applyNumberFormat="1" applyFont="1" applyFill="1" applyBorder="1" applyAlignment="1" applyProtection="1">
      <alignment horizontal="right" vertical="center"/>
      <protection locked="0"/>
    </xf>
    <xf numFmtId="177" fontId="52" fillId="0" borderId="1" xfId="71" quotePrefix="1" applyNumberFormat="1" applyFont="1" applyFill="1" applyBorder="1" applyAlignment="1" applyProtection="1">
      <alignment vertical="center"/>
      <protection locked="0"/>
    </xf>
    <xf numFmtId="177" fontId="52" fillId="0" borderId="1" xfId="71" applyNumberFormat="1" applyFont="1" applyFill="1" applyBorder="1" applyAlignment="1" applyProtection="1">
      <alignment vertical="center"/>
      <protection locked="0"/>
    </xf>
    <xf numFmtId="177" fontId="52" fillId="0" borderId="1" xfId="71" applyNumberFormat="1" applyFont="1" applyFill="1" applyBorder="1" applyAlignment="1" applyProtection="1">
      <alignment vertical="center"/>
    </xf>
    <xf numFmtId="0" fontId="52" fillId="0" borderId="1" xfId="100" applyFont="1" applyBorder="1" applyAlignment="1">
      <alignment vertical="center"/>
    </xf>
    <xf numFmtId="201" fontId="52" fillId="0" borderId="1" xfId="100" applyNumberFormat="1" applyFont="1" applyBorder="1" applyAlignment="1">
      <alignment vertical="center"/>
    </xf>
    <xf numFmtId="180" fontId="52" fillId="0" borderId="1" xfId="71" applyNumberFormat="1" applyFont="1" applyBorder="1" applyAlignment="1">
      <alignment vertical="center"/>
    </xf>
    <xf numFmtId="195" fontId="52" fillId="0" borderId="1" xfId="62" applyNumberFormat="1" applyFont="1" applyBorder="1" applyAlignment="1">
      <alignment horizontal="right" vertical="center"/>
    </xf>
    <xf numFmtId="204" fontId="52" fillId="0" borderId="1" xfId="62" applyNumberFormat="1" applyFont="1" applyBorder="1" applyAlignment="1">
      <alignment horizontal="right" vertical="center"/>
    </xf>
    <xf numFmtId="0" fontId="58" fillId="0" borderId="0" xfId="100" applyFont="1" applyAlignment="1">
      <alignment vertical="center"/>
    </xf>
    <xf numFmtId="0" fontId="52" fillId="0" borderId="42" xfId="100" applyFont="1" applyBorder="1" applyAlignment="1">
      <alignment vertical="center"/>
    </xf>
    <xf numFmtId="201" fontId="52" fillId="0" borderId="42" xfId="100" applyNumberFormat="1" applyFont="1" applyBorder="1" applyAlignment="1">
      <alignment vertical="center"/>
    </xf>
    <xf numFmtId="0" fontId="52" fillId="0" borderId="30" xfId="100" applyFont="1" applyBorder="1" applyAlignment="1">
      <alignment horizontal="center" vertical="center"/>
    </xf>
    <xf numFmtId="0" fontId="52" fillId="0" borderId="31" xfId="100" applyFont="1" applyBorder="1" applyAlignment="1" applyProtection="1">
      <alignment horizontal="left" vertical="center" wrapText="1"/>
      <protection locked="0"/>
    </xf>
    <xf numFmtId="201" fontId="52" fillId="0" borderId="31" xfId="0" applyNumberFormat="1" applyFont="1" applyBorder="1" applyAlignment="1" applyProtection="1">
      <alignment vertical="center"/>
      <protection locked="0"/>
    </xf>
    <xf numFmtId="41" fontId="52" fillId="0" borderId="31" xfId="71" applyFont="1" applyFill="1" applyBorder="1" applyAlignment="1" applyProtection="1">
      <alignment horizontal="center" vertical="center"/>
      <protection locked="0"/>
    </xf>
    <xf numFmtId="198" fontId="52" fillId="0" borderId="31" xfId="71" applyNumberFormat="1" applyFont="1" applyFill="1" applyBorder="1" applyAlignment="1" applyProtection="1">
      <alignment horizontal="right" vertical="center"/>
      <protection locked="0"/>
    </xf>
    <xf numFmtId="177" fontId="52" fillId="0" borderId="31" xfId="71" quotePrefix="1" applyNumberFormat="1" applyFont="1" applyFill="1" applyBorder="1" applyAlignment="1" applyProtection="1">
      <alignment vertical="center"/>
      <protection locked="0"/>
    </xf>
    <xf numFmtId="177" fontId="52" fillId="0" borderId="31" xfId="71" applyNumberFormat="1" applyFont="1" applyFill="1" applyBorder="1" applyAlignment="1" applyProtection="1">
      <alignment vertical="center"/>
      <protection locked="0"/>
    </xf>
    <xf numFmtId="177" fontId="52" fillId="0" borderId="31" xfId="71" applyNumberFormat="1" applyFont="1" applyFill="1" applyBorder="1" applyAlignment="1" applyProtection="1">
      <alignment vertical="center"/>
    </xf>
    <xf numFmtId="180" fontId="52" fillId="0" borderId="31" xfId="71" applyNumberFormat="1" applyFont="1" applyBorder="1" applyAlignment="1">
      <alignment vertical="center"/>
    </xf>
    <xf numFmtId="177" fontId="52" fillId="0" borderId="31" xfId="71" applyNumberFormat="1" applyFont="1" applyBorder="1" applyAlignment="1">
      <alignment vertical="center"/>
    </xf>
    <xf numFmtId="195" fontId="52" fillId="0" borderId="31" xfId="62" applyNumberFormat="1" applyFont="1" applyBorder="1" applyAlignment="1">
      <alignment horizontal="right" vertical="center"/>
    </xf>
    <xf numFmtId="204" fontId="52" fillId="0" borderId="31" xfId="62" applyNumberFormat="1" applyFont="1" applyBorder="1" applyAlignment="1">
      <alignment horizontal="right" vertical="center"/>
    </xf>
    <xf numFmtId="177" fontId="52" fillId="0" borderId="64" xfId="71" applyNumberFormat="1" applyFont="1" applyFill="1" applyBorder="1" applyAlignment="1">
      <alignment horizontal="center" vertical="center"/>
    </xf>
    <xf numFmtId="0" fontId="52" fillId="0" borderId="116" xfId="100" applyFont="1" applyBorder="1" applyAlignment="1">
      <alignment horizontal="center" vertical="center"/>
    </xf>
    <xf numFmtId="0" fontId="52" fillId="0" borderId="63" xfId="100" applyFont="1" applyBorder="1" applyAlignment="1" applyProtection="1">
      <alignment horizontal="left" vertical="center" wrapText="1"/>
      <protection locked="0"/>
    </xf>
    <xf numFmtId="201" fontId="52" fillId="0" borderId="63" xfId="0" applyNumberFormat="1" applyFont="1" applyBorder="1" applyAlignment="1" applyProtection="1">
      <alignment vertical="center"/>
      <protection locked="0"/>
    </xf>
    <xf numFmtId="41" fontId="52" fillId="0" borderId="63" xfId="71" applyFont="1" applyFill="1" applyBorder="1" applyAlignment="1" applyProtection="1">
      <alignment horizontal="center" vertical="center"/>
      <protection locked="0"/>
    </xf>
    <xf numFmtId="198" fontId="52" fillId="0" borderId="63" xfId="71" applyNumberFormat="1" applyFont="1" applyFill="1" applyBorder="1" applyAlignment="1" applyProtection="1">
      <alignment horizontal="right" vertical="center"/>
      <protection locked="0"/>
    </xf>
    <xf numFmtId="177" fontId="52" fillId="0" borderId="63" xfId="71" quotePrefix="1" applyNumberFormat="1" applyFont="1" applyFill="1" applyBorder="1" applyAlignment="1" applyProtection="1">
      <alignment vertical="center"/>
      <protection locked="0"/>
    </xf>
    <xf numFmtId="177" fontId="52" fillId="0" borderId="63" xfId="71" applyNumberFormat="1" applyFont="1" applyFill="1" applyBorder="1" applyAlignment="1" applyProtection="1">
      <alignment vertical="center"/>
      <protection locked="0"/>
    </xf>
    <xf numFmtId="177" fontId="52" fillId="0" borderId="63" xfId="71" applyNumberFormat="1" applyFont="1" applyFill="1" applyBorder="1" applyAlignment="1" applyProtection="1">
      <alignment vertical="center"/>
    </xf>
    <xf numFmtId="180" fontId="52" fillId="0" borderId="63" xfId="71" applyNumberFormat="1" applyFont="1" applyBorder="1" applyAlignment="1">
      <alignment vertical="center"/>
    </xf>
    <xf numFmtId="177" fontId="52" fillId="0" borderId="63" xfId="71" applyNumberFormat="1" applyFont="1" applyBorder="1" applyAlignment="1">
      <alignment vertical="center"/>
    </xf>
    <xf numFmtId="195" fontId="52" fillId="0" borderId="63" xfId="62" applyNumberFormat="1" applyFont="1" applyBorder="1" applyAlignment="1">
      <alignment horizontal="right" vertical="center"/>
    </xf>
    <xf numFmtId="204" fontId="52" fillId="0" borderId="63" xfId="62" applyNumberFormat="1" applyFont="1" applyBorder="1" applyAlignment="1">
      <alignment horizontal="right" vertical="center"/>
    </xf>
    <xf numFmtId="177" fontId="52" fillId="0" borderId="72" xfId="71" applyNumberFormat="1" applyFont="1" applyFill="1" applyBorder="1" applyAlignment="1">
      <alignment horizontal="center" vertical="center"/>
    </xf>
    <xf numFmtId="0" fontId="52" fillId="0" borderId="63" xfId="100" applyFont="1" applyBorder="1" applyAlignment="1">
      <alignment vertical="center"/>
    </xf>
    <xf numFmtId="201" fontId="52" fillId="0" borderId="63" xfId="100" applyNumberFormat="1" applyFont="1" applyBorder="1" applyAlignment="1">
      <alignment vertical="center"/>
    </xf>
    <xf numFmtId="0" fontId="52" fillId="0" borderId="42" xfId="100" applyFont="1" applyBorder="1" applyAlignment="1" applyProtection="1">
      <alignment horizontal="left" vertical="center"/>
      <protection locked="0"/>
    </xf>
    <xf numFmtId="0" fontId="52" fillId="0" borderId="1" xfId="100" applyFont="1" applyBorder="1" applyAlignment="1" applyProtection="1">
      <alignment horizontal="left" vertical="center"/>
      <protection locked="0"/>
    </xf>
    <xf numFmtId="204" fontId="52" fillId="0" borderId="0" xfId="100" applyNumberFormat="1" applyFont="1" applyAlignment="1">
      <alignment vertical="center"/>
    </xf>
    <xf numFmtId="0" fontId="6" fillId="0" borderId="33" xfId="100" applyFont="1" applyBorder="1" applyAlignment="1">
      <alignment horizontal="center" vertical="center"/>
    </xf>
    <xf numFmtId="0" fontId="60" fillId="0" borderId="0" xfId="100" applyFont="1" applyAlignment="1">
      <alignment vertical="center"/>
    </xf>
    <xf numFmtId="0" fontId="51" fillId="5" borderId="1" xfId="100" applyFont="1" applyFill="1" applyBorder="1" applyAlignment="1">
      <alignment horizontal="center" vertical="center"/>
    </xf>
    <xf numFmtId="0" fontId="51" fillId="6" borderId="0" xfId="100" applyFont="1" applyFill="1" applyAlignment="1">
      <alignment vertical="center"/>
    </xf>
    <xf numFmtId="194" fontId="51" fillId="6" borderId="36" xfId="100" applyNumberFormat="1" applyFont="1" applyFill="1" applyBorder="1" applyAlignment="1">
      <alignment horizontal="center" vertical="center"/>
    </xf>
    <xf numFmtId="0" fontId="51" fillId="6" borderId="1" xfId="100" applyFont="1" applyFill="1" applyBorder="1" applyAlignment="1" applyProtection="1">
      <alignment horizontal="center" vertical="center"/>
      <protection locked="0"/>
    </xf>
    <xf numFmtId="201" fontId="51" fillId="6" borderId="1" xfId="0" applyNumberFormat="1" applyFont="1" applyFill="1" applyBorder="1" applyAlignment="1" applyProtection="1">
      <alignment horizontal="right" vertical="center"/>
      <protection locked="0"/>
    </xf>
    <xf numFmtId="41" fontId="51" fillId="6" borderId="1" xfId="71" applyFont="1" applyFill="1" applyBorder="1" applyAlignment="1" applyProtection="1">
      <alignment horizontal="center" vertical="center"/>
      <protection locked="0"/>
    </xf>
    <xf numFmtId="177" fontId="51" fillId="6" borderId="1" xfId="71" quotePrefix="1" applyNumberFormat="1" applyFont="1" applyFill="1" applyBorder="1" applyAlignment="1" applyProtection="1">
      <alignment vertical="center"/>
      <protection locked="0"/>
    </xf>
    <xf numFmtId="177" fontId="51" fillId="6" borderId="1" xfId="71" applyNumberFormat="1" applyFont="1" applyFill="1" applyBorder="1" applyAlignment="1" applyProtection="1">
      <alignment vertical="center"/>
      <protection locked="0"/>
    </xf>
    <xf numFmtId="177" fontId="51" fillId="6" borderId="1" xfId="71" applyNumberFormat="1" applyFont="1" applyFill="1" applyBorder="1" applyAlignment="1" applyProtection="1">
      <alignment vertical="center"/>
    </xf>
    <xf numFmtId="177" fontId="51" fillId="6" borderId="78" xfId="71" applyNumberFormat="1" applyFont="1" applyFill="1" applyBorder="1" applyAlignment="1" applyProtection="1">
      <alignment vertical="center"/>
      <protection locked="0"/>
    </xf>
    <xf numFmtId="177" fontId="51" fillId="6" borderId="78" xfId="71" applyNumberFormat="1" applyFont="1" applyFill="1" applyBorder="1" applyAlignment="1" applyProtection="1">
      <alignment vertical="center"/>
    </xf>
    <xf numFmtId="177" fontId="51" fillId="6" borderId="1" xfId="71" applyNumberFormat="1" applyFont="1" applyFill="1" applyBorder="1" applyAlignment="1">
      <alignment vertical="center"/>
    </xf>
    <xf numFmtId="10" fontId="51" fillId="6" borderId="42" xfId="62" applyNumberFormat="1" applyFont="1" applyFill="1" applyBorder="1" applyAlignment="1">
      <alignment horizontal="center" vertical="center"/>
    </xf>
    <xf numFmtId="183" fontId="51" fillId="6" borderId="42" xfId="62" applyNumberFormat="1" applyFont="1" applyFill="1" applyBorder="1" applyAlignment="1">
      <alignment horizontal="center" vertical="center"/>
    </xf>
    <xf numFmtId="177" fontId="51" fillId="6" borderId="2" xfId="71" applyNumberFormat="1" applyFont="1" applyFill="1" applyBorder="1" applyAlignment="1">
      <alignment vertical="center"/>
    </xf>
    <xf numFmtId="0" fontId="51" fillId="0" borderId="36" xfId="100" applyFont="1" applyBorder="1" applyAlignment="1">
      <alignment horizontal="center" vertical="center"/>
    </xf>
    <xf numFmtId="0" fontId="51" fillId="0" borderId="1" xfId="0" applyFont="1" applyBorder="1" applyAlignment="1" applyProtection="1">
      <alignment horizontal="center" vertical="center"/>
      <protection locked="0"/>
    </xf>
    <xf numFmtId="201" fontId="51" fillId="0" borderId="1" xfId="0" applyNumberFormat="1" applyFont="1" applyBorder="1" applyAlignment="1" applyProtection="1">
      <alignment horizontal="right" vertical="center"/>
      <protection locked="0"/>
    </xf>
    <xf numFmtId="41" fontId="51" fillId="0" borderId="1" xfId="71" applyFont="1" applyBorder="1" applyAlignment="1" applyProtection="1">
      <alignment horizontal="right" vertical="center"/>
      <protection locked="0"/>
    </xf>
    <xf numFmtId="177" fontId="51" fillId="0" borderId="1" xfId="71" quotePrefix="1" applyNumberFormat="1" applyFont="1" applyBorder="1" applyAlignment="1" applyProtection="1">
      <alignment horizontal="right" vertical="center"/>
      <protection locked="0"/>
    </xf>
    <xf numFmtId="177" fontId="51" fillId="0" borderId="1" xfId="71" applyNumberFormat="1" applyFont="1" applyBorder="1" applyAlignment="1" applyProtection="1">
      <alignment horizontal="right" vertical="center"/>
      <protection locked="0"/>
    </xf>
    <xf numFmtId="177" fontId="51" fillId="0" borderId="1" xfId="71" applyNumberFormat="1" applyFont="1" applyBorder="1" applyAlignment="1" applyProtection="1">
      <alignment horizontal="right" vertical="center"/>
    </xf>
    <xf numFmtId="177" fontId="60" fillId="6" borderId="1" xfId="71" applyNumberFormat="1" applyFont="1" applyFill="1" applyBorder="1" applyAlignment="1" applyProtection="1">
      <alignment vertical="center"/>
    </xf>
    <xf numFmtId="177" fontId="51" fillId="0" borderId="78" xfId="71" applyNumberFormat="1" applyFont="1" applyBorder="1" applyAlignment="1" applyProtection="1">
      <alignment horizontal="right" vertical="center"/>
      <protection locked="0"/>
    </xf>
    <xf numFmtId="177" fontId="51" fillId="0" borderId="78" xfId="71" applyNumberFormat="1" applyFont="1" applyBorder="1" applyAlignment="1" applyProtection="1">
      <alignment horizontal="right" vertical="center"/>
    </xf>
    <xf numFmtId="177" fontId="51" fillId="0" borderId="1" xfId="71" applyNumberFormat="1" applyFont="1" applyBorder="1" applyAlignment="1">
      <alignment horizontal="right" vertical="center"/>
    </xf>
    <xf numFmtId="195" fontId="51" fillId="0" borderId="1" xfId="62" applyNumberFormat="1" applyFont="1" applyBorder="1" applyAlignment="1">
      <alignment horizontal="center" vertical="center"/>
    </xf>
    <xf numFmtId="183" fontId="51" fillId="0" borderId="1" xfId="62" applyNumberFormat="1" applyFont="1" applyBorder="1" applyAlignment="1">
      <alignment horizontal="center" vertical="center"/>
    </xf>
    <xf numFmtId="177" fontId="51" fillId="0" borderId="2" xfId="71" applyNumberFormat="1" applyFont="1" applyBorder="1" applyAlignment="1">
      <alignment vertical="center"/>
    </xf>
    <xf numFmtId="10" fontId="51" fillId="6" borderId="1" xfId="62" applyNumberFormat="1" applyFont="1" applyFill="1" applyBorder="1" applyAlignment="1">
      <alignment horizontal="center" vertical="center"/>
    </xf>
    <xf numFmtId="183" fontId="51" fillId="6" borderId="1" xfId="62" applyNumberFormat="1" applyFont="1" applyFill="1" applyBorder="1" applyAlignment="1">
      <alignment horizontal="center" vertical="center"/>
    </xf>
    <xf numFmtId="194" fontId="51" fillId="0" borderId="36" xfId="100" applyNumberFormat="1" applyFont="1" applyBorder="1" applyAlignment="1">
      <alignment horizontal="center" vertical="center"/>
    </xf>
    <xf numFmtId="0" fontId="51" fillId="0" borderId="1" xfId="100" applyFont="1" applyBorder="1" applyAlignment="1" applyProtection="1">
      <alignment horizontal="center" vertical="center"/>
      <protection locked="0"/>
    </xf>
    <xf numFmtId="201" fontId="51" fillId="0" borderId="1" xfId="0" applyNumberFormat="1" applyFont="1" applyBorder="1" applyAlignment="1" applyProtection="1">
      <alignment horizontal="center" vertical="center"/>
      <protection locked="0"/>
    </xf>
    <xf numFmtId="41" fontId="51" fillId="0" borderId="1" xfId="71" applyFont="1" applyBorder="1" applyAlignment="1" applyProtection="1">
      <alignment horizontal="center" vertical="center"/>
      <protection locked="0"/>
    </xf>
    <xf numFmtId="177" fontId="51" fillId="0" borderId="1" xfId="71" quotePrefix="1" applyNumberFormat="1" applyFont="1" applyBorder="1" applyAlignment="1" applyProtection="1">
      <alignment vertical="center"/>
      <protection locked="0"/>
    </xf>
    <xf numFmtId="177" fontId="51" fillId="0" borderId="1" xfId="71" applyNumberFormat="1" applyFont="1" applyBorder="1" applyAlignment="1" applyProtection="1">
      <alignment vertical="center"/>
      <protection locked="0"/>
    </xf>
    <xf numFmtId="177" fontId="51" fillId="0" borderId="1" xfId="71" applyNumberFormat="1" applyFont="1" applyBorder="1" applyAlignment="1" applyProtection="1">
      <alignment vertical="center"/>
    </xf>
    <xf numFmtId="177" fontId="51" fillId="0" borderId="78" xfId="71" applyNumberFormat="1" applyFont="1" applyBorder="1" applyAlignment="1" applyProtection="1">
      <alignment vertical="center"/>
      <protection locked="0"/>
    </xf>
    <xf numFmtId="177" fontId="51" fillId="0" borderId="78" xfId="71" applyNumberFormat="1" applyFont="1" applyBorder="1" applyAlignment="1" applyProtection="1">
      <alignment vertical="center"/>
    </xf>
    <xf numFmtId="177" fontId="51" fillId="0" borderId="1" xfId="71" applyNumberFormat="1" applyFont="1" applyBorder="1" applyAlignment="1">
      <alignment vertical="center"/>
    </xf>
    <xf numFmtId="0" fontId="51" fillId="0" borderId="117" xfId="100" applyFont="1" applyBorder="1" applyAlignment="1">
      <alignment horizontal="center" vertical="center"/>
    </xf>
    <xf numFmtId="0" fontId="51" fillId="0" borderId="56" xfId="100" applyFont="1" applyBorder="1" applyAlignment="1">
      <alignment vertical="center"/>
    </xf>
    <xf numFmtId="41" fontId="51" fillId="0" borderId="1" xfId="71" applyFont="1" applyFill="1" applyBorder="1" applyAlignment="1" applyProtection="1">
      <alignment horizontal="center" vertical="center"/>
      <protection locked="0"/>
    </xf>
    <xf numFmtId="177" fontId="51" fillId="0" borderId="1" xfId="71" quotePrefix="1" applyNumberFormat="1" applyFont="1" applyFill="1" applyBorder="1" applyAlignment="1" applyProtection="1">
      <alignment vertical="center"/>
      <protection locked="0"/>
    </xf>
    <xf numFmtId="177" fontId="51" fillId="0" borderId="1" xfId="71" applyNumberFormat="1" applyFont="1" applyFill="1" applyBorder="1" applyAlignment="1" applyProtection="1">
      <alignment vertical="center"/>
      <protection locked="0"/>
    </xf>
    <xf numFmtId="177" fontId="51" fillId="0" borderId="1" xfId="71" applyNumberFormat="1" applyFont="1" applyFill="1" applyBorder="1" applyAlignment="1" applyProtection="1">
      <alignment vertical="center"/>
    </xf>
    <xf numFmtId="177" fontId="51" fillId="0" borderId="78" xfId="71" applyNumberFormat="1" applyFont="1" applyFill="1" applyBorder="1" applyAlignment="1" applyProtection="1">
      <alignment vertical="center"/>
      <protection locked="0"/>
    </xf>
    <xf numFmtId="177" fontId="51" fillId="0" borderId="78" xfId="71" applyNumberFormat="1" applyFont="1" applyFill="1" applyBorder="1" applyAlignment="1" applyProtection="1">
      <alignment vertical="center"/>
    </xf>
    <xf numFmtId="177" fontId="51" fillId="0" borderId="2" xfId="71" applyNumberFormat="1" applyFont="1" applyFill="1" applyBorder="1" applyAlignment="1">
      <alignment vertical="center"/>
    </xf>
    <xf numFmtId="0" fontId="51" fillId="0" borderId="3" xfId="100" applyFont="1" applyBorder="1" applyAlignment="1">
      <alignment horizontal="center" vertical="center"/>
    </xf>
    <xf numFmtId="0" fontId="51" fillId="0" borderId="4" xfId="100" applyFont="1" applyBorder="1" applyAlignment="1" applyProtection="1">
      <alignment horizontal="left" vertical="center"/>
      <protection locked="0"/>
    </xf>
    <xf numFmtId="201" fontId="51" fillId="0" borderId="4" xfId="0" applyNumberFormat="1" applyFont="1" applyBorder="1" applyAlignment="1" applyProtection="1">
      <alignment horizontal="center" vertical="center"/>
      <protection locked="0"/>
    </xf>
    <xf numFmtId="41" fontId="51" fillId="0" borderId="4" xfId="71" applyFont="1" applyFill="1" applyBorder="1" applyAlignment="1" applyProtection="1">
      <alignment horizontal="center" vertical="center"/>
      <protection locked="0"/>
    </xf>
    <xf numFmtId="177" fontId="51" fillId="0" borderId="4" xfId="0" quotePrefix="1" applyNumberFormat="1" applyFont="1" applyBorder="1" applyAlignment="1" applyProtection="1">
      <alignment vertical="center"/>
      <protection locked="0"/>
    </xf>
    <xf numFmtId="177" fontId="51" fillId="0" borderId="4" xfId="0" applyNumberFormat="1" applyFont="1" applyBorder="1" applyAlignment="1" applyProtection="1">
      <alignment vertical="center"/>
      <protection locked="0"/>
    </xf>
    <xf numFmtId="177" fontId="51" fillId="0" borderId="4" xfId="0" applyNumberFormat="1" applyFont="1" applyBorder="1" applyAlignment="1">
      <alignment vertical="center"/>
    </xf>
    <xf numFmtId="177" fontId="60" fillId="0" borderId="4" xfId="71" applyNumberFormat="1" applyFont="1" applyFill="1" applyBorder="1" applyAlignment="1" applyProtection="1">
      <alignment vertical="center"/>
    </xf>
    <xf numFmtId="177" fontId="51" fillId="0" borderId="118" xfId="0" applyNumberFormat="1" applyFont="1" applyBorder="1" applyAlignment="1" applyProtection="1">
      <alignment vertical="center"/>
      <protection locked="0"/>
    </xf>
    <xf numFmtId="177" fontId="51" fillId="0" borderId="118" xfId="0" applyNumberFormat="1" applyFont="1" applyBorder="1" applyAlignment="1">
      <alignment vertical="center"/>
    </xf>
    <xf numFmtId="0" fontId="51" fillId="0" borderId="4" xfId="100" applyFont="1" applyBorder="1" applyAlignment="1">
      <alignment vertical="center"/>
    </xf>
    <xf numFmtId="179" fontId="51" fillId="0" borderId="4" xfId="62" applyNumberFormat="1" applyFont="1" applyFill="1" applyBorder="1" applyAlignment="1">
      <alignment vertical="center"/>
    </xf>
    <xf numFmtId="183" fontId="51" fillId="0" borderId="4" xfId="62" applyNumberFormat="1" applyFont="1" applyFill="1" applyBorder="1" applyAlignment="1">
      <alignment vertical="center"/>
    </xf>
    <xf numFmtId="0" fontId="51" fillId="0" borderId="119" xfId="100" applyFont="1" applyBorder="1" applyAlignment="1">
      <alignment vertical="center"/>
    </xf>
    <xf numFmtId="177" fontId="6" fillId="7" borderId="29" xfId="0" applyNumberFormat="1" applyFont="1" applyFill="1" applyBorder="1" applyAlignment="1" applyProtection="1">
      <alignment vertical="center"/>
      <protection locked="0"/>
    </xf>
    <xf numFmtId="0" fontId="41" fillId="0" borderId="0" xfId="101" applyFont="1" applyAlignment="1">
      <alignment horizontal="distributed" vertical="center"/>
    </xf>
    <xf numFmtId="185" fontId="20" fillId="40" borderId="0" xfId="101" applyNumberFormat="1" applyFont="1" applyFill="1" applyAlignment="1">
      <alignment horizontal="distributed" vertical="center"/>
    </xf>
    <xf numFmtId="191" fontId="20" fillId="40" borderId="0" xfId="73" applyNumberFormat="1" applyFont="1" applyFill="1" applyBorder="1" applyAlignment="1">
      <alignment vertical="center"/>
    </xf>
    <xf numFmtId="0" fontId="20" fillId="40" borderId="0" xfId="101" applyFont="1" applyFill="1" applyAlignment="1">
      <alignment horizontal="distributed" vertical="center"/>
    </xf>
    <xf numFmtId="0" fontId="52" fillId="0" borderId="6" xfId="100" applyFont="1" applyBorder="1" applyAlignment="1">
      <alignment vertical="center"/>
    </xf>
    <xf numFmtId="201" fontId="52" fillId="0" borderId="6" xfId="100" applyNumberFormat="1" applyFont="1" applyBorder="1" applyAlignment="1">
      <alignment vertical="center"/>
    </xf>
    <xf numFmtId="0" fontId="40" fillId="0" borderId="124" xfId="0" applyFont="1" applyBorder="1" applyAlignment="1">
      <alignment vertical="center" wrapText="1"/>
    </xf>
    <xf numFmtId="0" fontId="0" fillId="0" borderId="126" xfId="0" applyBorder="1"/>
    <xf numFmtId="0" fontId="0" fillId="0" borderId="52" xfId="0" applyBorder="1"/>
    <xf numFmtId="0" fontId="0" fillId="0" borderId="127" xfId="0" applyBorder="1"/>
    <xf numFmtId="0" fontId="40" fillId="0" borderId="128" xfId="0" applyFont="1" applyBorder="1" applyAlignment="1">
      <alignment horizontal="center" vertical="center" wrapText="1"/>
    </xf>
    <xf numFmtId="201" fontId="55" fillId="41" borderId="5" xfId="100" applyNumberFormat="1" applyFont="1" applyFill="1" applyBorder="1" applyAlignment="1">
      <alignment horizontal="center" vertical="center"/>
    </xf>
    <xf numFmtId="0" fontId="55" fillId="41" borderId="45" xfId="100" applyFont="1" applyFill="1" applyBorder="1" applyAlignment="1">
      <alignment horizontal="centerContinuous" vertical="center"/>
    </xf>
    <xf numFmtId="198" fontId="56" fillId="41" borderId="46" xfId="71" applyNumberFormat="1" applyFont="1" applyFill="1" applyBorder="1" applyAlignment="1" applyProtection="1">
      <alignment horizontal="centerContinuous" vertical="center"/>
    </xf>
    <xf numFmtId="198" fontId="56" fillId="41" borderId="24" xfId="71" applyNumberFormat="1" applyFont="1" applyFill="1" applyBorder="1" applyAlignment="1" applyProtection="1">
      <alignment horizontal="centerContinuous" vertical="center"/>
    </xf>
    <xf numFmtId="0" fontId="57" fillId="41" borderId="25" xfId="100" applyFont="1" applyFill="1" applyBorder="1" applyAlignment="1">
      <alignment horizontal="centerContinuous" vertical="center"/>
    </xf>
    <xf numFmtId="178" fontId="55" fillId="41" borderId="5" xfId="100" applyNumberFormat="1" applyFont="1" applyFill="1" applyBorder="1" applyAlignment="1">
      <alignment horizontal="center" vertical="center" wrapText="1"/>
    </xf>
    <xf numFmtId="0" fontId="55" fillId="41" borderId="5" xfId="100" applyFont="1" applyFill="1" applyBorder="1" applyAlignment="1">
      <alignment horizontal="center" vertical="center"/>
    </xf>
    <xf numFmtId="201" fontId="55" fillId="41" borderId="6" xfId="100" applyNumberFormat="1" applyFont="1" applyFill="1" applyBorder="1" applyAlignment="1">
      <alignment horizontal="center" vertical="center"/>
    </xf>
    <xf numFmtId="198" fontId="55" fillId="41" borderId="6" xfId="71" applyNumberFormat="1" applyFont="1" applyFill="1" applyBorder="1" applyAlignment="1" applyProtection="1">
      <alignment horizontal="center" vertical="center"/>
    </xf>
    <xf numFmtId="178" fontId="55" fillId="41" borderId="6" xfId="100" applyNumberFormat="1" applyFont="1" applyFill="1" applyBorder="1" applyAlignment="1">
      <alignment horizontal="center" vertical="center"/>
    </xf>
    <xf numFmtId="201" fontId="55" fillId="41" borderId="31" xfId="100" applyNumberFormat="1" applyFont="1" applyFill="1" applyBorder="1" applyAlignment="1">
      <alignment horizontal="center" vertical="center"/>
    </xf>
    <xf numFmtId="198" fontId="55" fillId="41" borderId="31" xfId="71" applyNumberFormat="1" applyFont="1" applyFill="1" applyBorder="1" applyAlignment="1" applyProtection="1">
      <alignment horizontal="right" vertical="center"/>
    </xf>
    <xf numFmtId="178" fontId="55" fillId="41" borderId="31" xfId="100" applyNumberFormat="1" applyFont="1" applyFill="1" applyBorder="1" applyAlignment="1">
      <alignment horizontal="center" vertical="center"/>
    </xf>
    <xf numFmtId="0" fontId="55" fillId="41" borderId="31" xfId="100" applyFont="1" applyFill="1" applyBorder="1" applyAlignment="1">
      <alignment horizontal="center" vertical="center"/>
    </xf>
    <xf numFmtId="194" fontId="51" fillId="41" borderId="30" xfId="100" applyNumberFormat="1" applyFont="1" applyFill="1" applyBorder="1" applyAlignment="1">
      <alignment horizontal="center" vertical="center"/>
    </xf>
    <xf numFmtId="177" fontId="51" fillId="41" borderId="31" xfId="71" applyNumberFormat="1" applyFont="1" applyFill="1" applyBorder="1" applyAlignment="1" applyProtection="1">
      <alignment horizontal="right" vertical="center"/>
    </xf>
    <xf numFmtId="177" fontId="51" fillId="41" borderId="64" xfId="71" applyNumberFormat="1" applyFont="1" applyFill="1" applyBorder="1" applyAlignment="1">
      <alignment horizontal="center" vertical="center"/>
    </xf>
    <xf numFmtId="194" fontId="51" fillId="41" borderId="36" xfId="100" applyNumberFormat="1" applyFont="1" applyFill="1" applyBorder="1" applyAlignment="1">
      <alignment horizontal="center" vertical="center"/>
    </xf>
    <xf numFmtId="0" fontId="51" fillId="41" borderId="1" xfId="100" applyFont="1" applyFill="1" applyBorder="1" applyAlignment="1" applyProtection="1">
      <alignment horizontal="center" vertical="center"/>
      <protection locked="0"/>
    </xf>
    <xf numFmtId="201" fontId="51" fillId="41" borderId="1" xfId="0" applyNumberFormat="1" applyFont="1" applyFill="1" applyBorder="1" applyAlignment="1" applyProtection="1">
      <alignment horizontal="right" vertical="center"/>
      <protection locked="0"/>
    </xf>
    <xf numFmtId="177" fontId="51" fillId="41" borderId="2" xfId="71" applyNumberFormat="1" applyFont="1" applyFill="1" applyBorder="1" applyAlignment="1">
      <alignment vertical="center"/>
    </xf>
    <xf numFmtId="0" fontId="52" fillId="42" borderId="23" xfId="100" applyFont="1" applyFill="1" applyBorder="1" applyAlignment="1">
      <alignment horizontal="center" vertical="center"/>
    </xf>
    <xf numFmtId="201" fontId="55" fillId="42" borderId="5" xfId="100" applyNumberFormat="1" applyFont="1" applyFill="1" applyBorder="1" applyAlignment="1">
      <alignment horizontal="center" vertical="center"/>
    </xf>
    <xf numFmtId="0" fontId="55" fillId="42" borderId="45" xfId="100" applyFont="1" applyFill="1" applyBorder="1" applyAlignment="1">
      <alignment horizontal="centerContinuous" vertical="center"/>
    </xf>
    <xf numFmtId="198" fontId="56" fillId="42" borderId="46" xfId="71" applyNumberFormat="1" applyFont="1" applyFill="1" applyBorder="1" applyAlignment="1" applyProtection="1">
      <alignment horizontal="centerContinuous" vertical="center"/>
    </xf>
    <xf numFmtId="0" fontId="57" fillId="42" borderId="25" xfId="100" applyFont="1" applyFill="1" applyBorder="1" applyAlignment="1">
      <alignment horizontal="centerContinuous" vertical="center"/>
    </xf>
    <xf numFmtId="0" fontId="57" fillId="42" borderId="5" xfId="100" applyFont="1" applyFill="1" applyBorder="1" applyAlignment="1">
      <alignment horizontal="center" vertical="center"/>
    </xf>
    <xf numFmtId="0" fontId="55" fillId="42" borderId="5" xfId="100" applyFont="1" applyFill="1" applyBorder="1" applyAlignment="1">
      <alignment horizontal="center" vertical="center"/>
    </xf>
    <xf numFmtId="0" fontId="55" fillId="42" borderId="25" xfId="100" applyFont="1" applyFill="1" applyBorder="1" applyAlignment="1">
      <alignment horizontal="center" vertical="center"/>
    </xf>
    <xf numFmtId="0" fontId="52" fillId="42" borderId="26" xfId="100" applyFont="1" applyFill="1" applyBorder="1" applyAlignment="1">
      <alignment horizontal="center" vertical="center"/>
    </xf>
    <xf numFmtId="201" fontId="55" fillId="42" borderId="6" xfId="100" applyNumberFormat="1" applyFont="1" applyFill="1" applyBorder="1" applyAlignment="1">
      <alignment horizontal="center" vertical="center"/>
    </xf>
    <xf numFmtId="198" fontId="55" fillId="42" borderId="6" xfId="71" applyNumberFormat="1" applyFont="1" applyFill="1" applyBorder="1" applyAlignment="1" applyProtection="1">
      <alignment horizontal="center" vertical="center"/>
    </xf>
    <xf numFmtId="0" fontId="52" fillId="42" borderId="30" xfId="100" applyFont="1" applyFill="1" applyBorder="1" applyAlignment="1">
      <alignment horizontal="center" vertical="center"/>
    </xf>
    <xf numFmtId="201" fontId="55" fillId="42" borderId="31" xfId="100" applyNumberFormat="1" applyFont="1" applyFill="1" applyBorder="1" applyAlignment="1">
      <alignment horizontal="center" vertical="center"/>
    </xf>
    <xf numFmtId="198" fontId="55" fillId="42" borderId="31" xfId="71" applyNumberFormat="1" applyFont="1" applyFill="1" applyBorder="1" applyAlignment="1" applyProtection="1">
      <alignment horizontal="right" vertical="center"/>
    </xf>
    <xf numFmtId="0" fontId="55" fillId="42" borderId="31" xfId="100" applyFont="1" applyFill="1" applyBorder="1" applyAlignment="1">
      <alignment horizontal="center" vertical="center"/>
    </xf>
    <xf numFmtId="201" fontId="6" fillId="7" borderId="29" xfId="0" applyNumberFormat="1" applyFont="1" applyFill="1" applyBorder="1" applyAlignment="1" applyProtection="1">
      <alignment vertical="center"/>
      <protection locked="0"/>
    </xf>
    <xf numFmtId="201" fontId="6" fillId="7" borderId="29" xfId="71" applyNumberFormat="1" applyFont="1" applyFill="1" applyBorder="1" applyAlignment="1" applyProtection="1">
      <alignment horizontal="center" vertical="center"/>
      <protection locked="0"/>
    </xf>
    <xf numFmtId="201" fontId="6" fillId="7" borderId="105" xfId="0" applyNumberFormat="1" applyFont="1" applyFill="1" applyBorder="1" applyAlignment="1" applyProtection="1">
      <alignment vertical="center"/>
      <protection locked="0"/>
    </xf>
    <xf numFmtId="201" fontId="6" fillId="7" borderId="105" xfId="71" applyNumberFormat="1" applyFont="1" applyFill="1" applyBorder="1" applyAlignment="1" applyProtection="1">
      <alignment horizontal="center" vertical="center"/>
      <protection locked="0"/>
    </xf>
    <xf numFmtId="201" fontId="6" fillId="7" borderId="29" xfId="71" applyNumberFormat="1" applyFont="1" applyFill="1" applyBorder="1" applyAlignment="1" applyProtection="1">
      <alignment horizontal="center" vertical="center"/>
    </xf>
    <xf numFmtId="201" fontId="6" fillId="7" borderId="29" xfId="71" applyNumberFormat="1" applyFont="1" applyFill="1" applyBorder="1" applyAlignment="1" applyProtection="1">
      <alignment vertical="center"/>
      <protection locked="0"/>
    </xf>
    <xf numFmtId="198" fontId="32" fillId="2" borderId="69" xfId="71" applyNumberFormat="1" applyFont="1" applyFill="1" applyBorder="1" applyAlignment="1" applyProtection="1">
      <alignment horizontal="centerContinuous" vertical="center"/>
    </xf>
    <xf numFmtId="0" fontId="96" fillId="2" borderId="29" xfId="100" applyFont="1" applyFill="1" applyBorder="1" applyAlignment="1">
      <alignment horizontal="centerContinuous" vertical="center"/>
    </xf>
    <xf numFmtId="0" fontId="96" fillId="2" borderId="29" xfId="100" applyFont="1" applyFill="1" applyBorder="1" applyAlignment="1">
      <alignment horizontal="center" vertical="center" wrapText="1"/>
    </xf>
    <xf numFmtId="0" fontId="96" fillId="2" borderId="68" xfId="100" applyFont="1" applyFill="1" applyBorder="1" applyAlignment="1">
      <alignment horizontal="centerContinuous" vertical="center"/>
    </xf>
    <xf numFmtId="177" fontId="35" fillId="2" borderId="52" xfId="71" applyNumberFormat="1" applyFont="1" applyFill="1" applyBorder="1" applyAlignment="1">
      <alignment horizontal="center" vertical="center"/>
    </xf>
    <xf numFmtId="0" fontId="5" fillId="0" borderId="67" xfId="100" applyFont="1" applyBorder="1" applyAlignment="1">
      <alignment vertical="center"/>
    </xf>
    <xf numFmtId="0" fontId="8" fillId="0" borderId="67" xfId="100" applyFont="1" applyBorder="1" applyAlignment="1">
      <alignment vertical="center"/>
    </xf>
    <xf numFmtId="0" fontId="55" fillId="41" borderId="6" xfId="100" applyFont="1" applyFill="1" applyBorder="1" applyAlignment="1">
      <alignment horizontal="center" vertical="center"/>
    </xf>
    <xf numFmtId="177" fontId="35" fillId="4" borderId="33" xfId="62" applyNumberFormat="1" applyFont="1" applyFill="1" applyBorder="1" applyAlignment="1">
      <alignment horizontal="right" vertical="center"/>
    </xf>
    <xf numFmtId="216" fontId="35" fillId="4" borderId="33" xfId="62" applyNumberFormat="1" applyFont="1" applyFill="1" applyBorder="1" applyAlignment="1">
      <alignment horizontal="right" vertical="center"/>
    </xf>
    <xf numFmtId="216" fontId="35" fillId="0" borderId="33" xfId="71" applyNumberFormat="1" applyFont="1" applyBorder="1" applyAlignment="1" applyProtection="1">
      <alignment horizontal="right" vertical="center"/>
      <protection locked="0"/>
    </xf>
    <xf numFmtId="178" fontId="35" fillId="0" borderId="33" xfId="71" applyNumberFormat="1" applyFont="1" applyBorder="1" applyAlignment="1" applyProtection="1">
      <alignment horizontal="right" vertical="center"/>
      <protection locked="0"/>
    </xf>
    <xf numFmtId="177" fontId="8" fillId="0" borderId="0" xfId="100" applyNumberFormat="1" applyFont="1" applyAlignment="1">
      <alignment vertical="center"/>
    </xf>
    <xf numFmtId="195" fontId="6" fillId="7" borderId="31" xfId="62" applyNumberFormat="1" applyFont="1" applyFill="1" applyBorder="1" applyAlignment="1">
      <alignment horizontal="right" vertical="center"/>
    </xf>
    <xf numFmtId="177" fontId="51" fillId="41" borderId="1" xfId="0" applyNumberFormat="1" applyFont="1" applyFill="1" applyBorder="1" applyAlignment="1" applyProtection="1">
      <alignment horizontal="right" vertical="center"/>
      <protection locked="0"/>
    </xf>
    <xf numFmtId="206" fontId="51" fillId="41" borderId="1" xfId="0" applyNumberFormat="1" applyFont="1" applyFill="1" applyBorder="1" applyAlignment="1" applyProtection="1">
      <alignment horizontal="right" vertical="center"/>
      <protection locked="0"/>
    </xf>
    <xf numFmtId="198" fontId="56" fillId="42" borderId="69" xfId="71" applyNumberFormat="1" applyFont="1" applyFill="1" applyBorder="1" applyAlignment="1" applyProtection="1">
      <alignment horizontal="centerContinuous" vertical="center"/>
    </xf>
    <xf numFmtId="204" fontId="51" fillId="41" borderId="1" xfId="0" applyNumberFormat="1" applyFont="1" applyFill="1" applyBorder="1" applyAlignment="1" applyProtection="1">
      <alignment horizontal="right" vertical="center"/>
      <protection locked="0"/>
    </xf>
    <xf numFmtId="217" fontId="35" fillId="4" borderId="33" xfId="71" applyNumberFormat="1" applyFont="1" applyFill="1" applyBorder="1" applyAlignment="1">
      <alignment horizontal="right" vertical="center"/>
    </xf>
    <xf numFmtId="41" fontId="32" fillId="2" borderId="29" xfId="71" applyFont="1" applyFill="1" applyBorder="1" applyAlignment="1" applyProtection="1">
      <alignment horizontal="center" vertical="center"/>
    </xf>
    <xf numFmtId="41" fontId="32" fillId="2" borderId="31" xfId="71" applyFont="1" applyFill="1" applyBorder="1" applyAlignment="1" applyProtection="1">
      <alignment horizontal="center" vertical="center"/>
    </xf>
    <xf numFmtId="41" fontId="32" fillId="2" borderId="29" xfId="71" applyFont="1" applyFill="1" applyBorder="1" applyAlignment="1">
      <alignment vertical="center"/>
    </xf>
    <xf numFmtId="41" fontId="32" fillId="2" borderId="29" xfId="71" applyFont="1" applyFill="1" applyBorder="1" applyAlignment="1">
      <alignment horizontal="center" vertical="center"/>
    </xf>
    <xf numFmtId="41" fontId="33" fillId="2" borderId="64" xfId="71" applyFont="1" applyFill="1" applyBorder="1" applyAlignment="1">
      <alignment horizontal="center" vertical="center"/>
    </xf>
    <xf numFmtId="0" fontId="32" fillId="43" borderId="1" xfId="100" applyFont="1" applyFill="1" applyBorder="1" applyAlignment="1">
      <alignment horizontal="center" vertical="center"/>
    </xf>
    <xf numFmtId="177" fontId="32" fillId="43" borderId="1" xfId="71" applyNumberFormat="1" applyFont="1" applyFill="1" applyBorder="1" applyAlignment="1" applyProtection="1">
      <alignment vertical="center"/>
      <protection locked="0"/>
    </xf>
    <xf numFmtId="41" fontId="32" fillId="43" borderId="1" xfId="71" applyFont="1" applyFill="1" applyBorder="1" applyAlignment="1" applyProtection="1">
      <alignment horizontal="center" vertical="center"/>
      <protection locked="0"/>
    </xf>
    <xf numFmtId="177" fontId="32" fillId="43" borderId="1" xfId="71" applyNumberFormat="1" applyFont="1" applyFill="1" applyBorder="1" applyAlignment="1" applyProtection="1">
      <alignment vertical="center"/>
    </xf>
    <xf numFmtId="177" fontId="32" fillId="43" borderId="1" xfId="71" applyNumberFormat="1" applyFont="1" applyFill="1" applyBorder="1" applyAlignment="1">
      <alignment vertical="center"/>
    </xf>
    <xf numFmtId="201" fontId="32" fillId="43" borderId="2" xfId="100" applyNumberFormat="1" applyFont="1" applyFill="1" applyBorder="1" applyAlignment="1">
      <alignment vertical="center"/>
    </xf>
    <xf numFmtId="0" fontId="33" fillId="43" borderId="0" xfId="100" applyFont="1" applyFill="1" applyAlignment="1">
      <alignment vertical="center"/>
    </xf>
    <xf numFmtId="41" fontId="35" fillId="2" borderId="52" xfId="71" applyFont="1" applyFill="1" applyBorder="1" applyAlignment="1">
      <alignment horizontal="center" vertical="center"/>
    </xf>
    <xf numFmtId="41" fontId="32" fillId="2" borderId="29" xfId="71" quotePrefix="1" applyFont="1" applyFill="1" applyBorder="1" applyAlignment="1" applyProtection="1">
      <alignment horizontal="center" vertical="center" wrapText="1"/>
    </xf>
    <xf numFmtId="41" fontId="32" fillId="2" borderId="29" xfId="71" applyFont="1" applyFill="1" applyBorder="1" applyAlignment="1" applyProtection="1">
      <alignment horizontal="center" vertical="center" wrapText="1"/>
    </xf>
    <xf numFmtId="41" fontId="32" fillId="44" borderId="29" xfId="71" applyFont="1" applyFill="1" applyBorder="1" applyAlignment="1" applyProtection="1">
      <alignment horizontal="center" vertical="center"/>
    </xf>
    <xf numFmtId="41" fontId="32" fillId="2" borderId="29" xfId="71" quotePrefix="1" applyFont="1" applyFill="1" applyBorder="1" applyAlignment="1" applyProtection="1">
      <alignment horizontal="center" vertical="center"/>
    </xf>
    <xf numFmtId="195" fontId="35" fillId="4" borderId="33" xfId="62" applyNumberFormat="1" applyFont="1" applyFill="1" applyBorder="1" applyAlignment="1">
      <alignment horizontal="right" vertical="center"/>
    </xf>
    <xf numFmtId="206" fontId="35" fillId="4" borderId="33" xfId="62" applyNumberFormat="1" applyFont="1" applyFill="1" applyBorder="1" applyAlignment="1">
      <alignment horizontal="right" vertical="center"/>
    </xf>
    <xf numFmtId="206" fontId="35" fillId="0" borderId="33" xfId="71" applyNumberFormat="1" applyFont="1" applyBorder="1" applyAlignment="1" applyProtection="1">
      <alignment horizontal="right" vertical="center"/>
      <protection locked="0"/>
    </xf>
    <xf numFmtId="180" fontId="35" fillId="0" borderId="33" xfId="71" applyNumberFormat="1" applyFont="1" applyBorder="1" applyAlignment="1" applyProtection="1">
      <alignment horizontal="right" vertical="center"/>
      <protection locked="0"/>
    </xf>
    <xf numFmtId="195" fontId="35" fillId="0" borderId="33" xfId="71" applyNumberFormat="1" applyFont="1" applyBorder="1" applyAlignment="1" applyProtection="1">
      <alignment horizontal="right" vertical="center"/>
      <protection locked="0"/>
    </xf>
    <xf numFmtId="41" fontId="6" fillId="2" borderId="29" xfId="71" applyFont="1" applyFill="1" applyBorder="1" applyAlignment="1" applyProtection="1">
      <alignment horizontal="center" vertical="center"/>
    </xf>
    <xf numFmtId="41" fontId="44" fillId="0" borderId="19" xfId="71" applyFont="1" applyBorder="1" applyAlignment="1">
      <alignment horizontal="center" vertical="center"/>
    </xf>
    <xf numFmtId="49" fontId="20" fillId="0" borderId="11" xfId="101" applyNumberFormat="1" applyFont="1" applyBorder="1" applyAlignment="1">
      <alignment horizontal="center"/>
    </xf>
    <xf numFmtId="0" fontId="20" fillId="0" borderId="0" xfId="101" quotePrefix="1" applyFont="1" applyAlignment="1">
      <alignment horizontal="distributed"/>
    </xf>
    <xf numFmtId="0" fontId="20" fillId="0" borderId="0" xfId="101" applyFont="1" applyAlignment="1">
      <alignment horizontal="distributed"/>
    </xf>
    <xf numFmtId="3" fontId="20" fillId="0" borderId="0" xfId="101" applyNumberFormat="1" applyFont="1"/>
    <xf numFmtId="0" fontId="20" fillId="0" borderId="0" xfId="101" applyFont="1"/>
    <xf numFmtId="201" fontId="20" fillId="0" borderId="0" xfId="101" applyNumberFormat="1" applyFont="1"/>
    <xf numFmtId="0" fontId="20" fillId="0" borderId="12" xfId="101" applyFont="1" applyBorder="1"/>
    <xf numFmtId="184" fontId="20" fillId="0" borderId="0" xfId="74" applyNumberFormat="1" applyFont="1" applyAlignment="1"/>
    <xf numFmtId="0" fontId="20" fillId="0" borderId="0" xfId="74" applyFont="1" applyAlignment="1"/>
    <xf numFmtId="0" fontId="44" fillId="0" borderId="19" xfId="0" applyFont="1" applyBorder="1" applyAlignment="1">
      <alignment horizontal="center" vertical="center"/>
    </xf>
    <xf numFmtId="41" fontId="44" fillId="0" borderId="19" xfId="0" applyNumberFormat="1" applyFont="1" applyBorder="1" applyAlignment="1">
      <alignment horizontal="center" vertical="center"/>
    </xf>
    <xf numFmtId="41" fontId="71" fillId="0" borderId="19" xfId="0" applyNumberFormat="1" applyFont="1" applyBorder="1" applyAlignment="1">
      <alignment horizontal="center" vertical="center"/>
    </xf>
    <xf numFmtId="191" fontId="20" fillId="0" borderId="0" xfId="101" applyNumberFormat="1" applyFont="1"/>
    <xf numFmtId="177" fontId="35" fillId="2" borderId="52" xfId="71" applyNumberFormat="1" applyFont="1" applyFill="1" applyBorder="1" applyAlignment="1">
      <alignment horizontal="right" vertical="center"/>
    </xf>
    <xf numFmtId="0" fontId="57" fillId="42" borderId="6" xfId="100" applyFont="1" applyFill="1" applyBorder="1" applyAlignment="1">
      <alignment horizontal="center" vertical="center"/>
    </xf>
    <xf numFmtId="218" fontId="44" fillId="0" borderId="19" xfId="0" applyNumberFormat="1" applyFont="1" applyBorder="1" applyAlignment="1">
      <alignment horizontal="center" vertical="center"/>
    </xf>
    <xf numFmtId="219" fontId="44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201" fontId="21" fillId="0" borderId="0" xfId="0" applyNumberFormat="1" applyFont="1" applyAlignment="1">
      <alignment horizontal="centerContinuous" vertical="center"/>
    </xf>
    <xf numFmtId="0" fontId="21" fillId="0" borderId="0" xfId="0" applyFont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201" fontId="21" fillId="0" borderId="0" xfId="0" applyNumberFormat="1" applyFont="1" applyAlignment="1">
      <alignment vertical="center"/>
    </xf>
    <xf numFmtId="0" fontId="21" fillId="0" borderId="0" xfId="0" applyFont="1" applyAlignment="1">
      <alignment horizontal="right" vertical="center"/>
    </xf>
    <xf numFmtId="0" fontId="5" fillId="42" borderId="129" xfId="0" applyFont="1" applyFill="1" applyBorder="1" applyAlignment="1">
      <alignment horizontal="centerContinuous" vertical="center"/>
    </xf>
    <xf numFmtId="0" fontId="5" fillId="42" borderId="130" xfId="0" applyFont="1" applyFill="1" applyBorder="1" applyAlignment="1">
      <alignment horizontal="centerContinuous" vertical="center" wrapText="1"/>
    </xf>
    <xf numFmtId="0" fontId="5" fillId="42" borderId="129" xfId="0" applyFont="1" applyFill="1" applyBorder="1" applyAlignment="1">
      <alignment horizontal="centerContinuous" vertical="center" wrapText="1"/>
    </xf>
    <xf numFmtId="0" fontId="5" fillId="42" borderId="131" xfId="0" applyFont="1" applyFill="1" applyBorder="1" applyAlignment="1">
      <alignment horizontal="centerContinuous" vertical="center"/>
    </xf>
    <xf numFmtId="0" fontId="5" fillId="42" borderId="45" xfId="0" applyFont="1" applyFill="1" applyBorder="1" applyAlignment="1">
      <alignment horizontal="centerContinuous" vertical="center" wrapText="1"/>
    </xf>
    <xf numFmtId="0" fontId="5" fillId="42" borderId="46" xfId="0" applyFont="1" applyFill="1" applyBorder="1" applyAlignment="1">
      <alignment horizontal="centerContinuous" vertical="center" wrapText="1"/>
    </xf>
    <xf numFmtId="0" fontId="5" fillId="42" borderId="132" xfId="0" applyFont="1" applyFill="1" applyBorder="1" applyAlignment="1">
      <alignment horizontal="center" vertical="center"/>
    </xf>
    <xf numFmtId="0" fontId="5" fillId="42" borderId="133" xfId="0" applyFont="1" applyFill="1" applyBorder="1" applyAlignment="1">
      <alignment horizontal="center" vertical="center"/>
    </xf>
    <xf numFmtId="0" fontId="5" fillId="42" borderId="134" xfId="0" applyFont="1" applyFill="1" applyBorder="1" applyAlignment="1">
      <alignment horizontal="center" vertical="center"/>
    </xf>
    <xf numFmtId="0" fontId="5" fillId="42" borderId="135" xfId="0" applyFont="1" applyFill="1" applyBorder="1" applyAlignment="1">
      <alignment horizontal="center" vertical="center"/>
    </xf>
    <xf numFmtId="0" fontId="5" fillId="42" borderId="136" xfId="0" applyFont="1" applyFill="1" applyBorder="1" applyAlignment="1">
      <alignment horizontal="center" vertical="center"/>
    </xf>
    <xf numFmtId="0" fontId="5" fillId="42" borderId="137" xfId="0" applyFont="1" applyFill="1" applyBorder="1" applyAlignment="1">
      <alignment horizontal="center" vertical="center"/>
    </xf>
    <xf numFmtId="0" fontId="5" fillId="42" borderId="138" xfId="0" applyFont="1" applyFill="1" applyBorder="1" applyAlignment="1">
      <alignment horizontal="center" vertical="center"/>
    </xf>
    <xf numFmtId="177" fontId="20" fillId="0" borderId="139" xfId="0" applyNumberFormat="1" applyFont="1" applyBorder="1" applyAlignment="1">
      <alignment horizontal="right" vertical="center"/>
    </xf>
    <xf numFmtId="202" fontId="20" fillId="0" borderId="131" xfId="71" applyNumberFormat="1" applyFont="1" applyFill="1" applyBorder="1" applyAlignment="1">
      <alignment vertical="center"/>
    </xf>
    <xf numFmtId="179" fontId="20" fillId="0" borderId="131" xfId="0" applyNumberFormat="1" applyFont="1" applyBorder="1" applyAlignment="1">
      <alignment horizontal="centerContinuous" vertical="center"/>
    </xf>
    <xf numFmtId="201" fontId="20" fillId="0" borderId="130" xfId="71" applyNumberFormat="1" applyFont="1" applyFill="1" applyBorder="1" applyAlignment="1">
      <alignment vertical="center"/>
    </xf>
    <xf numFmtId="201" fontId="20" fillId="0" borderId="140" xfId="71" applyNumberFormat="1" applyFont="1" applyFill="1" applyBorder="1" applyAlignment="1">
      <alignment vertical="center"/>
    </xf>
    <xf numFmtId="179" fontId="20" fillId="0" borderId="141" xfId="71" applyNumberFormat="1" applyFont="1" applyFill="1" applyBorder="1" applyAlignment="1">
      <alignment horizontal="center" vertical="center"/>
    </xf>
    <xf numFmtId="201" fontId="20" fillId="0" borderId="94" xfId="71" applyNumberFormat="1" applyFont="1" applyFill="1" applyBorder="1" applyAlignment="1">
      <alignment vertical="center"/>
    </xf>
    <xf numFmtId="201" fontId="20" fillId="0" borderId="142" xfId="71" applyNumberFormat="1" applyFont="1" applyFill="1" applyBorder="1" applyAlignment="1">
      <alignment vertical="center"/>
    </xf>
    <xf numFmtId="202" fontId="20" fillId="0" borderId="58" xfId="71" applyNumberFormat="1" applyFont="1" applyFill="1" applyBorder="1" applyAlignment="1">
      <alignment vertical="center"/>
    </xf>
    <xf numFmtId="202" fontId="20" fillId="0" borderId="143" xfId="71" applyNumberFormat="1" applyFont="1" applyFill="1" applyBorder="1" applyAlignment="1">
      <alignment vertical="center"/>
    </xf>
    <xf numFmtId="202" fontId="20" fillId="0" borderId="144" xfId="71" applyNumberFormat="1" applyFont="1" applyFill="1" applyBorder="1" applyAlignment="1">
      <alignment vertical="center"/>
    </xf>
    <xf numFmtId="177" fontId="21" fillId="0" borderId="33" xfId="0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41" fontId="21" fillId="0" borderId="33" xfId="0" applyNumberFormat="1" applyFont="1" applyBorder="1" applyAlignment="1">
      <alignment horizontal="center" vertical="center"/>
    </xf>
    <xf numFmtId="177" fontId="20" fillId="0" borderId="60" xfId="0" applyNumberFormat="1" applyFont="1" applyBorder="1" applyAlignment="1">
      <alignment horizontal="right" vertical="center"/>
    </xf>
    <xf numFmtId="179" fontId="20" fillId="0" borderId="58" xfId="0" applyNumberFormat="1" applyFont="1" applyBorder="1" applyAlignment="1">
      <alignment horizontal="centerContinuous" vertical="center"/>
    </xf>
    <xf numFmtId="201" fontId="20" fillId="0" borderId="19" xfId="71" applyNumberFormat="1" applyFont="1" applyFill="1" applyBorder="1" applyAlignment="1">
      <alignment vertical="center"/>
    </xf>
    <xf numFmtId="179" fontId="20" fillId="0" borderId="20" xfId="71" applyNumberFormat="1" applyFont="1" applyFill="1" applyBorder="1" applyAlignment="1">
      <alignment horizontal="center" vertical="center"/>
    </xf>
    <xf numFmtId="202" fontId="20" fillId="0" borderId="1" xfId="71" applyNumberFormat="1" applyFont="1" applyFill="1" applyBorder="1" applyAlignment="1">
      <alignment vertical="center"/>
    </xf>
    <xf numFmtId="202" fontId="20" fillId="0" borderId="78" xfId="71" applyNumberFormat="1" applyFont="1" applyFill="1" applyBorder="1" applyAlignment="1">
      <alignment vertical="center"/>
    </xf>
    <xf numFmtId="177" fontId="21" fillId="0" borderId="1" xfId="0" applyNumberFormat="1" applyFont="1" applyBorder="1" applyAlignment="1">
      <alignment horizontal="center" vertical="center"/>
    </xf>
    <xf numFmtId="41" fontId="21" fillId="0" borderId="1" xfId="0" applyNumberFormat="1" applyFont="1" applyBorder="1" applyAlignment="1">
      <alignment horizontal="center" vertical="center"/>
    </xf>
    <xf numFmtId="177" fontId="20" fillId="0" borderId="49" xfId="0" applyNumberFormat="1" applyFont="1" applyBorder="1" applyAlignment="1">
      <alignment horizontal="right" vertical="center"/>
    </xf>
    <xf numFmtId="179" fontId="20" fillId="0" borderId="58" xfId="0" applyNumberFormat="1" applyFont="1" applyBorder="1" applyAlignment="1">
      <alignment horizontal="center" vertical="center"/>
    </xf>
    <xf numFmtId="201" fontId="20" fillId="0" borderId="94" xfId="71" applyNumberFormat="1" applyFont="1" applyBorder="1" applyAlignment="1">
      <alignment vertical="center"/>
    </xf>
    <xf numFmtId="201" fontId="20" fillId="0" borderId="19" xfId="71" applyNumberFormat="1" applyFont="1" applyBorder="1" applyAlignment="1">
      <alignment vertical="center"/>
    </xf>
    <xf numFmtId="201" fontId="20" fillId="0" borderId="145" xfId="71" applyNumberFormat="1" applyFont="1" applyBorder="1" applyAlignment="1">
      <alignment vertical="center"/>
    </xf>
    <xf numFmtId="201" fontId="20" fillId="0" borderId="146" xfId="71" applyNumberFormat="1" applyFont="1" applyBorder="1" applyAlignment="1">
      <alignment vertical="center"/>
    </xf>
    <xf numFmtId="202" fontId="20" fillId="0" borderId="48" xfId="71" applyNumberFormat="1" applyFont="1" applyFill="1" applyBorder="1" applyAlignment="1">
      <alignment vertical="center"/>
    </xf>
    <xf numFmtId="202" fontId="20" fillId="0" borderId="42" xfId="71" applyNumberFormat="1" applyFont="1" applyFill="1" applyBorder="1" applyAlignment="1">
      <alignment vertical="center"/>
    </xf>
    <xf numFmtId="202" fontId="20" fillId="0" borderId="77" xfId="71" applyNumberFormat="1" applyFont="1" applyFill="1" applyBorder="1" applyAlignment="1">
      <alignment vertical="center"/>
    </xf>
    <xf numFmtId="201" fontId="21" fillId="0" borderId="1" xfId="0" applyNumberFormat="1" applyFont="1" applyBorder="1" applyAlignment="1">
      <alignment horizontal="center" vertical="center"/>
    </xf>
    <xf numFmtId="202" fontId="20" fillId="0" borderId="63" xfId="71" applyNumberFormat="1" applyFont="1" applyFill="1" applyBorder="1" applyAlignment="1">
      <alignment vertical="center"/>
    </xf>
    <xf numFmtId="177" fontId="20" fillId="0" borderId="53" xfId="0" applyNumberFormat="1" applyFont="1" applyBorder="1" applyAlignment="1">
      <alignment horizontal="right" vertical="center"/>
    </xf>
    <xf numFmtId="202" fontId="20" fillId="0" borderId="54" xfId="71" applyNumberFormat="1" applyFont="1" applyFill="1" applyBorder="1" applyAlignment="1">
      <alignment vertical="center"/>
    </xf>
    <xf numFmtId="179" fontId="20" fillId="0" borderId="54" xfId="0" applyNumberFormat="1" applyFont="1" applyBorder="1" applyAlignment="1">
      <alignment horizontal="centerContinuous" vertical="center"/>
    </xf>
    <xf numFmtId="201" fontId="20" fillId="0" borderId="95" xfId="71" applyNumberFormat="1" applyFont="1" applyFill="1" applyBorder="1" applyAlignment="1">
      <alignment vertical="center"/>
    </xf>
    <xf numFmtId="201" fontId="20" fillId="0" borderId="56" xfId="71" applyNumberFormat="1" applyFont="1" applyFill="1" applyBorder="1" applyAlignment="1">
      <alignment vertical="center"/>
    </xf>
    <xf numFmtId="202" fontId="20" fillId="0" borderId="112" xfId="71" applyNumberFormat="1" applyFont="1" applyFill="1" applyBorder="1" applyAlignment="1">
      <alignment vertical="center"/>
    </xf>
    <xf numFmtId="179" fontId="20" fillId="0" borderId="55" xfId="0" applyNumberFormat="1" applyFont="1" applyBorder="1" applyAlignment="1">
      <alignment horizontal="centerContinuous" vertical="center"/>
    </xf>
    <xf numFmtId="201" fontId="20" fillId="0" borderId="147" xfId="71" applyNumberFormat="1" applyFont="1" applyFill="1" applyBorder="1" applyAlignment="1">
      <alignment vertical="center"/>
    </xf>
    <xf numFmtId="201" fontId="20" fillId="0" borderId="40" xfId="71" applyNumberFormat="1" applyFont="1" applyFill="1" applyBorder="1" applyAlignment="1">
      <alignment vertical="center"/>
    </xf>
    <xf numFmtId="202" fontId="20" fillId="0" borderId="32" xfId="71" applyNumberFormat="1" applyFont="1" applyFill="1" applyBorder="1" applyAlignment="1">
      <alignment vertical="center"/>
    </xf>
    <xf numFmtId="202" fontId="20" fillId="0" borderId="37" xfId="71" applyNumberFormat="1" applyFont="1" applyFill="1" applyBorder="1" applyAlignment="1">
      <alignment vertical="center"/>
    </xf>
    <xf numFmtId="177" fontId="21" fillId="0" borderId="29" xfId="0" applyNumberFormat="1" applyFont="1" applyBorder="1" applyAlignment="1">
      <alignment horizontal="center" vertical="center"/>
    </xf>
    <xf numFmtId="201" fontId="21" fillId="0" borderId="29" xfId="0" applyNumberFormat="1" applyFont="1" applyBorder="1" applyAlignment="1">
      <alignment horizontal="center" vertical="center"/>
    </xf>
    <xf numFmtId="177" fontId="21" fillId="0" borderId="29" xfId="0" applyNumberFormat="1" applyFont="1" applyBorder="1" applyAlignment="1">
      <alignment horizontal="right" vertical="center"/>
    </xf>
    <xf numFmtId="177" fontId="21" fillId="0" borderId="148" xfId="0" applyNumberFormat="1" applyFont="1" applyBorder="1" applyAlignment="1">
      <alignment horizontal="center" vertical="center"/>
    </xf>
    <xf numFmtId="201" fontId="21" fillId="0" borderId="148" xfId="0" applyNumberFormat="1" applyFont="1" applyBorder="1" applyAlignment="1">
      <alignment horizontal="center" vertical="center"/>
    </xf>
    <xf numFmtId="41" fontId="14" fillId="42" borderId="149" xfId="71" applyFont="1" applyFill="1" applyBorder="1" applyAlignment="1">
      <alignment vertical="center"/>
    </xf>
    <xf numFmtId="41" fontId="14" fillId="42" borderId="150" xfId="71" applyFont="1" applyFill="1" applyBorder="1" applyAlignment="1">
      <alignment vertical="center"/>
    </xf>
    <xf numFmtId="177" fontId="73" fillId="0" borderId="29" xfId="0" applyNumberFormat="1" applyFont="1" applyBorder="1" applyAlignment="1">
      <alignment horizontal="center" vertical="center"/>
    </xf>
    <xf numFmtId="201" fontId="73" fillId="0" borderId="29" xfId="0" applyNumberFormat="1" applyFont="1" applyBorder="1" applyAlignment="1">
      <alignment horizontal="center" vertical="center"/>
    </xf>
    <xf numFmtId="201" fontId="21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right" vertical="center"/>
    </xf>
    <xf numFmtId="202" fontId="20" fillId="0" borderId="152" xfId="71" applyNumberFormat="1" applyFont="1" applyFill="1" applyBorder="1" applyAlignment="1">
      <alignment vertical="center"/>
    </xf>
    <xf numFmtId="179" fontId="20" fillId="0" borderId="152" xfId="0" applyNumberFormat="1" applyFont="1" applyBorder="1" applyAlignment="1">
      <alignment horizontal="centerContinuous" vertical="center"/>
    </xf>
    <xf numFmtId="201" fontId="20" fillId="0" borderId="153" xfId="71" applyNumberFormat="1" applyFont="1" applyFill="1" applyBorder="1" applyAlignment="1">
      <alignment vertical="center"/>
    </xf>
    <xf numFmtId="201" fontId="20" fillId="0" borderId="154" xfId="71" applyNumberFormat="1" applyFont="1" applyFill="1" applyBorder="1" applyAlignment="1">
      <alignment vertical="center"/>
    </xf>
    <xf numFmtId="179" fontId="20" fillId="0" borderId="155" xfId="71" applyNumberFormat="1" applyFont="1" applyFill="1" applyBorder="1" applyAlignment="1">
      <alignment horizontal="center" vertical="center"/>
    </xf>
    <xf numFmtId="201" fontId="20" fillId="0" borderId="156" xfId="71" applyNumberFormat="1" applyFont="1" applyFill="1" applyBorder="1" applyAlignment="1">
      <alignment vertical="center"/>
    </xf>
    <xf numFmtId="202" fontId="20" fillId="0" borderId="157" xfId="71" applyNumberFormat="1" applyFont="1" applyFill="1" applyBorder="1" applyAlignment="1">
      <alignment vertical="center"/>
    </xf>
    <xf numFmtId="202" fontId="20" fillId="0" borderId="158" xfId="71" applyNumberFormat="1" applyFont="1" applyFill="1" applyBorder="1" applyAlignment="1">
      <alignment vertical="center"/>
    </xf>
    <xf numFmtId="41" fontId="20" fillId="0" borderId="159" xfId="71" applyFont="1" applyFill="1" applyBorder="1" applyAlignment="1">
      <alignment vertical="center" wrapText="1"/>
    </xf>
    <xf numFmtId="41" fontId="21" fillId="0" borderId="0" xfId="0" applyNumberFormat="1" applyFont="1" applyAlignment="1">
      <alignment horizontal="center" vertical="center"/>
    </xf>
    <xf numFmtId="41" fontId="20" fillId="0" borderId="2" xfId="71" applyFont="1" applyFill="1" applyBorder="1" applyAlignment="1">
      <alignment vertical="center" wrapText="1"/>
    </xf>
    <xf numFmtId="201" fontId="20" fillId="0" borderId="145" xfId="71" applyNumberFormat="1" applyFont="1" applyFill="1" applyBorder="1" applyAlignment="1">
      <alignment vertical="center"/>
    </xf>
    <xf numFmtId="201" fontId="20" fillId="0" borderId="146" xfId="71" applyNumberFormat="1" applyFont="1" applyFill="1" applyBorder="1" applyAlignment="1">
      <alignment vertical="center"/>
    </xf>
    <xf numFmtId="221" fontId="20" fillId="0" borderId="19" xfId="0" applyNumberFormat="1" applyFont="1" applyBorder="1" applyAlignment="1">
      <alignment horizontal="right" vertical="center"/>
    </xf>
    <xf numFmtId="202" fontId="20" fillId="0" borderId="160" xfId="71" applyNumberFormat="1" applyFont="1" applyFill="1" applyBorder="1" applyAlignment="1">
      <alignment vertical="center"/>
    </xf>
    <xf numFmtId="179" fontId="20" fillId="0" borderId="160" xfId="0" applyNumberFormat="1" applyFont="1" applyBorder="1" applyAlignment="1">
      <alignment horizontal="center" vertical="center"/>
    </xf>
    <xf numFmtId="179" fontId="20" fillId="0" borderId="93" xfId="71" applyNumberFormat="1" applyFont="1" applyFill="1" applyBorder="1" applyAlignment="1">
      <alignment horizontal="center" vertical="center"/>
    </xf>
    <xf numFmtId="201" fontId="20" fillId="0" borderId="91" xfId="71" applyNumberFormat="1" applyFont="1" applyFill="1" applyBorder="1" applyAlignment="1">
      <alignment vertical="center"/>
    </xf>
    <xf numFmtId="202" fontId="20" fillId="0" borderId="102" xfId="71" applyNumberFormat="1" applyFont="1" applyFill="1" applyBorder="1" applyAlignment="1">
      <alignment vertical="center"/>
    </xf>
    <xf numFmtId="202" fontId="20" fillId="0" borderId="6" xfId="71" applyNumberFormat="1" applyFont="1" applyFill="1" applyBorder="1" applyAlignment="1">
      <alignment vertical="center"/>
    </xf>
    <xf numFmtId="202" fontId="20" fillId="0" borderId="27" xfId="71" applyNumberFormat="1" applyFont="1" applyFill="1" applyBorder="1" applyAlignment="1">
      <alignment vertical="center"/>
    </xf>
    <xf numFmtId="41" fontId="20" fillId="0" borderId="72" xfId="71" applyFont="1" applyFill="1" applyBorder="1" applyAlignment="1">
      <alignment vertical="center" wrapText="1"/>
    </xf>
    <xf numFmtId="202" fontId="20" fillId="0" borderId="40" xfId="71" applyNumberFormat="1" applyFont="1" applyFill="1" applyBorder="1" applyAlignment="1">
      <alignment vertical="center"/>
    </xf>
    <xf numFmtId="179" fontId="20" fillId="0" borderId="54" xfId="71" applyNumberFormat="1" applyFont="1" applyFill="1" applyBorder="1" applyAlignment="1">
      <alignment horizontal="center" vertical="center"/>
    </xf>
    <xf numFmtId="41" fontId="20" fillId="0" borderId="147" xfId="71" applyFont="1" applyFill="1" applyBorder="1" applyAlignment="1">
      <alignment vertical="center"/>
    </xf>
    <xf numFmtId="41" fontId="20" fillId="0" borderId="40" xfId="71" applyFont="1" applyFill="1" applyBorder="1" applyAlignment="1">
      <alignment vertical="center"/>
    </xf>
    <xf numFmtId="179" fontId="20" fillId="0" borderId="55" xfId="71" applyNumberFormat="1" applyFont="1" applyFill="1" applyBorder="1" applyAlignment="1">
      <alignment horizontal="center" vertical="center"/>
    </xf>
    <xf numFmtId="41" fontId="20" fillId="0" borderId="161" xfId="71" applyFont="1" applyFill="1" applyBorder="1" applyAlignment="1">
      <alignment vertical="center"/>
    </xf>
    <xf numFmtId="202" fontId="20" fillId="0" borderId="76" xfId="71" applyNumberFormat="1" applyFont="1" applyFill="1" applyBorder="1" applyAlignment="1">
      <alignment vertical="center"/>
    </xf>
    <xf numFmtId="41" fontId="20" fillId="0" borderId="65" xfId="71" applyFont="1" applyFill="1" applyBorder="1" applyAlignment="1">
      <alignment vertical="center" wrapText="1"/>
    </xf>
    <xf numFmtId="177" fontId="14" fillId="42" borderId="162" xfId="0" applyNumberFormat="1" applyFont="1" applyFill="1" applyBorder="1" applyAlignment="1">
      <alignment horizontal="right" vertical="center"/>
    </xf>
    <xf numFmtId="202" fontId="14" fillId="42" borderId="163" xfId="71" applyNumberFormat="1" applyFont="1" applyFill="1" applyBorder="1" applyAlignment="1">
      <alignment vertical="center"/>
    </xf>
    <xf numFmtId="179" fontId="14" fillId="42" borderId="163" xfId="0" applyNumberFormat="1" applyFont="1" applyFill="1" applyBorder="1" applyAlignment="1">
      <alignment horizontal="centerContinuous" vertical="center"/>
    </xf>
    <xf numFmtId="201" fontId="14" fillId="42" borderId="164" xfId="71" applyNumberFormat="1" applyFont="1" applyFill="1" applyBorder="1" applyAlignment="1">
      <alignment vertical="center"/>
    </xf>
    <xf numFmtId="201" fontId="14" fillId="42" borderId="165" xfId="71" applyNumberFormat="1" applyFont="1" applyFill="1" applyBorder="1" applyAlignment="1">
      <alignment vertical="center"/>
    </xf>
    <xf numFmtId="179" fontId="14" fillId="42" borderId="166" xfId="0" applyNumberFormat="1" applyFont="1" applyFill="1" applyBorder="1" applyAlignment="1">
      <alignment horizontal="centerContinuous" vertical="center"/>
    </xf>
    <xf numFmtId="201" fontId="14" fillId="42" borderId="167" xfId="71" applyNumberFormat="1" applyFont="1" applyFill="1" applyBorder="1" applyAlignment="1">
      <alignment vertical="center"/>
    </xf>
    <xf numFmtId="202" fontId="14" fillId="42" borderId="168" xfId="71" applyNumberFormat="1" applyFont="1" applyFill="1" applyBorder="1" applyAlignment="1">
      <alignment vertical="center"/>
    </xf>
    <xf numFmtId="202" fontId="14" fillId="42" borderId="169" xfId="71" applyNumberFormat="1" applyFont="1" applyFill="1" applyBorder="1" applyAlignment="1">
      <alignment vertical="center"/>
    </xf>
    <xf numFmtId="41" fontId="14" fillId="42" borderId="170" xfId="71" applyFont="1" applyFill="1" applyBorder="1" applyAlignment="1">
      <alignment horizontal="left" vertical="center" wrapText="1"/>
    </xf>
    <xf numFmtId="0" fontId="14" fillId="7" borderId="21" xfId="0" applyFont="1" applyFill="1" applyBorder="1" applyAlignment="1">
      <alignment horizontal="centerContinuous" vertical="center"/>
    </xf>
    <xf numFmtId="202" fontId="14" fillId="7" borderId="171" xfId="71" applyNumberFormat="1" applyFont="1" applyFill="1" applyBorder="1" applyAlignment="1">
      <alignment vertical="center"/>
    </xf>
    <xf numFmtId="179" fontId="14" fillId="7" borderId="171" xfId="71" applyNumberFormat="1" applyFont="1" applyFill="1" applyBorder="1" applyAlignment="1">
      <alignment horizontal="center" vertical="center"/>
    </xf>
    <xf numFmtId="41" fontId="14" fillId="7" borderId="172" xfId="71" applyFont="1" applyFill="1" applyBorder="1" applyAlignment="1">
      <alignment vertical="center"/>
    </xf>
    <xf numFmtId="41" fontId="14" fillId="7" borderId="173" xfId="71" applyFont="1" applyFill="1" applyBorder="1" applyAlignment="1">
      <alignment vertical="center"/>
    </xf>
    <xf numFmtId="179" fontId="14" fillId="7" borderId="174" xfId="71" applyNumberFormat="1" applyFont="1" applyFill="1" applyBorder="1" applyAlignment="1">
      <alignment horizontal="center" vertical="center"/>
    </xf>
    <xf numFmtId="201" fontId="14" fillId="7" borderId="171" xfId="71" applyNumberFormat="1" applyFont="1" applyFill="1" applyBorder="1" applyAlignment="1">
      <alignment vertical="center"/>
    </xf>
    <xf numFmtId="202" fontId="74" fillId="7" borderId="138" xfId="71" applyNumberFormat="1" applyFont="1" applyFill="1" applyBorder="1" applyAlignment="1">
      <alignment vertical="center"/>
    </xf>
    <xf numFmtId="202" fontId="14" fillId="7" borderId="138" xfId="71" applyNumberFormat="1" applyFont="1" applyFill="1" applyBorder="1" applyAlignment="1">
      <alignment vertical="center"/>
    </xf>
    <xf numFmtId="41" fontId="14" fillId="7" borderId="22" xfId="71" applyFont="1" applyFill="1" applyBorder="1" applyAlignment="1">
      <alignment horizontal="left" vertical="center" wrapText="1"/>
    </xf>
    <xf numFmtId="0" fontId="8" fillId="0" borderId="61" xfId="100" applyFont="1" applyBorder="1" applyAlignment="1">
      <alignment vertical="center"/>
    </xf>
    <xf numFmtId="195" fontId="35" fillId="0" borderId="1" xfId="71" applyNumberFormat="1" applyFont="1" applyBorder="1" applyAlignment="1" applyProtection="1">
      <alignment horizontal="right" vertical="center"/>
      <protection locked="0"/>
    </xf>
    <xf numFmtId="0" fontId="8" fillId="0" borderId="2" xfId="100" applyFont="1" applyBorder="1" applyAlignment="1">
      <alignment vertical="center"/>
    </xf>
    <xf numFmtId="178" fontId="35" fillId="0" borderId="1" xfId="71" applyNumberFormat="1" applyFont="1" applyBorder="1" applyAlignment="1" applyProtection="1">
      <alignment horizontal="right" vertical="center"/>
      <protection locked="0"/>
    </xf>
    <xf numFmtId="0" fontId="8" fillId="0" borderId="65" xfId="100" applyFont="1" applyBorder="1" applyAlignment="1">
      <alignment vertical="center"/>
    </xf>
    <xf numFmtId="180" fontId="35" fillId="0" borderId="1" xfId="71" applyNumberFormat="1" applyFont="1" applyBorder="1" applyAlignment="1" applyProtection="1">
      <alignment horizontal="right" vertical="center"/>
      <protection locked="0"/>
    </xf>
    <xf numFmtId="206" fontId="35" fillId="0" borderId="1" xfId="71" applyNumberFormat="1" applyFont="1" applyBorder="1" applyAlignment="1" applyProtection="1">
      <alignment horizontal="right" vertical="center"/>
      <protection locked="0"/>
    </xf>
    <xf numFmtId="177" fontId="35" fillId="0" borderId="4" xfId="71" applyNumberFormat="1" applyFont="1" applyBorder="1" applyAlignment="1" applyProtection="1">
      <alignment horizontal="right" vertical="center"/>
      <protection locked="0"/>
    </xf>
    <xf numFmtId="0" fontId="8" fillId="0" borderId="119" xfId="100" applyFont="1" applyBorder="1" applyAlignment="1">
      <alignment vertical="center"/>
    </xf>
    <xf numFmtId="0" fontId="35" fillId="5" borderId="59" xfId="100" applyFont="1" applyFill="1" applyBorder="1" applyAlignment="1">
      <alignment horizontal="center" vertical="center"/>
    </xf>
    <xf numFmtId="0" fontId="35" fillId="5" borderId="177" xfId="100" applyFont="1" applyFill="1" applyBorder="1" applyAlignment="1">
      <alignment horizontal="center" vertical="center"/>
    </xf>
    <xf numFmtId="0" fontId="35" fillId="5" borderId="89" xfId="100" applyFont="1" applyFill="1" applyBorder="1" applyAlignment="1">
      <alignment horizontal="center" vertical="center"/>
    </xf>
    <xf numFmtId="0" fontId="35" fillId="0" borderId="33" xfId="100" applyFont="1" applyBorder="1" applyAlignment="1">
      <alignment horizontal="center" vertical="center"/>
    </xf>
    <xf numFmtId="0" fontId="35" fillId="0" borderId="1" xfId="100" applyFont="1" applyBorder="1" applyAlignment="1">
      <alignment horizontal="center" vertical="center"/>
    </xf>
    <xf numFmtId="0" fontId="6" fillId="0" borderId="4" xfId="100" applyFont="1" applyBorder="1" applyAlignment="1">
      <alignment horizontal="center" vertical="center"/>
    </xf>
    <xf numFmtId="177" fontId="6" fillId="7" borderId="37" xfId="100" applyNumberFormat="1" applyFont="1" applyFill="1" applyBorder="1" applyAlignment="1">
      <alignment horizontal="center" vertical="center"/>
    </xf>
    <xf numFmtId="201" fontId="35" fillId="0" borderId="1" xfId="71" applyNumberFormat="1" applyFont="1" applyBorder="1" applyAlignment="1" applyProtection="1">
      <alignment horizontal="right" vertical="center"/>
      <protection locked="0"/>
    </xf>
    <xf numFmtId="204" fontId="35" fillId="0" borderId="33" xfId="71" applyNumberFormat="1" applyFont="1" applyBorder="1" applyAlignment="1" applyProtection="1">
      <alignment horizontal="right" vertical="center"/>
      <protection locked="0"/>
    </xf>
    <xf numFmtId="204" fontId="35" fillId="0" borderId="1" xfId="71" applyNumberFormat="1" applyFont="1" applyBorder="1" applyAlignment="1" applyProtection="1">
      <alignment horizontal="right" vertical="center"/>
      <protection locked="0"/>
    </xf>
    <xf numFmtId="178" fontId="51" fillId="41" borderId="1" xfId="0" applyNumberFormat="1" applyFont="1" applyFill="1" applyBorder="1" applyAlignment="1" applyProtection="1">
      <alignment horizontal="right" vertical="center"/>
      <protection locked="0"/>
    </xf>
    <xf numFmtId="201" fontId="52" fillId="0" borderId="1" xfId="62" applyNumberFormat="1" applyFont="1" applyBorder="1" applyAlignment="1">
      <alignment horizontal="right" vertical="center"/>
    </xf>
    <xf numFmtId="188" fontId="16" fillId="0" borderId="0" xfId="101" applyNumberFormat="1" applyFont="1" applyAlignment="1">
      <alignment horizontal="left" vertical="center"/>
    </xf>
    <xf numFmtId="0" fontId="16" fillId="0" borderId="0" xfId="101" quotePrefix="1" applyFont="1" applyAlignment="1">
      <alignment vertical="center"/>
    </xf>
    <xf numFmtId="201" fontId="20" fillId="0" borderId="41" xfId="71" applyNumberFormat="1" applyFont="1" applyBorder="1" applyAlignment="1">
      <alignment horizontal="right" vertical="center"/>
    </xf>
    <xf numFmtId="201" fontId="20" fillId="0" borderId="50" xfId="71" applyNumberFormat="1" applyFont="1" applyBorder="1" applyAlignment="1">
      <alignment horizontal="right" vertical="center"/>
    </xf>
    <xf numFmtId="201" fontId="20" fillId="0" borderId="19" xfId="101" applyNumberFormat="1" applyFont="1" applyBorder="1" applyAlignment="1">
      <alignment horizontal="right" vertical="center"/>
    </xf>
    <xf numFmtId="201" fontId="20" fillId="3" borderId="40" xfId="101" applyNumberFormat="1" applyFont="1" applyFill="1" applyBorder="1" applyAlignment="1">
      <alignment vertical="center"/>
    </xf>
    <xf numFmtId="3" fontId="19" fillId="0" borderId="0" xfId="101" applyNumberFormat="1" applyFont="1" applyAlignment="1">
      <alignment vertical="center"/>
    </xf>
    <xf numFmtId="177" fontId="19" fillId="0" borderId="0" xfId="101" applyNumberFormat="1" applyFont="1" applyAlignment="1">
      <alignment vertical="center"/>
    </xf>
    <xf numFmtId="201" fontId="26" fillId="0" borderId="0" xfId="101" applyNumberFormat="1" applyFont="1" applyAlignment="1">
      <alignment horizontal="right" vertical="center"/>
    </xf>
    <xf numFmtId="0" fontId="75" fillId="0" borderId="0" xfId="0" applyFont="1" applyAlignment="1">
      <alignment horizontal="centerContinuous" vertical="center"/>
    </xf>
    <xf numFmtId="201" fontId="75" fillId="0" borderId="0" xfId="0" applyNumberFormat="1" applyFont="1" applyAlignment="1">
      <alignment horizontal="centerContinuous" vertical="center"/>
    </xf>
    <xf numFmtId="0" fontId="12" fillId="2" borderId="53" xfId="0" applyFont="1" applyFill="1" applyBorder="1" applyAlignment="1">
      <alignment horizontal="centerContinuous" vertical="center"/>
    </xf>
    <xf numFmtId="201" fontId="12" fillId="2" borderId="113" xfId="0" applyNumberFormat="1" applyFont="1" applyFill="1" applyBorder="1" applyAlignment="1">
      <alignment horizontal="right" vertical="center" shrinkToFit="1"/>
    </xf>
    <xf numFmtId="201" fontId="34" fillId="0" borderId="0" xfId="0" applyNumberFormat="1" applyFont="1" applyAlignment="1">
      <alignment vertical="center"/>
    </xf>
    <xf numFmtId="201" fontId="12" fillId="2" borderId="96" xfId="0" applyNumberFormat="1" applyFont="1" applyFill="1" applyBorder="1" applyAlignment="1">
      <alignment vertical="center" shrinkToFit="1"/>
    </xf>
    <xf numFmtId="201" fontId="0" fillId="0" borderId="0" xfId="0" applyNumberFormat="1" applyAlignment="1">
      <alignment vertical="center"/>
    </xf>
    <xf numFmtId="201" fontId="76" fillId="0" borderId="0" xfId="0" applyNumberFormat="1" applyFont="1" applyAlignment="1">
      <alignment vertical="center"/>
    </xf>
    <xf numFmtId="201" fontId="76" fillId="0" borderId="0" xfId="0" applyNumberFormat="1" applyFont="1" applyAlignment="1">
      <alignment horizontal="right" vertical="center"/>
    </xf>
    <xf numFmtId="201" fontId="76" fillId="6" borderId="0" xfId="0" applyNumberFormat="1" applyFont="1" applyFill="1" applyAlignment="1">
      <alignment vertical="center"/>
    </xf>
    <xf numFmtId="201" fontId="97" fillId="0" borderId="0" xfId="0" applyNumberFormat="1" applyFont="1" applyAlignment="1">
      <alignment vertical="center"/>
    </xf>
    <xf numFmtId="0" fontId="13" fillId="45" borderId="29" xfId="0" applyFont="1" applyFill="1" applyBorder="1" applyAlignment="1">
      <alignment horizontal="centerContinuous" vertical="center"/>
    </xf>
    <xf numFmtId="201" fontId="13" fillId="45" borderId="29" xfId="0" applyNumberFormat="1" applyFont="1" applyFill="1" applyBorder="1" applyAlignment="1">
      <alignment horizontal="centerContinuous" vertical="center"/>
    </xf>
    <xf numFmtId="201" fontId="13" fillId="45" borderId="29" xfId="0" applyNumberFormat="1" applyFont="1" applyFill="1" applyBorder="1" applyAlignment="1">
      <alignment horizontal="centerContinuous" vertical="center" wrapText="1"/>
    </xf>
    <xf numFmtId="201" fontId="13" fillId="45" borderId="29" xfId="0" applyNumberFormat="1" applyFont="1" applyFill="1" applyBorder="1" applyAlignment="1">
      <alignment horizontal="center" vertical="center"/>
    </xf>
    <xf numFmtId="0" fontId="13" fillId="45" borderId="6" xfId="0" applyFont="1" applyFill="1" applyBorder="1" applyAlignment="1">
      <alignment horizontal="centerContinuous" vertical="center"/>
    </xf>
    <xf numFmtId="201" fontId="13" fillId="45" borderId="6" xfId="0" applyNumberFormat="1" applyFont="1" applyFill="1" applyBorder="1" applyAlignment="1">
      <alignment horizontal="centerContinuous" vertical="center"/>
    </xf>
    <xf numFmtId="201" fontId="13" fillId="45" borderId="6" xfId="0" applyNumberFormat="1" applyFont="1" applyFill="1" applyBorder="1" applyAlignment="1">
      <alignment vertical="center" wrapText="1"/>
    </xf>
    <xf numFmtId="201" fontId="13" fillId="45" borderId="6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201" fontId="12" fillId="6" borderId="42" xfId="0" applyNumberFormat="1" applyFont="1" applyFill="1" applyBorder="1" applyAlignment="1">
      <alignment horizontal="right" vertical="center"/>
    </xf>
    <xf numFmtId="201" fontId="12" fillId="0" borderId="42" xfId="0" applyNumberFormat="1" applyFont="1" applyBorder="1" applyAlignment="1">
      <alignment horizontal="right" vertical="center"/>
    </xf>
    <xf numFmtId="201" fontId="12" fillId="0" borderId="1" xfId="0" applyNumberFormat="1" applyFont="1" applyBorder="1" applyAlignment="1">
      <alignment horizontal="right" vertical="center" wrapText="1"/>
    </xf>
    <xf numFmtId="201" fontId="12" fillId="0" borderId="42" xfId="0" applyNumberFormat="1" applyFont="1" applyBorder="1" applyAlignment="1">
      <alignment horizontal="right" vertical="center" wrapText="1"/>
    </xf>
    <xf numFmtId="201" fontId="12" fillId="0" borderId="42" xfId="71" applyNumberFormat="1" applyFont="1" applyBorder="1" applyAlignment="1">
      <alignment horizontal="right" vertical="center" wrapText="1"/>
    </xf>
    <xf numFmtId="201" fontId="76" fillId="2" borderId="112" xfId="0" applyNumberFormat="1" applyFont="1" applyFill="1" applyBorder="1" applyAlignment="1">
      <alignment vertical="center" shrinkToFit="1"/>
    </xf>
    <xf numFmtId="0" fontId="12" fillId="0" borderId="7" xfId="0" applyFont="1" applyBorder="1" applyAlignment="1">
      <alignment horizontal="centerContinuous" vertical="center"/>
    </xf>
    <xf numFmtId="201" fontId="12" fillId="0" borderId="7" xfId="0" applyNumberFormat="1" applyFont="1" applyBorder="1" applyAlignment="1">
      <alignment vertical="center"/>
    </xf>
    <xf numFmtId="201" fontId="98" fillId="0" borderId="7" xfId="0" applyNumberFormat="1" applyFont="1" applyBorder="1" applyAlignment="1">
      <alignment horizontal="right" vertical="center"/>
    </xf>
    <xf numFmtId="0" fontId="76" fillId="0" borderId="0" xfId="0" applyFont="1" applyAlignment="1">
      <alignment vertical="center"/>
    </xf>
    <xf numFmtId="0" fontId="76" fillId="6" borderId="0" xfId="0" applyFont="1" applyFill="1" applyAlignment="1">
      <alignment vertical="center"/>
    </xf>
    <xf numFmtId="201" fontId="76" fillId="0" borderId="0" xfId="0" applyNumberFormat="1" applyFont="1" applyAlignment="1">
      <alignment horizontal="center" vertical="center"/>
    </xf>
    <xf numFmtId="0" fontId="52" fillId="0" borderId="4" xfId="100" applyFont="1" applyBorder="1" applyAlignment="1" applyProtection="1">
      <alignment horizontal="left" vertical="center" wrapText="1"/>
      <protection locked="0"/>
    </xf>
    <xf numFmtId="201" fontId="52" fillId="0" borderId="4" xfId="0" applyNumberFormat="1" applyFont="1" applyBorder="1" applyAlignment="1" applyProtection="1">
      <alignment vertical="center"/>
      <protection locked="0"/>
    </xf>
    <xf numFmtId="41" fontId="52" fillId="0" borderId="4" xfId="71" applyFont="1" applyFill="1" applyBorder="1" applyAlignment="1" applyProtection="1">
      <alignment horizontal="center" vertical="center"/>
      <protection locked="0"/>
    </xf>
    <xf numFmtId="198" fontId="52" fillId="0" borderId="4" xfId="71" applyNumberFormat="1" applyFont="1" applyFill="1" applyBorder="1" applyAlignment="1" applyProtection="1">
      <alignment horizontal="right" vertical="center"/>
      <protection locked="0"/>
    </xf>
    <xf numFmtId="177" fontId="52" fillId="0" borderId="4" xfId="71" quotePrefix="1" applyNumberFormat="1" applyFont="1" applyFill="1" applyBorder="1" applyAlignment="1" applyProtection="1">
      <alignment vertical="center"/>
      <protection locked="0"/>
    </xf>
    <xf numFmtId="177" fontId="52" fillId="0" borderId="4" xfId="71" applyNumberFormat="1" applyFont="1" applyFill="1" applyBorder="1" applyAlignment="1" applyProtection="1">
      <alignment vertical="center"/>
      <protection locked="0"/>
    </xf>
    <xf numFmtId="177" fontId="52" fillId="0" borderId="4" xfId="71" applyNumberFormat="1" applyFont="1" applyFill="1" applyBorder="1" applyAlignment="1" applyProtection="1">
      <alignment vertical="center"/>
    </xf>
    <xf numFmtId="0" fontId="52" fillId="0" borderId="4" xfId="100" applyFont="1" applyBorder="1" applyAlignment="1">
      <alignment vertical="center"/>
    </xf>
    <xf numFmtId="201" fontId="52" fillId="0" borderId="4" xfId="100" applyNumberFormat="1" applyFont="1" applyBorder="1" applyAlignment="1">
      <alignment vertical="center"/>
    </xf>
    <xf numFmtId="180" fontId="52" fillId="0" borderId="4" xfId="71" applyNumberFormat="1" applyFont="1" applyBorder="1" applyAlignment="1">
      <alignment vertical="center"/>
    </xf>
    <xf numFmtId="177" fontId="52" fillId="0" borderId="4" xfId="71" applyNumberFormat="1" applyFont="1" applyBorder="1" applyAlignment="1">
      <alignment vertical="center"/>
    </xf>
    <xf numFmtId="195" fontId="52" fillId="0" borderId="4" xfId="62" applyNumberFormat="1" applyFont="1" applyBorder="1" applyAlignment="1">
      <alignment horizontal="right" vertical="center"/>
    </xf>
    <xf numFmtId="177" fontId="52" fillId="0" borderId="119" xfId="71" applyNumberFormat="1" applyFont="1" applyFill="1" applyBorder="1" applyAlignment="1">
      <alignment horizontal="center" vertical="center"/>
    </xf>
    <xf numFmtId="0" fontId="19" fillId="0" borderId="0" xfId="101" applyFont="1" applyAlignment="1">
      <alignment horizontal="right" vertical="center"/>
    </xf>
    <xf numFmtId="201" fontId="32" fillId="0" borderId="1" xfId="0" applyNumberFormat="1" applyFont="1" applyBorder="1" applyAlignment="1" applyProtection="1">
      <alignment horizontal="right" vertical="center"/>
      <protection locked="0"/>
    </xf>
    <xf numFmtId="201" fontId="0" fillId="0" borderId="0" xfId="0" applyNumberFormat="1" applyAlignment="1">
      <alignment horizontal="center" vertical="center"/>
    </xf>
    <xf numFmtId="201" fontId="34" fillId="0" borderId="0" xfId="0" applyNumberFormat="1" applyFont="1" applyAlignment="1">
      <alignment horizontal="center" vertical="center"/>
    </xf>
    <xf numFmtId="201" fontId="12" fillId="6" borderId="42" xfId="0" applyNumberFormat="1" applyFont="1" applyFill="1" applyBorder="1" applyAlignment="1">
      <alignment horizontal="center" vertical="center"/>
    </xf>
    <xf numFmtId="201" fontId="12" fillId="2" borderId="96" xfId="0" applyNumberFormat="1" applyFont="1" applyFill="1" applyBorder="1" applyAlignment="1">
      <alignment horizontal="center" vertical="center" shrinkToFit="1"/>
    </xf>
    <xf numFmtId="201" fontId="12" fillId="0" borderId="7" xfId="0" applyNumberFormat="1" applyFont="1" applyBorder="1" applyAlignment="1">
      <alignment horizontal="center" vertical="center"/>
    </xf>
    <xf numFmtId="201" fontId="76" fillId="6" borderId="0" xfId="0" applyNumberFormat="1" applyFont="1" applyFill="1" applyAlignment="1">
      <alignment horizontal="center" vertical="center"/>
    </xf>
    <xf numFmtId="0" fontId="20" fillId="0" borderId="11" xfId="101" applyFont="1" applyBorder="1" applyAlignment="1">
      <alignment vertical="center"/>
    </xf>
    <xf numFmtId="197" fontId="20" fillId="0" borderId="0" xfId="71" applyNumberFormat="1" applyFont="1" applyBorder="1" applyAlignment="1">
      <alignment horizontal="right" vertical="center"/>
    </xf>
    <xf numFmtId="201" fontId="20" fillId="0" borderId="19" xfId="71" applyNumberFormat="1" applyFont="1" applyFill="1" applyBorder="1" applyAlignment="1">
      <alignment horizontal="right" vertical="center"/>
    </xf>
    <xf numFmtId="0" fontId="14" fillId="42" borderId="179" xfId="0" applyFont="1" applyFill="1" applyBorder="1" applyAlignment="1">
      <alignment horizontal="centerContinuous" vertical="center"/>
    </xf>
    <xf numFmtId="202" fontId="14" fillId="42" borderId="180" xfId="71" applyNumberFormat="1" applyFont="1" applyFill="1" applyBorder="1" applyAlignment="1">
      <alignment vertical="center"/>
    </xf>
    <xf numFmtId="179" fontId="14" fillId="42" borderId="180" xfId="71" applyNumberFormat="1" applyFont="1" applyFill="1" applyBorder="1" applyAlignment="1">
      <alignment horizontal="center" vertical="center"/>
    </xf>
    <xf numFmtId="201" fontId="14" fillId="42" borderId="180" xfId="71" applyNumberFormat="1" applyFont="1" applyFill="1" applyBorder="1" applyAlignment="1">
      <alignment vertical="center"/>
    </xf>
    <xf numFmtId="179" fontId="14" fillId="42" borderId="181" xfId="71" applyNumberFormat="1" applyFont="1" applyFill="1" applyBorder="1" applyAlignment="1">
      <alignment horizontal="center" vertical="center"/>
    </xf>
    <xf numFmtId="202" fontId="14" fillId="42" borderId="105" xfId="71" applyNumberFormat="1" applyFont="1" applyFill="1" applyBorder="1" applyAlignment="1">
      <alignment vertical="center"/>
    </xf>
    <xf numFmtId="41" fontId="14" fillId="42" borderId="182" xfId="71" applyFont="1" applyFill="1" applyBorder="1" applyAlignment="1">
      <alignment horizontal="right" vertical="center"/>
    </xf>
    <xf numFmtId="177" fontId="21" fillId="0" borderId="0" xfId="0" applyNumberFormat="1" applyFont="1" applyAlignment="1">
      <alignment vertical="center"/>
    </xf>
    <xf numFmtId="202" fontId="21" fillId="0" borderId="0" xfId="0" applyNumberFormat="1" applyFont="1" applyAlignment="1">
      <alignment vertical="center"/>
    </xf>
    <xf numFmtId="204" fontId="20" fillId="0" borderId="0" xfId="0" applyNumberFormat="1" applyFont="1" applyAlignment="1">
      <alignment vertical="center"/>
    </xf>
    <xf numFmtId="204" fontId="76" fillId="0" borderId="0" xfId="0" applyNumberFormat="1" applyFont="1" applyAlignment="1">
      <alignment vertical="center"/>
    </xf>
    <xf numFmtId="204" fontId="76" fillId="0" borderId="0" xfId="0" applyNumberFormat="1" applyFont="1" applyAlignment="1">
      <alignment horizontal="right" vertical="center"/>
    </xf>
    <xf numFmtId="204" fontId="76" fillId="6" borderId="0" xfId="0" applyNumberFormat="1" applyFont="1" applyFill="1" applyAlignment="1">
      <alignment vertical="center"/>
    </xf>
    <xf numFmtId="201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79" fontId="20" fillId="0" borderId="0" xfId="0" applyNumberFormat="1" applyFont="1" applyAlignment="1">
      <alignment vertical="center"/>
    </xf>
    <xf numFmtId="177" fontId="20" fillId="0" borderId="0" xfId="0" applyNumberFormat="1" applyFont="1" applyAlignment="1">
      <alignment vertical="center"/>
    </xf>
    <xf numFmtId="43" fontId="21" fillId="0" borderId="0" xfId="0" applyNumberFormat="1" applyFont="1" applyAlignment="1">
      <alignment vertical="center"/>
    </xf>
    <xf numFmtId="201" fontId="20" fillId="0" borderId="92" xfId="71" applyNumberFormat="1" applyFont="1" applyFill="1" applyBorder="1" applyAlignment="1">
      <alignment horizontal="right" vertical="center"/>
    </xf>
    <xf numFmtId="201" fontId="21" fillId="0" borderId="85" xfId="71" applyNumberFormat="1" applyFont="1" applyFill="1" applyBorder="1" applyAlignment="1" applyProtection="1">
      <alignment horizontal="right" vertical="center"/>
      <protection locked="0"/>
    </xf>
    <xf numFmtId="201" fontId="21" fillId="0" borderId="73" xfId="71" applyNumberFormat="1" applyFont="1" applyFill="1" applyBorder="1" applyAlignment="1" applyProtection="1">
      <alignment horizontal="right" vertical="center"/>
      <protection locked="0"/>
    </xf>
    <xf numFmtId="201" fontId="21" fillId="0" borderId="84" xfId="71" applyNumberFormat="1" applyFont="1" applyFill="1" applyBorder="1" applyAlignment="1" applyProtection="1">
      <alignment horizontal="right" vertical="center"/>
      <protection locked="0"/>
    </xf>
    <xf numFmtId="201" fontId="20" fillId="0" borderId="0" xfId="71" applyNumberFormat="1" applyFont="1" applyFill="1" applyBorder="1" applyAlignment="1">
      <alignment horizontal="right" vertical="center"/>
    </xf>
    <xf numFmtId="177" fontId="21" fillId="0" borderId="88" xfId="71" applyNumberFormat="1" applyFont="1" applyFill="1" applyBorder="1" applyAlignment="1" applyProtection="1">
      <alignment vertical="center"/>
      <protection locked="0"/>
    </xf>
    <xf numFmtId="177" fontId="35" fillId="0" borderId="0" xfId="100" applyNumberFormat="1" applyFont="1" applyAlignment="1">
      <alignment horizontal="right" vertical="center"/>
    </xf>
    <xf numFmtId="0" fontId="6" fillId="0" borderId="31" xfId="100" applyFont="1" applyBorder="1" applyAlignment="1" applyProtection="1">
      <alignment horizontal="left" vertical="center"/>
      <protection locked="0"/>
    </xf>
    <xf numFmtId="183" fontId="6" fillId="0" borderId="31" xfId="0" applyNumberFormat="1" applyFont="1" applyBorder="1" applyAlignment="1" applyProtection="1">
      <alignment vertical="center"/>
      <protection locked="0"/>
    </xf>
    <xf numFmtId="41" fontId="6" fillId="0" borderId="31" xfId="71" applyFont="1" applyBorder="1" applyAlignment="1" applyProtection="1">
      <alignment horizontal="center" vertical="center"/>
      <protection locked="0"/>
    </xf>
    <xf numFmtId="177" fontId="6" fillId="0" borderId="31" xfId="71" applyNumberFormat="1" applyFont="1" applyFill="1" applyBorder="1" applyAlignment="1" applyProtection="1">
      <alignment vertical="center"/>
    </xf>
    <xf numFmtId="177" fontId="6" fillId="0" borderId="31" xfId="71" applyNumberFormat="1" applyFont="1" applyFill="1" applyBorder="1" applyAlignment="1" applyProtection="1">
      <alignment vertical="center"/>
      <protection locked="0"/>
    </xf>
    <xf numFmtId="178" fontId="6" fillId="0" borderId="31" xfId="62" applyNumberFormat="1" applyFont="1" applyBorder="1" applyAlignment="1">
      <alignment horizontal="right" vertical="center"/>
    </xf>
    <xf numFmtId="204" fontId="6" fillId="0" borderId="31" xfId="71" applyNumberFormat="1" applyFont="1" applyFill="1" applyBorder="1" applyAlignment="1" applyProtection="1">
      <alignment vertical="center"/>
    </xf>
    <xf numFmtId="177" fontId="6" fillId="0" borderId="64" xfId="71" applyNumberFormat="1" applyFont="1" applyFill="1" applyBorder="1" applyAlignment="1">
      <alignment vertical="center"/>
    </xf>
    <xf numFmtId="0" fontId="52" fillId="5" borderId="27" xfId="100" applyFont="1" applyFill="1" applyBorder="1" applyAlignment="1">
      <alignment horizontal="center" vertical="center"/>
    </xf>
    <xf numFmtId="201" fontId="21" fillId="0" borderId="0" xfId="100" applyNumberFormat="1" applyFont="1" applyAlignment="1">
      <alignment horizontal="center" vertical="center"/>
    </xf>
    <xf numFmtId="201" fontId="32" fillId="43" borderId="36" xfId="100" applyNumberFormat="1" applyFont="1" applyFill="1" applyBorder="1" applyAlignment="1">
      <alignment horizontal="center" vertical="center"/>
    </xf>
    <xf numFmtId="201" fontId="32" fillId="0" borderId="36" xfId="100" applyNumberFormat="1" applyFont="1" applyBorder="1" applyAlignment="1">
      <alignment horizontal="center" vertical="center"/>
    </xf>
    <xf numFmtId="201" fontId="32" fillId="2" borderId="5" xfId="100" applyNumberFormat="1" applyFont="1" applyFill="1" applyBorder="1" applyAlignment="1">
      <alignment horizontal="center" vertical="center"/>
    </xf>
    <xf numFmtId="201" fontId="32" fillId="2" borderId="6" xfId="100" applyNumberFormat="1" applyFont="1" applyFill="1" applyBorder="1" applyAlignment="1">
      <alignment horizontal="center" vertical="center"/>
    </xf>
    <xf numFmtId="201" fontId="32" fillId="2" borderId="31" xfId="100" applyNumberFormat="1" applyFont="1" applyFill="1" applyBorder="1" applyAlignment="1">
      <alignment horizontal="center" vertical="center"/>
    </xf>
    <xf numFmtId="201" fontId="32" fillId="44" borderId="29" xfId="71" applyNumberFormat="1" applyFont="1" applyFill="1" applyBorder="1" applyAlignment="1" applyProtection="1">
      <alignment horizontal="center" vertical="center"/>
    </xf>
    <xf numFmtId="201" fontId="32" fillId="43" borderId="1" xfId="0" applyNumberFormat="1" applyFont="1" applyFill="1" applyBorder="1" applyAlignment="1" applyProtection="1">
      <alignment horizontal="right" vertical="center"/>
      <protection locked="0"/>
    </xf>
    <xf numFmtId="0" fontId="20" fillId="0" borderId="1" xfId="71" applyNumberFormat="1" applyFont="1" applyFill="1" applyBorder="1" applyAlignment="1" applyProtection="1">
      <alignment vertical="center" wrapText="1"/>
    </xf>
    <xf numFmtId="201" fontId="20" fillId="0" borderId="0" xfId="0" applyNumberFormat="1" applyFont="1" applyAlignment="1">
      <alignment horizontal="center" vertical="center"/>
    </xf>
    <xf numFmtId="205" fontId="20" fillId="0" borderId="0" xfId="0" applyNumberFormat="1" applyFont="1" applyAlignment="1">
      <alignment horizontal="center" vertical="center"/>
    </xf>
    <xf numFmtId="41" fontId="6" fillId="0" borderId="33" xfId="71" applyFont="1" applyBorder="1" applyAlignment="1" applyProtection="1">
      <alignment vertical="center"/>
      <protection locked="0"/>
    </xf>
    <xf numFmtId="177" fontId="6" fillId="0" borderId="33" xfId="71" applyNumberFormat="1" applyFont="1" applyBorder="1" applyAlignment="1" applyProtection="1">
      <alignment vertical="center"/>
    </xf>
    <xf numFmtId="204" fontId="6" fillId="0" borderId="33" xfId="62" applyNumberFormat="1" applyFont="1" applyBorder="1" applyAlignment="1">
      <alignment horizontal="right" vertical="center"/>
    </xf>
    <xf numFmtId="177" fontId="6" fillId="0" borderId="61" xfId="71" applyNumberFormat="1" applyFont="1" applyBorder="1" applyAlignment="1">
      <alignment vertical="center"/>
    </xf>
    <xf numFmtId="177" fontId="73" fillId="0" borderId="29" xfId="0" applyNumberFormat="1" applyFont="1" applyBorder="1" applyAlignment="1">
      <alignment horizontal="right" vertical="center"/>
    </xf>
    <xf numFmtId="201" fontId="20" fillId="0" borderId="146" xfId="71" applyNumberFormat="1" applyFont="1" applyFill="1" applyBorder="1" applyAlignment="1">
      <alignment horizontal="center" vertical="center"/>
    </xf>
    <xf numFmtId="177" fontId="35" fillId="0" borderId="37" xfId="71" applyNumberFormat="1" applyFont="1" applyBorder="1" applyAlignment="1" applyProtection="1">
      <alignment horizontal="right" vertical="center"/>
      <protection locked="0"/>
    </xf>
    <xf numFmtId="193" fontId="6" fillId="7" borderId="29" xfId="100" applyNumberFormat="1" applyFont="1" applyFill="1" applyBorder="1" applyAlignment="1" applyProtection="1">
      <alignment horizontal="centerContinuous" vertical="center"/>
      <protection locked="0"/>
    </xf>
    <xf numFmtId="0" fontId="5" fillId="42" borderId="216" xfId="0" applyFont="1" applyFill="1" applyBorder="1" applyAlignment="1">
      <alignment horizontal="centerContinuous" vertical="center"/>
    </xf>
    <xf numFmtId="202" fontId="14" fillId="42" borderId="183" xfId="71" applyNumberFormat="1" applyFont="1" applyFill="1" applyBorder="1" applyAlignment="1">
      <alignment vertical="center"/>
    </xf>
    <xf numFmtId="202" fontId="99" fillId="7" borderId="217" xfId="71" applyNumberFormat="1" applyFont="1" applyFill="1" applyBorder="1" applyAlignment="1">
      <alignment vertical="center"/>
    </xf>
    <xf numFmtId="179" fontId="14" fillId="42" borderId="183" xfId="71" applyNumberFormat="1" applyFont="1" applyFill="1" applyBorder="1" applyAlignment="1">
      <alignment horizontal="center" vertical="center"/>
    </xf>
    <xf numFmtId="177" fontId="20" fillId="0" borderId="130" xfId="0" applyNumberFormat="1" applyFont="1" applyBorder="1" applyAlignment="1">
      <alignment horizontal="right" vertical="center"/>
    </xf>
    <xf numFmtId="177" fontId="20" fillId="0" borderId="94" xfId="0" applyNumberFormat="1" applyFont="1" applyBorder="1" applyAlignment="1">
      <alignment horizontal="right" vertical="center"/>
    </xf>
    <xf numFmtId="177" fontId="20" fillId="0" borderId="145" xfId="0" applyNumberFormat="1" applyFont="1" applyBorder="1" applyAlignment="1">
      <alignment horizontal="right" vertical="center"/>
    </xf>
    <xf numFmtId="177" fontId="20" fillId="0" borderId="95" xfId="0" applyNumberFormat="1" applyFont="1" applyBorder="1" applyAlignment="1">
      <alignment horizontal="right" vertical="center"/>
    </xf>
    <xf numFmtId="179" fontId="14" fillId="7" borderId="217" xfId="71" applyNumberFormat="1" applyFont="1" applyFill="1" applyBorder="1" applyAlignment="1">
      <alignment horizontal="center" vertical="center"/>
    </xf>
    <xf numFmtId="177" fontId="20" fillId="0" borderId="153" xfId="0" applyNumberFormat="1" applyFont="1" applyBorder="1" applyAlignment="1">
      <alignment horizontal="right" vertical="center"/>
    </xf>
    <xf numFmtId="221" fontId="20" fillId="0" borderId="94" xfId="0" applyNumberFormat="1" applyFont="1" applyBorder="1" applyAlignment="1">
      <alignment horizontal="right" vertical="center"/>
    </xf>
    <xf numFmtId="177" fontId="14" fillId="42" borderId="164" xfId="0" applyNumberFormat="1" applyFont="1" applyFill="1" applyBorder="1" applyAlignment="1">
      <alignment horizontal="right" vertical="center"/>
    </xf>
    <xf numFmtId="0" fontId="100" fillId="42" borderId="216" xfId="0" applyFont="1" applyFill="1" applyBorder="1" applyAlignment="1">
      <alignment horizontal="centerContinuous" vertical="center"/>
    </xf>
    <xf numFmtId="41" fontId="14" fillId="42" borderId="16" xfId="71" applyFont="1" applyFill="1" applyBorder="1" applyAlignment="1">
      <alignment vertical="center"/>
    </xf>
    <xf numFmtId="0" fontId="20" fillId="0" borderId="141" xfId="0" applyFont="1" applyBorder="1" applyAlignment="1">
      <alignment horizontal="centerContinuous" vertical="center"/>
    </xf>
    <xf numFmtId="0" fontId="20" fillId="0" borderId="20" xfId="0" applyFont="1" applyBorder="1" applyAlignment="1">
      <alignment horizontal="centerContinuous" vertical="center"/>
    </xf>
    <xf numFmtId="0" fontId="20" fillId="0" borderId="51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Continuous" vertical="center"/>
    </xf>
    <xf numFmtId="0" fontId="14" fillId="42" borderId="104" xfId="0" applyFont="1" applyFill="1" applyBorder="1" applyAlignment="1">
      <alignment horizontal="centerContinuous" vertical="center"/>
    </xf>
    <xf numFmtId="41" fontId="99" fillId="7" borderId="218" xfId="71" applyFont="1" applyFill="1" applyBorder="1" applyAlignment="1">
      <alignment vertical="center"/>
    </xf>
    <xf numFmtId="0" fontId="20" fillId="0" borderId="155" xfId="0" applyFont="1" applyBorder="1" applyAlignment="1">
      <alignment horizontal="centerContinuous" vertical="center"/>
    </xf>
    <xf numFmtId="0" fontId="20" fillId="0" borderId="93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Continuous" vertical="center" wrapText="1"/>
    </xf>
    <xf numFmtId="0" fontId="14" fillId="7" borderId="186" xfId="0" applyFont="1" applyFill="1" applyBorder="1" applyAlignment="1">
      <alignment horizontal="centerContinuous" vertical="center"/>
    </xf>
    <xf numFmtId="177" fontId="14" fillId="42" borderId="149" xfId="71" applyNumberFormat="1" applyFont="1" applyFill="1" applyBorder="1" applyAlignment="1">
      <alignment vertical="center"/>
    </xf>
    <xf numFmtId="177" fontId="14" fillId="42" borderId="187" xfId="71" applyNumberFormat="1" applyFont="1" applyFill="1" applyBorder="1" applyAlignment="1">
      <alignment vertical="center"/>
    </xf>
    <xf numFmtId="177" fontId="14" fillId="7" borderId="172" xfId="71" applyNumberFormat="1" applyFont="1" applyFill="1" applyBorder="1" applyAlignment="1">
      <alignment vertical="center"/>
    </xf>
    <xf numFmtId="177" fontId="14" fillId="7" borderId="7" xfId="71" applyNumberFormat="1" applyFont="1" applyFill="1" applyBorder="1" applyAlignment="1">
      <alignment vertical="center"/>
    </xf>
    <xf numFmtId="177" fontId="101" fillId="0" borderId="0" xfId="0" applyNumberFormat="1" applyFont="1" applyAlignment="1">
      <alignment vertical="center"/>
    </xf>
    <xf numFmtId="177" fontId="102" fillId="0" borderId="0" xfId="0" applyNumberFormat="1" applyFont="1" applyAlignment="1">
      <alignment vertical="center"/>
    </xf>
    <xf numFmtId="41" fontId="20" fillId="0" borderId="2" xfId="71" applyFont="1" applyBorder="1" applyAlignment="1">
      <alignment vertical="center" wrapText="1"/>
    </xf>
    <xf numFmtId="41" fontId="20" fillId="0" borderId="65" xfId="71" applyFont="1" applyFill="1" applyBorder="1" applyAlignment="1">
      <alignment horizontal="left" vertical="center" wrapText="1"/>
    </xf>
    <xf numFmtId="184" fontId="78" fillId="0" borderId="0" xfId="74" applyNumberFormat="1" applyFont="1" applyFill="1" applyAlignment="1">
      <alignment vertical="center"/>
    </xf>
    <xf numFmtId="225" fontId="21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01" fontId="12" fillId="0" borderId="42" xfId="0" applyNumberFormat="1" applyFont="1" applyBorder="1" applyAlignment="1">
      <alignment horizontal="center" vertical="center"/>
    </xf>
    <xf numFmtId="201" fontId="12" fillId="0" borderId="1" xfId="0" applyNumberFormat="1" applyFont="1" applyBorder="1" applyAlignment="1">
      <alignment horizontal="right" vertical="center"/>
    </xf>
    <xf numFmtId="201" fontId="77" fillId="0" borderId="42" xfId="0" applyNumberFormat="1" applyFont="1" applyBorder="1" applyAlignment="1">
      <alignment horizontal="right" vertical="center"/>
    </xf>
    <xf numFmtId="177" fontId="37" fillId="0" borderId="0" xfId="100" applyNumberFormat="1" applyFont="1" applyAlignment="1">
      <alignment vertical="center"/>
    </xf>
    <xf numFmtId="220" fontId="104" fillId="40" borderId="0" xfId="101" applyNumberFormat="1" applyFont="1" applyFill="1" applyAlignment="1">
      <alignment horizontal="distributed" vertical="center"/>
    </xf>
    <xf numFmtId="201" fontId="20" fillId="0" borderId="0" xfId="0" applyNumberFormat="1" applyFont="1" applyAlignment="1">
      <alignment horizontal="left" vertical="center"/>
    </xf>
    <xf numFmtId="0" fontId="32" fillId="43" borderId="1" xfId="0" applyFont="1" applyFill="1" applyBorder="1" applyAlignment="1" applyProtection="1">
      <alignment horizontal="left" vertical="center" shrinkToFit="1"/>
      <protection locked="0"/>
    </xf>
    <xf numFmtId="41" fontId="33" fillId="2" borderId="31" xfId="71" applyFont="1" applyFill="1" applyBorder="1" applyAlignment="1" applyProtection="1">
      <alignment horizontal="center" vertical="center"/>
    </xf>
    <xf numFmtId="177" fontId="35" fillId="2" borderId="29" xfId="71" quotePrefix="1" applyNumberFormat="1" applyFont="1" applyFill="1" applyBorder="1" applyAlignment="1" applyProtection="1">
      <alignment horizontal="right" vertical="center" shrinkToFit="1"/>
    </xf>
    <xf numFmtId="177" fontId="35" fillId="2" borderId="29" xfId="71" applyNumberFormat="1" applyFont="1" applyFill="1" applyBorder="1" applyAlignment="1" applyProtection="1">
      <alignment horizontal="right" vertical="center" shrinkToFit="1"/>
    </xf>
    <xf numFmtId="177" fontId="35" fillId="0" borderId="33" xfId="71" applyNumberFormat="1" applyFont="1" applyBorder="1" applyAlignment="1" applyProtection="1">
      <alignment horizontal="right" vertical="center" shrinkToFit="1"/>
      <protection locked="0"/>
    </xf>
    <xf numFmtId="177" fontId="35" fillId="0" borderId="33" xfId="71" quotePrefix="1" applyNumberFormat="1" applyFont="1" applyBorder="1" applyAlignment="1" applyProtection="1">
      <alignment horizontal="right" vertical="center" shrinkToFit="1"/>
      <protection locked="0"/>
    </xf>
    <xf numFmtId="177" fontId="35" fillId="2" borderId="31" xfId="71" applyNumberFormat="1" applyFont="1" applyFill="1" applyBorder="1" applyAlignment="1" applyProtection="1">
      <alignment horizontal="right" vertical="center" shrinkToFit="1"/>
    </xf>
    <xf numFmtId="0" fontId="35" fillId="0" borderId="33" xfId="0" applyFont="1" applyBorder="1" applyAlignment="1" applyProtection="1">
      <alignment horizontal="left" vertical="center" shrinkToFit="1"/>
      <protection locked="0"/>
    </xf>
    <xf numFmtId="177" fontId="55" fillId="6" borderId="1" xfId="71" applyNumberFormat="1" applyFont="1" applyFill="1" applyBorder="1" applyAlignment="1" applyProtection="1">
      <alignment vertical="center"/>
    </xf>
    <xf numFmtId="201" fontId="55" fillId="41" borderId="1" xfId="0" applyNumberFormat="1" applyFont="1" applyFill="1" applyBorder="1" applyAlignment="1" applyProtection="1">
      <alignment horizontal="right" vertical="center"/>
      <protection locked="0"/>
    </xf>
    <xf numFmtId="41" fontId="33" fillId="2" borderId="29" xfId="71" quotePrefix="1" applyFont="1" applyFill="1" applyBorder="1" applyAlignment="1" applyProtection="1">
      <alignment horizontal="center" vertical="center" wrapText="1"/>
    </xf>
    <xf numFmtId="177" fontId="33" fillId="43" borderId="1" xfId="71" applyNumberFormat="1" applyFont="1" applyFill="1" applyBorder="1" applyAlignment="1" applyProtection="1">
      <alignment vertical="center"/>
    </xf>
    <xf numFmtId="177" fontId="6" fillId="2" borderId="31" xfId="71" applyNumberFormat="1" applyFont="1" applyFill="1" applyBorder="1" applyAlignment="1" applyProtection="1">
      <alignment horizontal="right" vertical="center"/>
    </xf>
    <xf numFmtId="177" fontId="6" fillId="0" borderId="1" xfId="71" applyNumberFormat="1" applyFont="1" applyBorder="1" applyAlignment="1" applyProtection="1">
      <alignment horizontal="right" vertical="center"/>
      <protection locked="0"/>
    </xf>
    <xf numFmtId="41" fontId="33" fillId="43" borderId="0" xfId="100" applyNumberFormat="1" applyFont="1" applyFill="1" applyAlignment="1">
      <alignment vertical="center"/>
    </xf>
    <xf numFmtId="201" fontId="6" fillId="0" borderId="1" xfId="100" applyNumberFormat="1" applyFont="1" applyBorder="1" applyAlignment="1">
      <alignment vertical="center"/>
    </xf>
    <xf numFmtId="222" fontId="35" fillId="4" borderId="33" xfId="62" applyNumberFormat="1" applyFont="1" applyFill="1" applyBorder="1" applyAlignment="1">
      <alignment horizontal="right" vertical="center"/>
    </xf>
    <xf numFmtId="178" fontId="6" fillId="0" borderId="42" xfId="62" applyNumberFormat="1" applyFont="1" applyBorder="1" applyAlignment="1">
      <alignment horizontal="right" vertical="center"/>
    </xf>
    <xf numFmtId="0" fontId="20" fillId="0" borderId="27" xfId="0" applyFont="1" applyBorder="1" applyAlignment="1">
      <alignment horizontal="centerContinuous" vertical="center"/>
    </xf>
    <xf numFmtId="41" fontId="20" fillId="0" borderId="18" xfId="71" applyFont="1" applyFill="1" applyBorder="1" applyAlignment="1">
      <alignment vertical="center"/>
    </xf>
    <xf numFmtId="179" fontId="20" fillId="0" borderId="102" xfId="71" applyNumberFormat="1" applyFont="1" applyFill="1" applyBorder="1" applyAlignment="1">
      <alignment horizontal="center" vertical="center"/>
    </xf>
    <xf numFmtId="41" fontId="20" fillId="0" borderId="219" xfId="71" applyFont="1" applyFill="1" applyBorder="1" applyAlignment="1">
      <alignment vertical="center"/>
    </xf>
    <xf numFmtId="177" fontId="20" fillId="0" borderId="0" xfId="71" applyNumberFormat="1" applyFont="1" applyFill="1" applyBorder="1" applyAlignment="1">
      <alignment vertical="center"/>
    </xf>
    <xf numFmtId="41" fontId="20" fillId="0" borderId="100" xfId="71" applyFont="1" applyFill="1" applyBorder="1" applyAlignment="1">
      <alignment vertical="center"/>
    </xf>
    <xf numFmtId="201" fontId="20" fillId="0" borderId="100" xfId="71" applyNumberFormat="1" applyFont="1" applyBorder="1" applyAlignment="1">
      <alignment vertical="center"/>
    </xf>
    <xf numFmtId="179" fontId="20" fillId="0" borderId="101" xfId="71" applyNumberFormat="1" applyFont="1" applyFill="1" applyBorder="1" applyAlignment="1">
      <alignment horizontal="center" vertical="center"/>
    </xf>
    <xf numFmtId="41" fontId="20" fillId="0" borderId="12" xfId="71" applyFont="1" applyFill="1" applyBorder="1" applyAlignment="1">
      <alignment vertical="center"/>
    </xf>
    <xf numFmtId="0" fontId="44" fillId="0" borderId="19" xfId="0" applyFont="1" applyBorder="1" applyAlignment="1">
      <alignment horizontal="center" vertical="center" shrinkToFit="1"/>
    </xf>
    <xf numFmtId="0" fontId="20" fillId="0" borderId="191" xfId="0" applyFont="1" applyBorder="1" applyAlignment="1">
      <alignment horizontal="centerContinuous" vertical="center"/>
    </xf>
    <xf numFmtId="202" fontId="20" fillId="0" borderId="100" xfId="71" applyNumberFormat="1" applyFont="1" applyFill="1" applyBorder="1" applyAlignment="1">
      <alignment vertical="center"/>
    </xf>
    <xf numFmtId="191" fontId="20" fillId="40" borderId="0" xfId="73" applyNumberFormat="1" applyFont="1" applyFill="1" applyBorder="1" applyAlignment="1">
      <alignment vertical="center" shrinkToFit="1"/>
    </xf>
    <xf numFmtId="0" fontId="20" fillId="0" borderId="220" xfId="0" applyFont="1" applyBorder="1" applyAlignment="1">
      <alignment horizontal="centerContinuous" vertical="center"/>
    </xf>
    <xf numFmtId="0" fontId="20" fillId="0" borderId="77" xfId="0" applyFont="1" applyBorder="1" applyAlignment="1">
      <alignment horizontal="centerContinuous" vertical="center"/>
    </xf>
    <xf numFmtId="41" fontId="20" fillId="0" borderId="49" xfId="71" applyFont="1" applyFill="1" applyBorder="1" applyAlignment="1">
      <alignment vertical="center"/>
    </xf>
    <xf numFmtId="202" fontId="20" fillId="0" borderId="50" xfId="71" applyNumberFormat="1" applyFont="1" applyFill="1" applyBorder="1" applyAlignment="1">
      <alignment vertical="center"/>
    </xf>
    <xf numFmtId="179" fontId="20" fillId="0" borderId="48" xfId="71" applyNumberFormat="1" applyFont="1" applyFill="1" applyBorder="1" applyAlignment="1">
      <alignment horizontal="center" vertical="center"/>
    </xf>
    <xf numFmtId="41" fontId="20" fillId="0" borderId="145" xfId="71" applyFont="1" applyFill="1" applyBorder="1" applyAlignment="1">
      <alignment vertical="center"/>
    </xf>
    <xf numFmtId="177" fontId="20" fillId="0" borderId="146" xfId="71" applyNumberFormat="1" applyFont="1" applyFill="1" applyBorder="1" applyAlignment="1">
      <alignment vertical="center"/>
    </xf>
    <xf numFmtId="41" fontId="20" fillId="0" borderId="50" xfId="71" applyFont="1" applyFill="1" applyBorder="1" applyAlignment="1">
      <alignment vertical="center"/>
    </xf>
    <xf numFmtId="201" fontId="20" fillId="0" borderId="50" xfId="71" applyNumberFormat="1" applyFont="1" applyBorder="1" applyAlignment="1">
      <alignment vertical="center"/>
    </xf>
    <xf numFmtId="179" fontId="20" fillId="0" borderId="51" xfId="71" applyNumberFormat="1" applyFont="1" applyFill="1" applyBorder="1" applyAlignment="1">
      <alignment horizontal="center" vertical="center"/>
    </xf>
    <xf numFmtId="41" fontId="20" fillId="0" borderId="221" xfId="71" applyFont="1" applyFill="1" applyBorder="1" applyAlignment="1">
      <alignment vertical="center"/>
    </xf>
    <xf numFmtId="201" fontId="20" fillId="0" borderId="129" xfId="71" applyNumberFormat="1" applyFont="1" applyFill="1" applyBorder="1" applyAlignment="1">
      <alignment vertical="center"/>
    </xf>
    <xf numFmtId="201" fontId="20" fillId="0" borderId="130" xfId="71" applyNumberFormat="1" applyFont="1" applyBorder="1" applyAlignment="1">
      <alignment vertical="center"/>
    </xf>
    <xf numFmtId="177" fontId="20" fillId="0" borderId="63" xfId="71" applyNumberFormat="1" applyFont="1" applyFill="1" applyBorder="1" applyAlignment="1" applyProtection="1">
      <alignment vertical="center"/>
    </xf>
    <xf numFmtId="177" fontId="20" fillId="4" borderId="29" xfId="71" applyNumberFormat="1" applyFont="1" applyFill="1" applyBorder="1" applyAlignment="1" applyProtection="1">
      <alignment vertical="center"/>
    </xf>
    <xf numFmtId="177" fontId="14" fillId="2" borderId="31" xfId="71" applyNumberFormat="1" applyFont="1" applyFill="1" applyBorder="1" applyAlignment="1">
      <alignment horizontal="right" vertical="center"/>
    </xf>
    <xf numFmtId="217" fontId="20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vertical="center"/>
    </xf>
    <xf numFmtId="0" fontId="6" fillId="0" borderId="1" xfId="100" applyFont="1" applyBorder="1" applyAlignment="1" applyProtection="1">
      <alignment horizontal="left" vertical="center" shrinkToFit="1"/>
      <protection locked="0"/>
    </xf>
    <xf numFmtId="0" fontId="35" fillId="0" borderId="42" xfId="0" applyFont="1" applyBorder="1" applyAlignment="1" applyProtection="1">
      <alignment horizontal="left" vertical="center" shrinkToFit="1"/>
      <protection locked="0"/>
    </xf>
    <xf numFmtId="177" fontId="20" fillId="0" borderId="1" xfId="71" applyNumberFormat="1" applyFont="1" applyFill="1" applyBorder="1" applyAlignment="1" applyProtection="1">
      <alignment vertical="center"/>
    </xf>
    <xf numFmtId="177" fontId="20" fillId="0" borderId="0" xfId="101" applyNumberFormat="1" applyFont="1" applyAlignment="1">
      <alignment horizontal="center" vertical="center"/>
    </xf>
    <xf numFmtId="41" fontId="21" fillId="0" borderId="0" xfId="0" applyNumberFormat="1" applyFont="1" applyAlignment="1">
      <alignment vertical="center"/>
    </xf>
    <xf numFmtId="0" fontId="20" fillId="0" borderId="6" xfId="99" applyFont="1" applyBorder="1" applyAlignment="1">
      <alignment horizontal="center" vertical="center" wrapText="1"/>
    </xf>
    <xf numFmtId="0" fontId="20" fillId="0" borderId="6" xfId="99" applyFont="1" applyBorder="1" applyAlignment="1" applyProtection="1">
      <alignment horizontal="center" vertical="center"/>
      <protection locked="0"/>
    </xf>
    <xf numFmtId="205" fontId="20" fillId="0" borderId="6" xfId="71" applyNumberFormat="1" applyFont="1" applyFill="1" applyBorder="1" applyAlignment="1" applyProtection="1">
      <alignment vertical="center"/>
    </xf>
    <xf numFmtId="41" fontId="20" fillId="0" borderId="219" xfId="71" applyFont="1" applyFill="1" applyBorder="1" applyAlignment="1" applyProtection="1">
      <alignment vertical="center"/>
    </xf>
    <xf numFmtId="41" fontId="20" fillId="0" borderId="100" xfId="71" applyFont="1" applyFill="1" applyBorder="1" applyAlignment="1" applyProtection="1">
      <alignment vertical="center"/>
    </xf>
    <xf numFmtId="41" fontId="20" fillId="0" borderId="101" xfId="71" applyFont="1" applyFill="1" applyBorder="1" applyAlignment="1" applyProtection="1">
      <alignment vertical="center"/>
    </xf>
    <xf numFmtId="41" fontId="20" fillId="0" borderId="42" xfId="71" applyFont="1" applyFill="1" applyBorder="1" applyAlignment="1" applyProtection="1">
      <alignment vertical="center"/>
    </xf>
    <xf numFmtId="227" fontId="21" fillId="0" borderId="0" xfId="0" applyNumberFormat="1" applyFont="1" applyAlignment="1">
      <alignment vertical="center"/>
    </xf>
    <xf numFmtId="0" fontId="5" fillId="0" borderId="0" xfId="99" applyFont="1" applyAlignment="1">
      <alignment horizontal="center" vertical="center" wrapText="1"/>
    </xf>
    <xf numFmtId="0" fontId="5" fillId="0" borderId="0" xfId="99" applyFont="1" applyAlignment="1">
      <alignment horizontal="left" vertical="center"/>
    </xf>
    <xf numFmtId="205" fontId="5" fillId="0" borderId="0" xfId="71" applyNumberFormat="1" applyFont="1" applyFill="1" applyBorder="1" applyAlignment="1" applyProtection="1">
      <alignment vertical="center"/>
    </xf>
    <xf numFmtId="201" fontId="5" fillId="0" borderId="0" xfId="71" applyNumberFormat="1" applyFont="1" applyFill="1" applyBorder="1" applyAlignment="1" applyProtection="1">
      <alignment vertical="center"/>
    </xf>
    <xf numFmtId="0" fontId="5" fillId="0" borderId="0" xfId="0" applyFont="1" applyAlignment="1">
      <alignment horizontal="center" vertical="center"/>
    </xf>
    <xf numFmtId="0" fontId="20" fillId="0" borderId="1" xfId="99" applyFont="1" applyBorder="1" applyAlignment="1">
      <alignment vertical="center" wrapText="1"/>
    </xf>
    <xf numFmtId="228" fontId="21" fillId="0" borderId="0" xfId="0" applyNumberFormat="1" applyFont="1" applyAlignment="1">
      <alignment vertical="center"/>
    </xf>
    <xf numFmtId="177" fontId="20" fillId="0" borderId="6" xfId="71" applyNumberFormat="1" applyFont="1" applyFill="1" applyBorder="1" applyAlignment="1" applyProtection="1">
      <alignment vertical="center"/>
    </xf>
    <xf numFmtId="0" fontId="20" fillId="0" borderId="37" xfId="99" applyFont="1" applyBorder="1" applyAlignment="1" applyProtection="1">
      <alignment horizontal="center" vertical="center"/>
      <protection locked="0"/>
    </xf>
    <xf numFmtId="3" fontId="0" fillId="0" borderId="0" xfId="0" applyNumberFormat="1" applyAlignment="1">
      <alignment vertical="center"/>
    </xf>
    <xf numFmtId="202" fontId="14" fillId="0" borderId="31" xfId="71" applyNumberFormat="1" applyFont="1" applyFill="1" applyBorder="1" applyAlignment="1">
      <alignment vertical="center"/>
    </xf>
    <xf numFmtId="0" fontId="5" fillId="0" borderId="222" xfId="0" applyFont="1" applyBorder="1" applyAlignment="1">
      <alignment horizontal="center" vertical="center"/>
    </xf>
    <xf numFmtId="0" fontId="5" fillId="0" borderId="147" xfId="0" applyFont="1" applyBorder="1" applyAlignment="1">
      <alignment horizontal="center" vertical="center"/>
    </xf>
    <xf numFmtId="0" fontId="5" fillId="0" borderId="100" xfId="0" applyFont="1" applyBorder="1" applyAlignment="1">
      <alignment horizontal="center" vertical="center"/>
    </xf>
    <xf numFmtId="177" fontId="5" fillId="0" borderId="40" xfId="0" applyNumberFormat="1" applyFont="1" applyBorder="1" applyAlignment="1">
      <alignment horizontal="center" vertical="center"/>
    </xf>
    <xf numFmtId="177" fontId="5" fillId="0" borderId="55" xfId="0" applyNumberFormat="1" applyFont="1" applyBorder="1" applyAlignment="1">
      <alignment horizontal="center" vertical="center"/>
    </xf>
    <xf numFmtId="221" fontId="20" fillId="0" borderId="91" xfId="0" applyNumberFormat="1" applyFont="1" applyBorder="1" applyAlignment="1">
      <alignment horizontal="right" vertical="center"/>
    </xf>
    <xf numFmtId="221" fontId="20" fillId="0" borderId="92" xfId="0" applyNumberFormat="1" applyFont="1" applyBorder="1" applyAlignment="1">
      <alignment horizontal="right" vertical="center"/>
    </xf>
    <xf numFmtId="0" fontId="20" fillId="0" borderId="93" xfId="0" applyFont="1" applyBorder="1" applyAlignment="1">
      <alignment horizontal="center" vertical="center" shrinkToFit="1"/>
    </xf>
    <xf numFmtId="41" fontId="20" fillId="0" borderId="147" xfId="71" applyFont="1" applyFill="1" applyBorder="1" applyAlignment="1">
      <alignment horizontal="right" vertical="center"/>
    </xf>
    <xf numFmtId="201" fontId="20" fillId="0" borderId="219" xfId="71" applyNumberFormat="1" applyFont="1" applyFill="1" applyBorder="1" applyAlignment="1">
      <alignment vertical="center"/>
    </xf>
    <xf numFmtId="201" fontId="20" fillId="0" borderId="100" xfId="71" applyNumberFormat="1" applyFont="1" applyFill="1" applyBorder="1" applyAlignment="1">
      <alignment vertical="center"/>
    </xf>
    <xf numFmtId="201" fontId="20" fillId="0" borderId="58" xfId="71" applyNumberFormat="1" applyFont="1" applyFill="1" applyBorder="1" applyAlignment="1">
      <alignment horizontal="right" vertical="center"/>
    </xf>
    <xf numFmtId="201" fontId="20" fillId="0" borderId="142" xfId="71" applyNumberFormat="1" applyFont="1" applyFill="1" applyBorder="1" applyAlignment="1">
      <alignment horizontal="right" vertical="center"/>
    </xf>
    <xf numFmtId="202" fontId="20" fillId="0" borderId="20" xfId="71" applyNumberFormat="1" applyFont="1" applyFill="1" applyBorder="1" applyAlignment="1">
      <alignment vertical="center"/>
    </xf>
    <xf numFmtId="177" fontId="20" fillId="46" borderId="151" xfId="0" applyNumberFormat="1" applyFont="1" applyFill="1" applyBorder="1" applyAlignment="1">
      <alignment horizontal="right" vertical="center"/>
    </xf>
    <xf numFmtId="202" fontId="20" fillId="46" borderId="152" xfId="71" applyNumberFormat="1" applyFont="1" applyFill="1" applyBorder="1" applyAlignment="1">
      <alignment vertical="center"/>
    </xf>
    <xf numFmtId="179" fontId="20" fillId="46" borderId="152" xfId="0" applyNumberFormat="1" applyFont="1" applyFill="1" applyBorder="1" applyAlignment="1">
      <alignment horizontal="centerContinuous" vertical="center"/>
    </xf>
    <xf numFmtId="177" fontId="20" fillId="46" borderId="60" xfId="0" applyNumberFormat="1" applyFont="1" applyFill="1" applyBorder="1" applyAlignment="1">
      <alignment horizontal="right" vertical="center"/>
    </xf>
    <xf numFmtId="202" fontId="20" fillId="46" borderId="58" xfId="71" applyNumberFormat="1" applyFont="1" applyFill="1" applyBorder="1" applyAlignment="1">
      <alignment vertical="center"/>
    </xf>
    <xf numFmtId="179" fontId="20" fillId="46" borderId="58" xfId="0" applyNumberFormat="1" applyFont="1" applyFill="1" applyBorder="1" applyAlignment="1">
      <alignment horizontal="centerContinuous" vertical="center"/>
    </xf>
    <xf numFmtId="177" fontId="20" fillId="46" borderId="49" xfId="0" applyNumberFormat="1" applyFont="1" applyFill="1" applyBorder="1" applyAlignment="1">
      <alignment horizontal="right" vertical="center"/>
    </xf>
    <xf numFmtId="179" fontId="20" fillId="46" borderId="58" xfId="0" applyNumberFormat="1" applyFont="1" applyFill="1" applyBorder="1" applyAlignment="1">
      <alignment horizontal="center" vertical="center"/>
    </xf>
    <xf numFmtId="221" fontId="20" fillId="46" borderId="60" xfId="0" applyNumberFormat="1" applyFont="1" applyFill="1" applyBorder="1" applyAlignment="1">
      <alignment horizontal="right" vertical="center"/>
    </xf>
    <xf numFmtId="202" fontId="20" fillId="46" borderId="160" xfId="71" applyNumberFormat="1" applyFont="1" applyFill="1" applyBorder="1" applyAlignment="1">
      <alignment vertical="center"/>
    </xf>
    <xf numFmtId="179" fontId="20" fillId="46" borderId="160" xfId="0" applyNumberFormat="1" applyFont="1" applyFill="1" applyBorder="1" applyAlignment="1">
      <alignment horizontal="center" vertical="center"/>
    </xf>
    <xf numFmtId="221" fontId="20" fillId="46" borderId="178" xfId="0" applyNumberFormat="1" applyFont="1" applyFill="1" applyBorder="1" applyAlignment="1">
      <alignment horizontal="right" vertical="center"/>
    </xf>
    <xf numFmtId="41" fontId="20" fillId="46" borderId="185" xfId="71" applyFont="1" applyFill="1" applyBorder="1" applyAlignment="1">
      <alignment horizontal="right" vertical="center"/>
    </xf>
    <xf numFmtId="202" fontId="20" fillId="46" borderId="40" xfId="71" applyNumberFormat="1" applyFont="1" applyFill="1" applyBorder="1" applyAlignment="1">
      <alignment vertical="center"/>
    </xf>
    <xf numFmtId="179" fontId="20" fillId="46" borderId="54" xfId="71" applyNumberFormat="1" applyFont="1" applyFill="1" applyBorder="1" applyAlignment="1">
      <alignment horizontal="center" vertical="center"/>
    </xf>
    <xf numFmtId="0" fontId="20" fillId="0" borderId="1" xfId="99" applyFont="1" applyBorder="1" applyAlignment="1">
      <alignment vertical="center"/>
    </xf>
    <xf numFmtId="0" fontId="52" fillId="0" borderId="37" xfId="100" applyFont="1" applyBorder="1" applyAlignment="1" applyProtection="1">
      <alignment horizontal="left" vertical="center"/>
      <protection locked="0"/>
    </xf>
    <xf numFmtId="201" fontId="52" fillId="0" borderId="37" xfId="0" applyNumberFormat="1" applyFont="1" applyBorder="1" applyAlignment="1" applyProtection="1">
      <alignment vertical="center"/>
      <protection locked="0"/>
    </xf>
    <xf numFmtId="41" fontId="52" fillId="0" borderId="37" xfId="71" applyFont="1" applyFill="1" applyBorder="1" applyAlignment="1" applyProtection="1">
      <alignment horizontal="center" vertical="center"/>
      <protection locked="0"/>
    </xf>
    <xf numFmtId="198" fontId="52" fillId="0" borderId="37" xfId="71" applyNumberFormat="1" applyFont="1" applyFill="1" applyBorder="1" applyAlignment="1" applyProtection="1">
      <alignment horizontal="right" vertical="center"/>
      <protection locked="0"/>
    </xf>
    <xf numFmtId="177" fontId="52" fillId="0" borderId="37" xfId="71" quotePrefix="1" applyNumberFormat="1" applyFont="1" applyFill="1" applyBorder="1" applyAlignment="1" applyProtection="1">
      <alignment vertical="center"/>
      <protection locked="0"/>
    </xf>
    <xf numFmtId="177" fontId="52" fillId="0" borderId="37" xfId="71" applyNumberFormat="1" applyFont="1" applyFill="1" applyBorder="1" applyAlignment="1" applyProtection="1">
      <alignment vertical="center"/>
      <protection locked="0"/>
    </xf>
    <xf numFmtId="177" fontId="52" fillId="0" borderId="37" xfId="71" applyNumberFormat="1" applyFont="1" applyFill="1" applyBorder="1" applyAlignment="1" applyProtection="1">
      <alignment vertical="center"/>
    </xf>
    <xf numFmtId="180" fontId="52" fillId="0" borderId="37" xfId="71" applyNumberFormat="1" applyFont="1" applyBorder="1" applyAlignment="1">
      <alignment vertical="center"/>
    </xf>
    <xf numFmtId="177" fontId="52" fillId="0" borderId="37" xfId="71" applyNumberFormat="1" applyFont="1" applyBorder="1" applyAlignment="1">
      <alignment vertical="center"/>
    </xf>
    <xf numFmtId="195" fontId="52" fillId="0" borderId="37" xfId="62" applyNumberFormat="1" applyFont="1" applyBorder="1" applyAlignment="1">
      <alignment horizontal="right" vertical="center"/>
    </xf>
    <xf numFmtId="204" fontId="52" fillId="0" borderId="37" xfId="62" applyNumberFormat="1" applyFont="1" applyBorder="1" applyAlignment="1">
      <alignment horizontal="right" vertical="center"/>
    </xf>
    <xf numFmtId="177" fontId="52" fillId="0" borderId="65" xfId="71" applyNumberFormat="1" applyFont="1" applyFill="1" applyBorder="1" applyAlignment="1">
      <alignment horizontal="center" vertical="center"/>
    </xf>
    <xf numFmtId="0" fontId="49" fillId="0" borderId="232" xfId="0" applyFont="1" applyBorder="1" applyAlignment="1">
      <alignment vertical="center" wrapText="1"/>
    </xf>
    <xf numFmtId="177" fontId="20" fillId="0" borderId="0" xfId="101" applyNumberFormat="1" applyFont="1" applyAlignment="1">
      <alignment horizontal="centerContinuous" vertical="center"/>
    </xf>
    <xf numFmtId="41" fontId="20" fillId="0" borderId="188" xfId="71" applyFont="1" applyFill="1" applyBorder="1" applyAlignment="1">
      <alignment horizontal="center" vertical="center" wrapText="1"/>
    </xf>
    <xf numFmtId="0" fontId="13" fillId="47" borderId="37" xfId="0" applyFont="1" applyFill="1" applyBorder="1" applyAlignment="1">
      <alignment horizontal="centerContinuous" vertical="center"/>
    </xf>
    <xf numFmtId="201" fontId="13" fillId="47" borderId="31" xfId="0" applyNumberFormat="1" applyFont="1" applyFill="1" applyBorder="1" applyAlignment="1">
      <alignment horizontal="center" vertical="center" shrinkToFit="1"/>
    </xf>
    <xf numFmtId="201" fontId="13" fillId="47" borderId="31" xfId="0" applyNumberFormat="1" applyFont="1" applyFill="1" applyBorder="1" applyAlignment="1">
      <alignment horizontal="right" vertical="center" shrinkToFit="1"/>
    </xf>
    <xf numFmtId="202" fontId="21" fillId="0" borderId="0" xfId="0" applyNumberFormat="1" applyFont="1" applyAlignment="1">
      <alignment horizontal="center" vertical="center"/>
    </xf>
    <xf numFmtId="177" fontId="107" fillId="0" borderId="0" xfId="101" applyNumberFormat="1" applyFont="1" applyAlignment="1">
      <alignment horizontal="center" vertical="center"/>
    </xf>
    <xf numFmtId="0" fontId="6" fillId="0" borderId="11" xfId="100" applyFont="1" applyBorder="1" applyAlignment="1">
      <alignment horizontal="center" vertical="center"/>
    </xf>
    <xf numFmtId="0" fontId="6" fillId="0" borderId="31" xfId="100" applyFont="1" applyBorder="1" applyAlignment="1">
      <alignment horizontal="center" vertical="center"/>
    </xf>
    <xf numFmtId="0" fontId="40" fillId="0" borderId="236" xfId="0" applyFont="1" applyBorder="1" applyAlignment="1">
      <alignment horizontal="center" vertical="center" wrapText="1"/>
    </xf>
    <xf numFmtId="0" fontId="5" fillId="42" borderId="194" xfId="0" applyFont="1" applyFill="1" applyBorder="1" applyAlignment="1">
      <alignment horizontal="center" vertical="center"/>
    </xf>
    <xf numFmtId="177" fontId="108" fillId="0" borderId="0" xfId="0" applyNumberFormat="1" applyFont="1" applyAlignment="1">
      <alignment horizontal="center" vertical="center"/>
    </xf>
    <xf numFmtId="41" fontId="107" fillId="0" borderId="2" xfId="71" applyFont="1" applyBorder="1" applyAlignment="1">
      <alignment horizontal="center" vertical="center" wrapText="1"/>
    </xf>
    <xf numFmtId="177" fontId="20" fillId="0" borderId="219" xfId="71" applyNumberFormat="1" applyFont="1" applyFill="1" applyBorder="1" applyAlignment="1">
      <alignment vertical="center"/>
    </xf>
    <xf numFmtId="177" fontId="20" fillId="0" borderId="129" xfId="0" applyNumberFormat="1" applyFont="1" applyBorder="1" applyAlignment="1">
      <alignment horizontal="right" vertical="center"/>
    </xf>
    <xf numFmtId="177" fontId="20" fillId="0" borderId="142" xfId="0" applyNumberFormat="1" applyFont="1" applyBorder="1" applyAlignment="1">
      <alignment horizontal="right" vertical="center"/>
    </xf>
    <xf numFmtId="177" fontId="20" fillId="0" borderId="146" xfId="0" applyNumberFormat="1" applyFont="1" applyBorder="1" applyAlignment="1">
      <alignment horizontal="right" vertical="center"/>
    </xf>
    <xf numFmtId="177" fontId="20" fillId="0" borderId="56" xfId="0" applyNumberFormat="1" applyFont="1" applyBorder="1" applyAlignment="1">
      <alignment horizontal="right" vertical="center"/>
    </xf>
    <xf numFmtId="41" fontId="14" fillId="42" borderId="238" xfId="71" applyFont="1" applyFill="1" applyBorder="1" applyAlignment="1">
      <alignment vertical="center"/>
    </xf>
    <xf numFmtId="177" fontId="20" fillId="0" borderId="156" xfId="0" applyNumberFormat="1" applyFont="1" applyBorder="1" applyAlignment="1">
      <alignment horizontal="right" vertical="center"/>
    </xf>
    <xf numFmtId="221" fontId="20" fillId="0" borderId="142" xfId="0" applyNumberFormat="1" applyFont="1" applyBorder="1" applyAlignment="1">
      <alignment horizontal="right" vertical="center"/>
    </xf>
    <xf numFmtId="221" fontId="20" fillId="0" borderId="148" xfId="0" applyNumberFormat="1" applyFont="1" applyBorder="1" applyAlignment="1">
      <alignment horizontal="right" vertical="center"/>
    </xf>
    <xf numFmtId="41" fontId="20" fillId="0" borderId="185" xfId="71" applyFont="1" applyFill="1" applyBorder="1" applyAlignment="1">
      <alignment horizontal="right" vertical="center"/>
    </xf>
    <xf numFmtId="177" fontId="14" fillId="42" borderId="237" xfId="0" applyNumberFormat="1" applyFont="1" applyFill="1" applyBorder="1" applyAlignment="1">
      <alignment horizontal="right" vertical="center"/>
    </xf>
    <xf numFmtId="41" fontId="14" fillId="7" borderId="7" xfId="71" applyFont="1" applyFill="1" applyBorder="1" applyAlignment="1">
      <alignment vertical="center"/>
    </xf>
    <xf numFmtId="0" fontId="5" fillId="42" borderId="239" xfId="0" applyFont="1" applyFill="1" applyBorder="1" applyAlignment="1">
      <alignment horizontal="center" vertical="center" wrapText="1"/>
    </xf>
    <xf numFmtId="202" fontId="14" fillId="42" borderId="240" xfId="71" applyNumberFormat="1" applyFont="1" applyFill="1" applyBorder="1" applyAlignment="1">
      <alignment vertical="center"/>
    </xf>
    <xf numFmtId="177" fontId="20" fillId="0" borderId="50" xfId="71" applyNumberFormat="1" applyFont="1" applyBorder="1" applyAlignment="1">
      <alignment vertical="center"/>
    </xf>
    <xf numFmtId="177" fontId="20" fillId="0" borderId="50" xfId="71" applyNumberFormat="1" applyFont="1" applyFill="1" applyBorder="1" applyAlignment="1">
      <alignment vertical="center"/>
    </xf>
    <xf numFmtId="177" fontId="20" fillId="0" borderId="100" xfId="71" applyNumberFormat="1" applyFont="1" applyFill="1" applyBorder="1" applyAlignment="1">
      <alignment vertical="center"/>
    </xf>
    <xf numFmtId="177" fontId="14" fillId="42" borderId="241" xfId="71" applyNumberFormat="1" applyFont="1" applyFill="1" applyBorder="1" applyAlignment="1">
      <alignment vertical="center"/>
    </xf>
    <xf numFmtId="202" fontId="20" fillId="0" borderId="140" xfId="71" applyNumberFormat="1" applyFont="1" applyFill="1" applyBorder="1" applyAlignment="1">
      <alignment vertical="center"/>
    </xf>
    <xf numFmtId="202" fontId="20" fillId="0" borderId="19" xfId="71" applyNumberFormat="1" applyFont="1" applyFill="1" applyBorder="1" applyAlignment="1">
      <alignment vertical="center"/>
    </xf>
    <xf numFmtId="202" fontId="20" fillId="0" borderId="96" xfId="71" applyNumberFormat="1" applyFont="1" applyFill="1" applyBorder="1" applyAlignment="1">
      <alignment vertical="center"/>
    </xf>
    <xf numFmtId="202" fontId="14" fillId="42" borderId="241" xfId="71" applyNumberFormat="1" applyFont="1" applyFill="1" applyBorder="1" applyAlignment="1">
      <alignment vertical="center"/>
    </xf>
    <xf numFmtId="177" fontId="20" fillId="0" borderId="40" xfId="71" applyNumberFormat="1" applyFont="1" applyBorder="1" applyAlignment="1">
      <alignment vertical="center"/>
    </xf>
    <xf numFmtId="202" fontId="20" fillId="0" borderId="154" xfId="71" applyNumberFormat="1" applyFont="1" applyFill="1" applyBorder="1" applyAlignment="1">
      <alignment vertical="center"/>
    </xf>
    <xf numFmtId="202" fontId="20" fillId="0" borderId="92" xfId="71" applyNumberFormat="1" applyFont="1" applyFill="1" applyBorder="1" applyAlignment="1">
      <alignment vertical="center"/>
    </xf>
    <xf numFmtId="202" fontId="14" fillId="7" borderId="173" xfId="71" applyNumberFormat="1" applyFont="1" applyFill="1" applyBorder="1" applyAlignment="1">
      <alignment vertical="center"/>
    </xf>
    <xf numFmtId="202" fontId="14" fillId="42" borderId="243" xfId="71" applyNumberFormat="1" applyFont="1" applyFill="1" applyBorder="1" applyAlignment="1">
      <alignment vertical="center"/>
    </xf>
    <xf numFmtId="177" fontId="14" fillId="42" borderId="242" xfId="71" applyNumberFormat="1" applyFont="1" applyFill="1" applyBorder="1" applyAlignment="1">
      <alignment vertical="center"/>
    </xf>
    <xf numFmtId="0" fontId="5" fillId="42" borderId="172" xfId="0" applyFont="1" applyFill="1" applyBorder="1" applyAlignment="1">
      <alignment horizontal="center" vertical="center"/>
    </xf>
    <xf numFmtId="0" fontId="5" fillId="42" borderId="7" xfId="0" applyFont="1" applyFill="1" applyBorder="1" applyAlignment="1">
      <alignment horizontal="center" vertical="center"/>
    </xf>
    <xf numFmtId="0" fontId="5" fillId="42" borderId="7" xfId="0" applyFont="1" applyFill="1" applyBorder="1" applyAlignment="1">
      <alignment horizontal="center" vertical="center" wrapText="1"/>
    </xf>
    <xf numFmtId="0" fontId="5" fillId="42" borderId="136" xfId="0" applyFont="1" applyFill="1" applyBorder="1" applyAlignment="1">
      <alignment horizontal="center" vertical="center" wrapText="1"/>
    </xf>
    <xf numFmtId="177" fontId="20" fillId="0" borderId="102" xfId="71" applyNumberFormat="1" applyFont="1" applyFill="1" applyBorder="1" applyAlignment="1">
      <alignment vertical="center"/>
    </xf>
    <xf numFmtId="0" fontId="21" fillId="0" borderId="9" xfId="0" applyFont="1" applyBorder="1" applyAlignment="1">
      <alignment vertical="center"/>
    </xf>
    <xf numFmtId="201" fontId="21" fillId="0" borderId="9" xfId="0" applyNumberFormat="1" applyFont="1" applyBorder="1" applyAlignment="1">
      <alignment vertical="center"/>
    </xf>
    <xf numFmtId="0" fontId="5" fillId="42" borderId="145" xfId="0" applyFont="1" applyFill="1" applyBorder="1" applyAlignment="1">
      <alignment horizontal="centerContinuous" vertical="center" wrapText="1"/>
    </xf>
    <xf numFmtId="0" fontId="5" fillId="42" borderId="146" xfId="0" applyFont="1" applyFill="1" applyBorder="1" applyAlignment="1">
      <alignment horizontal="centerContinuous" vertical="center" wrapText="1"/>
    </xf>
    <xf numFmtId="0" fontId="5" fillId="42" borderId="48" xfId="0" applyFont="1" applyFill="1" applyBorder="1" applyAlignment="1">
      <alignment horizontal="centerContinuous" vertical="center"/>
    </xf>
    <xf numFmtId="0" fontId="5" fillId="42" borderId="139" xfId="0" applyFont="1" applyFill="1" applyBorder="1" applyAlignment="1">
      <alignment horizontal="centerContinuous" vertical="center" wrapText="1"/>
    </xf>
    <xf numFmtId="0" fontId="5" fillId="42" borderId="77" xfId="0" applyFont="1" applyFill="1" applyBorder="1" applyAlignment="1">
      <alignment horizontal="centerContinuous" vertical="center" wrapText="1"/>
    </xf>
    <xf numFmtId="0" fontId="5" fillId="42" borderId="244" xfId="0" applyFont="1" applyFill="1" applyBorder="1" applyAlignment="1">
      <alignment horizontal="center" vertical="center" wrapText="1"/>
    </xf>
    <xf numFmtId="0" fontId="5" fillId="42" borderId="194" xfId="0" applyFont="1" applyFill="1" applyBorder="1" applyAlignment="1">
      <alignment horizontal="center" vertical="center" wrapText="1"/>
    </xf>
    <xf numFmtId="201" fontId="0" fillId="0" borderId="0" xfId="0" applyNumberFormat="1"/>
    <xf numFmtId="177" fontId="109" fillId="0" borderId="0" xfId="0" applyNumberFormat="1" applyFont="1" applyAlignment="1">
      <alignment horizontal="center" vertical="center"/>
    </xf>
    <xf numFmtId="0" fontId="20" fillId="0" borderId="31" xfId="71" applyNumberFormat="1" applyFont="1" applyFill="1" applyBorder="1" applyAlignment="1" applyProtection="1">
      <alignment vertical="center" wrapText="1"/>
    </xf>
    <xf numFmtId="0" fontId="20" fillId="0" borderId="31" xfId="99" applyFont="1" applyBorder="1" applyAlignment="1">
      <alignment vertical="center" wrapText="1"/>
    </xf>
    <xf numFmtId="195" fontId="6" fillId="7" borderId="29" xfId="0" applyNumberFormat="1" applyFont="1" applyFill="1" applyBorder="1" applyAlignment="1" applyProtection="1">
      <alignment vertical="center"/>
      <protection locked="0"/>
    </xf>
    <xf numFmtId="0" fontId="6" fillId="0" borderId="28" xfId="100" applyFont="1" applyBorder="1" applyAlignment="1" applyProtection="1">
      <alignment horizontal="left" vertical="center" shrinkToFit="1"/>
      <protection locked="0"/>
    </xf>
    <xf numFmtId="177" fontId="8" fillId="0" borderId="33" xfId="71" applyNumberFormat="1" applyFont="1" applyBorder="1" applyAlignment="1" applyProtection="1">
      <alignment horizontal="right" vertical="center"/>
      <protection locked="0"/>
    </xf>
    <xf numFmtId="177" fontId="8" fillId="2" borderId="29" xfId="71" applyNumberFormat="1" applyFont="1" applyFill="1" applyBorder="1" applyAlignment="1" applyProtection="1">
      <alignment horizontal="right" vertical="center"/>
    </xf>
    <xf numFmtId="204" fontId="35" fillId="0" borderId="33" xfId="0" applyNumberFormat="1" applyFont="1" applyBorder="1" applyAlignment="1" applyProtection="1">
      <alignment horizontal="right" vertical="center"/>
      <protection locked="0"/>
    </xf>
    <xf numFmtId="0" fontId="52" fillId="0" borderId="26" xfId="100" applyFont="1" applyBorder="1" applyAlignment="1">
      <alignment horizontal="center"/>
    </xf>
    <xf numFmtId="0" fontId="52" fillId="0" borderId="26" xfId="100" applyFont="1" applyBorder="1" applyAlignment="1">
      <alignment horizontal="center" vertical="top"/>
    </xf>
    <xf numFmtId="177" fontId="58" fillId="0" borderId="4" xfId="71" applyNumberFormat="1" applyFont="1" applyFill="1" applyBorder="1" applyAlignment="1" applyProtection="1">
      <alignment vertical="center"/>
    </xf>
    <xf numFmtId="204" fontId="52" fillId="0" borderId="4" xfId="62" applyNumberFormat="1" applyFont="1" applyBorder="1" applyAlignment="1">
      <alignment horizontal="right" vertical="center"/>
    </xf>
    <xf numFmtId="201" fontId="52" fillId="0" borderId="63" xfId="62" applyNumberFormat="1" applyFont="1" applyBorder="1" applyAlignment="1">
      <alignment horizontal="right" vertical="center"/>
    </xf>
    <xf numFmtId="0" fontId="40" fillId="0" borderId="107" xfId="0" applyFont="1" applyBorder="1" applyAlignment="1">
      <alignment horizontal="center" vertical="center" shrinkToFit="1"/>
    </xf>
    <xf numFmtId="177" fontId="35" fillId="0" borderId="105" xfId="71" applyNumberFormat="1" applyFont="1" applyBorder="1" applyAlignment="1" applyProtection="1">
      <alignment horizontal="right" vertical="center"/>
      <protection locked="0"/>
    </xf>
    <xf numFmtId="0" fontId="8" fillId="0" borderId="106" xfId="100" applyFont="1" applyBorder="1" applyAlignment="1">
      <alignment vertical="center"/>
    </xf>
    <xf numFmtId="201" fontId="6" fillId="0" borderId="0" xfId="100" applyNumberFormat="1" applyFont="1" applyAlignment="1">
      <alignment horizontal="center" vertical="center"/>
    </xf>
    <xf numFmtId="0" fontId="112" fillId="0" borderId="0" xfId="101" applyFont="1" applyAlignment="1">
      <alignment horizontal="left" vertical="center" shrinkToFit="1"/>
    </xf>
    <xf numFmtId="0" fontId="20" fillId="0" borderId="42" xfId="99" applyFont="1" applyBorder="1" applyAlignment="1">
      <alignment vertical="center" wrapText="1"/>
    </xf>
    <xf numFmtId="0" fontId="20" fillId="0" borderId="42" xfId="71" applyNumberFormat="1" applyFont="1" applyFill="1" applyBorder="1" applyAlignment="1" applyProtection="1">
      <alignment vertical="center" wrapText="1"/>
    </xf>
    <xf numFmtId="0" fontId="20" fillId="0" borderId="42" xfId="99" applyFont="1" applyBorder="1" applyAlignment="1">
      <alignment horizontal="center" vertical="center" wrapText="1"/>
    </xf>
    <xf numFmtId="205" fontId="20" fillId="0" borderId="42" xfId="71" applyNumberFormat="1" applyFont="1" applyFill="1" applyBorder="1" applyAlignment="1" applyProtection="1">
      <alignment vertical="center"/>
    </xf>
    <xf numFmtId="177" fontId="20" fillId="0" borderId="42" xfId="71" applyNumberFormat="1" applyFont="1" applyFill="1" applyBorder="1" applyAlignment="1" applyProtection="1">
      <alignment vertical="center"/>
    </xf>
    <xf numFmtId="41" fontId="20" fillId="0" borderId="145" xfId="71" applyFont="1" applyFill="1" applyBorder="1" applyAlignment="1" applyProtection="1">
      <alignment vertical="center"/>
    </xf>
    <xf numFmtId="41" fontId="20" fillId="0" borderId="50" xfId="71" applyFont="1" applyFill="1" applyBorder="1" applyAlignment="1" applyProtection="1">
      <alignment vertical="center"/>
    </xf>
    <xf numFmtId="41" fontId="20" fillId="0" borderId="51" xfId="71" applyFont="1" applyFill="1" applyBorder="1" applyAlignment="1" applyProtection="1">
      <alignment vertical="center"/>
    </xf>
    <xf numFmtId="0" fontId="20" fillId="0" borderId="6" xfId="0" applyFont="1" applyBorder="1" applyAlignment="1">
      <alignment vertical="center" textRotation="255"/>
    </xf>
    <xf numFmtId="0" fontId="0" fillId="0" borderId="6" xfId="0" applyBorder="1"/>
    <xf numFmtId="0" fontId="0" fillId="0" borderId="31" xfId="0" applyBorder="1"/>
    <xf numFmtId="0" fontId="20" fillId="0" borderId="6" xfId="0" applyFont="1" applyBorder="1" applyAlignment="1">
      <alignment horizontal="center" vertical="center"/>
    </xf>
    <xf numFmtId="3" fontId="31" fillId="0" borderId="0" xfId="101" applyNumberFormat="1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113" fillId="0" borderId="0" xfId="100" applyFont="1" applyAlignment="1">
      <alignment vertical="center"/>
    </xf>
    <xf numFmtId="177" fontId="109" fillId="46" borderId="0" xfId="0" applyNumberFormat="1" applyFont="1" applyFill="1" applyAlignment="1">
      <alignment horizontal="center" vertical="center"/>
    </xf>
    <xf numFmtId="201" fontId="109" fillId="46" borderId="0" xfId="0" applyNumberFormat="1" applyFont="1" applyFill="1" applyAlignment="1">
      <alignment horizontal="center" vertical="center"/>
    </xf>
    <xf numFmtId="229" fontId="21" fillId="0" borderId="0" xfId="0" applyNumberFormat="1" applyFont="1" applyAlignment="1">
      <alignment vertical="center"/>
    </xf>
    <xf numFmtId="41" fontId="19" fillId="0" borderId="0" xfId="71" applyFont="1" applyAlignment="1">
      <alignment vertical="center"/>
    </xf>
    <xf numFmtId="177" fontId="6" fillId="2" borderId="29" xfId="71" applyNumberFormat="1" applyFont="1" applyFill="1" applyBorder="1" applyAlignment="1" applyProtection="1">
      <alignment horizontal="right" vertical="center" wrapText="1"/>
    </xf>
    <xf numFmtId="41" fontId="27" fillId="0" borderId="0" xfId="71" applyFont="1" applyAlignment="1">
      <alignment vertical="center"/>
    </xf>
    <xf numFmtId="41" fontId="21" fillId="0" borderId="0" xfId="71" applyFont="1" applyAlignment="1">
      <alignment vertical="center"/>
    </xf>
    <xf numFmtId="179" fontId="108" fillId="0" borderId="0" xfId="0" applyNumberFormat="1" applyFont="1" applyAlignment="1">
      <alignment horizontal="center" vertical="center"/>
    </xf>
    <xf numFmtId="179" fontId="21" fillId="0" borderId="0" xfId="0" applyNumberFormat="1" applyFont="1" applyAlignment="1">
      <alignment horizontal="center" vertical="center"/>
    </xf>
    <xf numFmtId="0" fontId="33" fillId="2" borderId="249" xfId="100" applyFont="1" applyFill="1" applyBorder="1" applyAlignment="1">
      <alignment horizontal="centerContinuous" vertical="center" wrapText="1"/>
    </xf>
    <xf numFmtId="0" fontId="33" fillId="2" borderId="249" xfId="100" quotePrefix="1" applyFont="1" applyFill="1" applyBorder="1" applyAlignment="1">
      <alignment horizontal="center" vertical="center"/>
    </xf>
    <xf numFmtId="41" fontId="32" fillId="2" borderId="249" xfId="71" quotePrefix="1" applyFont="1" applyFill="1" applyBorder="1" applyAlignment="1" applyProtection="1">
      <alignment horizontal="center" vertical="center"/>
    </xf>
    <xf numFmtId="41" fontId="32" fillId="2" borderId="249" xfId="71" applyFont="1" applyFill="1" applyBorder="1" applyAlignment="1" applyProtection="1">
      <alignment horizontal="center" vertical="center"/>
    </xf>
    <xf numFmtId="0" fontId="33" fillId="2" borderId="250" xfId="100" applyFont="1" applyFill="1" applyBorder="1" applyAlignment="1">
      <alignment horizontal="centerContinuous" vertical="center"/>
    </xf>
    <xf numFmtId="0" fontId="33" fillId="2" borderId="250" xfId="100" applyFont="1" applyFill="1" applyBorder="1" applyAlignment="1">
      <alignment horizontal="center" vertical="center"/>
    </xf>
    <xf numFmtId="41" fontId="32" fillId="2" borderId="250" xfId="71" applyFont="1" applyFill="1" applyBorder="1" applyAlignment="1" applyProtection="1">
      <alignment horizontal="center" vertical="center"/>
    </xf>
    <xf numFmtId="0" fontId="33" fillId="2" borderId="250" xfId="100" applyFont="1" applyFill="1" applyBorder="1" applyAlignment="1">
      <alignment horizontal="center" vertical="center" wrapText="1"/>
    </xf>
    <xf numFmtId="41" fontId="32" fillId="2" borderId="250" xfId="71" applyFont="1" applyFill="1" applyBorder="1" applyAlignment="1" applyProtection="1">
      <alignment horizontal="center" vertical="center" wrapText="1"/>
    </xf>
    <xf numFmtId="201" fontId="33" fillId="2" borderId="32" xfId="100" applyNumberFormat="1" applyFont="1" applyFill="1" applyBorder="1" applyAlignment="1">
      <alignment horizontal="center" vertical="center" wrapText="1"/>
    </xf>
    <xf numFmtId="201" fontId="33" fillId="2" borderId="31" xfId="100" applyNumberFormat="1" applyFont="1" applyFill="1" applyBorder="1" applyAlignment="1">
      <alignment horizontal="center" vertical="center"/>
    </xf>
    <xf numFmtId="201" fontId="33" fillId="2" borderId="31" xfId="100" applyNumberFormat="1" applyFont="1" applyFill="1" applyBorder="1" applyAlignment="1">
      <alignment horizontal="center" vertical="center" wrapText="1"/>
    </xf>
    <xf numFmtId="177" fontId="32" fillId="2" borderId="250" xfId="71" applyNumberFormat="1" applyFont="1" applyFill="1" applyBorder="1" applyAlignment="1" applyProtection="1">
      <alignment horizontal="center" vertical="center"/>
    </xf>
    <xf numFmtId="0" fontId="33" fillId="49" borderId="250" xfId="100" applyFont="1" applyFill="1" applyBorder="1" applyAlignment="1">
      <alignment horizontal="centerContinuous" vertical="center"/>
    </xf>
    <xf numFmtId="0" fontId="33" fillId="49" borderId="138" xfId="100" applyFont="1" applyFill="1" applyBorder="1" applyAlignment="1">
      <alignment horizontal="center" vertical="center"/>
    </xf>
    <xf numFmtId="0" fontId="33" fillId="49" borderId="138" xfId="100" quotePrefix="1" applyFont="1" applyFill="1" applyBorder="1" applyAlignment="1">
      <alignment horizontal="center" vertical="center" wrapText="1"/>
    </xf>
    <xf numFmtId="0" fontId="33" fillId="49" borderId="138" xfId="100" applyFont="1" applyFill="1" applyBorder="1" applyAlignment="1">
      <alignment horizontal="center" vertical="center" wrapText="1"/>
    </xf>
    <xf numFmtId="177" fontId="35" fillId="46" borderId="33" xfId="71" applyNumberFormat="1" applyFont="1" applyFill="1" applyBorder="1" applyAlignment="1" applyProtection="1">
      <alignment horizontal="right" vertical="center"/>
      <protection locked="0"/>
    </xf>
    <xf numFmtId="177" fontId="35" fillId="46" borderId="33" xfId="71" quotePrefix="1" applyNumberFormat="1" applyFont="1" applyFill="1" applyBorder="1" applyAlignment="1" applyProtection="1">
      <alignment horizontal="right" vertical="center" shrinkToFit="1"/>
      <protection locked="0"/>
    </xf>
    <xf numFmtId="177" fontId="35" fillId="46" borderId="1" xfId="71" applyNumberFormat="1" applyFont="1" applyFill="1" applyBorder="1" applyAlignment="1" applyProtection="1">
      <alignment horizontal="right" vertical="center"/>
      <protection locked="0"/>
    </xf>
    <xf numFmtId="177" fontId="35" fillId="46" borderId="1" xfId="71" quotePrefix="1" applyNumberFormat="1" applyFont="1" applyFill="1" applyBorder="1" applyAlignment="1" applyProtection="1">
      <alignment horizontal="right" vertical="center"/>
      <protection locked="0"/>
    </xf>
    <xf numFmtId="177" fontId="6" fillId="46" borderId="4" xfId="0" applyNumberFormat="1" applyFont="1" applyFill="1" applyBorder="1" applyAlignment="1" applyProtection="1">
      <alignment vertical="center"/>
      <protection locked="0"/>
    </xf>
    <xf numFmtId="177" fontId="6" fillId="46" borderId="4" xfId="0" quotePrefix="1" applyNumberFormat="1" applyFont="1" applyFill="1" applyBorder="1" applyAlignment="1" applyProtection="1">
      <alignment vertical="center"/>
      <protection locked="0"/>
    </xf>
    <xf numFmtId="177" fontId="35" fillId="46" borderId="33" xfId="71" quotePrefix="1" applyNumberFormat="1" applyFont="1" applyFill="1" applyBorder="1" applyAlignment="1" applyProtection="1">
      <alignment horizontal="right" vertical="center"/>
      <protection locked="0"/>
    </xf>
    <xf numFmtId="177" fontId="35" fillId="46" borderId="33" xfId="71" applyNumberFormat="1" applyFont="1" applyFill="1" applyBorder="1" applyAlignment="1" applyProtection="1">
      <alignment horizontal="right" vertical="center"/>
    </xf>
    <xf numFmtId="201" fontId="6" fillId="46" borderId="1" xfId="71" applyNumberFormat="1" applyFont="1" applyFill="1" applyBorder="1" applyAlignment="1" applyProtection="1">
      <alignment vertical="center"/>
    </xf>
    <xf numFmtId="201" fontId="5" fillId="46" borderId="1" xfId="100" applyNumberFormat="1" applyFont="1" applyFill="1" applyBorder="1" applyAlignment="1">
      <alignment vertical="center"/>
    </xf>
    <xf numFmtId="201" fontId="5" fillId="46" borderId="4" xfId="100" applyNumberFormat="1" applyFont="1" applyFill="1" applyBorder="1" applyAlignment="1">
      <alignment vertical="center"/>
    </xf>
    <xf numFmtId="201" fontId="6" fillId="46" borderId="1" xfId="100" applyNumberFormat="1" applyFont="1" applyFill="1" applyBorder="1" applyAlignment="1">
      <alignment vertical="center"/>
    </xf>
    <xf numFmtId="0" fontId="36" fillId="2" borderId="28" xfId="100" applyFont="1" applyFill="1" applyBorder="1" applyAlignment="1">
      <alignment horizontal="center" vertical="center" wrapText="1"/>
    </xf>
    <xf numFmtId="0" fontId="114" fillId="42" borderId="25" xfId="100" applyFont="1" applyFill="1" applyBorder="1" applyAlignment="1">
      <alignment horizontal="centerContinuous" vertical="center"/>
    </xf>
    <xf numFmtId="177" fontId="52" fillId="0" borderId="42" xfId="71" applyNumberFormat="1" applyFont="1" applyBorder="1" applyAlignment="1" applyProtection="1">
      <alignment vertical="center"/>
    </xf>
    <xf numFmtId="177" fontId="52" fillId="0" borderId="1" xfId="71" applyNumberFormat="1" applyFont="1" applyBorder="1" applyAlignment="1" applyProtection="1">
      <alignment vertical="center"/>
    </xf>
    <xf numFmtId="0" fontId="51" fillId="41" borderId="1" xfId="100" applyFont="1" applyFill="1" applyBorder="1" applyAlignment="1" applyProtection="1">
      <alignment horizontal="center" vertical="center" wrapText="1"/>
      <protection locked="0"/>
    </xf>
    <xf numFmtId="201" fontId="108" fillId="0" borderId="0" xfId="0" applyNumberFormat="1" applyFont="1" applyAlignment="1">
      <alignment vertical="center" shrinkToFit="1"/>
    </xf>
    <xf numFmtId="0" fontId="109" fillId="0" borderId="0" xfId="0" applyFont="1" applyAlignment="1">
      <alignment vertical="center"/>
    </xf>
    <xf numFmtId="201" fontId="108" fillId="0" borderId="0" xfId="0" applyNumberFormat="1" applyFont="1" applyAlignment="1">
      <alignment vertical="center"/>
    </xf>
    <xf numFmtId="222" fontId="51" fillId="41" borderId="1" xfId="0" applyNumberFormat="1" applyFont="1" applyFill="1" applyBorder="1" applyAlignment="1" applyProtection="1">
      <alignment horizontal="right" vertical="center"/>
      <protection locked="0"/>
    </xf>
    <xf numFmtId="0" fontId="14" fillId="0" borderId="253" xfId="0" applyFont="1" applyBorder="1" applyAlignment="1">
      <alignment horizontal="center" vertical="center"/>
    </xf>
    <xf numFmtId="0" fontId="14" fillId="0" borderId="254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179" fontId="14" fillId="0" borderId="20" xfId="0" applyNumberFormat="1" applyFont="1" applyBorder="1" applyAlignment="1">
      <alignment horizontal="center" vertical="center"/>
    </xf>
    <xf numFmtId="0" fontId="14" fillId="0" borderId="147" xfId="0" applyFont="1" applyBorder="1" applyAlignment="1">
      <alignment horizontal="center" vertical="center"/>
    </xf>
    <xf numFmtId="179" fontId="14" fillId="0" borderId="55" xfId="0" applyNumberFormat="1" applyFont="1" applyBorder="1" applyAlignment="1">
      <alignment horizontal="center" vertical="center"/>
    </xf>
    <xf numFmtId="216" fontId="51" fillId="41" borderId="1" xfId="0" applyNumberFormat="1" applyFont="1" applyFill="1" applyBorder="1" applyAlignment="1" applyProtection="1">
      <alignment horizontal="right" vertical="center"/>
      <protection locked="0"/>
    </xf>
    <xf numFmtId="0" fontId="21" fillId="0" borderId="73" xfId="0" applyFont="1" applyBorder="1" applyAlignment="1">
      <alignment horizontal="center" vertical="center" wrapText="1"/>
    </xf>
    <xf numFmtId="0" fontId="21" fillId="0" borderId="74" xfId="0" applyFont="1" applyBorder="1" applyAlignment="1">
      <alignment horizontal="center" vertical="center"/>
    </xf>
    <xf numFmtId="216" fontId="12" fillId="0" borderId="1" xfId="0" applyNumberFormat="1" applyFont="1" applyBorder="1" applyAlignment="1">
      <alignment horizontal="right" vertical="center" wrapText="1"/>
    </xf>
    <xf numFmtId="0" fontId="21" fillId="0" borderId="73" xfId="99" applyBorder="1" applyAlignment="1">
      <alignment horizontal="center" vertical="center" wrapText="1"/>
    </xf>
    <xf numFmtId="201" fontId="21" fillId="0" borderId="86" xfId="71" applyNumberFormat="1" applyFont="1" applyFill="1" applyBorder="1" applyAlignment="1" applyProtection="1">
      <alignment vertical="center"/>
      <protection locked="0"/>
    </xf>
    <xf numFmtId="201" fontId="21" fillId="0" borderId="88" xfId="71" applyNumberFormat="1" applyFont="1" applyFill="1" applyBorder="1" applyAlignment="1" applyProtection="1">
      <alignment vertical="center"/>
      <protection locked="0"/>
    </xf>
    <xf numFmtId="205" fontId="21" fillId="0" borderId="86" xfId="71" applyNumberFormat="1" applyFont="1" applyFill="1" applyBorder="1" applyAlignment="1" applyProtection="1">
      <alignment horizontal="right" vertical="center"/>
    </xf>
    <xf numFmtId="0" fontId="21" fillId="0" borderId="59" xfId="0" applyFont="1" applyBorder="1" applyAlignment="1">
      <alignment horizontal="center" vertical="center"/>
    </xf>
    <xf numFmtId="0" fontId="107" fillId="0" borderId="20" xfId="0" applyFont="1" applyBorder="1" applyAlignment="1">
      <alignment horizontal="center" vertical="center"/>
    </xf>
    <xf numFmtId="0" fontId="14" fillId="7" borderId="194" xfId="0" applyFont="1" applyFill="1" applyBorder="1" applyAlignment="1">
      <alignment horizontal="centerContinuous" vertical="center"/>
    </xf>
    <xf numFmtId="0" fontId="107" fillId="0" borderId="93" xfId="0" applyFont="1" applyBorder="1" applyAlignment="1">
      <alignment horizontal="center" vertical="center" wrapText="1" shrinkToFit="1"/>
    </xf>
    <xf numFmtId="177" fontId="108" fillId="0" borderId="0" xfId="101" applyNumberFormat="1" applyFont="1" applyAlignment="1">
      <alignment vertical="center"/>
    </xf>
    <xf numFmtId="0" fontId="108" fillId="0" borderId="0" xfId="101" applyFont="1" applyAlignment="1">
      <alignment vertical="center"/>
    </xf>
    <xf numFmtId="177" fontId="14" fillId="42" borderId="258" xfId="0" applyNumberFormat="1" applyFont="1" applyFill="1" applyBorder="1" applyAlignment="1">
      <alignment horizontal="right" vertical="center"/>
    </xf>
    <xf numFmtId="179" fontId="14" fillId="42" borderId="243" xfId="0" applyNumberFormat="1" applyFont="1" applyFill="1" applyBorder="1" applyAlignment="1">
      <alignment horizontal="centerContinuous" vertical="center"/>
    </xf>
    <xf numFmtId="177" fontId="14" fillId="42" borderId="259" xfId="0" applyNumberFormat="1" applyFont="1" applyFill="1" applyBorder="1" applyAlignment="1">
      <alignment horizontal="right" vertical="center"/>
    </xf>
    <xf numFmtId="201" fontId="14" fillId="42" borderId="259" xfId="71" applyNumberFormat="1" applyFont="1" applyFill="1" applyBorder="1" applyAlignment="1">
      <alignment vertical="center"/>
    </xf>
    <xf numFmtId="201" fontId="14" fillId="42" borderId="237" xfId="71" applyNumberFormat="1" applyFont="1" applyFill="1" applyBorder="1" applyAlignment="1">
      <alignment vertical="center"/>
    </xf>
    <xf numFmtId="201" fontId="14" fillId="42" borderId="241" xfId="71" applyNumberFormat="1" applyFont="1" applyFill="1" applyBorder="1" applyAlignment="1">
      <alignment vertical="center"/>
    </xf>
    <xf numFmtId="179" fontId="14" fillId="42" borderId="260" xfId="0" applyNumberFormat="1" applyFont="1" applyFill="1" applyBorder="1" applyAlignment="1">
      <alignment horizontal="centerContinuous" vertical="center"/>
    </xf>
    <xf numFmtId="202" fontId="14" fillId="42" borderId="261" xfId="71" applyNumberFormat="1" applyFont="1" applyFill="1" applyBorder="1" applyAlignment="1">
      <alignment vertical="center"/>
    </xf>
    <xf numFmtId="202" fontId="14" fillId="42" borderId="257" xfId="71" applyNumberFormat="1" applyFont="1" applyFill="1" applyBorder="1" applyAlignment="1">
      <alignment vertical="center"/>
    </xf>
    <xf numFmtId="202" fontId="20" fillId="0" borderId="129" xfId="71" applyNumberFormat="1" applyFont="1" applyFill="1" applyBorder="1" applyAlignment="1">
      <alignment vertical="center"/>
    </xf>
    <xf numFmtId="202" fontId="20" fillId="0" borderId="142" xfId="71" applyNumberFormat="1" applyFont="1" applyFill="1" applyBorder="1" applyAlignment="1">
      <alignment vertical="center"/>
    </xf>
    <xf numFmtId="202" fontId="20" fillId="0" borderId="49" xfId="71" applyNumberFormat="1" applyFont="1" applyFill="1" applyBorder="1" applyAlignment="1">
      <alignment vertical="center"/>
    </xf>
    <xf numFmtId="202" fontId="20" fillId="0" borderId="18" xfId="71" applyNumberFormat="1" applyFont="1" applyFill="1" applyBorder="1" applyAlignment="1">
      <alignment vertical="center"/>
    </xf>
    <xf numFmtId="202" fontId="20" fillId="0" borderId="156" xfId="71" applyNumberFormat="1" applyFont="1" applyFill="1" applyBorder="1" applyAlignment="1">
      <alignment vertical="center"/>
    </xf>
    <xf numFmtId="202" fontId="20" fillId="0" borderId="148" xfId="71" applyNumberFormat="1" applyFont="1" applyFill="1" applyBorder="1" applyAlignment="1">
      <alignment vertical="center"/>
    </xf>
    <xf numFmtId="202" fontId="20" fillId="0" borderId="185" xfId="71" applyNumberFormat="1" applyFont="1" applyFill="1" applyBorder="1" applyAlignment="1">
      <alignment vertical="center"/>
    </xf>
    <xf numFmtId="202" fontId="14" fillId="42" borderId="237" xfId="71" applyNumberFormat="1" applyFont="1" applyFill="1" applyBorder="1" applyAlignment="1">
      <alignment vertical="center"/>
    </xf>
    <xf numFmtId="202" fontId="14" fillId="7" borderId="7" xfId="71" applyNumberFormat="1" applyFont="1" applyFill="1" applyBorder="1" applyAlignment="1">
      <alignment vertical="center"/>
    </xf>
    <xf numFmtId="0" fontId="5" fillId="42" borderId="118" xfId="0" applyFont="1" applyFill="1" applyBorder="1" applyAlignment="1">
      <alignment horizontal="center" vertical="center"/>
    </xf>
    <xf numFmtId="202" fontId="20" fillId="0" borderId="55" xfId="71" applyNumberFormat="1" applyFont="1" applyFill="1" applyBorder="1" applyAlignment="1">
      <alignment vertical="center"/>
    </xf>
    <xf numFmtId="202" fontId="20" fillId="0" borderId="51" xfId="71" applyNumberFormat="1" applyFont="1" applyFill="1" applyBorder="1" applyAlignment="1">
      <alignment vertical="center"/>
    </xf>
    <xf numFmtId="41" fontId="14" fillId="42" borderId="263" xfId="71" applyFont="1" applyFill="1" applyBorder="1" applyAlignment="1">
      <alignment vertical="center"/>
    </xf>
    <xf numFmtId="202" fontId="14" fillId="42" borderId="260" xfId="71" applyNumberFormat="1" applyFont="1" applyFill="1" applyBorder="1" applyAlignment="1">
      <alignment vertical="center"/>
    </xf>
    <xf numFmtId="202" fontId="14" fillId="7" borderId="174" xfId="71" applyNumberFormat="1" applyFont="1" applyFill="1" applyBorder="1" applyAlignment="1">
      <alignment vertical="center"/>
    </xf>
    <xf numFmtId="0" fontId="14" fillId="42" borderId="184" xfId="0" applyFont="1" applyFill="1" applyBorder="1" applyAlignment="1">
      <alignment horizontal="centerContinuous" vertical="center"/>
    </xf>
    <xf numFmtId="201" fontId="13" fillId="45" borderId="6" xfId="0" applyNumberFormat="1" applyFont="1" applyFill="1" applyBorder="1" applyAlignment="1">
      <alignment vertical="center" shrinkToFit="1"/>
    </xf>
    <xf numFmtId="179" fontId="14" fillId="7" borderId="174" xfId="71" applyNumberFormat="1" applyFont="1" applyFill="1" applyBorder="1" applyAlignment="1">
      <alignment horizontal="center" vertical="center" shrinkToFit="1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52" fillId="0" borderId="42" xfId="100" applyFont="1" applyBorder="1" applyAlignment="1" applyProtection="1">
      <alignment horizontal="left" vertical="center" shrinkToFit="1"/>
      <protection locked="0"/>
    </xf>
    <xf numFmtId="202" fontId="14" fillId="7" borderId="171" xfId="71" applyNumberFormat="1" applyFont="1" applyFill="1" applyBorder="1" applyAlignment="1">
      <alignment vertical="center" shrinkToFit="1"/>
    </xf>
    <xf numFmtId="177" fontId="14" fillId="48" borderId="0" xfId="0" applyNumberFormat="1" applyFont="1" applyFill="1" applyAlignment="1">
      <alignment horizontal="center" vertical="center" shrinkToFit="1"/>
    </xf>
    <xf numFmtId="0" fontId="20" fillId="0" borderId="1" xfId="99" applyFont="1" applyBorder="1" applyAlignment="1" applyProtection="1">
      <alignment horizontal="center" vertical="center" shrinkToFit="1"/>
      <protection locked="0"/>
    </xf>
    <xf numFmtId="0" fontId="20" fillId="0" borderId="42" xfId="99" applyFont="1" applyBorder="1" applyAlignment="1" applyProtection="1">
      <alignment horizontal="center" vertical="center" shrinkToFit="1"/>
      <protection locked="0"/>
    </xf>
    <xf numFmtId="201" fontId="20" fillId="0" borderId="247" xfId="0" applyNumberFormat="1" applyFont="1" applyBorder="1" applyAlignment="1">
      <alignment vertical="center"/>
    </xf>
    <xf numFmtId="177" fontId="116" fillId="0" borderId="247" xfId="0" applyNumberFormat="1" applyFont="1" applyBorder="1" applyAlignment="1">
      <alignment vertical="center"/>
    </xf>
    <xf numFmtId="0" fontId="20" fillId="0" borderId="247" xfId="0" applyFont="1" applyBorder="1" applyAlignment="1">
      <alignment vertical="center"/>
    </xf>
    <xf numFmtId="201" fontId="20" fillId="48" borderId="0" xfId="0" applyNumberFormat="1" applyFont="1" applyFill="1" applyAlignment="1">
      <alignment vertical="center"/>
    </xf>
    <xf numFmtId="0" fontId="20" fillId="0" borderId="63" xfId="99" applyFont="1" applyBorder="1" applyAlignment="1" applyProtection="1">
      <alignment horizontal="center" vertical="center" shrinkToFit="1"/>
      <protection locked="0"/>
    </xf>
    <xf numFmtId="41" fontId="32" fillId="2" borderId="29" xfId="71" applyFont="1" applyFill="1" applyBorder="1" applyAlignment="1" applyProtection="1">
      <alignment horizontal="center" vertical="center" shrinkToFit="1"/>
    </xf>
    <xf numFmtId="0" fontId="5" fillId="0" borderId="0" xfId="100" applyFont="1" applyAlignment="1">
      <alignment horizontal="right" vertical="center"/>
    </xf>
    <xf numFmtId="41" fontId="32" fillId="2" borderId="29" xfId="71" applyFont="1" applyFill="1" applyBorder="1" applyAlignment="1">
      <alignment horizontal="right" vertical="center"/>
    </xf>
    <xf numFmtId="178" fontId="32" fillId="43" borderId="1" xfId="71" applyNumberFormat="1" applyFont="1" applyFill="1" applyBorder="1" applyAlignment="1">
      <alignment horizontal="right" vertical="center"/>
    </xf>
    <xf numFmtId="178" fontId="32" fillId="0" borderId="1" xfId="71" applyNumberFormat="1" applyFont="1" applyFill="1" applyBorder="1" applyAlignment="1">
      <alignment horizontal="right" vertical="center"/>
    </xf>
    <xf numFmtId="195" fontId="32" fillId="0" borderId="1" xfId="71" applyNumberFormat="1" applyFont="1" applyFill="1" applyBorder="1" applyAlignment="1">
      <alignment horizontal="right" vertical="center"/>
    </xf>
    <xf numFmtId="201" fontId="6" fillId="0" borderId="0" xfId="100" applyNumberFormat="1" applyFont="1" applyAlignment="1">
      <alignment horizontal="right" vertical="center"/>
    </xf>
    <xf numFmtId="206" fontId="5" fillId="0" borderId="0" xfId="100" applyNumberFormat="1" applyFont="1" applyAlignment="1">
      <alignment horizontal="right" vertical="center"/>
    </xf>
    <xf numFmtId="0" fontId="32" fillId="0" borderId="1" xfId="0" applyFont="1" applyBorder="1" applyAlignment="1" applyProtection="1">
      <alignment horizontal="center" vertical="center"/>
      <protection locked="0"/>
    </xf>
    <xf numFmtId="177" fontId="32" fillId="0" borderId="1" xfId="0" applyNumberFormat="1" applyFont="1" applyBorder="1" applyAlignment="1" applyProtection="1">
      <alignment horizontal="right" vertical="center"/>
      <protection locked="0"/>
    </xf>
    <xf numFmtId="224" fontId="32" fillId="0" borderId="1" xfId="0" applyNumberFormat="1" applyFont="1" applyBorder="1" applyAlignment="1" applyProtection="1">
      <alignment horizontal="right" vertical="center"/>
      <protection locked="0"/>
    </xf>
    <xf numFmtId="201" fontId="32" fillId="0" borderId="1" xfId="71" applyNumberFormat="1" applyFont="1" applyFill="1" applyBorder="1" applyAlignment="1" applyProtection="1">
      <alignment vertical="center"/>
      <protection locked="0"/>
    </xf>
    <xf numFmtId="41" fontId="32" fillId="0" borderId="1" xfId="71" applyFont="1" applyFill="1" applyBorder="1" applyAlignment="1" applyProtection="1">
      <alignment horizontal="right" vertical="center"/>
      <protection locked="0"/>
    </xf>
    <xf numFmtId="223" fontId="32" fillId="0" borderId="1" xfId="0" applyNumberFormat="1" applyFont="1" applyBorder="1" applyAlignment="1" applyProtection="1">
      <alignment horizontal="right" vertical="center"/>
      <protection locked="0"/>
    </xf>
    <xf numFmtId="216" fontId="32" fillId="0" borderId="1" xfId="0" applyNumberFormat="1" applyFont="1" applyBorder="1" applyAlignment="1" applyProtection="1">
      <alignment horizontal="right" vertical="center"/>
      <protection locked="0"/>
    </xf>
    <xf numFmtId="222" fontId="32" fillId="0" borderId="1" xfId="0" applyNumberFormat="1" applyFont="1" applyBorder="1" applyAlignment="1" applyProtection="1">
      <alignment horizontal="right" vertical="center"/>
      <protection locked="0"/>
    </xf>
    <xf numFmtId="0" fontId="108" fillId="46" borderId="0" xfId="74" applyFont="1" applyFill="1" applyAlignment="1">
      <alignment vertical="center"/>
    </xf>
    <xf numFmtId="0" fontId="37" fillId="0" borderId="0" xfId="0" applyFont="1" applyAlignment="1">
      <alignment horizontal="centerContinuous" vertical="center"/>
    </xf>
    <xf numFmtId="0" fontId="52" fillId="5" borderId="63" xfId="100" applyFont="1" applyFill="1" applyBorder="1" applyAlignment="1">
      <alignment horizontal="center" vertical="center"/>
    </xf>
    <xf numFmtId="0" fontId="52" fillId="5" borderId="228" xfId="100" applyFont="1" applyFill="1" applyBorder="1" applyAlignment="1">
      <alignment horizontal="center" vertical="center"/>
    </xf>
    <xf numFmtId="0" fontId="52" fillId="0" borderId="228" xfId="100" applyFont="1" applyBorder="1" applyAlignment="1" applyProtection="1">
      <alignment horizontal="left" vertical="center" wrapText="1"/>
      <protection locked="0"/>
    </xf>
    <xf numFmtId="201" fontId="52" fillId="0" borderId="228" xfId="0" applyNumberFormat="1" applyFont="1" applyBorder="1" applyAlignment="1" applyProtection="1">
      <alignment vertical="center"/>
      <protection locked="0"/>
    </xf>
    <xf numFmtId="41" fontId="52" fillId="0" borderId="228" xfId="71" applyFont="1" applyFill="1" applyBorder="1" applyAlignment="1" applyProtection="1">
      <alignment horizontal="center" vertical="center"/>
      <protection locked="0"/>
    </xf>
    <xf numFmtId="198" fontId="52" fillId="0" borderId="228" xfId="71" applyNumberFormat="1" applyFont="1" applyFill="1" applyBorder="1" applyAlignment="1" applyProtection="1">
      <alignment horizontal="right" vertical="center"/>
      <protection locked="0"/>
    </xf>
    <xf numFmtId="177" fontId="52" fillId="0" borderId="228" xfId="71" quotePrefix="1" applyNumberFormat="1" applyFont="1" applyFill="1" applyBorder="1" applyAlignment="1" applyProtection="1">
      <alignment vertical="center"/>
      <protection locked="0"/>
    </xf>
    <xf numFmtId="177" fontId="52" fillId="0" borderId="228" xfId="71" applyNumberFormat="1" applyFont="1" applyFill="1" applyBorder="1" applyAlignment="1" applyProtection="1">
      <alignment vertical="center"/>
      <protection locked="0"/>
    </xf>
    <xf numFmtId="177" fontId="52" fillId="0" borderId="228" xfId="71" applyNumberFormat="1" applyFont="1" applyFill="1" applyBorder="1" applyAlignment="1" applyProtection="1">
      <alignment vertical="center"/>
    </xf>
    <xf numFmtId="0" fontId="52" fillId="0" borderId="228" xfId="100" applyFont="1" applyBorder="1" applyAlignment="1">
      <alignment vertical="center"/>
    </xf>
    <xf numFmtId="201" fontId="52" fillId="0" borderId="228" xfId="100" applyNumberFormat="1" applyFont="1" applyBorder="1" applyAlignment="1">
      <alignment vertical="center"/>
    </xf>
    <xf numFmtId="180" fontId="52" fillId="0" borderId="228" xfId="71" applyNumberFormat="1" applyFont="1" applyBorder="1" applyAlignment="1">
      <alignment vertical="center"/>
    </xf>
    <xf numFmtId="177" fontId="52" fillId="0" borderId="228" xfId="71" applyNumberFormat="1" applyFont="1" applyBorder="1" applyAlignment="1">
      <alignment vertical="center"/>
    </xf>
    <xf numFmtId="195" fontId="52" fillId="0" borderId="228" xfId="62" applyNumberFormat="1" applyFont="1" applyBorder="1" applyAlignment="1">
      <alignment horizontal="right" vertical="center"/>
    </xf>
    <xf numFmtId="204" fontId="52" fillId="0" borderId="228" xfId="62" applyNumberFormat="1" applyFont="1" applyBorder="1" applyAlignment="1">
      <alignment horizontal="right" vertical="center"/>
    </xf>
    <xf numFmtId="177" fontId="52" fillId="0" borderId="268" xfId="71" applyNumberFormat="1" applyFont="1" applyFill="1" applyBorder="1" applyAlignment="1">
      <alignment horizontal="center" vertical="center"/>
    </xf>
    <xf numFmtId="41" fontId="52" fillId="0" borderId="42" xfId="71" applyFont="1" applyFill="1" applyBorder="1" applyAlignment="1" applyProtection="1">
      <alignment vertical="center" shrinkToFit="1"/>
      <protection locked="0"/>
    </xf>
    <xf numFmtId="177" fontId="20" fillId="0" borderId="140" xfId="71" applyNumberFormat="1" applyFont="1" applyFill="1" applyBorder="1" applyAlignment="1">
      <alignment vertical="center"/>
    </xf>
    <xf numFmtId="177" fontId="20" fillId="0" borderId="19" xfId="71" applyNumberFormat="1" applyFont="1" applyFill="1" applyBorder="1" applyAlignment="1">
      <alignment vertical="center"/>
    </xf>
    <xf numFmtId="177" fontId="20" fillId="0" borderId="19" xfId="71" applyNumberFormat="1" applyFont="1" applyBorder="1" applyAlignment="1">
      <alignment vertical="center"/>
    </xf>
    <xf numFmtId="177" fontId="20" fillId="0" borderId="40" xfId="71" applyNumberFormat="1" applyFont="1" applyFill="1" applyBorder="1" applyAlignment="1">
      <alignment vertical="center"/>
    </xf>
    <xf numFmtId="0" fontId="32" fillId="0" borderId="1" xfId="100" applyFont="1" applyBorder="1" applyAlignment="1">
      <alignment horizontal="center" vertical="center" shrinkToFit="1"/>
    </xf>
    <xf numFmtId="204" fontId="32" fillId="43" borderId="1" xfId="62" applyNumberFormat="1" applyFont="1" applyFill="1" applyBorder="1" applyAlignment="1">
      <alignment horizontal="right" vertical="center"/>
    </xf>
    <xf numFmtId="177" fontId="35" fillId="0" borderId="42" xfId="71" applyNumberFormat="1" applyFont="1" applyBorder="1" applyAlignment="1" applyProtection="1">
      <alignment horizontal="right" vertical="center" shrinkToFit="1"/>
      <protection locked="0"/>
    </xf>
    <xf numFmtId="177" fontId="35" fillId="0" borderId="228" xfId="71" applyNumberFormat="1" applyFont="1" applyBorder="1" applyAlignment="1" applyProtection="1">
      <alignment horizontal="right" vertical="center" shrinkToFit="1"/>
      <protection locked="0"/>
    </xf>
    <xf numFmtId="0" fontId="20" fillId="50" borderId="0" xfId="101" applyFont="1" applyFill="1" applyAlignment="1">
      <alignment horizontal="distributed" vertical="center"/>
    </xf>
    <xf numFmtId="185" fontId="20" fillId="50" borderId="0" xfId="101" applyNumberFormat="1" applyFont="1" applyFill="1" applyAlignment="1">
      <alignment horizontal="distributed" vertical="center"/>
    </xf>
    <xf numFmtId="191" fontId="20" fillId="50" borderId="0" xfId="73" applyNumberFormat="1" applyFont="1" applyFill="1" applyBorder="1" applyAlignment="1">
      <alignment vertical="center"/>
    </xf>
    <xf numFmtId="231" fontId="20" fillId="0" borderId="50" xfId="71" applyNumberFormat="1" applyFont="1" applyBorder="1" applyAlignment="1">
      <alignment horizontal="right" vertical="center"/>
    </xf>
    <xf numFmtId="231" fontId="20" fillId="0" borderId="50" xfId="101" applyNumberFormat="1" applyFont="1" applyBorder="1" applyAlignment="1">
      <alignment vertical="center"/>
    </xf>
    <xf numFmtId="49" fontId="20" fillId="50" borderId="11" xfId="101" applyNumberFormat="1" applyFont="1" applyFill="1" applyBorder="1" applyAlignment="1">
      <alignment horizontal="center" vertical="center"/>
    </xf>
    <xf numFmtId="0" fontId="20" fillId="50" borderId="0" xfId="101" applyFont="1" applyFill="1" applyAlignment="1">
      <alignment horizontal="center" vertical="center"/>
    </xf>
    <xf numFmtId="189" fontId="20" fillId="50" borderId="0" xfId="101" applyNumberFormat="1" applyFont="1" applyFill="1" applyAlignment="1">
      <alignment horizontal="center" vertical="center"/>
    </xf>
    <xf numFmtId="3" fontId="20" fillId="50" borderId="0" xfId="101" applyNumberFormat="1" applyFont="1" applyFill="1" applyAlignment="1">
      <alignment vertical="center"/>
    </xf>
    <xf numFmtId="3" fontId="20" fillId="50" borderId="0" xfId="101" applyNumberFormat="1" applyFont="1" applyFill="1" applyAlignment="1">
      <alignment horizontal="distributed" vertical="center"/>
    </xf>
    <xf numFmtId="189" fontId="20" fillId="50" borderId="0" xfId="101" applyNumberFormat="1" applyFont="1" applyFill="1" applyAlignment="1">
      <alignment vertical="center"/>
    </xf>
    <xf numFmtId="0" fontId="52" fillId="0" borderId="267" xfId="100" applyFont="1" applyBorder="1" applyAlignment="1">
      <alignment horizontal="center" vertical="center"/>
    </xf>
    <xf numFmtId="201" fontId="52" fillId="0" borderId="228" xfId="71" applyNumberFormat="1" applyFont="1" applyFill="1" applyBorder="1" applyAlignment="1" applyProtection="1">
      <alignment vertical="center"/>
    </xf>
    <xf numFmtId="201" fontId="20" fillId="43" borderId="156" xfId="71" applyNumberFormat="1" applyFont="1" applyFill="1" applyBorder="1" applyAlignment="1">
      <alignment vertical="center"/>
    </xf>
    <xf numFmtId="202" fontId="20" fillId="43" borderId="152" xfId="71" applyNumberFormat="1" applyFont="1" applyFill="1" applyBorder="1" applyAlignment="1">
      <alignment vertical="center"/>
    </xf>
    <xf numFmtId="201" fontId="20" fillId="43" borderId="142" xfId="71" applyNumberFormat="1" applyFont="1" applyFill="1" applyBorder="1" applyAlignment="1">
      <alignment vertical="center"/>
    </xf>
    <xf numFmtId="202" fontId="20" fillId="43" borderId="58" xfId="71" applyNumberFormat="1" applyFont="1" applyFill="1" applyBorder="1" applyAlignment="1">
      <alignment vertical="center"/>
    </xf>
    <xf numFmtId="201" fontId="20" fillId="43" borderId="146" xfId="71" applyNumberFormat="1" applyFont="1" applyFill="1" applyBorder="1" applyAlignment="1">
      <alignment vertical="center"/>
    </xf>
    <xf numFmtId="202" fontId="20" fillId="43" borderId="48" xfId="71" applyNumberFormat="1" applyFont="1" applyFill="1" applyBorder="1" applyAlignment="1">
      <alignment vertical="center"/>
    </xf>
    <xf numFmtId="201" fontId="20" fillId="43" borderId="146" xfId="71" applyNumberFormat="1" applyFont="1" applyFill="1" applyBorder="1" applyAlignment="1">
      <alignment horizontal="center" vertical="center"/>
    </xf>
    <xf numFmtId="201" fontId="20" fillId="43" borderId="142" xfId="71" applyNumberFormat="1" applyFont="1" applyFill="1" applyBorder="1" applyAlignment="1">
      <alignment horizontal="right" vertical="center"/>
    </xf>
    <xf numFmtId="0" fontId="32" fillId="43" borderId="1" xfId="0" applyFont="1" applyFill="1" applyBorder="1" applyAlignment="1" applyProtection="1">
      <alignment horizontal="left" vertical="center"/>
      <protection locked="0"/>
    </xf>
    <xf numFmtId="201" fontId="19" fillId="0" borderId="0" xfId="101" applyNumberFormat="1" applyFont="1" applyAlignment="1">
      <alignment vertical="center"/>
    </xf>
    <xf numFmtId="0" fontId="52" fillId="0" borderId="138" xfId="100" applyFont="1" applyBorder="1" applyAlignment="1" applyProtection="1">
      <alignment horizontal="left" vertical="center" wrapText="1"/>
      <protection locked="0"/>
    </xf>
    <xf numFmtId="201" fontId="52" fillId="0" borderId="138" xfId="0" applyNumberFormat="1" applyFont="1" applyBorder="1" applyAlignment="1" applyProtection="1">
      <alignment vertical="center"/>
      <protection locked="0"/>
    </xf>
    <xf numFmtId="41" fontId="52" fillId="0" borderId="138" xfId="71" applyFont="1" applyFill="1" applyBorder="1" applyAlignment="1" applyProtection="1">
      <alignment horizontal="center" vertical="center"/>
      <protection locked="0"/>
    </xf>
    <xf numFmtId="198" fontId="52" fillId="0" borderId="138" xfId="71" applyNumberFormat="1" applyFont="1" applyFill="1" applyBorder="1" applyAlignment="1" applyProtection="1">
      <alignment horizontal="right" vertical="center"/>
      <protection locked="0"/>
    </xf>
    <xf numFmtId="177" fontId="52" fillId="0" borderId="138" xfId="71" quotePrefix="1" applyNumberFormat="1" applyFont="1" applyFill="1" applyBorder="1" applyAlignment="1" applyProtection="1">
      <alignment vertical="center"/>
      <protection locked="0"/>
    </xf>
    <xf numFmtId="177" fontId="52" fillId="0" borderId="138" xfId="71" applyNumberFormat="1" applyFont="1" applyFill="1" applyBorder="1" applyAlignment="1" applyProtection="1">
      <alignment vertical="center"/>
      <protection locked="0"/>
    </xf>
    <xf numFmtId="177" fontId="52" fillId="0" borderId="138" xfId="71" applyNumberFormat="1" applyFont="1" applyFill="1" applyBorder="1" applyAlignment="1" applyProtection="1">
      <alignment vertical="center"/>
    </xf>
    <xf numFmtId="0" fontId="52" fillId="0" borderId="138" xfId="100" applyFont="1" applyBorder="1" applyAlignment="1">
      <alignment vertical="center"/>
    </xf>
    <xf numFmtId="201" fontId="52" fillId="0" borderId="138" xfId="100" applyNumberFormat="1" applyFont="1" applyBorder="1" applyAlignment="1">
      <alignment vertical="center"/>
    </xf>
    <xf numFmtId="180" fontId="52" fillId="0" borderId="138" xfId="71" applyNumberFormat="1" applyFont="1" applyBorder="1" applyAlignment="1">
      <alignment vertical="center"/>
    </xf>
    <xf numFmtId="177" fontId="52" fillId="0" borderId="138" xfId="71" applyNumberFormat="1" applyFont="1" applyBorder="1" applyAlignment="1">
      <alignment vertical="center"/>
    </xf>
    <xf numFmtId="195" fontId="52" fillId="0" borderId="138" xfId="62" applyNumberFormat="1" applyFont="1" applyBorder="1" applyAlignment="1">
      <alignment horizontal="right" vertical="center"/>
    </xf>
    <xf numFmtId="204" fontId="52" fillId="0" borderId="138" xfId="62" applyNumberFormat="1" applyFont="1" applyBorder="1" applyAlignment="1">
      <alignment horizontal="right" vertical="center"/>
    </xf>
    <xf numFmtId="177" fontId="52" fillId="0" borderId="196" xfId="71" applyNumberFormat="1" applyFont="1" applyFill="1" applyBorder="1" applyAlignment="1">
      <alignment horizontal="center" vertical="center"/>
    </xf>
    <xf numFmtId="177" fontId="6" fillId="46" borderId="0" xfId="100" applyNumberFormat="1" applyFont="1" applyFill="1" applyAlignment="1">
      <alignment vertical="center"/>
    </xf>
    <xf numFmtId="194" fontId="51" fillId="0" borderId="117" xfId="100" applyNumberFormat="1" applyFont="1" applyBorder="1" applyAlignment="1">
      <alignment horizontal="center" vertical="center"/>
    </xf>
    <xf numFmtId="0" fontId="51" fillId="0" borderId="42" xfId="100" applyFont="1" applyBorder="1" applyAlignment="1" applyProtection="1">
      <alignment horizontal="center" vertical="center"/>
      <protection locked="0"/>
    </xf>
    <xf numFmtId="201" fontId="51" fillId="0" borderId="42" xfId="0" applyNumberFormat="1" applyFont="1" applyBorder="1" applyAlignment="1" applyProtection="1">
      <alignment horizontal="right" vertical="center"/>
      <protection locked="0"/>
    </xf>
    <xf numFmtId="41" fontId="51" fillId="0" borderId="42" xfId="71" applyFont="1" applyBorder="1" applyAlignment="1" applyProtection="1">
      <alignment horizontal="center" vertical="center"/>
      <protection locked="0"/>
    </xf>
    <xf numFmtId="177" fontId="51" fillId="0" borderId="42" xfId="71" quotePrefix="1" applyNumberFormat="1" applyFont="1" applyBorder="1" applyAlignment="1" applyProtection="1">
      <alignment vertical="center"/>
      <protection locked="0"/>
    </xf>
    <xf numFmtId="177" fontId="51" fillId="0" borderId="42" xfId="71" applyNumberFormat="1" applyFont="1" applyBorder="1" applyAlignment="1" applyProtection="1">
      <alignment vertical="center"/>
      <protection locked="0"/>
    </xf>
    <xf numFmtId="177" fontId="51" fillId="0" borderId="42" xfId="71" applyNumberFormat="1" applyFont="1" applyBorder="1" applyAlignment="1" applyProtection="1">
      <alignment vertical="center"/>
    </xf>
    <xf numFmtId="177" fontId="60" fillId="6" borderId="42" xfId="71" applyNumberFormat="1" applyFont="1" applyFill="1" applyBorder="1" applyAlignment="1" applyProtection="1">
      <alignment vertical="center"/>
    </xf>
    <xf numFmtId="177" fontId="51" fillId="0" borderId="77" xfId="71" applyNumberFormat="1" applyFont="1" applyBorder="1" applyAlignment="1" applyProtection="1">
      <alignment vertical="center"/>
      <protection locked="0"/>
    </xf>
    <xf numFmtId="177" fontId="51" fillId="0" borderId="77" xfId="71" applyNumberFormat="1" applyFont="1" applyBorder="1" applyAlignment="1" applyProtection="1">
      <alignment vertical="center"/>
    </xf>
    <xf numFmtId="177" fontId="51" fillId="0" borderId="42" xfId="71" applyNumberFormat="1" applyFont="1" applyBorder="1" applyAlignment="1">
      <alignment vertical="center"/>
    </xf>
    <xf numFmtId="195" fontId="51" fillId="0" borderId="42" xfId="62" applyNumberFormat="1" applyFont="1" applyBorder="1" applyAlignment="1">
      <alignment horizontal="center" vertical="center"/>
    </xf>
    <xf numFmtId="183" fontId="51" fillId="0" borderId="42" xfId="62" applyNumberFormat="1" applyFont="1" applyBorder="1" applyAlignment="1">
      <alignment horizontal="center" vertical="center"/>
    </xf>
    <xf numFmtId="177" fontId="51" fillId="0" borderId="66" xfId="71" applyNumberFormat="1" applyFont="1" applyBorder="1" applyAlignment="1">
      <alignment vertical="center"/>
    </xf>
    <xf numFmtId="0" fontId="12" fillId="43" borderId="1" xfId="0" applyFont="1" applyFill="1" applyBorder="1" applyAlignment="1">
      <alignment horizontal="center" vertical="center" wrapText="1"/>
    </xf>
    <xf numFmtId="201" fontId="12" fillId="43" borderId="42" xfId="0" applyNumberFormat="1" applyFont="1" applyFill="1" applyBorder="1" applyAlignment="1">
      <alignment horizontal="center" vertical="center"/>
    </xf>
    <xf numFmtId="201" fontId="12" fillId="43" borderId="1" xfId="0" applyNumberFormat="1" applyFont="1" applyFill="1" applyBorder="1" applyAlignment="1">
      <alignment horizontal="right" vertical="center"/>
    </xf>
    <xf numFmtId="201" fontId="12" fillId="43" borderId="42" xfId="0" applyNumberFormat="1" applyFont="1" applyFill="1" applyBorder="1" applyAlignment="1">
      <alignment horizontal="right" vertical="center"/>
    </xf>
    <xf numFmtId="201" fontId="12" fillId="43" borderId="1" xfId="0" applyNumberFormat="1" applyFont="1" applyFill="1" applyBorder="1" applyAlignment="1">
      <alignment horizontal="right" vertical="center" wrapText="1"/>
    </xf>
    <xf numFmtId="201" fontId="77" fillId="43" borderId="42" xfId="0" applyNumberFormat="1" applyFont="1" applyFill="1" applyBorder="1" applyAlignment="1">
      <alignment horizontal="center" vertical="center"/>
    </xf>
    <xf numFmtId="201" fontId="77" fillId="43" borderId="42" xfId="0" applyNumberFormat="1" applyFont="1" applyFill="1" applyBorder="1" applyAlignment="1">
      <alignment horizontal="right" vertical="center"/>
    </xf>
    <xf numFmtId="201" fontId="20" fillId="43" borderId="247" xfId="0" applyNumberFormat="1" applyFont="1" applyFill="1" applyBorder="1" applyAlignment="1">
      <alignment vertical="center"/>
    </xf>
    <xf numFmtId="201" fontId="20" fillId="43" borderId="228" xfId="71" applyNumberFormat="1" applyFont="1" applyFill="1" applyBorder="1" applyAlignment="1" applyProtection="1">
      <alignment vertical="center"/>
    </xf>
    <xf numFmtId="201" fontId="20" fillId="43" borderId="1" xfId="71" applyNumberFormat="1" applyFont="1" applyFill="1" applyBorder="1" applyAlignment="1" applyProtection="1">
      <alignment vertical="center"/>
    </xf>
    <xf numFmtId="201" fontId="108" fillId="43" borderId="247" xfId="0" applyNumberFormat="1" applyFont="1" applyFill="1" applyBorder="1" applyAlignment="1">
      <alignment vertical="center"/>
    </xf>
    <xf numFmtId="201" fontId="118" fillId="43" borderId="247" xfId="0" applyNumberFormat="1" applyFont="1" applyFill="1" applyBorder="1" applyAlignment="1">
      <alignment vertical="center"/>
    </xf>
    <xf numFmtId="0" fontId="57" fillId="42" borderId="250" xfId="100" applyFont="1" applyFill="1" applyBorder="1" applyAlignment="1">
      <alignment horizontal="centerContinuous" vertical="center" wrapText="1"/>
    </xf>
    <xf numFmtId="0" fontId="57" fillId="42" borderId="250" xfId="100" applyFont="1" applyFill="1" applyBorder="1" applyAlignment="1">
      <alignment horizontal="centerContinuous" vertical="center"/>
    </xf>
    <xf numFmtId="0" fontId="57" fillId="42" borderId="251" xfId="100" applyFont="1" applyFill="1" applyBorder="1" applyAlignment="1">
      <alignment horizontal="centerContinuous" vertical="center"/>
    </xf>
    <xf numFmtId="0" fontId="57" fillId="42" borderId="248" xfId="100" applyFont="1" applyFill="1" applyBorder="1" applyAlignment="1">
      <alignment horizontal="centerContinuous" vertical="center"/>
    </xf>
    <xf numFmtId="0" fontId="57" fillId="42" borderId="250" xfId="100" quotePrefix="1" applyFont="1" applyFill="1" applyBorder="1" applyAlignment="1">
      <alignment horizontal="center" vertical="center"/>
    </xf>
    <xf numFmtId="0" fontId="57" fillId="42" borderId="250" xfId="100" applyFont="1" applyFill="1" applyBorder="1" applyAlignment="1">
      <alignment horizontal="center" vertical="center" wrapText="1"/>
    </xf>
    <xf numFmtId="0" fontId="114" fillId="42" borderId="250" xfId="100" applyFont="1" applyFill="1" applyBorder="1" applyAlignment="1">
      <alignment horizontal="center" vertical="center"/>
    </xf>
    <xf numFmtId="0" fontId="114" fillId="42" borderId="250" xfId="100" applyFont="1" applyFill="1" applyBorder="1" applyAlignment="1">
      <alignment horizontal="center" vertical="center" wrapText="1"/>
    </xf>
    <xf numFmtId="0" fontId="115" fillId="42" borderId="250" xfId="100" applyFont="1" applyFill="1" applyBorder="1" applyAlignment="1">
      <alignment horizontal="center" vertical="center" wrapText="1"/>
    </xf>
    <xf numFmtId="0" fontId="57" fillId="42" borderId="251" xfId="100" applyFont="1" applyFill="1" applyBorder="1" applyAlignment="1">
      <alignment horizontal="center" vertical="center"/>
    </xf>
    <xf numFmtId="0" fontId="57" fillId="42" borderId="251" xfId="100" quotePrefix="1" applyFont="1" applyFill="1" applyBorder="1" applyAlignment="1">
      <alignment vertical="center" wrapText="1"/>
    </xf>
    <xf numFmtId="0" fontId="57" fillId="42" borderId="250" xfId="100" quotePrefix="1" applyFont="1" applyFill="1" applyBorder="1" applyAlignment="1">
      <alignment horizontal="center" vertical="center" wrapText="1"/>
    </xf>
    <xf numFmtId="0" fontId="55" fillId="42" borderId="271" xfId="100" applyFont="1" applyFill="1" applyBorder="1" applyAlignment="1">
      <alignment horizontal="center" vertical="center"/>
    </xf>
    <xf numFmtId="193" fontId="52" fillId="42" borderId="250" xfId="100" applyNumberFormat="1" applyFont="1" applyFill="1" applyBorder="1" applyAlignment="1">
      <alignment horizontal="center" vertical="center"/>
    </xf>
    <xf numFmtId="201" fontId="52" fillId="42" borderId="250" xfId="71" applyNumberFormat="1" applyFont="1" applyFill="1" applyBorder="1" applyAlignment="1" applyProtection="1">
      <alignment horizontal="right" vertical="center"/>
    </xf>
    <xf numFmtId="198" fontId="52" fillId="42" borderId="250" xfId="71" applyNumberFormat="1" applyFont="1" applyFill="1" applyBorder="1" applyAlignment="1" applyProtection="1">
      <alignment horizontal="right" vertical="center"/>
    </xf>
    <xf numFmtId="177" fontId="52" fillId="42" borderId="250" xfId="71" quotePrefix="1" applyNumberFormat="1" applyFont="1" applyFill="1" applyBorder="1" applyAlignment="1" applyProtection="1">
      <alignment horizontal="right" vertical="center"/>
    </xf>
    <xf numFmtId="177" fontId="52" fillId="42" borderId="250" xfId="71" applyNumberFormat="1" applyFont="1" applyFill="1" applyBorder="1" applyAlignment="1" applyProtection="1">
      <alignment horizontal="right" vertical="center"/>
    </xf>
    <xf numFmtId="177" fontId="52" fillId="42" borderId="250" xfId="71" applyNumberFormat="1" applyFont="1" applyFill="1" applyBorder="1" applyAlignment="1" applyProtection="1">
      <alignment horizontal="right" vertical="center" wrapText="1"/>
    </xf>
    <xf numFmtId="177" fontId="55" fillId="42" borderId="250" xfId="71" applyNumberFormat="1" applyFont="1" applyFill="1" applyBorder="1" applyAlignment="1" applyProtection="1">
      <alignment horizontal="center" vertical="center"/>
    </xf>
    <xf numFmtId="177" fontId="52" fillId="42" borderId="250" xfId="71" quotePrefix="1" applyNumberFormat="1" applyFont="1" applyFill="1" applyBorder="1" applyAlignment="1" applyProtection="1">
      <alignment horizontal="right" vertical="center" wrapText="1"/>
    </xf>
    <xf numFmtId="177" fontId="52" fillId="42" borderId="250" xfId="71" applyNumberFormat="1" applyFont="1" applyFill="1" applyBorder="1" applyAlignment="1" applyProtection="1">
      <alignment horizontal="right" vertical="center" shrinkToFit="1"/>
    </xf>
    <xf numFmtId="180" fontId="52" fillId="42" borderId="250" xfId="71" applyNumberFormat="1" applyFont="1" applyFill="1" applyBorder="1" applyAlignment="1">
      <alignment vertical="center"/>
    </xf>
    <xf numFmtId="177" fontId="51" fillId="42" borderId="250" xfId="71" applyNumberFormat="1" applyFont="1" applyFill="1" applyBorder="1" applyAlignment="1">
      <alignment vertical="center"/>
    </xf>
    <xf numFmtId="195" fontId="52" fillId="42" borderId="250" xfId="71" applyNumberFormat="1" applyFont="1" applyFill="1" applyBorder="1" applyAlignment="1">
      <alignment horizontal="right" vertical="center"/>
    </xf>
    <xf numFmtId="204" fontId="52" fillId="42" borderId="250" xfId="71" applyNumberFormat="1" applyFont="1" applyFill="1" applyBorder="1" applyAlignment="1">
      <alignment horizontal="right" vertical="center"/>
    </xf>
    <xf numFmtId="177" fontId="52" fillId="42" borderId="272" xfId="71" applyNumberFormat="1" applyFont="1" applyFill="1" applyBorder="1" applyAlignment="1">
      <alignment horizontal="center" vertical="center"/>
    </xf>
    <xf numFmtId="41" fontId="52" fillId="0" borderId="228" xfId="71" applyFont="1" applyBorder="1" applyAlignment="1" applyProtection="1">
      <alignment horizontal="center" vertical="center"/>
      <protection locked="0"/>
    </xf>
    <xf numFmtId="198" fontId="52" fillId="0" borderId="228" xfId="71" applyNumberFormat="1" applyFont="1" applyBorder="1" applyAlignment="1" applyProtection="1">
      <alignment horizontal="right" vertical="center"/>
      <protection locked="0"/>
    </xf>
    <xf numFmtId="177" fontId="52" fillId="0" borderId="228" xfId="71" quotePrefix="1" applyNumberFormat="1" applyFont="1" applyBorder="1" applyAlignment="1" applyProtection="1">
      <alignment vertical="center"/>
      <protection locked="0"/>
    </xf>
    <xf numFmtId="177" fontId="52" fillId="0" borderId="228" xfId="71" applyNumberFormat="1" applyFont="1" applyBorder="1" applyAlignment="1" applyProtection="1">
      <alignment vertical="center"/>
      <protection locked="0"/>
    </xf>
    <xf numFmtId="177" fontId="52" fillId="0" borderId="228" xfId="71" applyNumberFormat="1" applyFont="1" applyBorder="1" applyAlignment="1" applyProtection="1">
      <alignment vertical="center"/>
    </xf>
    <xf numFmtId="177" fontId="58" fillId="0" borderId="228" xfId="71" applyNumberFormat="1" applyFont="1" applyFill="1" applyBorder="1" applyAlignment="1" applyProtection="1">
      <alignment vertical="center"/>
    </xf>
    <xf numFmtId="177" fontId="52" fillId="0" borderId="228" xfId="71" applyNumberFormat="1" applyFont="1" applyBorder="1" applyAlignment="1" applyProtection="1">
      <alignment vertical="center" shrinkToFit="1"/>
    </xf>
    <xf numFmtId="177" fontId="52" fillId="0" borderId="228" xfId="71" applyNumberFormat="1" applyFont="1" applyBorder="1" applyAlignment="1">
      <alignment vertical="center" shrinkToFit="1"/>
    </xf>
    <xf numFmtId="177" fontId="52" fillId="0" borderId="268" xfId="71" applyNumberFormat="1" applyFont="1" applyBorder="1" applyAlignment="1">
      <alignment horizontal="center" vertical="center"/>
    </xf>
    <xf numFmtId="201" fontId="52" fillId="0" borderId="4" xfId="71" applyNumberFormat="1" applyFont="1" applyFill="1" applyBorder="1" applyAlignment="1" applyProtection="1">
      <alignment vertical="center"/>
    </xf>
    <xf numFmtId="194" fontId="51" fillId="41" borderId="117" xfId="100" applyNumberFormat="1" applyFont="1" applyFill="1" applyBorder="1" applyAlignment="1">
      <alignment horizontal="center" vertical="center"/>
    </xf>
    <xf numFmtId="0" fontId="51" fillId="41" borderId="42" xfId="100" applyFont="1" applyFill="1" applyBorder="1" applyAlignment="1" applyProtection="1">
      <alignment horizontal="center" vertical="center"/>
      <protection locked="0"/>
    </xf>
    <xf numFmtId="201" fontId="51" fillId="41" borderId="42" xfId="0" applyNumberFormat="1" applyFont="1" applyFill="1" applyBorder="1" applyAlignment="1" applyProtection="1">
      <alignment horizontal="right" vertical="center"/>
      <protection locked="0"/>
    </xf>
    <xf numFmtId="177" fontId="51" fillId="41" borderId="42" xfId="0" applyNumberFormat="1" applyFont="1" applyFill="1" applyBorder="1" applyAlignment="1" applyProtection="1">
      <alignment horizontal="right" vertical="center"/>
      <protection locked="0"/>
    </xf>
    <xf numFmtId="206" fontId="51" fillId="41" borderId="42" xfId="0" applyNumberFormat="1" applyFont="1" applyFill="1" applyBorder="1" applyAlignment="1" applyProtection="1">
      <alignment horizontal="right" vertical="center"/>
      <protection locked="0"/>
    </xf>
    <xf numFmtId="204" fontId="51" fillId="41" borderId="42" xfId="0" applyNumberFormat="1" applyFont="1" applyFill="1" applyBorder="1" applyAlignment="1" applyProtection="1">
      <alignment horizontal="right" vertical="center"/>
      <protection locked="0"/>
    </xf>
    <xf numFmtId="177" fontId="51" fillId="41" borderId="66" xfId="71" applyNumberFormat="1" applyFont="1" applyFill="1" applyBorder="1" applyAlignment="1">
      <alignment vertical="center"/>
    </xf>
    <xf numFmtId="0" fontId="57" fillId="41" borderId="250" xfId="100" applyFont="1" applyFill="1" applyBorder="1" applyAlignment="1">
      <alignment horizontal="centerContinuous" vertical="center" wrapText="1"/>
    </xf>
    <xf numFmtId="0" fontId="57" fillId="41" borderId="250" xfId="100" applyFont="1" applyFill="1" applyBorder="1" applyAlignment="1">
      <alignment horizontal="centerContinuous" vertical="center"/>
    </xf>
    <xf numFmtId="0" fontId="57" fillId="41" borderId="251" xfId="100" applyFont="1" applyFill="1" applyBorder="1" applyAlignment="1">
      <alignment horizontal="centerContinuous" vertical="center"/>
    </xf>
    <xf numFmtId="0" fontId="57" fillId="41" borderId="248" xfId="100" applyFont="1" applyFill="1" applyBorder="1" applyAlignment="1">
      <alignment horizontal="centerContinuous" vertical="center"/>
    </xf>
    <xf numFmtId="0" fontId="57" fillId="41" borderId="250" xfId="100" quotePrefix="1" applyFont="1" applyFill="1" applyBorder="1" applyAlignment="1">
      <alignment horizontal="center" vertical="center"/>
    </xf>
    <xf numFmtId="0" fontId="57" fillId="41" borderId="250" xfId="100" applyFont="1" applyFill="1" applyBorder="1" applyAlignment="1">
      <alignment horizontal="center" vertical="center" wrapText="1"/>
    </xf>
    <xf numFmtId="0" fontId="115" fillId="41" borderId="250" xfId="100" applyFont="1" applyFill="1" applyBorder="1" applyAlignment="1">
      <alignment horizontal="center" vertical="center" wrapText="1"/>
    </xf>
    <xf numFmtId="0" fontId="57" fillId="41" borderId="251" xfId="100" quotePrefix="1" applyFont="1" applyFill="1" applyBorder="1" applyAlignment="1">
      <alignment horizontal="center" vertical="center" wrapText="1"/>
    </xf>
    <xf numFmtId="0" fontId="57" fillId="41" borderId="250" xfId="100" quotePrefix="1" applyFont="1" applyFill="1" applyBorder="1" applyAlignment="1">
      <alignment horizontal="center" vertical="center" wrapText="1"/>
    </xf>
    <xf numFmtId="0" fontId="51" fillId="41" borderId="250" xfId="100" applyFont="1" applyFill="1" applyBorder="1" applyAlignment="1">
      <alignment horizontal="center" vertical="center"/>
    </xf>
    <xf numFmtId="201" fontId="51" fillId="41" borderId="250" xfId="71" applyNumberFormat="1" applyFont="1" applyFill="1" applyBorder="1" applyAlignment="1" applyProtection="1">
      <alignment horizontal="right" vertical="center"/>
    </xf>
    <xf numFmtId="198" fontId="51" fillId="41" borderId="250" xfId="71" applyNumberFormat="1" applyFont="1" applyFill="1" applyBorder="1" applyAlignment="1" applyProtection="1">
      <alignment horizontal="right" vertical="center"/>
    </xf>
    <xf numFmtId="177" fontId="51" fillId="41" borderId="250" xfId="71" quotePrefix="1" applyNumberFormat="1" applyFont="1" applyFill="1" applyBorder="1" applyAlignment="1" applyProtection="1">
      <alignment horizontal="right" vertical="center"/>
    </xf>
    <xf numFmtId="177" fontId="51" fillId="41" borderId="250" xfId="71" applyNumberFormat="1" applyFont="1" applyFill="1" applyBorder="1" applyAlignment="1" applyProtection="1">
      <alignment horizontal="right" vertical="center"/>
    </xf>
    <xf numFmtId="177" fontId="55" fillId="41" borderId="250" xfId="71" applyNumberFormat="1" applyFont="1" applyFill="1" applyBorder="1" applyAlignment="1" applyProtection="1">
      <alignment horizontal="right" vertical="center"/>
    </xf>
    <xf numFmtId="177" fontId="51" fillId="41" borderId="250" xfId="71" applyNumberFormat="1" applyFont="1" applyFill="1" applyBorder="1" applyAlignment="1" applyProtection="1">
      <alignment horizontal="right" vertical="center" wrapText="1"/>
    </xf>
    <xf numFmtId="201" fontId="51" fillId="41" borderId="250" xfId="71" applyNumberFormat="1" applyFont="1" applyFill="1" applyBorder="1" applyAlignment="1" applyProtection="1">
      <alignment horizontal="center" vertical="center"/>
    </xf>
    <xf numFmtId="177" fontId="51" fillId="41" borderId="249" xfId="71" applyNumberFormat="1" applyFont="1" applyFill="1" applyBorder="1" applyAlignment="1" applyProtection="1">
      <alignment horizontal="right" vertical="center"/>
    </xf>
    <xf numFmtId="177" fontId="51" fillId="41" borderId="250" xfId="71" quotePrefix="1" applyNumberFormat="1" applyFont="1" applyFill="1" applyBorder="1" applyAlignment="1" applyProtection="1">
      <alignment horizontal="right" vertical="center" wrapText="1"/>
    </xf>
    <xf numFmtId="177" fontId="60" fillId="6" borderId="228" xfId="71" applyNumberFormat="1" applyFont="1" applyFill="1" applyBorder="1" applyAlignment="1" applyProtection="1">
      <alignment vertical="center"/>
    </xf>
    <xf numFmtId="177" fontId="6" fillId="7" borderId="33" xfId="71" applyNumberFormat="1" applyFont="1" applyFill="1" applyBorder="1" applyAlignment="1">
      <alignment vertical="center"/>
    </xf>
    <xf numFmtId="0" fontId="52" fillId="43" borderId="0" xfId="100" applyFont="1" applyFill="1" applyAlignment="1">
      <alignment vertical="center"/>
    </xf>
    <xf numFmtId="0" fontId="52" fillId="43" borderId="266" xfId="100" applyFont="1" applyFill="1" applyBorder="1" applyAlignment="1">
      <alignment vertical="center"/>
    </xf>
    <xf numFmtId="0" fontId="42" fillId="43" borderId="0" xfId="100" applyFont="1" applyFill="1" applyAlignment="1">
      <alignment vertical="center"/>
    </xf>
    <xf numFmtId="0" fontId="110" fillId="51" borderId="245" xfId="0" applyFont="1" applyFill="1" applyBorder="1" applyAlignment="1">
      <alignment horizontal="center" vertical="center" wrapText="1"/>
    </xf>
    <xf numFmtId="0" fontId="110" fillId="0" borderId="273" xfId="0" applyFont="1" applyBorder="1" applyAlignment="1">
      <alignment horizontal="center" vertical="center" wrapText="1"/>
    </xf>
    <xf numFmtId="0" fontId="110" fillId="0" borderId="274" xfId="0" applyFont="1" applyBorder="1" applyAlignment="1">
      <alignment horizontal="center" vertical="center" wrapText="1"/>
    </xf>
    <xf numFmtId="0" fontId="111" fillId="0" borderId="273" xfId="0" applyFont="1" applyBorder="1" applyAlignment="1">
      <alignment horizontal="center" vertical="center" wrapText="1"/>
    </xf>
    <xf numFmtId="0" fontId="110" fillId="0" borderId="275" xfId="0" applyFont="1" applyBorder="1" applyAlignment="1">
      <alignment horizontal="center" vertical="center" wrapText="1"/>
    </xf>
    <xf numFmtId="0" fontId="110" fillId="51" borderId="269" xfId="0" applyFont="1" applyFill="1" applyBorder="1" applyAlignment="1">
      <alignment horizontal="center" vertical="center" wrapText="1"/>
    </xf>
    <xf numFmtId="0" fontId="110" fillId="0" borderId="269" xfId="0" applyFont="1" applyBorder="1" applyAlignment="1">
      <alignment horizontal="center" vertical="center" wrapText="1"/>
    </xf>
    <xf numFmtId="0" fontId="55" fillId="42" borderId="276" xfId="100" applyFont="1" applyFill="1" applyBorder="1" applyAlignment="1">
      <alignment horizontal="center" vertical="center"/>
    </xf>
    <xf numFmtId="177" fontId="52" fillId="0" borderId="276" xfId="71" applyNumberFormat="1" applyFont="1" applyBorder="1" applyAlignment="1" applyProtection="1">
      <alignment vertical="center"/>
    </xf>
    <xf numFmtId="0" fontId="57" fillId="42" borderId="31" xfId="100" applyFont="1" applyFill="1" applyBorder="1" applyAlignment="1">
      <alignment horizontal="center" vertical="center"/>
    </xf>
    <xf numFmtId="0" fontId="57" fillId="42" borderId="250" xfId="100" applyFont="1" applyFill="1" applyBorder="1" applyAlignment="1">
      <alignment horizontal="center" vertical="center"/>
    </xf>
    <xf numFmtId="0" fontId="55" fillId="42" borderId="6" xfId="100" applyFont="1" applyFill="1" applyBorder="1" applyAlignment="1">
      <alignment horizontal="center" vertical="center"/>
    </xf>
    <xf numFmtId="177" fontId="32" fillId="43" borderId="1" xfId="71" quotePrefix="1" applyNumberFormat="1" applyFont="1" applyFill="1" applyBorder="1" applyAlignment="1" applyProtection="1">
      <alignment vertical="center"/>
      <protection locked="0"/>
    </xf>
    <xf numFmtId="183" fontId="32" fillId="43" borderId="1" xfId="62" applyNumberFormat="1" applyFont="1" applyFill="1" applyBorder="1" applyAlignment="1">
      <alignment horizontal="right" vertical="center"/>
    </xf>
    <xf numFmtId="0" fontId="32" fillId="43" borderId="1" xfId="100" applyFont="1" applyFill="1" applyBorder="1" applyAlignment="1">
      <alignment horizontal="center" vertical="center" shrinkToFit="1"/>
    </xf>
    <xf numFmtId="41" fontId="14" fillId="42" borderId="277" xfId="71" applyFont="1" applyFill="1" applyBorder="1" applyAlignment="1">
      <alignment vertical="center"/>
    </xf>
    <xf numFmtId="179" fontId="20" fillId="0" borderId="188" xfId="62" applyNumberFormat="1" applyFont="1" applyFill="1" applyBorder="1" applyAlignment="1">
      <alignment horizontal="center" vertical="center" wrapText="1"/>
    </xf>
    <xf numFmtId="179" fontId="20" fillId="0" borderId="2" xfId="62" applyNumberFormat="1" applyFont="1" applyFill="1" applyBorder="1" applyAlignment="1">
      <alignment horizontal="center" vertical="center" wrapText="1"/>
    </xf>
    <xf numFmtId="179" fontId="20" fillId="0" borderId="2" xfId="62" applyNumberFormat="1" applyFont="1" applyBorder="1" applyAlignment="1">
      <alignment horizontal="center" vertical="center" wrapText="1"/>
    </xf>
    <xf numFmtId="179" fontId="107" fillId="0" borderId="2" xfId="62" applyNumberFormat="1" applyFont="1" applyBorder="1" applyAlignment="1">
      <alignment horizontal="center" vertical="center" wrapText="1"/>
    </xf>
    <xf numFmtId="179" fontId="20" fillId="0" borderId="65" xfId="62" applyNumberFormat="1" applyFont="1" applyFill="1" applyBorder="1" applyAlignment="1">
      <alignment horizontal="center" vertical="center" wrapText="1"/>
    </xf>
    <xf numFmtId="41" fontId="20" fillId="0" borderId="221" xfId="71" applyFont="1" applyFill="1" applyBorder="1" applyAlignment="1">
      <alignment horizontal="center" vertical="center"/>
    </xf>
    <xf numFmtId="179" fontId="20" fillId="0" borderId="12" xfId="62" applyNumberFormat="1" applyFont="1" applyFill="1" applyBorder="1" applyAlignment="1">
      <alignment horizontal="center" vertical="center"/>
    </xf>
    <xf numFmtId="179" fontId="14" fillId="42" borderId="278" xfId="71" applyNumberFormat="1" applyFont="1" applyFill="1" applyBorder="1" applyAlignment="1">
      <alignment horizontal="center" vertical="center"/>
    </xf>
    <xf numFmtId="179" fontId="20" fillId="0" borderId="159" xfId="62" applyNumberFormat="1" applyFont="1" applyFill="1" applyBorder="1" applyAlignment="1">
      <alignment horizontal="center" vertical="center" wrapText="1"/>
    </xf>
    <xf numFmtId="179" fontId="20" fillId="0" borderId="72" xfId="62" applyNumberFormat="1" applyFont="1" applyFill="1" applyBorder="1" applyAlignment="1">
      <alignment horizontal="center" vertical="center" wrapText="1"/>
    </xf>
    <xf numFmtId="41" fontId="20" fillId="0" borderId="65" xfId="71" applyFont="1" applyFill="1" applyBorder="1" applyAlignment="1">
      <alignment horizontal="center" vertical="center" wrapText="1"/>
    </xf>
    <xf numFmtId="179" fontId="14" fillId="42" borderId="262" xfId="71" applyNumberFormat="1" applyFont="1" applyFill="1" applyBorder="1" applyAlignment="1">
      <alignment horizontal="center" vertical="center" wrapText="1"/>
    </xf>
    <xf numFmtId="179" fontId="14" fillId="7" borderId="22" xfId="71" applyNumberFormat="1" applyFont="1" applyFill="1" applyBorder="1" applyAlignment="1">
      <alignment horizontal="center" vertical="center" wrapText="1"/>
    </xf>
    <xf numFmtId="0" fontId="26" fillId="0" borderId="0" xfId="101" applyFont="1" applyAlignment="1">
      <alignment horizontal="right" vertical="center"/>
    </xf>
    <xf numFmtId="0" fontId="51" fillId="0" borderId="4" xfId="0" applyFont="1" applyBorder="1" applyAlignment="1" applyProtection="1">
      <alignment horizontal="center" vertical="center"/>
      <protection locked="0"/>
    </xf>
    <xf numFmtId="177" fontId="51" fillId="0" borderId="4" xfId="71" quotePrefix="1" applyNumberFormat="1" applyFont="1" applyFill="1" applyBorder="1" applyAlignment="1" applyProtection="1">
      <alignment vertical="center"/>
      <protection locked="0"/>
    </xf>
    <xf numFmtId="177" fontId="51" fillId="0" borderId="4" xfId="71" applyNumberFormat="1" applyFont="1" applyFill="1" applyBorder="1" applyAlignment="1" applyProtection="1">
      <alignment vertical="center"/>
      <protection locked="0"/>
    </xf>
    <xf numFmtId="177" fontId="51" fillId="0" borderId="4" xfId="71" applyNumberFormat="1" applyFont="1" applyFill="1" applyBorder="1" applyAlignment="1" applyProtection="1">
      <alignment vertical="center"/>
    </xf>
    <xf numFmtId="177" fontId="51" fillId="0" borderId="118" xfId="71" applyNumberFormat="1" applyFont="1" applyFill="1" applyBorder="1" applyAlignment="1" applyProtection="1">
      <alignment vertical="center"/>
      <protection locked="0"/>
    </xf>
    <xf numFmtId="177" fontId="51" fillId="0" borderId="118" xfId="71" applyNumberFormat="1" applyFont="1" applyFill="1" applyBorder="1" applyAlignment="1" applyProtection="1">
      <alignment vertical="center"/>
    </xf>
    <xf numFmtId="177" fontId="51" fillId="0" borderId="4" xfId="71" applyNumberFormat="1" applyFont="1" applyBorder="1" applyAlignment="1">
      <alignment vertical="center"/>
    </xf>
    <xf numFmtId="195" fontId="51" fillId="0" borderId="4" xfId="62" applyNumberFormat="1" applyFont="1" applyBorder="1" applyAlignment="1">
      <alignment horizontal="center" vertical="center"/>
    </xf>
    <xf numFmtId="183" fontId="51" fillId="0" borderId="4" xfId="62" applyNumberFormat="1" applyFont="1" applyBorder="1" applyAlignment="1">
      <alignment horizontal="center" vertical="center"/>
    </xf>
    <xf numFmtId="177" fontId="51" fillId="0" borderId="119" xfId="71" applyNumberFormat="1" applyFont="1" applyFill="1" applyBorder="1" applyAlignment="1">
      <alignment vertical="center"/>
    </xf>
    <xf numFmtId="0" fontId="57" fillId="41" borderId="250" xfId="100" applyFont="1" applyFill="1" applyBorder="1" applyAlignment="1">
      <alignment horizontal="center" vertical="center"/>
    </xf>
    <xf numFmtId="0" fontId="57" fillId="41" borderId="251" xfId="10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41" fontId="16" fillId="0" borderId="0" xfId="71" applyFont="1" applyFill="1" applyAlignment="1">
      <alignment horizontal="center" vertical="center"/>
    </xf>
    <xf numFmtId="41" fontId="20" fillId="43" borderId="145" xfId="71" applyFont="1" applyFill="1" applyBorder="1" applyAlignment="1">
      <alignment vertical="center"/>
    </xf>
    <xf numFmtId="202" fontId="20" fillId="43" borderId="50" xfId="71" applyNumberFormat="1" applyFont="1" applyFill="1" applyBorder="1" applyAlignment="1">
      <alignment vertical="center"/>
    </xf>
    <xf numFmtId="194" fontId="51" fillId="0" borderId="3" xfId="100" applyNumberFormat="1" applyFont="1" applyBorder="1" applyAlignment="1">
      <alignment horizontal="center" vertical="center"/>
    </xf>
    <xf numFmtId="0" fontId="51" fillId="0" borderId="4" xfId="100" applyFont="1" applyBorder="1" applyAlignment="1" applyProtection="1">
      <alignment horizontal="center" vertical="center"/>
      <protection locked="0"/>
    </xf>
    <xf numFmtId="41" fontId="51" fillId="0" borderId="4" xfId="71" applyFont="1" applyBorder="1" applyAlignment="1" applyProtection="1">
      <alignment horizontal="center" vertical="center"/>
      <protection locked="0"/>
    </xf>
    <xf numFmtId="177" fontId="51" fillId="0" borderId="4" xfId="71" quotePrefix="1" applyNumberFormat="1" applyFont="1" applyBorder="1" applyAlignment="1" applyProtection="1">
      <alignment vertical="center"/>
      <protection locked="0"/>
    </xf>
    <xf numFmtId="177" fontId="51" fillId="0" borderId="4" xfId="71" applyNumberFormat="1" applyFont="1" applyBorder="1" applyAlignment="1" applyProtection="1">
      <alignment vertical="center"/>
      <protection locked="0"/>
    </xf>
    <xf numFmtId="177" fontId="51" fillId="0" borderId="4" xfId="71" applyNumberFormat="1" applyFont="1" applyBorder="1" applyAlignment="1" applyProtection="1">
      <alignment vertical="center"/>
    </xf>
    <xf numFmtId="177" fontId="60" fillId="6" borderId="4" xfId="71" applyNumberFormat="1" applyFont="1" applyFill="1" applyBorder="1" applyAlignment="1" applyProtection="1">
      <alignment vertical="center"/>
    </xf>
    <xf numFmtId="177" fontId="51" fillId="0" borderId="118" xfId="71" applyNumberFormat="1" applyFont="1" applyBorder="1" applyAlignment="1" applyProtection="1">
      <alignment vertical="center"/>
      <protection locked="0"/>
    </xf>
    <xf numFmtId="177" fontId="51" fillId="0" borderId="118" xfId="71" applyNumberFormat="1" applyFont="1" applyBorder="1" applyAlignment="1" applyProtection="1">
      <alignment vertical="center"/>
    </xf>
    <xf numFmtId="177" fontId="51" fillId="0" borderId="119" xfId="71" applyNumberFormat="1" applyFont="1" applyBorder="1" applyAlignment="1">
      <alignment vertical="center"/>
    </xf>
    <xf numFmtId="193" fontId="6" fillId="7" borderId="279" xfId="100" applyNumberFormat="1" applyFont="1" applyFill="1" applyBorder="1" applyAlignment="1" applyProtection="1">
      <alignment horizontal="centerContinuous" vertical="center"/>
      <protection locked="0"/>
    </xf>
    <xf numFmtId="183" fontId="6" fillId="7" borderId="280" xfId="0" applyNumberFormat="1" applyFont="1" applyFill="1" applyBorder="1" applyAlignment="1" applyProtection="1">
      <alignment vertical="center"/>
      <protection locked="0"/>
    </xf>
    <xf numFmtId="201" fontId="6" fillId="7" borderId="280" xfId="0" applyNumberFormat="1" applyFont="1" applyFill="1" applyBorder="1" applyAlignment="1" applyProtection="1">
      <alignment vertical="center"/>
      <protection locked="0"/>
    </xf>
    <xf numFmtId="201" fontId="6" fillId="7" borderId="280" xfId="71" applyNumberFormat="1" applyFont="1" applyFill="1" applyBorder="1" applyAlignment="1" applyProtection="1">
      <alignment horizontal="center" vertical="center"/>
      <protection locked="0"/>
    </xf>
    <xf numFmtId="177" fontId="6" fillId="7" borderId="280" xfId="71" applyNumberFormat="1" applyFont="1" applyFill="1" applyBorder="1" applyAlignment="1" applyProtection="1">
      <alignment vertical="center"/>
    </xf>
    <xf numFmtId="177" fontId="6" fillId="7" borderId="280" xfId="71" applyNumberFormat="1" applyFont="1" applyFill="1" applyBorder="1" applyAlignment="1" applyProtection="1">
      <alignment horizontal="center" vertical="center"/>
    </xf>
    <xf numFmtId="177" fontId="6" fillId="7" borderId="280" xfId="71" applyNumberFormat="1" applyFont="1" applyFill="1" applyBorder="1" applyAlignment="1" applyProtection="1">
      <alignment vertical="center"/>
      <protection locked="0"/>
    </xf>
    <xf numFmtId="180" fontId="6" fillId="7" borderId="280" xfId="71" applyNumberFormat="1" applyFont="1" applyFill="1" applyBorder="1" applyAlignment="1">
      <alignment vertical="center"/>
    </xf>
    <xf numFmtId="177" fontId="6" fillId="7" borderId="280" xfId="71" applyNumberFormat="1" applyFont="1" applyFill="1" applyBorder="1" applyAlignment="1">
      <alignment vertical="center"/>
    </xf>
    <xf numFmtId="10" fontId="6" fillId="7" borderId="280" xfId="62" applyNumberFormat="1" applyFont="1" applyFill="1" applyBorder="1" applyAlignment="1">
      <alignment horizontal="right" vertical="center"/>
    </xf>
    <xf numFmtId="204" fontId="6" fillId="7" borderId="280" xfId="62" applyNumberFormat="1" applyFont="1" applyFill="1" applyBorder="1" applyAlignment="1">
      <alignment horizontal="right" vertical="center"/>
    </xf>
    <xf numFmtId="177" fontId="6" fillId="7" borderId="281" xfId="71" applyNumberFormat="1" applyFont="1" applyFill="1" applyBorder="1" applyAlignment="1">
      <alignment vertical="center"/>
    </xf>
    <xf numFmtId="201" fontId="52" fillId="0" borderId="4" xfId="62" applyNumberFormat="1" applyFont="1" applyBorder="1" applyAlignment="1">
      <alignment horizontal="right" vertical="center"/>
    </xf>
    <xf numFmtId="201" fontId="26" fillId="52" borderId="0" xfId="101" applyNumberFormat="1" applyFont="1" applyFill="1" applyAlignment="1">
      <alignment horizontal="right" vertical="center"/>
    </xf>
    <xf numFmtId="0" fontId="52" fillId="0" borderId="282" xfId="100" applyFont="1" applyBorder="1" applyAlignment="1">
      <alignment horizontal="center" vertical="center"/>
    </xf>
    <xf numFmtId="0" fontId="52" fillId="0" borderId="283" xfId="100" applyFont="1" applyBorder="1" applyAlignment="1" applyProtection="1">
      <alignment horizontal="left" vertical="center" wrapText="1"/>
      <protection locked="0"/>
    </xf>
    <xf numFmtId="201" fontId="52" fillId="0" borderId="283" xfId="0" applyNumberFormat="1" applyFont="1" applyBorder="1" applyAlignment="1" applyProtection="1">
      <alignment vertical="center"/>
      <protection locked="0"/>
    </xf>
    <xf numFmtId="41" fontId="52" fillId="0" borderId="283" xfId="71" applyFont="1" applyFill="1" applyBorder="1" applyAlignment="1" applyProtection="1">
      <alignment horizontal="center" vertical="center"/>
      <protection locked="0"/>
    </xf>
    <xf numFmtId="198" fontId="52" fillId="0" borderId="283" xfId="71" applyNumberFormat="1" applyFont="1" applyFill="1" applyBorder="1" applyAlignment="1" applyProtection="1">
      <alignment horizontal="right" vertical="center"/>
      <protection locked="0"/>
    </xf>
    <xf numFmtId="177" fontId="52" fillId="0" borderId="283" xfId="71" quotePrefix="1" applyNumberFormat="1" applyFont="1" applyFill="1" applyBorder="1" applyAlignment="1" applyProtection="1">
      <alignment vertical="center"/>
      <protection locked="0"/>
    </xf>
    <xf numFmtId="177" fontId="52" fillId="0" borderId="283" xfId="71" applyNumberFormat="1" applyFont="1" applyFill="1" applyBorder="1" applyAlignment="1" applyProtection="1">
      <alignment vertical="center"/>
      <protection locked="0"/>
    </xf>
    <xf numFmtId="177" fontId="52" fillId="0" borderId="284" xfId="71" applyNumberFormat="1" applyFont="1" applyFill="1" applyBorder="1" applyAlignment="1" applyProtection="1">
      <alignment vertical="center"/>
    </xf>
    <xf numFmtId="0" fontId="52" fillId="0" borderId="284" xfId="100" applyFont="1" applyBorder="1" applyAlignment="1">
      <alignment vertical="center"/>
    </xf>
    <xf numFmtId="201" fontId="52" fillId="0" borderId="284" xfId="100" applyNumberFormat="1" applyFont="1" applyBorder="1" applyAlignment="1">
      <alignment vertical="center"/>
    </xf>
    <xf numFmtId="177" fontId="52" fillId="0" borderId="283" xfId="71" applyNumberFormat="1" applyFont="1" applyFill="1" applyBorder="1" applyAlignment="1" applyProtection="1">
      <alignment vertical="center"/>
    </xf>
    <xf numFmtId="177" fontId="52" fillId="0" borderId="285" xfId="71" applyNumberFormat="1" applyFont="1" applyFill="1" applyBorder="1" applyAlignment="1" applyProtection="1">
      <alignment vertical="center"/>
    </xf>
    <xf numFmtId="180" fontId="52" fillId="0" borderId="283" xfId="71" applyNumberFormat="1" applyFont="1" applyBorder="1" applyAlignment="1">
      <alignment vertical="center"/>
    </xf>
    <xf numFmtId="177" fontId="52" fillId="0" borderId="283" xfId="71" applyNumberFormat="1" applyFont="1" applyBorder="1" applyAlignment="1">
      <alignment vertical="center"/>
    </xf>
    <xf numFmtId="195" fontId="52" fillId="0" borderId="283" xfId="62" applyNumberFormat="1" applyFont="1" applyBorder="1" applyAlignment="1">
      <alignment horizontal="right" vertical="center"/>
    </xf>
    <xf numFmtId="204" fontId="52" fillId="0" borderId="283" xfId="62" applyNumberFormat="1" applyFont="1" applyBorder="1" applyAlignment="1">
      <alignment horizontal="right" vertical="center"/>
    </xf>
    <xf numFmtId="177" fontId="52" fillId="0" borderId="286" xfId="71" applyNumberFormat="1" applyFont="1" applyFill="1" applyBorder="1" applyAlignment="1">
      <alignment horizontal="center" vertical="center"/>
    </xf>
    <xf numFmtId="216" fontId="12" fillId="43" borderId="1" xfId="0" applyNumberFormat="1" applyFont="1" applyFill="1" applyBorder="1" applyAlignment="1">
      <alignment horizontal="right" vertical="center" wrapText="1"/>
    </xf>
    <xf numFmtId="188" fontId="16" fillId="43" borderId="0" xfId="101" applyNumberFormat="1" applyFont="1" applyFill="1" applyAlignment="1">
      <alignment horizontal="left" vertical="center"/>
    </xf>
    <xf numFmtId="0" fontId="16" fillId="43" borderId="0" xfId="101" applyFont="1" applyFill="1" applyAlignment="1">
      <alignment horizontal="distributed" vertical="center"/>
    </xf>
    <xf numFmtId="0" fontId="19" fillId="43" borderId="0" xfId="101" applyFont="1" applyFill="1" applyAlignment="1">
      <alignment vertical="center"/>
    </xf>
    <xf numFmtId="3" fontId="16" fillId="43" borderId="0" xfId="101" applyNumberFormat="1" applyFont="1" applyFill="1" applyAlignment="1">
      <alignment horizontal="left" vertical="center"/>
    </xf>
    <xf numFmtId="201" fontId="51" fillId="0" borderId="4" xfId="0" applyNumberFormat="1" applyFont="1" applyBorder="1" applyAlignment="1" applyProtection="1">
      <alignment horizontal="right" vertical="center"/>
      <protection locked="0"/>
    </xf>
    <xf numFmtId="0" fontId="6" fillId="0" borderId="42" xfId="71" applyNumberFormat="1" applyFont="1" applyFill="1" applyBorder="1" applyAlignment="1" applyProtection="1">
      <alignment horizontal="center" vertical="center"/>
      <protection locked="0"/>
    </xf>
    <xf numFmtId="41" fontId="6" fillId="7" borderId="280" xfId="71" applyFont="1" applyFill="1" applyBorder="1" applyAlignment="1" applyProtection="1">
      <alignment horizontal="center" vertical="center"/>
      <protection locked="0"/>
    </xf>
    <xf numFmtId="177" fontId="6" fillId="7" borderId="280" xfId="100" applyNumberFormat="1" applyFont="1" applyFill="1" applyBorder="1" applyAlignment="1">
      <alignment horizontal="center" vertical="center"/>
    </xf>
    <xf numFmtId="195" fontId="6" fillId="7" borderId="280" xfId="62" applyNumberFormat="1" applyFont="1" applyFill="1" applyBorder="1" applyAlignment="1">
      <alignment horizontal="right" vertical="center"/>
    </xf>
    <xf numFmtId="41" fontId="19" fillId="0" borderId="0" xfId="101" applyNumberFormat="1" applyFont="1" applyAlignment="1">
      <alignment vertical="center"/>
    </xf>
    <xf numFmtId="0" fontId="52" fillId="0" borderId="23" xfId="100" applyFont="1" applyBorder="1" applyAlignment="1">
      <alignment horizontal="center" vertical="center"/>
    </xf>
    <xf numFmtId="0" fontId="52" fillId="0" borderId="143" xfId="100" applyFont="1" applyBorder="1" applyAlignment="1" applyProtection="1">
      <alignment horizontal="left" vertical="center" wrapText="1"/>
      <protection locked="0"/>
    </xf>
    <xf numFmtId="201" fontId="52" fillId="0" borderId="143" xfId="0" applyNumberFormat="1" applyFont="1" applyBorder="1" applyAlignment="1" applyProtection="1">
      <alignment vertical="center"/>
      <protection locked="0"/>
    </xf>
    <xf numFmtId="41" fontId="52" fillId="0" borderId="143" xfId="71" applyFont="1" applyFill="1" applyBorder="1" applyAlignment="1" applyProtection="1">
      <alignment horizontal="center" vertical="center"/>
      <protection locked="0"/>
    </xf>
    <xf numFmtId="198" fontId="52" fillId="0" borderId="143" xfId="71" applyNumberFormat="1" applyFont="1" applyFill="1" applyBorder="1" applyAlignment="1" applyProtection="1">
      <alignment horizontal="right" vertical="center"/>
      <protection locked="0"/>
    </xf>
    <xf numFmtId="177" fontId="52" fillId="0" borderId="143" xfId="71" quotePrefix="1" applyNumberFormat="1" applyFont="1" applyFill="1" applyBorder="1" applyAlignment="1" applyProtection="1">
      <alignment vertical="center"/>
      <protection locked="0"/>
    </xf>
    <xf numFmtId="177" fontId="52" fillId="0" borderId="143" xfId="71" applyNumberFormat="1" applyFont="1" applyFill="1" applyBorder="1" applyAlignment="1" applyProtection="1">
      <alignment vertical="center"/>
      <protection locked="0"/>
    </xf>
    <xf numFmtId="177" fontId="52" fillId="0" borderId="143" xfId="71" applyNumberFormat="1" applyFont="1" applyFill="1" applyBorder="1" applyAlignment="1" applyProtection="1">
      <alignment vertical="center"/>
    </xf>
    <xf numFmtId="0" fontId="52" fillId="0" borderId="143" xfId="100" applyFont="1" applyBorder="1" applyAlignment="1">
      <alignment vertical="center"/>
    </xf>
    <xf numFmtId="201" fontId="52" fillId="0" borderId="143" xfId="100" applyNumberFormat="1" applyFont="1" applyBorder="1" applyAlignment="1">
      <alignment vertical="center"/>
    </xf>
    <xf numFmtId="180" fontId="52" fillId="0" borderId="143" xfId="71" applyNumberFormat="1" applyFont="1" applyBorder="1" applyAlignment="1">
      <alignment vertical="center"/>
    </xf>
    <xf numFmtId="177" fontId="52" fillId="0" borderId="143" xfId="71" applyNumberFormat="1" applyFont="1" applyBorder="1" applyAlignment="1">
      <alignment vertical="center"/>
    </xf>
    <xf numFmtId="195" fontId="52" fillId="0" borderId="143" xfId="62" applyNumberFormat="1" applyFont="1" applyBorder="1" applyAlignment="1">
      <alignment horizontal="right" vertical="center"/>
    </xf>
    <xf numFmtId="204" fontId="52" fillId="0" borderId="143" xfId="62" applyNumberFormat="1" applyFont="1" applyBorder="1" applyAlignment="1">
      <alignment horizontal="right" vertical="center"/>
    </xf>
    <xf numFmtId="177" fontId="52" fillId="0" borderId="188" xfId="71" applyNumberFormat="1" applyFont="1" applyFill="1" applyBorder="1" applyAlignment="1">
      <alignment horizontal="center" vertical="center"/>
    </xf>
    <xf numFmtId="204" fontId="51" fillId="0" borderId="250" xfId="62" applyNumberFormat="1" applyFont="1" applyFill="1" applyBorder="1" applyAlignment="1">
      <alignment horizontal="right" vertical="center"/>
    </xf>
    <xf numFmtId="195" fontId="51" fillId="0" borderId="250" xfId="62" applyNumberFormat="1" applyFont="1" applyFill="1" applyBorder="1" applyAlignment="1">
      <alignment horizontal="right" vertical="center"/>
    </xf>
    <xf numFmtId="177" fontId="51" fillId="0" borderId="250" xfId="71" applyNumberFormat="1" applyFont="1" applyFill="1" applyBorder="1" applyAlignment="1">
      <alignment horizontal="right" vertical="center"/>
    </xf>
    <xf numFmtId="177" fontId="20" fillId="52" borderId="53" xfId="0" applyNumberFormat="1" applyFont="1" applyFill="1" applyBorder="1" applyAlignment="1">
      <alignment horizontal="right" vertical="center"/>
    </xf>
    <xf numFmtId="202" fontId="20" fillId="52" borderId="54" xfId="71" applyNumberFormat="1" applyFont="1" applyFill="1" applyBorder="1" applyAlignment="1">
      <alignment vertical="center"/>
    </xf>
    <xf numFmtId="179" fontId="20" fillId="52" borderId="54" xfId="0" applyNumberFormat="1" applyFont="1" applyFill="1" applyBorder="1" applyAlignment="1">
      <alignment horizontal="centerContinuous" vertical="center"/>
    </xf>
    <xf numFmtId="177" fontId="20" fillId="52" borderId="95" xfId="0" applyNumberFormat="1" applyFont="1" applyFill="1" applyBorder="1" applyAlignment="1">
      <alignment horizontal="right" vertical="center"/>
    </xf>
    <xf numFmtId="202" fontId="20" fillId="52" borderId="55" xfId="71" applyNumberFormat="1" applyFont="1" applyFill="1" applyBorder="1" applyAlignment="1">
      <alignment vertical="center"/>
    </xf>
    <xf numFmtId="202" fontId="20" fillId="52" borderId="161" xfId="71" applyNumberFormat="1" applyFont="1" applyFill="1" applyBorder="1" applyAlignment="1">
      <alignment vertical="center"/>
    </xf>
    <xf numFmtId="0" fontId="52" fillId="5" borderId="78" xfId="100" applyFont="1" applyFill="1" applyBorder="1" applyAlignment="1">
      <alignment horizontal="center" vertical="center"/>
    </xf>
    <xf numFmtId="0" fontId="52" fillId="0" borderId="287" xfId="100" applyFont="1" applyBorder="1" applyAlignment="1">
      <alignment horizontal="center" vertical="center"/>
    </xf>
    <xf numFmtId="0" fontId="52" fillId="0" borderId="288" xfId="100" applyFont="1" applyBorder="1" applyAlignment="1" applyProtection="1">
      <alignment horizontal="left" vertical="center" wrapText="1"/>
      <protection locked="0"/>
    </xf>
    <xf numFmtId="201" fontId="52" fillId="0" borderId="288" xfId="0" applyNumberFormat="1" applyFont="1" applyBorder="1" applyAlignment="1" applyProtection="1">
      <alignment vertical="center"/>
      <protection locked="0"/>
    </xf>
    <xf numFmtId="41" fontId="52" fillId="0" borderId="288" xfId="71" applyFont="1" applyFill="1" applyBorder="1" applyAlignment="1" applyProtection="1">
      <alignment horizontal="center" vertical="center"/>
      <protection locked="0"/>
    </xf>
    <xf numFmtId="198" fontId="52" fillId="0" borderId="288" xfId="71" applyNumberFormat="1" applyFont="1" applyFill="1" applyBorder="1" applyAlignment="1" applyProtection="1">
      <alignment horizontal="right" vertical="center"/>
      <protection locked="0"/>
    </xf>
    <xf numFmtId="177" fontId="52" fillId="0" borderId="288" xfId="71" quotePrefix="1" applyNumberFormat="1" applyFont="1" applyFill="1" applyBorder="1" applyAlignment="1" applyProtection="1">
      <alignment vertical="center"/>
      <protection locked="0"/>
    </xf>
    <xf numFmtId="177" fontId="52" fillId="0" borderId="288" xfId="71" applyNumberFormat="1" applyFont="1" applyFill="1" applyBorder="1" applyAlignment="1" applyProtection="1">
      <alignment vertical="center"/>
      <protection locked="0"/>
    </xf>
    <xf numFmtId="177" fontId="52" fillId="0" borderId="288" xfId="71" applyNumberFormat="1" applyFont="1" applyFill="1" applyBorder="1" applyAlignment="1" applyProtection="1">
      <alignment vertical="center"/>
    </xf>
    <xf numFmtId="201" fontId="52" fillId="0" borderId="288" xfId="71" applyNumberFormat="1" applyFont="1" applyFill="1" applyBorder="1" applyAlignment="1" applyProtection="1">
      <alignment vertical="center"/>
    </xf>
    <xf numFmtId="180" fontId="52" fillId="0" borderId="288" xfId="71" applyNumberFormat="1" applyFont="1" applyBorder="1" applyAlignment="1">
      <alignment vertical="center"/>
    </xf>
    <xf numFmtId="177" fontId="52" fillId="0" borderId="288" xfId="71" applyNumberFormat="1" applyFont="1" applyBorder="1" applyAlignment="1">
      <alignment vertical="center"/>
    </xf>
    <xf numFmtId="195" fontId="52" fillId="0" borderId="288" xfId="62" applyNumberFormat="1" applyFont="1" applyBorder="1" applyAlignment="1">
      <alignment horizontal="right" vertical="center"/>
    </xf>
    <xf numFmtId="204" fontId="52" fillId="0" borderId="288" xfId="62" applyNumberFormat="1" applyFont="1" applyBorder="1" applyAlignment="1">
      <alignment horizontal="right" vertical="center"/>
    </xf>
    <xf numFmtId="177" fontId="52" fillId="0" borderId="289" xfId="71" applyNumberFormat="1" applyFont="1" applyFill="1" applyBorder="1" applyAlignment="1">
      <alignment horizontal="center" vertical="center"/>
    </xf>
    <xf numFmtId="0" fontId="72" fillId="0" borderId="43" xfId="0" applyFont="1" applyBorder="1" applyAlignment="1">
      <alignment vertical="center" textRotation="255"/>
    </xf>
    <xf numFmtId="202" fontId="14" fillId="42" borderId="264" xfId="71" applyNumberFormat="1" applyFont="1" applyFill="1" applyBorder="1" applyAlignment="1">
      <alignment vertical="center"/>
    </xf>
    <xf numFmtId="202" fontId="14" fillId="42" borderId="238" xfId="71" applyNumberFormat="1" applyFont="1" applyFill="1" applyBorder="1" applyAlignment="1">
      <alignment vertical="center"/>
    </xf>
    <xf numFmtId="0" fontId="52" fillId="0" borderId="116" xfId="100" applyFont="1" applyBorder="1" applyAlignment="1">
      <alignment horizontal="center"/>
    </xf>
    <xf numFmtId="0" fontId="52" fillId="0" borderId="138" xfId="100" applyFont="1" applyBorder="1" applyAlignment="1" applyProtection="1">
      <alignment horizontal="left" vertical="center" shrinkToFit="1"/>
      <protection locked="0"/>
    </xf>
    <xf numFmtId="177" fontId="52" fillId="0" borderId="290" xfId="71" applyNumberFormat="1" applyFont="1" applyFill="1" applyBorder="1" applyAlignment="1" applyProtection="1">
      <alignment vertical="center"/>
    </xf>
    <xf numFmtId="0" fontId="52" fillId="0" borderId="143" xfId="100" applyFont="1" applyBorder="1" applyAlignment="1" applyProtection="1">
      <alignment horizontal="left" vertical="center" shrinkToFit="1"/>
      <protection locked="0"/>
    </xf>
    <xf numFmtId="41" fontId="52" fillId="0" borderId="143" xfId="71" applyFont="1" applyBorder="1" applyAlignment="1" applyProtection="1">
      <alignment horizontal="center" vertical="center"/>
      <protection locked="0"/>
    </xf>
    <xf numFmtId="198" fontId="52" fillId="0" borderId="143" xfId="71" applyNumberFormat="1" applyFont="1" applyBorder="1" applyAlignment="1" applyProtection="1">
      <alignment horizontal="right" vertical="center"/>
      <protection locked="0"/>
    </xf>
    <xf numFmtId="177" fontId="52" fillId="0" borderId="143" xfId="71" quotePrefix="1" applyNumberFormat="1" applyFont="1" applyBorder="1" applyAlignment="1" applyProtection="1">
      <alignment vertical="center"/>
      <protection locked="0"/>
    </xf>
    <xf numFmtId="177" fontId="52" fillId="0" borderId="143" xfId="71" applyNumberFormat="1" applyFont="1" applyBorder="1" applyAlignment="1" applyProtection="1">
      <alignment vertical="center"/>
      <protection locked="0"/>
    </xf>
    <xf numFmtId="177" fontId="52" fillId="0" borderId="143" xfId="71" applyNumberFormat="1" applyFont="1" applyBorder="1" applyAlignment="1" applyProtection="1">
      <alignment vertical="center"/>
    </xf>
    <xf numFmtId="201" fontId="52" fillId="0" borderId="143" xfId="71" applyNumberFormat="1" applyFont="1" applyFill="1" applyBorder="1" applyAlignment="1" applyProtection="1">
      <alignment vertical="center"/>
    </xf>
    <xf numFmtId="177" fontId="52" fillId="0" borderId="188" xfId="71" applyNumberFormat="1" applyFont="1" applyBorder="1" applyAlignment="1">
      <alignment horizontal="center" vertical="center"/>
    </xf>
    <xf numFmtId="0" fontId="52" fillId="0" borderId="138" xfId="100" applyFont="1" applyBorder="1" applyAlignment="1" applyProtection="1">
      <alignment horizontal="left" vertical="center"/>
      <protection locked="0"/>
    </xf>
    <xf numFmtId="201" fontId="52" fillId="0" borderId="138" xfId="71" applyNumberFormat="1" applyFont="1" applyFill="1" applyBorder="1" applyAlignment="1" applyProtection="1">
      <alignment vertical="center"/>
    </xf>
    <xf numFmtId="0" fontId="52" fillId="0" borderId="23" xfId="100" applyFont="1" applyBorder="1" applyAlignment="1">
      <alignment horizontal="center" vertical="center" wrapText="1"/>
    </xf>
    <xf numFmtId="0" fontId="14" fillId="42" borderId="129" xfId="0" applyFont="1" applyFill="1" applyBorder="1" applyAlignment="1">
      <alignment horizontal="centerContinuous" vertical="center"/>
    </xf>
    <xf numFmtId="202" fontId="20" fillId="52" borderId="100" xfId="71" applyNumberFormat="1" applyFont="1" applyFill="1" applyBorder="1" applyAlignment="1">
      <alignment vertical="center"/>
    </xf>
    <xf numFmtId="177" fontId="20" fillId="42" borderId="139" xfId="0" applyNumberFormat="1" applyFont="1" applyFill="1" applyBorder="1" applyAlignment="1">
      <alignment horizontal="right" vertical="center"/>
    </xf>
    <xf numFmtId="202" fontId="20" fillId="42" borderId="131" xfId="71" applyNumberFormat="1" applyFont="1" applyFill="1" applyBorder="1" applyAlignment="1">
      <alignment vertical="center"/>
    </xf>
    <xf numFmtId="177" fontId="20" fillId="42" borderId="60" xfId="0" applyNumberFormat="1" applyFont="1" applyFill="1" applyBorder="1" applyAlignment="1">
      <alignment horizontal="right" vertical="center"/>
    </xf>
    <xf numFmtId="202" fontId="20" fillId="42" borderId="58" xfId="71" applyNumberFormat="1" applyFont="1" applyFill="1" applyBorder="1" applyAlignment="1">
      <alignment vertical="center"/>
    </xf>
    <xf numFmtId="177" fontId="20" fillId="42" borderId="49" xfId="0" applyNumberFormat="1" applyFont="1" applyFill="1" applyBorder="1" applyAlignment="1">
      <alignment horizontal="right" vertical="center"/>
    </xf>
    <xf numFmtId="41" fontId="20" fillId="42" borderId="49" xfId="71" applyFont="1" applyFill="1" applyBorder="1" applyAlignment="1">
      <alignment vertical="center"/>
    </xf>
    <xf numFmtId="202" fontId="20" fillId="42" borderId="50" xfId="71" applyNumberFormat="1" applyFont="1" applyFill="1" applyBorder="1" applyAlignment="1">
      <alignment vertical="center"/>
    </xf>
    <xf numFmtId="41" fontId="20" fillId="42" borderId="18" xfId="71" applyFont="1" applyFill="1" applyBorder="1" applyAlignment="1">
      <alignment vertical="center"/>
    </xf>
    <xf numFmtId="202" fontId="20" fillId="42" borderId="100" xfId="71" applyNumberFormat="1" applyFont="1" applyFill="1" applyBorder="1" applyAlignment="1">
      <alignment vertical="center"/>
    </xf>
    <xf numFmtId="177" fontId="20" fillId="42" borderId="151" xfId="0" applyNumberFormat="1" applyFont="1" applyFill="1" applyBorder="1" applyAlignment="1">
      <alignment horizontal="right" vertical="center"/>
    </xf>
    <xf numFmtId="202" fontId="20" fillId="42" borderId="152" xfId="71" applyNumberFormat="1" applyFont="1" applyFill="1" applyBorder="1" applyAlignment="1">
      <alignment vertical="center"/>
    </xf>
    <xf numFmtId="221" fontId="20" fillId="42" borderId="60" xfId="0" applyNumberFormat="1" applyFont="1" applyFill="1" applyBorder="1" applyAlignment="1">
      <alignment horizontal="right" vertical="center"/>
    </xf>
    <xf numFmtId="202" fontId="20" fillId="42" borderId="160" xfId="71" applyNumberFormat="1" applyFont="1" applyFill="1" applyBorder="1" applyAlignment="1">
      <alignment vertical="center"/>
    </xf>
    <xf numFmtId="221" fontId="20" fillId="42" borderId="178" xfId="0" applyNumberFormat="1" applyFont="1" applyFill="1" applyBorder="1" applyAlignment="1">
      <alignment horizontal="right" vertical="center"/>
    </xf>
    <xf numFmtId="41" fontId="20" fillId="42" borderId="185" xfId="71" applyFont="1" applyFill="1" applyBorder="1" applyAlignment="1">
      <alignment horizontal="right" vertical="center"/>
    </xf>
    <xf numFmtId="202" fontId="20" fillId="42" borderId="40" xfId="71" applyNumberFormat="1" applyFont="1" applyFill="1" applyBorder="1" applyAlignment="1">
      <alignment vertical="center"/>
    </xf>
    <xf numFmtId="179" fontId="20" fillId="42" borderId="152" xfId="0" applyNumberFormat="1" applyFont="1" applyFill="1" applyBorder="1" applyAlignment="1">
      <alignment horizontal="centerContinuous" vertical="center"/>
    </xf>
    <xf numFmtId="179" fontId="20" fillId="42" borderId="58" xfId="0" applyNumberFormat="1" applyFont="1" applyFill="1" applyBorder="1" applyAlignment="1">
      <alignment horizontal="centerContinuous" vertical="center"/>
    </xf>
    <xf numFmtId="179" fontId="20" fillId="42" borderId="58" xfId="0" applyNumberFormat="1" applyFont="1" applyFill="1" applyBorder="1" applyAlignment="1">
      <alignment horizontal="center" vertical="center"/>
    </xf>
    <xf numFmtId="179" fontId="20" fillId="42" borderId="160" xfId="0" applyNumberFormat="1" applyFont="1" applyFill="1" applyBorder="1" applyAlignment="1">
      <alignment horizontal="center" vertical="center"/>
    </xf>
    <xf numFmtId="179" fontId="20" fillId="42" borderId="54" xfId="71" applyNumberFormat="1" applyFont="1" applyFill="1" applyBorder="1" applyAlignment="1">
      <alignment horizontal="center" vertical="center"/>
    </xf>
    <xf numFmtId="177" fontId="20" fillId="52" borderId="130" xfId="0" applyNumberFormat="1" applyFont="1" applyFill="1" applyBorder="1" applyAlignment="1">
      <alignment horizontal="right" vertical="center"/>
    </xf>
    <xf numFmtId="202" fontId="20" fillId="52" borderId="141" xfId="71" applyNumberFormat="1" applyFont="1" applyFill="1" applyBorder="1" applyAlignment="1">
      <alignment vertical="center"/>
    </xf>
    <xf numFmtId="177" fontId="20" fillId="52" borderId="94" xfId="0" applyNumberFormat="1" applyFont="1" applyFill="1" applyBorder="1" applyAlignment="1">
      <alignment horizontal="right" vertical="center"/>
    </xf>
    <xf numFmtId="202" fontId="20" fillId="52" borderId="20" xfId="71" applyNumberFormat="1" applyFont="1" applyFill="1" applyBorder="1" applyAlignment="1">
      <alignment vertical="center"/>
    </xf>
    <xf numFmtId="177" fontId="20" fillId="52" borderId="145" xfId="0" applyNumberFormat="1" applyFont="1" applyFill="1" applyBorder="1" applyAlignment="1">
      <alignment horizontal="right" vertical="center"/>
    </xf>
    <xf numFmtId="41" fontId="20" fillId="52" borderId="219" xfId="71" applyFont="1" applyFill="1" applyBorder="1" applyAlignment="1">
      <alignment vertical="center"/>
    </xf>
    <xf numFmtId="202" fontId="20" fillId="52" borderId="101" xfId="71" applyNumberFormat="1" applyFont="1" applyFill="1" applyBorder="1" applyAlignment="1">
      <alignment vertical="center"/>
    </xf>
    <xf numFmtId="202" fontId="20" fillId="52" borderId="131" xfId="71" applyNumberFormat="1" applyFont="1" applyFill="1" applyBorder="1" applyAlignment="1">
      <alignment vertical="center"/>
    </xf>
    <xf numFmtId="202" fontId="20" fillId="52" borderId="58" xfId="71" applyNumberFormat="1" applyFont="1" applyFill="1" applyBorder="1" applyAlignment="1">
      <alignment vertical="center"/>
    </xf>
    <xf numFmtId="177" fontId="20" fillId="52" borderId="153" xfId="0" applyNumberFormat="1" applyFont="1" applyFill="1" applyBorder="1" applyAlignment="1">
      <alignment horizontal="right" vertical="center"/>
    </xf>
    <xf numFmtId="202" fontId="20" fillId="52" borderId="155" xfId="71" applyNumberFormat="1" applyFont="1" applyFill="1" applyBorder="1" applyAlignment="1">
      <alignment vertical="center"/>
    </xf>
    <xf numFmtId="221" fontId="20" fillId="52" borderId="94" xfId="0" applyNumberFormat="1" applyFont="1" applyFill="1" applyBorder="1" applyAlignment="1">
      <alignment horizontal="right" vertical="center"/>
    </xf>
    <xf numFmtId="202" fontId="20" fillId="52" borderId="152" xfId="71" applyNumberFormat="1" applyFont="1" applyFill="1" applyBorder="1" applyAlignment="1">
      <alignment vertical="center"/>
    </xf>
    <xf numFmtId="202" fontId="20" fillId="52" borderId="93" xfId="71" applyNumberFormat="1" applyFont="1" applyFill="1" applyBorder="1" applyAlignment="1">
      <alignment vertical="center"/>
    </xf>
    <xf numFmtId="221" fontId="20" fillId="52" borderId="91" xfId="0" applyNumberFormat="1" applyFont="1" applyFill="1" applyBorder="1" applyAlignment="1">
      <alignment horizontal="right" vertical="center"/>
    </xf>
    <xf numFmtId="202" fontId="20" fillId="52" borderId="160" xfId="71" applyNumberFormat="1" applyFont="1" applyFill="1" applyBorder="1" applyAlignment="1">
      <alignment vertical="center"/>
    </xf>
    <xf numFmtId="0" fontId="51" fillId="0" borderId="116" xfId="100" applyFont="1" applyBorder="1" applyAlignment="1">
      <alignment horizontal="center" vertical="center"/>
    </xf>
    <xf numFmtId="0" fontId="51" fillId="0" borderId="138" xfId="0" applyFont="1" applyBorder="1" applyAlignment="1" applyProtection="1">
      <alignment horizontal="center" vertical="center"/>
      <protection locked="0"/>
    </xf>
    <xf numFmtId="201" fontId="51" fillId="0" borderId="138" xfId="0" applyNumberFormat="1" applyFont="1" applyBorder="1" applyAlignment="1" applyProtection="1">
      <alignment horizontal="center" vertical="center"/>
      <protection locked="0"/>
    </xf>
    <xf numFmtId="41" fontId="51" fillId="0" borderId="138" xfId="71" applyFont="1" applyFill="1" applyBorder="1" applyAlignment="1" applyProtection="1">
      <alignment horizontal="center" vertical="center"/>
      <protection locked="0"/>
    </xf>
    <xf numFmtId="177" fontId="51" fillId="0" borderId="138" xfId="71" quotePrefix="1" applyNumberFormat="1" applyFont="1" applyFill="1" applyBorder="1" applyAlignment="1" applyProtection="1">
      <alignment vertical="center"/>
      <protection locked="0"/>
    </xf>
    <xf numFmtId="177" fontId="51" fillId="0" borderId="138" xfId="71" applyNumberFormat="1" applyFont="1" applyFill="1" applyBorder="1" applyAlignment="1" applyProtection="1">
      <alignment vertical="center"/>
      <protection locked="0"/>
    </xf>
    <xf numFmtId="177" fontId="51" fillId="0" borderId="138" xfId="71" applyNumberFormat="1" applyFont="1" applyFill="1" applyBorder="1" applyAlignment="1" applyProtection="1">
      <alignment vertical="center"/>
    </xf>
    <xf numFmtId="177" fontId="60" fillId="0" borderId="138" xfId="71" applyNumberFormat="1" applyFont="1" applyFill="1" applyBorder="1" applyAlignment="1" applyProtection="1">
      <alignment vertical="center"/>
    </xf>
    <xf numFmtId="177" fontId="51" fillId="0" borderId="194" xfId="71" applyNumberFormat="1" applyFont="1" applyFill="1" applyBorder="1" applyAlignment="1" applyProtection="1">
      <alignment vertical="center"/>
      <protection locked="0"/>
    </xf>
    <xf numFmtId="177" fontId="51" fillId="0" borderId="194" xfId="71" applyNumberFormat="1" applyFont="1" applyFill="1" applyBorder="1" applyAlignment="1" applyProtection="1">
      <alignment vertical="center"/>
    </xf>
    <xf numFmtId="177" fontId="51" fillId="0" borderId="138" xfId="71" applyNumberFormat="1" applyFont="1" applyBorder="1" applyAlignment="1">
      <alignment vertical="center"/>
    </xf>
    <xf numFmtId="195" fontId="51" fillId="0" borderId="138" xfId="62" applyNumberFormat="1" applyFont="1" applyBorder="1" applyAlignment="1">
      <alignment horizontal="center" vertical="center"/>
    </xf>
    <xf numFmtId="183" fontId="51" fillId="0" borderId="138" xfId="62" applyNumberFormat="1" applyFont="1" applyBorder="1" applyAlignment="1">
      <alignment horizontal="center" vertical="center"/>
    </xf>
    <xf numFmtId="177" fontId="51" fillId="0" borderId="196" xfId="71" applyNumberFormat="1" applyFont="1" applyFill="1" applyBorder="1" applyAlignment="1">
      <alignment vertical="center"/>
    </xf>
    <xf numFmtId="194" fontId="51" fillId="41" borderId="291" xfId="100" applyNumberFormat="1" applyFont="1" applyFill="1" applyBorder="1" applyAlignment="1">
      <alignment horizontal="center" vertical="center"/>
    </xf>
    <xf numFmtId="0" fontId="51" fillId="41" borderId="143" xfId="100" applyFont="1" applyFill="1" applyBorder="1" applyAlignment="1" applyProtection="1">
      <alignment horizontal="center" vertical="center" shrinkToFit="1"/>
      <protection locked="0"/>
    </xf>
    <xf numFmtId="201" fontId="51" fillId="41" borderId="143" xfId="0" applyNumberFormat="1" applyFont="1" applyFill="1" applyBorder="1" applyAlignment="1" applyProtection="1">
      <alignment horizontal="right" vertical="center"/>
      <protection locked="0"/>
    </xf>
    <xf numFmtId="177" fontId="51" fillId="41" borderId="188" xfId="71" applyNumberFormat="1" applyFont="1" applyFill="1" applyBorder="1" applyAlignment="1">
      <alignment vertical="center"/>
    </xf>
    <xf numFmtId="0" fontId="110" fillId="0" borderId="270" xfId="0" applyFont="1" applyBorder="1" applyAlignment="1">
      <alignment horizontal="center" vertical="center" wrapText="1"/>
    </xf>
    <xf numFmtId="0" fontId="111" fillId="0" borderId="265" xfId="0" applyFont="1" applyBorder="1" applyAlignment="1">
      <alignment horizontal="center" vertical="center" wrapText="1"/>
    </xf>
    <xf numFmtId="0" fontId="32" fillId="52" borderId="1" xfId="100" applyFont="1" applyFill="1" applyBorder="1" applyAlignment="1">
      <alignment horizontal="center" vertical="center"/>
    </xf>
    <xf numFmtId="0" fontId="32" fillId="52" borderId="1" xfId="0" applyFont="1" applyFill="1" applyBorder="1" applyAlignment="1" applyProtection="1">
      <alignment horizontal="left" vertical="center"/>
      <protection locked="0"/>
    </xf>
    <xf numFmtId="201" fontId="32" fillId="52" borderId="1" xfId="0" applyNumberFormat="1" applyFont="1" applyFill="1" applyBorder="1" applyAlignment="1" applyProtection="1">
      <alignment horizontal="right" vertical="center"/>
      <protection locked="0"/>
    </xf>
    <xf numFmtId="177" fontId="32" fillId="52" borderId="1" xfId="71" applyNumberFormat="1" applyFont="1" applyFill="1" applyBorder="1" applyAlignment="1" applyProtection="1">
      <alignment vertical="center"/>
      <protection locked="0"/>
    </xf>
    <xf numFmtId="41" fontId="32" fillId="52" borderId="1" xfId="71" applyFont="1" applyFill="1" applyBorder="1" applyAlignment="1" applyProtection="1">
      <alignment horizontal="center" vertical="center"/>
      <protection locked="0"/>
    </xf>
    <xf numFmtId="177" fontId="32" fillId="52" borderId="1" xfId="71" applyNumberFormat="1" applyFont="1" applyFill="1" applyBorder="1" applyAlignment="1" applyProtection="1">
      <alignment vertical="center"/>
    </xf>
    <xf numFmtId="177" fontId="32" fillId="52" borderId="1" xfId="71" applyNumberFormat="1" applyFont="1" applyFill="1" applyBorder="1" applyAlignment="1">
      <alignment vertical="center"/>
    </xf>
    <xf numFmtId="178" fontId="32" fillId="52" borderId="1" xfId="71" applyNumberFormat="1" applyFont="1" applyFill="1" applyBorder="1" applyAlignment="1">
      <alignment horizontal="right" vertical="center"/>
    </xf>
    <xf numFmtId="204" fontId="32" fillId="52" borderId="1" xfId="62" applyNumberFormat="1" applyFont="1" applyFill="1" applyBorder="1" applyAlignment="1">
      <alignment horizontal="right" vertical="center"/>
    </xf>
    <xf numFmtId="201" fontId="32" fillId="52" borderId="2" xfId="100" applyNumberFormat="1" applyFont="1" applyFill="1" applyBorder="1" applyAlignment="1">
      <alignment vertical="center"/>
    </xf>
    <xf numFmtId="0" fontId="52" fillId="0" borderId="116" xfId="100" applyFont="1" applyBorder="1" applyAlignment="1">
      <alignment horizontal="center" vertical="top"/>
    </xf>
    <xf numFmtId="0" fontId="12" fillId="52" borderId="1" xfId="0" applyFont="1" applyFill="1" applyBorder="1" applyAlignment="1">
      <alignment horizontal="center" vertical="center" wrapText="1"/>
    </xf>
    <xf numFmtId="38" fontId="12" fillId="52" borderId="42" xfId="0" applyNumberFormat="1" applyFont="1" applyFill="1" applyBorder="1" applyAlignment="1">
      <alignment horizontal="center" vertical="center"/>
    </xf>
    <xf numFmtId="182" fontId="12" fillId="52" borderId="1" xfId="0" applyNumberFormat="1" applyFont="1" applyFill="1" applyBorder="1" applyAlignment="1">
      <alignment horizontal="right" vertical="center"/>
    </xf>
    <xf numFmtId="201" fontId="12" fillId="52" borderId="42" xfId="0" applyNumberFormat="1" applyFont="1" applyFill="1" applyBorder="1" applyAlignment="1">
      <alignment horizontal="right" vertical="center"/>
    </xf>
    <xf numFmtId="201" fontId="12" fillId="52" borderId="1" xfId="0" applyNumberFormat="1" applyFont="1" applyFill="1" applyBorder="1" applyAlignment="1">
      <alignment horizontal="right" vertical="center" wrapText="1"/>
    </xf>
    <xf numFmtId="201" fontId="12" fillId="52" borderId="42" xfId="0" applyNumberFormat="1" applyFont="1" applyFill="1" applyBorder="1" applyAlignment="1">
      <alignment horizontal="center" vertical="center"/>
    </xf>
    <xf numFmtId="201" fontId="12" fillId="52" borderId="1" xfId="0" applyNumberFormat="1" applyFont="1" applyFill="1" applyBorder="1" applyAlignment="1">
      <alignment horizontal="right" vertical="center"/>
    </xf>
    <xf numFmtId="182" fontId="12" fillId="52" borderId="42" xfId="0" applyNumberFormat="1" applyFont="1" applyFill="1" applyBorder="1" applyAlignment="1">
      <alignment horizontal="right" vertical="center"/>
    </xf>
    <xf numFmtId="0" fontId="16" fillId="0" borderId="0" xfId="101" applyFont="1" applyAlignment="1">
      <alignment horizontal="left" vertical="center"/>
    </xf>
    <xf numFmtId="232" fontId="40" fillId="0" borderId="0" xfId="101" applyNumberFormat="1" applyFont="1" applyAlignment="1">
      <alignment horizontal="left" vertical="center"/>
    </xf>
    <xf numFmtId="0" fontId="103" fillId="0" borderId="0" xfId="101" applyFont="1" applyAlignment="1">
      <alignment horizontal="center" vertical="center" wrapText="1"/>
    </xf>
    <xf numFmtId="0" fontId="61" fillId="0" borderId="0" xfId="101" applyFont="1" applyAlignment="1">
      <alignment horizontal="left" vertical="center" wrapText="1"/>
    </xf>
    <xf numFmtId="0" fontId="61" fillId="0" borderId="0" xfId="101" applyFont="1" applyAlignment="1">
      <alignment horizontal="left" vertical="center"/>
    </xf>
    <xf numFmtId="0" fontId="117" fillId="0" borderId="0" xfId="101" applyFont="1" applyAlignment="1">
      <alignment horizontal="center" vertical="center"/>
    </xf>
    <xf numFmtId="0" fontId="21" fillId="0" borderId="29" xfId="0" applyFont="1" applyBorder="1" applyAlignment="1">
      <alignment horizontal="center" vertical="center" textRotation="255"/>
    </xf>
    <xf numFmtId="0" fontId="5" fillId="7" borderId="68" xfId="99" applyFont="1" applyFill="1" applyBorder="1" applyAlignment="1">
      <alignment horizontal="center" vertical="center" wrapText="1"/>
    </xf>
    <xf numFmtId="0" fontId="5" fillId="7" borderId="39" xfId="99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 wrapText="1"/>
    </xf>
    <xf numFmtId="0" fontId="21" fillId="4" borderId="68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 vertical="center"/>
    </xf>
    <xf numFmtId="0" fontId="21" fillId="2" borderId="189" xfId="0" applyFont="1" applyFill="1" applyBorder="1" applyAlignment="1">
      <alignment horizontal="center" vertical="center"/>
    </xf>
    <xf numFmtId="0" fontId="21" fillId="2" borderId="76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21" fillId="2" borderId="5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8" xfId="71" applyNumberFormat="1" applyFont="1" applyFill="1" applyBorder="1" applyAlignment="1">
      <alignment horizontal="center" vertical="center" wrapText="1"/>
    </xf>
    <xf numFmtId="0" fontId="20" fillId="2" borderId="31" xfId="71" applyNumberFormat="1" applyFont="1" applyFill="1" applyBorder="1" applyAlignment="1">
      <alignment horizontal="center" vertical="center" wrapText="1"/>
    </xf>
    <xf numFmtId="201" fontId="20" fillId="2" borderId="28" xfId="71" applyNumberFormat="1" applyFont="1" applyFill="1" applyBorder="1" applyAlignment="1">
      <alignment horizontal="center" vertical="center" wrapText="1"/>
    </xf>
    <xf numFmtId="201" fontId="20" fillId="2" borderId="31" xfId="71" applyNumberFormat="1" applyFont="1" applyFill="1" applyBorder="1" applyAlignment="1">
      <alignment horizontal="center" vertical="center" wrapText="1"/>
    </xf>
    <xf numFmtId="205" fontId="20" fillId="2" borderId="28" xfId="71" applyNumberFormat="1" applyFont="1" applyFill="1" applyBorder="1" applyAlignment="1">
      <alignment horizontal="center" vertical="center"/>
    </xf>
    <xf numFmtId="205" fontId="20" fillId="2" borderId="31" xfId="71" applyNumberFormat="1" applyFont="1" applyFill="1" applyBorder="1" applyAlignment="1">
      <alignment horizontal="center" vertical="center"/>
    </xf>
    <xf numFmtId="0" fontId="20" fillId="2" borderId="75" xfId="71" applyNumberFormat="1" applyFont="1" applyFill="1" applyBorder="1" applyAlignment="1">
      <alignment horizontal="center" vertical="center" wrapText="1"/>
    </xf>
    <xf numFmtId="0" fontId="20" fillId="2" borderId="32" xfId="71" applyNumberFormat="1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5" fillId="0" borderId="2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223" xfId="0" applyFont="1" applyBorder="1" applyAlignment="1">
      <alignment horizontal="center" vertical="center"/>
    </xf>
    <xf numFmtId="0" fontId="5" fillId="0" borderId="145" xfId="0" applyFont="1" applyBorder="1" applyAlignment="1">
      <alignment horizontal="center" vertical="center"/>
    </xf>
    <xf numFmtId="0" fontId="5" fillId="0" borderId="224" xfId="0" applyFont="1" applyBorder="1" applyAlignment="1">
      <alignment horizontal="center" vertical="center"/>
    </xf>
    <xf numFmtId="0" fontId="5" fillId="0" borderId="225" xfId="0" applyFont="1" applyBorder="1" applyAlignment="1">
      <alignment horizontal="center" vertical="center"/>
    </xf>
    <xf numFmtId="0" fontId="5" fillId="0" borderId="226" xfId="0" applyFont="1" applyBorder="1" applyAlignment="1">
      <alignment horizontal="center" vertical="center"/>
    </xf>
    <xf numFmtId="0" fontId="20" fillId="0" borderId="246" xfId="0" applyFont="1" applyBorder="1" applyAlignment="1">
      <alignment horizontal="center" vertical="center" textRotation="255"/>
    </xf>
    <xf numFmtId="0" fontId="0" fillId="0" borderId="6" xfId="0" applyBorder="1" applyAlignment="1">
      <alignment vertical="center"/>
    </xf>
    <xf numFmtId="0" fontId="20" fillId="4" borderId="68" xfId="99" applyFont="1" applyFill="1" applyBorder="1" applyAlignment="1">
      <alignment horizontal="center" vertical="center" wrapText="1"/>
    </xf>
    <xf numFmtId="0" fontId="20" fillId="4" borderId="103" xfId="99" applyFont="1" applyFill="1" applyBorder="1" applyAlignment="1">
      <alignment horizontal="center" vertical="center" wrapText="1"/>
    </xf>
    <xf numFmtId="0" fontId="20" fillId="4" borderId="39" xfId="99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14" fillId="2" borderId="68" xfId="0" applyFont="1" applyFill="1" applyBorder="1" applyAlignment="1">
      <alignment horizontal="center" vertical="center"/>
    </xf>
    <xf numFmtId="0" fontId="14" fillId="2" borderId="103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5" fillId="42" borderId="195" xfId="0" applyFont="1" applyFill="1" applyBorder="1" applyAlignment="1">
      <alignment horizontal="center" vertical="center" wrapText="1"/>
    </xf>
    <xf numFmtId="0" fontId="5" fillId="42" borderId="196" xfId="0" applyFont="1" applyFill="1" applyBorder="1" applyAlignment="1">
      <alignment horizontal="center" vertical="center" wrapText="1"/>
    </xf>
    <xf numFmtId="0" fontId="72" fillId="0" borderId="255" xfId="0" applyFont="1" applyBorder="1" applyAlignment="1">
      <alignment horizontal="center" vertical="center" textRotation="255"/>
    </xf>
    <xf numFmtId="0" fontId="72" fillId="0" borderId="191" xfId="0" applyFont="1" applyBorder="1" applyAlignment="1">
      <alignment horizontal="center" vertical="center" textRotation="255"/>
    </xf>
    <xf numFmtId="0" fontId="72" fillId="0" borderId="190" xfId="0" applyFont="1" applyBorder="1" applyAlignment="1">
      <alignment horizontal="center" vertical="center" textRotation="255"/>
    </xf>
    <xf numFmtId="0" fontId="72" fillId="0" borderId="192" xfId="0" applyFont="1" applyBorder="1" applyAlignment="1">
      <alignment horizontal="center" vertical="center" textRotation="255"/>
    </xf>
    <xf numFmtId="0" fontId="14" fillId="42" borderId="256" xfId="0" applyFont="1" applyFill="1" applyBorder="1" applyAlignment="1">
      <alignment horizontal="center" vertical="center"/>
    </xf>
    <xf numFmtId="0" fontId="14" fillId="42" borderId="257" xfId="0" applyFont="1" applyFill="1" applyBorder="1" applyAlignment="1">
      <alignment horizontal="center" vertical="center"/>
    </xf>
    <xf numFmtId="0" fontId="5" fillId="42" borderId="8" xfId="0" applyFont="1" applyFill="1" applyBorder="1" applyAlignment="1">
      <alignment horizontal="center" vertical="center"/>
    </xf>
    <xf numFmtId="0" fontId="5" fillId="42" borderId="24" xfId="0" applyFont="1" applyFill="1" applyBorder="1" applyAlignment="1">
      <alignment horizontal="center" vertical="center"/>
    </xf>
    <xf numFmtId="0" fontId="5" fillId="42" borderId="21" xfId="0" applyFont="1" applyFill="1" applyBorder="1" applyAlignment="1">
      <alignment horizontal="center" vertical="center"/>
    </xf>
    <xf numFmtId="0" fontId="5" fillId="42" borderId="194" xfId="0" applyFont="1" applyFill="1" applyBorder="1" applyAlignment="1">
      <alignment horizontal="center" vertical="center"/>
    </xf>
    <xf numFmtId="0" fontId="5" fillId="42" borderId="5" xfId="0" applyFont="1" applyFill="1" applyBorder="1" applyAlignment="1">
      <alignment horizontal="center" vertical="center" wrapText="1"/>
    </xf>
    <xf numFmtId="0" fontId="5" fillId="42" borderId="138" xfId="0" applyFont="1" applyFill="1" applyBorder="1" applyAlignment="1">
      <alignment horizontal="center" vertical="center" wrapText="1"/>
    </xf>
    <xf numFmtId="201" fontId="5" fillId="42" borderId="5" xfId="0" applyNumberFormat="1" applyFont="1" applyFill="1" applyBorder="1" applyAlignment="1">
      <alignment horizontal="center" vertical="center" wrapText="1"/>
    </xf>
    <xf numFmtId="201" fontId="5" fillId="42" borderId="138" xfId="0" applyNumberFormat="1" applyFont="1" applyFill="1" applyBorder="1" applyAlignment="1">
      <alignment horizontal="center" vertical="center" wrapText="1"/>
    </xf>
    <xf numFmtId="0" fontId="14" fillId="42" borderId="184" xfId="0" applyFont="1" applyFill="1" applyBorder="1" applyAlignment="1">
      <alignment horizontal="center" vertical="center"/>
    </xf>
    <xf numFmtId="0" fontId="14" fillId="42" borderId="144" xfId="0" applyFont="1" applyFill="1" applyBorder="1" applyAlignment="1">
      <alignment horizontal="center" vertical="center"/>
    </xf>
    <xf numFmtId="0" fontId="14" fillId="42" borderId="24" xfId="0" applyFont="1" applyFill="1" applyBorder="1" applyAlignment="1">
      <alignment horizontal="center" vertical="center" wrapText="1"/>
    </xf>
    <xf numFmtId="0" fontId="14" fillId="42" borderId="194" xfId="0" applyFont="1" applyFill="1" applyBorder="1" applyAlignment="1">
      <alignment horizontal="center" vertical="center"/>
    </xf>
    <xf numFmtId="232" fontId="20" fillId="0" borderId="0" xfId="101" applyNumberFormat="1" applyFont="1" applyAlignment="1">
      <alignment horizontal="distributed" vertical="center" wrapText="1"/>
    </xf>
    <xf numFmtId="187" fontId="20" fillId="0" borderId="57" xfId="101" applyNumberFormat="1" applyFont="1" applyBorder="1" applyAlignment="1">
      <alignment horizontal="center" vertical="center"/>
    </xf>
    <xf numFmtId="187" fontId="20" fillId="0" borderId="197" xfId="101" applyNumberFormat="1" applyFont="1" applyBorder="1" applyAlignment="1">
      <alignment horizontal="center" vertical="center"/>
    </xf>
    <xf numFmtId="187" fontId="20" fillId="0" borderId="198" xfId="101" applyNumberFormat="1" applyFont="1" applyBorder="1" applyAlignment="1">
      <alignment horizontal="center" vertical="center"/>
    </xf>
    <xf numFmtId="187" fontId="20" fillId="0" borderId="114" xfId="101" applyNumberFormat="1" applyFont="1" applyBorder="1" applyAlignment="1">
      <alignment horizontal="center" vertical="center"/>
    </xf>
    <xf numFmtId="49" fontId="20" fillId="0" borderId="58" xfId="101" applyNumberFormat="1" applyFont="1" applyBorder="1" applyAlignment="1">
      <alignment horizontal="center" vertical="center"/>
    </xf>
    <xf numFmtId="49" fontId="20" fillId="0" borderId="60" xfId="101" applyNumberFormat="1" applyFont="1" applyBorder="1" applyAlignment="1">
      <alignment horizontal="center" vertical="center"/>
    </xf>
    <xf numFmtId="187" fontId="20" fillId="0" borderId="102" xfId="101" applyNumberFormat="1" applyFont="1" applyBorder="1" applyAlignment="1">
      <alignment horizontal="center" vertical="center"/>
    </xf>
    <xf numFmtId="187" fontId="20" fillId="0" borderId="18" xfId="101" applyNumberFormat="1" applyFont="1" applyBorder="1" applyAlignment="1">
      <alignment horizontal="center" vertical="center"/>
    </xf>
    <xf numFmtId="207" fontId="20" fillId="40" borderId="0" xfId="101" applyNumberFormat="1" applyFont="1" applyFill="1" applyAlignment="1">
      <alignment horizontal="right" vertical="center"/>
    </xf>
    <xf numFmtId="226" fontId="20" fillId="50" borderId="0" xfId="101" quotePrefix="1" applyNumberFormat="1" applyFont="1" applyFill="1" applyAlignment="1">
      <alignment horizontal="right" vertical="center"/>
    </xf>
    <xf numFmtId="226" fontId="20" fillId="50" borderId="0" xfId="101" applyNumberFormat="1" applyFont="1" applyFill="1" applyAlignment="1">
      <alignment horizontal="right" vertical="center"/>
    </xf>
    <xf numFmtId="209" fontId="20" fillId="0" borderId="0" xfId="101" applyNumberFormat="1" applyFont="1" applyAlignment="1">
      <alignment horizontal="right" vertical="center"/>
    </xf>
    <xf numFmtId="208" fontId="20" fillId="50" borderId="0" xfId="101" applyNumberFormat="1" applyFont="1" applyFill="1" applyAlignment="1">
      <alignment horizontal="right" vertical="center"/>
    </xf>
    <xf numFmtId="210" fontId="20" fillId="0" borderId="0" xfId="101" applyNumberFormat="1" applyFont="1" applyAlignment="1">
      <alignment horizontal="right" vertical="center"/>
    </xf>
    <xf numFmtId="212" fontId="20" fillId="40" borderId="0" xfId="101" applyNumberFormat="1" applyFont="1" applyFill="1" applyAlignment="1">
      <alignment horizontal="right" vertical="center"/>
    </xf>
    <xf numFmtId="211" fontId="20" fillId="0" borderId="0" xfId="101" quotePrefix="1" applyNumberFormat="1" applyFont="1" applyAlignment="1">
      <alignment horizontal="right" vertical="center"/>
    </xf>
    <xf numFmtId="211" fontId="20" fillId="0" borderId="0" xfId="101" applyNumberFormat="1" applyFont="1" applyAlignment="1">
      <alignment horizontal="right" vertical="center"/>
    </xf>
    <xf numFmtId="214" fontId="20" fillId="0" borderId="0" xfId="101" quotePrefix="1" applyNumberFormat="1" applyFont="1" applyAlignment="1">
      <alignment horizontal="right" vertical="center"/>
    </xf>
    <xf numFmtId="214" fontId="20" fillId="0" borderId="0" xfId="101" applyNumberFormat="1" applyFont="1" applyAlignment="1">
      <alignment horizontal="right" vertical="center"/>
    </xf>
    <xf numFmtId="213" fontId="20" fillId="0" borderId="0" xfId="101" applyNumberFormat="1" applyFont="1" applyAlignment="1">
      <alignment horizontal="right" vertical="center"/>
    </xf>
    <xf numFmtId="0" fontId="20" fillId="0" borderId="74" xfId="101" applyFont="1" applyBorder="1" applyAlignment="1">
      <alignment horizontal="center" vertical="center" wrapText="1"/>
    </xf>
    <xf numFmtId="0" fontId="20" fillId="0" borderId="178" xfId="101" applyFont="1" applyBorder="1" applyAlignment="1">
      <alignment horizontal="center" vertical="center"/>
    </xf>
    <xf numFmtId="0" fontId="20" fillId="0" borderId="47" xfId="101" applyFont="1" applyBorder="1" applyAlignment="1">
      <alignment horizontal="center" vertical="center"/>
    </xf>
    <xf numFmtId="0" fontId="20" fillId="0" borderId="18" xfId="101" applyFont="1" applyBorder="1" applyAlignment="1">
      <alignment horizontal="center" vertical="center"/>
    </xf>
    <xf numFmtId="0" fontId="20" fillId="0" borderId="52" xfId="101" applyFont="1" applyBorder="1" applyAlignment="1">
      <alignment horizontal="center" vertical="center"/>
    </xf>
    <xf numFmtId="0" fontId="20" fillId="0" borderId="53" xfId="101" applyFont="1" applyBorder="1" applyAlignment="1">
      <alignment horizontal="center" vertical="center"/>
    </xf>
    <xf numFmtId="208" fontId="20" fillId="0" borderId="0" xfId="101" applyNumberFormat="1" applyFont="1" applyAlignment="1">
      <alignment horizontal="right" vertical="center"/>
    </xf>
    <xf numFmtId="187" fontId="20" fillId="0" borderId="58" xfId="101" applyNumberFormat="1" applyFont="1" applyBorder="1" applyAlignment="1">
      <alignment horizontal="center" vertical="center"/>
    </xf>
    <xf numFmtId="187" fontId="20" fillId="0" borderId="60" xfId="101" applyNumberFormat="1" applyFont="1" applyBorder="1" applyAlignment="1">
      <alignment horizontal="center" vertical="center"/>
    </xf>
    <xf numFmtId="215" fontId="20" fillId="0" borderId="0" xfId="101" quotePrefix="1" applyNumberFormat="1" applyFont="1" applyAlignment="1">
      <alignment horizontal="right" vertical="center"/>
    </xf>
    <xf numFmtId="215" fontId="20" fillId="0" borderId="0" xfId="101" applyNumberFormat="1" applyFont="1" applyAlignment="1">
      <alignment horizontal="right" vertical="center"/>
    </xf>
    <xf numFmtId="230" fontId="20" fillId="40" borderId="0" xfId="101" applyNumberFormat="1" applyFont="1" applyFill="1" applyAlignment="1">
      <alignment horizontal="right" vertical="center" shrinkToFit="1"/>
    </xf>
    <xf numFmtId="187" fontId="20" fillId="3" borderId="54" xfId="101" applyNumberFormat="1" applyFont="1" applyFill="1" applyBorder="1" applyAlignment="1">
      <alignment horizontal="center" vertical="center"/>
    </xf>
    <xf numFmtId="187" fontId="20" fillId="3" borderId="185" xfId="101" applyNumberFormat="1" applyFont="1" applyFill="1" applyBorder="1" applyAlignment="1">
      <alignment horizontal="center" vertical="center"/>
    </xf>
    <xf numFmtId="0" fontId="57" fillId="41" borderId="276" xfId="100" applyFont="1" applyFill="1" applyBorder="1" applyAlignment="1">
      <alignment horizontal="center" vertical="center" wrapText="1"/>
    </xf>
    <xf numFmtId="0" fontId="57" fillId="41" borderId="31" xfId="100" applyFont="1" applyFill="1" applyBorder="1" applyAlignment="1">
      <alignment horizontal="center" vertical="center" wrapText="1"/>
    </xf>
    <xf numFmtId="0" fontId="55" fillId="41" borderId="45" xfId="100" applyFont="1" applyFill="1" applyBorder="1" applyAlignment="1">
      <alignment horizontal="center" vertical="center"/>
    </xf>
    <xf numFmtId="0" fontId="55" fillId="41" borderId="46" xfId="100" applyFont="1" applyFill="1" applyBorder="1" applyAlignment="1">
      <alignment horizontal="center" vertical="center"/>
    </xf>
    <xf numFmtId="0" fontId="55" fillId="41" borderId="69" xfId="100" applyFont="1" applyFill="1" applyBorder="1" applyAlignment="1">
      <alignment horizontal="center" vertical="center"/>
    </xf>
    <xf numFmtId="0" fontId="52" fillId="41" borderId="8" xfId="100" applyFont="1" applyFill="1" applyBorder="1" applyAlignment="1">
      <alignment horizontal="center" vertical="center"/>
    </xf>
    <xf numFmtId="0" fontId="52" fillId="41" borderId="24" xfId="100" applyFont="1" applyFill="1" applyBorder="1" applyAlignment="1">
      <alignment horizontal="center" vertical="center"/>
    </xf>
    <xf numFmtId="0" fontId="52" fillId="41" borderId="11" xfId="100" applyFont="1" applyFill="1" applyBorder="1" applyAlignment="1">
      <alignment horizontal="center" vertical="center"/>
    </xf>
    <xf numFmtId="0" fontId="52" fillId="41" borderId="27" xfId="100" applyFont="1" applyFill="1" applyBorder="1" applyAlignment="1">
      <alignment horizontal="center" vertical="center"/>
    </xf>
    <xf numFmtId="0" fontId="52" fillId="41" borderId="43" xfId="100" applyFont="1" applyFill="1" applyBorder="1" applyAlignment="1">
      <alignment horizontal="center" vertical="center"/>
    </xf>
    <xf numFmtId="0" fontId="52" fillId="41" borderId="32" xfId="100" applyFont="1" applyFill="1" applyBorder="1" applyAlignment="1">
      <alignment horizontal="center" vertical="center"/>
    </xf>
    <xf numFmtId="0" fontId="57" fillId="41" borderId="5" xfId="100" applyFont="1" applyFill="1" applyBorder="1" applyAlignment="1">
      <alignment horizontal="center" vertical="center" wrapText="1"/>
    </xf>
    <xf numFmtId="0" fontId="57" fillId="41" borderId="6" xfId="100" applyFont="1" applyFill="1" applyBorder="1" applyAlignment="1">
      <alignment horizontal="center" vertical="center"/>
    </xf>
    <xf numFmtId="0" fontId="57" fillId="41" borderId="31" xfId="100" applyFont="1" applyFill="1" applyBorder="1" applyAlignment="1">
      <alignment horizontal="center" vertical="center"/>
    </xf>
    <xf numFmtId="0" fontId="55" fillId="41" borderId="195" xfId="100" applyFont="1" applyFill="1" applyBorder="1" applyAlignment="1">
      <alignment horizontal="center" vertical="center"/>
    </xf>
    <xf numFmtId="0" fontId="55" fillId="41" borderId="115" xfId="100" applyFont="1" applyFill="1" applyBorder="1" applyAlignment="1">
      <alignment horizontal="center" vertical="center"/>
    </xf>
    <xf numFmtId="0" fontId="55" fillId="41" borderId="64" xfId="100" applyFont="1" applyFill="1" applyBorder="1" applyAlignment="1">
      <alignment horizontal="center" vertical="center"/>
    </xf>
    <xf numFmtId="0" fontId="57" fillId="41" borderId="25" xfId="100" applyFont="1" applyFill="1" applyBorder="1" applyAlignment="1">
      <alignment horizontal="center" vertical="center" wrapText="1"/>
    </xf>
    <xf numFmtId="0" fontId="57" fillId="41" borderId="25" xfId="100" applyFont="1" applyFill="1" applyBorder="1" applyAlignment="1">
      <alignment horizontal="center" vertical="center"/>
    </xf>
    <xf numFmtId="0" fontId="57" fillId="41" borderId="250" xfId="100" applyFont="1" applyFill="1" applyBorder="1" applyAlignment="1">
      <alignment horizontal="center" vertical="center"/>
    </xf>
    <xf numFmtId="0" fontId="57" fillId="41" borderId="199" xfId="100" applyFont="1" applyFill="1" applyBorder="1" applyAlignment="1">
      <alignment horizontal="center" vertical="center"/>
    </xf>
    <xf numFmtId="0" fontId="57" fillId="41" borderId="9" xfId="100" applyFont="1" applyFill="1" applyBorder="1" applyAlignment="1">
      <alignment horizontal="center" vertical="center"/>
    </xf>
    <xf numFmtId="0" fontId="57" fillId="41" borderId="24" xfId="100" applyFont="1" applyFill="1" applyBorder="1" applyAlignment="1">
      <alignment horizontal="center" vertical="center"/>
    </xf>
    <xf numFmtId="0" fontId="57" fillId="41" borderId="47" xfId="100" applyFont="1" applyFill="1" applyBorder="1" applyAlignment="1">
      <alignment horizontal="center" vertical="center"/>
    </xf>
    <xf numFmtId="0" fontId="57" fillId="41" borderId="0" xfId="100" applyFont="1" applyFill="1" applyAlignment="1">
      <alignment horizontal="center" vertical="center"/>
    </xf>
    <xf numFmtId="0" fontId="57" fillId="41" borderId="27" xfId="100" applyFont="1" applyFill="1" applyBorder="1" applyAlignment="1">
      <alignment horizontal="center" vertical="center"/>
    </xf>
    <xf numFmtId="0" fontId="57" fillId="41" borderId="251" xfId="100" applyFont="1" applyFill="1" applyBorder="1" applyAlignment="1">
      <alignment horizontal="center" vertical="center"/>
    </xf>
    <xf numFmtId="0" fontId="57" fillId="41" borderId="248" xfId="100" applyFont="1" applyFill="1" applyBorder="1" applyAlignment="1">
      <alignment horizontal="center" vertical="center"/>
    </xf>
    <xf numFmtId="0" fontId="57" fillId="41" borderId="249" xfId="100" applyFont="1" applyFill="1" applyBorder="1" applyAlignment="1">
      <alignment horizontal="center" vertical="center"/>
    </xf>
    <xf numFmtId="0" fontId="55" fillId="41" borderId="5" xfId="100" applyFont="1" applyFill="1" applyBorder="1" applyAlignment="1">
      <alignment horizontal="center" vertical="center" wrapText="1"/>
    </xf>
    <xf numFmtId="0" fontId="55" fillId="41" borderId="6" xfId="100" applyFont="1" applyFill="1" applyBorder="1" applyAlignment="1">
      <alignment horizontal="center" vertical="center"/>
    </xf>
    <xf numFmtId="0" fontId="55" fillId="41" borderId="31" xfId="100" applyFont="1" applyFill="1" applyBorder="1" applyAlignment="1">
      <alignment horizontal="center" vertical="center"/>
    </xf>
    <xf numFmtId="0" fontId="57" fillId="41" borderId="276" xfId="100" applyFont="1" applyFill="1" applyBorder="1" applyAlignment="1">
      <alignment horizontal="center" vertical="center"/>
    </xf>
    <xf numFmtId="0" fontId="57" fillId="42" borderId="276" xfId="100" applyFont="1" applyFill="1" applyBorder="1" applyAlignment="1">
      <alignment horizontal="center" vertical="center" wrapText="1"/>
    </xf>
    <xf numFmtId="0" fontId="57" fillId="42" borderId="31" xfId="100" applyFont="1" applyFill="1" applyBorder="1" applyAlignment="1">
      <alignment horizontal="center" vertical="center"/>
    </xf>
    <xf numFmtId="0" fontId="52" fillId="42" borderId="5" xfId="100" applyFont="1" applyFill="1" applyBorder="1" applyAlignment="1">
      <alignment horizontal="center" vertical="center"/>
    </xf>
    <xf numFmtId="0" fontId="52" fillId="42" borderId="6" xfId="100" applyFont="1" applyFill="1" applyBorder="1" applyAlignment="1">
      <alignment horizontal="center" vertical="center"/>
    </xf>
    <xf numFmtId="0" fontId="52" fillId="42" borderId="31" xfId="100" applyFont="1" applyFill="1" applyBorder="1" applyAlignment="1">
      <alignment horizontal="center" vertical="center"/>
    </xf>
    <xf numFmtId="0" fontId="55" fillId="42" borderId="199" xfId="100" applyFont="1" applyFill="1" applyBorder="1" applyAlignment="1">
      <alignment horizontal="center" vertical="center"/>
    </xf>
    <xf numFmtId="0" fontId="55" fillId="42" borderId="9" xfId="100" applyFont="1" applyFill="1" applyBorder="1" applyAlignment="1">
      <alignment horizontal="center" vertical="center"/>
    </xf>
    <xf numFmtId="0" fontId="55" fillId="42" borderId="24" xfId="100" applyFont="1" applyFill="1" applyBorder="1" applyAlignment="1">
      <alignment horizontal="center" vertical="center"/>
    </xf>
    <xf numFmtId="0" fontId="55" fillId="42" borderId="52" xfId="100" applyFont="1" applyFill="1" applyBorder="1" applyAlignment="1">
      <alignment horizontal="center" vertical="center"/>
    </xf>
    <xf numFmtId="0" fontId="55" fillId="42" borderId="56" xfId="100" applyFont="1" applyFill="1" applyBorder="1" applyAlignment="1">
      <alignment horizontal="center" vertical="center"/>
    </xf>
    <xf numFmtId="0" fontId="55" fillId="42" borderId="32" xfId="100" applyFont="1" applyFill="1" applyBorder="1" applyAlignment="1">
      <alignment horizontal="center" vertical="center"/>
    </xf>
    <xf numFmtId="0" fontId="55" fillId="42" borderId="195" xfId="100" applyFont="1" applyFill="1" applyBorder="1" applyAlignment="1">
      <alignment horizontal="center" vertical="center" wrapText="1"/>
    </xf>
    <xf numFmtId="0" fontId="55" fillId="42" borderId="115" xfId="100" applyFont="1" applyFill="1" applyBorder="1" applyAlignment="1">
      <alignment horizontal="center" vertical="center"/>
    </xf>
    <xf numFmtId="0" fontId="55" fillId="42" borderId="64" xfId="100" applyFont="1" applyFill="1" applyBorder="1" applyAlignment="1">
      <alignment horizontal="center" vertical="center"/>
    </xf>
    <xf numFmtId="0" fontId="55" fillId="42" borderId="45" xfId="100" applyFont="1" applyFill="1" applyBorder="1" applyAlignment="1">
      <alignment horizontal="center" vertical="center"/>
    </xf>
    <xf numFmtId="0" fontId="55" fillId="42" borderId="46" xfId="100" applyFont="1" applyFill="1" applyBorder="1" applyAlignment="1">
      <alignment horizontal="center" vertical="center"/>
    </xf>
    <xf numFmtId="0" fontId="55" fillId="42" borderId="69" xfId="100" applyFont="1" applyFill="1" applyBorder="1" applyAlignment="1">
      <alignment horizontal="center" vertical="center"/>
    </xf>
    <xf numFmtId="0" fontId="57" fillId="42" borderId="25" xfId="100" applyFont="1" applyFill="1" applyBorder="1" applyAlignment="1">
      <alignment horizontal="center" vertical="center" wrapText="1"/>
    </xf>
    <xf numFmtId="0" fontId="57" fillId="42" borderId="25" xfId="100" applyFont="1" applyFill="1" applyBorder="1" applyAlignment="1">
      <alignment horizontal="center" vertical="center"/>
    </xf>
    <xf numFmtId="0" fontId="57" fillId="42" borderId="250" xfId="100" applyFont="1" applyFill="1" applyBorder="1" applyAlignment="1">
      <alignment horizontal="center" vertical="center"/>
    </xf>
    <xf numFmtId="201" fontId="57" fillId="42" borderId="5" xfId="100" applyNumberFormat="1" applyFont="1" applyFill="1" applyBorder="1" applyAlignment="1">
      <alignment horizontal="center" vertical="center" wrapText="1"/>
    </xf>
    <xf numFmtId="201" fontId="57" fillId="42" borderId="6" xfId="100" applyNumberFormat="1" applyFont="1" applyFill="1" applyBorder="1" applyAlignment="1">
      <alignment horizontal="center" vertical="center"/>
    </xf>
    <xf numFmtId="201" fontId="57" fillId="42" borderId="31" xfId="100" applyNumberFormat="1" applyFont="1" applyFill="1" applyBorder="1" applyAlignment="1">
      <alignment horizontal="center" vertical="center"/>
    </xf>
    <xf numFmtId="0" fontId="114" fillId="42" borderId="251" xfId="100" applyFont="1" applyFill="1" applyBorder="1" applyAlignment="1">
      <alignment horizontal="center" vertical="center"/>
    </xf>
    <xf numFmtId="0" fontId="114" fillId="42" borderId="248" xfId="100" applyFont="1" applyFill="1" applyBorder="1" applyAlignment="1">
      <alignment horizontal="center" vertical="center"/>
    </xf>
    <xf numFmtId="0" fontId="114" fillId="42" borderId="249" xfId="100" applyFont="1" applyFill="1" applyBorder="1" applyAlignment="1">
      <alignment horizontal="center" vertical="center"/>
    </xf>
    <xf numFmtId="0" fontId="57" fillId="42" borderId="276" xfId="100" applyFont="1" applyFill="1" applyBorder="1" applyAlignment="1">
      <alignment horizontal="center" vertical="center"/>
    </xf>
    <xf numFmtId="0" fontId="55" fillId="42" borderId="5" xfId="100" applyFont="1" applyFill="1" applyBorder="1" applyAlignment="1">
      <alignment horizontal="center" vertical="center" wrapText="1"/>
    </xf>
    <xf numFmtId="0" fontId="55" fillId="42" borderId="6" xfId="100" applyFont="1" applyFill="1" applyBorder="1" applyAlignment="1">
      <alignment horizontal="center" vertical="center"/>
    </xf>
    <xf numFmtId="0" fontId="55" fillId="42" borderId="31" xfId="100" applyFont="1" applyFill="1" applyBorder="1" applyAlignment="1">
      <alignment horizontal="center" vertical="center"/>
    </xf>
    <xf numFmtId="0" fontId="6" fillId="7" borderId="195" xfId="100" applyFont="1" applyFill="1" applyBorder="1" applyAlignment="1">
      <alignment horizontal="center" vertical="center"/>
    </xf>
    <xf numFmtId="0" fontId="6" fillId="7" borderId="115" xfId="100" applyFont="1" applyFill="1" applyBorder="1" applyAlignment="1">
      <alignment horizontal="center" vertical="center"/>
    </xf>
    <xf numFmtId="0" fontId="6" fillId="7" borderId="64" xfId="100" applyFont="1" applyFill="1" applyBorder="1" applyAlignment="1">
      <alignment horizontal="center" vertical="center"/>
    </xf>
    <xf numFmtId="0" fontId="35" fillId="7" borderId="5" xfId="100" applyFont="1" applyFill="1" applyBorder="1" applyAlignment="1">
      <alignment horizontal="center" vertical="center"/>
    </xf>
    <xf numFmtId="0" fontId="35" fillId="7" borderId="6" xfId="100" applyFont="1" applyFill="1" applyBorder="1" applyAlignment="1">
      <alignment horizontal="center" vertical="center"/>
    </xf>
    <xf numFmtId="0" fontId="36" fillId="7" borderId="199" xfId="100" applyFont="1" applyFill="1" applyBorder="1" applyAlignment="1">
      <alignment horizontal="center" vertical="center"/>
    </xf>
    <xf numFmtId="0" fontId="36" fillId="7" borderId="9" xfId="100" applyFont="1" applyFill="1" applyBorder="1" applyAlignment="1">
      <alignment horizontal="center" vertical="center"/>
    </xf>
    <xf numFmtId="0" fontId="36" fillId="7" borderId="24" xfId="100" applyFont="1" applyFill="1" applyBorder="1" applyAlignment="1">
      <alignment horizontal="center" vertical="center"/>
    </xf>
    <xf numFmtId="0" fontId="36" fillId="7" borderId="47" xfId="100" applyFont="1" applyFill="1" applyBorder="1" applyAlignment="1">
      <alignment horizontal="center" vertical="center"/>
    </xf>
    <xf numFmtId="0" fontId="36" fillId="7" borderId="0" xfId="100" applyFont="1" applyFill="1" applyAlignment="1">
      <alignment horizontal="center" vertical="center"/>
    </xf>
    <xf numFmtId="0" fontId="36" fillId="7" borderId="27" xfId="100" applyFont="1" applyFill="1" applyBorder="1" applyAlignment="1">
      <alignment horizontal="center" vertical="center"/>
    </xf>
    <xf numFmtId="0" fontId="6" fillId="7" borderId="45" xfId="100" applyFont="1" applyFill="1" applyBorder="1" applyAlignment="1">
      <alignment horizontal="center" vertical="center"/>
    </xf>
    <xf numFmtId="0" fontId="6" fillId="7" borderId="46" xfId="100" applyFont="1" applyFill="1" applyBorder="1" applyAlignment="1">
      <alignment horizontal="center" vertical="center"/>
    </xf>
    <xf numFmtId="0" fontId="6" fillId="7" borderId="69" xfId="100" applyFont="1" applyFill="1" applyBorder="1" applyAlignment="1">
      <alignment horizontal="center" vertical="center"/>
    </xf>
    <xf numFmtId="0" fontId="36" fillId="7" borderId="5" xfId="100" applyFont="1" applyFill="1" applyBorder="1" applyAlignment="1">
      <alignment horizontal="center" vertical="center" wrapText="1"/>
    </xf>
    <xf numFmtId="0" fontId="36" fillId="7" borderId="6" xfId="100" applyFont="1" applyFill="1" applyBorder="1" applyAlignment="1">
      <alignment horizontal="center" vertical="center"/>
    </xf>
    <xf numFmtId="0" fontId="36" fillId="7" borderId="31" xfId="100" applyFont="1" applyFill="1" applyBorder="1" applyAlignment="1">
      <alignment horizontal="center" vertical="center"/>
    </xf>
    <xf numFmtId="0" fontId="8" fillId="7" borderId="52" xfId="100" applyFont="1" applyFill="1" applyBorder="1" applyAlignment="1">
      <alignment horizontal="center" vertical="center"/>
    </xf>
    <xf numFmtId="0" fontId="8" fillId="7" borderId="56" xfId="100" applyFont="1" applyFill="1" applyBorder="1" applyAlignment="1">
      <alignment horizontal="center" vertical="center"/>
    </xf>
    <xf numFmtId="0" fontId="8" fillId="7" borderId="32" xfId="100" applyFont="1" applyFill="1" applyBorder="1" applyAlignment="1">
      <alignment horizontal="center" vertical="center"/>
    </xf>
    <xf numFmtId="0" fontId="8" fillId="7" borderId="45" xfId="100" applyFont="1" applyFill="1" applyBorder="1" applyAlignment="1">
      <alignment horizontal="center" vertical="center"/>
    </xf>
    <xf numFmtId="0" fontId="8" fillId="7" borderId="46" xfId="100" applyFont="1" applyFill="1" applyBorder="1" applyAlignment="1">
      <alignment horizontal="center" vertical="center"/>
    </xf>
    <xf numFmtId="0" fontId="8" fillId="7" borderId="69" xfId="100" applyFont="1" applyFill="1" applyBorder="1" applyAlignment="1">
      <alignment horizontal="center" vertical="center"/>
    </xf>
    <xf numFmtId="0" fontId="32" fillId="2" borderId="9" xfId="100" applyFont="1" applyFill="1" applyBorder="1" applyAlignment="1">
      <alignment horizontal="center" vertical="center"/>
    </xf>
    <xf numFmtId="0" fontId="32" fillId="2" borderId="24" xfId="100" applyFont="1" applyFill="1" applyBorder="1" applyAlignment="1">
      <alignment horizontal="center" vertical="center"/>
    </xf>
    <xf numFmtId="0" fontId="32" fillId="2" borderId="0" xfId="100" applyFont="1" applyFill="1" applyAlignment="1">
      <alignment horizontal="center" vertical="center"/>
    </xf>
    <xf numFmtId="0" fontId="32" fillId="2" borderId="27" xfId="100" applyFont="1" applyFill="1" applyBorder="1" applyAlignment="1">
      <alignment horizontal="center" vertical="center"/>
    </xf>
    <xf numFmtId="0" fontId="32" fillId="2" borderId="56" xfId="100" applyFont="1" applyFill="1" applyBorder="1" applyAlignment="1">
      <alignment horizontal="center" vertical="center"/>
    </xf>
    <xf numFmtId="0" fontId="32" fillId="2" borderId="32" xfId="100" applyFont="1" applyFill="1" applyBorder="1" applyAlignment="1">
      <alignment horizontal="center" vertical="center"/>
    </xf>
    <xf numFmtId="0" fontId="33" fillId="2" borderId="199" xfId="100" applyFont="1" applyFill="1" applyBorder="1" applyAlignment="1">
      <alignment horizontal="center" vertical="center"/>
    </xf>
    <xf numFmtId="0" fontId="33" fillId="2" borderId="9" xfId="100" applyFont="1" applyFill="1" applyBorder="1" applyAlignment="1">
      <alignment horizontal="center" vertical="center"/>
    </xf>
    <xf numFmtId="0" fontId="33" fillId="2" borderId="24" xfId="100" applyFont="1" applyFill="1" applyBorder="1" applyAlignment="1">
      <alignment horizontal="center" vertical="center"/>
    </xf>
    <xf numFmtId="0" fontId="33" fillId="2" borderId="52" xfId="100" applyFont="1" applyFill="1" applyBorder="1" applyAlignment="1">
      <alignment horizontal="center" vertical="center"/>
    </xf>
    <xf numFmtId="0" fontId="33" fillId="2" borderId="56" xfId="100" applyFont="1" applyFill="1" applyBorder="1" applyAlignment="1">
      <alignment horizontal="center" vertical="center"/>
    </xf>
    <xf numFmtId="0" fontId="33" fillId="2" borderId="32" xfId="100" applyFont="1" applyFill="1" applyBorder="1" applyAlignment="1">
      <alignment horizontal="center" vertical="center"/>
    </xf>
    <xf numFmtId="0" fontId="33" fillId="49" borderId="42" xfId="100" applyFont="1" applyFill="1" applyBorder="1" applyAlignment="1">
      <alignment horizontal="center" vertical="center"/>
    </xf>
    <xf numFmtId="0" fontId="33" fillId="49" borderId="4" xfId="100" applyFont="1" applyFill="1" applyBorder="1" applyAlignment="1">
      <alignment horizontal="center" vertical="center"/>
    </xf>
    <xf numFmtId="0" fontId="32" fillId="2" borderId="5" xfId="100" applyFont="1" applyFill="1" applyBorder="1" applyAlignment="1">
      <alignment horizontal="center" vertical="center"/>
    </xf>
    <xf numFmtId="0" fontId="32" fillId="2" borderId="6" xfId="100" applyFont="1" applyFill="1" applyBorder="1" applyAlignment="1">
      <alignment horizontal="center" vertical="center"/>
    </xf>
    <xf numFmtId="201" fontId="33" fillId="2" borderId="75" xfId="100" applyNumberFormat="1" applyFont="1" applyFill="1" applyBorder="1" applyAlignment="1">
      <alignment horizontal="center" vertical="center"/>
    </xf>
    <xf numFmtId="201" fontId="33" fillId="2" borderId="32" xfId="100" applyNumberFormat="1" applyFont="1" applyFill="1" applyBorder="1" applyAlignment="1">
      <alignment horizontal="center" vertical="center"/>
    </xf>
    <xf numFmtId="0" fontId="33" fillId="2" borderId="69" xfId="100" applyFont="1" applyFill="1" applyBorder="1" applyAlignment="1">
      <alignment horizontal="center" vertical="center" wrapText="1"/>
    </xf>
    <xf numFmtId="0" fontId="33" fillId="2" borderId="25" xfId="100" applyFont="1" applyFill="1" applyBorder="1" applyAlignment="1">
      <alignment horizontal="center" vertical="center"/>
    </xf>
    <xf numFmtId="0" fontId="33" fillId="2" borderId="249" xfId="100" applyFont="1" applyFill="1" applyBorder="1" applyAlignment="1">
      <alignment horizontal="center" vertical="center"/>
    </xf>
    <xf numFmtId="0" fontId="33" fillId="2" borderId="250" xfId="100" applyFont="1" applyFill="1" applyBorder="1" applyAlignment="1">
      <alignment horizontal="center" vertical="center"/>
    </xf>
    <xf numFmtId="201" fontId="33" fillId="2" borderId="251" xfId="100" applyNumberFormat="1" applyFont="1" applyFill="1" applyBorder="1" applyAlignment="1">
      <alignment horizontal="center" vertical="center"/>
    </xf>
    <xf numFmtId="201" fontId="33" fillId="2" borderId="248" xfId="100" applyNumberFormat="1" applyFont="1" applyFill="1" applyBorder="1" applyAlignment="1">
      <alignment horizontal="center" vertical="center"/>
    </xf>
    <xf numFmtId="201" fontId="33" fillId="2" borderId="249" xfId="100" applyNumberFormat="1" applyFont="1" applyFill="1" applyBorder="1" applyAlignment="1">
      <alignment horizontal="center" vertical="center"/>
    </xf>
    <xf numFmtId="0" fontId="33" fillId="49" borderId="199" xfId="100" applyFont="1" applyFill="1" applyBorder="1" applyAlignment="1">
      <alignment horizontal="center" vertical="center"/>
    </xf>
    <xf numFmtId="0" fontId="33" fillId="49" borderId="9" xfId="100" applyFont="1" applyFill="1" applyBorder="1" applyAlignment="1">
      <alignment horizontal="center" vertical="center"/>
    </xf>
    <xf numFmtId="0" fontId="33" fillId="49" borderId="24" xfId="100" applyFont="1" applyFill="1" applyBorder="1" applyAlignment="1">
      <alignment horizontal="center" vertical="center"/>
    </xf>
    <xf numFmtId="0" fontId="33" fillId="49" borderId="252" xfId="100" applyFont="1" applyFill="1" applyBorder="1" applyAlignment="1">
      <alignment horizontal="center" vertical="center"/>
    </xf>
    <xf numFmtId="0" fontId="33" fillId="49" borderId="138" xfId="100" applyFont="1" applyFill="1" applyBorder="1" applyAlignment="1">
      <alignment horizontal="center" vertical="center"/>
    </xf>
    <xf numFmtId="0" fontId="33" fillId="49" borderId="252" xfId="100" applyFont="1" applyFill="1" applyBorder="1" applyAlignment="1">
      <alignment horizontal="center" vertical="center" wrapText="1"/>
    </xf>
    <xf numFmtId="0" fontId="33" fillId="2" borderId="195" xfId="100" applyFont="1" applyFill="1" applyBorder="1" applyAlignment="1">
      <alignment horizontal="center" vertical="center" wrapText="1"/>
    </xf>
    <xf numFmtId="0" fontId="33" fillId="2" borderId="115" xfId="100" applyFont="1" applyFill="1" applyBorder="1" applyAlignment="1">
      <alignment horizontal="center" vertical="center" wrapText="1"/>
    </xf>
    <xf numFmtId="0" fontId="33" fillId="2" borderId="64" xfId="100" applyFont="1" applyFill="1" applyBorder="1" applyAlignment="1">
      <alignment horizontal="center" vertical="center" wrapText="1"/>
    </xf>
    <xf numFmtId="201" fontId="33" fillId="2" borderId="68" xfId="100" applyNumberFormat="1" applyFont="1" applyFill="1" applyBorder="1" applyAlignment="1">
      <alignment horizontal="center" vertical="center"/>
    </xf>
    <xf numFmtId="201" fontId="33" fillId="2" borderId="103" xfId="100" applyNumberFormat="1" applyFont="1" applyFill="1" applyBorder="1" applyAlignment="1">
      <alignment horizontal="center" vertical="center"/>
    </xf>
    <xf numFmtId="201" fontId="33" fillId="2" borderId="39" xfId="100" applyNumberFormat="1" applyFont="1" applyFill="1" applyBorder="1" applyAlignment="1">
      <alignment horizontal="center" vertical="center"/>
    </xf>
    <xf numFmtId="0" fontId="33" fillId="2" borderId="5" xfId="100" applyFont="1" applyFill="1" applyBorder="1" applyAlignment="1">
      <alignment horizontal="center" vertical="center" wrapText="1"/>
    </xf>
    <xf numFmtId="0" fontId="33" fillId="2" borderId="6" xfId="100" applyFont="1" applyFill="1" applyBorder="1" applyAlignment="1">
      <alignment horizontal="center" vertical="center"/>
    </xf>
    <xf numFmtId="0" fontId="33" fillId="2" borderId="31" xfId="100" applyFont="1" applyFill="1" applyBorder="1" applyAlignment="1">
      <alignment horizontal="center" vertical="center"/>
    </xf>
    <xf numFmtId="0" fontId="33" fillId="2" borderId="45" xfId="100" applyFont="1" applyFill="1" applyBorder="1" applyAlignment="1">
      <alignment horizontal="center" vertical="center"/>
    </xf>
    <xf numFmtId="0" fontId="33" fillId="2" borderId="46" xfId="100" applyFont="1" applyFill="1" applyBorder="1" applyAlignment="1">
      <alignment horizontal="center" vertical="center"/>
    </xf>
    <xf numFmtId="0" fontId="33" fillId="2" borderId="69" xfId="100" applyFont="1" applyFill="1" applyBorder="1" applyAlignment="1">
      <alignment horizontal="center" vertical="center"/>
    </xf>
    <xf numFmtId="0" fontId="6" fillId="2" borderId="45" xfId="100" applyFont="1" applyFill="1" applyBorder="1" applyAlignment="1">
      <alignment horizontal="center" vertical="center"/>
    </xf>
    <xf numFmtId="0" fontId="6" fillId="2" borderId="46" xfId="100" applyFont="1" applyFill="1" applyBorder="1" applyAlignment="1">
      <alignment horizontal="center" vertical="center"/>
    </xf>
    <xf numFmtId="0" fontId="6" fillId="2" borderId="69" xfId="100" applyFont="1" applyFill="1" applyBorder="1" applyAlignment="1">
      <alignment horizontal="center" vertical="center"/>
    </xf>
    <xf numFmtId="0" fontId="6" fillId="2" borderId="195" xfId="100" applyFont="1" applyFill="1" applyBorder="1" applyAlignment="1">
      <alignment horizontal="center" vertical="center"/>
    </xf>
    <xf numFmtId="0" fontId="6" fillId="2" borderId="115" xfId="100" applyFont="1" applyFill="1" applyBorder="1" applyAlignment="1">
      <alignment horizontal="center" vertical="center"/>
    </xf>
    <xf numFmtId="0" fontId="6" fillId="2" borderId="64" xfId="100" applyFont="1" applyFill="1" applyBorder="1" applyAlignment="1">
      <alignment horizontal="center" vertical="center"/>
    </xf>
    <xf numFmtId="0" fontId="36" fillId="2" borderId="28" xfId="100" applyFont="1" applyFill="1" applyBorder="1" applyAlignment="1">
      <alignment horizontal="center" vertical="center"/>
    </xf>
    <xf numFmtId="0" fontId="36" fillId="2" borderId="31" xfId="100" applyFont="1" applyFill="1" applyBorder="1" applyAlignment="1">
      <alignment horizontal="center" vertical="center"/>
    </xf>
    <xf numFmtId="0" fontId="35" fillId="2" borderId="5" xfId="100" applyFont="1" applyFill="1" applyBorder="1" applyAlignment="1">
      <alignment horizontal="center" vertical="center"/>
    </xf>
    <xf numFmtId="0" fontId="35" fillId="2" borderId="6" xfId="100" applyFont="1" applyFill="1" applyBorder="1" applyAlignment="1">
      <alignment horizontal="center" vertical="center"/>
    </xf>
    <xf numFmtId="0" fontId="6" fillId="2" borderId="5" xfId="10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6" fillId="2" borderId="25" xfId="100" applyFont="1" applyFill="1" applyBorder="1" applyAlignment="1">
      <alignment horizontal="center" vertical="center" wrapText="1"/>
    </xf>
    <xf numFmtId="0" fontId="36" fillId="2" borderId="25" xfId="100" applyFont="1" applyFill="1" applyBorder="1" applyAlignment="1">
      <alignment horizontal="center" vertical="center"/>
    </xf>
    <xf numFmtId="0" fontId="36" fillId="2" borderId="29" xfId="100" applyFont="1" applyFill="1" applyBorder="1" applyAlignment="1">
      <alignment horizontal="center" vertical="center"/>
    </xf>
    <xf numFmtId="0" fontId="36" fillId="2" borderId="199" xfId="100" applyFont="1" applyFill="1" applyBorder="1" applyAlignment="1">
      <alignment horizontal="center" vertical="center"/>
    </xf>
    <xf numFmtId="0" fontId="36" fillId="2" borderId="9" xfId="100" applyFont="1" applyFill="1" applyBorder="1" applyAlignment="1">
      <alignment horizontal="center" vertical="center"/>
    </xf>
    <xf numFmtId="0" fontId="36" fillId="2" borderId="24" xfId="100" applyFont="1" applyFill="1" applyBorder="1" applyAlignment="1">
      <alignment horizontal="center" vertical="center"/>
    </xf>
    <xf numFmtId="0" fontId="36" fillId="2" borderId="52" xfId="100" applyFont="1" applyFill="1" applyBorder="1" applyAlignment="1">
      <alignment horizontal="center" vertical="center"/>
    </xf>
    <xf numFmtId="0" fontId="36" fillId="2" borderId="56" xfId="100" applyFont="1" applyFill="1" applyBorder="1" applyAlignment="1">
      <alignment horizontal="center" vertical="center"/>
    </xf>
    <xf numFmtId="0" fontId="36" fillId="2" borderId="32" xfId="100" applyFont="1" applyFill="1" applyBorder="1" applyAlignment="1">
      <alignment horizontal="center" vertical="center"/>
    </xf>
    <xf numFmtId="201" fontId="36" fillId="2" borderId="5" xfId="100" applyNumberFormat="1" applyFont="1" applyFill="1" applyBorder="1" applyAlignment="1">
      <alignment horizontal="center" vertical="center" wrapText="1"/>
    </xf>
    <xf numFmtId="201" fontId="36" fillId="2" borderId="6" xfId="100" applyNumberFormat="1" applyFont="1" applyFill="1" applyBorder="1" applyAlignment="1">
      <alignment horizontal="center" vertical="center"/>
    </xf>
    <xf numFmtId="201" fontId="36" fillId="2" borderId="31" xfId="100" applyNumberFormat="1" applyFont="1" applyFill="1" applyBorder="1" applyAlignment="1">
      <alignment horizontal="center" vertical="center"/>
    </xf>
    <xf numFmtId="201" fontId="8" fillId="2" borderId="68" xfId="100" applyNumberFormat="1" applyFont="1" applyFill="1" applyBorder="1" applyAlignment="1">
      <alignment horizontal="center" vertical="center"/>
    </xf>
    <xf numFmtId="201" fontId="8" fillId="2" borderId="103" xfId="100" applyNumberFormat="1" applyFont="1" applyFill="1" applyBorder="1" applyAlignment="1">
      <alignment horizontal="center" vertical="center"/>
    </xf>
    <xf numFmtId="201" fontId="8" fillId="2" borderId="39" xfId="100" applyNumberFormat="1" applyFont="1" applyFill="1" applyBorder="1" applyAlignment="1">
      <alignment horizontal="center" vertical="center"/>
    </xf>
    <xf numFmtId="0" fontId="36" fillId="2" borderId="5" xfId="100" applyFont="1" applyFill="1" applyBorder="1" applyAlignment="1">
      <alignment horizontal="center" vertical="center" wrapText="1"/>
    </xf>
    <xf numFmtId="0" fontId="36" fillId="2" borderId="6" xfId="100" applyFont="1" applyFill="1" applyBorder="1" applyAlignment="1">
      <alignment horizontal="center" vertical="center"/>
    </xf>
    <xf numFmtId="201" fontId="8" fillId="2" borderId="251" xfId="100" applyNumberFormat="1" applyFont="1" applyFill="1" applyBorder="1" applyAlignment="1">
      <alignment horizontal="center" vertical="center"/>
    </xf>
    <xf numFmtId="201" fontId="8" fillId="2" borderId="248" xfId="100" applyNumberFormat="1" applyFont="1" applyFill="1" applyBorder="1" applyAlignment="1">
      <alignment horizontal="center" vertical="center"/>
    </xf>
    <xf numFmtId="201" fontId="8" fillId="2" borderId="249" xfId="100" applyNumberFormat="1" applyFont="1" applyFill="1" applyBorder="1" applyAlignment="1">
      <alignment horizontal="center" vertical="center"/>
    </xf>
    <xf numFmtId="0" fontId="110" fillId="0" borderId="245" xfId="0" applyFont="1" applyBorder="1" applyAlignment="1">
      <alignment horizontal="justify" vertical="center" wrapText="1"/>
    </xf>
    <xf numFmtId="0" fontId="110" fillId="0" borderId="265" xfId="0" applyFont="1" applyBorder="1" applyAlignment="1">
      <alignment horizontal="center" vertical="center" wrapText="1"/>
    </xf>
    <xf numFmtId="0" fontId="110" fillId="0" borderId="270" xfId="0" applyFont="1" applyBorder="1" applyAlignment="1">
      <alignment horizontal="center" vertical="center" wrapText="1"/>
    </xf>
    <xf numFmtId="0" fontId="111" fillId="0" borderId="265" xfId="0" applyFont="1" applyBorder="1" applyAlignment="1">
      <alignment horizontal="center" vertical="center" wrapText="1"/>
    </xf>
    <xf numFmtId="0" fontId="111" fillId="0" borderId="270" xfId="0" applyFont="1" applyBorder="1" applyAlignment="1">
      <alignment horizontal="center" vertical="center" wrapText="1"/>
    </xf>
    <xf numFmtId="0" fontId="49" fillId="0" borderId="203" xfId="0" applyFont="1" applyBorder="1" applyAlignment="1">
      <alignment horizontal="center" vertical="center" wrapText="1"/>
    </xf>
    <xf numFmtId="0" fontId="49" fillId="0" borderId="125" xfId="0" applyFont="1" applyBorder="1" applyAlignment="1">
      <alignment horizontal="center" vertical="center" wrapText="1"/>
    </xf>
    <xf numFmtId="0" fontId="49" fillId="0" borderId="175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123" xfId="0" applyFont="1" applyBorder="1" applyAlignment="1">
      <alignment horizontal="center" vertical="center" wrapText="1"/>
    </xf>
    <xf numFmtId="0" fontId="49" fillId="0" borderId="56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176" xfId="0" applyBorder="1" applyAlignment="1">
      <alignment horizontal="center" vertical="center"/>
    </xf>
    <xf numFmtId="0" fontId="40" fillId="0" borderId="200" xfId="0" applyFont="1" applyBorder="1" applyAlignment="1">
      <alignment horizontal="center" vertical="center" wrapText="1"/>
    </xf>
    <xf numFmtId="0" fontId="40" fillId="0" borderId="201" xfId="0" applyFont="1" applyBorder="1" applyAlignment="1">
      <alignment horizontal="center" vertical="center" wrapText="1"/>
    </xf>
    <xf numFmtId="0" fontId="49" fillId="0" borderId="121" xfId="0" applyFont="1" applyBorder="1" applyAlignment="1">
      <alignment horizontal="center" vertical="center" wrapText="1"/>
    </xf>
    <xf numFmtId="0" fontId="49" fillId="0" borderId="202" xfId="0" applyFont="1" applyBorder="1" applyAlignment="1">
      <alignment horizontal="center" vertical="center" wrapText="1"/>
    </xf>
    <xf numFmtId="0" fontId="40" fillId="0" borderId="120" xfId="0" applyFont="1" applyBorder="1" applyAlignment="1">
      <alignment horizontal="center" vertical="center" wrapText="1"/>
    </xf>
    <xf numFmtId="0" fontId="40" fillId="0" borderId="204" xfId="0" applyFont="1" applyBorder="1" applyAlignment="1">
      <alignment horizontal="center" vertical="center" wrapText="1"/>
    </xf>
    <xf numFmtId="0" fontId="49" fillId="0" borderId="122" xfId="0" applyFont="1" applyBorder="1" applyAlignment="1">
      <alignment horizontal="center" vertical="center" wrapText="1"/>
    </xf>
    <xf numFmtId="0" fontId="49" fillId="0" borderId="126" xfId="0" applyFont="1" applyBorder="1" applyAlignment="1">
      <alignment horizontal="center" vertical="center" wrapText="1"/>
    </xf>
    <xf numFmtId="0" fontId="49" fillId="0" borderId="205" xfId="0" applyFont="1" applyBorder="1" applyAlignment="1">
      <alignment horizontal="center" vertical="center" wrapText="1"/>
    </xf>
    <xf numFmtId="0" fontId="49" fillId="0" borderId="206" xfId="0" applyFont="1" applyBorder="1" applyAlignment="1">
      <alignment horizontal="center" vertical="center" wrapText="1"/>
    </xf>
    <xf numFmtId="0" fontId="49" fillId="0" borderId="229" xfId="0" applyFont="1" applyBorder="1" applyAlignment="1">
      <alignment horizontal="center" vertical="center" wrapText="1"/>
    </xf>
    <xf numFmtId="0" fontId="49" fillId="0" borderId="230" xfId="0" applyFont="1" applyBorder="1" applyAlignment="1">
      <alignment horizontal="center" vertical="center" wrapText="1"/>
    </xf>
    <xf numFmtId="0" fontId="49" fillId="0" borderId="231" xfId="0" applyFont="1" applyBorder="1" applyAlignment="1">
      <alignment horizontal="center" vertical="center" wrapText="1"/>
    </xf>
    <xf numFmtId="0" fontId="49" fillId="0" borderId="233" xfId="0" applyFont="1" applyBorder="1" applyAlignment="1">
      <alignment horizontal="center" vertical="center" wrapText="1"/>
    </xf>
    <xf numFmtId="0" fontId="49" fillId="0" borderId="234" xfId="0" applyFont="1" applyBorder="1" applyAlignment="1">
      <alignment horizontal="center" vertical="center" wrapText="1"/>
    </xf>
    <xf numFmtId="0" fontId="49" fillId="0" borderId="235" xfId="0" applyFont="1" applyBorder="1" applyAlignment="1">
      <alignment horizontal="center" vertical="center" wrapText="1"/>
    </xf>
    <xf numFmtId="0" fontId="5" fillId="42" borderId="10" xfId="0" applyFont="1" applyFill="1" applyBorder="1" applyAlignment="1">
      <alignment horizontal="center" vertical="center" wrapText="1"/>
    </xf>
    <xf numFmtId="0" fontId="5" fillId="42" borderId="12" xfId="0" applyFont="1" applyFill="1" applyBorder="1" applyAlignment="1">
      <alignment horizontal="center" vertical="center" wrapText="1"/>
    </xf>
    <xf numFmtId="0" fontId="5" fillId="42" borderId="22" xfId="0" applyFont="1" applyFill="1" applyBorder="1" applyAlignment="1">
      <alignment horizontal="center" vertical="center" wrapText="1"/>
    </xf>
    <xf numFmtId="0" fontId="14" fillId="42" borderId="193" xfId="0" applyFont="1" applyFill="1" applyBorder="1" applyAlignment="1">
      <alignment horizontal="center" vertical="center"/>
    </xf>
    <xf numFmtId="0" fontId="14" fillId="42" borderId="169" xfId="0" applyFont="1" applyFill="1" applyBorder="1" applyAlignment="1">
      <alignment horizontal="center" vertical="center"/>
    </xf>
    <xf numFmtId="0" fontId="5" fillId="42" borderId="59" xfId="0" applyFont="1" applyFill="1" applyBorder="1" applyAlignment="1">
      <alignment horizontal="center" vertical="center" wrapText="1"/>
    </xf>
    <xf numFmtId="0" fontId="5" fillId="42" borderId="142" xfId="0" applyFont="1" applyFill="1" applyBorder="1" applyAlignment="1">
      <alignment horizontal="center" vertical="center" wrapText="1"/>
    </xf>
    <xf numFmtId="0" fontId="5" fillId="42" borderId="60" xfId="0" applyFont="1" applyFill="1" applyBorder="1" applyAlignment="1">
      <alignment horizontal="center" vertical="center" wrapText="1"/>
    </xf>
    <xf numFmtId="0" fontId="5" fillId="42" borderId="146" xfId="0" applyFont="1" applyFill="1" applyBorder="1" applyAlignment="1">
      <alignment horizontal="center" vertical="center" wrapText="1"/>
    </xf>
    <xf numFmtId="0" fontId="5" fillId="42" borderId="77" xfId="0" applyFont="1" applyFill="1" applyBorder="1" applyAlignment="1">
      <alignment horizontal="center" vertical="center" wrapText="1"/>
    </xf>
    <xf numFmtId="0" fontId="5" fillId="42" borderId="9" xfId="0" applyFont="1" applyFill="1" applyBorder="1" applyAlignment="1">
      <alignment horizontal="center" vertical="center" wrapText="1"/>
    </xf>
    <xf numFmtId="0" fontId="5" fillId="42" borderId="9" xfId="0" applyFont="1" applyFill="1" applyBorder="1" applyAlignment="1">
      <alignment horizontal="center" vertical="center"/>
    </xf>
    <xf numFmtId="0" fontId="5" fillId="42" borderId="146" xfId="0" applyFont="1" applyFill="1" applyBorder="1" applyAlignment="1">
      <alignment horizontal="center" vertical="center"/>
    </xf>
    <xf numFmtId="0" fontId="5" fillId="42" borderId="77" xfId="0" applyFont="1" applyFill="1" applyBorder="1" applyAlignment="1">
      <alignment horizontal="center" vertical="center"/>
    </xf>
    <xf numFmtId="0" fontId="5" fillId="42" borderId="11" xfId="0" applyFont="1" applyFill="1" applyBorder="1" applyAlignment="1">
      <alignment horizontal="center" vertical="center"/>
    </xf>
    <xf numFmtId="0" fontId="5" fillId="42" borderId="27" xfId="0" applyFont="1" applyFill="1" applyBorder="1" applyAlignment="1">
      <alignment horizontal="center" vertical="center"/>
    </xf>
    <xf numFmtId="0" fontId="5" fillId="42" borderId="184" xfId="0" applyFont="1" applyFill="1" applyBorder="1" applyAlignment="1">
      <alignment horizontal="center" vertical="center"/>
    </xf>
    <xf numFmtId="0" fontId="5" fillId="42" borderId="129" xfId="0" applyFont="1" applyFill="1" applyBorder="1" applyAlignment="1">
      <alignment horizontal="center" vertical="center"/>
    </xf>
    <xf numFmtId="0" fontId="5" fillId="42" borderId="144" xfId="0" applyFont="1" applyFill="1" applyBorder="1" applyAlignment="1">
      <alignment horizontal="center" vertical="center"/>
    </xf>
    <xf numFmtId="0" fontId="72" fillId="0" borderId="8" xfId="0" applyFont="1" applyBorder="1" applyAlignment="1">
      <alignment horizontal="center" vertical="center" textRotation="255"/>
    </xf>
    <xf numFmtId="0" fontId="72" fillId="0" borderId="11" xfId="0" applyFont="1" applyBorder="1" applyAlignment="1">
      <alignment horizontal="center" vertical="center" textRotation="255"/>
    </xf>
    <xf numFmtId="0" fontId="72" fillId="0" borderId="43" xfId="0" applyFont="1" applyBorder="1" applyAlignment="1">
      <alignment horizontal="center" vertical="center" textRotation="255"/>
    </xf>
    <xf numFmtId="0" fontId="5" fillId="42" borderId="199" xfId="0" applyFont="1" applyFill="1" applyBorder="1" applyAlignment="1">
      <alignment horizontal="center" vertical="center" wrapText="1"/>
    </xf>
    <xf numFmtId="0" fontId="5" fillId="42" borderId="24" xfId="0" applyFont="1" applyFill="1" applyBorder="1" applyAlignment="1">
      <alignment horizontal="center" vertical="center" wrapText="1"/>
    </xf>
    <xf numFmtId="0" fontId="5" fillId="42" borderId="73" xfId="0" applyFont="1" applyFill="1" applyBorder="1" applyAlignment="1">
      <alignment horizontal="center" vertical="center" wrapText="1"/>
    </xf>
    <xf numFmtId="0" fontId="5" fillId="42" borderId="6" xfId="0" applyFont="1" applyFill="1" applyBorder="1" applyAlignment="1">
      <alignment horizontal="center" vertical="center" wrapText="1"/>
    </xf>
  </cellXfs>
  <cellStyles count="110">
    <cellStyle name="20% - 강조색1 2" xfId="1" xr:uid="{00000000-0005-0000-0000-000000000000}"/>
    <cellStyle name="20% - 강조색1 3" xfId="2" xr:uid="{00000000-0005-0000-0000-000001000000}"/>
    <cellStyle name="20% - 강조색2 2" xfId="3" xr:uid="{00000000-0005-0000-0000-000002000000}"/>
    <cellStyle name="20% - 강조색2 3" xfId="4" xr:uid="{00000000-0005-0000-0000-000003000000}"/>
    <cellStyle name="20% - 강조색3 2" xfId="5" xr:uid="{00000000-0005-0000-0000-000004000000}"/>
    <cellStyle name="20% - 강조색3 3" xfId="6" xr:uid="{00000000-0005-0000-0000-000005000000}"/>
    <cellStyle name="20% - 강조색4 2" xfId="7" xr:uid="{00000000-0005-0000-0000-000006000000}"/>
    <cellStyle name="20% - 강조색4 3" xfId="8" xr:uid="{00000000-0005-0000-0000-000007000000}"/>
    <cellStyle name="20% - 강조색5 2" xfId="9" xr:uid="{00000000-0005-0000-0000-000008000000}"/>
    <cellStyle name="20% - 강조색5 3" xfId="10" xr:uid="{00000000-0005-0000-0000-000009000000}"/>
    <cellStyle name="20% - 강조색6 2" xfId="11" xr:uid="{00000000-0005-0000-0000-00000A000000}"/>
    <cellStyle name="20% - 강조색6 3" xfId="12" xr:uid="{00000000-0005-0000-0000-00000B000000}"/>
    <cellStyle name="40% - 강조색1 2" xfId="13" xr:uid="{00000000-0005-0000-0000-00000C000000}"/>
    <cellStyle name="40% - 강조색1 3" xfId="14" xr:uid="{00000000-0005-0000-0000-00000D000000}"/>
    <cellStyle name="40% - 강조색2 2" xfId="15" xr:uid="{00000000-0005-0000-0000-00000E000000}"/>
    <cellStyle name="40% - 강조색2 3" xfId="16" xr:uid="{00000000-0005-0000-0000-00000F000000}"/>
    <cellStyle name="40% - 강조색3 2" xfId="17" xr:uid="{00000000-0005-0000-0000-000010000000}"/>
    <cellStyle name="40% - 강조색3 3" xfId="18" xr:uid="{00000000-0005-0000-0000-000011000000}"/>
    <cellStyle name="40% - 강조색4 2" xfId="19" xr:uid="{00000000-0005-0000-0000-000012000000}"/>
    <cellStyle name="40% - 강조색4 3" xfId="20" xr:uid="{00000000-0005-0000-0000-000013000000}"/>
    <cellStyle name="40% - 강조색5 2" xfId="21" xr:uid="{00000000-0005-0000-0000-000014000000}"/>
    <cellStyle name="40% - 강조색5 3" xfId="22" xr:uid="{00000000-0005-0000-0000-000015000000}"/>
    <cellStyle name="40% - 강조색6 2" xfId="23" xr:uid="{00000000-0005-0000-0000-000016000000}"/>
    <cellStyle name="40% - 강조색6 3" xfId="24" xr:uid="{00000000-0005-0000-0000-000017000000}"/>
    <cellStyle name="60% - 강조색1 2" xfId="25" xr:uid="{00000000-0005-0000-0000-000018000000}"/>
    <cellStyle name="60% - 강조색1 3" xfId="26" xr:uid="{00000000-0005-0000-0000-000019000000}"/>
    <cellStyle name="60% - 강조색2 2" xfId="27" xr:uid="{00000000-0005-0000-0000-00001A000000}"/>
    <cellStyle name="60% - 강조색2 3" xfId="28" xr:uid="{00000000-0005-0000-0000-00001B000000}"/>
    <cellStyle name="60% - 강조색3 2" xfId="29" xr:uid="{00000000-0005-0000-0000-00001C000000}"/>
    <cellStyle name="60% - 강조색3 3" xfId="30" xr:uid="{00000000-0005-0000-0000-00001D000000}"/>
    <cellStyle name="60% - 강조색4 2" xfId="31" xr:uid="{00000000-0005-0000-0000-00001E000000}"/>
    <cellStyle name="60% - 강조색4 3" xfId="32" xr:uid="{00000000-0005-0000-0000-00001F000000}"/>
    <cellStyle name="60% - 강조색5 2" xfId="33" xr:uid="{00000000-0005-0000-0000-000020000000}"/>
    <cellStyle name="60% - 강조색5 3" xfId="34" xr:uid="{00000000-0005-0000-0000-000021000000}"/>
    <cellStyle name="60% - 강조색6 2" xfId="35" xr:uid="{00000000-0005-0000-0000-000022000000}"/>
    <cellStyle name="60% - 강조색6 3" xfId="36" xr:uid="{00000000-0005-0000-0000-000023000000}"/>
    <cellStyle name="Comma [0]_ SG&amp;A Bridge " xfId="37" xr:uid="{00000000-0005-0000-0000-000024000000}"/>
    <cellStyle name="Comma_ SG&amp;A Bridge " xfId="38" xr:uid="{00000000-0005-0000-0000-000025000000}"/>
    <cellStyle name="Currency [0]_ SG&amp;A Bridge " xfId="39" xr:uid="{00000000-0005-0000-0000-000026000000}"/>
    <cellStyle name="Currency_ SG&amp;A Bridge " xfId="40" xr:uid="{00000000-0005-0000-0000-000027000000}"/>
    <cellStyle name="Normal_ SG&amp;A Bridge " xfId="41" xr:uid="{00000000-0005-0000-0000-000028000000}"/>
    <cellStyle name="강조색1 2" xfId="42" xr:uid="{00000000-0005-0000-0000-000029000000}"/>
    <cellStyle name="강조색1 3" xfId="43" xr:uid="{00000000-0005-0000-0000-00002A000000}"/>
    <cellStyle name="강조색2 2" xfId="44" xr:uid="{00000000-0005-0000-0000-00002B000000}"/>
    <cellStyle name="강조색2 3" xfId="45" xr:uid="{00000000-0005-0000-0000-00002C000000}"/>
    <cellStyle name="강조색3 2" xfId="46" xr:uid="{00000000-0005-0000-0000-00002D000000}"/>
    <cellStyle name="강조색3 3" xfId="47" xr:uid="{00000000-0005-0000-0000-00002E000000}"/>
    <cellStyle name="강조색4 2" xfId="48" xr:uid="{00000000-0005-0000-0000-00002F000000}"/>
    <cellStyle name="강조색4 3" xfId="49" xr:uid="{00000000-0005-0000-0000-000030000000}"/>
    <cellStyle name="강조색5 2" xfId="50" xr:uid="{00000000-0005-0000-0000-000031000000}"/>
    <cellStyle name="강조색5 3" xfId="51" xr:uid="{00000000-0005-0000-0000-000032000000}"/>
    <cellStyle name="강조색6 2" xfId="52" xr:uid="{00000000-0005-0000-0000-000033000000}"/>
    <cellStyle name="강조색6 3" xfId="53" xr:uid="{00000000-0005-0000-0000-000034000000}"/>
    <cellStyle name="경고문 2" xfId="54" xr:uid="{00000000-0005-0000-0000-000035000000}"/>
    <cellStyle name="경고문 3" xfId="55" xr:uid="{00000000-0005-0000-0000-000036000000}"/>
    <cellStyle name="계산 2" xfId="56" xr:uid="{00000000-0005-0000-0000-000037000000}"/>
    <cellStyle name="계산 3" xfId="57" xr:uid="{00000000-0005-0000-0000-000038000000}"/>
    <cellStyle name="나쁨 2" xfId="58" xr:uid="{00000000-0005-0000-0000-000039000000}"/>
    <cellStyle name="나쁨 3" xfId="59" xr:uid="{00000000-0005-0000-0000-00003A000000}"/>
    <cellStyle name="메모 2" xfId="60" xr:uid="{00000000-0005-0000-0000-00003B000000}"/>
    <cellStyle name="메모 3" xfId="61" xr:uid="{00000000-0005-0000-0000-00003C000000}"/>
    <cellStyle name="백분율" xfId="62" builtinId="5"/>
    <cellStyle name="보통 2" xfId="63" xr:uid="{00000000-0005-0000-0000-00003E000000}"/>
    <cellStyle name="보통 3" xfId="64" xr:uid="{00000000-0005-0000-0000-00003F000000}"/>
    <cellStyle name="뷭?_BOOKSHIP" xfId="65" xr:uid="{00000000-0005-0000-0000-000040000000}"/>
    <cellStyle name="설명 텍스트 2" xfId="66" xr:uid="{00000000-0005-0000-0000-000041000000}"/>
    <cellStyle name="설명 텍스트 3" xfId="67" xr:uid="{00000000-0005-0000-0000-000042000000}"/>
    <cellStyle name="셀 확인 2" xfId="68" xr:uid="{00000000-0005-0000-0000-000043000000}"/>
    <cellStyle name="셀 확인 3" xfId="69" xr:uid="{00000000-0005-0000-0000-000044000000}"/>
    <cellStyle name="쉼표" xfId="70" builtinId="3"/>
    <cellStyle name="쉼표 [0]" xfId="71" builtinId="6"/>
    <cellStyle name="쉼표 [0] 2" xfId="72" xr:uid="{00000000-0005-0000-0000-000047000000}"/>
    <cellStyle name="쉼표 [0] 2 2" xfId="104" xr:uid="{00000000-0005-0000-0000-000047000000}"/>
    <cellStyle name="쉼표 [0] 2 2 2" xfId="109" xr:uid="{00000000-0005-0000-0000-000047000000}"/>
    <cellStyle name="쉼표 [0] 2 3" xfId="106" xr:uid="{00000000-0005-0000-0000-000046000000}"/>
    <cellStyle name="쉼표 [0] 3" xfId="103" xr:uid="{00000000-0005-0000-0000-000092000000}"/>
    <cellStyle name="쉼표 [0] 3 2" xfId="108" xr:uid="{00000000-0005-0000-0000-000048000000}"/>
    <cellStyle name="쉼표 [0] 4" xfId="105" xr:uid="{00000000-0005-0000-0000-000094000000}"/>
    <cellStyle name="쉼표 [0]_품의서(투자계획서)" xfId="73" xr:uid="{00000000-0005-0000-0000-000048000000}"/>
    <cellStyle name="쉼표 2" xfId="102" xr:uid="{00000000-0005-0000-0000-000091000000}"/>
    <cellStyle name="쉼표 2 2" xfId="107" xr:uid="{00000000-0005-0000-0000-000049000000}"/>
    <cellStyle name="쉼표_품의서(투자계획서)" xfId="74" xr:uid="{00000000-0005-0000-0000-000049000000}"/>
    <cellStyle name="연결된 셀 2" xfId="75" xr:uid="{00000000-0005-0000-0000-00004A000000}"/>
    <cellStyle name="연결된 셀 3" xfId="76" xr:uid="{00000000-0005-0000-0000-00004B000000}"/>
    <cellStyle name="요약 2" xfId="77" xr:uid="{00000000-0005-0000-0000-00004C000000}"/>
    <cellStyle name="요약 3" xfId="78" xr:uid="{00000000-0005-0000-0000-00004D000000}"/>
    <cellStyle name="입력 2" xfId="79" xr:uid="{00000000-0005-0000-0000-00004E000000}"/>
    <cellStyle name="입력 3" xfId="80" xr:uid="{00000000-0005-0000-0000-00004F000000}"/>
    <cellStyle name="제목 1 2" xfId="81" xr:uid="{00000000-0005-0000-0000-000050000000}"/>
    <cellStyle name="제목 1 3" xfId="82" xr:uid="{00000000-0005-0000-0000-000051000000}"/>
    <cellStyle name="제목 2 2" xfId="83" xr:uid="{00000000-0005-0000-0000-000052000000}"/>
    <cellStyle name="제목 2 3" xfId="84" xr:uid="{00000000-0005-0000-0000-000053000000}"/>
    <cellStyle name="제목 3 2" xfId="85" xr:uid="{00000000-0005-0000-0000-000054000000}"/>
    <cellStyle name="제목 3 3" xfId="86" xr:uid="{00000000-0005-0000-0000-000055000000}"/>
    <cellStyle name="제목 4 2" xfId="87" xr:uid="{00000000-0005-0000-0000-000056000000}"/>
    <cellStyle name="제목 4 3" xfId="88" xr:uid="{00000000-0005-0000-0000-000057000000}"/>
    <cellStyle name="제목 5" xfId="89" xr:uid="{00000000-0005-0000-0000-000058000000}"/>
    <cellStyle name="제목 6" xfId="90" xr:uid="{00000000-0005-0000-0000-000059000000}"/>
    <cellStyle name="좋음 2" xfId="91" xr:uid="{00000000-0005-0000-0000-00005A000000}"/>
    <cellStyle name="좋음 3" xfId="92" xr:uid="{00000000-0005-0000-0000-00005B000000}"/>
    <cellStyle name="출력 2" xfId="93" xr:uid="{00000000-0005-0000-0000-00005C000000}"/>
    <cellStyle name="출력 3" xfId="94" xr:uid="{00000000-0005-0000-0000-00005D000000}"/>
    <cellStyle name="콤마 [0]_2001실천사업계획총괄(A4)-8월23일" xfId="95" xr:uid="{00000000-0005-0000-0000-00005E000000}"/>
    <cellStyle name="콤마_2001실천사업계획총괄(A4)-8월23일" xfId="96" xr:uid="{00000000-0005-0000-0000-00005F000000}"/>
    <cellStyle name="표준" xfId="0" builtinId="0"/>
    <cellStyle name="표준 2" xfId="97" xr:uid="{00000000-0005-0000-0000-000061000000}"/>
    <cellStyle name="표준 3" xfId="98" xr:uid="{00000000-0005-0000-0000-000062000000}"/>
    <cellStyle name="표준_2002년도본부투자승인1차분-편집" xfId="99" xr:uid="{00000000-0005-0000-0000-000063000000}"/>
    <cellStyle name="표준_경제성분석(본부제출)2003" xfId="100" xr:uid="{00000000-0005-0000-0000-000064000000}"/>
    <cellStyle name="표준_품의서(투자계획서)" xfId="101" xr:uid="{00000000-0005-0000-0000-000065000000}"/>
  </cellStyles>
  <dxfs count="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</dxfs>
  <tableStyles count="0" defaultTableStyle="TableStyleMedium9" defaultPivotStyle="PivotStyleLight16"/>
  <colors>
    <mruColors>
      <color rgb="FFBDE0B8"/>
      <color rgb="FFBBEAAE"/>
      <color rgb="FFC1ECAC"/>
      <color rgb="FFCCEFA9"/>
      <color rgb="FFB9E6B2"/>
      <color rgb="FFB1EAAE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5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104</xdr:row>
          <xdr:rowOff>200025</xdr:rowOff>
        </xdr:from>
        <xdr:to>
          <xdr:col>11</xdr:col>
          <xdr:colOff>1809750</xdr:colOff>
          <xdr:row>107</xdr:row>
          <xdr:rowOff>266700</xdr:rowOff>
        </xdr:to>
        <xdr:pic>
          <xdr:nvPicPr>
            <xdr:cNvPr id="386050" name="Picture 2">
              <a:extLst>
                <a:ext uri="{FF2B5EF4-FFF2-40B4-BE49-F238E27FC236}">
                  <a16:creationId xmlns:a16="http://schemas.microsoft.com/office/drawing/2014/main" id="{00000000-0008-0000-0100-000002E4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08:$V$110" spid="_x0000_s5368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9625" y="12915900"/>
              <a:ext cx="7867650" cy="1009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242535</xdr:colOff>
      <xdr:row>1</xdr:row>
      <xdr:rowOff>2836</xdr:rowOff>
    </xdr:from>
    <xdr:to>
      <xdr:col>25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826316" y="217149"/>
          <a:ext cx="8722870" cy="7810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01" name="Text Box 12">
          <a:extLst>
            <a:ext uri="{FF2B5EF4-FFF2-40B4-BE49-F238E27FC236}">
              <a16:creationId xmlns:a16="http://schemas.microsoft.com/office/drawing/2014/main" id="{00000000-0008-0000-0400-0000B1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02" name="Text Box 13">
          <a:extLst>
            <a:ext uri="{FF2B5EF4-FFF2-40B4-BE49-F238E27FC236}">
              <a16:creationId xmlns:a16="http://schemas.microsoft.com/office/drawing/2014/main" id="{00000000-0008-0000-0400-0000B2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1343025</xdr:colOff>
      <xdr:row>79</xdr:row>
      <xdr:rowOff>123825</xdr:rowOff>
    </xdr:from>
    <xdr:to>
      <xdr:col>5</xdr:col>
      <xdr:colOff>1371600</xdr:colOff>
      <xdr:row>79</xdr:row>
      <xdr:rowOff>123825</xdr:rowOff>
    </xdr:to>
    <xdr:sp macro="" textlink="">
      <xdr:nvSpPr>
        <xdr:cNvPr id="442803" name="Line 324">
          <a:extLst>
            <a:ext uri="{FF2B5EF4-FFF2-40B4-BE49-F238E27FC236}">
              <a16:creationId xmlns:a16="http://schemas.microsoft.com/office/drawing/2014/main" id="{00000000-0008-0000-0400-0000B3C10600}"/>
            </a:ext>
          </a:extLst>
        </xdr:cNvPr>
        <xdr:cNvSpPr>
          <a:spLocks noChangeShapeType="1"/>
        </xdr:cNvSpPr>
      </xdr:nvSpPr>
      <xdr:spPr bwMode="auto">
        <a:xfrm>
          <a:off x="3048000" y="13239750"/>
          <a:ext cx="2238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209550</xdr:colOff>
      <xdr:row>81</xdr:row>
      <xdr:rowOff>161925</xdr:rowOff>
    </xdr:from>
    <xdr:to>
      <xdr:col>5</xdr:col>
      <xdr:colOff>1371600</xdr:colOff>
      <xdr:row>81</xdr:row>
      <xdr:rowOff>161925</xdr:rowOff>
    </xdr:to>
    <xdr:sp macro="" textlink="">
      <xdr:nvSpPr>
        <xdr:cNvPr id="442805" name="Line 332">
          <a:extLst>
            <a:ext uri="{FF2B5EF4-FFF2-40B4-BE49-F238E27FC236}">
              <a16:creationId xmlns:a16="http://schemas.microsoft.com/office/drawing/2014/main" id="{00000000-0008-0000-0400-0000B5C10600}"/>
            </a:ext>
          </a:extLst>
        </xdr:cNvPr>
        <xdr:cNvSpPr>
          <a:spLocks noChangeShapeType="1"/>
        </xdr:cNvSpPr>
      </xdr:nvSpPr>
      <xdr:spPr bwMode="auto">
        <a:xfrm>
          <a:off x="4124325" y="13773150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06" name="Line 334">
          <a:extLst>
            <a:ext uri="{FF2B5EF4-FFF2-40B4-BE49-F238E27FC236}">
              <a16:creationId xmlns:a16="http://schemas.microsoft.com/office/drawing/2014/main" id="{00000000-0008-0000-0400-0000B6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07" name="Text Box 12">
          <a:extLst>
            <a:ext uri="{FF2B5EF4-FFF2-40B4-BE49-F238E27FC236}">
              <a16:creationId xmlns:a16="http://schemas.microsoft.com/office/drawing/2014/main" id="{00000000-0008-0000-0400-0000B7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08" name="Text Box 13">
          <a:extLst>
            <a:ext uri="{FF2B5EF4-FFF2-40B4-BE49-F238E27FC236}">
              <a16:creationId xmlns:a16="http://schemas.microsoft.com/office/drawing/2014/main" id="{00000000-0008-0000-0400-0000B8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12" name="Line 334">
          <a:extLst>
            <a:ext uri="{FF2B5EF4-FFF2-40B4-BE49-F238E27FC236}">
              <a16:creationId xmlns:a16="http://schemas.microsoft.com/office/drawing/2014/main" id="{00000000-0008-0000-0400-0000BC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13" name="Text Box 12">
          <a:extLst>
            <a:ext uri="{FF2B5EF4-FFF2-40B4-BE49-F238E27FC236}">
              <a16:creationId xmlns:a16="http://schemas.microsoft.com/office/drawing/2014/main" id="{00000000-0008-0000-0400-0000BD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14" name="Text Box 13">
          <a:extLst>
            <a:ext uri="{FF2B5EF4-FFF2-40B4-BE49-F238E27FC236}">
              <a16:creationId xmlns:a16="http://schemas.microsoft.com/office/drawing/2014/main" id="{00000000-0008-0000-0400-0000BE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18" name="Line 334">
          <a:extLst>
            <a:ext uri="{FF2B5EF4-FFF2-40B4-BE49-F238E27FC236}">
              <a16:creationId xmlns:a16="http://schemas.microsoft.com/office/drawing/2014/main" id="{00000000-0008-0000-0400-0000C2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19" name="Text Box 12">
          <a:extLst>
            <a:ext uri="{FF2B5EF4-FFF2-40B4-BE49-F238E27FC236}">
              <a16:creationId xmlns:a16="http://schemas.microsoft.com/office/drawing/2014/main" id="{00000000-0008-0000-0400-0000C3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20" name="Text Box 13">
          <a:extLst>
            <a:ext uri="{FF2B5EF4-FFF2-40B4-BE49-F238E27FC236}">
              <a16:creationId xmlns:a16="http://schemas.microsoft.com/office/drawing/2014/main" id="{00000000-0008-0000-0400-0000C4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24" name="Line 334">
          <a:extLst>
            <a:ext uri="{FF2B5EF4-FFF2-40B4-BE49-F238E27FC236}">
              <a16:creationId xmlns:a16="http://schemas.microsoft.com/office/drawing/2014/main" id="{00000000-0008-0000-0400-0000C8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25" name="Text Box 12">
          <a:extLst>
            <a:ext uri="{FF2B5EF4-FFF2-40B4-BE49-F238E27FC236}">
              <a16:creationId xmlns:a16="http://schemas.microsoft.com/office/drawing/2014/main" id="{00000000-0008-0000-0400-0000C9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26" name="Text Box 13">
          <a:extLst>
            <a:ext uri="{FF2B5EF4-FFF2-40B4-BE49-F238E27FC236}">
              <a16:creationId xmlns:a16="http://schemas.microsoft.com/office/drawing/2014/main" id="{00000000-0008-0000-0400-0000CA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30" name="Line 334">
          <a:extLst>
            <a:ext uri="{FF2B5EF4-FFF2-40B4-BE49-F238E27FC236}">
              <a16:creationId xmlns:a16="http://schemas.microsoft.com/office/drawing/2014/main" id="{00000000-0008-0000-0400-0000CE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31" name="Text Box 12">
          <a:extLst>
            <a:ext uri="{FF2B5EF4-FFF2-40B4-BE49-F238E27FC236}">
              <a16:creationId xmlns:a16="http://schemas.microsoft.com/office/drawing/2014/main" id="{00000000-0008-0000-0400-0000CF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32" name="Text Box 13">
          <a:extLst>
            <a:ext uri="{FF2B5EF4-FFF2-40B4-BE49-F238E27FC236}">
              <a16:creationId xmlns:a16="http://schemas.microsoft.com/office/drawing/2014/main" id="{00000000-0008-0000-0400-0000D0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36" name="Line 334">
          <a:extLst>
            <a:ext uri="{FF2B5EF4-FFF2-40B4-BE49-F238E27FC236}">
              <a16:creationId xmlns:a16="http://schemas.microsoft.com/office/drawing/2014/main" id="{00000000-0008-0000-0400-0000D4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37" name="Text Box 12">
          <a:extLst>
            <a:ext uri="{FF2B5EF4-FFF2-40B4-BE49-F238E27FC236}">
              <a16:creationId xmlns:a16="http://schemas.microsoft.com/office/drawing/2014/main" id="{00000000-0008-0000-0400-0000D5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38" name="Text Box 13">
          <a:extLst>
            <a:ext uri="{FF2B5EF4-FFF2-40B4-BE49-F238E27FC236}">
              <a16:creationId xmlns:a16="http://schemas.microsoft.com/office/drawing/2014/main" id="{00000000-0008-0000-0400-0000D6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42" name="Line 334">
          <a:extLst>
            <a:ext uri="{FF2B5EF4-FFF2-40B4-BE49-F238E27FC236}">
              <a16:creationId xmlns:a16="http://schemas.microsoft.com/office/drawing/2014/main" id="{00000000-0008-0000-0400-0000DA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114300</xdr:rowOff>
    </xdr:from>
    <xdr:to>
      <xdr:col>4</xdr:col>
      <xdr:colOff>95250</xdr:colOff>
      <xdr:row>89</xdr:row>
      <xdr:rowOff>76200</xdr:rowOff>
    </xdr:to>
    <xdr:sp macro="" textlink="">
      <xdr:nvSpPr>
        <xdr:cNvPr id="442843" name="Text Box 12">
          <a:extLst>
            <a:ext uri="{FF2B5EF4-FFF2-40B4-BE49-F238E27FC236}">
              <a16:creationId xmlns:a16="http://schemas.microsoft.com/office/drawing/2014/main" id="{00000000-0008-0000-0400-0000DBC10600}"/>
            </a:ext>
          </a:extLst>
        </xdr:cNvPr>
        <xdr:cNvSpPr txBox="1">
          <a:spLocks noChangeArrowheads="1"/>
        </xdr:cNvSpPr>
      </xdr:nvSpPr>
      <xdr:spPr bwMode="auto">
        <a:xfrm>
          <a:off x="3657600" y="154590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95250</xdr:colOff>
      <xdr:row>88</xdr:row>
      <xdr:rowOff>209550</xdr:rowOff>
    </xdr:to>
    <xdr:sp macro="" textlink="">
      <xdr:nvSpPr>
        <xdr:cNvPr id="442844" name="Text Box 13">
          <a:extLst>
            <a:ext uri="{FF2B5EF4-FFF2-40B4-BE49-F238E27FC236}">
              <a16:creationId xmlns:a16="http://schemas.microsoft.com/office/drawing/2014/main" id="{00000000-0008-0000-0400-0000DCC10600}"/>
            </a:ext>
          </a:extLst>
        </xdr:cNvPr>
        <xdr:cNvSpPr txBox="1">
          <a:spLocks noChangeArrowheads="1"/>
        </xdr:cNvSpPr>
      </xdr:nvSpPr>
      <xdr:spPr bwMode="auto">
        <a:xfrm>
          <a:off x="3657600" y="15344775"/>
          <a:ext cx="9525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1343025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45" name="Line 324">
          <a:extLst>
            <a:ext uri="{FF2B5EF4-FFF2-40B4-BE49-F238E27FC236}">
              <a16:creationId xmlns:a16="http://schemas.microsoft.com/office/drawing/2014/main" id="{00000000-0008-0000-0400-0000DDC10600}"/>
            </a:ext>
          </a:extLst>
        </xdr:cNvPr>
        <xdr:cNvSpPr>
          <a:spLocks noChangeShapeType="1"/>
        </xdr:cNvSpPr>
      </xdr:nvSpPr>
      <xdr:spPr bwMode="auto">
        <a:xfrm>
          <a:off x="3048000" y="13268325"/>
          <a:ext cx="2238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142875</xdr:rowOff>
    </xdr:from>
    <xdr:to>
      <xdr:col>5</xdr:col>
      <xdr:colOff>209550</xdr:colOff>
      <xdr:row>81</xdr:row>
      <xdr:rowOff>152400</xdr:rowOff>
    </xdr:to>
    <xdr:sp macro="" textlink="">
      <xdr:nvSpPr>
        <xdr:cNvPr id="442846" name="Line 329">
          <a:extLst>
            <a:ext uri="{FF2B5EF4-FFF2-40B4-BE49-F238E27FC236}">
              <a16:creationId xmlns:a16="http://schemas.microsoft.com/office/drawing/2014/main" id="{00000000-0008-0000-0400-0000DEC10600}"/>
            </a:ext>
          </a:extLst>
        </xdr:cNvPr>
        <xdr:cNvSpPr>
          <a:spLocks noChangeShapeType="1"/>
        </xdr:cNvSpPr>
      </xdr:nvSpPr>
      <xdr:spPr bwMode="auto">
        <a:xfrm>
          <a:off x="4124325" y="13277850"/>
          <a:ext cx="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209550</xdr:colOff>
      <xdr:row>80</xdr:row>
      <xdr:rowOff>133350</xdr:rowOff>
    </xdr:from>
    <xdr:to>
      <xdr:col>5</xdr:col>
      <xdr:colOff>1371600</xdr:colOff>
      <xdr:row>80</xdr:row>
      <xdr:rowOff>133350</xdr:rowOff>
    </xdr:to>
    <xdr:sp macro="" textlink="">
      <xdr:nvSpPr>
        <xdr:cNvPr id="442848" name="Line 334">
          <a:extLst>
            <a:ext uri="{FF2B5EF4-FFF2-40B4-BE49-F238E27FC236}">
              <a16:creationId xmlns:a16="http://schemas.microsoft.com/office/drawing/2014/main" id="{00000000-0008-0000-0400-0000E0C10600}"/>
            </a:ext>
          </a:extLst>
        </xdr:cNvPr>
        <xdr:cNvSpPr>
          <a:spLocks noChangeShapeType="1"/>
        </xdr:cNvSpPr>
      </xdr:nvSpPr>
      <xdr:spPr bwMode="auto">
        <a:xfrm flipH="1">
          <a:off x="4124325" y="13496925"/>
          <a:ext cx="1162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33</xdr:row>
          <xdr:rowOff>38100</xdr:rowOff>
        </xdr:from>
        <xdr:to>
          <xdr:col>8</xdr:col>
          <xdr:colOff>28575</xdr:colOff>
          <xdr:row>37</xdr:row>
          <xdr:rowOff>171450</xdr:rowOff>
        </xdr:to>
        <xdr:pic>
          <xdr:nvPicPr>
            <xdr:cNvPr id="344575" name="Picture 176702">
              <a:extLst>
                <a:ext uri="{FF2B5EF4-FFF2-40B4-BE49-F238E27FC236}">
                  <a16:creationId xmlns:a16="http://schemas.microsoft.com/office/drawing/2014/main" id="{00000000-0008-0000-0400-0000FF41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카메라!$A$1:$G$5" spid="_x0000_s5128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95275" y="5438775"/>
              <a:ext cx="7943850" cy="962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2057400</xdr:colOff>
      <xdr:row>0</xdr:row>
      <xdr:rowOff>95250</xdr:rowOff>
    </xdr:from>
    <xdr:to>
      <xdr:col>7</xdr:col>
      <xdr:colOff>390525</xdr:colOff>
      <xdr:row>3</xdr:row>
      <xdr:rowOff>76200</xdr:rowOff>
    </xdr:to>
    <xdr:pic>
      <xdr:nvPicPr>
        <xdr:cNvPr id="413282" name="Picture 12" descr="EMB0000047c0002">
          <a:extLst>
            <a:ext uri="{FF2B5EF4-FFF2-40B4-BE49-F238E27FC236}">
              <a16:creationId xmlns:a16="http://schemas.microsoft.com/office/drawing/2014/main" id="{00000000-0008-0000-0500-0000624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877050" y="95250"/>
          <a:ext cx="619125" cy="704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0</xdr:row>
          <xdr:rowOff>66675</xdr:rowOff>
        </xdr:from>
        <xdr:to>
          <xdr:col>2</xdr:col>
          <xdr:colOff>0</xdr:colOff>
          <xdr:row>3</xdr:row>
          <xdr:rowOff>57150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3</xdr:row>
          <xdr:rowOff>161925</xdr:rowOff>
        </xdr:from>
        <xdr:to>
          <xdr:col>7</xdr:col>
          <xdr:colOff>447674</xdr:colOff>
          <xdr:row>14</xdr:row>
          <xdr:rowOff>95250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C$5:$M$8" spid="_x0000_s49047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7625" y="885825"/>
              <a:ext cx="7505699" cy="24479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1266825</xdr:colOff>
          <xdr:row>1</xdr:row>
          <xdr:rowOff>638175</xdr:rowOff>
        </xdr:from>
        <xdr:to>
          <xdr:col>6</xdr:col>
          <xdr:colOff>647700</xdr:colOff>
          <xdr:row>2</xdr:row>
          <xdr:rowOff>390525</xdr:rowOff>
        </xdr:to>
        <xdr:pic>
          <xdr:nvPicPr>
            <xdr:cNvPr id="117762" name="Picture 2">
              <a:extLst>
                <a:ext uri="{FF2B5EF4-FFF2-40B4-BE49-F238E27FC236}">
                  <a16:creationId xmlns:a16="http://schemas.microsoft.com/office/drawing/2014/main" id="{00000000-0008-0000-1200-000002CC01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P$3:$BQ$3" spid="_x0000_s5358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982075" y="1143000"/>
              <a:ext cx="3676650" cy="514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213413</xdr:colOff>
      <xdr:row>0</xdr:row>
      <xdr:rowOff>180107</xdr:rowOff>
    </xdr:from>
    <xdr:to>
      <xdr:col>30</xdr:col>
      <xdr:colOff>222253</xdr:colOff>
      <xdr:row>4</xdr:row>
      <xdr:rowOff>103907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>
          <a:off x="1959663" y="180107"/>
          <a:ext cx="13640173" cy="8551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2018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변경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07&#45380;&#46020;\&#44288;&#47196;&#44277;&#49324;%20&#49324;&#50629;&#44228;&#54925;\2008&#45380;\&#45817;&#52488;&#49324;&#50629;&#44228;&#54925;\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49324;&#50629;&#44228;&#54925;(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453;\work\WINDOWS\TEMP\&#48376;&#48512;&#53804;&#51088;&#49849;&#51064;&#54788;&#54889;(2005&#45380;40&#52264;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work/2.00%20---&#53804;&#51088;/2.3_%20&#48176;&#44288;&#53804;&#51088;&#54788;&#54889;/2021&#45380;%20&#48376;&#48512;&#53804;&#51088;/2021&#45380;_18&#52264;/&#44221;&#51228;&#49457;&#48516;&#49437;&#54028;&#51068;%202021&#45380;_02&#52264;.xlsx" TargetMode="External"/><Relationship Id="rId1" Type="http://schemas.openxmlformats.org/officeDocument/2006/relationships/externalLinkPath" Target="/work/2.00%20---&#53804;&#51088;/2.3_%20&#48176;&#44288;&#53804;&#51088;&#54788;&#54889;/2021&#45380;%20&#48376;&#48512;&#53804;&#51088;/2021&#45380;_18&#52264;/&#44221;&#51228;&#49457;&#48516;&#49437;&#54028;&#51068;%202021&#45380;_02&#52264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user\Desktop\0.%20&#47560;&#52992;&#54021;&#44592;&#54925;&#54016;\2026\5.&#48176;&#44288;&#53804;&#51088;\2026&#45380;_8&#52264;\&#44221;&#51228;&#49457;&#48516;&#49437;&#54028;&#51068;%202026&#45380;_08&#52264;.xlsx" TargetMode="External"/><Relationship Id="rId1" Type="http://schemas.openxmlformats.org/officeDocument/2006/relationships/externalLinkPath" Target="&#44221;&#51228;&#49457;&#48516;&#49437;&#54028;&#51068;%202026&#45380;_08&#52264;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user\Desktop\0.%20&#47560;&#52992;&#54021;&#44592;&#54925;&#54016;\2026\5.&#48176;&#44288;&#53804;&#51088;\2026&#45380;_2&#52264;\&#44221;&#51228;&#49457;&#48516;&#49437;&#54028;&#51068;%202026&#45380;_01&#52264;.xlsx" TargetMode="External"/><Relationship Id="rId1" Type="http://schemas.openxmlformats.org/officeDocument/2006/relationships/externalLinkPath" Target="&#44221;&#51228;&#49457;&#48516;&#49437;&#54028;&#51068;%202026&#45380;_01&#52264;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025/5.&#48176;&#44288;&#53804;&#51088;/2025&#45380;_20&#52264;/&#44221;&#51228;&#49457;&#48516;&#49437;&#54028;&#51068;%202025&#45380;_01&#52264;.xlsx" TargetMode="External"/><Relationship Id="rId1" Type="http://schemas.openxmlformats.org/officeDocument/2006/relationships/externalLinkPath" Target="/Users/user/Desktop/0.%20&#47560;&#52992;&#54021;&#44592;&#54925;&#54016;/2025/5.&#48176;&#44288;&#53804;&#51088;/2025&#45380;_20&#52264;/&#44221;&#51228;&#49457;&#48516;&#49437;&#54028;&#51068;%202025&#45380;_01&#52264;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025/5.&#48176;&#44288;&#53804;&#51088;/2025&#45380;_20&#52264;/&#44221;&#51228;&#49457;&#48516;&#49437;&#54028;&#51068;%202025&#45380;_06&#52264;.xlsx" TargetMode="External"/><Relationship Id="rId1" Type="http://schemas.openxmlformats.org/officeDocument/2006/relationships/externalLinkPath" Target="/Users/user/Desktop/0.%20&#47560;&#52992;&#54021;&#44592;&#54925;&#54016;/2025/5.&#48176;&#44288;&#53804;&#51088;/2025&#45380;_20&#52264;/&#44221;&#51228;&#49457;&#48516;&#49437;&#54028;&#51068;%202025&#45380;_06&#52264;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/5.&#48176;&#44288;&#53804;&#51088;/2025&#45380;_20&#52264;/&#44221;&#51228;&#49457;&#48516;&#49437;&#54028;&#51068;%202025&#45380;_16&#52264;.xlsx" TargetMode="External"/><Relationship Id="rId2" Type="http://schemas.openxmlformats.org/officeDocument/2006/relationships/externalLinkPath" Target="file:///D:\Users\user\Desktop\0.%20&#47560;&#52992;&#54021;&#44592;&#54925;&#54016;\2025\5.&#48176;&#44288;&#53804;&#51088;\2025&#45380;_16&#52264;\&#44221;&#51228;&#49457;&#48516;&#49437;&#54028;&#51068;%202025&#45380;_16&#52264;.xlsx" TargetMode="External"/><Relationship Id="rId1" Type="http://schemas.openxmlformats.org/officeDocument/2006/relationships/externalLinkPath" Target="/Users/user/Desktop/0.%20&#47560;&#52992;&#54021;&#44592;&#54925;&#54016;/2025/5.&#48176;&#44288;&#53804;&#51088;/2025&#45380;_20&#52264;/&#44221;&#51228;&#49457;&#48516;&#49437;&#54028;&#51068;%202025&#45380;_16&#52264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user\Desktop\0.%20&#47560;&#52992;&#54021;&#44592;&#54925;&#54016;\2026\5.&#48176;&#44288;&#53804;&#51088;\2026&#45380;_9&#52264;\&#44221;&#51228;&#49457;&#48516;&#49437;&#54028;&#51068;%202026&#45380;_09&#52264;.xlsx" TargetMode="External"/><Relationship Id="rId1" Type="http://schemas.openxmlformats.org/officeDocument/2006/relationships/externalLinkPath" Target="&#44221;&#51228;&#49457;&#48516;&#49437;&#54028;&#51068;%202026&#45380;_09&#522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신규투자계획서"/>
      <sheetName val="공사요약"/>
      <sheetName val="선정검토서"/>
      <sheetName val="현황"/>
      <sheetName val="기본계획"/>
      <sheetName val="종합명세"/>
      <sheetName val="16차이후"/>
      <sheetName val="1-15차"/>
      <sheetName val="현황-1"/>
    </sheetNames>
    <sheetDataSet>
      <sheetData sheetId="0">
        <row r="27">
          <cell r="E2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47">
          <cell r="D47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28">
          <cell r="D28">
            <v>174827283.34999999</v>
          </cell>
        </row>
      </sheetData>
      <sheetData sheetId="1"/>
      <sheetData sheetId="2"/>
      <sheetData sheetId="3"/>
      <sheetData sheetId="4">
        <row r="39">
          <cell r="F39" t="e">
            <v>#DIV/0!</v>
          </cell>
        </row>
        <row r="45">
          <cell r="D45">
            <v>0</v>
          </cell>
        </row>
        <row r="46">
          <cell r="D46" t="str">
            <v>한도초과</v>
          </cell>
        </row>
        <row r="47">
          <cell r="D47">
            <v>31</v>
          </cell>
        </row>
      </sheetData>
      <sheetData sheetId="5"/>
      <sheetData sheetId="6"/>
      <sheetData sheetId="7"/>
      <sheetData sheetId="8">
        <row r="39">
          <cell r="F39">
            <v>22737.5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39">
          <cell r="F39">
            <v>850</v>
          </cell>
        </row>
        <row r="45">
          <cell r="D45">
            <v>217598614.96861136</v>
          </cell>
        </row>
        <row r="46">
          <cell r="D46">
            <v>128.23466448150577</v>
          </cell>
        </row>
        <row r="47">
          <cell r="D47">
            <v>1</v>
          </cell>
        </row>
      </sheetData>
      <sheetData sheetId="17"/>
      <sheetData sheetId="18"/>
      <sheetData sheetId="19"/>
      <sheetData sheetId="20">
        <row r="39">
          <cell r="F39" t="e">
            <v>#DIV/0!</v>
          </cell>
        </row>
        <row r="45">
          <cell r="D45">
            <v>0</v>
          </cell>
        </row>
        <row r="46">
          <cell r="D46" t="str">
            <v>한도초과</v>
          </cell>
        </row>
        <row r="47">
          <cell r="D47">
            <v>31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39">
          <cell r="F39" t="e">
            <v>#DIV/0!</v>
          </cell>
        </row>
        <row r="45">
          <cell r="D45">
            <v>0</v>
          </cell>
        </row>
        <row r="46">
          <cell r="D46" t="str">
            <v>한도초과</v>
          </cell>
        </row>
        <row r="47">
          <cell r="D47">
            <v>31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28">
          <cell r="D28">
            <v>21401249.350000001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9">
          <cell r="F39">
            <v>724.48979591836735</v>
          </cell>
        </row>
      </sheetData>
      <sheetData sheetId="9" refreshError="1"/>
      <sheetData sheetId="10" refreshError="1"/>
      <sheetData sheetId="11" refreshError="1"/>
      <sheetData sheetId="12">
        <row r="39">
          <cell r="F39" t="e">
            <v>#DIV/0!</v>
          </cell>
        </row>
        <row r="45">
          <cell r="D45">
            <v>0</v>
          </cell>
        </row>
        <row r="46">
          <cell r="D46" t="str">
            <v>한도초과</v>
          </cell>
        </row>
        <row r="47">
          <cell r="D47">
            <v>31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28">
          <cell r="D28">
            <v>29099060</v>
          </cell>
        </row>
      </sheetData>
      <sheetData sheetId="1" refreshError="1"/>
      <sheetData sheetId="2" refreshError="1"/>
      <sheetData sheetId="3" refreshError="1"/>
      <sheetData sheetId="4">
        <row r="39">
          <cell r="F39" t="e">
            <v>#DIV/0!</v>
          </cell>
        </row>
      </sheetData>
      <sheetData sheetId="5" refreshError="1"/>
      <sheetData sheetId="6" refreshError="1"/>
      <sheetData sheetId="7" refreshError="1"/>
      <sheetData sheetId="8">
        <row r="39">
          <cell r="F39">
            <v>2340</v>
          </cell>
        </row>
      </sheetData>
      <sheetData sheetId="9" refreshError="1"/>
      <sheetData sheetId="10" refreshError="1"/>
      <sheetData sheetId="11" refreshError="1"/>
      <sheetData sheetId="12">
        <row r="39">
          <cell r="F39" t="e">
            <v>#DIV/0!</v>
          </cell>
        </row>
      </sheetData>
      <sheetData sheetId="13" refreshError="1"/>
      <sheetData sheetId="14" refreshError="1"/>
      <sheetData sheetId="15" refreshError="1"/>
      <sheetData sheetId="16">
        <row r="39">
          <cell r="F39" t="e">
            <v>#DIV/0!</v>
          </cell>
        </row>
      </sheetData>
      <sheetData sheetId="17" refreshError="1"/>
      <sheetData sheetId="18" refreshError="1"/>
      <sheetData sheetId="19" refreshError="1"/>
      <sheetData sheetId="20">
        <row r="39">
          <cell r="F39" t="e">
            <v>#DIV/0!</v>
          </cell>
        </row>
      </sheetData>
      <sheetData sheetId="21" refreshError="1"/>
      <sheetData sheetId="22" refreshError="1"/>
      <sheetData sheetId="23" refreshError="1"/>
      <sheetData sheetId="24">
        <row r="39">
          <cell r="F39" t="e">
            <v>#DIV/0!</v>
          </cell>
        </row>
        <row r="45">
          <cell r="D45">
            <v>0</v>
          </cell>
        </row>
        <row r="46">
          <cell r="D46" t="str">
            <v>한도초과</v>
          </cell>
        </row>
        <row r="47">
          <cell r="D47">
            <v>31</v>
          </cell>
        </row>
      </sheetData>
      <sheetData sheetId="25" refreshError="1"/>
      <sheetData sheetId="26" refreshError="1"/>
      <sheetData sheetId="27" refreshError="1"/>
      <sheetData sheetId="28">
        <row r="39">
          <cell r="F39" t="e">
            <v>#DIV/0!</v>
          </cell>
        </row>
        <row r="45">
          <cell r="D45">
            <v>0</v>
          </cell>
        </row>
        <row r="46">
          <cell r="D46" t="str">
            <v>한도초과</v>
          </cell>
        </row>
        <row r="47">
          <cell r="D47">
            <v>31</v>
          </cell>
        </row>
      </sheetData>
      <sheetData sheetId="29" refreshError="1"/>
      <sheetData sheetId="30" refreshError="1"/>
      <sheetData sheetId="31" refreshError="1"/>
      <sheetData sheetId="32">
        <row r="39">
          <cell r="F39" t="e">
            <v>#DIV/0!</v>
          </cell>
        </row>
      </sheetData>
      <sheetData sheetId="33" refreshError="1"/>
      <sheetData sheetId="34" refreshError="1"/>
      <sheetData sheetId="35" refreshError="1"/>
      <sheetData sheetId="36">
        <row r="39">
          <cell r="F39" t="e">
            <v>#DIV/0!</v>
          </cell>
        </row>
      </sheetData>
      <sheetData sheetId="37" refreshError="1"/>
      <sheetData sheetId="38" refreshError="1"/>
      <sheetData sheetId="3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28">
          <cell r="D28">
            <v>58018873.049999997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F39">
            <v>11020.833333333334</v>
          </cell>
        </row>
      </sheetData>
      <sheetData sheetId="9"/>
      <sheetData sheetId="10"/>
      <sheetData sheetId="11"/>
      <sheetData sheetId="12">
        <row r="39">
          <cell r="F39" t="e">
            <v>#DIV/0!</v>
          </cell>
        </row>
      </sheetData>
      <sheetData sheetId="13"/>
      <sheetData sheetId="14"/>
      <sheetData sheetId="15"/>
      <sheetData sheetId="16">
        <row r="39">
          <cell r="F39">
            <v>541.66666666666663</v>
          </cell>
        </row>
      </sheetData>
      <sheetData sheetId="17"/>
      <sheetData sheetId="18"/>
      <sheetData sheetId="19"/>
      <sheetData sheetId="20">
        <row r="47">
          <cell r="D47">
            <v>31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9">
          <cell r="F39">
            <v>2.9448885149347919</v>
          </cell>
        </row>
        <row r="47">
          <cell r="D47" t="str">
            <v xml:space="preserve">30년 초과 </v>
          </cell>
        </row>
      </sheetData>
      <sheetData sheetId="37"/>
      <sheetData sheetId="38"/>
      <sheetData sheetId="3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28">
          <cell r="D28">
            <v>226240470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F39">
            <v>4421.875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39">
          <cell r="F39">
            <v>205.88235294117646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9">
          <cell r="F39">
            <v>7.1759259259259256</v>
          </cell>
        </row>
        <row r="45">
          <cell r="D45">
            <v>-46210408.054396279</v>
          </cell>
        </row>
        <row r="46">
          <cell r="D46">
            <v>128.40974459186549</v>
          </cell>
        </row>
      </sheetData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총괄"/>
      <sheetName val="총괄(수요개발현황)"/>
      <sheetName val="총괄(NPV 및 IRR)"/>
      <sheetName val="총괄(수요가시설)"/>
      <sheetName val="공공택지(분석서)"/>
      <sheetName val="공공택지(수요개발현황)"/>
      <sheetName val="공공택지(NPV 및 IRR)"/>
      <sheetName val="공공택지(수요가시설)"/>
      <sheetName val="공동주택(분석서)"/>
      <sheetName val="공동주택(수요개발현황)"/>
      <sheetName val="공동주택(NPV 및 IRR)"/>
      <sheetName val="공동주택(수요가시설)"/>
      <sheetName val="산업용(분석서)"/>
      <sheetName val="산업용(수요개발현황)"/>
      <sheetName val="산업용(NPV 및 IRR)"/>
      <sheetName val="산업용(수요가시설)"/>
      <sheetName val="업무용(분석서)"/>
      <sheetName val="업무용(수요개발현황)"/>
      <sheetName val="업무용(NPV 및 IRR)"/>
      <sheetName val="업무용(수요가시설)"/>
      <sheetName val="연료전지(분석서)"/>
      <sheetName val="연료전지(수요개발현황)"/>
      <sheetName val="연료전지(NPV 및 IRR)"/>
      <sheetName val="연료전지(수요가시설)"/>
      <sheetName val="열병합(분석서)"/>
      <sheetName val="열병합(수요개발현황)"/>
      <sheetName val="열병합(NPV 및 IRR)"/>
      <sheetName val="열병합(수요가시설)"/>
      <sheetName val="열전용(분석서)"/>
      <sheetName val="열전용(수요개발현황)"/>
      <sheetName val="열전용(NPV 및 IRR)"/>
      <sheetName val="열전용(수요가시설)"/>
      <sheetName val="영업용(분석서)"/>
      <sheetName val="영업용(수요개발현황)"/>
      <sheetName val="영업용(NPV 및 IRR)"/>
      <sheetName val="영업용(수요가시설)"/>
      <sheetName val="주택용(분석서)"/>
      <sheetName val="주택용(수요개발현황)"/>
      <sheetName val="주택용(NPV 및 IRR)"/>
      <sheetName val="주택용(수요가시설)"/>
    </sheetNames>
    <sheetDataSet>
      <sheetData sheetId="0">
        <row r="28">
          <cell r="D28">
            <v>27334241.300000001</v>
          </cell>
        </row>
        <row r="39">
          <cell r="F39">
            <v>5962.5</v>
          </cell>
        </row>
        <row r="45">
          <cell r="D45">
            <v>336399580.65493071</v>
          </cell>
        </row>
        <row r="46">
          <cell r="D46">
            <v>80.658150909601218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F39">
            <v>5962.5</v>
          </cell>
        </row>
        <row r="45">
          <cell r="D45">
            <v>336399580.65493071</v>
          </cell>
        </row>
        <row r="46">
          <cell r="D46">
            <v>80.658150909601218</v>
          </cell>
        </row>
        <row r="47">
          <cell r="D47">
            <v>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최 한엽" id="{2BD2D603-285C-4175-A005-1A68C8AE3EBC}" userId="S::hychoi@daesungmarketing2025.onmicrosoft.com::8977b89d-b718-4c8e-ba00-801657d76bb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8" dT="2025-08-25T07:54:59.62" personId="{2BD2D603-285C-4175-A005-1A68C8AE3EBC}" id="{B854E11F-940F-4D07-B0F0-8BC190E53DCC}">
    <text>4234-1367</text>
  </threadedComment>
  <threadedComment ref="J18" dT="2025-08-11T00:36:43.99" personId="{2BD2D603-285C-4175-A005-1A68C8AE3EBC}" id="{E08CA67A-B40F-4CEB-B688-0BAC1C6C8EAC}">
    <text xml:space="preserve">(실천사업계획)투자한도 계산시 _ 공무팀(실천사업계획 최종본 _ 용도요약사용 but 2-3.관로공사 구간 sheet에 
투자 한도 계산시
투자보수율 소계 - 전년도 인정 이월 공사
= 2,985,850 - 1,158,404 = 1,827,446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>
    <tabColor rgb="FFFFFF00"/>
  </sheetPr>
  <dimension ref="A1:O19"/>
  <sheetViews>
    <sheetView zoomScale="85" workbookViewId="0">
      <selection activeCell="Q6" sqref="Q6"/>
    </sheetView>
  </sheetViews>
  <sheetFormatPr defaultRowHeight="30" customHeight="1"/>
  <cols>
    <col min="1" max="1" width="8.88671875" style="325"/>
    <col min="2" max="2" width="12.88671875" style="325" customWidth="1"/>
    <col min="3" max="3" width="15.77734375" style="325" customWidth="1"/>
    <col min="4" max="4" width="23.21875" style="325" customWidth="1"/>
    <col min="5" max="5" width="10.77734375" style="337" customWidth="1"/>
    <col min="6" max="6" width="15.77734375" style="338" customWidth="1"/>
    <col min="7" max="7" width="8.5546875" style="337" hidden="1" customWidth="1"/>
    <col min="8" max="8" width="14.33203125" style="338" hidden="1" customWidth="1"/>
    <col min="9" max="9" width="10.77734375" style="337" customWidth="1"/>
    <col min="10" max="10" width="15.77734375" style="338" customWidth="1"/>
    <col min="11" max="11" width="10.77734375" style="337" customWidth="1"/>
    <col min="12" max="12" width="15.77734375" style="338" customWidth="1"/>
    <col min="13" max="13" width="23.77734375" style="325" customWidth="1"/>
    <col min="14" max="14" width="8.88671875" style="325"/>
    <col min="15" max="15" width="9.33203125" style="325" bestFit="1" customWidth="1"/>
    <col min="16" max="16" width="10.21875" style="325" bestFit="1" customWidth="1"/>
    <col min="17" max="16384" width="8.88671875" style="325"/>
  </cols>
  <sheetData>
    <row r="1" spans="1:15" s="340" customFormat="1" ht="55.5" customHeight="1">
      <c r="B1" s="425" t="s">
        <v>166</v>
      </c>
      <c r="C1" s="341"/>
      <c r="D1" s="341"/>
      <c r="E1" s="341"/>
      <c r="F1" s="342"/>
      <c r="G1" s="341"/>
      <c r="H1" s="342"/>
      <c r="I1" s="341"/>
      <c r="J1" s="342"/>
      <c r="K1" s="341"/>
      <c r="L1" s="342"/>
      <c r="M1" s="426"/>
    </row>
    <row r="2" spans="1:15" ht="8.25" customHeight="1">
      <c r="B2" s="332"/>
      <c r="C2" s="333"/>
      <c r="D2" s="333"/>
      <c r="E2" s="334"/>
      <c r="F2" s="335"/>
      <c r="G2" s="334"/>
      <c r="H2" s="335"/>
      <c r="I2" s="334"/>
      <c r="J2" s="335"/>
      <c r="K2" s="334"/>
      <c r="L2" s="335"/>
    </row>
    <row r="3" spans="1:15" ht="30" customHeight="1">
      <c r="A3" s="1896" t="s">
        <v>170</v>
      </c>
      <c r="B3" s="1886" t="s">
        <v>152</v>
      </c>
      <c r="C3" s="1894" t="s">
        <v>154</v>
      </c>
      <c r="D3" s="1892" t="s">
        <v>155</v>
      </c>
      <c r="E3" s="405" t="s">
        <v>167</v>
      </c>
      <c r="F3" s="406"/>
      <c r="G3" s="399" t="s">
        <v>168</v>
      </c>
      <c r="H3" s="416"/>
      <c r="I3" s="405" t="s">
        <v>474</v>
      </c>
      <c r="J3" s="406"/>
      <c r="K3" s="405" t="s">
        <v>169</v>
      </c>
      <c r="L3" s="406"/>
      <c r="M3" s="1890" t="s">
        <v>159</v>
      </c>
    </row>
    <row r="4" spans="1:15" ht="30" customHeight="1">
      <c r="A4" s="1896"/>
      <c r="B4" s="1887"/>
      <c r="C4" s="1895"/>
      <c r="D4" s="1893"/>
      <c r="E4" s="407" t="s">
        <v>164</v>
      </c>
      <c r="F4" s="408" t="s">
        <v>165</v>
      </c>
      <c r="G4" s="400" t="s">
        <v>164</v>
      </c>
      <c r="H4" s="417" t="s">
        <v>165</v>
      </c>
      <c r="I4" s="407" t="s">
        <v>164</v>
      </c>
      <c r="J4" s="408" t="s">
        <v>165</v>
      </c>
      <c r="K4" s="407" t="s">
        <v>164</v>
      </c>
      <c r="L4" s="408" t="s">
        <v>165</v>
      </c>
      <c r="M4" s="1891"/>
    </row>
    <row r="5" spans="1:15" ht="39.950000000000003" customHeight="1">
      <c r="A5" s="1883" t="s">
        <v>171</v>
      </c>
      <c r="B5" s="329"/>
      <c r="C5" s="330"/>
      <c r="D5" s="1422"/>
      <c r="E5" s="409"/>
      <c r="F5" s="410"/>
      <c r="G5" s="401"/>
      <c r="H5" s="418"/>
      <c r="I5" s="409">
        <f t="shared" ref="I5:J7" si="0">E5-K5</f>
        <v>0</v>
      </c>
      <c r="J5" s="410">
        <f t="shared" si="0"/>
        <v>0</v>
      </c>
      <c r="K5" s="409"/>
      <c r="L5" s="478"/>
      <c r="M5" s="427"/>
    </row>
    <row r="6" spans="1:15" ht="39.950000000000003" customHeight="1">
      <c r="A6" s="1883"/>
      <c r="B6" s="331"/>
      <c r="C6" s="326"/>
      <c r="D6" s="1426"/>
      <c r="E6" s="411"/>
      <c r="F6" s="412"/>
      <c r="G6" s="402"/>
      <c r="H6" s="419"/>
      <c r="I6" s="411">
        <f t="shared" si="0"/>
        <v>0</v>
      </c>
      <c r="J6" s="412">
        <f t="shared" si="0"/>
        <v>0</v>
      </c>
      <c r="K6" s="411"/>
      <c r="L6" s="412"/>
      <c r="M6" s="479"/>
    </row>
    <row r="7" spans="1:15" ht="39.950000000000003" customHeight="1">
      <c r="A7" s="1883"/>
      <c r="B7" s="331"/>
      <c r="C7" s="326"/>
      <c r="D7" s="1426"/>
      <c r="E7" s="411"/>
      <c r="F7" s="412"/>
      <c r="G7" s="402"/>
      <c r="H7" s="419"/>
      <c r="I7" s="411">
        <f t="shared" si="0"/>
        <v>0</v>
      </c>
      <c r="J7" s="412">
        <f t="shared" si="0"/>
        <v>0</v>
      </c>
      <c r="K7" s="411"/>
      <c r="L7" s="412"/>
      <c r="M7" s="479"/>
    </row>
    <row r="8" spans="1:15" ht="39.950000000000003" customHeight="1">
      <c r="A8" s="1883"/>
      <c r="B8" s="331"/>
      <c r="C8" s="327"/>
      <c r="D8" s="396"/>
      <c r="E8" s="411"/>
      <c r="F8" s="412"/>
      <c r="G8" s="402"/>
      <c r="H8" s="419"/>
      <c r="I8" s="411"/>
      <c r="J8" s="412"/>
      <c r="K8" s="411"/>
      <c r="L8" s="412"/>
      <c r="M8" s="422"/>
    </row>
    <row r="9" spans="1:15" ht="39.950000000000003" customHeight="1">
      <c r="A9" s="1883"/>
      <c r="B9" s="484"/>
      <c r="C9" s="328"/>
      <c r="D9" s="397"/>
      <c r="E9" s="413"/>
      <c r="F9" s="485"/>
      <c r="G9" s="403"/>
      <c r="H9" s="486"/>
      <c r="I9" s="413"/>
      <c r="J9" s="485"/>
      <c r="K9" s="413"/>
      <c r="L9" s="485"/>
      <c r="M9" s="423"/>
    </row>
    <row r="10" spans="1:15" ht="39.950000000000003" customHeight="1">
      <c r="A10" s="1883"/>
      <c r="B10" s="1888" t="s">
        <v>173</v>
      </c>
      <c r="C10" s="1889"/>
      <c r="D10" s="495"/>
      <c r="E10" s="496">
        <f>SUM(E5:E9)</f>
        <v>0</v>
      </c>
      <c r="F10" s="497">
        <f t="shared" ref="F10:L10" si="1">SUM(F5:F9)</f>
        <v>0</v>
      </c>
      <c r="G10" s="498">
        <f t="shared" si="1"/>
        <v>0</v>
      </c>
      <c r="H10" s="499">
        <f t="shared" si="1"/>
        <v>0</v>
      </c>
      <c r="I10" s="496">
        <f t="shared" si="1"/>
        <v>0</v>
      </c>
      <c r="J10" s="497">
        <f t="shared" si="1"/>
        <v>0</v>
      </c>
      <c r="K10" s="496">
        <f t="shared" si="1"/>
        <v>0</v>
      </c>
      <c r="L10" s="497">
        <f t="shared" si="1"/>
        <v>0</v>
      </c>
      <c r="M10" s="424"/>
    </row>
    <row r="11" spans="1:15" ht="39.950000000000003" customHeight="1">
      <c r="A11" s="1883" t="s">
        <v>172</v>
      </c>
      <c r="B11" s="481"/>
      <c r="C11" s="481"/>
      <c r="D11" s="1419"/>
      <c r="E11" s="1423"/>
      <c r="F11" s="412"/>
      <c r="G11" s="482"/>
      <c r="H11" s="483"/>
      <c r="I11" s="1085">
        <f t="shared" ref="I11" si="2">E11-K11</f>
        <v>0</v>
      </c>
      <c r="J11" s="412">
        <f t="shared" ref="J11" si="3">F11-L11</f>
        <v>0</v>
      </c>
      <c r="K11" s="1086"/>
      <c r="L11" s="1084"/>
      <c r="M11" s="427"/>
    </row>
    <row r="12" spans="1:15" ht="39.950000000000003" customHeight="1">
      <c r="A12" s="1883"/>
      <c r="B12" s="328"/>
      <c r="C12" s="328"/>
      <c r="D12" s="1420"/>
      <c r="E12" s="1424"/>
      <c r="F12" s="485"/>
      <c r="G12" s="403"/>
      <c r="H12" s="420"/>
      <c r="I12" s="1088"/>
      <c r="J12" s="485"/>
      <c r="K12" s="1086"/>
      <c r="L12" s="485"/>
      <c r="M12" s="423"/>
      <c r="O12" s="325" t="s">
        <v>174</v>
      </c>
    </row>
    <row r="13" spans="1:15" ht="39.950000000000003" customHeight="1">
      <c r="A13" s="1883"/>
      <c r="B13" s="395"/>
      <c r="C13" s="395"/>
      <c r="D13" s="398"/>
      <c r="E13" s="414"/>
      <c r="F13" s="415"/>
      <c r="G13" s="404"/>
      <c r="H13" s="421"/>
      <c r="I13" s="414"/>
      <c r="J13" s="415"/>
      <c r="K13" s="1425"/>
      <c r="L13" s="415"/>
      <c r="M13" s="422"/>
      <c r="O13" s="325" t="s">
        <v>174</v>
      </c>
    </row>
    <row r="14" spans="1:15" ht="39.950000000000003" customHeight="1">
      <c r="A14" s="1883"/>
      <c r="B14" s="395"/>
      <c r="C14" s="395"/>
      <c r="D14" s="398"/>
      <c r="E14" s="414"/>
      <c r="F14" s="415"/>
      <c r="G14" s="404"/>
      <c r="H14" s="421"/>
      <c r="I14" s="414"/>
      <c r="J14" s="415"/>
      <c r="K14" s="414"/>
      <c r="L14" s="415"/>
      <c r="M14" s="422"/>
      <c r="O14" s="325" t="s">
        <v>174</v>
      </c>
    </row>
    <row r="15" spans="1:15" ht="39.950000000000003" customHeight="1">
      <c r="A15" s="1883"/>
      <c r="B15" s="487"/>
      <c r="C15" s="488"/>
      <c r="D15" s="489"/>
      <c r="E15" s="490"/>
      <c r="F15" s="491"/>
      <c r="G15" s="492"/>
      <c r="H15" s="493"/>
      <c r="I15" s="490"/>
      <c r="J15" s="491"/>
      <c r="K15" s="490"/>
      <c r="L15" s="491"/>
      <c r="M15" s="494"/>
      <c r="O15" s="325" t="s">
        <v>174</v>
      </c>
    </row>
    <row r="16" spans="1:15" ht="39.950000000000003" customHeight="1">
      <c r="A16" s="1883"/>
      <c r="B16" s="1888" t="s">
        <v>173</v>
      </c>
      <c r="C16" s="1889"/>
      <c r="D16" s="495"/>
      <c r="E16" s="496">
        <f>SUM(E11:E15)</f>
        <v>0</v>
      </c>
      <c r="F16" s="497">
        <f t="shared" ref="F16:L16" si="4">SUM(F11:F15)</f>
        <v>0</v>
      </c>
      <c r="G16" s="498">
        <f t="shared" si="4"/>
        <v>0</v>
      </c>
      <c r="H16" s="499">
        <f t="shared" si="4"/>
        <v>0</v>
      </c>
      <c r="I16" s="496">
        <f t="shared" si="4"/>
        <v>0</v>
      </c>
      <c r="J16" s="497">
        <f t="shared" si="4"/>
        <v>0</v>
      </c>
      <c r="K16" s="496">
        <f t="shared" si="4"/>
        <v>0</v>
      </c>
      <c r="L16" s="497">
        <f t="shared" si="4"/>
        <v>0</v>
      </c>
      <c r="M16" s="424"/>
      <c r="O16" s="325" t="s">
        <v>174</v>
      </c>
    </row>
    <row r="17" spans="1:15" ht="39.950000000000003" customHeight="1">
      <c r="A17" s="480"/>
      <c r="B17" s="1884" t="s">
        <v>160</v>
      </c>
      <c r="C17" s="1885"/>
      <c r="D17" s="500"/>
      <c r="E17" s="501">
        <f>SUM(E10,E16)</f>
        <v>0</v>
      </c>
      <c r="F17" s="502">
        <f t="shared" ref="F17:L17" si="5">SUM(F10,F16)</f>
        <v>0</v>
      </c>
      <c r="G17" s="503">
        <f t="shared" si="5"/>
        <v>0</v>
      </c>
      <c r="H17" s="504">
        <f t="shared" si="5"/>
        <v>0</v>
      </c>
      <c r="I17" s="501">
        <f t="shared" si="5"/>
        <v>0</v>
      </c>
      <c r="J17" s="502">
        <f t="shared" si="5"/>
        <v>0</v>
      </c>
      <c r="K17" s="501">
        <f t="shared" si="5"/>
        <v>0</v>
      </c>
      <c r="L17" s="502">
        <f t="shared" si="5"/>
        <v>0</v>
      </c>
      <c r="M17" s="505"/>
      <c r="O17" s="325" t="s">
        <v>174</v>
      </c>
    </row>
    <row r="18" spans="1:15" ht="39.950000000000003" customHeight="1">
      <c r="B18" s="1222"/>
      <c r="C18" s="1222"/>
      <c r="D18" s="1223"/>
      <c r="E18" s="1224"/>
      <c r="F18" s="1225"/>
      <c r="G18" s="1224"/>
      <c r="H18" s="1225"/>
      <c r="I18" s="1224"/>
      <c r="J18" s="1225"/>
      <c r="K18" s="1224"/>
      <c r="L18" s="1225"/>
      <c r="M18" s="1226"/>
    </row>
    <row r="19" spans="1:15" ht="39.950000000000003" customHeight="1">
      <c r="B19" s="1222"/>
      <c r="C19" s="1222"/>
      <c r="D19" s="1223"/>
      <c r="E19" s="1224"/>
      <c r="F19" s="1225"/>
      <c r="G19" s="1224"/>
      <c r="H19" s="1225"/>
      <c r="I19" s="1224"/>
      <c r="J19" s="1225"/>
      <c r="K19" s="1224"/>
      <c r="L19" s="1225"/>
      <c r="M19" s="1226"/>
    </row>
  </sheetData>
  <mergeCells count="10">
    <mergeCell ref="M3:M4"/>
    <mergeCell ref="D3:D4"/>
    <mergeCell ref="C3:C4"/>
    <mergeCell ref="B10:C10"/>
    <mergeCell ref="A3:A4"/>
    <mergeCell ref="A11:A16"/>
    <mergeCell ref="A5:A10"/>
    <mergeCell ref="B17:C17"/>
    <mergeCell ref="B3:B4"/>
    <mergeCell ref="B16:C16"/>
  </mergeCells>
  <phoneticPr fontId="43" type="noConversion"/>
  <printOptions horizontalCentered="1"/>
  <pageMargins left="0.11811023622047245" right="0.11811023622047245" top="0.51181102362204722" bottom="0.23622047244094491" header="0.35433070866141736" footer="0.31496062992125984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>
    <tabColor rgb="FFFFFF00"/>
  </sheetPr>
  <dimension ref="A1:V113"/>
  <sheetViews>
    <sheetView zoomScale="85" zoomScaleNormal="85" workbookViewId="0">
      <selection activeCell="B2" sqref="B2"/>
    </sheetView>
  </sheetViews>
  <sheetFormatPr defaultRowHeight="24.95" customHeight="1"/>
  <cols>
    <col min="1" max="1" width="5.44140625" style="325" customWidth="1"/>
    <col min="2" max="2" width="7.88671875" style="325" customWidth="1"/>
    <col min="3" max="3" width="7.109375" style="325" customWidth="1"/>
    <col min="4" max="4" width="13.6640625" style="325" hidden="1" customWidth="1"/>
    <col min="5" max="5" width="22.21875" style="325" bestFit="1" customWidth="1"/>
    <col min="6" max="6" width="8.88671875" style="337" bestFit="1" customWidth="1"/>
    <col min="7" max="7" width="14.33203125" style="338" customWidth="1"/>
    <col min="8" max="8" width="12.77734375" style="339" hidden="1" customWidth="1"/>
    <col min="9" max="9" width="12.21875" style="339" hidden="1" customWidth="1"/>
    <col min="10" max="10" width="12.77734375" style="339" hidden="1" customWidth="1"/>
    <col min="11" max="11" width="14.21875" style="339" customWidth="1"/>
    <col min="12" max="12" width="32.44140625" style="339" bestFit="1" customWidth="1"/>
    <col min="13" max="13" width="10.6640625" style="325" hidden="1" customWidth="1"/>
    <col min="14" max="14" width="8.88671875" style="325"/>
    <col min="15" max="15" width="9.88671875" style="325" bestFit="1" customWidth="1"/>
    <col min="16" max="16" width="12.77734375" style="325" bestFit="1" customWidth="1"/>
    <col min="17" max="17" width="12.21875" style="325" bestFit="1" customWidth="1"/>
    <col min="18" max="18" width="16.5546875" style="325" bestFit="1" customWidth="1"/>
    <col min="19" max="19" width="15.21875" style="325" bestFit="1" customWidth="1"/>
    <col min="20" max="20" width="15.33203125" style="325" customWidth="1"/>
    <col min="21" max="21" width="16.5546875" style="325" bestFit="1" customWidth="1"/>
    <col min="22" max="22" width="13.6640625" style="325" bestFit="1" customWidth="1"/>
    <col min="23" max="16384" width="8.88671875" style="325"/>
  </cols>
  <sheetData>
    <row r="1" spans="1:19" s="340" customFormat="1" ht="34.5" customHeight="1">
      <c r="B1" s="1487" t="s">
        <v>496</v>
      </c>
      <c r="C1" s="341"/>
      <c r="D1" s="341"/>
      <c r="E1" s="341"/>
      <c r="F1" s="341"/>
      <c r="G1" s="342"/>
      <c r="H1" s="341"/>
      <c r="I1" s="341"/>
      <c r="J1" s="341"/>
      <c r="K1" s="341"/>
      <c r="L1" s="341"/>
    </row>
    <row r="2" spans="1:19" ht="12.75" customHeight="1">
      <c r="B2" s="332"/>
      <c r="C2" s="333"/>
      <c r="D2" s="333"/>
      <c r="E2" s="333"/>
      <c r="F2" s="334"/>
      <c r="G2" s="335"/>
      <c r="H2" s="336"/>
      <c r="I2" s="336"/>
      <c r="J2" s="336"/>
      <c r="K2" s="336"/>
      <c r="L2" s="336"/>
    </row>
    <row r="3" spans="1:19" s="442" customFormat="1" ht="15" customHeight="1">
      <c r="A3" s="1899" t="s">
        <v>151</v>
      </c>
      <c r="B3" s="1909" t="s">
        <v>152</v>
      </c>
      <c r="C3" s="1899" t="s">
        <v>153</v>
      </c>
      <c r="D3" s="1899" t="s">
        <v>154</v>
      </c>
      <c r="E3" s="1899" t="s">
        <v>155</v>
      </c>
      <c r="F3" s="1905" t="s">
        <v>156</v>
      </c>
      <c r="G3" s="1903" t="s">
        <v>157</v>
      </c>
      <c r="H3" s="440" t="s">
        <v>158</v>
      </c>
      <c r="I3" s="441"/>
      <c r="J3" s="441"/>
      <c r="K3" s="1907" t="s">
        <v>185</v>
      </c>
      <c r="L3" s="1901" t="s">
        <v>359</v>
      </c>
      <c r="M3" s="1897" t="s">
        <v>159</v>
      </c>
    </row>
    <row r="4" spans="1:19" s="442" customFormat="1" ht="15" customHeight="1">
      <c r="A4" s="1900"/>
      <c r="B4" s="1910"/>
      <c r="C4" s="1900"/>
      <c r="D4" s="1900"/>
      <c r="E4" s="1900"/>
      <c r="F4" s="1906"/>
      <c r="G4" s="1904"/>
      <c r="H4" s="443" t="s">
        <v>131</v>
      </c>
      <c r="I4" s="444" t="s">
        <v>132</v>
      </c>
      <c r="J4" s="445" t="s">
        <v>133</v>
      </c>
      <c r="K4" s="1908"/>
      <c r="L4" s="1902"/>
      <c r="M4" s="1898"/>
    </row>
    <row r="5" spans="1:19" s="442" customFormat="1" ht="21" customHeight="1">
      <c r="A5" s="1918" t="s">
        <v>326</v>
      </c>
      <c r="B5" s="451"/>
      <c r="C5" s="452"/>
      <c r="D5" s="452"/>
      <c r="E5" s="1262"/>
      <c r="F5" s="454"/>
      <c r="G5" s="1204"/>
      <c r="H5" s="456"/>
      <c r="I5" s="457"/>
      <c r="J5" s="458"/>
      <c r="K5" s="448"/>
      <c r="L5" s="1107"/>
      <c r="M5" s="446"/>
      <c r="O5" s="442" t="s">
        <v>337</v>
      </c>
      <c r="P5" s="1109">
        <f>F5+F19+F20+F25+F27+F28+F30</f>
        <v>0</v>
      </c>
      <c r="Q5" s="1109">
        <f>G5+G19+G20+G25+G27+G28+G30</f>
        <v>0</v>
      </c>
      <c r="R5" s="1207">
        <f>Q5+G88</f>
        <v>0</v>
      </c>
      <c r="S5" s="1207"/>
    </row>
    <row r="6" spans="1:19" s="442" customFormat="1" ht="21" customHeight="1">
      <c r="A6" s="1919"/>
      <c r="B6" s="451"/>
      <c r="C6" s="452"/>
      <c r="D6" s="452"/>
      <c r="E6" s="1262"/>
      <c r="F6" s="454"/>
      <c r="G6" s="1204"/>
      <c r="H6" s="456"/>
      <c r="I6" s="457"/>
      <c r="J6" s="458"/>
      <c r="K6" s="448"/>
      <c r="L6" s="1107"/>
      <c r="M6" s="446"/>
    </row>
    <row r="7" spans="1:19" s="442" customFormat="1" ht="21" customHeight="1">
      <c r="A7" s="1919"/>
      <c r="B7" s="451"/>
      <c r="C7" s="452"/>
      <c r="D7" s="452"/>
      <c r="E7" s="1262"/>
      <c r="F7" s="454"/>
      <c r="G7" s="1204"/>
      <c r="H7" s="456"/>
      <c r="I7" s="457"/>
      <c r="J7" s="458"/>
      <c r="K7" s="448"/>
      <c r="L7" s="1107"/>
      <c r="M7" s="446"/>
    </row>
    <row r="8" spans="1:19" s="442" customFormat="1" ht="21" customHeight="1">
      <c r="A8" s="1919"/>
      <c r="B8" s="451"/>
      <c r="C8" s="1463"/>
      <c r="D8" s="447"/>
      <c r="E8" s="1262"/>
      <c r="F8" s="547"/>
      <c r="G8" s="548"/>
      <c r="H8" s="549"/>
      <c r="I8" s="550"/>
      <c r="J8" s="551"/>
      <c r="K8" s="448"/>
      <c r="L8" s="1107"/>
      <c r="M8" s="446"/>
    </row>
    <row r="9" spans="1:19" s="442" customFormat="1" ht="21" customHeight="1">
      <c r="A9" s="1919"/>
      <c r="B9" s="451"/>
      <c r="C9" s="1464"/>
      <c r="D9" s="1215"/>
      <c r="E9" s="1262"/>
      <c r="F9" s="1216"/>
      <c r="G9" s="1229"/>
      <c r="H9" s="1217"/>
      <c r="I9" s="1218"/>
      <c r="J9" s="1219"/>
      <c r="K9" s="1354"/>
      <c r="L9" s="1107"/>
      <c r="M9" s="450"/>
    </row>
    <row r="10" spans="1:19" s="442" customFormat="1" ht="21" customHeight="1">
      <c r="A10" s="1919"/>
      <c r="B10" s="451"/>
      <c r="C10" s="1463"/>
      <c r="D10" s="452"/>
      <c r="E10" s="1262"/>
      <c r="F10" s="454"/>
      <c r="G10" s="1204"/>
      <c r="H10" s="456"/>
      <c r="I10" s="457"/>
      <c r="J10" s="458"/>
      <c r="K10" s="1211"/>
      <c r="L10" s="1107"/>
      <c r="M10" s="459"/>
    </row>
    <row r="11" spans="1:19" s="442" customFormat="1" ht="21" customHeight="1">
      <c r="A11" s="1919"/>
      <c r="B11" s="451"/>
      <c r="C11" s="1463"/>
      <c r="D11" s="452"/>
      <c r="E11" s="1262"/>
      <c r="F11" s="454"/>
      <c r="G11" s="1204"/>
      <c r="H11" s="456"/>
      <c r="I11" s="457"/>
      <c r="J11" s="458"/>
      <c r="K11" s="1211"/>
      <c r="L11" s="1107"/>
      <c r="M11" s="459"/>
    </row>
    <row r="12" spans="1:19" s="442" customFormat="1" ht="21" customHeight="1">
      <c r="A12" s="1919"/>
      <c r="B12" s="451"/>
      <c r="C12" s="452"/>
      <c r="D12" s="452"/>
      <c r="E12" s="1262"/>
      <c r="F12" s="454"/>
      <c r="G12" s="1204"/>
      <c r="H12" s="456"/>
      <c r="I12" s="457"/>
      <c r="J12" s="458"/>
      <c r="K12" s="1211"/>
      <c r="L12" s="1107"/>
      <c r="M12" s="459"/>
    </row>
    <row r="13" spans="1:19" s="442" customFormat="1" ht="21" customHeight="1">
      <c r="A13" s="1919"/>
      <c r="B13" s="451"/>
      <c r="C13" s="452"/>
      <c r="D13" s="452"/>
      <c r="E13" s="1262"/>
      <c r="F13" s="454"/>
      <c r="G13" s="1204"/>
      <c r="H13" s="456"/>
      <c r="I13" s="457"/>
      <c r="J13" s="458"/>
      <c r="K13" s="1211"/>
      <c r="L13" s="1107"/>
      <c r="M13" s="450"/>
    </row>
    <row r="14" spans="1:19" s="442" customFormat="1" ht="21" customHeight="1">
      <c r="A14" s="1919"/>
      <c r="B14" s="451"/>
      <c r="C14" s="1469"/>
      <c r="D14" s="452"/>
      <c r="E14" s="1262"/>
      <c r="F14" s="454"/>
      <c r="G14" s="1204"/>
      <c r="H14" s="456"/>
      <c r="I14" s="457"/>
      <c r="J14" s="458"/>
      <c r="K14" s="1211"/>
      <c r="L14" s="1107"/>
      <c r="M14" s="450"/>
    </row>
    <row r="15" spans="1:19" s="442" customFormat="1" ht="21" customHeight="1">
      <c r="A15" s="1919"/>
      <c r="B15" s="451"/>
      <c r="C15" s="1469"/>
      <c r="D15" s="452"/>
      <c r="E15" s="1262"/>
      <c r="F15" s="454"/>
      <c r="G15" s="455"/>
      <c r="H15" s="456"/>
      <c r="I15" s="457"/>
      <c r="J15" s="458"/>
      <c r="K15" s="448"/>
      <c r="L15" s="1107"/>
      <c r="M15" s="450"/>
    </row>
    <row r="16" spans="1:19" s="442" customFormat="1" ht="21" customHeight="1">
      <c r="A16" s="1919"/>
      <c r="B16" s="451"/>
      <c r="C16" s="1469"/>
      <c r="D16" s="452"/>
      <c r="E16" s="1262"/>
      <c r="F16" s="454"/>
      <c r="G16" s="455"/>
      <c r="H16" s="456"/>
      <c r="I16" s="457"/>
      <c r="J16" s="458"/>
      <c r="K16" s="448"/>
      <c r="L16" s="1107"/>
      <c r="M16" s="450"/>
    </row>
    <row r="17" spans="1:19" s="442" customFormat="1" ht="21" customHeight="1">
      <c r="A17" s="1919"/>
      <c r="B17" s="451"/>
      <c r="C17" s="1469"/>
      <c r="D17" s="452"/>
      <c r="E17" s="1262"/>
      <c r="F17" s="454"/>
      <c r="G17" s="455"/>
      <c r="H17" s="456"/>
      <c r="I17" s="457"/>
      <c r="J17" s="458"/>
      <c r="K17" s="448"/>
      <c r="L17" s="1107"/>
      <c r="M17" s="450"/>
      <c r="O17" s="442" t="s">
        <v>338</v>
      </c>
      <c r="P17" s="1109">
        <f>F17</f>
        <v>0</v>
      </c>
      <c r="Q17" s="1109">
        <f>G17</f>
        <v>0</v>
      </c>
      <c r="R17" s="1207">
        <f>Q17+G86</f>
        <v>0</v>
      </c>
      <c r="S17" s="1207"/>
    </row>
    <row r="18" spans="1:19" s="442" customFormat="1" ht="21" customHeight="1">
      <c r="A18" s="1919"/>
      <c r="B18" s="451"/>
      <c r="C18" s="1469"/>
      <c r="D18" s="452"/>
      <c r="E18" s="1262"/>
      <c r="F18" s="454"/>
      <c r="G18" s="455"/>
      <c r="H18" s="456"/>
      <c r="I18" s="457"/>
      <c r="J18" s="458"/>
      <c r="K18" s="448"/>
      <c r="L18" s="1107"/>
      <c r="M18" s="450"/>
      <c r="O18" s="442" t="s">
        <v>339</v>
      </c>
      <c r="P18" s="1109">
        <f>F29</f>
        <v>0</v>
      </c>
      <c r="Q18" s="1109">
        <f>G29</f>
        <v>0</v>
      </c>
      <c r="R18" s="1207">
        <f>Q18+G84</f>
        <v>0</v>
      </c>
      <c r="S18" s="1207"/>
    </row>
    <row r="19" spans="1:19" s="442" customFormat="1" ht="21" customHeight="1">
      <c r="A19" s="1919"/>
      <c r="B19" s="451"/>
      <c r="C19" s="1469"/>
      <c r="D19" s="452"/>
      <c r="E19" s="1262"/>
      <c r="F19" s="454"/>
      <c r="G19" s="455"/>
      <c r="H19" s="456"/>
      <c r="I19" s="457"/>
      <c r="J19" s="458"/>
      <c r="K19" s="448"/>
      <c r="L19" s="1107"/>
      <c r="M19" s="450"/>
      <c r="O19" s="442" t="s">
        <v>340</v>
      </c>
      <c r="P19" s="1109">
        <f>F21+F22+F23+F24+F26</f>
        <v>0</v>
      </c>
      <c r="Q19" s="1109">
        <f>G21+G22+G23+G24+G26</f>
        <v>0</v>
      </c>
      <c r="R19" s="1207">
        <f>Q19+G89</f>
        <v>0</v>
      </c>
      <c r="S19" s="1207"/>
    </row>
    <row r="20" spans="1:19" s="442" customFormat="1" ht="21" customHeight="1">
      <c r="A20" s="1919"/>
      <c r="B20" s="451"/>
      <c r="C20" s="1469"/>
      <c r="D20" s="452"/>
      <c r="E20" s="1262"/>
      <c r="F20" s="454"/>
      <c r="G20" s="455"/>
      <c r="H20" s="456"/>
      <c r="I20" s="457"/>
      <c r="J20" s="458"/>
      <c r="K20" s="448"/>
      <c r="L20" s="1107"/>
      <c r="M20" s="459"/>
      <c r="O20" s="442" t="s">
        <v>336</v>
      </c>
      <c r="P20" s="1109">
        <f>F18</f>
        <v>0</v>
      </c>
      <c r="Q20" s="1109">
        <f>G18</f>
        <v>0</v>
      </c>
      <c r="R20" s="1207">
        <f>Q20+G90</f>
        <v>0</v>
      </c>
      <c r="S20" s="1207"/>
    </row>
    <row r="21" spans="1:19" s="442" customFormat="1" ht="21" customHeight="1">
      <c r="A21" s="1919"/>
      <c r="B21" s="451"/>
      <c r="C21" s="1469"/>
      <c r="D21" s="452"/>
      <c r="E21" s="1262"/>
      <c r="F21" s="454"/>
      <c r="G21" s="455"/>
      <c r="H21" s="456"/>
      <c r="I21" s="457"/>
      <c r="J21" s="458"/>
      <c r="K21" s="448"/>
      <c r="L21" s="1107"/>
      <c r="M21" s="459"/>
      <c r="O21" s="442" t="s">
        <v>341</v>
      </c>
      <c r="P21" s="1109"/>
      <c r="Q21" s="1109"/>
      <c r="R21" s="1208">
        <f>G82</f>
        <v>0</v>
      </c>
      <c r="S21" s="1208"/>
    </row>
    <row r="22" spans="1:19" s="442" customFormat="1" ht="21" customHeight="1">
      <c r="A22" s="1919"/>
      <c r="B22" s="451"/>
      <c r="C22" s="1469"/>
      <c r="D22" s="452"/>
      <c r="E22" s="1262"/>
      <c r="F22" s="454"/>
      <c r="G22" s="455"/>
      <c r="H22" s="456"/>
      <c r="I22" s="457"/>
      <c r="J22" s="458"/>
      <c r="K22" s="448"/>
      <c r="L22" s="1107"/>
      <c r="M22" s="459"/>
      <c r="O22" s="442" t="s">
        <v>342</v>
      </c>
      <c r="R22" s="1208">
        <f>G85</f>
        <v>0</v>
      </c>
      <c r="S22" s="1208"/>
    </row>
    <row r="23" spans="1:19" s="442" customFormat="1" ht="21" customHeight="1">
      <c r="A23" s="1919"/>
      <c r="B23" s="451"/>
      <c r="C23" s="1469"/>
      <c r="D23" s="452"/>
      <c r="E23" s="1262"/>
      <c r="F23" s="454"/>
      <c r="G23" s="455"/>
      <c r="H23" s="456"/>
      <c r="I23" s="457"/>
      <c r="J23" s="458"/>
      <c r="K23" s="448"/>
      <c r="L23" s="1107"/>
      <c r="M23" s="459"/>
      <c r="O23" s="442" t="s">
        <v>343</v>
      </c>
      <c r="R23" s="1208">
        <f>G87</f>
        <v>0</v>
      </c>
      <c r="S23" s="1208"/>
    </row>
    <row r="24" spans="1:19" s="442" customFormat="1" ht="21" hidden="1" customHeight="1">
      <c r="A24" s="1919"/>
      <c r="B24" s="451"/>
      <c r="C24" s="1469"/>
      <c r="D24" s="452"/>
      <c r="E24" s="1262"/>
      <c r="F24" s="454"/>
      <c r="G24" s="455"/>
      <c r="H24" s="456"/>
      <c r="I24" s="457"/>
      <c r="J24" s="458"/>
      <c r="K24" s="448"/>
      <c r="L24" s="1107"/>
      <c r="M24" s="459"/>
      <c r="P24" s="1109">
        <f>SUM(P5:P23)</f>
        <v>0</v>
      </c>
      <c r="Q24" s="1109">
        <f t="shared" ref="Q24:R24" si="0">SUM(Q5:Q23)</f>
        <v>0</v>
      </c>
      <c r="R24" s="1109">
        <f t="shared" si="0"/>
        <v>0</v>
      </c>
      <c r="S24" s="1109"/>
    </row>
    <row r="25" spans="1:19" s="442" customFormat="1" ht="21" hidden="1" customHeight="1">
      <c r="A25" s="1919"/>
      <c r="B25" s="451"/>
      <c r="C25" s="1469"/>
      <c r="D25" s="452"/>
      <c r="E25" s="1262"/>
      <c r="F25" s="454"/>
      <c r="G25" s="455"/>
      <c r="H25" s="456"/>
      <c r="I25" s="457"/>
      <c r="J25" s="458"/>
      <c r="K25" s="448"/>
      <c r="L25" s="1107"/>
      <c r="M25" s="459"/>
    </row>
    <row r="26" spans="1:19" s="442" customFormat="1" ht="21" hidden="1" customHeight="1">
      <c r="A26" s="1919"/>
      <c r="B26" s="451"/>
      <c r="C26" s="1469"/>
      <c r="D26" s="452"/>
      <c r="E26" s="1262"/>
      <c r="F26" s="454"/>
      <c r="G26" s="455"/>
      <c r="H26" s="456"/>
      <c r="I26" s="457"/>
      <c r="J26" s="458"/>
      <c r="K26" s="448"/>
      <c r="L26" s="1107"/>
      <c r="M26" s="459"/>
    </row>
    <row r="27" spans="1:19" s="442" customFormat="1" ht="21" hidden="1" customHeight="1">
      <c r="A27" s="1919"/>
      <c r="B27" s="451"/>
      <c r="C27" s="1469"/>
      <c r="D27" s="452"/>
      <c r="E27" s="1262"/>
      <c r="F27" s="454"/>
      <c r="G27" s="455"/>
      <c r="H27" s="456"/>
      <c r="I27" s="457"/>
      <c r="J27" s="458"/>
      <c r="K27" s="448"/>
      <c r="L27" s="1107"/>
      <c r="M27" s="459"/>
    </row>
    <row r="28" spans="1:19" s="442" customFormat="1" ht="21" hidden="1" customHeight="1">
      <c r="A28" s="1919"/>
      <c r="B28" s="451"/>
      <c r="C28" s="1469"/>
      <c r="D28" s="452"/>
      <c r="E28" s="1262"/>
      <c r="F28" s="454"/>
      <c r="G28" s="455"/>
      <c r="H28" s="456"/>
      <c r="I28" s="457"/>
      <c r="J28" s="458"/>
      <c r="K28" s="448"/>
      <c r="L28" s="1107"/>
      <c r="M28" s="459"/>
    </row>
    <row r="29" spans="1:19" s="442" customFormat="1" ht="21" hidden="1" customHeight="1">
      <c r="A29" s="1919"/>
      <c r="B29" s="451"/>
      <c r="C29" s="1469"/>
      <c r="D29" s="452"/>
      <c r="E29" s="1262"/>
      <c r="F29" s="454"/>
      <c r="G29" s="455"/>
      <c r="H29" s="456"/>
      <c r="I29" s="457"/>
      <c r="J29" s="458"/>
      <c r="K29" s="448"/>
      <c r="L29" s="1107"/>
      <c r="M29" s="459"/>
    </row>
    <row r="30" spans="1:19" s="442" customFormat="1" ht="21" hidden="1" customHeight="1">
      <c r="A30" s="1919"/>
      <c r="B30" s="451"/>
      <c r="C30" s="1469"/>
      <c r="D30" s="452"/>
      <c r="E30" s="1262"/>
      <c r="F30" s="454"/>
      <c r="G30" s="455"/>
      <c r="H30" s="456"/>
      <c r="I30" s="457"/>
      <c r="J30" s="458"/>
      <c r="K30" s="448"/>
      <c r="L30" s="1107"/>
      <c r="M30" s="459"/>
    </row>
    <row r="31" spans="1:19" s="442" customFormat="1" ht="21" hidden="1" customHeight="1">
      <c r="A31" s="1919"/>
      <c r="B31" s="451"/>
      <c r="C31" s="452"/>
      <c r="D31" s="452"/>
      <c r="E31" s="1227"/>
      <c r="F31" s="454"/>
      <c r="G31" s="1204"/>
      <c r="H31" s="456"/>
      <c r="I31" s="457"/>
      <c r="J31" s="458"/>
      <c r="K31" s="448"/>
      <c r="L31" s="1107"/>
      <c r="M31" s="459"/>
    </row>
    <row r="32" spans="1:19" s="442" customFormat="1" ht="21" hidden="1" customHeight="1">
      <c r="A32" s="1919"/>
      <c r="B32" s="451"/>
      <c r="C32" s="452"/>
      <c r="D32" s="452"/>
      <c r="E32" s="1227"/>
      <c r="F32" s="454"/>
      <c r="G32" s="1204"/>
      <c r="H32" s="456"/>
      <c r="I32" s="457"/>
      <c r="J32" s="458"/>
      <c r="K32" s="448"/>
      <c r="L32" s="1107"/>
      <c r="M32" s="459"/>
    </row>
    <row r="33" spans="1:16" s="442" customFormat="1" ht="21" hidden="1" customHeight="1">
      <c r="A33" s="1919"/>
      <c r="B33" s="451"/>
      <c r="C33" s="452"/>
      <c r="D33" s="452"/>
      <c r="E33" s="1227"/>
      <c r="F33" s="454"/>
      <c r="G33" s="1204"/>
      <c r="H33" s="456"/>
      <c r="I33" s="457"/>
      <c r="J33" s="458"/>
      <c r="K33" s="448"/>
      <c r="L33" s="1107"/>
      <c r="M33" s="459"/>
    </row>
    <row r="34" spans="1:16" s="442" customFormat="1" ht="21" hidden="1" customHeight="1">
      <c r="A34" s="1919"/>
      <c r="B34" s="451"/>
      <c r="C34" s="452"/>
      <c r="D34" s="452"/>
      <c r="E34" s="1227"/>
      <c r="F34" s="454"/>
      <c r="G34" s="1204"/>
      <c r="H34" s="456"/>
      <c r="I34" s="457"/>
      <c r="J34" s="458"/>
      <c r="K34" s="448"/>
      <c r="L34" s="1107"/>
      <c r="M34" s="459"/>
    </row>
    <row r="35" spans="1:16" s="442" customFormat="1" ht="21" hidden="1" customHeight="1">
      <c r="A35" s="1919"/>
      <c r="B35" s="451"/>
      <c r="C35" s="452"/>
      <c r="D35" s="452"/>
      <c r="E35" s="1227"/>
      <c r="F35" s="454"/>
      <c r="G35" s="1204"/>
      <c r="H35" s="456"/>
      <c r="I35" s="457"/>
      <c r="J35" s="458"/>
      <c r="K35" s="448"/>
      <c r="L35" s="1107"/>
      <c r="M35" s="459"/>
    </row>
    <row r="36" spans="1:16" s="442" customFormat="1" ht="21" hidden="1" customHeight="1">
      <c r="A36" s="1919"/>
      <c r="B36" s="451"/>
      <c r="C36" s="452"/>
      <c r="D36" s="452"/>
      <c r="E36" s="1227"/>
      <c r="F36" s="454"/>
      <c r="G36" s="1204"/>
      <c r="H36" s="456"/>
      <c r="I36" s="457"/>
      <c r="J36" s="458"/>
      <c r="K36" s="448"/>
      <c r="L36" s="1107"/>
      <c r="M36" s="459"/>
    </row>
    <row r="37" spans="1:16" s="442" customFormat="1" ht="21" hidden="1" customHeight="1">
      <c r="A37" s="1919"/>
      <c r="B37" s="451"/>
      <c r="C37" s="452"/>
      <c r="D37" s="452"/>
      <c r="E37" s="1227"/>
      <c r="F37" s="454"/>
      <c r="G37" s="1204"/>
      <c r="H37" s="456"/>
      <c r="I37" s="457"/>
      <c r="J37" s="458"/>
      <c r="K37" s="448"/>
      <c r="L37" s="1107"/>
      <c r="M37" s="459"/>
    </row>
    <row r="38" spans="1:16" s="442" customFormat="1" ht="21" hidden="1" customHeight="1">
      <c r="A38" s="1919"/>
      <c r="B38" s="451"/>
      <c r="C38" s="452"/>
      <c r="D38" s="452"/>
      <c r="E38" s="1227"/>
      <c r="F38" s="454"/>
      <c r="G38" s="1204"/>
      <c r="H38" s="456"/>
      <c r="I38" s="457"/>
      <c r="J38" s="458"/>
      <c r="K38" s="448"/>
      <c r="L38" s="1107"/>
      <c r="M38" s="459"/>
    </row>
    <row r="39" spans="1:16" s="442" customFormat="1" ht="21" hidden="1" customHeight="1">
      <c r="A39" s="1919"/>
      <c r="B39" s="451"/>
      <c r="C39" s="452"/>
      <c r="D39" s="452"/>
      <c r="E39" s="1227"/>
      <c r="F39" s="454"/>
      <c r="G39" s="1204"/>
      <c r="H39" s="456"/>
      <c r="I39" s="457"/>
      <c r="J39" s="458"/>
      <c r="K39" s="448"/>
      <c r="L39" s="1107"/>
      <c r="M39" s="459"/>
      <c r="P39" s="1108"/>
    </row>
    <row r="40" spans="1:16" s="442" customFormat="1" ht="21" hidden="1" customHeight="1">
      <c r="A40" s="1919"/>
      <c r="B40" s="451"/>
      <c r="C40" s="452"/>
      <c r="D40" s="452"/>
      <c r="E40" s="1227"/>
      <c r="F40" s="454"/>
      <c r="G40" s="1204"/>
      <c r="H40" s="456"/>
      <c r="I40" s="457"/>
      <c r="J40" s="458"/>
      <c r="K40" s="448"/>
      <c r="L40" s="1107"/>
      <c r="M40" s="459"/>
    </row>
    <row r="41" spans="1:16" s="442" customFormat="1" ht="21" hidden="1" customHeight="1">
      <c r="A41" s="1919"/>
      <c r="B41" s="451"/>
      <c r="C41" s="452"/>
      <c r="D41" s="452"/>
      <c r="E41" s="1227"/>
      <c r="F41" s="454"/>
      <c r="G41" s="1204"/>
      <c r="H41" s="456"/>
      <c r="I41" s="457"/>
      <c r="J41" s="458"/>
      <c r="K41" s="448"/>
      <c r="L41" s="1107"/>
      <c r="M41" s="459"/>
      <c r="P41" s="1108"/>
    </row>
    <row r="42" spans="1:16" s="442" customFormat="1" ht="21" hidden="1" customHeight="1">
      <c r="A42" s="1919"/>
      <c r="B42" s="451"/>
      <c r="C42" s="452"/>
      <c r="D42" s="452"/>
      <c r="E42" s="1262"/>
      <c r="F42" s="454"/>
      <c r="G42" s="1204"/>
      <c r="H42" s="456"/>
      <c r="I42" s="457"/>
      <c r="J42" s="458"/>
      <c r="K42" s="448"/>
      <c r="L42" s="1107"/>
      <c r="M42" s="459"/>
    </row>
    <row r="43" spans="1:16" s="442" customFormat="1" ht="21" hidden="1" customHeight="1">
      <c r="A43" s="1919"/>
      <c r="B43" s="451"/>
      <c r="C43" s="452"/>
      <c r="D43" s="452"/>
      <c r="E43" s="1262"/>
      <c r="F43" s="454"/>
      <c r="G43" s="1204"/>
      <c r="H43" s="456"/>
      <c r="I43" s="457"/>
      <c r="J43" s="458"/>
      <c r="K43" s="448"/>
      <c r="L43" s="1107"/>
      <c r="M43" s="459"/>
    </row>
    <row r="44" spans="1:16" s="442" customFormat="1" ht="21" hidden="1" customHeight="1">
      <c r="A44" s="1919"/>
      <c r="B44" s="451"/>
      <c r="C44" s="452"/>
      <c r="D44" s="452"/>
      <c r="E44" s="1262"/>
      <c r="F44" s="454"/>
      <c r="G44" s="1204"/>
      <c r="H44" s="456"/>
      <c r="I44" s="457"/>
      <c r="J44" s="458"/>
      <c r="K44" s="448"/>
      <c r="L44" s="1107"/>
      <c r="M44" s="459"/>
    </row>
    <row r="45" spans="1:16" s="442" customFormat="1" ht="21" hidden="1" customHeight="1">
      <c r="A45" s="1919"/>
      <c r="B45" s="451"/>
      <c r="C45" s="452"/>
      <c r="D45" s="452"/>
      <c r="E45" s="1262"/>
      <c r="F45" s="454"/>
      <c r="G45" s="1204"/>
      <c r="H45" s="456"/>
      <c r="I45" s="457"/>
      <c r="J45" s="458"/>
      <c r="K45" s="448"/>
      <c r="L45" s="1107"/>
      <c r="M45" s="459"/>
    </row>
    <row r="46" spans="1:16" s="442" customFormat="1" ht="21" hidden="1" customHeight="1">
      <c r="A46" s="1919"/>
      <c r="B46" s="451"/>
      <c r="C46" s="452"/>
      <c r="D46" s="452"/>
      <c r="E46" s="1262"/>
      <c r="F46" s="454"/>
      <c r="G46" s="1204"/>
      <c r="H46" s="456"/>
      <c r="I46" s="457"/>
      <c r="J46" s="458"/>
      <c r="K46" s="448"/>
      <c r="L46" s="1107"/>
      <c r="M46" s="459"/>
    </row>
    <row r="47" spans="1:16" s="442" customFormat="1" ht="21" hidden="1" customHeight="1">
      <c r="A47" s="1919"/>
      <c r="B47" s="451"/>
      <c r="C47" s="452"/>
      <c r="D47" s="452"/>
      <c r="E47" s="1262"/>
      <c r="F47" s="454"/>
      <c r="G47" s="1204"/>
      <c r="H47" s="456"/>
      <c r="I47" s="457"/>
      <c r="J47" s="458"/>
      <c r="K47" s="448"/>
      <c r="L47" s="1107"/>
      <c r="M47" s="459"/>
    </row>
    <row r="48" spans="1:16" s="442" customFormat="1" ht="21" hidden="1" customHeight="1">
      <c r="A48" s="1919"/>
      <c r="B48" s="451"/>
      <c r="C48" s="452"/>
      <c r="D48" s="452"/>
      <c r="E48" s="1262"/>
      <c r="F48" s="454"/>
      <c r="G48" s="1204"/>
      <c r="H48" s="456"/>
      <c r="I48" s="457"/>
      <c r="J48" s="458"/>
      <c r="K48" s="448"/>
      <c r="L48" s="1107"/>
      <c r="M48" s="459"/>
    </row>
    <row r="49" spans="1:13" s="442" customFormat="1" ht="21" hidden="1" customHeight="1">
      <c r="A49" s="1919"/>
      <c r="B49" s="451"/>
      <c r="C49" s="452"/>
      <c r="D49" s="452"/>
      <c r="E49" s="1262"/>
      <c r="F49" s="454"/>
      <c r="G49" s="1204"/>
      <c r="H49" s="456"/>
      <c r="I49" s="457"/>
      <c r="J49" s="458"/>
      <c r="K49" s="448"/>
      <c r="L49" s="1107"/>
      <c r="M49" s="459"/>
    </row>
    <row r="50" spans="1:13" s="442" customFormat="1" ht="21" hidden="1" customHeight="1">
      <c r="A50" s="1919"/>
      <c r="B50" s="451"/>
      <c r="C50" s="452"/>
      <c r="D50" s="452"/>
      <c r="E50" s="1262"/>
      <c r="F50" s="454"/>
      <c r="G50" s="1204"/>
      <c r="H50" s="456"/>
      <c r="I50" s="457"/>
      <c r="J50" s="458"/>
      <c r="K50" s="448"/>
      <c r="L50" s="1107"/>
      <c r="M50" s="459"/>
    </row>
    <row r="51" spans="1:13" s="442" customFormat="1" ht="21" hidden="1" customHeight="1">
      <c r="A51" s="1919"/>
      <c r="B51" s="451"/>
      <c r="C51" s="452"/>
      <c r="D51" s="452"/>
      <c r="E51" s="1227"/>
      <c r="F51" s="454"/>
      <c r="G51" s="1204"/>
      <c r="H51" s="456"/>
      <c r="I51" s="457"/>
      <c r="J51" s="458"/>
      <c r="K51" s="448"/>
      <c r="L51" s="1107"/>
      <c r="M51" s="459"/>
    </row>
    <row r="52" spans="1:13" s="442" customFormat="1" ht="21" hidden="1" customHeight="1">
      <c r="A52" s="1919"/>
      <c r="B52" s="546"/>
      <c r="C52" s="447"/>
      <c r="D52" s="1230"/>
      <c r="E52" s="1227"/>
      <c r="F52" s="547"/>
      <c r="G52" s="1211"/>
      <c r="H52" s="549"/>
      <c r="I52" s="550"/>
      <c r="J52" s="551"/>
      <c r="K52" s="448"/>
      <c r="L52" s="1107"/>
      <c r="M52" s="459"/>
    </row>
    <row r="53" spans="1:13" s="442" customFormat="1" ht="21" hidden="1" customHeight="1">
      <c r="A53" s="1919"/>
      <c r="B53" s="1352"/>
      <c r="C53" s="468"/>
      <c r="D53" s="468"/>
      <c r="E53" s="1227"/>
      <c r="F53" s="1353"/>
      <c r="G53" s="1354"/>
      <c r="H53" s="1355"/>
      <c r="I53" s="1356"/>
      <c r="J53" s="1357"/>
      <c r="K53" s="1220"/>
      <c r="L53" s="1107"/>
      <c r="M53" s="459"/>
    </row>
    <row r="54" spans="1:13" s="442" customFormat="1" ht="21" hidden="1" customHeight="1">
      <c r="A54" s="1358"/>
      <c r="B54" s="1214"/>
      <c r="C54" s="1215"/>
      <c r="D54" s="1215"/>
      <c r="E54" s="1350"/>
      <c r="F54" s="1216"/>
      <c r="G54" s="1229"/>
      <c r="H54" s="1217"/>
      <c r="I54" s="1218"/>
      <c r="J54" s="1219"/>
      <c r="K54" s="1220"/>
      <c r="L54" s="1351"/>
      <c r="M54" s="459"/>
    </row>
    <row r="55" spans="1:13" s="442" customFormat="1" ht="21" hidden="1" customHeight="1">
      <c r="A55" s="1361"/>
      <c r="B55" s="451"/>
      <c r="C55" s="452"/>
      <c r="D55" s="452"/>
      <c r="E55" s="1227"/>
      <c r="F55" s="454"/>
      <c r="G55" s="1204"/>
      <c r="H55" s="456"/>
      <c r="I55" s="457"/>
      <c r="J55" s="458"/>
      <c r="K55" s="448"/>
      <c r="L55" s="1107"/>
      <c r="M55" s="459"/>
    </row>
    <row r="56" spans="1:13" s="442" customFormat="1" ht="21" hidden="1" customHeight="1">
      <c r="A56" s="1359"/>
      <c r="B56" s="451"/>
      <c r="C56" s="452"/>
      <c r="D56" s="452"/>
      <c r="E56" s="453"/>
      <c r="F56" s="454"/>
      <c r="G56" s="1204"/>
      <c r="H56" s="456"/>
      <c r="I56" s="457"/>
      <c r="J56" s="458"/>
      <c r="K56" s="448"/>
      <c r="L56" s="449"/>
      <c r="M56" s="459"/>
    </row>
    <row r="57" spans="1:13" s="442" customFormat="1" ht="21" hidden="1" customHeight="1">
      <c r="A57" s="1359"/>
      <c r="B57" s="451"/>
      <c r="C57" s="452"/>
      <c r="D57" s="452"/>
      <c r="E57" s="1227"/>
      <c r="F57" s="454"/>
      <c r="G57" s="1204"/>
      <c r="H57" s="456"/>
      <c r="I57" s="457"/>
      <c r="J57" s="458"/>
      <c r="K57" s="448"/>
      <c r="L57" s="1107"/>
      <c r="M57" s="459"/>
    </row>
    <row r="58" spans="1:13" s="442" customFormat="1" ht="21" hidden="1" customHeight="1">
      <c r="A58" s="1359"/>
      <c r="B58" s="451"/>
      <c r="C58" s="452"/>
      <c r="D58" s="452"/>
      <c r="E58" s="1227"/>
      <c r="F58" s="454"/>
      <c r="G58" s="1204"/>
      <c r="H58" s="456"/>
      <c r="I58" s="457"/>
      <c r="J58" s="458"/>
      <c r="K58" s="448"/>
      <c r="L58" s="1107"/>
      <c r="M58" s="459"/>
    </row>
    <row r="59" spans="1:13" s="442" customFormat="1" ht="21" hidden="1" customHeight="1">
      <c r="A59" s="1359"/>
      <c r="B59" s="451"/>
      <c r="C59" s="452"/>
      <c r="D59" s="452"/>
      <c r="E59" s="1227"/>
      <c r="F59" s="454"/>
      <c r="G59" s="1204"/>
      <c r="H59" s="456"/>
      <c r="I59" s="457"/>
      <c r="J59" s="458"/>
      <c r="K59" s="448"/>
      <c r="L59" s="1107"/>
      <c r="M59" s="459"/>
    </row>
    <row r="60" spans="1:13" s="442" customFormat="1" ht="21" hidden="1" customHeight="1">
      <c r="A60" s="1359"/>
      <c r="B60" s="451"/>
      <c r="C60" s="452"/>
      <c r="D60" s="452"/>
      <c r="E60" s="1227"/>
      <c r="F60" s="454"/>
      <c r="G60" s="1204"/>
      <c r="H60" s="456"/>
      <c r="I60" s="457"/>
      <c r="J60" s="458"/>
      <c r="K60" s="448"/>
      <c r="L60" s="1107"/>
      <c r="M60" s="459"/>
    </row>
    <row r="61" spans="1:13" s="442" customFormat="1" ht="21" hidden="1" customHeight="1">
      <c r="A61" s="1359"/>
      <c r="B61" s="451"/>
      <c r="C61" s="452"/>
      <c r="D61" s="452"/>
      <c r="E61" s="1227"/>
      <c r="F61" s="454"/>
      <c r="G61" s="1204"/>
      <c r="H61" s="456"/>
      <c r="I61" s="457"/>
      <c r="J61" s="458"/>
      <c r="K61" s="448"/>
      <c r="L61" s="1107"/>
      <c r="M61" s="459"/>
    </row>
    <row r="62" spans="1:13" s="442" customFormat="1" ht="21" hidden="1" customHeight="1">
      <c r="A62" s="1359"/>
      <c r="B62" s="451"/>
      <c r="C62" s="452"/>
      <c r="D62" s="452"/>
      <c r="E62" s="1227"/>
      <c r="F62" s="454"/>
      <c r="G62" s="1204"/>
      <c r="H62" s="456"/>
      <c r="I62" s="457"/>
      <c r="J62" s="458"/>
      <c r="K62" s="448"/>
      <c r="L62" s="1107"/>
      <c r="M62" s="459"/>
    </row>
    <row r="63" spans="1:13" s="442" customFormat="1" ht="21" hidden="1" customHeight="1">
      <c r="A63" s="1359"/>
      <c r="B63" s="451"/>
      <c r="C63" s="452"/>
      <c r="D63" s="452"/>
      <c r="E63" s="1227"/>
      <c r="F63" s="454"/>
      <c r="G63" s="1204"/>
      <c r="H63" s="456"/>
      <c r="I63" s="457"/>
      <c r="J63" s="458"/>
      <c r="K63" s="448"/>
      <c r="L63" s="1107"/>
      <c r="M63" s="459"/>
    </row>
    <row r="64" spans="1:13" s="442" customFormat="1" ht="21" hidden="1" customHeight="1">
      <c r="A64" s="1359"/>
      <c r="B64" s="451"/>
      <c r="C64" s="452"/>
      <c r="D64" s="452"/>
      <c r="E64" s="1227"/>
      <c r="F64" s="454"/>
      <c r="G64" s="1204"/>
      <c r="H64" s="456"/>
      <c r="I64" s="457"/>
      <c r="J64" s="458"/>
      <c r="K64" s="448"/>
      <c r="L64" s="1107"/>
      <c r="M64" s="459"/>
    </row>
    <row r="65" spans="1:13" s="442" customFormat="1" ht="21" hidden="1" customHeight="1">
      <c r="A65" s="1359"/>
      <c r="B65" s="451"/>
      <c r="C65" s="452"/>
      <c r="D65" s="452"/>
      <c r="E65" s="1227"/>
      <c r="F65" s="454"/>
      <c r="G65" s="1204"/>
      <c r="H65" s="456"/>
      <c r="I65" s="457"/>
      <c r="J65" s="458"/>
      <c r="K65" s="448"/>
      <c r="L65" s="1107"/>
      <c r="M65" s="459"/>
    </row>
    <row r="66" spans="1:13" s="442" customFormat="1" ht="21" hidden="1" customHeight="1">
      <c r="A66" s="1359"/>
      <c r="B66" s="451"/>
      <c r="C66" s="452"/>
      <c r="D66" s="452"/>
      <c r="E66" s="453"/>
      <c r="F66" s="454"/>
      <c r="G66" s="455"/>
      <c r="H66" s="456"/>
      <c r="I66" s="457"/>
      <c r="J66" s="458"/>
      <c r="K66" s="448"/>
      <c r="L66" s="449"/>
      <c r="M66" s="459"/>
    </row>
    <row r="67" spans="1:13" s="442" customFormat="1" ht="21" hidden="1" customHeight="1">
      <c r="A67" s="1359"/>
      <c r="B67" s="451"/>
      <c r="C67" s="452"/>
      <c r="D67" s="452"/>
      <c r="E67" s="453"/>
      <c r="F67" s="454"/>
      <c r="G67" s="455"/>
      <c r="H67" s="456"/>
      <c r="I67" s="457"/>
      <c r="J67" s="458"/>
      <c r="K67" s="448"/>
      <c r="L67" s="449"/>
      <c r="M67" s="459"/>
    </row>
    <row r="68" spans="1:13" s="442" customFormat="1" ht="21" hidden="1" customHeight="1">
      <c r="A68" s="1359"/>
      <c r="B68" s="451"/>
      <c r="C68" s="452"/>
      <c r="D68" s="452"/>
      <c r="E68" s="453"/>
      <c r="F68" s="454"/>
      <c r="G68" s="455"/>
      <c r="H68" s="456"/>
      <c r="I68" s="457"/>
      <c r="J68" s="458"/>
      <c r="K68" s="448"/>
      <c r="L68" s="449"/>
      <c r="M68" s="459"/>
    </row>
    <row r="69" spans="1:13" s="442" customFormat="1" ht="21" hidden="1" customHeight="1">
      <c r="A69" s="1359"/>
      <c r="B69" s="451"/>
      <c r="C69" s="452"/>
      <c r="D69" s="452"/>
      <c r="E69" s="453"/>
      <c r="F69" s="454"/>
      <c r="G69" s="455"/>
      <c r="H69" s="456"/>
      <c r="I69" s="457"/>
      <c r="J69" s="458"/>
      <c r="K69" s="448"/>
      <c r="L69" s="449"/>
      <c r="M69" s="459"/>
    </row>
    <row r="70" spans="1:13" s="442" customFormat="1" ht="21" hidden="1" customHeight="1">
      <c r="A70" s="1359"/>
      <c r="B70" s="451"/>
      <c r="C70" s="452"/>
      <c r="D70" s="452"/>
      <c r="E70" s="453"/>
      <c r="F70" s="454"/>
      <c r="G70" s="455"/>
      <c r="H70" s="456"/>
      <c r="I70" s="457"/>
      <c r="J70" s="458"/>
      <c r="K70" s="448"/>
      <c r="L70" s="449"/>
      <c r="M70" s="459"/>
    </row>
    <row r="71" spans="1:13" s="442" customFormat="1" ht="21" hidden="1" customHeight="1">
      <c r="A71" s="1359"/>
      <c r="B71" s="451"/>
      <c r="C71" s="452"/>
      <c r="D71" s="452"/>
      <c r="E71" s="453"/>
      <c r="F71" s="454"/>
      <c r="G71" s="455"/>
      <c r="H71" s="456"/>
      <c r="I71" s="457"/>
      <c r="J71" s="458"/>
      <c r="K71" s="448"/>
      <c r="L71" s="449"/>
      <c r="M71" s="459"/>
    </row>
    <row r="72" spans="1:13" s="442" customFormat="1" ht="21" hidden="1" customHeight="1">
      <c r="A72" s="1359"/>
      <c r="B72" s="451"/>
      <c r="C72" s="452"/>
      <c r="D72" s="452"/>
      <c r="E72" s="453"/>
      <c r="F72" s="454"/>
      <c r="G72" s="455"/>
      <c r="H72" s="456"/>
      <c r="I72" s="457"/>
      <c r="J72" s="458"/>
      <c r="K72" s="448"/>
      <c r="L72" s="449"/>
      <c r="M72" s="459"/>
    </row>
    <row r="73" spans="1:13" s="442" customFormat="1" ht="21" hidden="1" customHeight="1">
      <c r="A73" s="1359"/>
      <c r="B73" s="451"/>
      <c r="C73" s="452"/>
      <c r="D73" s="452"/>
      <c r="E73" s="453"/>
      <c r="F73" s="454"/>
      <c r="G73" s="455"/>
      <c r="H73" s="456"/>
      <c r="I73" s="457"/>
      <c r="J73" s="458"/>
      <c r="K73" s="448"/>
      <c r="L73" s="449"/>
      <c r="M73" s="459"/>
    </row>
    <row r="74" spans="1:13" s="442" customFormat="1" ht="21" hidden="1" customHeight="1">
      <c r="A74" s="1359"/>
      <c r="B74" s="451"/>
      <c r="C74" s="452"/>
      <c r="D74" s="452"/>
      <c r="E74" s="453"/>
      <c r="F74" s="454"/>
      <c r="G74" s="455"/>
      <c r="H74" s="456"/>
      <c r="I74" s="457"/>
      <c r="J74" s="458"/>
      <c r="K74" s="448"/>
      <c r="L74" s="449"/>
      <c r="M74" s="459"/>
    </row>
    <row r="75" spans="1:13" s="442" customFormat="1" ht="21" hidden="1" customHeight="1">
      <c r="A75" s="1359"/>
      <c r="B75" s="451"/>
      <c r="C75" s="452"/>
      <c r="D75" s="452"/>
      <c r="E75" s="453"/>
      <c r="F75" s="454"/>
      <c r="G75" s="455"/>
      <c r="H75" s="456"/>
      <c r="I75" s="457"/>
      <c r="J75" s="458"/>
      <c r="K75" s="448"/>
      <c r="L75" s="449"/>
      <c r="M75" s="459"/>
    </row>
    <row r="76" spans="1:13" s="442" customFormat="1" ht="21" hidden="1" customHeight="1">
      <c r="A76" s="1359"/>
      <c r="B76" s="451"/>
      <c r="C76" s="452"/>
      <c r="D76" s="452"/>
      <c r="E76" s="453"/>
      <c r="F76" s="454"/>
      <c r="G76" s="455"/>
      <c r="H76" s="456"/>
      <c r="I76" s="457"/>
      <c r="J76" s="458"/>
      <c r="K76" s="448"/>
      <c r="L76" s="449"/>
      <c r="M76" s="459"/>
    </row>
    <row r="77" spans="1:13" s="442" customFormat="1" ht="21" hidden="1" customHeight="1">
      <c r="A77" s="1359"/>
      <c r="B77" s="451"/>
      <c r="C77" s="452"/>
      <c r="D77" s="452"/>
      <c r="E77" s="453"/>
      <c r="F77" s="454"/>
      <c r="G77" s="455"/>
      <c r="H77" s="456"/>
      <c r="I77" s="457"/>
      <c r="J77" s="458"/>
      <c r="K77" s="448"/>
      <c r="L77" s="449"/>
      <c r="M77" s="459"/>
    </row>
    <row r="78" spans="1:13" s="442" customFormat="1" ht="21" hidden="1" customHeight="1">
      <c r="A78" s="1359"/>
      <c r="B78" s="451"/>
      <c r="C78" s="452"/>
      <c r="D78" s="452"/>
      <c r="E78" s="453"/>
      <c r="F78" s="454"/>
      <c r="G78" s="455"/>
      <c r="H78" s="456"/>
      <c r="I78" s="457"/>
      <c r="J78" s="458"/>
      <c r="K78" s="448"/>
      <c r="L78" s="449"/>
      <c r="M78" s="459"/>
    </row>
    <row r="79" spans="1:13" s="442" customFormat="1" ht="21" hidden="1" customHeight="1">
      <c r="A79" s="1359"/>
      <c r="B79" s="451"/>
      <c r="C79" s="452"/>
      <c r="D79" s="452"/>
      <c r="E79" s="453"/>
      <c r="F79" s="454"/>
      <c r="G79" s="455"/>
      <c r="H79" s="456"/>
      <c r="I79" s="457"/>
      <c r="J79" s="458"/>
      <c r="K79" s="448"/>
      <c r="L79" s="449"/>
      <c r="M79" s="459"/>
    </row>
    <row r="80" spans="1:13" s="442" customFormat="1" ht="21" hidden="1" customHeight="1">
      <c r="A80" s="1359"/>
      <c r="B80" s="451"/>
      <c r="C80" s="452"/>
      <c r="D80" s="452"/>
      <c r="E80" s="453"/>
      <c r="F80" s="454"/>
      <c r="G80" s="455"/>
      <c r="H80" s="456"/>
      <c r="I80" s="457"/>
      <c r="J80" s="458"/>
      <c r="K80" s="460"/>
      <c r="L80" s="449"/>
      <c r="M80" s="459"/>
    </row>
    <row r="81" spans="1:21" s="442" customFormat="1" ht="21" customHeight="1">
      <c r="A81" s="1360"/>
      <c r="B81" s="1920" t="s">
        <v>219</v>
      </c>
      <c r="C81" s="1921"/>
      <c r="D81" s="1922"/>
      <c r="E81" s="506" t="str">
        <f>COUNTA(B5:B80)&amp;" 건"</f>
        <v>0 건</v>
      </c>
      <c r="F81" s="462">
        <f t="shared" ref="F81:K81" si="1">SUM(F5:F80)</f>
        <v>0</v>
      </c>
      <c r="G81" s="462">
        <f>SUM(G5:G80)</f>
        <v>0</v>
      </c>
      <c r="H81" s="463">
        <f t="shared" si="1"/>
        <v>0</v>
      </c>
      <c r="I81" s="464">
        <f t="shared" si="1"/>
        <v>0</v>
      </c>
      <c r="J81" s="465">
        <f t="shared" si="1"/>
        <v>0</v>
      </c>
      <c r="K81" s="462">
        <f t="shared" si="1"/>
        <v>0</v>
      </c>
      <c r="L81" s="466"/>
      <c r="M81" s="467"/>
    </row>
    <row r="82" spans="1:21" s="442" customFormat="1" ht="21" customHeight="1">
      <c r="A82" s="1923" t="s">
        <v>383</v>
      </c>
      <c r="B82" s="451"/>
      <c r="C82" s="452"/>
      <c r="D82" s="452"/>
      <c r="E82" s="1262"/>
      <c r="F82" s="454"/>
      <c r="G82" s="1204"/>
      <c r="H82" s="456"/>
      <c r="I82" s="457"/>
      <c r="J82" s="458"/>
      <c r="K82" s="448"/>
      <c r="L82" s="1107"/>
      <c r="M82" s="446"/>
      <c r="O82" s="1159" t="s">
        <v>324</v>
      </c>
    </row>
    <row r="83" spans="1:21" s="442" customFormat="1" ht="21" customHeight="1">
      <c r="A83" s="1924"/>
      <c r="B83" s="451"/>
      <c r="C83" s="452"/>
      <c r="D83" s="452"/>
      <c r="E83" s="1262"/>
      <c r="F83" s="454"/>
      <c r="G83" s="1204"/>
      <c r="H83" s="456"/>
      <c r="I83" s="457"/>
      <c r="J83" s="458"/>
      <c r="K83" s="448"/>
      <c r="L83" s="1107"/>
      <c r="M83" s="446"/>
      <c r="O83" s="1159"/>
    </row>
    <row r="84" spans="1:21" s="442" customFormat="1" ht="21" customHeight="1">
      <c r="A84" s="1924"/>
      <c r="B84" s="451"/>
      <c r="C84" s="452"/>
      <c r="D84" s="452"/>
      <c r="E84" s="1262"/>
      <c r="F84" s="454"/>
      <c r="G84" s="1204"/>
      <c r="H84" s="456"/>
      <c r="I84" s="457"/>
      <c r="J84" s="458"/>
      <c r="K84" s="448"/>
      <c r="L84" s="1107"/>
      <c r="M84" s="450"/>
      <c r="O84" s="1108"/>
      <c r="P84" s="442">
        <v>559440000</v>
      </c>
    </row>
    <row r="85" spans="1:21" s="442" customFormat="1" ht="21" customHeight="1">
      <c r="A85" s="1924"/>
      <c r="B85" s="451"/>
      <c r="C85" s="452"/>
      <c r="D85" s="452"/>
      <c r="E85" s="1262"/>
      <c r="F85" s="454"/>
      <c r="G85" s="1204"/>
      <c r="H85" s="456"/>
      <c r="I85" s="457"/>
      <c r="J85" s="458"/>
      <c r="K85" s="448"/>
      <c r="L85" s="1107"/>
      <c r="M85" s="450"/>
      <c r="O85" s="1109"/>
      <c r="P85" s="1109">
        <v>-160648</v>
      </c>
    </row>
    <row r="86" spans="1:21" s="442" customFormat="1" ht="21" customHeight="1">
      <c r="A86" s="1924"/>
      <c r="B86" s="451"/>
      <c r="C86" s="452"/>
      <c r="D86" s="452"/>
      <c r="E86" s="1262"/>
      <c r="F86" s="454"/>
      <c r="G86" s="1204"/>
      <c r="H86" s="456"/>
      <c r="I86" s="457"/>
      <c r="J86" s="458"/>
      <c r="K86" s="448"/>
      <c r="L86" s="1107"/>
      <c r="M86" s="450"/>
      <c r="P86" s="442">
        <v>60745</v>
      </c>
      <c r="U86" s="442">
        <v>-1</v>
      </c>
    </row>
    <row r="87" spans="1:21" s="442" customFormat="1" ht="21" customHeight="1">
      <c r="A87" s="1924"/>
      <c r="B87" s="451"/>
      <c r="C87" s="452"/>
      <c r="D87" s="452"/>
      <c r="E87" s="1262"/>
      <c r="F87" s="454"/>
      <c r="G87" s="1204"/>
      <c r="H87" s="456"/>
      <c r="I87" s="457"/>
      <c r="J87" s="458"/>
      <c r="K87" s="448"/>
      <c r="L87" s="1107"/>
      <c r="M87" s="450"/>
      <c r="P87" s="442">
        <v>2409041</v>
      </c>
    </row>
    <row r="88" spans="1:21" s="442" customFormat="1" ht="21" customHeight="1">
      <c r="A88" s="1924"/>
      <c r="B88" s="451"/>
      <c r="C88" s="452"/>
      <c r="D88" s="452"/>
      <c r="E88" s="1262"/>
      <c r="F88" s="454"/>
      <c r="G88" s="1204"/>
      <c r="H88" s="456"/>
      <c r="I88" s="457"/>
      <c r="J88" s="458"/>
      <c r="K88" s="448"/>
      <c r="L88" s="1107"/>
      <c r="M88" s="450"/>
      <c r="P88" s="442">
        <v>14212730.699999988</v>
      </c>
      <c r="R88"/>
      <c r="S88"/>
    </row>
    <row r="89" spans="1:21" s="442" customFormat="1" ht="21" customHeight="1">
      <c r="A89" s="1924"/>
      <c r="B89" s="451"/>
      <c r="C89" s="452"/>
      <c r="D89" s="452"/>
      <c r="E89" s="1262"/>
      <c r="F89" s="454"/>
      <c r="G89" s="1204"/>
      <c r="H89" s="456"/>
      <c r="I89" s="457"/>
      <c r="J89" s="458"/>
      <c r="K89" s="448"/>
      <c r="L89" s="1107"/>
      <c r="M89" s="450"/>
      <c r="O89" s="1108"/>
      <c r="P89" s="442">
        <v>15580120.300000012</v>
      </c>
      <c r="R89"/>
      <c r="S89"/>
    </row>
    <row r="90" spans="1:21" s="442" customFormat="1" ht="21" customHeight="1">
      <c r="A90" s="1924"/>
      <c r="B90" s="451"/>
      <c r="C90" s="452"/>
      <c r="D90" s="452"/>
      <c r="E90" s="1262"/>
      <c r="F90" s="454"/>
      <c r="G90" s="1204"/>
      <c r="H90" s="456"/>
      <c r="I90" s="457"/>
      <c r="J90" s="458"/>
      <c r="K90" s="448"/>
      <c r="L90" s="1107"/>
      <c r="M90" s="450"/>
      <c r="P90" s="442">
        <v>203432153</v>
      </c>
      <c r="R90">
        <f>368324000+89789000+37378000+68703000+38529000+49840000+12958000</f>
        <v>665521000</v>
      </c>
      <c r="S90"/>
    </row>
    <row r="91" spans="1:21" s="442" customFormat="1" ht="21" customHeight="1">
      <c r="A91" s="1924"/>
      <c r="B91" s="451"/>
      <c r="C91" s="452"/>
      <c r="D91" s="452"/>
      <c r="E91" s="1262"/>
      <c r="F91" s="454"/>
      <c r="G91" s="1204"/>
      <c r="H91" s="456"/>
      <c r="I91" s="457"/>
      <c r="J91" s="458"/>
      <c r="K91" s="448"/>
      <c r="L91" s="1107"/>
      <c r="M91" s="450"/>
      <c r="Q91" s="1208"/>
      <c r="R91"/>
      <c r="S91"/>
    </row>
    <row r="92" spans="1:21" s="442" customFormat="1" ht="21" customHeight="1">
      <c r="A92" s="1924"/>
      <c r="B92" s="451"/>
      <c r="C92" s="452"/>
      <c r="D92" s="452"/>
      <c r="E92" s="1262"/>
      <c r="F92" s="454"/>
      <c r="G92" s="1204"/>
      <c r="H92" s="456"/>
      <c r="I92" s="457"/>
      <c r="J92" s="458"/>
      <c r="K92" s="448"/>
      <c r="L92" s="1107"/>
      <c r="M92" s="450"/>
      <c r="R92"/>
      <c r="S92"/>
    </row>
    <row r="93" spans="1:21" s="442" customFormat="1" ht="21" customHeight="1">
      <c r="A93" s="1924"/>
      <c r="B93" s="451"/>
      <c r="C93" s="452"/>
      <c r="D93" s="452"/>
      <c r="E93" s="1262"/>
      <c r="F93" s="454"/>
      <c r="G93" s="1204"/>
      <c r="H93" s="456"/>
      <c r="I93" s="457"/>
      <c r="J93" s="458"/>
      <c r="K93" s="448"/>
      <c r="L93" s="1107"/>
      <c r="M93" s="450"/>
      <c r="R93"/>
      <c r="S93"/>
    </row>
    <row r="94" spans="1:21" s="442" customFormat="1" ht="21" customHeight="1">
      <c r="A94" s="1924"/>
      <c r="B94" s="451"/>
      <c r="C94" s="452"/>
      <c r="D94" s="452"/>
      <c r="E94" s="1262"/>
      <c r="F94" s="454"/>
      <c r="G94" s="1204"/>
      <c r="H94" s="456"/>
      <c r="I94" s="457"/>
      <c r="J94" s="458"/>
      <c r="K94" s="448"/>
      <c r="L94" s="1107"/>
      <c r="M94" s="450"/>
      <c r="P94" s="442">
        <v>254</v>
      </c>
      <c r="Q94" s="442">
        <v>138891000</v>
      </c>
      <c r="R94"/>
      <c r="S94"/>
    </row>
    <row r="95" spans="1:21" s="442" customFormat="1" ht="21" hidden="1" customHeight="1">
      <c r="A95" s="1924"/>
      <c r="B95" s="451"/>
      <c r="C95" s="452"/>
      <c r="D95" s="452"/>
      <c r="E95" s="1262"/>
      <c r="F95" s="454"/>
      <c r="G95" s="1204"/>
      <c r="H95" s="456"/>
      <c r="I95" s="457"/>
      <c r="J95" s="458"/>
      <c r="K95" s="448"/>
      <c r="L95" s="1107"/>
      <c r="M95" s="450"/>
      <c r="R95"/>
      <c r="S95"/>
    </row>
    <row r="96" spans="1:21" s="442" customFormat="1" ht="21" customHeight="1">
      <c r="A96" s="1924"/>
      <c r="B96" s="451"/>
      <c r="C96" s="452"/>
      <c r="D96" s="452"/>
      <c r="E96" s="1262"/>
      <c r="F96" s="454"/>
      <c r="G96" s="1204"/>
      <c r="H96" s="456"/>
      <c r="I96" s="457"/>
      <c r="J96" s="458"/>
      <c r="K96" s="448"/>
      <c r="L96" s="1107"/>
      <c r="M96" s="450"/>
      <c r="R96"/>
      <c r="S96"/>
    </row>
    <row r="97" spans="1:22" s="442" customFormat="1" ht="21" customHeight="1">
      <c r="A97" s="1924"/>
      <c r="B97" s="451"/>
      <c r="C97" s="452"/>
      <c r="D97" s="452"/>
      <c r="E97" s="1262"/>
      <c r="F97" s="454"/>
      <c r="G97" s="1204"/>
      <c r="H97" s="456"/>
      <c r="I97" s="457"/>
      <c r="J97" s="458"/>
      <c r="K97" s="448"/>
      <c r="L97" s="1107"/>
      <c r="M97" s="450"/>
      <c r="R97"/>
      <c r="S97"/>
    </row>
    <row r="98" spans="1:22" s="442" customFormat="1" ht="21" customHeight="1">
      <c r="A98" s="1924"/>
      <c r="B98" s="451"/>
      <c r="C98" s="452"/>
      <c r="D98" s="452"/>
      <c r="E98" s="1262"/>
      <c r="F98" s="454"/>
      <c r="G98" s="1204"/>
      <c r="H98" s="456"/>
      <c r="I98" s="457"/>
      <c r="J98" s="458"/>
      <c r="K98" s="448"/>
      <c r="L98" s="1107"/>
      <c r="M98" s="450"/>
      <c r="R98"/>
      <c r="S98"/>
    </row>
    <row r="99" spans="1:22" s="442" customFormat="1" ht="21" customHeight="1">
      <c r="A99" s="1924"/>
      <c r="B99" s="451"/>
      <c r="C99" s="452"/>
      <c r="D99" s="452"/>
      <c r="E99" s="1262"/>
      <c r="F99" s="454"/>
      <c r="G99" s="1204"/>
      <c r="H99" s="456"/>
      <c r="I99" s="457"/>
      <c r="J99" s="458"/>
      <c r="K99" s="448"/>
      <c r="L99" s="1107"/>
      <c r="M99" s="450"/>
      <c r="R99"/>
      <c r="S99"/>
    </row>
    <row r="100" spans="1:22" s="442" customFormat="1" ht="21" customHeight="1">
      <c r="A100" s="1924"/>
      <c r="B100" s="451"/>
      <c r="C100" s="452"/>
      <c r="D100" s="452"/>
      <c r="E100" s="1262"/>
      <c r="F100" s="454"/>
      <c r="G100" s="1204"/>
      <c r="H100" s="456"/>
      <c r="I100" s="457"/>
      <c r="J100" s="458"/>
      <c r="K100" s="448"/>
      <c r="L100" s="1107"/>
      <c r="M100" s="450"/>
      <c r="Q100" s="1108"/>
      <c r="R100"/>
      <c r="S100"/>
    </row>
    <row r="101" spans="1:22" s="442" customFormat="1" ht="21" customHeight="1">
      <c r="A101" s="1924"/>
      <c r="B101" s="451"/>
      <c r="C101" s="452"/>
      <c r="D101" s="452"/>
      <c r="E101" s="1262"/>
      <c r="F101" s="454"/>
      <c r="G101" s="1204"/>
      <c r="H101" s="456"/>
      <c r="I101" s="457"/>
      <c r="J101" s="458"/>
      <c r="K101" s="448"/>
      <c r="L101" s="1107"/>
      <c r="M101" s="450"/>
      <c r="R101"/>
      <c r="S101"/>
    </row>
    <row r="102" spans="1:22" s="442" customFormat="1" ht="21" customHeight="1">
      <c r="A102" s="1924"/>
      <c r="B102" s="451"/>
      <c r="C102" s="452"/>
      <c r="D102" s="452"/>
      <c r="E102" s="1334"/>
      <c r="F102" s="454"/>
      <c r="G102" s="455"/>
      <c r="H102" s="456"/>
      <c r="I102" s="457"/>
      <c r="J102" s="458"/>
      <c r="K102" s="448"/>
      <c r="L102" s="1333"/>
      <c r="M102" s="450"/>
      <c r="R102"/>
      <c r="S102"/>
    </row>
    <row r="103" spans="1:22" s="442" customFormat="1" ht="21" customHeight="1">
      <c r="A103" s="1925"/>
      <c r="B103" s="1920" t="s">
        <v>220</v>
      </c>
      <c r="C103" s="1921"/>
      <c r="D103" s="1922"/>
      <c r="E103" s="506" t="str">
        <f>COUNTA(B82:B101)&amp;" 건"</f>
        <v>0 건</v>
      </c>
      <c r="F103" s="461">
        <f>SUM(F82:F102)</f>
        <v>0</v>
      </c>
      <c r="G103" s="1205">
        <f>SUM(G82:G102)</f>
        <v>0</v>
      </c>
      <c r="H103" s="463">
        <f>SUM(H82:H101)</f>
        <v>0</v>
      </c>
      <c r="I103" s="464">
        <f>SUM(I82:I101)</f>
        <v>0</v>
      </c>
      <c r="J103" s="465">
        <f>SUM(J82:J101)</f>
        <v>0</v>
      </c>
      <c r="K103" s="462">
        <f>SUM(K82:K101)</f>
        <v>0</v>
      </c>
      <c r="L103" s="466"/>
      <c r="M103" s="467"/>
      <c r="P103" s="1208"/>
      <c r="R103"/>
      <c r="S103"/>
    </row>
    <row r="104" spans="1:22" s="477" customFormat="1" ht="21" customHeight="1">
      <c r="A104" s="1926" t="s">
        <v>221</v>
      </c>
      <c r="B104" s="1927"/>
      <c r="C104" s="1927"/>
      <c r="D104" s="1928"/>
      <c r="E104" s="469" t="str">
        <f>COUNTA(B5:B80,B82:B101)&amp;" 건"</f>
        <v>0 건</v>
      </c>
      <c r="F104" s="470">
        <f t="shared" ref="F104:K104" si="2">F103+F81</f>
        <v>0</v>
      </c>
      <c r="G104" s="1206">
        <f t="shared" si="2"/>
        <v>0</v>
      </c>
      <c r="H104" s="471">
        <f t="shared" si="2"/>
        <v>0</v>
      </c>
      <c r="I104" s="472">
        <f t="shared" si="2"/>
        <v>0</v>
      </c>
      <c r="J104" s="473">
        <f t="shared" si="2"/>
        <v>0</v>
      </c>
      <c r="K104" s="474">
        <f t="shared" si="2"/>
        <v>0</v>
      </c>
      <c r="L104" s="475">
        <f>SUM(L8:L103)</f>
        <v>0</v>
      </c>
      <c r="M104" s="476"/>
      <c r="R104"/>
      <c r="S104"/>
    </row>
    <row r="105" spans="1:22" ht="24.95" customHeight="1">
      <c r="G105" s="339"/>
      <c r="P105" s="858">
        <v>665521000</v>
      </c>
    </row>
    <row r="106" spans="1:22" ht="24.95" customHeight="1">
      <c r="G106" s="337"/>
      <c r="P106" s="858">
        <f>G91+G92+G96+G97</f>
        <v>0</v>
      </c>
    </row>
    <row r="107" spans="1:22" ht="24.95" customHeight="1">
      <c r="G107" s="337"/>
      <c r="P107" s="858">
        <f>G94+G95</f>
        <v>0</v>
      </c>
    </row>
    <row r="108" spans="1:22" ht="24.95" customHeight="1">
      <c r="G108" s="337"/>
      <c r="Q108" s="1913" t="s">
        <v>348</v>
      </c>
      <c r="R108" s="1915" t="s">
        <v>356</v>
      </c>
      <c r="S108" s="1916"/>
      <c r="T108" s="1917"/>
      <c r="U108" s="1233" t="s">
        <v>351</v>
      </c>
      <c r="V108" s="1911" t="s">
        <v>350</v>
      </c>
    </row>
    <row r="109" spans="1:22" ht="24.95" customHeight="1">
      <c r="G109" s="337"/>
      <c r="Q109" s="1914"/>
      <c r="R109" s="1235" t="s">
        <v>354</v>
      </c>
      <c r="S109" s="1235" t="s">
        <v>355</v>
      </c>
      <c r="T109" s="1235" t="s">
        <v>352</v>
      </c>
      <c r="U109" s="1235" t="s">
        <v>353</v>
      </c>
      <c r="V109" s="1912"/>
    </row>
    <row r="110" spans="1:22" ht="29.25" customHeight="1">
      <c r="G110" s="337"/>
      <c r="Q110" s="1234" t="s">
        <v>349</v>
      </c>
      <c r="R110" s="1236">
        <f>G104</f>
        <v>0</v>
      </c>
      <c r="S110" s="1236">
        <f>이월분!L17</f>
        <v>0</v>
      </c>
      <c r="T110" s="1236">
        <f>R110+S110</f>
        <v>0</v>
      </c>
      <c r="U110" s="1236">
        <f>투자현황!T27</f>
        <v>0</v>
      </c>
      <c r="V110" s="1237">
        <f>U110+T110</f>
        <v>0</v>
      </c>
    </row>
    <row r="112" spans="1:22" ht="24.95" customHeight="1">
      <c r="G112" s="338">
        <f>SUM(G82:G89)</f>
        <v>0</v>
      </c>
    </row>
    <row r="113" spans="22:22" ht="24.95" customHeight="1">
      <c r="V113" s="858"/>
    </row>
  </sheetData>
  <mergeCells count="18">
    <mergeCell ref="V108:V109"/>
    <mergeCell ref="Q108:Q109"/>
    <mergeCell ref="R108:T108"/>
    <mergeCell ref="A5:A53"/>
    <mergeCell ref="B103:D103"/>
    <mergeCell ref="A82:A103"/>
    <mergeCell ref="A104:D104"/>
    <mergeCell ref="B81:D81"/>
    <mergeCell ref="M3:M4"/>
    <mergeCell ref="A3:A4"/>
    <mergeCell ref="E3:E4"/>
    <mergeCell ref="D3:D4"/>
    <mergeCell ref="L3:L4"/>
    <mergeCell ref="G3:G4"/>
    <mergeCell ref="F3:F4"/>
    <mergeCell ref="K3:K4"/>
    <mergeCell ref="B3:B4"/>
    <mergeCell ref="C3:C4"/>
  </mergeCells>
  <phoneticPr fontId="43" type="noConversion"/>
  <printOptions horizontalCentered="1"/>
  <pageMargins left="0.11811023622047245" right="3.937007874015748E-2" top="0.51181102362204722" bottom="0.23622047244094491" header="0.35433070866141736" footer="0.31496062992125984"/>
  <pageSetup paperSize="9" scale="7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>
    <tabColor rgb="FFFFFF00"/>
  </sheetPr>
  <dimension ref="A2:Q77"/>
  <sheetViews>
    <sheetView showGridLines="0" showZeros="0" workbookViewId="0">
      <pane xSplit="1" ySplit="4" topLeftCell="B5" activePane="bottomRight" state="frozen"/>
      <selection activeCell="AJ10" sqref="AJ10"/>
      <selection pane="topRight" activeCell="AJ10" sqref="AJ10"/>
      <selection pane="bottomLeft" activeCell="AJ10" sqref="AJ10"/>
      <selection pane="bottomRight" activeCell="D15" sqref="D15"/>
    </sheetView>
  </sheetViews>
  <sheetFormatPr defaultRowHeight="24.95" customHeight="1"/>
  <cols>
    <col min="1" max="1" width="6.77734375" style="105" customWidth="1"/>
    <col min="2" max="2" width="6.6640625" style="1056" customWidth="1"/>
    <col min="3" max="3" width="10.77734375" style="1015" customWidth="1"/>
    <col min="4" max="4" width="14.77734375" style="1015" customWidth="1"/>
    <col min="5" max="7" width="13.77734375" style="1015" customWidth="1"/>
    <col min="8" max="8" width="14.77734375" style="343" customWidth="1"/>
    <col min="9" max="9" width="15.77734375" style="343" customWidth="1"/>
    <col min="10" max="15" width="10.77734375" style="1016" customWidth="1"/>
    <col min="16" max="16" width="14.6640625" style="105" bestFit="1" customWidth="1"/>
    <col min="17" max="17" width="12.77734375" style="1147" customWidth="1"/>
    <col min="18" max="16384" width="8.88671875" style="105"/>
  </cols>
  <sheetData>
    <row r="2" spans="1:17" ht="24.95" customHeight="1">
      <c r="A2" s="1009" t="s">
        <v>497</v>
      </c>
      <c r="B2" s="1010"/>
      <c r="C2" s="1010"/>
      <c r="D2" s="1010"/>
      <c r="E2" s="1010"/>
      <c r="F2" s="1010"/>
      <c r="G2" s="1010"/>
      <c r="H2" s="1010"/>
      <c r="I2" s="1010"/>
    </row>
    <row r="3" spans="1:17" ht="24.95" customHeight="1">
      <c r="A3" s="130"/>
      <c r="B3" s="1057"/>
      <c r="C3" s="1013"/>
      <c r="D3" s="1013"/>
      <c r="E3" s="1013"/>
      <c r="F3" s="1013"/>
      <c r="G3" s="1013"/>
      <c r="H3" s="344"/>
      <c r="I3" s="344"/>
    </row>
    <row r="4" spans="1:17" ht="24.95" customHeight="1">
      <c r="A4" s="1020" t="s">
        <v>302</v>
      </c>
      <c r="B4" s="1023" t="s">
        <v>303</v>
      </c>
      <c r="C4" s="1021" t="s">
        <v>304</v>
      </c>
      <c r="D4" s="1021" t="s">
        <v>305</v>
      </c>
      <c r="E4" s="1022" t="s">
        <v>306</v>
      </c>
      <c r="F4" s="1022" t="s">
        <v>307</v>
      </c>
      <c r="G4" s="1022" t="s">
        <v>463</v>
      </c>
      <c r="H4" s="1023" t="s">
        <v>309</v>
      </c>
      <c r="I4" s="1023" t="s">
        <v>310</v>
      </c>
    </row>
    <row r="5" spans="1:17" ht="24.95" customHeight="1">
      <c r="A5" s="1024" t="s">
        <v>313</v>
      </c>
      <c r="B5" s="1025"/>
      <c r="C5" s="1025"/>
      <c r="D5" s="1457"/>
      <c r="E5" s="1026">
        <v>0</v>
      </c>
      <c r="F5" s="1457"/>
      <c r="G5" s="1026" t="s">
        <v>311</v>
      </c>
      <c r="H5" s="1457">
        <f>SUM(D5,E5,F5)</f>
        <v>0</v>
      </c>
      <c r="I5" s="1027"/>
      <c r="J5" s="1040" t="s">
        <v>308</v>
      </c>
      <c r="K5" s="1040" t="s">
        <v>314</v>
      </c>
      <c r="Q5" s="1147" t="s">
        <v>320</v>
      </c>
    </row>
    <row r="6" spans="1:17" ht="21.95" customHeight="1">
      <c r="A6" s="1565" t="s">
        <v>488</v>
      </c>
      <c r="B6" s="1566" t="s">
        <v>502</v>
      </c>
      <c r="C6" s="1567">
        <v>49</v>
      </c>
      <c r="D6" s="1568">
        <v>67366000</v>
      </c>
      <c r="E6" s="1568"/>
      <c r="F6" s="1568"/>
      <c r="G6" s="1568">
        <f t="shared" ref="G6:G22" si="0">J6</f>
        <v>0</v>
      </c>
      <c r="H6" s="1569">
        <f t="shared" ref="H6:H17" si="1">IF(A6="","",SUM(D6:F6)-G6)</f>
        <v>67366000</v>
      </c>
      <c r="I6" s="1569">
        <f>H6</f>
        <v>67366000</v>
      </c>
      <c r="J6" s="1468">
        <f>SUM(K6:Q6)</f>
        <v>0</v>
      </c>
      <c r="K6" s="1572"/>
      <c r="L6" s="1572"/>
      <c r="M6" s="1572"/>
      <c r="N6" s="1572"/>
      <c r="O6" s="1465"/>
      <c r="P6" s="1467"/>
      <c r="Q6" s="1466"/>
    </row>
    <row r="7" spans="1:17" ht="21.95" customHeight="1">
      <c r="A7" s="1565" t="s">
        <v>504</v>
      </c>
      <c r="B7" s="1566" t="s">
        <v>505</v>
      </c>
      <c r="C7" s="1567">
        <v>283</v>
      </c>
      <c r="D7" s="1568">
        <v>222907000</v>
      </c>
      <c r="E7" s="1568"/>
      <c r="F7" s="1568"/>
      <c r="G7" s="1568">
        <f t="shared" si="0"/>
        <v>0</v>
      </c>
      <c r="H7" s="1569">
        <f t="shared" si="1"/>
        <v>222907000</v>
      </c>
      <c r="I7" s="1569">
        <f t="shared" ref="I7:I12" si="2">IF(A7="","",(I6+H7))</f>
        <v>290273000</v>
      </c>
      <c r="J7" s="1468">
        <f t="shared" ref="J7:J44" si="3">SUM(K7:Q7)</f>
        <v>0</v>
      </c>
      <c r="K7" s="1572"/>
      <c r="L7" s="1572"/>
      <c r="M7" s="1572"/>
      <c r="N7" s="1572"/>
      <c r="O7" s="1465"/>
      <c r="P7" s="1467"/>
      <c r="Q7" s="1466"/>
    </row>
    <row r="8" spans="1:17" ht="21.95" customHeight="1">
      <c r="A8" s="1869" t="s">
        <v>507</v>
      </c>
      <c r="B8" s="1870" t="s">
        <v>508</v>
      </c>
      <c r="C8" s="1871">
        <v>2229</v>
      </c>
      <c r="D8" s="1872">
        <v>2631473000</v>
      </c>
      <c r="E8" s="1872"/>
      <c r="F8" s="1872"/>
      <c r="G8" s="1872">
        <f t="shared" si="0"/>
        <v>0</v>
      </c>
      <c r="H8" s="1873">
        <f t="shared" si="1"/>
        <v>2631473000</v>
      </c>
      <c r="I8" s="1873">
        <f t="shared" si="2"/>
        <v>2921746000</v>
      </c>
      <c r="J8" s="1468">
        <f t="shared" si="3"/>
        <v>0</v>
      </c>
      <c r="K8" s="1572"/>
      <c r="L8" s="1572"/>
      <c r="M8" s="1572"/>
      <c r="N8" s="1572"/>
      <c r="O8" s="1465"/>
      <c r="P8" s="1467"/>
      <c r="Q8" s="1466"/>
    </row>
    <row r="9" spans="1:17" ht="21.95" customHeight="1">
      <c r="A9" s="1565" t="s">
        <v>509</v>
      </c>
      <c r="B9" s="1566" t="s">
        <v>502</v>
      </c>
      <c r="C9" s="1567">
        <v>7</v>
      </c>
      <c r="D9" s="1568">
        <v>19077000</v>
      </c>
      <c r="E9" s="1568"/>
      <c r="F9" s="1568"/>
      <c r="G9" s="1568">
        <f t="shared" ref="G9" si="4">J9</f>
        <v>0</v>
      </c>
      <c r="H9" s="1569">
        <f t="shared" ref="H9" si="5">IF(A9="","",SUM(D9:F9)-G9)</f>
        <v>19077000</v>
      </c>
      <c r="I9" s="1569">
        <f t="shared" ref="I9" si="6">IF(A9="","",(I8+H9))</f>
        <v>2940823000</v>
      </c>
      <c r="J9" s="1468">
        <f t="shared" si="3"/>
        <v>0</v>
      </c>
      <c r="K9" s="1572"/>
      <c r="L9" s="1572"/>
      <c r="M9" s="1572"/>
      <c r="N9" s="1572"/>
      <c r="O9" s="1465"/>
      <c r="P9" s="1467"/>
      <c r="Q9" s="1466"/>
    </row>
    <row r="10" spans="1:17" ht="21.95" customHeight="1">
      <c r="A10" s="1869" t="s">
        <v>512</v>
      </c>
      <c r="B10" s="1874" t="s">
        <v>502</v>
      </c>
      <c r="C10" s="1875">
        <v>192</v>
      </c>
      <c r="D10" s="1872">
        <v>439232000</v>
      </c>
      <c r="E10" s="1872"/>
      <c r="F10" s="1872"/>
      <c r="G10" s="1872">
        <f t="shared" si="0"/>
        <v>0</v>
      </c>
      <c r="H10" s="1873">
        <f t="shared" si="1"/>
        <v>439232000</v>
      </c>
      <c r="I10" s="1873">
        <f t="shared" si="2"/>
        <v>3380055000</v>
      </c>
      <c r="J10" s="1468">
        <f>SUM(K10:Q10)</f>
        <v>0</v>
      </c>
      <c r="K10" s="1572"/>
      <c r="L10" s="1572"/>
      <c r="M10" s="1572"/>
      <c r="N10" s="1572"/>
      <c r="O10" s="1465"/>
      <c r="P10" s="1467"/>
      <c r="Q10" s="1466"/>
    </row>
    <row r="11" spans="1:17" ht="21.95" customHeight="1">
      <c r="A11" s="1565" t="s">
        <v>513</v>
      </c>
      <c r="B11" s="1566" t="s">
        <v>514</v>
      </c>
      <c r="C11" s="1567">
        <v>1358</v>
      </c>
      <c r="D11" s="1568">
        <v>1126967000</v>
      </c>
      <c r="E11" s="1568"/>
      <c r="F11" s="1568"/>
      <c r="G11" s="1568">
        <f t="shared" si="0"/>
        <v>0</v>
      </c>
      <c r="H11" s="1569">
        <f t="shared" si="1"/>
        <v>1126967000</v>
      </c>
      <c r="I11" s="1569">
        <f t="shared" si="2"/>
        <v>4507022000</v>
      </c>
      <c r="J11" s="1468">
        <f t="shared" si="3"/>
        <v>0</v>
      </c>
      <c r="K11" s="1573"/>
      <c r="L11" s="1574"/>
      <c r="M11" s="1572"/>
      <c r="N11" s="1572"/>
      <c r="O11" s="1465"/>
      <c r="P11" s="1467"/>
      <c r="Q11" s="1466"/>
    </row>
    <row r="12" spans="1:17" ht="21.95" customHeight="1">
      <c r="A12" s="1869" t="s">
        <v>516</v>
      </c>
      <c r="B12" s="1870" t="s">
        <v>518</v>
      </c>
      <c r="C12" s="1871">
        <v>116</v>
      </c>
      <c r="D12" s="1876">
        <v>188979000</v>
      </c>
      <c r="E12" s="1872"/>
      <c r="F12" s="1872"/>
      <c r="G12" s="1872">
        <f t="shared" si="0"/>
        <v>0</v>
      </c>
      <c r="H12" s="1873">
        <f t="shared" si="1"/>
        <v>188979000</v>
      </c>
      <c r="I12" s="1873">
        <f t="shared" si="2"/>
        <v>4696001000</v>
      </c>
      <c r="J12" s="1468">
        <f>SUM(K12:Q12)</f>
        <v>0</v>
      </c>
      <c r="K12" s="1572"/>
      <c r="L12" s="1572"/>
      <c r="M12" s="1572"/>
      <c r="N12" s="1572"/>
      <c r="O12" s="1465"/>
      <c r="P12" s="1467"/>
      <c r="Q12" s="1466"/>
    </row>
    <row r="13" spans="1:17" ht="21.95" customHeight="1">
      <c r="A13" s="1565" t="s">
        <v>517</v>
      </c>
      <c r="B13" s="1570" t="s">
        <v>519</v>
      </c>
      <c r="C13" s="1571">
        <v>588</v>
      </c>
      <c r="D13" s="1568">
        <v>428872000</v>
      </c>
      <c r="E13" s="1571"/>
      <c r="F13" s="1571"/>
      <c r="G13" s="1568">
        <f t="shared" si="0"/>
        <v>0</v>
      </c>
      <c r="H13" s="1569">
        <f>IF(A13="","",SUM(D13:F13)-G13)</f>
        <v>428872000</v>
      </c>
      <c r="I13" s="1569">
        <f t="shared" ref="I13:I19" si="7">IF(A13="","",(I12+H13))</f>
        <v>5124873000</v>
      </c>
      <c r="J13" s="1468">
        <f t="shared" si="3"/>
        <v>0</v>
      </c>
      <c r="K13" s="1572"/>
      <c r="L13" s="1572"/>
      <c r="M13" s="1572"/>
      <c r="N13" s="1572"/>
      <c r="O13" s="1465"/>
      <c r="P13" s="1467"/>
      <c r="Q13" s="1466"/>
    </row>
    <row r="14" spans="1:17" ht="21.95" customHeight="1">
      <c r="A14" s="1565" t="s">
        <v>526</v>
      </c>
      <c r="B14" s="1570" t="s">
        <v>505</v>
      </c>
      <c r="C14" s="1571">
        <v>59</v>
      </c>
      <c r="D14" s="1568">
        <v>69443000</v>
      </c>
      <c r="E14" s="1568"/>
      <c r="F14" s="1568"/>
      <c r="G14" s="1568">
        <f t="shared" si="0"/>
        <v>0</v>
      </c>
      <c r="H14" s="1569">
        <f t="shared" si="1"/>
        <v>69443000</v>
      </c>
      <c r="I14" s="1569">
        <f t="shared" si="7"/>
        <v>5194316000</v>
      </c>
      <c r="J14" s="1468">
        <f t="shared" si="3"/>
        <v>0</v>
      </c>
      <c r="K14" s="1572"/>
      <c r="L14" s="1572"/>
      <c r="M14" s="1572"/>
      <c r="N14" s="1572"/>
      <c r="O14" s="1465"/>
      <c r="P14" s="1467"/>
      <c r="Q14" s="1466"/>
    </row>
    <row r="15" spans="1:17" ht="21.95" customHeight="1">
      <c r="A15" s="1565"/>
      <c r="B15" s="1566"/>
      <c r="C15" s="1567"/>
      <c r="D15" s="1568"/>
      <c r="E15" s="1568"/>
      <c r="F15" s="1568"/>
      <c r="G15" s="1568">
        <f t="shared" si="0"/>
        <v>0</v>
      </c>
      <c r="H15" s="1569" t="str">
        <f t="shared" si="1"/>
        <v/>
      </c>
      <c r="I15" s="1569" t="str">
        <f t="shared" si="7"/>
        <v/>
      </c>
      <c r="J15" s="1468">
        <f t="shared" si="3"/>
        <v>0</v>
      </c>
      <c r="K15" s="1572"/>
      <c r="L15" s="1572"/>
      <c r="M15" s="1572"/>
      <c r="N15" s="1572"/>
      <c r="O15" s="1465"/>
      <c r="P15" s="1467"/>
      <c r="Q15" s="1466"/>
    </row>
    <row r="16" spans="1:17" ht="21.95" customHeight="1">
      <c r="A16" s="1565"/>
      <c r="B16" s="1566"/>
      <c r="C16" s="1567"/>
      <c r="D16" s="1568"/>
      <c r="E16" s="1568"/>
      <c r="F16" s="1568"/>
      <c r="G16" s="1568">
        <f t="shared" si="0"/>
        <v>0</v>
      </c>
      <c r="H16" s="1569" t="str">
        <f t="shared" si="1"/>
        <v/>
      </c>
      <c r="I16" s="1569" t="str">
        <f t="shared" si="7"/>
        <v/>
      </c>
      <c r="J16" s="1468">
        <f t="shared" si="3"/>
        <v>0</v>
      </c>
      <c r="K16" s="1572"/>
      <c r="L16" s="1572"/>
      <c r="M16" s="1572"/>
      <c r="N16" s="1572"/>
      <c r="O16" s="1465"/>
      <c r="P16" s="1467"/>
      <c r="Q16" s="1466"/>
    </row>
    <row r="17" spans="1:17" ht="21.95" customHeight="1">
      <c r="A17" s="1565"/>
      <c r="B17" s="1566"/>
      <c r="C17" s="1567"/>
      <c r="D17" s="1568"/>
      <c r="E17" s="1568"/>
      <c r="F17" s="1568"/>
      <c r="G17" s="1568">
        <f t="shared" si="0"/>
        <v>0</v>
      </c>
      <c r="H17" s="1569" t="str">
        <f t="shared" si="1"/>
        <v/>
      </c>
      <c r="I17" s="1569" t="str">
        <f t="shared" si="7"/>
        <v/>
      </c>
      <c r="J17" s="1468">
        <f t="shared" si="3"/>
        <v>0</v>
      </c>
      <c r="K17" s="1572"/>
      <c r="L17" s="1572"/>
      <c r="M17" s="1572"/>
      <c r="N17" s="1572"/>
      <c r="O17" s="1465"/>
      <c r="P17" s="1465"/>
      <c r="Q17" s="1466"/>
    </row>
    <row r="18" spans="1:17" ht="21.95" customHeight="1">
      <c r="A18" s="1565"/>
      <c r="B18" s="1566"/>
      <c r="C18" s="1567"/>
      <c r="D18" s="1568"/>
      <c r="E18" s="1568"/>
      <c r="F18" s="1568"/>
      <c r="G18" s="1568">
        <f t="shared" si="0"/>
        <v>0</v>
      </c>
      <c r="H18" s="1569" t="str">
        <f t="shared" ref="H18:H23" si="8">IF(A18="","",SUM(D18:F18)-G18)</f>
        <v/>
      </c>
      <c r="I18" s="1569" t="str">
        <f t="shared" si="7"/>
        <v/>
      </c>
      <c r="J18" s="1468">
        <f t="shared" si="3"/>
        <v>0</v>
      </c>
      <c r="K18" s="1575"/>
      <c r="L18" s="1575"/>
      <c r="M18" s="1575"/>
      <c r="N18" s="1572"/>
      <c r="O18" s="1465"/>
      <c r="P18" s="1467"/>
      <c r="Q18" s="1466"/>
    </row>
    <row r="19" spans="1:17" ht="21.95" customHeight="1">
      <c r="A19" s="1565"/>
      <c r="B19" s="1566"/>
      <c r="C19" s="1567"/>
      <c r="D19" s="1568"/>
      <c r="E19" s="1568"/>
      <c r="F19" s="1568"/>
      <c r="G19" s="1568">
        <f t="shared" si="0"/>
        <v>0</v>
      </c>
      <c r="H19" s="1569" t="str">
        <f t="shared" si="8"/>
        <v/>
      </c>
      <c r="I19" s="1569" t="str">
        <f t="shared" si="7"/>
        <v/>
      </c>
      <c r="J19" s="1468">
        <f t="shared" si="3"/>
        <v>0</v>
      </c>
      <c r="K19" s="1572"/>
      <c r="L19" s="1576"/>
      <c r="M19" s="1572"/>
      <c r="N19" s="1572"/>
      <c r="O19" s="1465"/>
      <c r="P19" s="1465"/>
      <c r="Q19" s="1466"/>
    </row>
    <row r="20" spans="1:17" ht="21.95" customHeight="1">
      <c r="A20" s="1565"/>
      <c r="B20" s="1566"/>
      <c r="C20" s="1567"/>
      <c r="D20" s="1568"/>
      <c r="E20" s="1568"/>
      <c r="F20" s="1568"/>
      <c r="G20" s="1568">
        <f t="shared" si="0"/>
        <v>0</v>
      </c>
      <c r="H20" s="1569" t="str">
        <f t="shared" si="8"/>
        <v/>
      </c>
      <c r="I20" s="1569" t="str">
        <f t="shared" ref="I20:I45" si="9">IF(A20="","",(I19+H20))</f>
        <v/>
      </c>
      <c r="J20" s="1468">
        <f t="shared" si="3"/>
        <v>0</v>
      </c>
      <c r="K20" s="1572"/>
      <c r="L20" s="1572"/>
      <c r="M20" s="1572"/>
      <c r="N20" s="1572"/>
      <c r="O20" s="1465"/>
      <c r="P20" s="1467"/>
      <c r="Q20" s="1466"/>
    </row>
    <row r="21" spans="1:17" ht="21.95" customHeight="1">
      <c r="A21" s="1565"/>
      <c r="B21" s="1566"/>
      <c r="C21" s="1567"/>
      <c r="D21" s="1568"/>
      <c r="E21" s="1568"/>
      <c r="F21" s="1568"/>
      <c r="G21" s="1568">
        <f t="shared" si="0"/>
        <v>0</v>
      </c>
      <c r="H21" s="1569" t="str">
        <f t="shared" si="8"/>
        <v/>
      </c>
      <c r="I21" s="1569" t="str">
        <f t="shared" si="9"/>
        <v/>
      </c>
      <c r="J21" s="1468">
        <f t="shared" si="3"/>
        <v>0</v>
      </c>
      <c r="K21" s="1572"/>
      <c r="L21" s="1572"/>
      <c r="M21" s="1572"/>
      <c r="N21" s="1572"/>
      <c r="O21" s="1465"/>
      <c r="P21" s="1467"/>
      <c r="Q21" s="1466"/>
    </row>
    <row r="22" spans="1:17" ht="21.95" customHeight="1">
      <c r="A22" s="1565"/>
      <c r="B22" s="1566"/>
      <c r="C22" s="1568"/>
      <c r="D22" s="1568"/>
      <c r="E22" s="1568"/>
      <c r="F22" s="1571"/>
      <c r="G22" s="1568">
        <f t="shared" si="0"/>
        <v>0</v>
      </c>
      <c r="H22" s="1732" t="str">
        <f t="shared" si="8"/>
        <v/>
      </c>
      <c r="I22" s="1569" t="str">
        <f t="shared" si="9"/>
        <v/>
      </c>
      <c r="J22" s="1468">
        <f t="shared" si="3"/>
        <v>0</v>
      </c>
      <c r="K22" s="1572"/>
      <c r="L22" s="1572"/>
      <c r="M22" s="1572"/>
      <c r="N22" s="1572"/>
      <c r="O22" s="1465"/>
      <c r="P22" s="1467"/>
      <c r="Q22" s="1466"/>
    </row>
    <row r="23" spans="1:17" ht="21.95" customHeight="1">
      <c r="A23" s="1565"/>
      <c r="B23" s="1566"/>
      <c r="C23" s="1568"/>
      <c r="D23" s="1568"/>
      <c r="E23" s="1568"/>
      <c r="F23" s="1571"/>
      <c r="G23" s="1568"/>
      <c r="H23" s="1732" t="str">
        <f t="shared" si="8"/>
        <v/>
      </c>
      <c r="I23" s="1569" t="str">
        <f t="shared" ref="I23" si="10">IF(A23="","",(I22+H23))</f>
        <v/>
      </c>
      <c r="J23" s="1468">
        <f t="shared" si="3"/>
        <v>0</v>
      </c>
      <c r="K23" s="1572"/>
      <c r="L23" s="1572"/>
      <c r="M23" s="1572"/>
      <c r="N23" s="1572"/>
      <c r="O23" s="1465"/>
      <c r="P23" s="1467"/>
      <c r="Q23" s="1466"/>
    </row>
    <row r="24" spans="1:17" ht="21.95" customHeight="1">
      <c r="A24" s="1565"/>
      <c r="B24" s="1566"/>
      <c r="C24" s="1568"/>
      <c r="D24" s="1568"/>
      <c r="E24" s="1568"/>
      <c r="F24" s="1568"/>
      <c r="G24" s="1568"/>
      <c r="H24" s="1732" t="str">
        <f t="shared" ref="H24:H45" si="11">IF(A24="","",SUM(D24:F24)-G24)</f>
        <v/>
      </c>
      <c r="I24" s="1569" t="str">
        <f t="shared" si="9"/>
        <v/>
      </c>
      <c r="J24" s="1468">
        <f t="shared" si="3"/>
        <v>0</v>
      </c>
      <c r="K24" s="1576"/>
      <c r="L24" s="1576"/>
      <c r="M24" s="1572"/>
      <c r="N24" s="1572"/>
      <c r="O24" s="1465"/>
      <c r="P24" s="1467"/>
      <c r="Q24" s="1466"/>
    </row>
    <row r="25" spans="1:17" ht="21.95" customHeight="1">
      <c r="A25" s="1565"/>
      <c r="B25" s="1566"/>
      <c r="C25" s="1568"/>
      <c r="D25" s="1568"/>
      <c r="E25" s="1568"/>
      <c r="F25" s="1568"/>
      <c r="G25" s="1568"/>
      <c r="H25" s="1569" t="str">
        <f t="shared" si="11"/>
        <v/>
      </c>
      <c r="I25" s="1569" t="str">
        <f>IF(A25="","",(I24+H25))</f>
        <v/>
      </c>
      <c r="J25" s="1468">
        <f t="shared" si="3"/>
        <v>0</v>
      </c>
      <c r="K25" s="1576"/>
      <c r="L25" s="1572"/>
      <c r="M25" s="1572"/>
      <c r="N25" s="1572"/>
      <c r="O25" s="1465"/>
      <c r="P25" s="1467"/>
      <c r="Q25" s="1466"/>
    </row>
    <row r="26" spans="1:17" ht="21.95" customHeight="1">
      <c r="A26" s="1153"/>
      <c r="B26" s="1154"/>
      <c r="C26" s="1155"/>
      <c r="D26" s="1030"/>
      <c r="E26" s="1030"/>
      <c r="F26" s="1030"/>
      <c r="G26" s="1030"/>
      <c r="H26" s="1031" t="str">
        <f t="shared" si="11"/>
        <v/>
      </c>
      <c r="I26" s="1031" t="str">
        <f t="shared" si="9"/>
        <v/>
      </c>
      <c r="J26" s="1468">
        <f t="shared" si="3"/>
        <v>0</v>
      </c>
      <c r="K26" s="1572"/>
      <c r="L26" s="1572"/>
      <c r="M26" s="1572"/>
      <c r="N26" s="1572"/>
      <c r="O26" s="1465"/>
      <c r="P26" s="1467"/>
      <c r="Q26" s="1466"/>
    </row>
    <row r="27" spans="1:17" ht="21.95" customHeight="1">
      <c r="A27" s="1153"/>
      <c r="B27" s="1154"/>
      <c r="C27" s="1030"/>
      <c r="D27" s="1030"/>
      <c r="E27" s="1030"/>
      <c r="F27" s="1156"/>
      <c r="G27" s="1030"/>
      <c r="H27" s="1421" t="str">
        <f t="shared" ref="H27:H28" si="12">IF(A27="","",SUM(D27:F27)-G27)</f>
        <v/>
      </c>
      <c r="I27" s="1031" t="str">
        <f t="shared" ref="I27:I28" si="13">IF(A27="","",(I26+H27))</f>
        <v/>
      </c>
      <c r="J27" s="1468">
        <f t="shared" si="3"/>
        <v>0</v>
      </c>
      <c r="K27" s="1572"/>
      <c r="L27" s="1572"/>
      <c r="M27" s="1572"/>
      <c r="N27" s="1572"/>
      <c r="O27" s="1465"/>
      <c r="P27" s="1467"/>
      <c r="Q27" s="1466"/>
    </row>
    <row r="28" spans="1:17" ht="21.95" customHeight="1">
      <c r="A28" s="1153"/>
      <c r="B28" s="1154"/>
      <c r="C28" s="1155"/>
      <c r="D28" s="1030"/>
      <c r="E28" s="1030"/>
      <c r="F28" s="1030"/>
      <c r="G28" s="1030"/>
      <c r="H28" s="1421" t="str">
        <f t="shared" si="12"/>
        <v/>
      </c>
      <c r="I28" s="1031" t="str">
        <f t="shared" si="13"/>
        <v/>
      </c>
      <c r="J28" s="1468">
        <f t="shared" si="3"/>
        <v>0</v>
      </c>
      <c r="K28" s="1572"/>
      <c r="L28" s="1572"/>
      <c r="M28" s="1572"/>
      <c r="N28" s="1572"/>
      <c r="O28" s="1465"/>
      <c r="P28" s="1467"/>
      <c r="Q28" s="1466"/>
    </row>
    <row r="29" spans="1:17" ht="21.95" customHeight="1">
      <c r="A29" s="1153"/>
      <c r="B29" s="1154"/>
      <c r="C29" s="1030"/>
      <c r="D29" s="1030"/>
      <c r="E29" s="1030"/>
      <c r="F29" s="1156"/>
      <c r="G29" s="1030"/>
      <c r="H29" s="1421" t="str">
        <f t="shared" si="11"/>
        <v/>
      </c>
      <c r="I29" s="1031" t="str">
        <f t="shared" si="9"/>
        <v/>
      </c>
      <c r="J29" s="1468">
        <f t="shared" si="3"/>
        <v>0</v>
      </c>
      <c r="K29" s="1572"/>
      <c r="L29" s="1572"/>
      <c r="M29" s="1572"/>
      <c r="N29" s="1572"/>
      <c r="O29" s="1465"/>
      <c r="P29" s="1467"/>
      <c r="Q29" s="1466"/>
    </row>
    <row r="30" spans="1:17" ht="21.95" customHeight="1">
      <c r="A30" s="1153"/>
      <c r="B30" s="1154"/>
      <c r="C30" s="1030"/>
      <c r="D30" s="1030"/>
      <c r="E30" s="1030"/>
      <c r="F30" s="1156"/>
      <c r="G30" s="1030"/>
      <c r="H30" s="1031" t="str">
        <f t="shared" si="11"/>
        <v/>
      </c>
      <c r="I30" s="1031" t="str">
        <f t="shared" si="9"/>
        <v/>
      </c>
      <c r="J30" s="1468">
        <f t="shared" si="3"/>
        <v>0</v>
      </c>
      <c r="K30" s="1572"/>
      <c r="L30" s="1572"/>
      <c r="M30" s="1572"/>
      <c r="N30" s="1572"/>
      <c r="O30" s="1465"/>
      <c r="P30" s="1467"/>
      <c r="Q30" s="1466"/>
    </row>
    <row r="31" spans="1:17" ht="21.95" customHeight="1">
      <c r="A31" s="1153"/>
      <c r="B31" s="1154"/>
      <c r="C31" s="1030"/>
      <c r="D31" s="1030"/>
      <c r="E31" s="1030"/>
      <c r="F31" s="1156"/>
      <c r="G31" s="1030"/>
      <c r="H31" s="1031" t="str">
        <f t="shared" si="11"/>
        <v/>
      </c>
      <c r="I31" s="1031" t="str">
        <f t="shared" si="9"/>
        <v/>
      </c>
      <c r="J31" s="1468">
        <f t="shared" si="3"/>
        <v>0</v>
      </c>
      <c r="K31" s="1572"/>
      <c r="L31" s="1572"/>
      <c r="M31" s="1572"/>
      <c r="N31" s="1572"/>
      <c r="O31" s="1465"/>
      <c r="P31" s="1467"/>
      <c r="Q31" s="1466"/>
    </row>
    <row r="32" spans="1:17" ht="21.95" customHeight="1">
      <c r="A32" s="1153"/>
      <c r="B32" s="1154"/>
      <c r="C32" s="1030"/>
      <c r="D32" s="1030"/>
      <c r="E32" s="1030"/>
      <c r="F32" s="1156"/>
      <c r="G32" s="1030"/>
      <c r="H32" s="1031" t="str">
        <f t="shared" si="11"/>
        <v/>
      </c>
      <c r="I32" s="1031" t="str">
        <f t="shared" si="9"/>
        <v/>
      </c>
      <c r="J32" s="1468">
        <f t="shared" si="3"/>
        <v>0</v>
      </c>
      <c r="K32" s="1465"/>
      <c r="L32" s="1465"/>
      <c r="M32" s="1465"/>
      <c r="N32" s="1465"/>
      <c r="O32" s="1465"/>
      <c r="P32" s="1467"/>
      <c r="Q32" s="1466"/>
    </row>
    <row r="33" spans="1:17" ht="21.95" customHeight="1">
      <c r="A33" s="1153"/>
      <c r="B33" s="1154"/>
      <c r="C33" s="1030"/>
      <c r="D33" s="1030"/>
      <c r="E33" s="1030"/>
      <c r="F33" s="1030"/>
      <c r="G33" s="1030"/>
      <c r="H33" s="1031" t="str">
        <f t="shared" si="11"/>
        <v/>
      </c>
      <c r="I33" s="1031" t="str">
        <f t="shared" si="9"/>
        <v/>
      </c>
      <c r="J33" s="1468">
        <f t="shared" si="3"/>
        <v>0</v>
      </c>
      <c r="K33" s="1465"/>
      <c r="L33" s="1465"/>
      <c r="M33" s="1465"/>
      <c r="N33" s="1465"/>
      <c r="O33" s="1465"/>
      <c r="P33" s="1467"/>
      <c r="Q33" s="1466"/>
    </row>
    <row r="34" spans="1:17" ht="21.95" customHeight="1">
      <c r="A34" s="1153"/>
      <c r="B34" s="1154"/>
      <c r="C34" s="1030"/>
      <c r="D34" s="1030"/>
      <c r="E34" s="1030"/>
      <c r="F34" s="1156"/>
      <c r="G34" s="1030"/>
      <c r="H34" s="1031" t="str">
        <f t="shared" si="11"/>
        <v/>
      </c>
      <c r="I34" s="1031" t="str">
        <f>IF(A34="","",(I33+H34))</f>
        <v/>
      </c>
      <c r="J34" s="1016">
        <f t="shared" si="3"/>
        <v>0</v>
      </c>
      <c r="Q34" s="1148"/>
    </row>
    <row r="35" spans="1:17" ht="21.95" customHeight="1">
      <c r="A35" s="1153"/>
      <c r="B35" s="1154"/>
      <c r="C35" s="1030"/>
      <c r="D35" s="1030"/>
      <c r="E35" s="1030"/>
      <c r="F35" s="1030"/>
      <c r="G35" s="1030"/>
      <c r="H35" s="1031" t="str">
        <f t="shared" si="11"/>
        <v/>
      </c>
      <c r="I35" s="1031" t="str">
        <f t="shared" si="9"/>
        <v/>
      </c>
      <c r="J35" s="1016">
        <f t="shared" si="3"/>
        <v>0</v>
      </c>
      <c r="Q35" s="1148"/>
    </row>
    <row r="36" spans="1:17" ht="21.95" customHeight="1">
      <c r="A36" s="1153"/>
      <c r="B36" s="1154"/>
      <c r="C36" s="1030"/>
      <c r="D36" s="1030"/>
      <c r="E36" s="1030"/>
      <c r="F36" s="1156"/>
      <c r="G36" s="1030"/>
      <c r="H36" s="1031" t="str">
        <f t="shared" si="11"/>
        <v/>
      </c>
      <c r="I36" s="1031" t="str">
        <f t="shared" si="9"/>
        <v/>
      </c>
      <c r="J36" s="1016">
        <f t="shared" si="3"/>
        <v>0</v>
      </c>
      <c r="Q36" s="1148"/>
    </row>
    <row r="37" spans="1:17" ht="21.95" customHeight="1">
      <c r="A37" s="1153"/>
      <c r="B37" s="1154"/>
      <c r="C37" s="1030"/>
      <c r="D37" s="1030"/>
      <c r="E37" s="1030"/>
      <c r="F37" s="1156"/>
      <c r="G37" s="1030"/>
      <c r="H37" s="1031" t="str">
        <f t="shared" si="11"/>
        <v/>
      </c>
      <c r="I37" s="1031" t="str">
        <f t="shared" si="9"/>
        <v/>
      </c>
      <c r="J37" s="1016">
        <f t="shared" si="3"/>
        <v>0</v>
      </c>
      <c r="Q37" s="1148"/>
    </row>
    <row r="38" spans="1:17" ht="21.95" customHeight="1">
      <c r="A38" s="1153"/>
      <c r="B38" s="1154"/>
      <c r="C38" s="1030"/>
      <c r="D38" s="1030"/>
      <c r="E38" s="1030"/>
      <c r="F38" s="1030"/>
      <c r="G38" s="1030"/>
      <c r="H38" s="1031" t="str">
        <f t="shared" si="11"/>
        <v/>
      </c>
      <c r="I38" s="1031" t="str">
        <f t="shared" si="9"/>
        <v/>
      </c>
      <c r="J38" s="1016">
        <f t="shared" si="3"/>
        <v>0</v>
      </c>
      <c r="Q38" s="1148"/>
    </row>
    <row r="39" spans="1:17" ht="21.95" customHeight="1">
      <c r="A39" s="1153"/>
      <c r="B39" s="1154"/>
      <c r="C39" s="1030"/>
      <c r="D39" s="1030"/>
      <c r="E39" s="1030"/>
      <c r="F39" s="1156"/>
      <c r="G39" s="1030"/>
      <c r="H39" s="1031" t="str">
        <f t="shared" si="11"/>
        <v/>
      </c>
      <c r="I39" s="1031" t="str">
        <f t="shared" si="9"/>
        <v/>
      </c>
      <c r="J39" s="1016">
        <f t="shared" si="3"/>
        <v>0</v>
      </c>
      <c r="Q39" s="1148"/>
    </row>
    <row r="40" spans="1:17" ht="21.95" customHeight="1">
      <c r="A40" s="1153"/>
      <c r="B40" s="1154"/>
      <c r="C40" s="1030"/>
      <c r="D40" s="1030"/>
      <c r="E40" s="1030"/>
      <c r="F40" s="1030"/>
      <c r="G40" s="1030"/>
      <c r="H40" s="1031" t="str">
        <f t="shared" si="11"/>
        <v/>
      </c>
      <c r="I40" s="1031" t="str">
        <f t="shared" si="9"/>
        <v/>
      </c>
      <c r="J40" s="1016">
        <f t="shared" si="3"/>
        <v>0</v>
      </c>
      <c r="Q40" s="1148"/>
    </row>
    <row r="41" spans="1:17" ht="21.95" customHeight="1">
      <c r="A41" s="1153"/>
      <c r="B41" s="1154"/>
      <c r="C41" s="1030"/>
      <c r="D41" s="1030"/>
      <c r="E41" s="1030"/>
      <c r="F41" s="1030"/>
      <c r="G41" s="1030"/>
      <c r="H41" s="1031" t="str">
        <f>IF(A41="","",SUM(D41:F41)-G41)</f>
        <v/>
      </c>
      <c r="I41" s="1031" t="str">
        <f t="shared" si="9"/>
        <v/>
      </c>
      <c r="J41" s="1016">
        <f t="shared" si="3"/>
        <v>0</v>
      </c>
      <c r="Q41" s="1148"/>
    </row>
    <row r="42" spans="1:17" ht="21.95" customHeight="1">
      <c r="A42" s="1153"/>
      <c r="B42" s="1154"/>
      <c r="C42" s="1030"/>
      <c r="D42" s="1030"/>
      <c r="E42" s="1030"/>
      <c r="F42" s="1030"/>
      <c r="G42" s="1030"/>
      <c r="H42" s="1031" t="str">
        <f t="shared" si="11"/>
        <v/>
      </c>
      <c r="I42" s="1031" t="str">
        <f t="shared" si="9"/>
        <v/>
      </c>
      <c r="J42" s="1016">
        <f t="shared" si="3"/>
        <v>0</v>
      </c>
      <c r="K42"/>
      <c r="L42"/>
      <c r="Q42" s="1148"/>
    </row>
    <row r="43" spans="1:17" ht="21.95" customHeight="1">
      <c r="A43" s="1153"/>
      <c r="B43" s="1154"/>
      <c r="C43" s="1030"/>
      <c r="D43" s="1030"/>
      <c r="E43" s="1030"/>
      <c r="F43" s="1030"/>
      <c r="G43" s="1030"/>
      <c r="H43" s="1031" t="str">
        <f t="shared" si="11"/>
        <v/>
      </c>
      <c r="I43" s="1031" t="str">
        <f t="shared" si="9"/>
        <v/>
      </c>
      <c r="J43" s="1016">
        <f t="shared" si="3"/>
        <v>0</v>
      </c>
      <c r="Q43" s="1148"/>
    </row>
    <row r="44" spans="1:17" ht="21.95" customHeight="1">
      <c r="A44" s="1153"/>
      <c r="B44" s="1154"/>
      <c r="C44" s="1030"/>
      <c r="D44" s="1030"/>
      <c r="E44" s="1030"/>
      <c r="F44" s="1030"/>
      <c r="G44" s="1030"/>
      <c r="H44" s="1031" t="str">
        <f t="shared" si="11"/>
        <v/>
      </c>
      <c r="I44" s="1031" t="str">
        <f t="shared" si="9"/>
        <v/>
      </c>
      <c r="J44" s="1016">
        <f t="shared" si="3"/>
        <v>0</v>
      </c>
      <c r="Q44" s="1148"/>
    </row>
    <row r="45" spans="1:17" ht="21.95" customHeight="1">
      <c r="A45" s="1153"/>
      <c r="B45" s="1154"/>
      <c r="C45" s="1030"/>
      <c r="D45" s="1030"/>
      <c r="E45" s="1030"/>
      <c r="F45" s="1030"/>
      <c r="G45" s="1030"/>
      <c r="H45" s="1031" t="str">
        <f t="shared" si="11"/>
        <v/>
      </c>
      <c r="I45" s="1031" t="str">
        <f t="shared" si="9"/>
        <v/>
      </c>
      <c r="Q45" s="1148"/>
    </row>
    <row r="46" spans="1:17" ht="21.95" hidden="1" customHeight="1">
      <c r="A46" s="1028"/>
      <c r="B46" s="1058"/>
      <c r="C46" s="1029"/>
      <c r="D46" s="1029"/>
      <c r="E46" s="1029"/>
      <c r="F46" s="1029"/>
      <c r="G46" s="1030"/>
      <c r="H46" s="1031"/>
      <c r="I46" s="1031" t="str">
        <f t="shared" ref="I46:I61" si="14">IF(A46="","",(I45+H46))</f>
        <v/>
      </c>
      <c r="Q46" s="1148"/>
    </row>
    <row r="47" spans="1:17" ht="21.95" hidden="1" customHeight="1">
      <c r="A47" s="1028"/>
      <c r="B47" s="1058"/>
      <c r="C47" s="1029"/>
      <c r="D47" s="1029"/>
      <c r="E47" s="1029"/>
      <c r="F47" s="1029"/>
      <c r="G47" s="1030"/>
      <c r="H47" s="1031"/>
      <c r="I47" s="1031" t="str">
        <f t="shared" si="14"/>
        <v/>
      </c>
      <c r="Q47" s="1148"/>
    </row>
    <row r="48" spans="1:17" ht="21.95" hidden="1" customHeight="1">
      <c r="A48" s="1028"/>
      <c r="B48" s="1058"/>
      <c r="C48" s="1029"/>
      <c r="D48" s="1029"/>
      <c r="E48" s="1029"/>
      <c r="F48" s="1029"/>
      <c r="G48" s="1030"/>
      <c r="H48" s="1031"/>
      <c r="I48" s="1031" t="str">
        <f t="shared" si="14"/>
        <v/>
      </c>
      <c r="Q48" s="1148"/>
    </row>
    <row r="49" spans="1:17" ht="21.95" hidden="1" customHeight="1">
      <c r="A49" s="1028"/>
      <c r="B49" s="1058"/>
      <c r="C49" s="1029"/>
      <c r="D49" s="1029"/>
      <c r="E49" s="1029"/>
      <c r="F49" s="1029"/>
      <c r="G49" s="1030"/>
      <c r="H49" s="1032"/>
      <c r="I49" s="1032" t="str">
        <f t="shared" si="14"/>
        <v/>
      </c>
      <c r="Q49" s="1148"/>
    </row>
    <row r="50" spans="1:17" ht="21.95" hidden="1" customHeight="1">
      <c r="A50" s="1028"/>
      <c r="B50" s="1058"/>
      <c r="C50" s="1029"/>
      <c r="D50" s="1029"/>
      <c r="E50" s="1029"/>
      <c r="F50" s="1029"/>
      <c r="G50" s="1030"/>
      <c r="H50" s="1032"/>
      <c r="I50" s="1032" t="str">
        <f t="shared" si="14"/>
        <v/>
      </c>
      <c r="Q50" s="1148"/>
    </row>
    <row r="51" spans="1:17" ht="21.95" hidden="1" customHeight="1">
      <c r="A51" s="1028"/>
      <c r="B51" s="1058"/>
      <c r="C51" s="1029"/>
      <c r="D51" s="1029"/>
      <c r="E51" s="1029"/>
      <c r="F51" s="1029"/>
      <c r="G51" s="1030"/>
      <c r="H51" s="1033"/>
      <c r="I51" s="1033" t="str">
        <f t="shared" si="14"/>
        <v/>
      </c>
      <c r="Q51" s="1148"/>
    </row>
    <row r="52" spans="1:17" ht="21.95" hidden="1" customHeight="1">
      <c r="A52" s="1028"/>
      <c r="B52" s="1058"/>
      <c r="C52" s="1029"/>
      <c r="D52" s="1029"/>
      <c r="E52" s="1029"/>
      <c r="F52" s="1029"/>
      <c r="G52" s="1030"/>
      <c r="H52" s="1032"/>
      <c r="I52" s="1032" t="str">
        <f t="shared" si="14"/>
        <v/>
      </c>
      <c r="Q52" s="1148"/>
    </row>
    <row r="53" spans="1:17" ht="21.95" hidden="1" customHeight="1">
      <c r="A53" s="1028"/>
      <c r="B53" s="1058"/>
      <c r="C53" s="1029"/>
      <c r="D53" s="1029"/>
      <c r="E53" s="1029"/>
      <c r="F53" s="1029"/>
      <c r="G53" s="1030"/>
      <c r="H53" s="1032"/>
      <c r="I53" s="1032" t="str">
        <f t="shared" si="14"/>
        <v/>
      </c>
      <c r="Q53" s="1148"/>
    </row>
    <row r="54" spans="1:17" ht="21.95" hidden="1" customHeight="1">
      <c r="A54" s="1028"/>
      <c r="B54" s="1058"/>
      <c r="C54" s="1029"/>
      <c r="D54" s="1029"/>
      <c r="E54" s="1029"/>
      <c r="F54" s="1029"/>
      <c r="G54" s="1030"/>
      <c r="H54" s="1032"/>
      <c r="I54" s="1032" t="str">
        <f t="shared" si="14"/>
        <v/>
      </c>
      <c r="Q54" s="1148"/>
    </row>
    <row r="55" spans="1:17" ht="21.95" hidden="1" customHeight="1">
      <c r="A55" s="1028"/>
      <c r="B55" s="1058"/>
      <c r="C55" s="1029"/>
      <c r="D55" s="1029"/>
      <c r="E55" s="1029"/>
      <c r="F55" s="1029"/>
      <c r="G55" s="1030"/>
      <c r="H55" s="1032"/>
      <c r="I55" s="1032" t="str">
        <f t="shared" si="14"/>
        <v/>
      </c>
      <c r="Q55" s="1148"/>
    </row>
    <row r="56" spans="1:17" ht="21.95" hidden="1" customHeight="1">
      <c r="A56" s="1028"/>
      <c r="B56" s="1058"/>
      <c r="C56" s="1029"/>
      <c r="D56" s="1029"/>
      <c r="E56" s="1029"/>
      <c r="F56" s="1029"/>
      <c r="G56" s="1030"/>
      <c r="H56" s="1032"/>
      <c r="I56" s="1032" t="str">
        <f t="shared" si="14"/>
        <v/>
      </c>
      <c r="Q56" s="1148"/>
    </row>
    <row r="57" spans="1:17" ht="21.95" hidden="1" customHeight="1">
      <c r="A57" s="1028"/>
      <c r="B57" s="1058"/>
      <c r="C57" s="1029"/>
      <c r="D57" s="1029"/>
      <c r="E57" s="1029"/>
      <c r="F57" s="1029"/>
      <c r="G57" s="1030"/>
      <c r="H57" s="1032"/>
      <c r="I57" s="1032" t="str">
        <f t="shared" si="14"/>
        <v/>
      </c>
      <c r="Q57" s="1148"/>
    </row>
    <row r="58" spans="1:17" ht="21.95" hidden="1" customHeight="1">
      <c r="A58" s="1028"/>
      <c r="B58" s="1058"/>
      <c r="C58" s="1029"/>
      <c r="D58" s="1029"/>
      <c r="E58" s="1029"/>
      <c r="F58" s="1029"/>
      <c r="G58" s="1030"/>
      <c r="H58" s="1032"/>
      <c r="I58" s="1032" t="str">
        <f t="shared" si="14"/>
        <v/>
      </c>
      <c r="Q58" s="1148"/>
    </row>
    <row r="59" spans="1:17" ht="21.95" hidden="1" customHeight="1">
      <c r="A59" s="1028"/>
      <c r="B59" s="1058"/>
      <c r="C59" s="1029"/>
      <c r="D59" s="1029"/>
      <c r="E59" s="1029"/>
      <c r="F59" s="1029"/>
      <c r="G59" s="1030"/>
      <c r="H59" s="1032"/>
      <c r="I59" s="1032" t="str">
        <f t="shared" si="14"/>
        <v/>
      </c>
      <c r="Q59" s="1148"/>
    </row>
    <row r="60" spans="1:17" ht="21.95" hidden="1" customHeight="1">
      <c r="A60" s="1028"/>
      <c r="B60" s="1058"/>
      <c r="C60" s="1029"/>
      <c r="D60" s="1029"/>
      <c r="E60" s="1029"/>
      <c r="F60" s="1029"/>
      <c r="G60" s="1030"/>
      <c r="H60" s="1032"/>
      <c r="I60" s="1032" t="str">
        <f t="shared" si="14"/>
        <v/>
      </c>
      <c r="Q60" s="1148"/>
    </row>
    <row r="61" spans="1:17" ht="21.95" hidden="1" customHeight="1">
      <c r="A61" s="1028"/>
      <c r="B61" s="1058"/>
      <c r="C61" s="1029"/>
      <c r="D61" s="1029"/>
      <c r="E61" s="1029"/>
      <c r="F61" s="1029"/>
      <c r="G61" s="1030"/>
      <c r="H61" s="1032"/>
      <c r="I61" s="1032" t="str">
        <f t="shared" si="14"/>
        <v/>
      </c>
      <c r="Q61" s="1148"/>
    </row>
    <row r="62" spans="1:17" ht="21.95" customHeight="1">
      <c r="A62" s="1278" t="s">
        <v>312</v>
      </c>
      <c r="B62" s="1279">
        <f t="shared" ref="B62:F62" si="15">SUM(B6:B61)</f>
        <v>0</v>
      </c>
      <c r="C62" s="1280">
        <f t="shared" si="15"/>
        <v>4881</v>
      </c>
      <c r="D62" s="1280">
        <f>SUM(D6:D61)</f>
        <v>5194316000</v>
      </c>
      <c r="E62" s="1280">
        <f t="shared" si="15"/>
        <v>0</v>
      </c>
      <c r="F62" s="1280">
        <f t="shared" si="15"/>
        <v>0</v>
      </c>
      <c r="G62" s="1280">
        <f>SUM(G6:G61)</f>
        <v>0</v>
      </c>
      <c r="H62" s="1280">
        <f>SUM(H6:H61)</f>
        <v>5194316000</v>
      </c>
      <c r="I62" s="1280">
        <f>MAX(I6:I61)</f>
        <v>5194316000</v>
      </c>
      <c r="J62" s="1016">
        <f>SUM(J6:J60)</f>
        <v>0</v>
      </c>
      <c r="P62" s="1231"/>
      <c r="Q62" s="1148">
        <f>SUM(Q6:Q39)</f>
        <v>0</v>
      </c>
    </row>
    <row r="63" spans="1:17" ht="24.95" hidden="1" customHeight="1">
      <c r="A63" s="1011"/>
      <c r="B63" s="1059"/>
      <c r="C63" s="1014"/>
      <c r="D63" s="1014" t="e">
        <f>#REF!-#REF!</f>
        <v>#REF!</v>
      </c>
      <c r="E63" s="1014" t="e">
        <f>#REF!-#REF!</f>
        <v>#REF!</v>
      </c>
      <c r="F63" s="1014" t="e">
        <f>#REF!-#REF!</f>
        <v>#REF!</v>
      </c>
      <c r="G63" s="1034" t="e">
        <f>#REF!</f>
        <v>#REF!</v>
      </c>
      <c r="H63" s="1012" t="e">
        <f>SUM(C63:E63)+F63</f>
        <v>#REF!</v>
      </c>
      <c r="I63" s="1012" t="e">
        <f>SUM(D63:F63)+G63</f>
        <v>#REF!</v>
      </c>
    </row>
    <row r="64" spans="1:17" ht="24.95" hidden="1" customHeight="1" thickBot="1">
      <c r="A64" s="1035"/>
      <c r="B64" s="1060"/>
      <c r="C64" s="1036"/>
      <c r="D64" s="1036"/>
      <c r="E64" s="1036"/>
      <c r="F64" s="1036"/>
      <c r="G64" s="1036"/>
      <c r="H64" s="1037" t="e">
        <f>#REF!-H63</f>
        <v>#REF!</v>
      </c>
      <c r="I64" s="1037" t="e">
        <f>#REF!-I63</f>
        <v>#REF!</v>
      </c>
    </row>
    <row r="65" spans="1:16" ht="24.95" customHeight="1">
      <c r="A65" s="1038"/>
      <c r="B65" s="1040"/>
      <c r="C65" s="1016"/>
      <c r="D65" s="1016"/>
      <c r="E65" s="1016"/>
      <c r="F65" s="1016"/>
      <c r="G65" s="1016"/>
      <c r="H65" s="1017"/>
      <c r="I65" s="1017"/>
      <c r="P65" s="1231"/>
    </row>
    <row r="66" spans="1:16" ht="24.95" customHeight="1">
      <c r="A66" s="1038"/>
      <c r="B66" s="1040"/>
      <c r="C66" s="1016"/>
      <c r="D66" s="1016"/>
      <c r="E66" s="1016"/>
      <c r="F66" s="1075">
        <f>SUM(D62:F62)</f>
        <v>5194316000</v>
      </c>
      <c r="G66" s="1075">
        <f>G62</f>
        <v>0</v>
      </c>
      <c r="H66" s="1076">
        <f>H62</f>
        <v>5194316000</v>
      </c>
      <c r="I66" s="1017"/>
    </row>
    <row r="67" spans="1:16" ht="24.95" customHeight="1">
      <c r="A67" s="1039"/>
      <c r="B67" s="1061"/>
      <c r="C67" s="1018"/>
      <c r="D67" s="1018"/>
      <c r="E67" s="1018"/>
      <c r="F67" s="1077">
        <f>투자현황!N28</f>
        <v>5124873000</v>
      </c>
      <c r="G67" s="1077">
        <f>투자현황!T28</f>
        <v>0</v>
      </c>
      <c r="H67" s="1076">
        <f>투자현황!Z28</f>
        <v>5194316000</v>
      </c>
      <c r="I67" s="1017"/>
    </row>
    <row r="68" spans="1:16" ht="24.95" customHeight="1">
      <c r="A68" s="1038"/>
      <c r="B68" s="1040"/>
      <c r="C68" s="1016"/>
      <c r="D68" s="1016"/>
      <c r="E68" s="1016"/>
      <c r="F68" s="1019">
        <f>F66-F67</f>
        <v>69443000</v>
      </c>
      <c r="G68" s="1019"/>
      <c r="H68" s="1019">
        <f>H66-H67</f>
        <v>0</v>
      </c>
      <c r="I68" s="1017"/>
    </row>
    <row r="69" spans="1:16" ht="24.95" customHeight="1">
      <c r="A69" s="1038"/>
      <c r="B69" s="1040"/>
      <c r="C69" s="1016"/>
      <c r="D69" s="1016"/>
      <c r="E69" s="1016"/>
      <c r="F69" s="1016"/>
      <c r="G69" s="1016"/>
      <c r="H69" s="1017"/>
      <c r="I69" s="1017"/>
    </row>
    <row r="70" spans="1:16" ht="24.95" customHeight="1">
      <c r="A70" s="1038"/>
      <c r="B70" s="1040"/>
      <c r="C70" s="1016"/>
      <c r="D70" s="1016"/>
      <c r="E70" s="1016"/>
      <c r="F70" s="1016"/>
      <c r="G70" s="1016"/>
      <c r="H70" s="1017"/>
      <c r="I70" s="1017"/>
    </row>
    <row r="71" spans="1:16" ht="24.95" customHeight="1">
      <c r="A71" s="1038"/>
      <c r="B71" s="1040"/>
      <c r="C71" s="1016"/>
      <c r="D71" s="1016"/>
      <c r="E71" s="1016"/>
      <c r="F71" s="1016"/>
      <c r="G71" s="1016"/>
      <c r="H71" s="1017"/>
      <c r="I71" s="1017"/>
    </row>
    <row r="72" spans="1:16" ht="24.95" customHeight="1">
      <c r="I72" s="343">
        <v>30204147403</v>
      </c>
    </row>
    <row r="77" spans="1:16" ht="24.95" customHeight="1">
      <c r="E77" s="1015">
        <v>3730259250</v>
      </c>
    </row>
  </sheetData>
  <phoneticPr fontId="16" type="noConversion"/>
  <conditionalFormatting sqref="H64:I64">
    <cfRule type="expression" dxfId="31" priority="2" stopIfTrue="1">
      <formula>SUM(#REF!&lt;&gt;$I$64)</formula>
    </cfRule>
  </conditionalFormatting>
  <pageMargins left="0.59055118110236227" right="0.51181102362204722" top="0.78740157480314965" bottom="0.39370078740157483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5">
    <tabColor rgb="FFC00000"/>
  </sheetPr>
  <dimension ref="A1:AO45"/>
  <sheetViews>
    <sheetView showGridLines="0" showZeros="0" tabSelected="1" zoomScale="80" zoomScaleNormal="80" zoomScaleSheetLayoutView="85" workbookViewId="0">
      <pane xSplit="2" ySplit="8" topLeftCell="I10" activePane="bottomRight" state="frozen"/>
      <selection activeCell="L1" sqref="L1:O1048576"/>
      <selection pane="topRight" activeCell="L1" sqref="L1:O1048576"/>
      <selection pane="bottomLeft" activeCell="L1" sqref="L1:O1048576"/>
      <selection pane="bottomRight" activeCell="J31" sqref="J31"/>
    </sheetView>
  </sheetViews>
  <sheetFormatPr defaultRowHeight="13.5"/>
  <cols>
    <col min="1" max="1" width="6.33203125" style="857" customWidth="1"/>
    <col min="2" max="2" width="8.109375" style="857" customWidth="1"/>
    <col min="3" max="3" width="8.77734375" style="857" hidden="1" customWidth="1"/>
    <col min="4" max="4" width="11.77734375" style="857" hidden="1" customWidth="1"/>
    <col min="5" max="5" width="8.33203125" style="857" hidden="1" customWidth="1"/>
    <col min="6" max="6" width="8.77734375" style="857" hidden="1" customWidth="1"/>
    <col min="7" max="7" width="11.77734375" style="857" hidden="1" customWidth="1"/>
    <col min="8" max="8" width="10.5546875" style="857" hidden="1" customWidth="1"/>
    <col min="9" max="9" width="8.77734375" style="857" customWidth="1"/>
    <col min="10" max="10" width="11.77734375" style="857" customWidth="1"/>
    <col min="11" max="11" width="6.77734375" style="857" customWidth="1"/>
    <col min="12" max="13" width="8.77734375" style="857" customWidth="1"/>
    <col min="14" max="14" width="12.77734375" style="857" bestFit="1" customWidth="1"/>
    <col min="15" max="15" width="8.77734375" style="857" customWidth="1"/>
    <col min="16" max="16" width="8.109375" style="857" customWidth="1"/>
    <col min="17" max="17" width="10.77734375" style="857" customWidth="1"/>
    <col min="18" max="18" width="8.77734375" style="857" customWidth="1"/>
    <col min="19" max="19" width="7.21875" style="857" customWidth="1"/>
    <col min="20" max="20" width="11.21875" style="857" customWidth="1"/>
    <col min="21" max="22" width="8.77734375" style="857" hidden="1" customWidth="1"/>
    <col min="23" max="23" width="11.77734375" style="857" hidden="1" customWidth="1"/>
    <col min="24" max="24" width="8.77734375" style="857" customWidth="1"/>
    <col min="25" max="25" width="9.21875" style="857" customWidth="1"/>
    <col min="26" max="26" width="11.33203125" style="857" customWidth="1"/>
    <col min="27" max="27" width="7.6640625" style="325" bestFit="1" customWidth="1"/>
    <col min="28" max="28" width="11.77734375" style="857" customWidth="1"/>
    <col min="29" max="29" width="11" style="857" hidden="1" customWidth="1"/>
    <col min="30" max="30" width="10.88671875" style="857" hidden="1" customWidth="1"/>
    <col min="31" max="31" width="11.21875" style="857" hidden="1" customWidth="1"/>
    <col min="32" max="32" width="11.21875" style="859" hidden="1" customWidth="1"/>
    <col min="33" max="33" width="13.44140625" style="857" customWidth="1"/>
    <col min="34" max="34" width="10.21875" style="857" bestFit="1" customWidth="1"/>
    <col min="35" max="35" width="11.44140625" style="325" bestFit="1" customWidth="1"/>
    <col min="36" max="36" width="15.5546875" style="858" bestFit="1" customWidth="1"/>
    <col min="37" max="37" width="14.6640625" style="325" customWidth="1"/>
    <col min="38" max="38" width="17.33203125" style="325" bestFit="1" customWidth="1"/>
    <col min="39" max="39" width="8.88671875" style="857"/>
    <col min="40" max="40" width="13.6640625" style="857" bestFit="1" customWidth="1"/>
    <col min="41" max="41" width="14.21875" style="857" bestFit="1" customWidth="1"/>
    <col min="42" max="16384" width="8.88671875" style="857"/>
  </cols>
  <sheetData>
    <row r="1" spans="1:40" ht="17.100000000000001" customHeight="1">
      <c r="A1" s="855"/>
      <c r="B1" s="332"/>
      <c r="F1" s="332"/>
      <c r="G1" s="332"/>
      <c r="H1" s="332"/>
      <c r="I1" s="332"/>
      <c r="J1" s="332"/>
      <c r="K1" s="332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B1" s="333"/>
      <c r="AC1" s="333"/>
      <c r="AD1" s="333"/>
      <c r="AE1" s="333"/>
      <c r="AF1" s="856"/>
    </row>
    <row r="2" spans="1:40" ht="17.100000000000001" customHeight="1">
      <c r="A2" s="855"/>
      <c r="B2" s="332"/>
      <c r="F2" s="332"/>
      <c r="G2" s="332"/>
      <c r="H2" s="332"/>
      <c r="I2" s="332"/>
      <c r="J2" s="332"/>
      <c r="K2" s="332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B2" s="333"/>
      <c r="AC2" s="333"/>
      <c r="AD2" s="333"/>
      <c r="AE2" s="333"/>
      <c r="AF2" s="856"/>
      <c r="AK2" s="927"/>
    </row>
    <row r="3" spans="1:40" ht="17.100000000000001" customHeight="1">
      <c r="A3" s="855"/>
      <c r="B3" s="332"/>
      <c r="F3" s="332"/>
      <c r="G3" s="332"/>
      <c r="H3" s="332"/>
      <c r="I3" s="332"/>
      <c r="J3" s="332"/>
      <c r="K3" s="332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B3" s="333"/>
      <c r="AC3" s="333"/>
      <c r="AD3" s="333"/>
      <c r="AE3" s="333"/>
      <c r="AF3" s="856"/>
    </row>
    <row r="4" spans="1:40" ht="17.100000000000001" customHeight="1">
      <c r="A4" s="855"/>
      <c r="B4" s="332"/>
      <c r="F4" s="332"/>
      <c r="G4" s="332"/>
      <c r="H4" s="332"/>
      <c r="I4" s="332"/>
      <c r="J4" s="332"/>
      <c r="K4" s="332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B4" s="333"/>
      <c r="AC4" s="333"/>
      <c r="AD4" s="333"/>
      <c r="AE4" s="333"/>
      <c r="AF4" s="856"/>
      <c r="AI4" s="1281"/>
    </row>
    <row r="5" spans="1:40" ht="17.100000000000001" customHeight="1">
      <c r="A5" s="855"/>
      <c r="B5" s="332"/>
      <c r="F5" s="332"/>
      <c r="G5" s="332"/>
      <c r="H5" s="332"/>
      <c r="I5" s="332"/>
      <c r="J5" s="332"/>
      <c r="K5" s="332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B5" s="333"/>
      <c r="AC5" s="333"/>
      <c r="AD5" s="333"/>
      <c r="AE5" s="333"/>
      <c r="AF5" s="856"/>
    </row>
    <row r="6" spans="1:40" ht="24.95" customHeight="1" thickBot="1">
      <c r="N6" s="1073"/>
      <c r="Q6" s="1082"/>
      <c r="AB6" s="857">
        <v>0</v>
      </c>
      <c r="AG6" s="860" t="s">
        <v>182</v>
      </c>
    </row>
    <row r="7" spans="1:40" ht="30" customHeight="1" thickTop="1">
      <c r="A7" s="1937" t="s">
        <v>183</v>
      </c>
      <c r="B7" s="1938"/>
      <c r="C7" s="1130" t="s">
        <v>491</v>
      </c>
      <c r="D7" s="1118"/>
      <c r="E7" s="1118"/>
      <c r="F7" s="1945" t="s">
        <v>492</v>
      </c>
      <c r="G7" s="1946"/>
      <c r="H7" s="1947" t="s">
        <v>490</v>
      </c>
      <c r="I7" s="1456" t="s">
        <v>493</v>
      </c>
      <c r="J7" s="1799"/>
      <c r="K7" s="861"/>
      <c r="L7" s="862" t="s">
        <v>501</v>
      </c>
      <c r="M7" s="863"/>
      <c r="N7" s="863"/>
      <c r="O7" s="862" t="str">
        <f>"금회 신청 내역("&amp;품의서!E25&amp;"차)"</f>
        <v>금회 신청 내역(9차)</v>
      </c>
      <c r="P7" s="863"/>
      <c r="Q7" s="864"/>
      <c r="R7" s="862" t="s">
        <v>494</v>
      </c>
      <c r="S7" s="863"/>
      <c r="T7" s="863"/>
      <c r="U7" s="862" t="s">
        <v>487</v>
      </c>
      <c r="V7" s="863"/>
      <c r="W7" s="863"/>
      <c r="X7" s="862" t="s">
        <v>495</v>
      </c>
      <c r="Y7" s="863"/>
      <c r="Z7" s="863"/>
      <c r="AA7" s="864"/>
      <c r="AB7" s="1941" t="s">
        <v>184</v>
      </c>
      <c r="AC7" s="865" t="s">
        <v>185</v>
      </c>
      <c r="AD7" s="866"/>
      <c r="AE7" s="866"/>
      <c r="AF7" s="1943" t="s">
        <v>185</v>
      </c>
      <c r="AG7" s="1929" t="s">
        <v>482</v>
      </c>
    </row>
    <row r="8" spans="1:40" ht="30" customHeight="1" thickBot="1">
      <c r="A8" s="1939"/>
      <c r="B8" s="1940"/>
      <c r="C8" s="867" t="s">
        <v>188</v>
      </c>
      <c r="D8" s="868" t="s">
        <v>127</v>
      </c>
      <c r="E8" s="869" t="s">
        <v>189</v>
      </c>
      <c r="F8" s="870" t="s">
        <v>188</v>
      </c>
      <c r="G8" s="1450" t="s">
        <v>127</v>
      </c>
      <c r="H8" s="1948"/>
      <c r="I8" s="870" t="s">
        <v>188</v>
      </c>
      <c r="J8" s="868" t="s">
        <v>127</v>
      </c>
      <c r="K8" s="869" t="s">
        <v>189</v>
      </c>
      <c r="L8" s="870" t="s">
        <v>187</v>
      </c>
      <c r="M8" s="871" t="s">
        <v>128</v>
      </c>
      <c r="N8" s="871" t="s">
        <v>127</v>
      </c>
      <c r="O8" s="870" t="s">
        <v>187</v>
      </c>
      <c r="P8" s="871" t="s">
        <v>128</v>
      </c>
      <c r="Q8" s="869" t="s">
        <v>190</v>
      </c>
      <c r="R8" s="870" t="s">
        <v>187</v>
      </c>
      <c r="S8" s="871" t="s">
        <v>128</v>
      </c>
      <c r="T8" s="871" t="s">
        <v>127</v>
      </c>
      <c r="U8" s="870" t="s">
        <v>187</v>
      </c>
      <c r="V8" s="871" t="s">
        <v>128</v>
      </c>
      <c r="W8" s="871" t="s">
        <v>127</v>
      </c>
      <c r="X8" s="870" t="s">
        <v>187</v>
      </c>
      <c r="Y8" s="871" t="s">
        <v>128</v>
      </c>
      <c r="Z8" s="871" t="s">
        <v>127</v>
      </c>
      <c r="AA8" s="872" t="s">
        <v>189</v>
      </c>
      <c r="AB8" s="1942"/>
      <c r="AC8" s="873" t="s">
        <v>131</v>
      </c>
      <c r="AD8" s="873" t="s">
        <v>132</v>
      </c>
      <c r="AE8" s="873" t="s">
        <v>133</v>
      </c>
      <c r="AF8" s="1944"/>
      <c r="AG8" s="1930"/>
      <c r="AJ8" s="858" t="s">
        <v>187</v>
      </c>
      <c r="AK8" s="325" t="s">
        <v>191</v>
      </c>
      <c r="AL8" s="325" t="s">
        <v>190</v>
      </c>
    </row>
    <row r="9" spans="1:40" ht="33" customHeight="1">
      <c r="A9" s="1931" t="s">
        <v>192</v>
      </c>
      <c r="B9" s="1132" t="s">
        <v>193</v>
      </c>
      <c r="C9" s="1801">
        <v>3653</v>
      </c>
      <c r="D9" s="1802">
        <v>2510347000</v>
      </c>
      <c r="E9" s="876">
        <f t="shared" ref="E9:E15" si="0">D9/$D$28</f>
        <v>0.10826891073500461</v>
      </c>
      <c r="F9" s="1822">
        <v>1556</v>
      </c>
      <c r="G9" s="1823">
        <v>1055430560.2184962</v>
      </c>
      <c r="H9" s="1441"/>
      <c r="I9" s="1822">
        <v>1556</v>
      </c>
      <c r="J9" s="1829">
        <v>1055430560.2184962</v>
      </c>
      <c r="K9" s="876">
        <f>J9/$J$28</f>
        <v>7.0994232290626846E-2</v>
      </c>
      <c r="L9" s="877">
        <v>2542</v>
      </c>
      <c r="M9" s="878">
        <v>172</v>
      </c>
      <c r="N9" s="875">
        <v>153713000</v>
      </c>
      <c r="O9" s="877">
        <f t="shared" ref="O9:Q15" si="1">AJ9</f>
        <v>0</v>
      </c>
      <c r="P9" s="1202">
        <f t="shared" si="1"/>
        <v>0</v>
      </c>
      <c r="Q9" s="875">
        <f t="shared" si="1"/>
        <v>0</v>
      </c>
      <c r="R9" s="877"/>
      <c r="S9" s="1505"/>
      <c r="T9" s="875"/>
      <c r="U9" s="877">
        <f t="shared" ref="U9:W15" si="2">L9+O9</f>
        <v>2542</v>
      </c>
      <c r="V9" s="878">
        <f t="shared" si="2"/>
        <v>172</v>
      </c>
      <c r="W9" s="875">
        <f t="shared" si="2"/>
        <v>153713000</v>
      </c>
      <c r="X9" s="1203">
        <f t="shared" ref="X9:Z15" si="3">L9+O9-R9</f>
        <v>2542</v>
      </c>
      <c r="Y9" s="878">
        <f t="shared" si="3"/>
        <v>172</v>
      </c>
      <c r="Z9" s="875">
        <f t="shared" si="3"/>
        <v>153713000</v>
      </c>
      <c r="AA9" s="879">
        <f t="shared" ref="AA9:AA18" si="4">Z9/$Z$28</f>
        <v>2.9592539229419235E-2</v>
      </c>
      <c r="AB9" s="883">
        <f t="shared" ref="AB9:AB15" si="5">J9-Z9</f>
        <v>901717560.2184962</v>
      </c>
      <c r="AC9" s="884"/>
      <c r="AD9" s="884"/>
      <c r="AE9" s="884"/>
      <c r="AF9" s="883"/>
      <c r="AG9" s="1661">
        <f>IFERROR(Z9/J9,"")</f>
        <v>0.14564008831445832</v>
      </c>
      <c r="AI9" s="885" t="s">
        <v>210</v>
      </c>
      <c r="AJ9" s="885">
        <f>용도별분석!AH9</f>
        <v>0</v>
      </c>
      <c r="AK9" s="886">
        <f>용도별분석!E9</f>
        <v>0</v>
      </c>
      <c r="AL9" s="887">
        <f>용도별분석!H9</f>
        <v>0</v>
      </c>
      <c r="AN9" s="1072"/>
    </row>
    <row r="10" spans="1:40" ht="33" customHeight="1">
      <c r="A10" s="1932"/>
      <c r="B10" s="1133" t="s">
        <v>194</v>
      </c>
      <c r="C10" s="1803">
        <v>921</v>
      </c>
      <c r="D10" s="1804">
        <v>1397023000</v>
      </c>
      <c r="E10" s="889">
        <f t="shared" si="0"/>
        <v>6.0252291209840048E-2</v>
      </c>
      <c r="F10" s="1824">
        <v>906</v>
      </c>
      <c r="G10" s="1825">
        <v>851196752.39789021</v>
      </c>
      <c r="H10" s="1442"/>
      <c r="I10" s="1824">
        <v>906</v>
      </c>
      <c r="J10" s="1830">
        <v>851196752.39789021</v>
      </c>
      <c r="K10" s="889">
        <f t="shared" ref="K10:K15" si="6">J10/$J$28</f>
        <v>5.7256310592572496E-2</v>
      </c>
      <c r="L10" s="880">
        <v>4975</v>
      </c>
      <c r="M10" s="890">
        <v>228</v>
      </c>
      <c r="N10" s="882">
        <v>342643000</v>
      </c>
      <c r="O10" s="880">
        <f t="shared" si="1"/>
        <v>450</v>
      </c>
      <c r="P10" s="881">
        <f t="shared" si="1"/>
        <v>8</v>
      </c>
      <c r="Q10" s="882">
        <f t="shared" si="1"/>
        <v>33889000</v>
      </c>
      <c r="R10" s="880"/>
      <c r="S10" s="1506"/>
      <c r="T10" s="882"/>
      <c r="U10" s="880">
        <f t="shared" si="2"/>
        <v>5425</v>
      </c>
      <c r="V10" s="890">
        <f t="shared" si="2"/>
        <v>236</v>
      </c>
      <c r="W10" s="882">
        <f t="shared" si="2"/>
        <v>376532000</v>
      </c>
      <c r="X10" s="880">
        <f t="shared" si="3"/>
        <v>5425</v>
      </c>
      <c r="Y10" s="890">
        <f t="shared" si="3"/>
        <v>236</v>
      </c>
      <c r="Z10" s="882">
        <f t="shared" si="3"/>
        <v>376532000</v>
      </c>
      <c r="AA10" s="891">
        <f t="shared" si="4"/>
        <v>7.2489236311383445E-2</v>
      </c>
      <c r="AB10" s="892">
        <f t="shared" si="5"/>
        <v>474664752.39789021</v>
      </c>
      <c r="AC10" s="893"/>
      <c r="AD10" s="893"/>
      <c r="AE10" s="893"/>
      <c r="AF10" s="892"/>
      <c r="AG10" s="1662">
        <f t="shared" ref="AG10:AG28" si="7">IFERROR(Z10/J10,"")</f>
        <v>0.4423560110389036</v>
      </c>
      <c r="AI10" s="894" t="s">
        <v>196</v>
      </c>
      <c r="AJ10" s="894">
        <f>용도별분석!AH11</f>
        <v>450</v>
      </c>
      <c r="AK10" s="894">
        <f>용도별분석!E11</f>
        <v>8</v>
      </c>
      <c r="AL10" s="895">
        <f>용도별분석!H11</f>
        <v>33889000</v>
      </c>
      <c r="AN10" s="1072"/>
    </row>
    <row r="11" spans="1:40" ht="33" customHeight="1">
      <c r="A11" s="1932"/>
      <c r="B11" s="1134" t="s">
        <v>209</v>
      </c>
      <c r="C11" s="1805">
        <v>595</v>
      </c>
      <c r="D11" s="1804">
        <v>450233000</v>
      </c>
      <c r="E11" s="897">
        <f t="shared" si="0"/>
        <v>1.9418126851368886E-2</v>
      </c>
      <c r="F11" s="1826">
        <v>325</v>
      </c>
      <c r="G11" s="1825">
        <v>287568274.41395813</v>
      </c>
      <c r="H11" s="1442"/>
      <c r="I11" s="1826">
        <v>325</v>
      </c>
      <c r="J11" s="1830">
        <v>287568274.41395813</v>
      </c>
      <c r="K11" s="897">
        <f t="shared" si="6"/>
        <v>1.934346952103869E-2</v>
      </c>
      <c r="L11" s="898">
        <v>0</v>
      </c>
      <c r="M11" s="899">
        <v>0</v>
      </c>
      <c r="N11" s="882">
        <v>0</v>
      </c>
      <c r="O11" s="900">
        <f t="shared" si="1"/>
        <v>0</v>
      </c>
      <c r="P11" s="901">
        <f t="shared" si="1"/>
        <v>0</v>
      </c>
      <c r="Q11" s="902">
        <f t="shared" si="1"/>
        <v>0</v>
      </c>
      <c r="R11" s="898"/>
      <c r="S11" s="1507"/>
      <c r="T11" s="882"/>
      <c r="U11" s="898">
        <f t="shared" si="2"/>
        <v>0</v>
      </c>
      <c r="V11" s="899">
        <f>M11+P11</f>
        <v>0</v>
      </c>
      <c r="W11" s="882">
        <f t="shared" si="2"/>
        <v>0</v>
      </c>
      <c r="X11" s="898">
        <f t="shared" si="3"/>
        <v>0</v>
      </c>
      <c r="Y11" s="899">
        <f t="shared" si="3"/>
        <v>0</v>
      </c>
      <c r="Z11" s="882">
        <f t="shared" si="3"/>
        <v>0</v>
      </c>
      <c r="AA11" s="891">
        <f t="shared" si="4"/>
        <v>0</v>
      </c>
      <c r="AB11" s="903">
        <f t="shared" si="5"/>
        <v>287568274.41395813</v>
      </c>
      <c r="AC11" s="904"/>
      <c r="AD11" s="904"/>
      <c r="AE11" s="904"/>
      <c r="AF11" s="892"/>
      <c r="AG11" s="1663">
        <f t="shared" si="7"/>
        <v>0</v>
      </c>
      <c r="AI11" s="894" t="s">
        <v>125</v>
      </c>
      <c r="AJ11" s="894">
        <f>용도별분석!AH14</f>
        <v>0</v>
      </c>
      <c r="AK11" s="905">
        <f>용도별분석!E14</f>
        <v>0</v>
      </c>
      <c r="AL11" s="895">
        <f>용도별분석!H14</f>
        <v>0</v>
      </c>
      <c r="AN11" s="1072"/>
    </row>
    <row r="12" spans="1:40" ht="33" customHeight="1">
      <c r="A12" s="1932"/>
      <c r="B12" s="1134" t="s">
        <v>293</v>
      </c>
      <c r="C12" s="1805">
        <v>514</v>
      </c>
      <c r="D12" s="1804">
        <v>651328000</v>
      </c>
      <c r="E12" s="897">
        <f t="shared" si="0"/>
        <v>2.8091165520626862E-2</v>
      </c>
      <c r="F12" s="1826">
        <v>498</v>
      </c>
      <c r="G12" s="1825">
        <v>439429508.22024024</v>
      </c>
      <c r="H12" s="1442"/>
      <c r="I12" s="1826">
        <v>498</v>
      </c>
      <c r="J12" s="1830">
        <v>439429508.22024024</v>
      </c>
      <c r="K12" s="897">
        <f t="shared" si="6"/>
        <v>2.9558515508102432E-2</v>
      </c>
      <c r="L12" s="898">
        <v>10</v>
      </c>
      <c r="M12" s="899">
        <v>155</v>
      </c>
      <c r="N12" s="882">
        <v>128275000</v>
      </c>
      <c r="O12" s="900">
        <f t="shared" si="1"/>
        <v>0</v>
      </c>
      <c r="P12" s="901">
        <f t="shared" si="1"/>
        <v>0</v>
      </c>
      <c r="Q12" s="902">
        <f t="shared" si="1"/>
        <v>0</v>
      </c>
      <c r="R12" s="898"/>
      <c r="S12" s="1507"/>
      <c r="T12" s="882"/>
      <c r="U12" s="898">
        <f t="shared" si="2"/>
        <v>10</v>
      </c>
      <c r="V12" s="899">
        <f t="shared" si="2"/>
        <v>155</v>
      </c>
      <c r="W12" s="882">
        <f t="shared" si="2"/>
        <v>128275000</v>
      </c>
      <c r="X12" s="898">
        <f t="shared" si="3"/>
        <v>10</v>
      </c>
      <c r="Y12" s="899">
        <f t="shared" si="3"/>
        <v>155</v>
      </c>
      <c r="Z12" s="882">
        <f t="shared" si="3"/>
        <v>128275000</v>
      </c>
      <c r="AA12" s="891">
        <f t="shared" si="4"/>
        <v>2.4695263052921693E-2</v>
      </c>
      <c r="AB12" s="903">
        <f t="shared" si="5"/>
        <v>311154508.22024024</v>
      </c>
      <c r="AC12" s="904"/>
      <c r="AD12" s="904"/>
      <c r="AE12" s="904"/>
      <c r="AF12" s="892"/>
      <c r="AG12" s="1663">
        <f t="shared" si="7"/>
        <v>0.2919125766486057</v>
      </c>
      <c r="AI12" s="894" t="s">
        <v>126</v>
      </c>
      <c r="AJ12" s="894">
        <f>용도별분석!AH17</f>
        <v>0</v>
      </c>
      <c r="AK12" s="905">
        <f>용도별분석!E17</f>
        <v>0</v>
      </c>
      <c r="AL12" s="895">
        <f>용도별분석!H17</f>
        <v>0</v>
      </c>
      <c r="AN12" s="1072"/>
    </row>
    <row r="13" spans="1:40" ht="33" customHeight="1">
      <c r="A13" s="1932"/>
      <c r="B13" s="1135" t="s">
        <v>294</v>
      </c>
      <c r="C13" s="1803">
        <v>3</v>
      </c>
      <c r="D13" s="1804">
        <v>18447000</v>
      </c>
      <c r="E13" s="897">
        <f t="shared" si="0"/>
        <v>7.9560180179418622E-4</v>
      </c>
      <c r="F13" s="1824">
        <v>275</v>
      </c>
      <c r="G13" s="1825">
        <v>182956113.44624606</v>
      </c>
      <c r="H13" s="1442"/>
      <c r="I13" s="1824">
        <v>275</v>
      </c>
      <c r="J13" s="1830">
        <v>182956113.44624606</v>
      </c>
      <c r="K13" s="897">
        <f t="shared" si="6"/>
        <v>1.2306663561366001E-2</v>
      </c>
      <c r="L13" s="898">
        <v>1</v>
      </c>
      <c r="M13" s="899">
        <v>35</v>
      </c>
      <c r="N13" s="882">
        <v>61362000</v>
      </c>
      <c r="O13" s="898">
        <f t="shared" si="1"/>
        <v>0</v>
      </c>
      <c r="P13" s="901">
        <f t="shared" si="1"/>
        <v>0</v>
      </c>
      <c r="Q13" s="902">
        <f t="shared" si="1"/>
        <v>0</v>
      </c>
      <c r="R13" s="898"/>
      <c r="S13" s="1507"/>
      <c r="T13" s="882"/>
      <c r="U13" s="898">
        <f t="shared" si="2"/>
        <v>1</v>
      </c>
      <c r="V13" s="899">
        <f t="shared" si="2"/>
        <v>35</v>
      </c>
      <c r="W13" s="882">
        <f t="shared" si="2"/>
        <v>61362000</v>
      </c>
      <c r="X13" s="898">
        <f t="shared" si="3"/>
        <v>1</v>
      </c>
      <c r="Y13" s="899">
        <f t="shared" si="3"/>
        <v>35</v>
      </c>
      <c r="Z13" s="882">
        <f t="shared" si="3"/>
        <v>61362000</v>
      </c>
      <c r="AA13" s="891">
        <f t="shared" si="4"/>
        <v>1.1813297458221642E-2</v>
      </c>
      <c r="AB13" s="903">
        <f t="shared" si="5"/>
        <v>121594113.44624606</v>
      </c>
      <c r="AC13" s="904"/>
      <c r="AD13" s="904"/>
      <c r="AE13" s="904"/>
      <c r="AF13" s="892"/>
      <c r="AG13" s="1663">
        <f t="shared" si="7"/>
        <v>0.33539190816943448</v>
      </c>
      <c r="AI13" s="894" t="s">
        <v>108</v>
      </c>
      <c r="AJ13" s="894">
        <f>용도별분석!AH29</f>
        <v>0</v>
      </c>
      <c r="AK13" s="905">
        <f>용도별분석!E29</f>
        <v>0</v>
      </c>
      <c r="AL13" s="895">
        <f>용도별분석!H29</f>
        <v>0</v>
      </c>
      <c r="AN13" s="1072"/>
    </row>
    <row r="14" spans="1:40" ht="33" customHeight="1">
      <c r="A14" s="1932"/>
      <c r="B14" s="1427" t="s">
        <v>464</v>
      </c>
      <c r="C14" s="1803">
        <v>0</v>
      </c>
      <c r="D14" s="1804">
        <v>0</v>
      </c>
      <c r="E14" s="897">
        <f t="shared" si="0"/>
        <v>0</v>
      </c>
      <c r="F14" s="1824">
        <v>735</v>
      </c>
      <c r="G14" s="1825">
        <v>610435479.83068216</v>
      </c>
      <c r="H14" s="1442"/>
      <c r="I14" s="1824">
        <v>735</v>
      </c>
      <c r="J14" s="1830">
        <v>610435479.83068216</v>
      </c>
      <c r="K14" s="897">
        <f t="shared" si="6"/>
        <v>4.106134490228136E-2</v>
      </c>
      <c r="L14" s="898">
        <v>1</v>
      </c>
      <c r="M14" s="899">
        <v>470</v>
      </c>
      <c r="N14" s="882">
        <v>474456000</v>
      </c>
      <c r="O14" s="898">
        <f t="shared" ref="O14" si="8">AJ14</f>
        <v>0</v>
      </c>
      <c r="P14" s="901">
        <f t="shared" ref="P14" si="9">AK14</f>
        <v>0</v>
      </c>
      <c r="Q14" s="902">
        <f t="shared" ref="Q14" si="10">AL14</f>
        <v>0</v>
      </c>
      <c r="R14" s="898"/>
      <c r="S14" s="1507"/>
      <c r="T14" s="882"/>
      <c r="U14" s="898">
        <f t="shared" ref="U14" si="11">L14+O14</f>
        <v>1</v>
      </c>
      <c r="V14" s="899">
        <f t="shared" ref="V14" si="12">M14+P14</f>
        <v>470</v>
      </c>
      <c r="W14" s="882">
        <f t="shared" ref="W14" si="13">N14+Q14</f>
        <v>474456000</v>
      </c>
      <c r="X14" s="898">
        <f t="shared" ref="X14" si="14">L14+O14-R14</f>
        <v>1</v>
      </c>
      <c r="Y14" s="899">
        <f t="shared" ref="Y14" si="15">M14+P14-S14</f>
        <v>470</v>
      </c>
      <c r="Z14" s="882">
        <f t="shared" ref="Z14" si="16">N14+Q14-T14</f>
        <v>474456000</v>
      </c>
      <c r="AA14" s="891">
        <f t="shared" si="4"/>
        <v>9.1341381617906961E-2</v>
      </c>
      <c r="AB14" s="903">
        <f t="shared" si="5"/>
        <v>135979479.83068216</v>
      </c>
      <c r="AC14" s="904"/>
      <c r="AD14" s="904"/>
      <c r="AE14" s="904"/>
      <c r="AF14" s="906"/>
      <c r="AG14" s="1664">
        <f t="shared" si="7"/>
        <v>0.7772418472982614</v>
      </c>
      <c r="AI14" s="894" t="s">
        <v>465</v>
      </c>
      <c r="AJ14" s="894">
        <f>용도별분석!AH20</f>
        <v>0</v>
      </c>
      <c r="AK14" s="905">
        <f>용도별분석!E20</f>
        <v>0</v>
      </c>
      <c r="AL14" s="895">
        <f>용도별분석!H20</f>
        <v>0</v>
      </c>
      <c r="AN14" s="1072"/>
    </row>
    <row r="15" spans="1:40" ht="33" customHeight="1">
      <c r="A15" s="1932"/>
      <c r="B15" s="1687" t="s">
        <v>484</v>
      </c>
      <c r="C15" s="1803">
        <v>6377</v>
      </c>
      <c r="D15" s="1804">
        <v>4653481000</v>
      </c>
      <c r="E15" s="897">
        <f t="shared" si="0"/>
        <v>0.20070026932373891</v>
      </c>
      <c r="F15" s="1824"/>
      <c r="G15" s="1825"/>
      <c r="H15" s="1442"/>
      <c r="I15" s="1824"/>
      <c r="J15" s="1830"/>
      <c r="K15" s="897">
        <f t="shared" si="6"/>
        <v>0</v>
      </c>
      <c r="L15" s="898">
        <v>0</v>
      </c>
      <c r="M15" s="899">
        <v>0</v>
      </c>
      <c r="N15" s="882">
        <v>0</v>
      </c>
      <c r="O15" s="898">
        <f t="shared" si="1"/>
        <v>0</v>
      </c>
      <c r="P15" s="901">
        <f t="shared" si="1"/>
        <v>0</v>
      </c>
      <c r="Q15" s="902">
        <f t="shared" si="1"/>
        <v>0</v>
      </c>
      <c r="R15" s="898"/>
      <c r="S15" s="1507"/>
      <c r="T15" s="882"/>
      <c r="U15" s="898">
        <f t="shared" si="2"/>
        <v>0</v>
      </c>
      <c r="V15" s="899">
        <f t="shared" si="2"/>
        <v>0</v>
      </c>
      <c r="W15" s="882">
        <f t="shared" si="2"/>
        <v>0</v>
      </c>
      <c r="X15" s="898">
        <f t="shared" si="3"/>
        <v>0</v>
      </c>
      <c r="Y15" s="899">
        <f t="shared" si="3"/>
        <v>0</v>
      </c>
      <c r="Z15" s="882">
        <f t="shared" si="3"/>
        <v>0</v>
      </c>
      <c r="AA15" s="891">
        <f t="shared" si="4"/>
        <v>0</v>
      </c>
      <c r="AB15" s="903">
        <f t="shared" si="5"/>
        <v>0</v>
      </c>
      <c r="AC15" s="904"/>
      <c r="AD15" s="904"/>
      <c r="AE15" s="904"/>
      <c r="AF15" s="906"/>
      <c r="AG15" s="1664" t="str">
        <f t="shared" si="7"/>
        <v/>
      </c>
      <c r="AI15" s="894" t="s">
        <v>197</v>
      </c>
      <c r="AJ15" s="894">
        <f>용도별분석!AH32</f>
        <v>0</v>
      </c>
      <c r="AK15" s="905">
        <f>용도별분석!E32</f>
        <v>0</v>
      </c>
      <c r="AL15" s="895">
        <f>용도별분석!H32</f>
        <v>0</v>
      </c>
      <c r="AN15" s="1072"/>
    </row>
    <row r="16" spans="1:40" ht="33" customHeight="1">
      <c r="A16" s="1782"/>
      <c r="B16" s="1136" t="s">
        <v>296</v>
      </c>
      <c r="C16" s="1761">
        <v>15603</v>
      </c>
      <c r="D16" s="1762">
        <v>10662598000</v>
      </c>
      <c r="E16" s="1763">
        <f>SUM(E9:E15)</f>
        <v>0.41752636544237354</v>
      </c>
      <c r="F16" s="1764">
        <f>SUM(F9:F15)</f>
        <v>4295</v>
      </c>
      <c r="G16" s="1765">
        <f>SUM(G9:G15)</f>
        <v>3427016688.527513</v>
      </c>
      <c r="H16" s="1766">
        <f t="shared" ref="H16" si="17">SUM(H9:H15)</f>
        <v>0</v>
      </c>
      <c r="I16" s="1764">
        <f>SUM(I9:I15)</f>
        <v>4295</v>
      </c>
      <c r="J16" s="1762">
        <f>SUM(J9:J15)</f>
        <v>3427016688.527513</v>
      </c>
      <c r="K16" s="909">
        <f t="shared" ref="K16:Z16" si="18">SUM(K9:K15)</f>
        <v>0.23052053637598782</v>
      </c>
      <c r="L16" s="914">
        <v>7529</v>
      </c>
      <c r="M16" s="915">
        <v>1060</v>
      </c>
      <c r="N16" s="908">
        <v>1160449000</v>
      </c>
      <c r="O16" s="910">
        <f>SUM(O9:O15)</f>
        <v>450</v>
      </c>
      <c r="P16" s="911">
        <f t="shared" si="18"/>
        <v>8</v>
      </c>
      <c r="Q16" s="912">
        <f t="shared" si="18"/>
        <v>33889000</v>
      </c>
      <c r="R16" s="914">
        <f>SUM(R9:R15)</f>
        <v>0</v>
      </c>
      <c r="S16" s="1508">
        <f>SUM(S9:S15)</f>
        <v>0</v>
      </c>
      <c r="T16" s="908">
        <f>SUM(T9:T15)</f>
        <v>0</v>
      </c>
      <c r="U16" s="914">
        <f t="shared" si="18"/>
        <v>7979</v>
      </c>
      <c r="V16" s="915">
        <f t="shared" si="18"/>
        <v>1068</v>
      </c>
      <c r="W16" s="908">
        <f t="shared" si="18"/>
        <v>1194338000</v>
      </c>
      <c r="X16" s="914">
        <f t="shared" si="18"/>
        <v>7979</v>
      </c>
      <c r="Y16" s="915">
        <f t="shared" si="18"/>
        <v>1068</v>
      </c>
      <c r="Z16" s="908">
        <f t="shared" si="18"/>
        <v>1194338000</v>
      </c>
      <c r="AA16" s="913">
        <f t="shared" si="4"/>
        <v>0.22993171766985296</v>
      </c>
      <c r="AB16" s="1232">
        <f>SUM(AB9:AB15)</f>
        <v>2232678688.527513</v>
      </c>
      <c r="AC16" s="916"/>
      <c r="AD16" s="916"/>
      <c r="AE16" s="916"/>
      <c r="AF16" s="917"/>
      <c r="AG16" s="1665">
        <f t="shared" si="7"/>
        <v>0.34850661918228693</v>
      </c>
      <c r="AI16" s="918" t="s">
        <v>297</v>
      </c>
      <c r="AJ16" s="918">
        <f>SUM(AJ9:AJ15)</f>
        <v>450</v>
      </c>
      <c r="AK16" s="919">
        <f>SUM(AK9:AK15)</f>
        <v>8</v>
      </c>
      <c r="AL16" s="920">
        <f>SUM(AL9:AL15)</f>
        <v>33889000</v>
      </c>
      <c r="AN16" s="1072"/>
    </row>
    <row r="17" spans="1:41" ht="33" customHeight="1">
      <c r="A17" s="1191" t="s">
        <v>286</v>
      </c>
      <c r="B17" s="1192"/>
      <c r="C17" s="1806">
        <v>0</v>
      </c>
      <c r="D17" s="1807">
        <v>0</v>
      </c>
      <c r="E17" s="1195">
        <f>D17/$D$28</f>
        <v>0</v>
      </c>
      <c r="F17" s="1196"/>
      <c r="G17" s="1452"/>
      <c r="H17" s="1443"/>
      <c r="I17" s="1689"/>
      <c r="J17" s="1690"/>
      <c r="K17" s="1195">
        <f>J17/J28</f>
        <v>0</v>
      </c>
      <c r="L17" s="1196">
        <v>0</v>
      </c>
      <c r="M17" s="1198">
        <v>0</v>
      </c>
      <c r="N17" s="1194">
        <v>0</v>
      </c>
      <c r="O17" s="1196"/>
      <c r="P17" s="1197">
        <f>신규투자계획서!F61</f>
        <v>0</v>
      </c>
      <c r="Q17" s="902">
        <f>신규투자계획서!G61</f>
        <v>0</v>
      </c>
      <c r="R17" s="1196"/>
      <c r="S17" s="1198"/>
      <c r="T17" s="1194"/>
      <c r="U17" s="1196">
        <f t="shared" ref="U17:W18" si="19">L17+O17</f>
        <v>0</v>
      </c>
      <c r="V17" s="1198">
        <f t="shared" si="19"/>
        <v>0</v>
      </c>
      <c r="W17" s="1194">
        <f t="shared" si="19"/>
        <v>0</v>
      </c>
      <c r="X17" s="1196">
        <f t="shared" ref="X17:Z22" si="20">L17+O17-R17</f>
        <v>0</v>
      </c>
      <c r="Y17" s="1199">
        <f t="shared" si="20"/>
        <v>0</v>
      </c>
      <c r="Z17" s="902">
        <f t="shared" si="20"/>
        <v>0</v>
      </c>
      <c r="AA17" s="1200">
        <f t="shared" si="4"/>
        <v>0</v>
      </c>
      <c r="AB17" s="903">
        <f>J17-Z17</f>
        <v>0</v>
      </c>
      <c r="AC17" s="904"/>
      <c r="AD17" s="904"/>
      <c r="AE17" s="904"/>
      <c r="AF17" s="903"/>
      <c r="AG17" s="1666" t="str">
        <f t="shared" si="7"/>
        <v/>
      </c>
      <c r="AI17" s="922">
        <f>Y16-Y9+S16</f>
        <v>896</v>
      </c>
      <c r="AJ17" s="921"/>
      <c r="AK17" s="922"/>
      <c r="AL17" s="921"/>
      <c r="AN17" s="1072"/>
    </row>
    <row r="18" spans="1:41" ht="33" customHeight="1">
      <c r="A18" s="1188" t="s">
        <v>330</v>
      </c>
      <c r="B18" s="1178"/>
      <c r="C18" s="1808">
        <v>3051</v>
      </c>
      <c r="D18" s="1809">
        <v>1879144000</v>
      </c>
      <c r="E18" s="1195">
        <f>D18/$D$28</f>
        <v>8.1045717581760407E-2</v>
      </c>
      <c r="F18" s="1827">
        <v>3004</v>
      </c>
      <c r="G18" s="1828">
        <v>1695844011.6687703</v>
      </c>
      <c r="H18" s="1444"/>
      <c r="I18" s="1827">
        <v>3004</v>
      </c>
      <c r="J18" s="1800">
        <v>1695844011.6687703</v>
      </c>
      <c r="K18" s="1180">
        <f>J18/J28</f>
        <v>0.11407206521304147</v>
      </c>
      <c r="L18" s="1181">
        <v>0</v>
      </c>
      <c r="M18" s="1183">
        <v>1225</v>
      </c>
      <c r="N18" s="1189">
        <v>704740000</v>
      </c>
      <c r="O18" s="1181"/>
      <c r="P18" s="1182">
        <f>신규투자계획서!F60</f>
        <v>51</v>
      </c>
      <c r="Q18" s="947">
        <f>신규투자계획서!G60</f>
        <v>35554000</v>
      </c>
      <c r="R18" s="1181"/>
      <c r="S18" s="1183"/>
      <c r="T18" s="1189"/>
      <c r="U18" s="1181">
        <f t="shared" si="19"/>
        <v>0</v>
      </c>
      <c r="V18" s="1183">
        <f t="shared" si="19"/>
        <v>1276</v>
      </c>
      <c r="W18" s="1189">
        <f t="shared" si="19"/>
        <v>740294000</v>
      </c>
      <c r="X18" s="1289">
        <f>L18+O18-R18</f>
        <v>0</v>
      </c>
      <c r="Y18" s="1184">
        <f t="shared" si="20"/>
        <v>1276</v>
      </c>
      <c r="Z18" s="947">
        <f t="shared" si="20"/>
        <v>740294000</v>
      </c>
      <c r="AA18" s="1185">
        <f t="shared" si="4"/>
        <v>0.14252001610991707</v>
      </c>
      <c r="AB18" s="948">
        <f>J18-Z18</f>
        <v>955550011.66877031</v>
      </c>
      <c r="AC18" s="949"/>
      <c r="AD18" s="949"/>
      <c r="AE18" s="949"/>
      <c r="AF18" s="948"/>
      <c r="AG18" s="1667">
        <f t="shared" si="7"/>
        <v>0.43653425368499821</v>
      </c>
      <c r="AI18" s="1281">
        <f>Z16-Z9+T16</f>
        <v>1040625000</v>
      </c>
      <c r="AK18" s="927"/>
      <c r="AL18" s="858"/>
      <c r="AN18" s="1072"/>
    </row>
    <row r="19" spans="1:41" ht="33" customHeight="1" thickBot="1">
      <c r="A19" s="1065" t="s">
        <v>489</v>
      </c>
      <c r="B19" s="1137"/>
      <c r="C19" s="1131">
        <v>19948</v>
      </c>
      <c r="D19" s="1119">
        <v>14431426000</v>
      </c>
      <c r="E19" s="1121">
        <f>SUM(E16+SUM(E17:E18))</f>
        <v>0.49857208302413392</v>
      </c>
      <c r="F19" s="1453">
        <f>F16+F17+F18</f>
        <v>7299</v>
      </c>
      <c r="G19" s="1783">
        <f>G16+G17+G18</f>
        <v>5122860700.1962833</v>
      </c>
      <c r="H19" s="1784">
        <f>SUM(H16+SUM(H17:H18))</f>
        <v>0</v>
      </c>
      <c r="I19" s="1453">
        <f>I16+I17+I18</f>
        <v>7299</v>
      </c>
      <c r="J19" s="1302">
        <f>J16+J17+J18</f>
        <v>5122860700.1962833</v>
      </c>
      <c r="K19" s="1067">
        <f>SUM(K16+SUM(K17:K18))</f>
        <v>0.34459260158902927</v>
      </c>
      <c r="L19" s="1453">
        <v>7529</v>
      </c>
      <c r="M19" s="1660">
        <v>2285</v>
      </c>
      <c r="N19" s="1302">
        <v>1865189000</v>
      </c>
      <c r="O19" s="1143">
        <f t="shared" ref="O19:T19" si="21">SUM(O16:O18)</f>
        <v>450</v>
      </c>
      <c r="P19" s="1144">
        <f t="shared" si="21"/>
        <v>59</v>
      </c>
      <c r="Q19" s="1066">
        <f t="shared" si="21"/>
        <v>69443000</v>
      </c>
      <c r="R19" s="923">
        <f t="shared" si="21"/>
        <v>0</v>
      </c>
      <c r="S19" s="1068">
        <f t="shared" si="21"/>
        <v>0</v>
      </c>
      <c r="T19" s="1066">
        <f t="shared" si="21"/>
        <v>0</v>
      </c>
      <c r="U19" s="923">
        <f t="shared" ref="U19:AB19" si="22">SUM(U16:U18)</f>
        <v>7979</v>
      </c>
      <c r="V19" s="924">
        <f t="shared" si="22"/>
        <v>2344</v>
      </c>
      <c r="W19" s="1066">
        <f t="shared" si="22"/>
        <v>1934632000</v>
      </c>
      <c r="X19" s="923">
        <f t="shared" si="22"/>
        <v>7979</v>
      </c>
      <c r="Y19" s="924">
        <f t="shared" si="22"/>
        <v>2344</v>
      </c>
      <c r="Z19" s="1066">
        <f t="shared" si="22"/>
        <v>1934632000</v>
      </c>
      <c r="AA19" s="1069">
        <f t="shared" si="22"/>
        <v>0.37245173377977003</v>
      </c>
      <c r="AB19" s="1070">
        <f t="shared" si="22"/>
        <v>3188228700.1962833</v>
      </c>
      <c r="AC19" s="1070" t="e">
        <f>AC16+#REF!+AC17</f>
        <v>#REF!</v>
      </c>
      <c r="AD19" s="1070" t="e">
        <f>AD16+#REF!+AD17</f>
        <v>#REF!</v>
      </c>
      <c r="AE19" s="1070" t="e">
        <f>AE16+#REF!+AE17</f>
        <v>#REF!</v>
      </c>
      <c r="AF19" s="1070" t="e">
        <f>AF16+#REF!+AF17</f>
        <v>#REF!</v>
      </c>
      <c r="AG19" s="1668">
        <f t="shared" si="7"/>
        <v>0.37764680970651304</v>
      </c>
      <c r="AI19" s="925" t="s">
        <v>297</v>
      </c>
      <c r="AJ19" s="925">
        <f>AJ16</f>
        <v>450</v>
      </c>
      <c r="AK19" s="926">
        <f>AK16</f>
        <v>8</v>
      </c>
      <c r="AL19" s="1114">
        <f>AL16</f>
        <v>33889000</v>
      </c>
      <c r="AN19" s="1072"/>
    </row>
    <row r="20" spans="1:41" ht="33" customHeight="1" thickTop="1">
      <c r="A20" s="1933" t="s">
        <v>351</v>
      </c>
      <c r="B20" s="1139" t="s">
        <v>178</v>
      </c>
      <c r="C20" s="1810">
        <v>2100</v>
      </c>
      <c r="D20" s="1811">
        <v>2809538000</v>
      </c>
      <c r="E20" s="1817">
        <f t="shared" ref="E20:E25" si="23">D20/$D$28</f>
        <v>0.12117273784405239</v>
      </c>
      <c r="F20" s="1831">
        <v>2828</v>
      </c>
      <c r="G20" s="1832">
        <v>2031952013.8088017</v>
      </c>
      <c r="H20" s="1445"/>
      <c r="I20" s="1831">
        <v>2828</v>
      </c>
      <c r="J20" s="1834">
        <v>2031952013.8088017</v>
      </c>
      <c r="K20" s="930">
        <f>J20/$J$28</f>
        <v>0.13668059151317818</v>
      </c>
      <c r="L20" s="931">
        <v>0</v>
      </c>
      <c r="M20" s="932">
        <v>2345</v>
      </c>
      <c r="N20" s="929">
        <v>1083876000</v>
      </c>
      <c r="O20" s="931"/>
      <c r="P20" s="1526"/>
      <c r="Q20" s="1527"/>
      <c r="R20" s="931"/>
      <c r="S20" s="932"/>
      <c r="T20" s="929"/>
      <c r="U20" s="931">
        <f t="shared" ref="U20:W24" si="24">L20+O20</f>
        <v>0</v>
      </c>
      <c r="V20" s="932">
        <f t="shared" si="24"/>
        <v>2345</v>
      </c>
      <c r="W20" s="929">
        <f t="shared" si="24"/>
        <v>1083876000</v>
      </c>
      <c r="X20" s="931"/>
      <c r="Y20" s="932">
        <f t="shared" si="20"/>
        <v>2345</v>
      </c>
      <c r="Z20" s="929">
        <f>N20+Q20-T20</f>
        <v>1083876000</v>
      </c>
      <c r="AA20" s="933">
        <f t="shared" ref="AA20:AA26" si="25">Z20/$Z$28</f>
        <v>0.20866578005650793</v>
      </c>
      <c r="AB20" s="935">
        <f t="shared" ref="AB20:AB26" si="26">J20-Z20</f>
        <v>948076013.80880165</v>
      </c>
      <c r="AC20" s="936"/>
      <c r="AD20" s="936"/>
      <c r="AE20" s="936"/>
      <c r="AF20" s="935">
        <f>SUM(AC20:AE20)</f>
        <v>0</v>
      </c>
      <c r="AG20" s="1669">
        <f t="shared" si="7"/>
        <v>0.53341614006342786</v>
      </c>
      <c r="AI20" s="858"/>
      <c r="AL20" s="938"/>
      <c r="AN20" s="1072"/>
    </row>
    <row r="21" spans="1:41" ht="33" customHeight="1">
      <c r="A21" s="1932"/>
      <c r="B21" s="1133" t="s">
        <v>179</v>
      </c>
      <c r="C21" s="1803">
        <v>272</v>
      </c>
      <c r="D21" s="1804">
        <v>228087000</v>
      </c>
      <c r="E21" s="1818">
        <f t="shared" si="23"/>
        <v>9.8371783035632113E-3</v>
      </c>
      <c r="F21" s="1824">
        <v>749</v>
      </c>
      <c r="G21" s="1825">
        <v>626987840.18014777</v>
      </c>
      <c r="H21" s="1442"/>
      <c r="I21" s="1824">
        <v>749</v>
      </c>
      <c r="J21" s="1830">
        <v>626987840.18014777</v>
      </c>
      <c r="K21" s="889">
        <f t="shared" ref="K21:K25" si="27">J21/$J$28</f>
        <v>4.2174750331213463E-2</v>
      </c>
      <c r="L21" s="880">
        <v>0</v>
      </c>
      <c r="M21" s="890">
        <v>0</v>
      </c>
      <c r="N21" s="882">
        <v>0</v>
      </c>
      <c r="O21" s="880"/>
      <c r="P21" s="1528"/>
      <c r="Q21" s="1529"/>
      <c r="R21" s="880"/>
      <c r="S21" s="890"/>
      <c r="T21" s="882"/>
      <c r="U21" s="880">
        <f t="shared" si="24"/>
        <v>0</v>
      </c>
      <c r="V21" s="890">
        <f t="shared" si="24"/>
        <v>0</v>
      </c>
      <c r="W21" s="882">
        <f t="shared" si="24"/>
        <v>0</v>
      </c>
      <c r="X21" s="880"/>
      <c r="Y21" s="890">
        <f t="shared" si="20"/>
        <v>0</v>
      </c>
      <c r="Z21" s="882">
        <f t="shared" ref="Z21:Z24" si="28">N21+Q21-T21</f>
        <v>0</v>
      </c>
      <c r="AA21" s="891">
        <f t="shared" si="25"/>
        <v>0</v>
      </c>
      <c r="AB21" s="892">
        <f t="shared" si="26"/>
        <v>626987840.18014777</v>
      </c>
      <c r="AC21" s="893"/>
      <c r="AD21" s="893"/>
      <c r="AE21" s="893"/>
      <c r="AF21" s="892">
        <f>SUM(AC21:AE21)</f>
        <v>0</v>
      </c>
      <c r="AG21" s="1662">
        <f t="shared" si="7"/>
        <v>0</v>
      </c>
      <c r="AI21" s="858"/>
      <c r="AK21" s="858"/>
      <c r="AL21" s="938"/>
      <c r="AN21" s="1367"/>
    </row>
    <row r="22" spans="1:41" ht="33" customHeight="1">
      <c r="A22" s="1932"/>
      <c r="B22" s="1134" t="s">
        <v>180</v>
      </c>
      <c r="C22" s="1805">
        <v>40</v>
      </c>
      <c r="D22" s="1804">
        <v>22356000</v>
      </c>
      <c r="E22" s="1819">
        <f t="shared" si="23"/>
        <v>9.641933041096562E-4</v>
      </c>
      <c r="F22" s="1826">
        <v>624</v>
      </c>
      <c r="G22" s="1825">
        <v>766452498.56619942</v>
      </c>
      <c r="H22" s="1442"/>
      <c r="I22" s="1826">
        <v>624</v>
      </c>
      <c r="J22" s="1830">
        <v>766452498.56619942</v>
      </c>
      <c r="K22" s="897">
        <f t="shared" si="27"/>
        <v>5.1555932501779492E-2</v>
      </c>
      <c r="L22" s="880">
        <v>0</v>
      </c>
      <c r="M22" s="890">
        <v>192</v>
      </c>
      <c r="N22" s="882">
        <v>439232000</v>
      </c>
      <c r="O22" s="940"/>
      <c r="P22" s="1530"/>
      <c r="Q22" s="1531"/>
      <c r="R22" s="880"/>
      <c r="S22" s="890"/>
      <c r="T22" s="882"/>
      <c r="U22" s="880">
        <f t="shared" si="24"/>
        <v>0</v>
      </c>
      <c r="V22" s="890">
        <f t="shared" si="24"/>
        <v>192</v>
      </c>
      <c r="W22" s="882">
        <f t="shared" si="24"/>
        <v>439232000</v>
      </c>
      <c r="X22" s="880"/>
      <c r="Y22" s="890">
        <f t="shared" si="20"/>
        <v>192</v>
      </c>
      <c r="Z22" s="882">
        <f t="shared" si="28"/>
        <v>439232000</v>
      </c>
      <c r="AA22" s="891">
        <f t="shared" si="25"/>
        <v>8.4560123026785436E-2</v>
      </c>
      <c r="AB22" s="903">
        <f t="shared" si="26"/>
        <v>327220498.56619942</v>
      </c>
      <c r="AC22" s="904"/>
      <c r="AD22" s="904"/>
      <c r="AE22" s="904"/>
      <c r="AF22" s="892">
        <f>SUM(AC22:AE22)</f>
        <v>0</v>
      </c>
      <c r="AG22" s="1662">
        <f t="shared" si="7"/>
        <v>0.57307139166702448</v>
      </c>
      <c r="AI22" s="1332"/>
      <c r="AJ22" s="858">
        <f>Y16-S16-AJ21</f>
        <v>1068</v>
      </c>
      <c r="AK22" s="927">
        <f>Z16-T16-AK21</f>
        <v>1194338000</v>
      </c>
      <c r="AL22" s="938"/>
      <c r="AN22" s="1072"/>
    </row>
    <row r="23" spans="1:41" ht="33" customHeight="1">
      <c r="A23" s="1932"/>
      <c r="B23" s="1134" t="s">
        <v>299</v>
      </c>
      <c r="C23" s="1812">
        <v>0</v>
      </c>
      <c r="D23" s="1804">
        <v>750428000</v>
      </c>
      <c r="E23" s="1819">
        <f t="shared" si="23"/>
        <v>3.2365255538396899E-2</v>
      </c>
      <c r="F23" s="1833">
        <v>3</v>
      </c>
      <c r="G23" s="1825">
        <v>338045022.59392422</v>
      </c>
      <c r="H23" s="1442"/>
      <c r="I23" s="1833">
        <v>3</v>
      </c>
      <c r="J23" s="1830">
        <v>338045022.59392422</v>
      </c>
      <c r="K23" s="897">
        <f t="shared" si="27"/>
        <v>2.2738821257700662E-2</v>
      </c>
      <c r="L23" s="880">
        <v>0</v>
      </c>
      <c r="M23" s="1064"/>
      <c r="N23" s="882">
        <v>109867000</v>
      </c>
      <c r="O23" s="940"/>
      <c r="P23" s="1532"/>
      <c r="Q23" s="1531"/>
      <c r="R23" s="880"/>
      <c r="S23" s="890"/>
      <c r="T23" s="882"/>
      <c r="U23" s="880">
        <f t="shared" si="24"/>
        <v>0</v>
      </c>
      <c r="V23" s="1064"/>
      <c r="W23" s="882">
        <f t="shared" si="24"/>
        <v>109867000</v>
      </c>
      <c r="X23" s="880"/>
      <c r="Y23" s="890">
        <f>M23+P23</f>
        <v>0</v>
      </c>
      <c r="Z23" s="882">
        <f t="shared" si="28"/>
        <v>109867000</v>
      </c>
      <c r="AA23" s="891">
        <f t="shared" si="25"/>
        <v>2.115138932633286E-2</v>
      </c>
      <c r="AB23" s="903">
        <f t="shared" si="26"/>
        <v>228178022.59392422</v>
      </c>
      <c r="AC23" s="904"/>
      <c r="AD23" s="904"/>
      <c r="AE23" s="904"/>
      <c r="AF23" s="892">
        <f>SUM(AC23:AE23)</f>
        <v>0</v>
      </c>
      <c r="AG23" s="1662">
        <f t="shared" si="7"/>
        <v>0.32500700396934246</v>
      </c>
      <c r="AI23" s="858"/>
      <c r="AJ23" s="1365">
        <f>Y16+S16-AJ21</f>
        <v>1068</v>
      </c>
      <c r="AK23" s="1366">
        <f>Z16+T16-AK21</f>
        <v>1194338000</v>
      </c>
      <c r="AL23" s="938"/>
      <c r="AN23" s="1072"/>
    </row>
    <row r="24" spans="1:41" ht="33" customHeight="1">
      <c r="A24" s="1932"/>
      <c r="B24" s="1140" t="s">
        <v>181</v>
      </c>
      <c r="C24" s="1812"/>
      <c r="D24" s="1813">
        <v>3522977000</v>
      </c>
      <c r="E24" s="1820">
        <f t="shared" si="23"/>
        <v>0.15194269251799625</v>
      </c>
      <c r="F24" s="1833">
        <v>856.64700000000005</v>
      </c>
      <c r="G24" s="1835">
        <v>3230129037.5884838</v>
      </c>
      <c r="H24" s="1446"/>
      <c r="I24" s="1833">
        <v>856.64700000000005</v>
      </c>
      <c r="J24" s="1837">
        <v>3230129037.5884838</v>
      </c>
      <c r="K24" s="944">
        <f t="shared" si="27"/>
        <v>0.21727675876258654</v>
      </c>
      <c r="L24" s="946"/>
      <c r="M24" s="1083"/>
      <c r="N24" s="943">
        <v>1076709000</v>
      </c>
      <c r="O24" s="880"/>
      <c r="P24" s="1533"/>
      <c r="Q24" s="1529"/>
      <c r="R24" s="880"/>
      <c r="S24" s="890"/>
      <c r="T24" s="1246"/>
      <c r="U24" s="946"/>
      <c r="V24" s="1083"/>
      <c r="W24" s="943">
        <f t="shared" si="24"/>
        <v>1076709000</v>
      </c>
      <c r="X24" s="946"/>
      <c r="Y24" s="942"/>
      <c r="Z24" s="943">
        <f t="shared" si="28"/>
        <v>1076709000</v>
      </c>
      <c r="AA24" s="945">
        <f t="shared" si="25"/>
        <v>0.207286002622867</v>
      </c>
      <c r="AB24" s="892">
        <f t="shared" si="26"/>
        <v>2153420037.5884838</v>
      </c>
      <c r="AC24" s="949"/>
      <c r="AD24" s="949"/>
      <c r="AE24" s="949"/>
      <c r="AF24" s="906">
        <f>SUM(AC24:AE24)</f>
        <v>0</v>
      </c>
      <c r="AG24" s="1670">
        <f t="shared" si="7"/>
        <v>0.3333331230642842</v>
      </c>
      <c r="AI24" s="858"/>
      <c r="AJ24" s="1372">
        <f>Z19/J19</f>
        <v>0.37764680970651304</v>
      </c>
      <c r="AK24" s="927" t="s">
        <v>387</v>
      </c>
      <c r="AL24" s="938"/>
      <c r="AN24" s="1072"/>
    </row>
    <row r="25" spans="1:41" ht="33" customHeight="1">
      <c r="A25" s="1932"/>
      <c r="B25" s="1429" t="s">
        <v>467</v>
      </c>
      <c r="C25" s="1814"/>
      <c r="D25" s="1813">
        <v>1421410000</v>
      </c>
      <c r="E25" s="1820">
        <f t="shared" si="23"/>
        <v>6.1304079638330039E-2</v>
      </c>
      <c r="F25" s="1836">
        <v>95</v>
      </c>
      <c r="G25" s="1835">
        <v>2749999724.3606791</v>
      </c>
      <c r="H25" s="1446"/>
      <c r="I25" s="1836">
        <v>95</v>
      </c>
      <c r="J25" s="1837">
        <v>2749999724.3606791</v>
      </c>
      <c r="K25" s="944">
        <f t="shared" si="27"/>
        <v>0.18498054404451234</v>
      </c>
      <c r="L25" s="946"/>
      <c r="M25" s="1083"/>
      <c r="N25" s="943">
        <v>550000000</v>
      </c>
      <c r="O25" s="1242"/>
      <c r="P25" s="1087"/>
      <c r="Q25" s="947"/>
      <c r="R25" s="1242"/>
      <c r="S25" s="1243"/>
      <c r="T25" s="947"/>
      <c r="U25" s="946"/>
      <c r="V25" s="1083"/>
      <c r="W25" s="943">
        <f t="shared" ref="W25:W26" si="29">N25+Q25</f>
        <v>550000000</v>
      </c>
      <c r="X25" s="946"/>
      <c r="Y25" s="1239"/>
      <c r="Z25" s="943">
        <f t="shared" ref="Z25:Z26" si="30">N25+Q25-T25</f>
        <v>550000000</v>
      </c>
      <c r="AA25" s="945">
        <f t="shared" si="25"/>
        <v>0.10588497118773675</v>
      </c>
      <c r="AB25" s="948">
        <f t="shared" si="26"/>
        <v>2199999724.3606791</v>
      </c>
      <c r="AC25" s="949"/>
      <c r="AD25" s="949"/>
      <c r="AE25" s="949"/>
      <c r="AF25" s="906"/>
      <c r="AG25" s="1670">
        <f t="shared" si="7"/>
        <v>0.20000002004649808</v>
      </c>
      <c r="AI25" s="858"/>
      <c r="AJ25" s="1373">
        <f>Z27/J27</f>
        <v>0.33454732632120021</v>
      </c>
      <c r="AK25" s="927" t="s">
        <v>388</v>
      </c>
      <c r="AL25" s="938"/>
      <c r="AN25" s="1072"/>
    </row>
    <row r="26" spans="1:41" ht="33" customHeight="1">
      <c r="A26" s="1934"/>
      <c r="B26" s="1141"/>
      <c r="C26" s="1815"/>
      <c r="D26" s="1816">
        <v>0</v>
      </c>
      <c r="E26" s="1821"/>
      <c r="F26" s="1241"/>
      <c r="G26" s="1451"/>
      <c r="H26" s="1447">
        <f>G26/$J$28</f>
        <v>0</v>
      </c>
      <c r="I26" s="1241"/>
      <c r="J26" s="951"/>
      <c r="K26" s="952">
        <f>J26/$J$28</f>
        <v>0</v>
      </c>
      <c r="L26" s="953"/>
      <c r="M26" s="954"/>
      <c r="N26" s="951">
        <v>0</v>
      </c>
      <c r="O26" s="953"/>
      <c r="P26" s="956"/>
      <c r="Q26" s="908"/>
      <c r="R26" s="953"/>
      <c r="S26" s="954"/>
      <c r="T26" s="951"/>
      <c r="U26" s="953"/>
      <c r="V26" s="954"/>
      <c r="W26" s="951">
        <f t="shared" si="29"/>
        <v>0</v>
      </c>
      <c r="X26" s="953"/>
      <c r="Y26" s="954"/>
      <c r="Z26" s="951">
        <f t="shared" si="30"/>
        <v>0</v>
      </c>
      <c r="AA26" s="955">
        <f t="shared" si="25"/>
        <v>0</v>
      </c>
      <c r="AB26" s="917">
        <f t="shared" si="26"/>
        <v>0</v>
      </c>
      <c r="AC26" s="957"/>
      <c r="AD26" s="957"/>
      <c r="AE26" s="957"/>
      <c r="AF26" s="917"/>
      <c r="AG26" s="1671" t="str">
        <f t="shared" si="7"/>
        <v/>
      </c>
      <c r="AJ26" s="1373">
        <f>Z28/J28</f>
        <v>0.34939908942808834</v>
      </c>
      <c r="AK26" s="927" t="s">
        <v>389</v>
      </c>
      <c r="AL26" s="858"/>
      <c r="AN26" s="1072"/>
    </row>
    <row r="27" spans="1:41" ht="33" customHeight="1" thickBot="1">
      <c r="A27" s="1935" t="s">
        <v>296</v>
      </c>
      <c r="B27" s="1936"/>
      <c r="C27" s="1432">
        <f>SUM(C20:C22)</f>
        <v>2412</v>
      </c>
      <c r="D27" s="1315">
        <f>SUM(D20:D26)</f>
        <v>8754796000</v>
      </c>
      <c r="E27" s="1433">
        <f>SUM(E20:E26)</f>
        <v>0.3775861371464484</v>
      </c>
      <c r="F27" s="1434">
        <f>SUM(F20:F22)</f>
        <v>4201</v>
      </c>
      <c r="G27" s="1454">
        <f>SUM(G20:G26)</f>
        <v>9743566137.0982361</v>
      </c>
      <c r="H27" s="1448">
        <f>SUM(H20:H26)</f>
        <v>0</v>
      </c>
      <c r="I27" s="1434">
        <f>SUM(I20:I22)</f>
        <v>4201</v>
      </c>
      <c r="J27" s="1315">
        <f>SUM(J20:J26)</f>
        <v>9743566137.0982361</v>
      </c>
      <c r="K27" s="1433">
        <f>SUM(K20:K26)</f>
        <v>0.65540739841097073</v>
      </c>
      <c r="L27" s="1435">
        <v>0</v>
      </c>
      <c r="M27" s="1437">
        <v>2537</v>
      </c>
      <c r="N27" s="1315">
        <v>3259684000</v>
      </c>
      <c r="O27" s="1435">
        <f>SUM(O20:O24)</f>
        <v>0</v>
      </c>
      <c r="P27" s="1436">
        <f>SUM(P20:P24)</f>
        <v>0</v>
      </c>
      <c r="Q27" s="1315">
        <f>SUM(Q20:Q26)</f>
        <v>0</v>
      </c>
      <c r="R27" s="1435">
        <f>SUM(R20:R24)</f>
        <v>0</v>
      </c>
      <c r="S27" s="1437">
        <f>SUM(S20:S24)</f>
        <v>0</v>
      </c>
      <c r="T27" s="1315">
        <f>SUM(T20:T26)</f>
        <v>0</v>
      </c>
      <c r="U27" s="1435">
        <f>SUM(U20:U24)</f>
        <v>0</v>
      </c>
      <c r="V27" s="1437">
        <f>SUM(V20:V22)</f>
        <v>2537</v>
      </c>
      <c r="W27" s="1315">
        <f>SUM(W20:W26)</f>
        <v>3259684000</v>
      </c>
      <c r="X27" s="1435">
        <f>SUM(X20:X24)</f>
        <v>0</v>
      </c>
      <c r="Y27" s="1437">
        <f>SUM(Y20:Y22)</f>
        <v>2537</v>
      </c>
      <c r="Z27" s="1315">
        <f>SUM(Z20:Z26)</f>
        <v>3259684000</v>
      </c>
      <c r="AA27" s="1438">
        <f>SUM(AA20:AA26)</f>
        <v>0.62754826622023008</v>
      </c>
      <c r="AB27" s="1439">
        <f>SUM(AB20:AB26)</f>
        <v>6483882137.0982361</v>
      </c>
      <c r="AC27" s="1440" t="e">
        <f>SUM(AC17:AC22)</f>
        <v>#REF!</v>
      </c>
      <c r="AD27" s="1440" t="e">
        <f>SUM(AD17:AD22)</f>
        <v>#REF!</v>
      </c>
      <c r="AE27" s="1440" t="e">
        <f>SUM(AE17:AE22)</f>
        <v>#REF!</v>
      </c>
      <c r="AF27" s="1439" t="e">
        <f>SUM(AF17:AF22)</f>
        <v>#REF!</v>
      </c>
      <c r="AG27" s="1672">
        <f t="shared" si="7"/>
        <v>0.33454732632120021</v>
      </c>
      <c r="AI27" s="858"/>
      <c r="AK27" s="927"/>
      <c r="AL27" s="928"/>
      <c r="AN27" s="1072"/>
    </row>
    <row r="28" spans="1:41" ht="33" customHeight="1" thickTop="1" thickBot="1">
      <c r="A28" s="969" t="s">
        <v>300</v>
      </c>
      <c r="B28" s="1428"/>
      <c r="C28" s="1138">
        <f>C19+C27</f>
        <v>22360</v>
      </c>
      <c r="D28" s="1120">
        <f>SUM(D19,D27)</f>
        <v>23186222000</v>
      </c>
      <c r="E28" s="1126">
        <f>SUM(E19,E27)</f>
        <v>0.87615822017058231</v>
      </c>
      <c r="F28" s="972">
        <f t="shared" ref="F28:N28" si="31">F27+F19</f>
        <v>11500</v>
      </c>
      <c r="G28" s="1455">
        <f t="shared" si="31"/>
        <v>14866426837.294519</v>
      </c>
      <c r="H28" s="1449">
        <f t="shared" si="31"/>
        <v>0</v>
      </c>
      <c r="I28" s="972">
        <f t="shared" si="31"/>
        <v>11500</v>
      </c>
      <c r="J28" s="970">
        <f t="shared" si="31"/>
        <v>14866426837.294519</v>
      </c>
      <c r="K28" s="971">
        <f t="shared" si="31"/>
        <v>1</v>
      </c>
      <c r="L28" s="1145">
        <v>7529</v>
      </c>
      <c r="M28" s="1146">
        <v>4822</v>
      </c>
      <c r="N28" s="970">
        <v>5124873000</v>
      </c>
      <c r="O28" s="1145">
        <f t="shared" ref="O28:Z28" si="32">O27+O19</f>
        <v>450</v>
      </c>
      <c r="P28" s="1146">
        <f t="shared" si="32"/>
        <v>59</v>
      </c>
      <c r="Q28" s="970">
        <f t="shared" si="32"/>
        <v>69443000</v>
      </c>
      <c r="R28" s="972">
        <f t="shared" si="32"/>
        <v>0</v>
      </c>
      <c r="S28" s="975">
        <f t="shared" si="32"/>
        <v>0</v>
      </c>
      <c r="T28" s="970">
        <f t="shared" si="32"/>
        <v>0</v>
      </c>
      <c r="U28" s="972">
        <f t="shared" si="32"/>
        <v>7979</v>
      </c>
      <c r="V28" s="973">
        <f t="shared" si="32"/>
        <v>4881</v>
      </c>
      <c r="W28" s="970">
        <f t="shared" si="32"/>
        <v>5194316000</v>
      </c>
      <c r="X28" s="972">
        <f t="shared" si="32"/>
        <v>7979</v>
      </c>
      <c r="Y28" s="973">
        <f t="shared" si="32"/>
        <v>4881</v>
      </c>
      <c r="Z28" s="1461">
        <f t="shared" si="32"/>
        <v>5194316000</v>
      </c>
      <c r="AA28" s="1458">
        <f t="shared" ref="AA28" si="33">SUM(AA19,AA27)</f>
        <v>1</v>
      </c>
      <c r="AB28" s="976">
        <f>ROUND(SUM(AB19,AB27),0)</f>
        <v>9672110837</v>
      </c>
      <c r="AC28" s="977" t="e">
        <f>SUM(AC22+SUM(AC23:AC27))</f>
        <v>#REF!</v>
      </c>
      <c r="AD28" s="977" t="e">
        <f>SUM(AD22+SUM(AD23:AD27))</f>
        <v>#REF!</v>
      </c>
      <c r="AE28" s="977" t="e">
        <f>SUM(AE22+SUM(AE23:AE27))</f>
        <v>#REF!</v>
      </c>
      <c r="AF28" s="977" t="e">
        <f>SUM(AF22+SUM(AF23:AF27))</f>
        <v>#REF!</v>
      </c>
      <c r="AG28" s="1673">
        <f t="shared" si="7"/>
        <v>0.34939908942808834</v>
      </c>
      <c r="AJ28" s="1462">
        <f>Z28</f>
        <v>5194316000</v>
      </c>
      <c r="AK28" s="927"/>
      <c r="AL28" s="1152"/>
      <c r="AN28" s="1072"/>
      <c r="AO28" s="1072"/>
    </row>
    <row r="29" spans="1:41" ht="15" customHeight="1">
      <c r="B29" s="325"/>
      <c r="AL29" s="1152"/>
    </row>
    <row r="30" spans="1:41" ht="20.100000000000001" customHeight="1">
      <c r="B30" s="325"/>
      <c r="G30" s="1072"/>
      <c r="J30" s="1072"/>
      <c r="N30" s="1073"/>
      <c r="Y30" s="1213"/>
      <c r="Z30" s="1221" t="b">
        <f>Z28=요약보고!I62</f>
        <v>1</v>
      </c>
      <c r="AB30" s="1073">
        <f>ROUND((J28-N28-Q28+T28),0)</f>
        <v>9672110837</v>
      </c>
    </row>
    <row r="31" spans="1:41" ht="20.100000000000001" customHeight="1">
      <c r="J31" s="1073"/>
      <c r="N31" s="1073"/>
      <c r="AB31" s="1073">
        <f>AB28-AB30</f>
        <v>0</v>
      </c>
    </row>
    <row r="32" spans="1:41" ht="20.100000000000001" customHeight="1">
      <c r="G32" s="1081"/>
      <c r="H32" s="1080"/>
      <c r="J32" s="1081"/>
      <c r="K32" s="1080"/>
      <c r="M32" s="1079"/>
      <c r="N32" s="1078"/>
      <c r="Q32" s="1081"/>
      <c r="T32" s="1073"/>
      <c r="AB32" s="1363">
        <f>Z28/J28</f>
        <v>0.34939908942808834</v>
      </c>
      <c r="AG32" s="860" t="s">
        <v>384</v>
      </c>
    </row>
    <row r="33" spans="6:38" ht="20.100000000000001" customHeight="1">
      <c r="G33" s="1081"/>
      <c r="H33" s="1080"/>
      <c r="J33" s="1081"/>
      <c r="K33" s="1080"/>
      <c r="N33" s="1078"/>
      <c r="Q33" s="1078"/>
      <c r="T33" s="1073"/>
      <c r="Z33" s="1073"/>
      <c r="AB33" s="1363">
        <f>Z19/J19</f>
        <v>0.37764680970651304</v>
      </c>
      <c r="AG33" s="860" t="s">
        <v>385</v>
      </c>
    </row>
    <row r="34" spans="6:38" ht="20.100000000000001" customHeight="1">
      <c r="G34" s="1081"/>
      <c r="H34" s="1079"/>
      <c r="J34" s="1081"/>
      <c r="K34" s="1079"/>
      <c r="N34" s="1078"/>
      <c r="Q34" s="1078"/>
      <c r="T34" s="1228"/>
      <c r="Z34" s="1371"/>
      <c r="AB34" s="1363">
        <f>Z27/J27</f>
        <v>0.33454732632120021</v>
      </c>
      <c r="AG34" s="860" t="s">
        <v>386</v>
      </c>
      <c r="AK34" s="1412" t="s">
        <v>458</v>
      </c>
      <c r="AL34" s="1413" t="s">
        <v>459</v>
      </c>
    </row>
    <row r="35" spans="6:38" ht="20.100000000000001" customHeight="1">
      <c r="N35" s="1074"/>
      <c r="AK35" s="1414" t="s">
        <v>460</v>
      </c>
      <c r="AL35" s="1415">
        <f>AB33</f>
        <v>0.37764680970651304</v>
      </c>
    </row>
    <row r="36" spans="6:38" ht="20.100000000000001" customHeight="1">
      <c r="AK36" s="1414" t="s">
        <v>461</v>
      </c>
      <c r="AL36" s="1415">
        <f>AB34</f>
        <v>0.33454732632120021</v>
      </c>
    </row>
    <row r="37" spans="6:38" ht="20.100000000000001" customHeight="1">
      <c r="G37" s="1081"/>
      <c r="J37" s="1081"/>
      <c r="AK37" s="1416" t="s">
        <v>462</v>
      </c>
      <c r="AL37" s="1417">
        <f>AB32</f>
        <v>0.34939908942808834</v>
      </c>
    </row>
    <row r="38" spans="6:38" ht="20.100000000000001" customHeight="1">
      <c r="F38" s="859"/>
      <c r="G38" s="1408"/>
      <c r="H38" s="1409"/>
      <c r="I38" s="859"/>
      <c r="J38" s="1408"/>
      <c r="K38" s="1409"/>
      <c r="L38" s="1409"/>
      <c r="M38" s="1409"/>
      <c r="N38" s="1409"/>
      <c r="O38" s="1409"/>
      <c r="P38" s="1409"/>
    </row>
    <row r="39" spans="6:38" ht="20.100000000000001" customHeight="1">
      <c r="F39" s="859"/>
      <c r="G39" s="1408"/>
      <c r="H39" s="1409"/>
      <c r="I39" s="859"/>
      <c r="J39" s="1408"/>
      <c r="K39" s="1409"/>
      <c r="L39" s="1409"/>
      <c r="M39" s="1409"/>
      <c r="N39" s="1409"/>
      <c r="O39" s="1409"/>
      <c r="P39" s="1409"/>
      <c r="AH39" s="857">
        <f>10908669800-10741377000</f>
        <v>167292800</v>
      </c>
    </row>
    <row r="40" spans="6:38" ht="20.100000000000001" customHeight="1">
      <c r="F40" s="859"/>
      <c r="G40" s="1410"/>
      <c r="H40" s="1409"/>
      <c r="I40" s="859"/>
      <c r="J40" s="1410"/>
      <c r="K40" s="1409"/>
      <c r="L40" s="1409"/>
      <c r="M40" s="1409"/>
      <c r="N40" s="1409"/>
      <c r="O40" s="1409"/>
      <c r="P40" s="1409"/>
      <c r="AH40" s="857">
        <f>818047800-650755000</f>
        <v>167292800</v>
      </c>
    </row>
    <row r="41" spans="6:38" ht="20.100000000000001" customHeight="1">
      <c r="F41" s="1078"/>
      <c r="G41" s="1078"/>
      <c r="I41" s="1078"/>
      <c r="J41" s="1078"/>
      <c r="AH41" s="857">
        <f>215530800-48238000</f>
        <v>167292800</v>
      </c>
    </row>
    <row r="42" spans="6:38" ht="20.100000000000001" customHeight="1"/>
    <row r="45" spans="6:38">
      <c r="G45" s="1072"/>
      <c r="J45" s="1072"/>
    </row>
  </sheetData>
  <mergeCells count="9">
    <mergeCell ref="AG7:AG8"/>
    <mergeCell ref="A9:A15"/>
    <mergeCell ref="A20:A26"/>
    <mergeCell ref="A27:B27"/>
    <mergeCell ref="A7:B8"/>
    <mergeCell ref="AB7:AB8"/>
    <mergeCell ref="AF7:AF8"/>
    <mergeCell ref="F7:G7"/>
    <mergeCell ref="H7:H8"/>
  </mergeCells>
  <phoneticPr fontId="43" type="noConversion"/>
  <conditionalFormatting sqref="AB28">
    <cfRule type="cellIs" dxfId="30" priority="5" stopIfTrue="1" operator="lessThan">
      <formula>$AB$30</formula>
    </cfRule>
    <cfRule type="cellIs" dxfId="29" priority="6" stopIfTrue="1" operator="greaterThan">
      <formula>$AB$30</formula>
    </cfRule>
  </conditionalFormatting>
  <printOptions horizontalCentered="1"/>
  <pageMargins left="0" right="0" top="0.31496062992125984" bottom="0" header="0.51181102362204722" footer="0.51181102362204722"/>
  <pageSetup paperSize="9" scale="6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tabColor theme="2" tint="-0.249977111117893"/>
  </sheetPr>
  <dimension ref="A1:R160"/>
  <sheetViews>
    <sheetView showGridLines="0" topLeftCell="A44" zoomScaleNormal="100" workbookViewId="0">
      <selection activeCell="D77" sqref="D77"/>
    </sheetView>
  </sheetViews>
  <sheetFormatPr defaultColWidth="8" defaultRowHeight="12"/>
  <cols>
    <col min="1" max="1" width="3.109375" style="40" customWidth="1"/>
    <col min="2" max="2" width="14.88671875" style="40" customWidth="1"/>
    <col min="3" max="3" width="1.88671875" style="40" bestFit="1" customWidth="1"/>
    <col min="4" max="4" width="22.77734375" style="40" customWidth="1"/>
    <col min="5" max="5" width="3" style="40" bestFit="1" customWidth="1"/>
    <col min="6" max="6" width="16.6640625" style="40" customWidth="1"/>
    <col min="7" max="7" width="15.77734375" style="40" customWidth="1"/>
    <col min="8" max="8" width="17.6640625" style="40" customWidth="1"/>
    <col min="9" max="9" width="1.33203125" style="40" customWidth="1"/>
    <col min="10" max="10" width="5.6640625" style="40" customWidth="1"/>
    <col min="11" max="11" width="2.21875" style="40" customWidth="1"/>
    <col min="12" max="13" width="9.77734375" style="40" customWidth="1"/>
    <col min="14" max="14" width="14.5546875" style="40" bestFit="1" customWidth="1"/>
    <col min="15" max="15" width="8" style="40" customWidth="1"/>
    <col min="16" max="16" width="12.109375" style="40" customWidth="1"/>
    <col min="17" max="20" width="8" style="40"/>
    <col min="21" max="21" width="0" style="40" hidden="1" customWidth="1"/>
    <col min="22" max="16384" width="8" style="40"/>
  </cols>
  <sheetData>
    <row r="1" spans="1:14" s="28" customFormat="1" ht="18" customHeight="1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</row>
    <row r="2" spans="1:14" s="31" customFormat="1" ht="27" customHeight="1">
      <c r="A2" s="29" t="s">
        <v>23</v>
      </c>
      <c r="B2" s="30"/>
      <c r="C2" s="30"/>
      <c r="D2" s="30"/>
      <c r="E2" s="30"/>
      <c r="F2" s="30"/>
      <c r="G2" s="30"/>
      <c r="H2" s="30"/>
      <c r="I2" s="30"/>
      <c r="J2" s="30"/>
    </row>
    <row r="3" spans="1:14" s="31" customFormat="1" ht="12.75" customHeight="1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4" s="36" customFormat="1" ht="21" customHeight="1" thickBot="1">
      <c r="A4" s="33" t="s">
        <v>238</v>
      </c>
      <c r="B4" s="34"/>
      <c r="C4" s="34"/>
      <c r="D4" s="34"/>
      <c r="E4" s="34"/>
      <c r="F4" s="35"/>
      <c r="G4" s="35"/>
      <c r="H4" s="35"/>
      <c r="I4" s="35"/>
      <c r="J4" s="35"/>
    </row>
    <row r="5" spans="1:14" ht="15" customHeight="1">
      <c r="A5" s="37"/>
      <c r="B5" s="38"/>
      <c r="C5" s="38"/>
      <c r="D5" s="38"/>
      <c r="E5" s="38"/>
      <c r="F5" s="38"/>
      <c r="G5" s="38"/>
      <c r="H5" s="38"/>
      <c r="I5" s="38"/>
      <c r="J5" s="39"/>
    </row>
    <row r="6" spans="1:14" ht="18" customHeight="1">
      <c r="A6" s="41" t="s">
        <v>24</v>
      </c>
      <c r="B6" s="42" t="s">
        <v>25</v>
      </c>
      <c r="C6" s="43" t="s">
        <v>26</v>
      </c>
      <c r="D6" s="43" t="s">
        <v>239</v>
      </c>
      <c r="E6" s="43"/>
      <c r="J6" s="44"/>
    </row>
    <row r="7" spans="1:14" ht="14.25" customHeight="1">
      <c r="A7" s="41"/>
      <c r="B7" s="42"/>
      <c r="C7" s="43"/>
      <c r="D7" s="43"/>
      <c r="E7" s="43"/>
      <c r="J7" s="44"/>
    </row>
    <row r="8" spans="1:14" ht="18" customHeight="1">
      <c r="A8" s="41" t="s">
        <v>27</v>
      </c>
      <c r="B8" s="42" t="s">
        <v>28</v>
      </c>
      <c r="C8" s="43" t="s">
        <v>26</v>
      </c>
      <c r="D8" s="1949">
        <f>품의서!E25</f>
        <v>9</v>
      </c>
      <c r="E8" s="1949"/>
      <c r="F8" s="235"/>
      <c r="G8" s="236"/>
      <c r="J8" s="44"/>
    </row>
    <row r="9" spans="1:14" ht="11.25" customHeight="1">
      <c r="A9" s="45"/>
      <c r="D9" s="43"/>
      <c r="E9" s="43"/>
      <c r="J9" s="44"/>
      <c r="M9" s="46"/>
      <c r="N9" s="47"/>
    </row>
    <row r="10" spans="1:14" ht="18" customHeight="1">
      <c r="A10" s="41" t="s">
        <v>29</v>
      </c>
      <c r="B10" s="43" t="s">
        <v>30</v>
      </c>
      <c r="C10" s="43" t="s">
        <v>26</v>
      </c>
      <c r="D10" s="743" t="s">
        <v>105</v>
      </c>
      <c r="E10" s="55" t="s">
        <v>31</v>
      </c>
      <c r="F10" s="744">
        <f>IF(F16=0,G50,G50-F16)</f>
        <v>33889000</v>
      </c>
      <c r="G10" s="1958">
        <f>IF(G16=0,F50,F50-G16)</f>
        <v>8</v>
      </c>
      <c r="H10" s="1958"/>
      <c r="I10" s="58"/>
      <c r="J10" s="44"/>
      <c r="M10" s="46"/>
      <c r="N10" s="47"/>
    </row>
    <row r="11" spans="1:14" ht="4.5" customHeight="1">
      <c r="A11" s="41"/>
      <c r="B11" s="43"/>
      <c r="C11" s="43"/>
      <c r="D11" s="43"/>
      <c r="E11" s="43"/>
      <c r="F11" s="48"/>
      <c r="G11" s="49"/>
      <c r="J11" s="44"/>
      <c r="M11" s="46"/>
      <c r="N11" s="47"/>
    </row>
    <row r="12" spans="1:14" ht="18" hidden="1" customHeight="1">
      <c r="A12" s="45"/>
      <c r="B12" s="50"/>
      <c r="D12" s="1513" t="s">
        <v>236</v>
      </c>
      <c r="E12" s="1514" t="s">
        <v>31</v>
      </c>
      <c r="F12" s="1515">
        <f>용도별분석!H38</f>
        <v>0</v>
      </c>
      <c r="G12" s="1962">
        <f>용도별분석!E38</f>
        <v>0</v>
      </c>
      <c r="H12" s="1962"/>
      <c r="I12" s="58"/>
      <c r="J12" s="51"/>
      <c r="M12" s="52"/>
      <c r="N12" s="53"/>
    </row>
    <row r="13" spans="1:14" ht="4.5" hidden="1" customHeight="1">
      <c r="A13" s="41"/>
      <c r="B13" s="43"/>
      <c r="C13" s="43"/>
      <c r="D13" s="43"/>
      <c r="E13" s="43"/>
      <c r="F13" s="48"/>
      <c r="G13" s="49"/>
      <c r="J13" s="44"/>
      <c r="M13" s="46"/>
      <c r="N13" s="47"/>
    </row>
    <row r="14" spans="1:14" ht="18" customHeight="1">
      <c r="A14" s="45"/>
      <c r="B14" s="50"/>
      <c r="D14" s="43" t="s">
        <v>331</v>
      </c>
      <c r="E14" s="55" t="s">
        <v>31</v>
      </c>
      <c r="F14" s="56">
        <f>용도별분석!H35</f>
        <v>35554000</v>
      </c>
      <c r="G14" s="1976">
        <f>용도별분석!E35</f>
        <v>51</v>
      </c>
      <c r="H14" s="1976"/>
      <c r="I14" s="58"/>
      <c r="J14" s="51"/>
      <c r="M14" s="52"/>
      <c r="N14" s="53"/>
    </row>
    <row r="15" spans="1:14" ht="4.5" customHeight="1">
      <c r="A15" s="45"/>
      <c r="D15" s="43"/>
      <c r="E15" s="43"/>
      <c r="F15" s="48"/>
      <c r="G15" s="49"/>
      <c r="J15" s="44"/>
      <c r="M15" s="52"/>
      <c r="N15" s="53"/>
    </row>
    <row r="16" spans="1:14" ht="18" customHeight="1">
      <c r="A16" s="45"/>
      <c r="B16" s="50"/>
      <c r="D16" s="742" t="s">
        <v>234</v>
      </c>
      <c r="E16" s="55" t="s">
        <v>31</v>
      </c>
      <c r="F16" s="56">
        <f>N37</f>
        <v>0</v>
      </c>
      <c r="G16" s="1961">
        <f>M37</f>
        <v>0</v>
      </c>
      <c r="H16" s="1961"/>
      <c r="I16" s="58"/>
      <c r="J16" s="51"/>
      <c r="M16" s="52"/>
      <c r="N16" s="53"/>
    </row>
    <row r="17" spans="1:14" ht="4.5" customHeight="1">
      <c r="A17" s="45"/>
      <c r="D17" s="43"/>
      <c r="E17" s="43"/>
      <c r="F17" s="48"/>
      <c r="G17" s="49"/>
      <c r="J17" s="44"/>
      <c r="M17" s="46"/>
      <c r="N17" s="47"/>
    </row>
    <row r="18" spans="1:14" ht="18" customHeight="1">
      <c r="A18" s="41"/>
      <c r="B18" s="43"/>
      <c r="C18" s="43"/>
      <c r="D18" s="55" t="s">
        <v>129</v>
      </c>
      <c r="E18" s="55" t="s">
        <v>31</v>
      </c>
      <c r="F18" s="56">
        <f>취소분!G103</f>
        <v>0</v>
      </c>
      <c r="G18" s="1963">
        <f>취소분!F103</f>
        <v>0</v>
      </c>
      <c r="H18" s="1963"/>
      <c r="I18" s="58"/>
      <c r="J18" s="44"/>
      <c r="M18" s="46"/>
      <c r="N18" s="47"/>
    </row>
    <row r="19" spans="1:14" ht="4.5" customHeight="1">
      <c r="A19" s="45"/>
      <c r="D19" s="43"/>
      <c r="E19" s="43"/>
      <c r="F19" s="48"/>
      <c r="G19" s="49"/>
      <c r="J19" s="44"/>
      <c r="M19" s="46"/>
      <c r="N19" s="47"/>
    </row>
    <row r="20" spans="1:14" ht="18" customHeight="1">
      <c r="A20" s="45"/>
      <c r="B20" s="50"/>
      <c r="D20" s="43" t="s">
        <v>162</v>
      </c>
      <c r="E20" s="55" t="s">
        <v>31</v>
      </c>
      <c r="F20" s="56">
        <f>이월분!L16</f>
        <v>0</v>
      </c>
      <c r="G20" s="1965">
        <f>이월분!K16</f>
        <v>0</v>
      </c>
      <c r="H20" s="1966"/>
      <c r="I20" s="58"/>
      <c r="J20" s="51"/>
      <c r="M20" s="52"/>
      <c r="N20" s="53"/>
    </row>
    <row r="21" spans="1:14" ht="4.5" customHeight="1">
      <c r="A21" s="45"/>
      <c r="D21" s="43"/>
      <c r="E21" s="43"/>
      <c r="F21" s="48"/>
      <c r="G21" s="49"/>
      <c r="J21" s="51"/>
      <c r="M21" s="52"/>
      <c r="N21" s="53"/>
    </row>
    <row r="22" spans="1:14" ht="18" customHeight="1">
      <c r="A22" s="45"/>
      <c r="B22" s="50"/>
      <c r="D22" s="1158">
        <v>8</v>
      </c>
      <c r="E22" s="55" t="s">
        <v>31</v>
      </c>
      <c r="F22" s="744">
        <f>투자현황!N16</f>
        <v>1160449000</v>
      </c>
      <c r="G22" s="1964">
        <f>투자현황!M16</f>
        <v>1060</v>
      </c>
      <c r="H22" s="1964"/>
      <c r="I22" s="58"/>
      <c r="J22" s="51"/>
      <c r="M22" s="1486" t="s">
        <v>472</v>
      </c>
      <c r="N22" s="53"/>
    </row>
    <row r="23" spans="1:14" ht="4.5" customHeight="1">
      <c r="A23" s="45"/>
      <c r="D23" s="43"/>
      <c r="E23" s="43"/>
      <c r="F23" s="48"/>
      <c r="G23" s="49"/>
      <c r="J23" s="51"/>
      <c r="M23" s="52"/>
      <c r="N23" s="53"/>
    </row>
    <row r="24" spans="1:14" ht="18" customHeight="1">
      <c r="A24" s="45"/>
      <c r="B24" s="54"/>
      <c r="C24" s="54"/>
      <c r="D24" s="43" t="s">
        <v>113</v>
      </c>
      <c r="E24" s="55" t="s">
        <v>31</v>
      </c>
      <c r="F24" s="56">
        <f>SUM(취소분!G5:G80)</f>
        <v>0</v>
      </c>
      <c r="G24" s="1969">
        <f>SUM(취소분!F5:F80)</f>
        <v>0</v>
      </c>
      <c r="H24" s="1969"/>
      <c r="I24" s="58"/>
      <c r="J24" s="44"/>
      <c r="M24" s="1151"/>
      <c r="N24" s="53"/>
    </row>
    <row r="25" spans="1:14" ht="4.5" customHeight="1">
      <c r="A25" s="45"/>
      <c r="D25" s="43"/>
      <c r="E25" s="43"/>
      <c r="F25" s="48"/>
      <c r="G25" s="49"/>
      <c r="J25" s="51"/>
      <c r="M25" s="52"/>
      <c r="N25" s="53"/>
    </row>
    <row r="26" spans="1:14" ht="18" customHeight="1">
      <c r="A26" s="45"/>
      <c r="B26" s="50"/>
      <c r="D26" s="43" t="s">
        <v>163</v>
      </c>
      <c r="E26" s="55" t="s">
        <v>31</v>
      </c>
      <c r="F26" s="56">
        <f>이월분!L10</f>
        <v>0</v>
      </c>
      <c r="G26" s="1967">
        <f>이월분!K10</f>
        <v>0</v>
      </c>
      <c r="H26" s="1968"/>
      <c r="I26" s="58"/>
      <c r="J26" s="51"/>
      <c r="M26" s="1151"/>
      <c r="N26" s="53"/>
    </row>
    <row r="27" spans="1:14" ht="4.5" customHeight="1">
      <c r="A27" s="45"/>
      <c r="D27" s="43"/>
      <c r="E27" s="43"/>
      <c r="F27" s="48"/>
      <c r="G27" s="49"/>
      <c r="J27" s="51"/>
      <c r="M27" s="52"/>
      <c r="N27" s="53"/>
    </row>
    <row r="28" spans="1:14" ht="18" hidden="1" customHeight="1">
      <c r="A28" s="45"/>
      <c r="B28" s="50"/>
      <c r="D28" s="1513" t="s">
        <v>235</v>
      </c>
      <c r="E28" s="1514" t="s">
        <v>31</v>
      </c>
      <c r="F28" s="1515">
        <f>투자현황!N17</f>
        <v>0</v>
      </c>
      <c r="G28" s="1959">
        <f>투자현황!M17</f>
        <v>0</v>
      </c>
      <c r="H28" s="1960"/>
      <c r="I28" s="58"/>
      <c r="J28" s="51"/>
      <c r="M28" s="1151"/>
      <c r="N28" s="53"/>
    </row>
    <row r="29" spans="1:14" ht="4.5" hidden="1" customHeight="1">
      <c r="A29" s="45"/>
      <c r="D29" s="43"/>
      <c r="E29" s="43"/>
      <c r="F29" s="48"/>
      <c r="G29" s="49"/>
      <c r="J29" s="51"/>
      <c r="M29" s="52"/>
      <c r="N29" s="53"/>
    </row>
    <row r="30" spans="1:14" ht="18" customHeight="1">
      <c r="A30" s="45"/>
      <c r="B30" s="50"/>
      <c r="D30" s="43" t="s">
        <v>335</v>
      </c>
      <c r="E30" s="55" t="s">
        <v>31</v>
      </c>
      <c r="F30" s="56">
        <f>투자현황!N18</f>
        <v>704740000</v>
      </c>
      <c r="G30" s="1979">
        <f>투자현황!M18</f>
        <v>1225</v>
      </c>
      <c r="H30" s="1980"/>
      <c r="I30" s="58"/>
      <c r="J30" s="51"/>
      <c r="M30" s="1151"/>
      <c r="N30" s="53"/>
    </row>
    <row r="31" spans="1:14" ht="4.5" customHeight="1">
      <c r="A31" s="45"/>
      <c r="D31" s="43"/>
      <c r="E31" s="43"/>
      <c r="F31" s="48"/>
      <c r="G31" s="49"/>
      <c r="J31" s="51"/>
      <c r="M31" s="52"/>
      <c r="N31" s="53"/>
    </row>
    <row r="32" spans="1:14" ht="18" customHeight="1">
      <c r="A32" s="45"/>
      <c r="B32" s="54" t="s">
        <v>32</v>
      </c>
      <c r="C32" s="54"/>
      <c r="D32" s="745" t="s">
        <v>498</v>
      </c>
      <c r="E32" s="55" t="s">
        <v>31</v>
      </c>
      <c r="F32" s="1190">
        <f>(F10+F12+F14+F16+F22+F28+F30)-(F18+F20+F24+F26)</f>
        <v>1934632000</v>
      </c>
      <c r="G32" s="1981">
        <f>(G10+G12+G14+G16+G22+G28+G30)-(G18+G20+G24+G26)</f>
        <v>2344</v>
      </c>
      <c r="H32" s="1981"/>
      <c r="I32" s="1981"/>
      <c r="J32" s="44"/>
      <c r="M32" s="52"/>
      <c r="N32" s="53"/>
    </row>
    <row r="33" spans="1:15" ht="4.5" customHeight="1">
      <c r="A33" s="45"/>
      <c r="D33" s="43"/>
      <c r="E33" s="43"/>
      <c r="F33" s="48"/>
      <c r="G33" s="49"/>
      <c r="J33" s="51"/>
      <c r="M33" s="52"/>
      <c r="N33" s="53"/>
    </row>
    <row r="34" spans="1:15" ht="9" customHeight="1">
      <c r="A34" s="45"/>
      <c r="B34" s="54"/>
      <c r="C34" s="54"/>
      <c r="D34" s="43"/>
      <c r="E34" s="55"/>
      <c r="F34" s="56"/>
      <c r="G34" s="57"/>
      <c r="H34" s="57"/>
      <c r="I34" s="58"/>
      <c r="J34" s="44"/>
      <c r="M34" s="52"/>
      <c r="N34" s="53"/>
    </row>
    <row r="35" spans="1:15" ht="18.95" customHeight="1">
      <c r="A35" s="259"/>
      <c r="B35" s="65"/>
      <c r="C35" s="50"/>
      <c r="D35" s="59"/>
      <c r="E35" s="55"/>
      <c r="F35" s="56"/>
      <c r="G35" s="57"/>
      <c r="H35" s="57"/>
      <c r="I35" s="58"/>
      <c r="J35" s="44"/>
      <c r="M35" s="52" t="s">
        <v>347</v>
      </c>
      <c r="N35" s="53"/>
    </row>
    <row r="36" spans="1:15" ht="18.95" customHeight="1">
      <c r="A36" s="45"/>
      <c r="B36" s="65"/>
      <c r="C36" s="50"/>
      <c r="D36" s="59"/>
      <c r="E36" s="55"/>
      <c r="F36" s="56"/>
      <c r="G36" s="57"/>
      <c r="H36" s="57"/>
      <c r="I36" s="58"/>
      <c r="J36" s="44"/>
      <c r="M36" s="62" t="s">
        <v>57</v>
      </c>
      <c r="N36" s="63" t="s">
        <v>58</v>
      </c>
      <c r="O36" s="64" t="s">
        <v>59</v>
      </c>
    </row>
    <row r="37" spans="1:15" ht="18.95" customHeight="1">
      <c r="A37" s="45"/>
      <c r="B37" s="42"/>
      <c r="C37" s="43"/>
      <c r="D37" s="260"/>
      <c r="F37" s="323"/>
      <c r="H37" s="324"/>
      <c r="I37" s="60"/>
      <c r="J37" s="44"/>
      <c r="M37" s="184"/>
      <c r="N37" s="1002"/>
      <c r="O37" s="67"/>
    </row>
    <row r="38" spans="1:15" s="842" customFormat="1" ht="30.75" customHeight="1">
      <c r="A38" s="838" t="s">
        <v>33</v>
      </c>
      <c r="B38" s="839" t="s">
        <v>34</v>
      </c>
      <c r="C38" s="840" t="s">
        <v>26</v>
      </c>
      <c r="D38" s="841"/>
      <c r="F38" s="843"/>
      <c r="G38" s="850"/>
      <c r="H38" s="60"/>
      <c r="I38" s="60"/>
      <c r="J38" s="844"/>
      <c r="M38" s="845"/>
      <c r="N38" s="846"/>
    </row>
    <row r="39" spans="1:15" ht="12.75" customHeight="1">
      <c r="A39" s="45"/>
      <c r="B39" s="42"/>
      <c r="C39" s="43"/>
      <c r="H39" s="60"/>
      <c r="I39" s="60"/>
      <c r="J39" s="44"/>
      <c r="M39" s="46"/>
      <c r="N39" s="47"/>
    </row>
    <row r="40" spans="1:15" ht="18" customHeight="1">
      <c r="A40" s="45"/>
      <c r="B40" s="61" t="s">
        <v>35</v>
      </c>
      <c r="C40" s="62"/>
      <c r="D40" s="62" t="s">
        <v>36</v>
      </c>
      <c r="E40" s="62"/>
      <c r="F40" s="62" t="s">
        <v>57</v>
      </c>
      <c r="G40" s="63" t="s">
        <v>58</v>
      </c>
      <c r="H40" s="64" t="s">
        <v>59</v>
      </c>
      <c r="I40" s="65"/>
      <c r="J40" s="44"/>
      <c r="L40" s="62" t="s">
        <v>36</v>
      </c>
      <c r="M40" s="62" t="s">
        <v>57</v>
      </c>
      <c r="N40" s="63" t="s">
        <v>58</v>
      </c>
      <c r="O40" s="64" t="s">
        <v>59</v>
      </c>
    </row>
    <row r="41" spans="1:15" ht="18" customHeight="1">
      <c r="A41" s="45"/>
      <c r="B41" s="173"/>
      <c r="C41" s="66"/>
      <c r="D41" s="1950" t="str">
        <f>"관로공사 "&amp;품의서!E25&amp;" 차 ▷공공택지"</f>
        <v>관로공사 9 차 ▷공공택지</v>
      </c>
      <c r="E41" s="1951"/>
      <c r="F41" s="184">
        <f t="shared" ref="F41:G48" si="0">M41</f>
        <v>0</v>
      </c>
      <c r="G41" s="510">
        <f t="shared" si="0"/>
        <v>0</v>
      </c>
      <c r="H41" s="67"/>
      <c r="I41" s="68"/>
      <c r="J41" s="44"/>
      <c r="L41" s="225" t="s">
        <v>177</v>
      </c>
      <c r="M41" s="184">
        <f>공공택지!D7</f>
        <v>0</v>
      </c>
      <c r="N41" s="1002">
        <f>공공택지!G7</f>
        <v>0</v>
      </c>
      <c r="O41" s="67"/>
    </row>
    <row r="42" spans="1:15" ht="18" customHeight="1">
      <c r="A42" s="45"/>
      <c r="B42" s="209"/>
      <c r="C42" s="69"/>
      <c r="D42" s="1956" t="s">
        <v>176</v>
      </c>
      <c r="E42" s="1957"/>
      <c r="F42" s="507">
        <f t="shared" si="0"/>
        <v>8</v>
      </c>
      <c r="G42" s="508">
        <f t="shared" si="0"/>
        <v>33889000</v>
      </c>
      <c r="H42" s="509"/>
      <c r="I42" s="68"/>
      <c r="J42" s="44"/>
      <c r="L42" s="511" t="s">
        <v>102</v>
      </c>
      <c r="M42" s="212">
        <f>공동주택!D7</f>
        <v>8</v>
      </c>
      <c r="N42" s="1003">
        <f>공동주택!G7</f>
        <v>33889000</v>
      </c>
      <c r="O42" s="214"/>
    </row>
    <row r="43" spans="1:15" ht="18" customHeight="1">
      <c r="A43" s="45"/>
      <c r="B43" s="209" t="s">
        <v>107</v>
      </c>
      <c r="C43" s="69"/>
      <c r="D43" s="1954" t="s">
        <v>327</v>
      </c>
      <c r="E43" s="1955"/>
      <c r="F43" s="185">
        <f t="shared" si="0"/>
        <v>0</v>
      </c>
      <c r="G43" s="70">
        <f t="shared" si="0"/>
        <v>0</v>
      </c>
      <c r="H43" s="71"/>
      <c r="I43" s="68"/>
      <c r="J43" s="44"/>
      <c r="L43" s="226" t="s">
        <v>207</v>
      </c>
      <c r="M43" s="185">
        <f>산업용!D7</f>
        <v>0</v>
      </c>
      <c r="N43" s="1004">
        <f>산업용!G7</f>
        <v>0</v>
      </c>
      <c r="O43" s="71"/>
    </row>
    <row r="44" spans="1:15" ht="18" customHeight="1">
      <c r="A44" s="45"/>
      <c r="B44" s="209" t="s">
        <v>106</v>
      </c>
      <c r="C44" s="69"/>
      <c r="D44" s="1954" t="s">
        <v>453</v>
      </c>
      <c r="E44" s="1955"/>
      <c r="F44" s="185">
        <f>M44</f>
        <v>0</v>
      </c>
      <c r="G44" s="70">
        <f>N44</f>
        <v>0</v>
      </c>
      <c r="H44" s="71"/>
      <c r="I44" s="68"/>
      <c r="J44" s="44"/>
      <c r="L44" s="226" t="s">
        <v>205</v>
      </c>
      <c r="M44" s="268">
        <f>업무용!D7</f>
        <v>0</v>
      </c>
      <c r="N44" s="1004">
        <f>업무용!G7</f>
        <v>0</v>
      </c>
      <c r="O44" s="71"/>
    </row>
    <row r="45" spans="1:15" ht="18" customHeight="1">
      <c r="A45" s="45"/>
      <c r="B45" s="209"/>
      <c r="C45" s="69"/>
      <c r="D45" s="1954" t="s">
        <v>451</v>
      </c>
      <c r="E45" s="1955"/>
      <c r="F45" s="185">
        <f t="shared" ref="F45:F47" si="1">M45</f>
        <v>0</v>
      </c>
      <c r="G45" s="70">
        <f t="shared" ref="G45:G47" si="2">N45</f>
        <v>0</v>
      </c>
      <c r="H45" s="71"/>
      <c r="I45" s="68"/>
      <c r="J45" s="44"/>
      <c r="L45" s="226" t="s">
        <v>447</v>
      </c>
      <c r="M45" s="268">
        <f>연료전지!D7</f>
        <v>0</v>
      </c>
      <c r="N45" s="1004">
        <f>연료전지!G7</f>
        <v>0</v>
      </c>
      <c r="O45" s="71"/>
    </row>
    <row r="46" spans="1:15" ht="18" hidden="1" customHeight="1">
      <c r="A46" s="45"/>
      <c r="B46" s="209"/>
      <c r="C46" s="69"/>
      <c r="D46" s="1954" t="s">
        <v>452</v>
      </c>
      <c r="E46" s="1955"/>
      <c r="F46" s="185">
        <f t="shared" si="1"/>
        <v>0</v>
      </c>
      <c r="G46" s="70">
        <f t="shared" si="2"/>
        <v>0</v>
      </c>
      <c r="H46" s="71"/>
      <c r="I46" s="68"/>
      <c r="J46" s="44"/>
      <c r="L46" s="226" t="s">
        <v>448</v>
      </c>
      <c r="M46" s="268">
        <f>열병합!D7</f>
        <v>0</v>
      </c>
      <c r="N46" s="1004">
        <f>열병합!G7</f>
        <v>0</v>
      </c>
      <c r="O46" s="71"/>
    </row>
    <row r="47" spans="1:15" ht="18" hidden="1" customHeight="1">
      <c r="A47" s="45"/>
      <c r="B47" s="209"/>
      <c r="C47" s="69"/>
      <c r="D47" s="1954" t="s">
        <v>450</v>
      </c>
      <c r="E47" s="1955"/>
      <c r="F47" s="185">
        <f t="shared" si="1"/>
        <v>0</v>
      </c>
      <c r="G47" s="70">
        <f t="shared" si="2"/>
        <v>0</v>
      </c>
      <c r="H47" s="71"/>
      <c r="I47" s="68"/>
      <c r="J47" s="44"/>
      <c r="L47" s="226" t="s">
        <v>449</v>
      </c>
      <c r="M47" s="268">
        <f>열전용설비!D7</f>
        <v>0</v>
      </c>
      <c r="N47" s="1004">
        <f>열전용설비!G7</f>
        <v>0</v>
      </c>
      <c r="O47" s="71"/>
    </row>
    <row r="48" spans="1:15" ht="18" customHeight="1">
      <c r="A48" s="45"/>
      <c r="B48" s="209"/>
      <c r="C48" s="69"/>
      <c r="D48" s="1954" t="s">
        <v>454</v>
      </c>
      <c r="E48" s="1955"/>
      <c r="F48" s="185">
        <f t="shared" si="0"/>
        <v>0</v>
      </c>
      <c r="G48" s="70">
        <f t="shared" si="0"/>
        <v>0</v>
      </c>
      <c r="H48" s="71"/>
      <c r="I48" s="68"/>
      <c r="J48" s="44"/>
      <c r="L48" s="226" t="s">
        <v>206</v>
      </c>
      <c r="M48" s="185">
        <f>영업용!D7</f>
        <v>0</v>
      </c>
      <c r="N48" s="1004">
        <f>영업용!G7</f>
        <v>0</v>
      </c>
      <c r="O48" s="71"/>
    </row>
    <row r="49" spans="1:17" ht="18" customHeight="1">
      <c r="A49" s="45"/>
      <c r="B49" s="209"/>
      <c r="C49" s="69"/>
      <c r="D49" s="1954" t="s">
        <v>455</v>
      </c>
      <c r="E49" s="1955"/>
      <c r="F49" s="185">
        <f>M49</f>
        <v>0</v>
      </c>
      <c r="G49" s="70">
        <f>N49</f>
        <v>0</v>
      </c>
      <c r="H49" s="71"/>
      <c r="I49" s="68"/>
      <c r="J49" s="44"/>
      <c r="L49" s="226" t="s">
        <v>208</v>
      </c>
      <c r="M49" s="185">
        <f>주택용!D7</f>
        <v>0</v>
      </c>
      <c r="N49" s="1004">
        <f>주택용!G7</f>
        <v>0</v>
      </c>
      <c r="O49" s="71"/>
    </row>
    <row r="50" spans="1:17" ht="18" customHeight="1">
      <c r="A50" s="45"/>
      <c r="B50" s="215"/>
      <c r="C50" s="216"/>
      <c r="D50" s="1982" t="s">
        <v>101</v>
      </c>
      <c r="E50" s="1983"/>
      <c r="F50" s="186">
        <f>SUM(F41:F49)</f>
        <v>8</v>
      </c>
      <c r="G50" s="183">
        <f>SUM(G41:G49)</f>
        <v>33889000</v>
      </c>
      <c r="H50" s="218"/>
      <c r="I50" s="68"/>
      <c r="J50" s="44"/>
      <c r="L50" s="217" t="s">
        <v>101</v>
      </c>
      <c r="M50" s="186">
        <f>기본데이타!G7</f>
        <v>59</v>
      </c>
      <c r="N50" s="1005">
        <f>기본데이타!H7</f>
        <v>69443000</v>
      </c>
      <c r="O50" s="218"/>
    </row>
    <row r="51" spans="1:17" ht="11.25" customHeight="1">
      <c r="A51" s="45"/>
      <c r="B51" s="219"/>
      <c r="C51" s="219"/>
      <c r="D51" s="220"/>
      <c r="E51" s="220"/>
      <c r="F51" s="221"/>
      <c r="G51" s="222"/>
      <c r="H51" s="222"/>
      <c r="I51" s="68"/>
      <c r="J51" s="44"/>
      <c r="M51" s="223"/>
      <c r="N51" s="224"/>
    </row>
    <row r="52" spans="1:17" ht="18" customHeight="1">
      <c r="A52" s="45"/>
      <c r="B52" s="61" t="s">
        <v>35</v>
      </c>
      <c r="C52" s="62"/>
      <c r="D52" s="62" t="s">
        <v>36</v>
      </c>
      <c r="E52" s="62"/>
      <c r="F52" s="62" t="s">
        <v>57</v>
      </c>
      <c r="G52" s="63" t="s">
        <v>58</v>
      </c>
      <c r="H52" s="64" t="s">
        <v>59</v>
      </c>
      <c r="I52" s="65"/>
      <c r="J52" s="44"/>
      <c r="L52" s="230"/>
      <c r="M52" s="230"/>
      <c r="N52" s="1276"/>
      <c r="O52" s="230"/>
      <c r="P52" s="50"/>
      <c r="Q52" s="230"/>
    </row>
    <row r="53" spans="1:17" ht="20.25" hidden="1" customHeight="1">
      <c r="A53" s="45"/>
      <c r="B53" s="563"/>
      <c r="C53" s="564"/>
      <c r="D53" s="1952"/>
      <c r="E53" s="1953"/>
      <c r="F53" s="565"/>
      <c r="G53" s="566"/>
      <c r="H53" s="567"/>
      <c r="I53" s="68"/>
      <c r="J53" s="44"/>
      <c r="L53" s="50"/>
      <c r="M53" s="50"/>
      <c r="N53" s="536"/>
      <c r="O53" s="231"/>
      <c r="P53" s="68"/>
      <c r="Q53" s="68"/>
    </row>
    <row r="54" spans="1:17" ht="20.25" hidden="1" customHeight="1">
      <c r="A54" s="45"/>
      <c r="B54" s="562"/>
      <c r="C54" s="216"/>
      <c r="D54" s="557"/>
      <c r="E54" s="558"/>
      <c r="F54" s="559">
        <f>SUMIF(M54:M92,B54,O54:O92)</f>
        <v>0</v>
      </c>
      <c r="G54" s="560">
        <f>SUMIF(M54:M92,B54,P54:P92)</f>
        <v>0</v>
      </c>
      <c r="H54" s="561"/>
      <c r="I54" s="68"/>
      <c r="J54" s="44"/>
      <c r="L54" s="227"/>
      <c r="M54" s="227"/>
      <c r="N54" s="210"/>
      <c r="O54" s="212"/>
      <c r="P54" s="213"/>
      <c r="Q54" s="214"/>
    </row>
    <row r="55" spans="1:17" ht="20.25" hidden="1" customHeight="1">
      <c r="A55" s="45"/>
      <c r="B55" s="555"/>
      <c r="C55" s="556"/>
      <c r="D55" s="210"/>
      <c r="E55" s="211"/>
      <c r="F55" s="212">
        <f>SUMIF(M55:M93,B55,O55:O93)</f>
        <v>0</v>
      </c>
      <c r="G55" s="213">
        <f>SUMIF(M55:M93,B55,P55:P93)</f>
        <v>0</v>
      </c>
      <c r="H55" s="214"/>
      <c r="I55" s="68"/>
      <c r="J55" s="44"/>
      <c r="L55" s="227"/>
      <c r="M55" s="227"/>
      <c r="N55" s="210"/>
      <c r="O55" s="212"/>
      <c r="P55" s="213"/>
      <c r="Q55" s="214"/>
    </row>
    <row r="56" spans="1:17" ht="20.25" hidden="1" customHeight="1">
      <c r="A56" s="45"/>
      <c r="B56" s="228"/>
      <c r="C56" s="229"/>
      <c r="D56" s="267"/>
      <c r="E56" s="211"/>
      <c r="F56" s="212">
        <f>SUMIF(M56:M94,B56,O56:O94)</f>
        <v>0</v>
      </c>
      <c r="G56" s="213">
        <f>SUMIF(M56:M94,B56,P56:P94)</f>
        <v>0</v>
      </c>
      <c r="H56" s="214"/>
      <c r="I56" s="68"/>
      <c r="J56" s="44"/>
      <c r="L56" s="227"/>
      <c r="M56" s="227"/>
      <c r="N56" s="210"/>
      <c r="O56" s="212"/>
      <c r="P56" s="213"/>
      <c r="Q56" s="214"/>
    </row>
    <row r="57" spans="1:17" ht="20.25" hidden="1" customHeight="1">
      <c r="A57" s="45"/>
      <c r="B57" s="228"/>
      <c r="C57" s="229"/>
      <c r="D57" s="210"/>
      <c r="E57" s="211"/>
      <c r="F57" s="212">
        <f>SUMIF(M57:M95,B57,O57:O95)</f>
        <v>0</v>
      </c>
      <c r="G57" s="213">
        <f>SUMIF(M57:M95,B57,P57:P95)</f>
        <v>0</v>
      </c>
      <c r="H57" s="214"/>
      <c r="I57" s="68"/>
      <c r="J57" s="44"/>
      <c r="L57" s="227"/>
      <c r="M57" s="227"/>
      <c r="N57" s="210"/>
      <c r="O57" s="212"/>
      <c r="P57" s="213"/>
      <c r="Q57" s="214"/>
    </row>
    <row r="58" spans="1:17" ht="20.25" hidden="1" customHeight="1">
      <c r="A58" s="45"/>
      <c r="B58" s="228"/>
      <c r="C58" s="229"/>
      <c r="D58" s="210"/>
      <c r="E58" s="211"/>
      <c r="F58" s="212">
        <f>SUMIF($M$53:$M$91,B58,$O$53:$O$91)</f>
        <v>0</v>
      </c>
      <c r="G58" s="213">
        <f>SUMIF($M$53:$M$91,B58,$P$53:$P$91)</f>
        <v>0</v>
      </c>
      <c r="H58" s="214"/>
      <c r="I58" s="68"/>
      <c r="J58" s="44"/>
      <c r="L58" s="227"/>
      <c r="M58" s="227"/>
      <c r="N58" s="210"/>
      <c r="O58" s="212"/>
      <c r="P58" s="213"/>
      <c r="Q58" s="214"/>
    </row>
    <row r="59" spans="1:17" ht="20.25" hidden="1" customHeight="1">
      <c r="A59" s="45"/>
      <c r="B59" s="228"/>
      <c r="C59" s="229"/>
      <c r="D59" s="210"/>
      <c r="E59" s="211"/>
      <c r="F59" s="212">
        <f>SUMIF($M$53:$M$91,B59,$O$53:$O$91)</f>
        <v>0</v>
      </c>
      <c r="G59" s="213">
        <f>SUMIF($M$53:$M$91,B59,$P$53:$P$91)</f>
        <v>0</v>
      </c>
      <c r="H59" s="214"/>
      <c r="I59" s="68"/>
      <c r="J59" s="44"/>
      <c r="L59" s="227"/>
      <c r="M59" s="227"/>
      <c r="N59" s="210"/>
      <c r="O59" s="212"/>
      <c r="P59" s="213"/>
      <c r="Q59" s="214"/>
    </row>
    <row r="60" spans="1:17" ht="18" customHeight="1">
      <c r="A60" s="45"/>
      <c r="B60" s="1970" t="s">
        <v>475</v>
      </c>
      <c r="C60" s="1971"/>
      <c r="D60" s="1977" t="s">
        <v>332</v>
      </c>
      <c r="E60" s="1978"/>
      <c r="F60" s="212">
        <f>G14</f>
        <v>51</v>
      </c>
      <c r="G60" s="213">
        <f>F14</f>
        <v>35554000</v>
      </c>
      <c r="H60" s="214"/>
      <c r="I60" s="68"/>
      <c r="J60" s="44"/>
      <c r="K60"/>
      <c r="L60"/>
      <c r="M60"/>
      <c r="N60"/>
      <c r="O60"/>
      <c r="P60"/>
      <c r="Q60"/>
    </row>
    <row r="61" spans="1:17" ht="18" customHeight="1">
      <c r="A61" s="45"/>
      <c r="B61" s="1972"/>
      <c r="C61" s="1973"/>
      <c r="D61" s="1977"/>
      <c r="E61" s="1978"/>
      <c r="F61" s="1516">
        <f>G12</f>
        <v>0</v>
      </c>
      <c r="G61" s="1517">
        <f>F12</f>
        <v>0</v>
      </c>
      <c r="H61" s="214"/>
      <c r="I61" s="68"/>
      <c r="J61" s="44"/>
      <c r="K61"/>
      <c r="L61"/>
      <c r="M61"/>
      <c r="N61"/>
      <c r="O61"/>
      <c r="P61"/>
      <c r="Q61"/>
    </row>
    <row r="62" spans="1:17" ht="18" customHeight="1">
      <c r="A62" s="45"/>
      <c r="B62" s="1974"/>
      <c r="C62" s="1975"/>
      <c r="D62" s="1982" t="s">
        <v>333</v>
      </c>
      <c r="E62" s="1983"/>
      <c r="F62" s="186">
        <f>SUM(F60:F60)</f>
        <v>51</v>
      </c>
      <c r="G62" s="183">
        <f>SUM(G60:G60)</f>
        <v>35554000</v>
      </c>
      <c r="H62" s="218"/>
      <c r="I62" s="49"/>
      <c r="J62" s="44"/>
      <c r="K62" s="1062"/>
      <c r="L62" s="50"/>
      <c r="M62" s="50"/>
      <c r="N62" s="536"/>
      <c r="O62" s="1063"/>
      <c r="P62" s="68"/>
      <c r="Q62" s="68"/>
    </row>
    <row r="63" spans="1:17" ht="11.25" customHeight="1">
      <c r="A63" s="45"/>
      <c r="B63" s="230"/>
      <c r="C63" s="230"/>
      <c r="D63" s="230"/>
      <c r="E63" s="230"/>
      <c r="F63" s="231"/>
      <c r="G63" s="232"/>
      <c r="H63" s="49"/>
      <c r="I63" s="49"/>
      <c r="J63" s="44"/>
      <c r="L63" s="50"/>
      <c r="M63" s="50"/>
      <c r="N63" s="536"/>
      <c r="O63" s="231"/>
      <c r="P63" s="68"/>
      <c r="Q63" s="68"/>
    </row>
    <row r="64" spans="1:17" ht="18" customHeight="1">
      <c r="A64" s="45"/>
      <c r="B64" s="61" t="str">
        <f>"투 자 내 역 합 계 ( "&amp;품의서!E25&amp;"차 투자내역 )"</f>
        <v>투 자 내 역 합 계 ( 9차 투자내역 )</v>
      </c>
      <c r="C64" s="62"/>
      <c r="D64" s="62"/>
      <c r="E64" s="62"/>
      <c r="F64" s="233">
        <f>F50+F62</f>
        <v>59</v>
      </c>
      <c r="G64" s="258">
        <f>G50+G62</f>
        <v>69443000</v>
      </c>
      <c r="H64" s="234"/>
      <c r="I64" s="49"/>
      <c r="J64" s="44"/>
      <c r="L64" s="50"/>
      <c r="M64" s="1282"/>
      <c r="N64" s="536"/>
      <c r="O64" s="231"/>
      <c r="P64" s="68"/>
      <c r="Q64" s="68"/>
    </row>
    <row r="65" spans="1:17" ht="20.25" hidden="1" customHeight="1">
      <c r="A65" s="45"/>
      <c r="H65" s="49"/>
      <c r="I65" s="49"/>
      <c r="J65" s="44"/>
      <c r="L65" s="50"/>
      <c r="M65" s="50"/>
      <c r="N65" s="536"/>
      <c r="O65" s="231"/>
      <c r="P65" s="68"/>
      <c r="Q65" s="68"/>
    </row>
    <row r="66" spans="1:17" ht="20.25" hidden="1" customHeight="1">
      <c r="A66" s="45"/>
      <c r="H66" s="49"/>
      <c r="I66" s="49"/>
      <c r="J66" s="44"/>
      <c r="L66" s="50"/>
      <c r="M66" s="50"/>
      <c r="N66" s="536"/>
      <c r="O66" s="231"/>
      <c r="P66" s="68"/>
      <c r="Q66" s="68"/>
    </row>
    <row r="67" spans="1:17" ht="18" customHeight="1">
      <c r="A67" s="45"/>
      <c r="H67" s="49"/>
      <c r="I67" s="49"/>
      <c r="J67" s="44"/>
      <c r="L67" s="50"/>
      <c r="M67" s="1212"/>
      <c r="N67" s="536"/>
      <c r="O67" s="231"/>
      <c r="P67" s="68"/>
      <c r="Q67" s="68"/>
    </row>
    <row r="68" spans="1:17" ht="20.25" customHeight="1">
      <c r="A68" s="45" t="s">
        <v>37</v>
      </c>
      <c r="B68" s="43" t="s">
        <v>38</v>
      </c>
      <c r="C68" s="43"/>
      <c r="J68" s="44"/>
      <c r="L68" s="50"/>
      <c r="M68" s="50"/>
      <c r="N68" s="536"/>
      <c r="O68" s="231"/>
      <c r="P68" s="68"/>
      <c r="Q68" s="68"/>
    </row>
    <row r="69" spans="1:17" ht="13.5" customHeight="1">
      <c r="A69" s="45"/>
      <c r="B69" s="43" t="s">
        <v>39</v>
      </c>
      <c r="C69" s="43" t="s">
        <v>26</v>
      </c>
      <c r="D69" s="65" t="s">
        <v>315</v>
      </c>
      <c r="E69" s="72"/>
      <c r="J69" s="44"/>
      <c r="L69" s="50"/>
      <c r="M69" s="50"/>
      <c r="N69" s="536"/>
      <c r="O69" s="231"/>
      <c r="P69" s="68"/>
      <c r="Q69" s="68"/>
    </row>
    <row r="70" spans="1:17" ht="21.75" customHeight="1">
      <c r="A70" s="45"/>
      <c r="B70" s="43" t="s">
        <v>40</v>
      </c>
      <c r="C70" s="43" t="s">
        <v>26</v>
      </c>
      <c r="D70" s="72" t="s">
        <v>499</v>
      </c>
      <c r="J70" s="44"/>
      <c r="L70" s="50"/>
      <c r="M70" s="50"/>
      <c r="N70" s="536"/>
      <c r="O70" s="231"/>
      <c r="P70" s="68"/>
      <c r="Q70" s="68"/>
    </row>
    <row r="71" spans="1:17" ht="20.25" customHeight="1">
      <c r="A71" s="45"/>
      <c r="B71" s="42" t="s">
        <v>41</v>
      </c>
      <c r="C71" s="43" t="s">
        <v>26</v>
      </c>
      <c r="D71" s="40" t="s">
        <v>103</v>
      </c>
      <c r="E71" s="72"/>
      <c r="F71" s="72"/>
      <c r="J71" s="44"/>
      <c r="L71" s="50"/>
      <c r="M71" s="50"/>
      <c r="N71" s="536"/>
      <c r="O71" s="231"/>
      <c r="P71" s="68"/>
      <c r="Q71" s="68"/>
    </row>
    <row r="72" spans="1:17" ht="18" customHeight="1">
      <c r="A72" s="45"/>
      <c r="B72" s="42"/>
      <c r="C72" s="43"/>
      <c r="J72" s="44"/>
      <c r="L72" s="50"/>
      <c r="M72" s="50"/>
      <c r="N72" s="536"/>
      <c r="O72" s="231"/>
      <c r="P72" s="68"/>
      <c r="Q72" s="68"/>
    </row>
    <row r="73" spans="1:17" ht="20.25" customHeight="1">
      <c r="A73" s="45" t="s">
        <v>42</v>
      </c>
      <c r="B73" s="43" t="s">
        <v>43</v>
      </c>
      <c r="C73" s="50"/>
      <c r="D73" s="73"/>
      <c r="F73" s="74"/>
      <c r="H73" s="49"/>
      <c r="I73" s="49"/>
      <c r="J73" s="44"/>
      <c r="L73" s="50"/>
      <c r="M73" s="50"/>
      <c r="N73" s="536"/>
      <c r="O73" s="231"/>
      <c r="P73" s="68"/>
      <c r="Q73" s="68"/>
    </row>
    <row r="74" spans="1:17" ht="20.25" customHeight="1">
      <c r="A74" s="45"/>
      <c r="B74" s="43" t="s">
        <v>44</v>
      </c>
      <c r="C74" s="50" t="s">
        <v>26</v>
      </c>
      <c r="D74" s="40" t="str">
        <f>"공급구역내 2026년도 수요개발 신규공급 대상처("&amp;TEXT(기본데이타!AJ7,"#,##0")&amp;"전) 가스공급을 위한 배관 신설 투자"</f>
        <v>공급구역내 2026년도 수요개발 신규공급 대상처(450전) 가스공급을 위한 배관 신설 투자</v>
      </c>
      <c r="F74" s="74"/>
      <c r="H74" s="49"/>
      <c r="I74" s="49"/>
      <c r="J74" s="44"/>
      <c r="L74" s="50"/>
      <c r="M74" s="50"/>
      <c r="N74" s="536"/>
      <c r="O74" s="231"/>
      <c r="P74" s="68"/>
      <c r="Q74" s="1430"/>
    </row>
    <row r="75" spans="1:17" ht="16.5" customHeight="1">
      <c r="A75" s="45"/>
      <c r="B75" s="43" t="s">
        <v>45</v>
      </c>
      <c r="C75" s="50" t="s">
        <v>26</v>
      </c>
      <c r="D75" s="40" t="str">
        <f>"본건 투자에 따른 신규 공급처("&amp;TEXT(기본데이타!AJ7,"#,##0")&amp;"전)에 가스를 공급함으로써 연간 "&amp;TEXT(기본데이타!BN7,"#,##0,")&amp;"천MJ의 가스판매량"</f>
        <v>본건 투자에 따른 신규 공급처(450전)에 가스를 공급함으로써 연간 11,783천MJ의 가스판매량</v>
      </c>
      <c r="F75" s="74"/>
      <c r="H75" s="49"/>
      <c r="I75" s="49"/>
      <c r="J75" s="44"/>
      <c r="L75" s="50"/>
      <c r="M75" s="50"/>
      <c r="N75" s="536"/>
      <c r="O75" s="231"/>
      <c r="P75" s="68"/>
      <c r="Q75" s="1430"/>
    </row>
    <row r="76" spans="1:17" ht="16.5" customHeight="1">
      <c r="A76" s="45"/>
      <c r="B76" s="43"/>
      <c r="C76" s="50"/>
      <c r="D76" s="40" t="str">
        <f>"증가와 이에 따른 "&amp;TEXT([11]총괄!$D$28,"#,##0,,")&amp;" 백만원의 수요개발 기대이익(세후)의 증가가 예상됨."</f>
        <v>증가와 이에 따른 27 백만원의 수요개발 기대이익(세후)의 증가가 예상됨.</v>
      </c>
      <c r="F76" s="74"/>
      <c r="H76" s="49"/>
      <c r="I76" s="49"/>
      <c r="J76" s="44"/>
      <c r="L76" s="50"/>
      <c r="M76" s="50"/>
      <c r="N76" s="536"/>
      <c r="O76" s="231"/>
      <c r="P76" s="68"/>
      <c r="Q76" s="1430"/>
    </row>
    <row r="77" spans="1:17" ht="5.25" customHeight="1">
      <c r="A77" s="45"/>
      <c r="B77" s="43"/>
      <c r="C77" s="50"/>
      <c r="F77" s="74"/>
      <c r="H77" s="49"/>
      <c r="I77" s="49"/>
      <c r="J77" s="44"/>
      <c r="L77" s="50"/>
      <c r="M77" s="50"/>
      <c r="N77" s="536"/>
      <c r="O77" s="231"/>
      <c r="P77" s="68"/>
      <c r="Q77" s="68"/>
    </row>
    <row r="78" spans="1:17" ht="14.25" customHeight="1" thickBot="1">
      <c r="A78" s="78"/>
      <c r="B78" s="243"/>
      <c r="C78" s="244"/>
      <c r="D78" s="79"/>
      <c r="E78" s="79"/>
      <c r="F78" s="245"/>
      <c r="G78" s="79"/>
      <c r="H78" s="246"/>
      <c r="I78" s="246"/>
      <c r="J78" s="80"/>
      <c r="L78" s="50"/>
      <c r="M78" s="50"/>
      <c r="N78" s="536"/>
      <c r="O78" s="231"/>
      <c r="P78" s="68"/>
      <c r="Q78" s="68"/>
    </row>
    <row r="79" spans="1:17" ht="19.5" customHeight="1">
      <c r="A79" s="45"/>
      <c r="B79" s="43"/>
      <c r="C79" s="50"/>
      <c r="F79" s="74"/>
      <c r="H79" s="49"/>
      <c r="I79" s="49"/>
      <c r="J79" s="44"/>
      <c r="L79" s="50"/>
      <c r="M79" s="50"/>
      <c r="N79" s="536"/>
      <c r="O79" s="231"/>
      <c r="P79" s="68"/>
      <c r="Q79" s="68"/>
    </row>
    <row r="80" spans="1:17" ht="20.100000000000001" hidden="1" customHeight="1">
      <c r="A80" s="1518" t="s">
        <v>46</v>
      </c>
      <c r="B80" s="1513" t="s">
        <v>47</v>
      </c>
      <c r="C80" s="1519" t="s">
        <v>26</v>
      </c>
      <c r="D80" s="1520">
        <f>G64</f>
        <v>69443000</v>
      </c>
      <c r="E80" s="1520"/>
      <c r="F80" s="1521"/>
      <c r="G80" s="1522" t="s">
        <v>240</v>
      </c>
      <c r="H80" s="1523">
        <f>G61</f>
        <v>0</v>
      </c>
      <c r="I80" s="49"/>
      <c r="J80" s="44"/>
      <c r="L80" s="50"/>
      <c r="M80" s="50"/>
      <c r="N80" s="536"/>
      <c r="O80" s="231"/>
      <c r="P80" s="68"/>
      <c r="Q80" s="68"/>
    </row>
    <row r="81" spans="1:17" ht="20.100000000000001" customHeight="1">
      <c r="A81" s="45" t="s">
        <v>46</v>
      </c>
      <c r="B81" s="43" t="s">
        <v>47</v>
      </c>
      <c r="C81" s="50"/>
      <c r="D81" s="75">
        <f>G64</f>
        <v>69443000</v>
      </c>
      <c r="G81" s="76" t="s">
        <v>48</v>
      </c>
      <c r="H81" s="77">
        <f>SUM(기본데이타!AZ7,기본데이타!BA7)</f>
        <v>1725768</v>
      </c>
      <c r="I81" s="49"/>
      <c r="J81" s="44"/>
      <c r="L81" s="50"/>
      <c r="M81" s="50"/>
      <c r="N81" s="536"/>
      <c r="O81" s="231"/>
      <c r="P81" s="68"/>
      <c r="Q81" s="68"/>
    </row>
    <row r="82" spans="1:17" s="28" customFormat="1" ht="20.100000000000001" customHeight="1">
      <c r="A82" s="45"/>
      <c r="B82" s="65"/>
      <c r="C82" s="65"/>
      <c r="D82" s="40"/>
      <c r="E82" s="40"/>
      <c r="F82" s="40"/>
      <c r="G82" s="76" t="s">
        <v>476</v>
      </c>
      <c r="H82" s="77">
        <f>ROUND(D80,-6)-ROUND(H80,-6)-ROUND(H81,-6)</f>
        <v>67000000</v>
      </c>
      <c r="I82" s="40"/>
      <c r="J82" s="44"/>
      <c r="L82" s="50"/>
      <c r="M82" s="50"/>
      <c r="N82" s="536"/>
      <c r="O82" s="231"/>
      <c r="P82" s="68"/>
      <c r="Q82" s="68"/>
    </row>
    <row r="83" spans="1:17" s="28" customFormat="1" ht="20.100000000000001" customHeight="1">
      <c r="A83" s="45"/>
      <c r="B83" s="65"/>
      <c r="C83" s="65"/>
      <c r="D83" s="40"/>
      <c r="E83" s="40"/>
      <c r="F83" s="40"/>
      <c r="G83" s="76"/>
      <c r="H83" s="77"/>
      <c r="I83" s="40"/>
      <c r="J83" s="44"/>
      <c r="L83" s="50"/>
      <c r="M83" s="50"/>
      <c r="N83" s="536"/>
      <c r="O83" s="231"/>
      <c r="P83" s="68"/>
      <c r="Q83" s="68"/>
    </row>
    <row r="84" spans="1:17" s="28" customFormat="1" ht="20.100000000000001" customHeight="1">
      <c r="A84" s="45"/>
      <c r="B84" s="65"/>
      <c r="C84" s="65"/>
      <c r="D84" s="40"/>
      <c r="E84" s="40"/>
      <c r="F84" s="40"/>
      <c r="G84" s="76"/>
      <c r="H84" s="77"/>
      <c r="I84" s="40"/>
      <c r="J84" s="44"/>
      <c r="L84" s="50"/>
      <c r="M84" s="50"/>
      <c r="N84" s="536"/>
      <c r="O84" s="231"/>
      <c r="P84" s="68"/>
      <c r="Q84" s="68"/>
    </row>
    <row r="85" spans="1:17" s="28" customFormat="1" ht="20.100000000000001" customHeight="1">
      <c r="A85" s="45"/>
      <c r="B85" s="65"/>
      <c r="C85" s="65"/>
      <c r="D85" s="40"/>
      <c r="E85" s="40"/>
      <c r="F85" s="40"/>
      <c r="G85" s="76"/>
      <c r="H85" s="77"/>
      <c r="I85" s="40"/>
      <c r="J85" s="44"/>
      <c r="L85" s="50"/>
      <c r="M85" s="50"/>
      <c r="N85" s="536"/>
      <c r="O85" s="231"/>
      <c r="P85" s="68"/>
      <c r="Q85" s="68"/>
    </row>
    <row r="86" spans="1:17" ht="20.100000000000001" customHeight="1">
      <c r="A86" s="45" t="s">
        <v>49</v>
      </c>
      <c r="B86" s="65" t="s">
        <v>50</v>
      </c>
      <c r="C86" s="65"/>
      <c r="J86" s="44"/>
      <c r="L86" s="50"/>
      <c r="M86" s="50"/>
      <c r="N86" s="536"/>
      <c r="O86" s="231"/>
      <c r="P86" s="68"/>
      <c r="Q86" s="68"/>
    </row>
    <row r="87" spans="1:17" ht="20.100000000000001" customHeight="1">
      <c r="A87" s="45"/>
      <c r="B87" s="65" t="s">
        <v>51</v>
      </c>
      <c r="C87" s="65"/>
      <c r="J87" s="44"/>
      <c r="L87" s="50"/>
      <c r="M87" s="50"/>
      <c r="N87" s="536"/>
      <c r="O87" s="231"/>
      <c r="P87" s="68"/>
      <c r="Q87" s="68"/>
    </row>
    <row r="88" spans="1:17" ht="20.100000000000001" customHeight="1">
      <c r="A88" s="45"/>
      <c r="B88" s="72"/>
      <c r="C88" s="43"/>
      <c r="J88" s="44"/>
      <c r="L88" s="50"/>
      <c r="M88" s="50"/>
      <c r="N88" s="536"/>
      <c r="O88" s="231"/>
      <c r="P88" s="68"/>
      <c r="Q88" s="68"/>
    </row>
    <row r="89" spans="1:17" ht="20.100000000000001" customHeight="1">
      <c r="A89" s="45"/>
      <c r="B89" s="81"/>
      <c r="C89" s="43"/>
      <c r="J89" s="44"/>
      <c r="L89" s="50"/>
      <c r="M89" s="50"/>
      <c r="N89" s="536"/>
      <c r="O89" s="231"/>
      <c r="P89" s="68"/>
      <c r="Q89" s="68"/>
    </row>
    <row r="90" spans="1:17" ht="20.100000000000001" customHeight="1">
      <c r="A90" s="45" t="s">
        <v>52</v>
      </c>
      <c r="B90" s="72" t="s">
        <v>53</v>
      </c>
      <c r="C90" s="43"/>
      <c r="J90" s="44"/>
      <c r="L90" s="50"/>
      <c r="M90" s="50"/>
      <c r="N90" s="536"/>
      <c r="O90" s="231"/>
      <c r="P90" s="68"/>
      <c r="Q90" s="68"/>
    </row>
    <row r="91" spans="1:17" ht="20.100000000000001" customHeight="1">
      <c r="A91" s="82"/>
      <c r="B91" s="65" t="s">
        <v>51</v>
      </c>
      <c r="C91" s="83"/>
      <c r="F91" s="28"/>
      <c r="G91" s="28"/>
      <c r="H91" s="28"/>
      <c r="I91" s="28"/>
      <c r="J91" s="84"/>
      <c r="L91" s="54"/>
      <c r="M91" s="50"/>
      <c r="N91" s="536"/>
      <c r="O91" s="231"/>
      <c r="P91" s="68"/>
      <c r="Q91" s="68"/>
    </row>
    <row r="92" spans="1:17" ht="20.100000000000001" customHeight="1">
      <c r="A92" s="45"/>
      <c r="B92" s="65"/>
      <c r="C92" s="83"/>
      <c r="F92" s="28"/>
      <c r="G92" s="28"/>
      <c r="H92" s="28"/>
      <c r="I92" s="28"/>
      <c r="J92" s="84"/>
      <c r="L92" s="230"/>
      <c r="M92" s="230"/>
      <c r="N92" s="230"/>
      <c r="O92" s="231"/>
      <c r="P92" s="68"/>
      <c r="Q92" s="49"/>
    </row>
    <row r="93" spans="1:17" ht="20.100000000000001" customHeight="1">
      <c r="A93" s="45"/>
      <c r="B93" s="81"/>
      <c r="C93" s="43"/>
      <c r="J93" s="44"/>
      <c r="M93" s="223"/>
      <c r="N93" s="224"/>
    </row>
    <row r="94" spans="1:17" ht="20.100000000000001" customHeight="1">
      <c r="A94" s="45" t="s">
        <v>54</v>
      </c>
      <c r="B94" s="65" t="s">
        <v>55</v>
      </c>
      <c r="C94" s="65"/>
      <c r="J94" s="44"/>
      <c r="M94" s="223"/>
      <c r="N94" s="224"/>
    </row>
    <row r="95" spans="1:17" ht="20.100000000000001" customHeight="1">
      <c r="A95" s="45"/>
      <c r="B95" s="65"/>
      <c r="C95" s="65"/>
      <c r="J95" s="44"/>
      <c r="M95" s="223"/>
      <c r="N95" s="224"/>
    </row>
    <row r="96" spans="1:17" ht="20.100000000000001" customHeight="1">
      <c r="A96" s="45"/>
      <c r="B96" s="65"/>
      <c r="C96" s="65"/>
      <c r="J96" s="44"/>
      <c r="M96" s="223"/>
      <c r="N96" s="224"/>
    </row>
    <row r="97" spans="1:18" ht="20.100000000000001" customHeight="1">
      <c r="A97" s="45" t="s">
        <v>56</v>
      </c>
      <c r="B97" s="42" t="s">
        <v>477</v>
      </c>
      <c r="C97" s="43"/>
      <c r="D97" s="75"/>
      <c r="E97" s="75"/>
      <c r="F97" s="49"/>
      <c r="G97" s="76"/>
      <c r="H97" s="77"/>
      <c r="I97" s="77"/>
      <c r="J97" s="85"/>
      <c r="M97" s="223"/>
      <c r="N97" s="224"/>
      <c r="R97" s="1431" t="s">
        <v>468</v>
      </c>
    </row>
    <row r="98" spans="1:18" ht="20.100000000000001" customHeight="1">
      <c r="A98" s="41"/>
      <c r="B98" s="65"/>
      <c r="G98" s="76"/>
      <c r="H98" s="77"/>
      <c r="I98" s="77"/>
      <c r="J98" s="85"/>
      <c r="M98" s="223"/>
      <c r="N98" s="224"/>
    </row>
    <row r="99" spans="1:18" ht="19.5" customHeight="1">
      <c r="A99" s="45"/>
      <c r="B99" s="65"/>
      <c r="C99" s="65"/>
      <c r="H99" s="77"/>
      <c r="I99" s="77"/>
      <c r="J99" s="44"/>
      <c r="M99" s="223"/>
      <c r="N99" s="224"/>
    </row>
    <row r="100" spans="1:18" ht="20.100000000000001" customHeight="1">
      <c r="A100" s="45"/>
      <c r="B100" s="65"/>
      <c r="C100" s="65"/>
      <c r="H100" s="77"/>
      <c r="I100" s="77"/>
      <c r="J100" s="44"/>
      <c r="M100" s="223"/>
      <c r="N100" s="224"/>
    </row>
    <row r="101" spans="1:18" ht="20.100000000000001" customHeight="1">
      <c r="A101" s="45"/>
      <c r="B101" s="65"/>
      <c r="C101" s="65"/>
      <c r="H101" s="77"/>
      <c r="I101" s="77"/>
      <c r="J101" s="44"/>
      <c r="M101" s="223"/>
      <c r="N101" s="224"/>
    </row>
    <row r="102" spans="1:18" ht="20.100000000000001" customHeight="1">
      <c r="A102" s="45"/>
      <c r="B102" s="65"/>
      <c r="C102" s="65"/>
      <c r="J102" s="44"/>
      <c r="M102" s="223"/>
      <c r="N102" s="224"/>
    </row>
    <row r="103" spans="1:18" ht="20.100000000000001" customHeight="1">
      <c r="A103" s="45"/>
      <c r="B103" s="65"/>
      <c r="C103" s="65"/>
      <c r="J103" s="44"/>
      <c r="M103" s="223"/>
      <c r="N103" s="224"/>
    </row>
    <row r="104" spans="1:18" ht="20.100000000000001" customHeight="1">
      <c r="A104" s="45"/>
      <c r="B104" s="65"/>
      <c r="C104" s="65"/>
      <c r="J104" s="44"/>
      <c r="M104" s="46"/>
      <c r="N104" s="47"/>
    </row>
    <row r="105" spans="1:18" ht="20.100000000000001" customHeight="1">
      <c r="A105" s="45"/>
      <c r="B105" s="65"/>
      <c r="C105" s="65"/>
      <c r="J105" s="44"/>
      <c r="M105" s="46"/>
      <c r="N105" s="47"/>
    </row>
    <row r="106" spans="1:18" ht="20.100000000000001" customHeight="1">
      <c r="A106" s="45"/>
      <c r="B106" s="65"/>
      <c r="C106" s="65"/>
      <c r="J106" s="44"/>
      <c r="M106" s="46"/>
      <c r="N106" s="47"/>
    </row>
    <row r="107" spans="1:18" ht="20.100000000000001" customHeight="1">
      <c r="A107" s="45"/>
      <c r="B107" s="65"/>
      <c r="C107" s="65"/>
      <c r="J107" s="44"/>
      <c r="M107" s="46"/>
      <c r="N107" s="47"/>
    </row>
    <row r="108" spans="1:18" ht="20.100000000000001" customHeight="1">
      <c r="A108" s="45"/>
      <c r="B108" s="65"/>
      <c r="C108" s="65"/>
      <c r="J108" s="44"/>
      <c r="M108" s="46"/>
      <c r="N108" s="47"/>
    </row>
    <row r="109" spans="1:18" ht="20.100000000000001" customHeight="1">
      <c r="A109" s="45"/>
      <c r="B109" s="65"/>
      <c r="C109" s="65"/>
      <c r="J109" s="44"/>
      <c r="M109" s="46"/>
      <c r="N109" s="47"/>
    </row>
    <row r="110" spans="1:18" ht="20.100000000000001" customHeight="1">
      <c r="A110" s="45"/>
      <c r="B110" s="65"/>
      <c r="C110" s="65"/>
      <c r="J110" s="44"/>
      <c r="M110" s="46"/>
      <c r="N110" s="47"/>
    </row>
    <row r="111" spans="1:18" ht="20.100000000000001" customHeight="1">
      <c r="A111" s="45"/>
      <c r="B111" s="65"/>
      <c r="C111" s="65"/>
      <c r="J111" s="44"/>
      <c r="M111" s="46"/>
      <c r="N111" s="47"/>
    </row>
    <row r="112" spans="1:18" ht="20.100000000000001" customHeight="1">
      <c r="A112" s="45"/>
      <c r="B112" s="65"/>
      <c r="C112" s="65"/>
      <c r="J112" s="44"/>
      <c r="M112" s="46"/>
      <c r="N112" s="47"/>
    </row>
    <row r="113" spans="1:10" ht="20.100000000000001" customHeight="1">
      <c r="A113" s="45"/>
      <c r="B113" s="65"/>
      <c r="C113" s="65"/>
      <c r="J113" s="44"/>
    </row>
    <row r="114" spans="1:10" ht="20.100000000000001" customHeight="1">
      <c r="A114" s="45"/>
      <c r="B114" s="65"/>
      <c r="C114" s="65"/>
      <c r="J114" s="44"/>
    </row>
    <row r="115" spans="1:10" ht="20.100000000000001" customHeight="1">
      <c r="A115" s="45"/>
      <c r="B115" s="65"/>
      <c r="C115" s="65"/>
      <c r="J115" s="44"/>
    </row>
    <row r="116" spans="1:10" ht="20.100000000000001" customHeight="1">
      <c r="A116" s="45"/>
      <c r="B116" s="65"/>
      <c r="C116" s="65"/>
      <c r="J116" s="44"/>
    </row>
    <row r="117" spans="1:10" ht="20.100000000000001" customHeight="1">
      <c r="A117" s="45"/>
      <c r="B117" s="65"/>
      <c r="C117" s="65"/>
      <c r="J117" s="44"/>
    </row>
    <row r="118" spans="1:10" ht="20.100000000000001" customHeight="1">
      <c r="A118" s="45"/>
      <c r="B118" s="65"/>
      <c r="C118" s="65"/>
      <c r="J118" s="44"/>
    </row>
    <row r="119" spans="1:10" ht="20.100000000000001" customHeight="1">
      <c r="A119" s="45"/>
      <c r="B119" s="65"/>
      <c r="C119" s="65"/>
      <c r="J119" s="44"/>
    </row>
    <row r="120" spans="1:10" ht="20.100000000000001" customHeight="1">
      <c r="A120" s="45"/>
      <c r="B120" s="65"/>
      <c r="C120" s="65"/>
      <c r="J120" s="44"/>
    </row>
    <row r="121" spans="1:10" ht="20.100000000000001" customHeight="1">
      <c r="A121" s="45"/>
      <c r="B121" s="65"/>
      <c r="C121" s="65"/>
      <c r="J121" s="44"/>
    </row>
    <row r="122" spans="1:10" ht="20.100000000000001" customHeight="1">
      <c r="A122" s="45"/>
      <c r="B122" s="65"/>
      <c r="C122" s="65"/>
      <c r="H122" s="77"/>
      <c r="I122" s="77"/>
      <c r="J122" s="44"/>
    </row>
    <row r="123" spans="1:10" ht="20.100000000000001" customHeight="1">
      <c r="A123" s="45"/>
      <c r="B123" s="65"/>
      <c r="C123" s="65"/>
      <c r="J123" s="44"/>
    </row>
    <row r="124" spans="1:10" s="28" customFormat="1">
      <c r="A124" s="45"/>
      <c r="B124" s="65"/>
      <c r="C124" s="65"/>
      <c r="D124" s="40"/>
      <c r="E124" s="40"/>
      <c r="F124" s="40"/>
      <c r="G124" s="40"/>
      <c r="H124" s="40"/>
      <c r="I124" s="40"/>
      <c r="J124" s="44"/>
    </row>
    <row r="125" spans="1:10" s="28" customFormat="1">
      <c r="A125" s="45"/>
      <c r="B125" s="65"/>
      <c r="C125" s="65"/>
      <c r="D125" s="40"/>
      <c r="E125" s="40"/>
      <c r="F125" s="40"/>
      <c r="G125" s="40"/>
      <c r="H125" s="77"/>
      <c r="I125" s="77"/>
      <c r="J125" s="44"/>
    </row>
    <row r="126" spans="1:10">
      <c r="A126" s="45"/>
      <c r="B126" s="65"/>
      <c r="C126" s="65"/>
      <c r="J126" s="44"/>
    </row>
    <row r="127" spans="1:10">
      <c r="A127" s="45"/>
      <c r="B127" s="65"/>
      <c r="C127" s="65"/>
      <c r="J127" s="44"/>
    </row>
    <row r="128" spans="1:10">
      <c r="A128" s="45"/>
      <c r="B128" s="65"/>
      <c r="C128" s="65"/>
      <c r="J128" s="44"/>
    </row>
    <row r="129" spans="1:13" ht="12.75" thickBot="1">
      <c r="A129" s="78"/>
      <c r="B129" s="86"/>
      <c r="C129" s="86"/>
      <c r="D129" s="79"/>
      <c r="E129" s="79"/>
      <c r="F129" s="79"/>
      <c r="G129" s="79"/>
      <c r="H129" s="79"/>
      <c r="I129" s="79"/>
      <c r="J129" s="80"/>
    </row>
    <row r="130" spans="1:13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M130" s="49"/>
    </row>
    <row r="131" spans="1:13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M131" s="49"/>
    </row>
    <row r="132" spans="1:13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M132" s="49"/>
    </row>
    <row r="133" spans="1:13">
      <c r="M133" s="49"/>
    </row>
    <row r="158" spans="12:17">
      <c r="L158" s="28"/>
      <c r="M158" s="28"/>
      <c r="N158" s="28"/>
      <c r="O158" s="28"/>
      <c r="P158" s="28"/>
      <c r="Q158" s="28"/>
    </row>
    <row r="159" spans="12:17">
      <c r="L159" s="28"/>
      <c r="M159" s="28"/>
      <c r="N159" s="28"/>
      <c r="O159" s="28"/>
      <c r="P159" s="28"/>
      <c r="Q159" s="28"/>
    </row>
    <row r="160" spans="12:17">
      <c r="L160" s="28"/>
      <c r="M160" s="28"/>
      <c r="N160" s="28"/>
      <c r="O160" s="28"/>
      <c r="P160" s="28"/>
      <c r="Q160" s="28"/>
    </row>
  </sheetData>
  <mergeCells count="28">
    <mergeCell ref="B60:C62"/>
    <mergeCell ref="G14:H14"/>
    <mergeCell ref="D61:E61"/>
    <mergeCell ref="D60:E60"/>
    <mergeCell ref="G30:H30"/>
    <mergeCell ref="G32:I32"/>
    <mergeCell ref="D62:E62"/>
    <mergeCell ref="D50:E50"/>
    <mergeCell ref="D44:E44"/>
    <mergeCell ref="D48:E48"/>
    <mergeCell ref="D45:E45"/>
    <mergeCell ref="D46:E46"/>
    <mergeCell ref="D47:E47"/>
    <mergeCell ref="G10:H10"/>
    <mergeCell ref="G28:H28"/>
    <mergeCell ref="G16:H16"/>
    <mergeCell ref="G12:H12"/>
    <mergeCell ref="G18:H18"/>
    <mergeCell ref="G22:H22"/>
    <mergeCell ref="G20:H20"/>
    <mergeCell ref="G26:H26"/>
    <mergeCell ref="G24:H24"/>
    <mergeCell ref="D8:E8"/>
    <mergeCell ref="D41:E41"/>
    <mergeCell ref="D53:E53"/>
    <mergeCell ref="D43:E43"/>
    <mergeCell ref="D49:E49"/>
    <mergeCell ref="D42:E42"/>
  </mergeCells>
  <phoneticPr fontId="12" type="noConversion"/>
  <dataValidations disablePrompts="1" count="2">
    <dataValidation type="list" allowBlank="1" showInputMessage="1" showErrorMessage="1" sqref="M54:M58" xr:uid="{00000000-0002-0000-0400-000000000000}">
      <formula1>"가스버너,가스메타기,차단기,보정기,정압기,정압기박스,누설경보기,이상압력통보장치"</formula1>
    </dataValidation>
    <dataValidation type="list" allowBlank="1" showInputMessage="1" showErrorMessage="1" sqref="M53 M59 M62" xr:uid="{00000000-0002-0000-0400-000001000000}">
      <formula1>"기타,가스버너,가스메타기,차단기,보정기,정압기,정압기박스,누설경보기,이상압력통보장치"</formula1>
    </dataValidation>
  </dataValidations>
  <printOptions horizontalCentered="1" verticalCentered="1" gridLinesSet="0"/>
  <pageMargins left="0.39370078740157483" right="0.35433070866141736" top="0.35433070866141736" bottom="0.43307086614173229" header="0.31496062992125984" footer="0.19685039370078741"/>
  <pageSetup paperSize="9" scale="77" orientation="portrait" cellComments="asDisplayed" r:id="rId1"/>
  <headerFooter alignWithMargins="0">
    <oddFooter>&amp;R&amp;"굴림,보통"&amp;9신규투자계획서&amp;N 페이지 중 &amp;P페이지</oddFooter>
  </headerFooter>
  <rowBreaks count="1" manualBreakCount="1">
    <brk id="78" max="9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theme="2" tint="-0.249977111117893"/>
  </sheetPr>
  <dimension ref="A1:S54"/>
  <sheetViews>
    <sheetView showGridLines="0" topLeftCell="A10" zoomScale="85" zoomScaleNormal="85" workbookViewId="0">
      <selection activeCell="E32" sqref="E32"/>
    </sheetView>
  </sheetViews>
  <sheetFormatPr defaultRowHeight="18.75"/>
  <cols>
    <col min="1" max="1" width="9" style="108" customWidth="1"/>
    <col min="2" max="2" width="3.5546875" style="108" bestFit="1" customWidth="1"/>
    <col min="3" max="3" width="17.44140625" style="108" customWidth="1"/>
    <col min="4" max="4" width="1.33203125" style="108" customWidth="1"/>
    <col min="5" max="5" width="24.88671875" style="108" customWidth="1"/>
    <col min="6" max="6" width="24.33203125" style="108" customWidth="1"/>
    <col min="7" max="7" width="2.33203125" style="108" customWidth="1"/>
    <col min="8" max="8" width="5.77734375" style="90" customWidth="1"/>
    <col min="9" max="9" width="8.88671875" style="108"/>
    <col min="10" max="10" width="18.6640625" style="108" bestFit="1" customWidth="1"/>
    <col min="11" max="11" width="22.5546875" style="108" bestFit="1" customWidth="1"/>
    <col min="12" max="12" width="22.6640625" style="108" customWidth="1"/>
    <col min="13" max="13" width="15.6640625" style="108" bestFit="1" customWidth="1"/>
    <col min="14" max="14" width="8.88671875" style="108"/>
    <col min="15" max="15" width="20.33203125" style="108" bestFit="1" customWidth="1"/>
    <col min="16" max="16384" width="8.88671875" style="108"/>
  </cols>
  <sheetData>
    <row r="1" spans="1:8">
      <c r="E1" s="108" t="s">
        <v>301</v>
      </c>
    </row>
    <row r="3" spans="1:8" s="87" customFormat="1" ht="19.5" customHeight="1">
      <c r="A3" s="1879" t="s">
        <v>382</v>
      </c>
      <c r="B3" s="1879"/>
      <c r="C3" s="1879"/>
      <c r="D3" s="1879"/>
      <c r="E3" s="1879"/>
      <c r="F3" s="1879"/>
      <c r="G3" s="1879"/>
      <c r="H3" s="1879"/>
    </row>
    <row r="4" spans="1:8" s="88" customFormat="1" ht="18" customHeight="1">
      <c r="G4" s="89"/>
      <c r="H4" s="90"/>
    </row>
    <row r="5" spans="1:8" s="88" customFormat="1" ht="18" customHeight="1">
      <c r="G5" s="89"/>
      <c r="H5" s="90"/>
    </row>
    <row r="6" spans="1:8" s="88" customFormat="1" ht="18" customHeight="1">
      <c r="H6" s="90"/>
    </row>
    <row r="7" spans="1:8" s="88" customFormat="1" ht="18" customHeight="1">
      <c r="H7" s="90"/>
    </row>
    <row r="8" spans="1:8" s="88" customFormat="1" ht="18" customHeight="1">
      <c r="H8" s="90"/>
    </row>
    <row r="9" spans="1:8" s="88" customFormat="1" ht="18" customHeight="1">
      <c r="D9" s="88">
        <f>3142630950-3081150849+3142630950-1271852761+100000</f>
        <v>1932358290</v>
      </c>
      <c r="H9" s="90"/>
    </row>
    <row r="10" spans="1:8" s="88" customFormat="1" ht="18" customHeight="1">
      <c r="H10" s="90"/>
    </row>
    <row r="11" spans="1:8" s="88" customFormat="1" ht="18" customHeight="1">
      <c r="H11" s="90"/>
    </row>
    <row r="12" spans="1:8" s="88" customFormat="1" ht="18" customHeight="1">
      <c r="H12" s="90"/>
    </row>
    <row r="13" spans="1:8" s="88" customFormat="1" ht="18" customHeight="1">
      <c r="H13" s="90"/>
    </row>
    <row r="14" spans="1:8" s="88" customFormat="1" ht="18" customHeight="1">
      <c r="A14" s="91"/>
      <c r="B14" s="91"/>
      <c r="C14" s="91"/>
      <c r="D14" s="91"/>
      <c r="E14" s="91"/>
      <c r="F14" s="91"/>
      <c r="G14" s="91"/>
      <c r="H14" s="92"/>
    </row>
    <row r="15" spans="1:8" s="88" customFormat="1" ht="18" customHeight="1">
      <c r="A15" s="91"/>
      <c r="B15" s="91"/>
      <c r="C15" s="91"/>
      <c r="D15" s="91"/>
      <c r="E15" s="91"/>
      <c r="F15" s="93"/>
      <c r="G15" s="91"/>
      <c r="H15" s="92"/>
    </row>
    <row r="16" spans="1:8" s="88" customFormat="1" ht="18" customHeight="1">
      <c r="A16" s="91"/>
      <c r="B16" s="91"/>
      <c r="C16" s="91"/>
      <c r="D16" s="91"/>
      <c r="E16" s="91"/>
      <c r="F16" s="91" t="s">
        <v>520</v>
      </c>
      <c r="G16" s="93"/>
      <c r="H16" s="92"/>
    </row>
    <row r="17" spans="1:14" s="36" customFormat="1" ht="18.95" customHeight="1">
      <c r="A17" s="94" t="s">
        <v>60</v>
      </c>
      <c r="B17" s="95" t="s">
        <v>26</v>
      </c>
      <c r="C17" s="32" t="s">
        <v>500</v>
      </c>
      <c r="D17" s="32"/>
      <c r="E17" s="32" t="s">
        <v>301</v>
      </c>
      <c r="F17" s="32"/>
      <c r="G17" s="32"/>
      <c r="H17" s="92"/>
      <c r="J17" s="36">
        <v>1</v>
      </c>
      <c r="K17" s="1368">
        <v>67366000</v>
      </c>
    </row>
    <row r="18" spans="1:14" s="36" customFormat="1" ht="11.1" customHeight="1">
      <c r="A18" s="95"/>
      <c r="B18" s="32"/>
      <c r="C18" s="32"/>
      <c r="D18" s="32"/>
      <c r="E18" s="32"/>
      <c r="F18" s="32"/>
      <c r="G18" s="32"/>
      <c r="H18" s="92"/>
      <c r="J18" s="36">
        <v>2</v>
      </c>
      <c r="K18" s="1368">
        <v>222907000</v>
      </c>
      <c r="L18" s="1742"/>
    </row>
    <row r="19" spans="1:14" s="36" customFormat="1" ht="18.95" customHeight="1">
      <c r="A19" s="96" t="s">
        <v>61</v>
      </c>
      <c r="B19" s="95" t="s">
        <v>26</v>
      </c>
      <c r="C19" s="32" t="s">
        <v>470</v>
      </c>
      <c r="D19" s="32"/>
      <c r="E19" s="32"/>
      <c r="F19" s="32"/>
      <c r="G19" s="32"/>
      <c r="H19" s="92"/>
      <c r="J19" s="36">
        <v>3</v>
      </c>
      <c r="K19" s="1368">
        <v>2631473000</v>
      </c>
      <c r="L19" s="1742"/>
    </row>
    <row r="20" spans="1:14" s="36" customFormat="1" ht="11.1" customHeight="1">
      <c r="A20" s="96"/>
      <c r="B20" s="95"/>
      <c r="C20" s="32"/>
      <c r="D20" s="32"/>
      <c r="E20" s="32"/>
      <c r="F20" s="32"/>
      <c r="G20" s="32"/>
      <c r="H20" s="92"/>
      <c r="J20" s="36">
        <v>4</v>
      </c>
      <c r="K20" s="1368">
        <v>19077000</v>
      </c>
      <c r="L20" s="1742"/>
    </row>
    <row r="21" spans="1:14" s="36" customFormat="1" ht="18.95" customHeight="1">
      <c r="A21" s="96" t="s">
        <v>62</v>
      </c>
      <c r="B21" s="95" t="s">
        <v>26</v>
      </c>
      <c r="C21" s="32" t="s">
        <v>393</v>
      </c>
      <c r="D21" s="32"/>
      <c r="E21" s="32"/>
      <c r="F21" s="32"/>
      <c r="G21" s="32"/>
      <c r="H21" s="92"/>
      <c r="J21" s="36">
        <v>5</v>
      </c>
      <c r="K21" s="1674">
        <v>439232000</v>
      </c>
    </row>
    <row r="22" spans="1:14" s="36" customFormat="1" ht="11.1" customHeight="1">
      <c r="A22" s="32"/>
      <c r="B22" s="32"/>
      <c r="C22" s="32"/>
      <c r="D22" s="32"/>
      <c r="E22" s="32"/>
      <c r="F22" s="32"/>
      <c r="G22" s="32"/>
      <c r="H22" s="92"/>
      <c r="J22" s="36">
        <v>6</v>
      </c>
      <c r="K22" s="1008">
        <v>1126967000</v>
      </c>
      <c r="L22" s="1742"/>
    </row>
    <row r="23" spans="1:14" s="36" customFormat="1" ht="18.95" customHeight="1">
      <c r="A23" s="32"/>
      <c r="B23" s="97" t="s">
        <v>24</v>
      </c>
      <c r="C23" s="94" t="s">
        <v>67</v>
      </c>
      <c r="D23" s="96" t="s">
        <v>26</v>
      </c>
      <c r="E23" s="96" t="s">
        <v>237</v>
      </c>
      <c r="F23" s="32"/>
      <c r="G23" s="32"/>
      <c r="H23" s="92"/>
      <c r="J23" s="36">
        <v>7</v>
      </c>
      <c r="K23" s="1008">
        <v>188979000</v>
      </c>
      <c r="L23" s="1742">
        <v>4696001000</v>
      </c>
    </row>
    <row r="24" spans="1:14" s="36" customFormat="1" ht="11.1" customHeight="1">
      <c r="A24" s="32"/>
      <c r="B24" s="98"/>
      <c r="C24" s="96"/>
      <c r="D24" s="96"/>
      <c r="E24" s="96"/>
      <c r="F24" s="32"/>
      <c r="G24" s="32"/>
      <c r="H24" s="92"/>
      <c r="J24" s="36">
        <v>8</v>
      </c>
      <c r="K24" s="1008">
        <v>428872000</v>
      </c>
      <c r="L24" s="1742">
        <v>428872000</v>
      </c>
    </row>
    <row r="25" spans="1:14" s="36" customFormat="1" ht="18.95" customHeight="1">
      <c r="A25" s="32"/>
      <c r="B25" s="97" t="s">
        <v>27</v>
      </c>
      <c r="C25" s="94" t="s">
        <v>28</v>
      </c>
      <c r="D25" s="96" t="s">
        <v>26</v>
      </c>
      <c r="E25" s="1878">
        <v>9</v>
      </c>
      <c r="F25" s="1878"/>
      <c r="G25" s="32"/>
      <c r="H25" s="92"/>
      <c r="J25" s="36">
        <v>9</v>
      </c>
      <c r="K25" s="1008">
        <v>69443000</v>
      </c>
      <c r="L25" s="1742">
        <v>69443000</v>
      </c>
    </row>
    <row r="26" spans="1:14" s="36" customFormat="1" ht="11.1" customHeight="1">
      <c r="A26" s="32"/>
      <c r="B26" s="98"/>
      <c r="C26" s="96"/>
      <c r="D26" s="96"/>
      <c r="E26" s="96"/>
      <c r="F26" s="32"/>
      <c r="G26" s="32"/>
      <c r="H26" s="92"/>
      <c r="J26" s="36">
        <v>10</v>
      </c>
      <c r="K26" s="1008"/>
      <c r="L26" s="1008"/>
    </row>
    <row r="27" spans="1:14" s="36" customFormat="1" ht="18.95" customHeight="1">
      <c r="A27" s="32"/>
      <c r="B27" s="97" t="s">
        <v>29</v>
      </c>
      <c r="C27" s="94" t="s">
        <v>63</v>
      </c>
      <c r="D27" s="96" t="s">
        <v>26</v>
      </c>
      <c r="E27" s="99" t="str">
        <f>"신규 관로공사(총 "&amp;COUNTIF(기본데이타!A8:A103,"&gt;0")&amp;" 건) 및 시설투자(총 "&amp;COUNTIF(기본데이타!I8:I103,"&gt;0")&amp;" 건)"</f>
        <v>신규 관로공사(총 2 건) 및 시설투자(총 0 건)</v>
      </c>
      <c r="F27" s="32"/>
      <c r="G27" s="32"/>
      <c r="H27" s="92"/>
      <c r="J27" s="36">
        <v>11</v>
      </c>
      <c r="K27" s="1008"/>
      <c r="L27" s="1008"/>
    </row>
    <row r="28" spans="1:14" s="36" customFormat="1" ht="11.1" customHeight="1">
      <c r="A28" s="32"/>
      <c r="B28" s="97"/>
      <c r="C28" s="100"/>
      <c r="D28" s="100"/>
      <c r="E28" s="101"/>
      <c r="F28" s="101"/>
      <c r="G28" s="32"/>
      <c r="H28" s="92"/>
      <c r="J28" s="36">
        <v>12</v>
      </c>
      <c r="K28" s="1008"/>
    </row>
    <row r="29" spans="1:14" s="36" customFormat="1" ht="18.95" customHeight="1">
      <c r="A29" s="32"/>
      <c r="B29" s="102" t="s">
        <v>33</v>
      </c>
      <c r="C29" s="94" t="s">
        <v>64</v>
      </c>
      <c r="D29" s="96" t="s">
        <v>26</v>
      </c>
      <c r="E29" s="1000" t="s">
        <v>527</v>
      </c>
      <c r="F29" s="103"/>
      <c r="G29" s="32"/>
      <c r="H29" s="92"/>
      <c r="J29" s="36">
        <v>13</v>
      </c>
      <c r="K29" s="1008"/>
      <c r="L29" s="1008"/>
    </row>
    <row r="30" spans="1:14" s="36" customFormat="1" ht="18.95" customHeight="1">
      <c r="A30" s="32"/>
      <c r="B30" s="102"/>
      <c r="C30" s="94"/>
      <c r="D30" s="96"/>
      <c r="E30" s="1000" t="s">
        <v>521</v>
      </c>
      <c r="F30" s="103"/>
      <c r="G30" s="32"/>
      <c r="H30" s="92"/>
      <c r="J30" s="36">
        <v>14</v>
      </c>
      <c r="K30" s="1008"/>
      <c r="L30" s="1008"/>
    </row>
    <row r="31" spans="1:14" s="36" customFormat="1" ht="18.95" customHeight="1">
      <c r="A31" s="32"/>
      <c r="B31" s="102"/>
      <c r="C31" s="94"/>
      <c r="D31" s="96"/>
      <c r="E31" s="1000" t="s">
        <v>528</v>
      </c>
      <c r="F31" s="103"/>
      <c r="G31" s="32"/>
      <c r="H31" s="92"/>
      <c r="J31" s="36">
        <v>15</v>
      </c>
      <c r="K31" s="1008"/>
      <c r="L31" s="1535"/>
      <c r="N31" s="36" t="s">
        <v>466</v>
      </c>
    </row>
    <row r="32" spans="1:14" s="36" customFormat="1" ht="18.95" customHeight="1">
      <c r="A32" s="32"/>
      <c r="B32" s="102"/>
      <c r="C32" s="94"/>
      <c r="D32" s="96"/>
      <c r="E32" s="1000" t="str">
        <f xml:space="preserve"> "         "&amp;"계  :  "&amp;TEXT(요약보고!H62,"###,0")&amp;"원"</f>
        <v xml:space="preserve">         계  :  5,194,316,000원</v>
      </c>
      <c r="F32" s="103"/>
      <c r="G32" s="32"/>
      <c r="H32" s="92"/>
      <c r="J32" s="36">
        <v>16</v>
      </c>
      <c r="K32" s="1008"/>
      <c r="L32" s="1008"/>
    </row>
    <row r="33" spans="1:19" s="36" customFormat="1" ht="18.95" customHeight="1">
      <c r="A33" s="32"/>
      <c r="B33" s="102"/>
      <c r="C33" s="1733" t="s">
        <v>503</v>
      </c>
      <c r="D33" s="1734"/>
      <c r="E33" s="1735"/>
      <c r="F33" s="1736"/>
      <c r="G33" s="32"/>
      <c r="H33" s="92"/>
      <c r="J33" s="36">
        <v>17</v>
      </c>
      <c r="K33" s="1714">
        <f>SUM(K17:K32)</f>
        <v>5194316000</v>
      </c>
      <c r="L33" s="1535">
        <v>290273000</v>
      </c>
    </row>
    <row r="34" spans="1:19" s="36" customFormat="1" ht="18.95" customHeight="1">
      <c r="A34" s="32"/>
      <c r="F34" s="103"/>
      <c r="G34" s="32"/>
      <c r="H34" s="92"/>
      <c r="J34" s="36">
        <v>18</v>
      </c>
      <c r="K34" s="1714"/>
      <c r="L34" s="1535"/>
    </row>
    <row r="35" spans="1:19" s="36" customFormat="1" ht="18.95" customHeight="1">
      <c r="A35" s="32"/>
      <c r="B35" s="102" t="s">
        <v>37</v>
      </c>
      <c r="C35" s="94" t="s">
        <v>65</v>
      </c>
      <c r="D35" s="96" t="s">
        <v>26</v>
      </c>
      <c r="E35" s="1000" t="s">
        <v>316</v>
      </c>
      <c r="F35" s="103"/>
      <c r="G35" s="32"/>
      <c r="H35" s="92"/>
      <c r="I35" s="1054"/>
      <c r="J35" s="1054">
        <v>19</v>
      </c>
      <c r="K35" s="1006"/>
    </row>
    <row r="36" spans="1:19" s="36" customFormat="1" ht="18.95" customHeight="1">
      <c r="A36" s="32"/>
      <c r="B36" s="102"/>
      <c r="C36" s="94"/>
      <c r="D36" s="96"/>
      <c r="E36" s="1000"/>
      <c r="F36" s="103"/>
      <c r="G36" s="32"/>
      <c r="H36" s="92"/>
      <c r="I36" s="1054"/>
      <c r="J36" s="1054">
        <v>20</v>
      </c>
      <c r="K36" s="1688"/>
      <c r="L36" s="1535"/>
    </row>
    <row r="37" spans="1:19" s="36" customFormat="1" ht="18.95" hidden="1" customHeight="1">
      <c r="A37" s="32"/>
      <c r="B37" s="102"/>
      <c r="C37" s="32"/>
      <c r="D37" s="1001"/>
      <c r="E37" s="32"/>
      <c r="F37" s="103"/>
      <c r="G37" s="32"/>
      <c r="H37" s="92"/>
      <c r="J37" s="1008"/>
      <c r="K37" s="1007"/>
      <c r="O37" s="1368"/>
    </row>
    <row r="38" spans="1:19" s="36" customFormat="1" ht="17.25" customHeight="1">
      <c r="A38" s="96" t="s">
        <v>66</v>
      </c>
      <c r="B38" s="32" t="s">
        <v>214</v>
      </c>
      <c r="C38" s="32"/>
      <c r="D38" s="32"/>
      <c r="E38" s="32"/>
      <c r="F38" s="101"/>
      <c r="G38" s="32"/>
      <c r="H38" s="92"/>
      <c r="J38" s="1008"/>
      <c r="K38" s="1007"/>
      <c r="L38" s="1535"/>
    </row>
    <row r="39" spans="1:19" s="104" customFormat="1" ht="16.5" customHeight="1">
      <c r="A39" s="32"/>
      <c r="B39" s="32" t="s">
        <v>213</v>
      </c>
      <c r="C39" s="32"/>
      <c r="D39" s="32"/>
      <c r="E39" s="32"/>
      <c r="F39" s="32"/>
      <c r="G39" s="32"/>
      <c r="H39" s="92"/>
      <c r="J39" s="1008"/>
      <c r="K39" s="36"/>
    </row>
    <row r="40" spans="1:19" s="104" customFormat="1" ht="16.5" customHeight="1">
      <c r="A40" s="32"/>
      <c r="B40" s="32" t="s">
        <v>212</v>
      </c>
      <c r="C40" s="32"/>
      <c r="D40" s="32"/>
      <c r="E40" s="32"/>
      <c r="F40" s="32"/>
      <c r="G40" s="32"/>
      <c r="H40" s="92"/>
      <c r="J40" s="1008"/>
      <c r="O40" s="1877"/>
      <c r="P40" s="1877"/>
      <c r="Q40" s="1877"/>
      <c r="R40" s="1877"/>
      <c r="S40" s="1877"/>
    </row>
    <row r="41" spans="1:19" s="87" customFormat="1" ht="18.95" customHeight="1">
      <c r="A41" s="96"/>
      <c r="B41" s="1877" t="s">
        <v>211</v>
      </c>
      <c r="C41" s="1877"/>
      <c r="D41" s="1877"/>
      <c r="E41" s="1877"/>
      <c r="F41" s="1877"/>
      <c r="G41" s="32"/>
      <c r="H41" s="92"/>
      <c r="J41" s="36"/>
      <c r="K41" s="104"/>
    </row>
    <row r="42" spans="1:19" s="87" customFormat="1" ht="18.95" customHeight="1">
      <c r="A42" s="96"/>
      <c r="B42" s="99"/>
      <c r="C42" s="105"/>
      <c r="D42" s="105"/>
      <c r="E42" s="105"/>
      <c r="F42" s="32"/>
      <c r="G42" s="32"/>
      <c r="H42" s="92"/>
      <c r="J42" s="104"/>
    </row>
    <row r="43" spans="1:19" s="88" customFormat="1">
      <c r="A43" s="91"/>
      <c r="B43" s="91"/>
      <c r="C43" s="91"/>
      <c r="D43" s="91"/>
      <c r="E43" s="93"/>
      <c r="F43" s="106"/>
      <c r="G43" s="91"/>
      <c r="H43" s="92"/>
      <c r="J43" s="104"/>
      <c r="K43" s="87"/>
    </row>
    <row r="44" spans="1:19" s="36" customFormat="1" ht="26.25" customHeight="1">
      <c r="A44" s="1882" t="s">
        <v>471</v>
      </c>
      <c r="B44" s="1882"/>
      <c r="C44" s="1882"/>
      <c r="D44" s="1882"/>
      <c r="E44" s="1882"/>
      <c r="F44" s="1882"/>
      <c r="G44" s="1882"/>
      <c r="H44" s="1882"/>
      <c r="J44" s="87"/>
      <c r="K44" s="88"/>
    </row>
    <row r="45" spans="1:19" s="88" customFormat="1" ht="7.5" customHeight="1">
      <c r="A45" s="91"/>
      <c r="B45" s="91"/>
      <c r="C45" s="91"/>
      <c r="D45" s="91"/>
      <c r="E45" s="93"/>
      <c r="F45" s="1349"/>
      <c r="G45" s="91"/>
      <c r="H45" s="92"/>
      <c r="J45" s="87"/>
      <c r="K45" s="36"/>
    </row>
    <row r="46" spans="1:19" s="107" customFormat="1">
      <c r="H46" s="90"/>
      <c r="J46" s="88"/>
      <c r="K46" s="1370"/>
    </row>
    <row r="47" spans="1:19" ht="18.75" customHeight="1">
      <c r="A47" s="1880" t="s">
        <v>394</v>
      </c>
      <c r="B47" s="1881"/>
      <c r="C47" s="1881"/>
      <c r="D47" s="1881"/>
      <c r="E47" s="1881"/>
      <c r="F47" s="1881"/>
      <c r="G47" s="1881"/>
      <c r="H47" s="1881"/>
      <c r="J47" s="36"/>
      <c r="K47" s="107"/>
    </row>
    <row r="48" spans="1:19">
      <c r="J48" s="88"/>
    </row>
    <row r="49" spans="10:11">
      <c r="J49" s="107"/>
    </row>
    <row r="51" spans="10:11">
      <c r="K51" s="1362"/>
    </row>
    <row r="52" spans="10:11">
      <c r="K52" s="1362"/>
    </row>
    <row r="53" spans="10:11">
      <c r="K53" s="1008"/>
    </row>
    <row r="54" spans="10:11">
      <c r="K54" s="1362"/>
    </row>
  </sheetData>
  <mergeCells count="6">
    <mergeCell ref="B41:F41"/>
    <mergeCell ref="E25:F25"/>
    <mergeCell ref="A3:H3"/>
    <mergeCell ref="A47:H47"/>
    <mergeCell ref="O40:S40"/>
    <mergeCell ref="A44:H44"/>
  </mergeCells>
  <phoneticPr fontId="25" type="noConversion"/>
  <printOptions horizontalCentered="1" gridLinesSet="0"/>
  <pageMargins left="0.51181102362204722" right="0.51181102362204722" top="0.74803149606299213" bottom="0.39370078740157483" header="0.27559055118110237" footer="0.51181102362204722"/>
  <pageSetup paperSize="9" scale="90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5122" r:id="rId4">
          <objectPr defaultSize="0" autoPict="0" r:id="rId5">
            <anchor moveWithCells="1" sizeWithCells="1">
              <from>
                <xdr:col>0</xdr:col>
                <xdr:colOff>57150</xdr:colOff>
                <xdr:row>0</xdr:row>
                <xdr:rowOff>66675</xdr:rowOff>
              </from>
              <to>
                <xdr:col>2</xdr:col>
                <xdr:colOff>0</xdr:colOff>
                <xdr:row>3</xdr:row>
                <xdr:rowOff>57150</xdr:rowOff>
              </to>
            </anchor>
          </objectPr>
        </oleObject>
      </mc:Choice>
      <mc:Fallback>
        <oleObject progId="PBrush" shapeId="5122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2" tint="-0.249977111117893"/>
    <pageSetUpPr fitToPage="1"/>
  </sheetPr>
  <dimension ref="A1:BW39"/>
  <sheetViews>
    <sheetView showGridLines="0" zoomScale="55" zoomScaleNormal="55" workbookViewId="0">
      <selection activeCell="AH35" sqref="AH35"/>
    </sheetView>
  </sheetViews>
  <sheetFormatPr defaultRowHeight="22.5"/>
  <cols>
    <col min="1" max="1" width="8.88671875" style="568"/>
    <col min="2" max="2" width="2.21875" style="568" customWidth="1"/>
    <col min="3" max="3" width="9.44140625" style="568" customWidth="1"/>
    <col min="4" max="4" width="16.77734375" style="568" customWidth="1"/>
    <col min="5" max="5" width="13.6640625" style="570" bestFit="1" customWidth="1"/>
    <col min="6" max="6" width="22.33203125" style="568" customWidth="1"/>
    <col min="7" max="7" width="16.77734375" style="568" customWidth="1"/>
    <col min="8" max="8" width="20.77734375" style="568" customWidth="1"/>
    <col min="9" max="9" width="11.6640625" style="568" hidden="1" customWidth="1"/>
    <col min="10" max="10" width="10.21875" style="568" hidden="1" customWidth="1"/>
    <col min="11" max="11" width="6.33203125" style="568" hidden="1" customWidth="1"/>
    <col min="12" max="12" width="9.88671875" style="568" hidden="1" customWidth="1"/>
    <col min="13" max="13" width="6.33203125" style="568" hidden="1" customWidth="1"/>
    <col min="14" max="14" width="8.33203125" style="568" hidden="1" customWidth="1"/>
    <col min="15" max="15" width="5.77734375" style="568" hidden="1" customWidth="1"/>
    <col min="16" max="16" width="7.44140625" style="568" hidden="1" customWidth="1"/>
    <col min="17" max="17" width="6.88671875" style="568" hidden="1" customWidth="1"/>
    <col min="18" max="18" width="14.77734375" style="568" hidden="1" customWidth="1"/>
    <col min="19" max="19" width="5.77734375" style="568" hidden="1" customWidth="1"/>
    <col min="20" max="20" width="13.6640625" style="568" hidden="1" customWidth="1"/>
    <col min="21" max="21" width="5.77734375" style="568" hidden="1" customWidth="1"/>
    <col min="22" max="22" width="12.88671875" style="568" hidden="1" customWidth="1"/>
    <col min="23" max="23" width="5.77734375" style="568" hidden="1" customWidth="1"/>
    <col min="24" max="24" width="12.88671875" style="568" hidden="1" customWidth="1"/>
    <col min="25" max="25" width="11.6640625" style="568" hidden="1" customWidth="1"/>
    <col min="26" max="26" width="5.77734375" style="568" hidden="1" customWidth="1"/>
    <col min="27" max="27" width="13.6640625" style="568" hidden="1" customWidth="1"/>
    <col min="28" max="28" width="5.77734375" style="568" hidden="1" customWidth="1"/>
    <col min="29" max="29" width="13.6640625" style="568" hidden="1" customWidth="1"/>
    <col min="30" max="30" width="5.77734375" style="568" hidden="1" customWidth="1"/>
    <col min="31" max="31" width="13.6640625" style="568" hidden="1" customWidth="1"/>
    <col min="32" max="32" width="5.77734375" style="568" hidden="1" customWidth="1"/>
    <col min="33" max="33" width="13.6640625" style="568" hidden="1" customWidth="1"/>
    <col min="34" max="34" width="11" style="568" customWidth="1"/>
    <col min="35" max="45" width="12.77734375" style="571" hidden="1" customWidth="1"/>
    <col min="46" max="46" width="12.77734375" style="571" customWidth="1"/>
    <col min="47" max="47" width="20.77734375" style="568" customWidth="1"/>
    <col min="48" max="48" width="21.33203125" style="568" customWidth="1"/>
    <col min="49" max="49" width="18.77734375" style="568" customWidth="1"/>
    <col min="50" max="50" width="22.33203125" style="568" customWidth="1"/>
    <col min="51" max="51" width="21" style="568" customWidth="1"/>
    <col min="52" max="52" width="15.44140625" style="568" hidden="1" customWidth="1"/>
    <col min="53" max="53" width="18.77734375" style="568" hidden="1" customWidth="1"/>
    <col min="54" max="54" width="14" style="568" hidden="1" customWidth="1"/>
    <col min="55" max="55" width="16.33203125" style="568" hidden="1" customWidth="1"/>
    <col min="56" max="56" width="18.77734375" style="568" hidden="1" customWidth="1"/>
    <col min="57" max="58" width="14.6640625" style="568" hidden="1" customWidth="1"/>
    <col min="59" max="63" width="30.21875" style="568" hidden="1" customWidth="1"/>
    <col min="64" max="64" width="20.33203125" style="568" customWidth="1"/>
    <col min="65" max="66" width="24.88671875" style="568" customWidth="1"/>
    <col min="67" max="67" width="20.77734375" style="568" customWidth="1"/>
    <col min="68" max="68" width="21.44140625" style="568" hidden="1" customWidth="1"/>
    <col min="69" max="69" width="23.88671875" style="568" bestFit="1" customWidth="1"/>
    <col min="70" max="71" width="14.33203125" style="568" customWidth="1"/>
    <col min="72" max="72" width="9" style="568" customWidth="1"/>
    <col min="73" max="73" width="8.88671875" style="568"/>
    <col min="74" max="74" width="13.6640625" style="568" customWidth="1"/>
    <col min="75" max="75" width="17.109375" style="568" customWidth="1"/>
    <col min="76" max="16384" width="8.88671875" style="568"/>
  </cols>
  <sheetData>
    <row r="1" spans="1:75" ht="39.950000000000003" customHeight="1">
      <c r="C1" s="569"/>
    </row>
    <row r="2" spans="1:75" ht="60" customHeight="1">
      <c r="C2" s="572" t="s">
        <v>215</v>
      </c>
      <c r="D2" s="573"/>
      <c r="E2" s="574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3"/>
      <c r="AD2" s="573"/>
      <c r="AE2" s="573"/>
      <c r="AF2" s="573"/>
      <c r="AG2" s="573"/>
      <c r="AH2" s="573"/>
      <c r="AI2" s="575"/>
      <c r="AJ2" s="575"/>
      <c r="AK2" s="575"/>
      <c r="AL2" s="575"/>
      <c r="AM2" s="575"/>
      <c r="AN2" s="575"/>
      <c r="AO2" s="575"/>
      <c r="AP2" s="575"/>
      <c r="AQ2" s="575"/>
      <c r="AR2" s="575"/>
      <c r="AS2" s="575"/>
      <c r="AT2" s="575"/>
      <c r="AU2" s="573"/>
      <c r="AV2" s="573"/>
      <c r="AW2" s="573"/>
      <c r="AX2" s="573"/>
      <c r="AY2" s="573"/>
      <c r="AZ2" s="573"/>
      <c r="BA2" s="573"/>
      <c r="BB2" s="573"/>
      <c r="BC2" s="573"/>
      <c r="BD2" s="573"/>
      <c r="BE2" s="573"/>
      <c r="BF2" s="573"/>
      <c r="BG2" s="573"/>
      <c r="BH2" s="573"/>
      <c r="BI2" s="573"/>
      <c r="BJ2" s="573"/>
      <c r="BK2" s="573"/>
      <c r="BL2" s="573"/>
      <c r="BM2" s="573"/>
      <c r="BN2" s="573"/>
      <c r="BO2" s="573"/>
      <c r="BP2" s="573"/>
      <c r="BQ2" s="573"/>
      <c r="BR2" s="573"/>
      <c r="BS2" s="573"/>
      <c r="BT2" s="573"/>
    </row>
    <row r="3" spans="1:75" ht="39.950000000000003" customHeight="1" thickBot="1">
      <c r="BL3" s="576"/>
      <c r="BO3" s="577"/>
      <c r="BP3" s="577"/>
    </row>
    <row r="4" spans="1:75" ht="50.25" customHeight="1">
      <c r="C4" s="1989" t="s">
        <v>231</v>
      </c>
      <c r="D4" s="1990"/>
      <c r="E4" s="753"/>
      <c r="F4" s="754" t="s">
        <v>99</v>
      </c>
      <c r="G4" s="755"/>
      <c r="H4" s="756"/>
      <c r="I4" s="757" t="s">
        <v>272</v>
      </c>
      <c r="J4" s="757"/>
      <c r="K4" s="757"/>
      <c r="L4" s="757"/>
      <c r="M4" s="757"/>
      <c r="N4" s="757"/>
      <c r="O4" s="757"/>
      <c r="P4" s="757"/>
      <c r="Q4" s="757" t="s">
        <v>275</v>
      </c>
      <c r="R4" s="757"/>
      <c r="S4" s="757"/>
      <c r="T4" s="757"/>
      <c r="U4" s="757"/>
      <c r="V4" s="757"/>
      <c r="W4" s="757"/>
      <c r="X4" s="757"/>
      <c r="Y4" s="757"/>
      <c r="Z4" s="2001" t="s">
        <v>276</v>
      </c>
      <c r="AA4" s="2002"/>
      <c r="AB4" s="2001" t="s">
        <v>417</v>
      </c>
      <c r="AC4" s="2002"/>
      <c r="AD4" s="2001" t="s">
        <v>429</v>
      </c>
      <c r="AE4" s="2002"/>
      <c r="AF4" s="2001" t="s">
        <v>444</v>
      </c>
      <c r="AG4" s="2002"/>
      <c r="AH4" s="1995" t="s">
        <v>148</v>
      </c>
      <c r="AI4" s="757" t="s">
        <v>135</v>
      </c>
      <c r="AJ4" s="757"/>
      <c r="AK4" s="757"/>
      <c r="AL4" s="757"/>
      <c r="AM4" s="757"/>
      <c r="AN4" s="757"/>
      <c r="AO4" s="757"/>
      <c r="AP4" s="757"/>
      <c r="AQ4" s="757"/>
      <c r="AR4" s="757"/>
      <c r="AS4" s="757"/>
      <c r="AT4" s="1995" t="s">
        <v>147</v>
      </c>
      <c r="AU4" s="2004" t="s">
        <v>2</v>
      </c>
      <c r="AV4" s="2005"/>
      <c r="AW4" s="2005"/>
      <c r="AX4" s="2006"/>
      <c r="AY4" s="2013" t="s">
        <v>227</v>
      </c>
      <c r="AZ4" s="757" t="s">
        <v>277</v>
      </c>
      <c r="BA4" s="757"/>
      <c r="BB4" s="757"/>
      <c r="BC4" s="757"/>
      <c r="BD4" s="757"/>
      <c r="BE4" s="757"/>
      <c r="BF4" s="757"/>
      <c r="BG4" s="757"/>
      <c r="BH4" s="757"/>
      <c r="BI4" s="757"/>
      <c r="BJ4" s="757"/>
      <c r="BK4" s="757"/>
      <c r="BL4" s="758" t="s">
        <v>130</v>
      </c>
      <c r="BM4" s="759" t="s">
        <v>73</v>
      </c>
      <c r="BN4" s="759" t="s">
        <v>74</v>
      </c>
      <c r="BO4" s="759" t="s">
        <v>74</v>
      </c>
      <c r="BP4" s="1986" t="s">
        <v>123</v>
      </c>
      <c r="BQ4" s="1987"/>
      <c r="BR4" s="1987"/>
      <c r="BS4" s="1988"/>
      <c r="BT4" s="1998" t="s">
        <v>76</v>
      </c>
    </row>
    <row r="5" spans="1:75" ht="50.25" customHeight="1">
      <c r="C5" s="1991"/>
      <c r="D5" s="1992"/>
      <c r="E5" s="760" t="s">
        <v>77</v>
      </c>
      <c r="F5" s="802" t="s">
        <v>100</v>
      </c>
      <c r="G5" s="761" t="s">
        <v>1</v>
      </c>
      <c r="H5" s="761" t="s">
        <v>98</v>
      </c>
      <c r="I5" s="1621" t="s">
        <v>78</v>
      </c>
      <c r="J5" s="1622"/>
      <c r="K5" s="1621" t="s">
        <v>79</v>
      </c>
      <c r="L5" s="1622"/>
      <c r="M5" s="1621" t="s">
        <v>80</v>
      </c>
      <c r="N5" s="1622"/>
      <c r="O5" s="1621" t="s">
        <v>81</v>
      </c>
      <c r="P5" s="1622"/>
      <c r="Q5" s="1621" t="s">
        <v>11</v>
      </c>
      <c r="R5" s="1622"/>
      <c r="S5" s="1621" t="s">
        <v>12</v>
      </c>
      <c r="T5" s="1622"/>
      <c r="U5" s="1622" t="s">
        <v>273</v>
      </c>
      <c r="V5" s="1622"/>
      <c r="W5" s="1622" t="s">
        <v>250</v>
      </c>
      <c r="X5" s="1622"/>
      <c r="Y5" s="1622"/>
      <c r="Z5" s="2003"/>
      <c r="AA5" s="2003"/>
      <c r="AB5" s="2003"/>
      <c r="AC5" s="2003"/>
      <c r="AD5" s="2003"/>
      <c r="AE5" s="2003"/>
      <c r="AF5" s="2003"/>
      <c r="AG5" s="2003"/>
      <c r="AH5" s="1996"/>
      <c r="AI5" s="2010" t="s">
        <v>134</v>
      </c>
      <c r="AJ5" s="2011"/>
      <c r="AK5" s="2012"/>
      <c r="AL5" s="2010" t="s">
        <v>146</v>
      </c>
      <c r="AM5" s="2011"/>
      <c r="AN5" s="2011"/>
      <c r="AO5" s="2011"/>
      <c r="AP5" s="2011"/>
      <c r="AQ5" s="2011"/>
      <c r="AR5" s="2011"/>
      <c r="AS5" s="2012"/>
      <c r="AT5" s="1996"/>
      <c r="AU5" s="2007"/>
      <c r="AV5" s="2008"/>
      <c r="AW5" s="2008"/>
      <c r="AX5" s="2009"/>
      <c r="AY5" s="2014"/>
      <c r="AZ5" s="1623" t="s">
        <v>84</v>
      </c>
      <c r="BA5" s="1624"/>
      <c r="BB5" s="1624"/>
      <c r="BC5" s="1623" t="s">
        <v>85</v>
      </c>
      <c r="BD5" s="1624"/>
      <c r="BE5" s="1624"/>
      <c r="BF5" s="1624"/>
      <c r="BG5" s="1624"/>
      <c r="BH5" s="2016" t="s">
        <v>86</v>
      </c>
      <c r="BI5" s="2016" t="s">
        <v>423</v>
      </c>
      <c r="BJ5" s="2016" t="s">
        <v>445</v>
      </c>
      <c r="BK5" s="1984" t="s">
        <v>426</v>
      </c>
      <c r="BL5" s="762" t="s">
        <v>96</v>
      </c>
      <c r="BM5" s="802" t="s">
        <v>88</v>
      </c>
      <c r="BN5" s="802" t="s">
        <v>89</v>
      </c>
      <c r="BO5" s="802" t="s">
        <v>90</v>
      </c>
      <c r="BP5" s="802" t="s">
        <v>279</v>
      </c>
      <c r="BQ5" s="802" t="s">
        <v>92</v>
      </c>
      <c r="BR5" s="802" t="s">
        <v>93</v>
      </c>
      <c r="BS5" s="802" t="s">
        <v>120</v>
      </c>
      <c r="BT5" s="1999"/>
    </row>
    <row r="6" spans="1:75" ht="50.25" customHeight="1">
      <c r="C6" s="1993"/>
      <c r="D6" s="1994"/>
      <c r="E6" s="763" t="s">
        <v>14</v>
      </c>
      <c r="F6" s="766" t="s">
        <v>13</v>
      </c>
      <c r="G6" s="764"/>
      <c r="H6" s="764"/>
      <c r="I6" s="1625" t="s">
        <v>5</v>
      </c>
      <c r="J6" s="1625" t="s">
        <v>6</v>
      </c>
      <c r="K6" s="1625" t="s">
        <v>5</v>
      </c>
      <c r="L6" s="1685" t="s">
        <v>6</v>
      </c>
      <c r="M6" s="1625" t="s">
        <v>5</v>
      </c>
      <c r="N6" s="1685" t="s">
        <v>6</v>
      </c>
      <c r="O6" s="1625" t="s">
        <v>4</v>
      </c>
      <c r="P6" s="1685" t="s">
        <v>7</v>
      </c>
      <c r="Q6" s="1625" t="s">
        <v>4</v>
      </c>
      <c r="R6" s="1685" t="s">
        <v>7</v>
      </c>
      <c r="S6" s="1625" t="s">
        <v>4</v>
      </c>
      <c r="T6" s="1685" t="s">
        <v>7</v>
      </c>
      <c r="U6" s="1625" t="s">
        <v>4</v>
      </c>
      <c r="V6" s="1626" t="s">
        <v>9</v>
      </c>
      <c r="W6" s="1625" t="s">
        <v>4</v>
      </c>
      <c r="X6" s="1626" t="s">
        <v>252</v>
      </c>
      <c r="Y6" s="1626" t="s">
        <v>274</v>
      </c>
      <c r="Z6" s="1625" t="s">
        <v>4</v>
      </c>
      <c r="AA6" s="1685" t="s">
        <v>7</v>
      </c>
      <c r="AB6" s="1625" t="s">
        <v>4</v>
      </c>
      <c r="AC6" s="1685" t="s">
        <v>7</v>
      </c>
      <c r="AD6" s="1625" t="s">
        <v>4</v>
      </c>
      <c r="AE6" s="1685" t="s">
        <v>7</v>
      </c>
      <c r="AF6" s="1625" t="s">
        <v>4</v>
      </c>
      <c r="AG6" s="1685" t="s">
        <v>7</v>
      </c>
      <c r="AH6" s="1997"/>
      <c r="AI6" s="1685" t="s">
        <v>137</v>
      </c>
      <c r="AJ6" s="1685" t="s">
        <v>138</v>
      </c>
      <c r="AK6" s="1685" t="s">
        <v>139</v>
      </c>
      <c r="AL6" s="1685" t="s">
        <v>140</v>
      </c>
      <c r="AM6" s="1626" t="s">
        <v>141</v>
      </c>
      <c r="AN6" s="1626" t="s">
        <v>142</v>
      </c>
      <c r="AO6" s="1626" t="s">
        <v>143</v>
      </c>
      <c r="AP6" s="1626" t="s">
        <v>114</v>
      </c>
      <c r="AQ6" s="1626" t="s">
        <v>398</v>
      </c>
      <c r="AR6" s="1626" t="s">
        <v>399</v>
      </c>
      <c r="AS6" s="1627" t="s">
        <v>400</v>
      </c>
      <c r="AT6" s="1997"/>
      <c r="AU6" s="1685" t="s">
        <v>115</v>
      </c>
      <c r="AV6" s="1685" t="s">
        <v>116</v>
      </c>
      <c r="AW6" s="1685" t="s">
        <v>117</v>
      </c>
      <c r="AX6" s="1685" t="s">
        <v>118</v>
      </c>
      <c r="AY6" s="2015"/>
      <c r="AZ6" s="1686" t="s">
        <v>68</v>
      </c>
      <c r="BA6" s="1686" t="s">
        <v>15</v>
      </c>
      <c r="BB6" s="1628" t="s">
        <v>16</v>
      </c>
      <c r="BC6" s="1629" t="s">
        <v>69</v>
      </c>
      <c r="BD6" s="1626" t="s">
        <v>70</v>
      </c>
      <c r="BE6" s="1626" t="s">
        <v>71</v>
      </c>
      <c r="BF6" s="1626" t="s">
        <v>254</v>
      </c>
      <c r="BG6" s="1626" t="s">
        <v>278</v>
      </c>
      <c r="BH6" s="1997"/>
      <c r="BI6" s="1997"/>
      <c r="BJ6" s="1997"/>
      <c r="BK6" s="1985"/>
      <c r="BL6" s="765" t="s">
        <v>281</v>
      </c>
      <c r="BM6" s="766" t="s">
        <v>17</v>
      </c>
      <c r="BN6" s="766" t="s">
        <v>8</v>
      </c>
      <c r="BO6" s="766" t="s">
        <v>8</v>
      </c>
      <c r="BP6" s="766" t="s">
        <v>280</v>
      </c>
      <c r="BQ6" s="766" t="s">
        <v>13</v>
      </c>
      <c r="BR6" s="766" t="s">
        <v>19</v>
      </c>
      <c r="BS6" s="766" t="s">
        <v>284</v>
      </c>
      <c r="BT6" s="2000"/>
    </row>
    <row r="7" spans="1:75" s="569" customFormat="1" ht="57.75" customHeight="1">
      <c r="C7" s="767">
        <f>SUM(C8:C39)</f>
        <v>2</v>
      </c>
      <c r="D7" s="1630" t="s">
        <v>230</v>
      </c>
      <c r="E7" s="1631">
        <f t="shared" ref="E7:O7" si="0">SUM(E8:E39)</f>
        <v>59</v>
      </c>
      <c r="F7" s="1632">
        <f t="shared" si="0"/>
        <v>69443000</v>
      </c>
      <c r="G7" s="1632">
        <f t="shared" si="0"/>
        <v>0</v>
      </c>
      <c r="H7" s="1632">
        <f t="shared" si="0"/>
        <v>69443000</v>
      </c>
      <c r="I7" s="1633">
        <f t="shared" si="0"/>
        <v>0</v>
      </c>
      <c r="J7" s="1633">
        <f t="shared" si="0"/>
        <v>450</v>
      </c>
      <c r="K7" s="1633">
        <f t="shared" si="0"/>
        <v>0</v>
      </c>
      <c r="L7" s="1634">
        <f t="shared" si="0"/>
        <v>0</v>
      </c>
      <c r="M7" s="1633">
        <f t="shared" si="0"/>
        <v>0</v>
      </c>
      <c r="N7" s="1634">
        <f t="shared" si="0"/>
        <v>0</v>
      </c>
      <c r="O7" s="1633">
        <f t="shared" si="0"/>
        <v>0</v>
      </c>
      <c r="P7" s="1634">
        <f>IF(O7=0,0,SUM(P8:P39))</f>
        <v>0</v>
      </c>
      <c r="Q7" s="1633">
        <f>SUM(Q8:Q39)</f>
        <v>0</v>
      </c>
      <c r="R7" s="1635">
        <f>SUM(R8:R39)</f>
        <v>0</v>
      </c>
      <c r="S7" s="1633">
        <f>SUM(S8:S39)</f>
        <v>0</v>
      </c>
      <c r="T7" s="1634">
        <f>IF(S7=0,0,SUM(T8:T39))</f>
        <v>0</v>
      </c>
      <c r="U7" s="1633">
        <f>SUM(U8:U39)</f>
        <v>0</v>
      </c>
      <c r="V7" s="1636">
        <f>IF(U7=0,0,SUM(V8:V39))</f>
        <v>0</v>
      </c>
      <c r="W7" s="1636"/>
      <c r="X7" s="1636"/>
      <c r="Y7" s="1636">
        <f>IF(U7=0,0,SUM(Y8:Y39))</f>
        <v>0</v>
      </c>
      <c r="Z7" s="1633">
        <f>SUM(Z8:Z39)</f>
        <v>0</v>
      </c>
      <c r="AA7" s="1634">
        <f>IF(Z7=0,0,SUM(AA8:AA39))</f>
        <v>0</v>
      </c>
      <c r="AB7" s="1633">
        <f>SUM(AB8:AB39)</f>
        <v>0</v>
      </c>
      <c r="AC7" s="1634">
        <f>IF(AB7=0,0,SUM(AC8:AC39))</f>
        <v>0</v>
      </c>
      <c r="AD7" s="1633">
        <f>SUM(AD8:AD39)</f>
        <v>0</v>
      </c>
      <c r="AE7" s="1634">
        <f>IF(AD7=0,0,SUM(AE8:AE39))</f>
        <v>0</v>
      </c>
      <c r="AF7" s="1633">
        <f>SUM(AF8:AF39)</f>
        <v>0</v>
      </c>
      <c r="AG7" s="1634">
        <f>IF(AF7=0,0,SUM(AG8:AG39))</f>
        <v>0</v>
      </c>
      <c r="AH7" s="1634">
        <f t="shared" ref="AH7:BE7" si="1">SUM(AH8:AH39)</f>
        <v>450</v>
      </c>
      <c r="AI7" s="1637">
        <f t="shared" si="1"/>
        <v>0</v>
      </c>
      <c r="AJ7" s="1637">
        <f t="shared" si="1"/>
        <v>1908</v>
      </c>
      <c r="AK7" s="1637">
        <f t="shared" si="1"/>
        <v>0</v>
      </c>
      <c r="AL7" s="1637">
        <f t="shared" si="1"/>
        <v>0</v>
      </c>
      <c r="AM7" s="1637">
        <f t="shared" si="1"/>
        <v>0</v>
      </c>
      <c r="AN7" s="1637">
        <f t="shared" si="1"/>
        <v>0</v>
      </c>
      <c r="AO7" s="1637">
        <f t="shared" si="1"/>
        <v>0</v>
      </c>
      <c r="AP7" s="1637">
        <f t="shared" si="1"/>
        <v>0</v>
      </c>
      <c r="AQ7" s="1637">
        <f t="shared" ref="AQ7:AR7" si="2">SUM(AQ8:AQ39)</f>
        <v>0</v>
      </c>
      <c r="AR7" s="1637">
        <f t="shared" si="2"/>
        <v>0</v>
      </c>
      <c r="AS7" s="1637">
        <f t="shared" ref="AS7" si="3">SUM(AS8:AS39)</f>
        <v>0</v>
      </c>
      <c r="AT7" s="1634">
        <f t="shared" si="1"/>
        <v>1908</v>
      </c>
      <c r="AU7" s="1634">
        <f t="shared" si="1"/>
        <v>45005400</v>
      </c>
      <c r="AV7" s="1634">
        <f t="shared" si="1"/>
        <v>0</v>
      </c>
      <c r="AW7" s="1634">
        <f t="shared" si="1"/>
        <v>89208</v>
      </c>
      <c r="AX7" s="1634">
        <f t="shared" si="1"/>
        <v>45094608</v>
      </c>
      <c r="AY7" s="1634">
        <f t="shared" si="1"/>
        <v>-43368840</v>
      </c>
      <c r="AZ7" s="1638">
        <f t="shared" si="1"/>
        <v>0</v>
      </c>
      <c r="BA7" s="1634">
        <f t="shared" si="1"/>
        <v>11782800</v>
      </c>
      <c r="BB7" s="1634">
        <f t="shared" si="1"/>
        <v>0</v>
      </c>
      <c r="BC7" s="1639">
        <f t="shared" si="1"/>
        <v>0</v>
      </c>
      <c r="BD7" s="1636">
        <f t="shared" si="1"/>
        <v>0</v>
      </c>
      <c r="BE7" s="1636">
        <f t="shared" si="1"/>
        <v>0</v>
      </c>
      <c r="BF7" s="1636"/>
      <c r="BG7" s="1634">
        <f t="shared" ref="BG7:BO7" si="4">SUM(BG8:BG39)</f>
        <v>0</v>
      </c>
      <c r="BH7" s="1634">
        <f t="shared" si="4"/>
        <v>0</v>
      </c>
      <c r="BI7" s="1634">
        <f t="shared" ref="BI7:BJ7" si="5">SUM(BI8:BI39)</f>
        <v>0</v>
      </c>
      <c r="BJ7" s="1634">
        <f t="shared" si="5"/>
        <v>0</v>
      </c>
      <c r="BK7" s="1634">
        <f t="shared" ref="BK7" si="6">SUM(BK8:BK39)</f>
        <v>0</v>
      </c>
      <c r="BL7" s="1635">
        <f t="shared" si="4"/>
        <v>11782800</v>
      </c>
      <c r="BM7" s="768">
        <f t="shared" si="4"/>
        <v>278499439</v>
      </c>
      <c r="BN7" s="768">
        <f t="shared" si="4"/>
        <v>245665488</v>
      </c>
      <c r="BO7" s="768">
        <f t="shared" si="4"/>
        <v>32833951</v>
      </c>
      <c r="BP7" s="768">
        <f>[5]총괄!$D$47</f>
        <v>4</v>
      </c>
      <c r="BQ7" s="1760">
        <f>[11]총괄!$D$45</f>
        <v>336399580.65493071</v>
      </c>
      <c r="BR7" s="1759">
        <f>[11]총괄!$D$46</f>
        <v>80.658150909601218</v>
      </c>
      <c r="BS7" s="1758">
        <f>[11]총괄!$F$39</f>
        <v>5962.5</v>
      </c>
      <c r="BT7" s="769"/>
      <c r="BV7" s="676"/>
      <c r="BW7" s="676"/>
    </row>
    <row r="8" spans="1:75" s="678" customFormat="1" ht="39.950000000000003" hidden="1" customHeight="1">
      <c r="A8" s="677"/>
      <c r="C8" s="679"/>
      <c r="D8" s="680"/>
      <c r="E8" s="681"/>
      <c r="F8" s="682"/>
      <c r="G8" s="682"/>
      <c r="H8" s="682"/>
      <c r="I8" s="683"/>
      <c r="J8" s="683"/>
      <c r="K8" s="683"/>
      <c r="L8" s="684"/>
      <c r="M8" s="683"/>
      <c r="N8" s="684"/>
      <c r="O8" s="684"/>
      <c r="P8" s="684"/>
      <c r="Q8" s="684"/>
      <c r="R8" s="684"/>
      <c r="S8" s="684"/>
      <c r="T8" s="684"/>
      <c r="U8" s="684"/>
      <c r="V8" s="684"/>
      <c r="W8" s="684"/>
      <c r="X8" s="684"/>
      <c r="Y8" s="684"/>
      <c r="Z8" s="684"/>
      <c r="AA8" s="683"/>
      <c r="AB8" s="684"/>
      <c r="AC8" s="683"/>
      <c r="AD8" s="684"/>
      <c r="AE8" s="683"/>
      <c r="AF8" s="684"/>
      <c r="AG8" s="683"/>
      <c r="AH8" s="685"/>
      <c r="AI8" s="1640"/>
      <c r="AJ8" s="1640"/>
      <c r="AK8" s="1640"/>
      <c r="AL8" s="1640"/>
      <c r="AM8" s="1640"/>
      <c r="AN8" s="1640"/>
      <c r="AO8" s="1640"/>
      <c r="AP8" s="1640"/>
      <c r="AQ8" s="1640"/>
      <c r="AR8" s="1640"/>
      <c r="AS8" s="1640"/>
      <c r="AT8" s="1640"/>
      <c r="AU8" s="684"/>
      <c r="AV8" s="684"/>
      <c r="AW8" s="684"/>
      <c r="AX8" s="684"/>
      <c r="AY8" s="686"/>
      <c r="AZ8" s="687"/>
      <c r="BA8" s="685"/>
      <c r="BB8" s="685"/>
      <c r="BC8" s="685"/>
      <c r="BD8" s="685"/>
      <c r="BE8" s="685"/>
      <c r="BF8" s="685"/>
      <c r="BG8" s="685"/>
      <c r="BH8" s="685"/>
      <c r="BI8" s="685"/>
      <c r="BJ8" s="685"/>
      <c r="BK8" s="685"/>
      <c r="BL8" s="1168"/>
      <c r="BM8" s="685"/>
      <c r="BN8" s="685"/>
      <c r="BO8" s="685"/>
      <c r="BP8" s="685"/>
      <c r="BQ8" s="688"/>
      <c r="BR8" s="689"/>
      <c r="BS8" s="690"/>
      <c r="BT8" s="691"/>
    </row>
    <row r="9" spans="1:75" s="569" customFormat="1" ht="73.5" hidden="1" customHeight="1">
      <c r="A9" s="677"/>
      <c r="C9" s="770">
        <f>공공택지!C7</f>
        <v>0</v>
      </c>
      <c r="D9" s="771" t="s">
        <v>161</v>
      </c>
      <c r="E9" s="772">
        <f>IF($C9="","",공공택지!D$7)</f>
        <v>0</v>
      </c>
      <c r="F9" s="772">
        <f>IF($C9="","",공공택지!E$7)</f>
        <v>0</v>
      </c>
      <c r="G9" s="772">
        <f>IF($C9="","",공공택지!F$7)</f>
        <v>0</v>
      </c>
      <c r="H9" s="772">
        <f>IF($C9="","",공공택지!G$7)</f>
        <v>0</v>
      </c>
      <c r="I9" s="772">
        <f>IF($C9="","",공공택지!H$7)</f>
        <v>0</v>
      </c>
      <c r="J9" s="772">
        <f>IF($C9="","",공공택지!I$7)</f>
        <v>0</v>
      </c>
      <c r="K9" s="772">
        <f>IF($C9="","",공공택지!J$7)</f>
        <v>0</v>
      </c>
      <c r="L9" s="772">
        <f>IF($C9="","",공공택지!K$7)</f>
        <v>0</v>
      </c>
      <c r="M9" s="772">
        <f>IF($C9="","",공공택지!L$7)</f>
        <v>0</v>
      </c>
      <c r="N9" s="772">
        <f>IF($C9="","",공공택지!M$7)</f>
        <v>0</v>
      </c>
      <c r="O9" s="772">
        <f>IF($C9="","",공공택지!N$7)</f>
        <v>0</v>
      </c>
      <c r="P9" s="772">
        <f>IF($C9="","",공공택지!O$7)</f>
        <v>0</v>
      </c>
      <c r="Q9" s="772">
        <f>IF($C9="","",공공택지!P$7)</f>
        <v>0</v>
      </c>
      <c r="R9" s="772">
        <f>IF($C9="","",공공택지!Q$7)</f>
        <v>0</v>
      </c>
      <c r="S9" s="772">
        <f>IF($C9="","",공공택지!R$7)</f>
        <v>0</v>
      </c>
      <c r="T9" s="772">
        <f>IF($C9="","",공공택지!S$7)</f>
        <v>0</v>
      </c>
      <c r="U9" s="772">
        <f>IF($C9="","",공공택지!T$7)</f>
        <v>0</v>
      </c>
      <c r="V9" s="772">
        <f>IF($C9="","",공공택지!U$7)</f>
        <v>0</v>
      </c>
      <c r="W9" s="772">
        <f>IF($C9="","",공공택지!V$7)</f>
        <v>0</v>
      </c>
      <c r="X9" s="772">
        <f>IF($C9="","",공공택지!W$7)</f>
        <v>0</v>
      </c>
      <c r="Y9" s="772">
        <f>IF($C9="","",공공택지!X$7)</f>
        <v>0</v>
      </c>
      <c r="Z9" s="772">
        <f>IF($C9="","",공공택지!Y$7)</f>
        <v>0</v>
      </c>
      <c r="AA9" s="772">
        <f>IF($C9="","",공공택지!Z$7)</f>
        <v>0</v>
      </c>
      <c r="AB9" s="772">
        <f>IF($C9="","",공공택지!AA$7)</f>
        <v>0</v>
      </c>
      <c r="AC9" s="772">
        <f>IF($C9="","",공공택지!AB$7)</f>
        <v>0</v>
      </c>
      <c r="AD9" s="772">
        <f>IF($C9="","",공공택지!AC$7)</f>
        <v>0</v>
      </c>
      <c r="AE9" s="772">
        <f>IF($C9="","",공공택지!AD$7)</f>
        <v>0</v>
      </c>
      <c r="AF9" s="772">
        <f>IF($C9="","",공공택지!AE$7)</f>
        <v>0</v>
      </c>
      <c r="AG9" s="772">
        <f>IF($C9="","",공공택지!AF$7)</f>
        <v>0</v>
      </c>
      <c r="AH9" s="772">
        <f>IF($C9="","",공공택지!AG$7)</f>
        <v>0</v>
      </c>
      <c r="AI9" s="772">
        <f>IF($C9="","",공공택지!AH$7)</f>
        <v>0</v>
      </c>
      <c r="AJ9" s="772">
        <f>IF($C9="","",공공택지!AI$7)</f>
        <v>0</v>
      </c>
      <c r="AK9" s="772">
        <f>IF($C9="","",공공택지!AJ$7)</f>
        <v>0</v>
      </c>
      <c r="AL9" s="772">
        <f>IF($C9="","",공공택지!AK$7)</f>
        <v>0</v>
      </c>
      <c r="AM9" s="772">
        <f>IF($C9="","",공공택지!AL$7)</f>
        <v>0</v>
      </c>
      <c r="AN9" s="772">
        <f>IF($C9="","",공공택지!AM$7)</f>
        <v>0</v>
      </c>
      <c r="AO9" s="772">
        <f>IF($C9="","",공공택지!AN$7)</f>
        <v>0</v>
      </c>
      <c r="AP9" s="772">
        <f>IF($C9="","",공공택지!AO$7)</f>
        <v>0</v>
      </c>
      <c r="AQ9" s="772">
        <f>IF($C9="","",공공택지!AP$7)</f>
        <v>0</v>
      </c>
      <c r="AR9" s="772">
        <f>IF($C9="","",공공택지!AQ$7)</f>
        <v>0</v>
      </c>
      <c r="AS9" s="772">
        <f>IF($C9="","",공공택지!AR$7)</f>
        <v>0</v>
      </c>
      <c r="AT9" s="772">
        <f>IF($C9="","",공공택지!AS$7)</f>
        <v>0</v>
      </c>
      <c r="AU9" s="772">
        <f>IF($C9="","",공공택지!AT$7)</f>
        <v>0</v>
      </c>
      <c r="AV9" s="772">
        <f>IF($C9="","",공공택지!AU$7)</f>
        <v>0</v>
      </c>
      <c r="AW9" s="772">
        <f>IF($C9="","",공공택지!AV$7)</f>
        <v>0</v>
      </c>
      <c r="AX9" s="772">
        <f>IF($C9="","",공공택지!AW$7)</f>
        <v>0</v>
      </c>
      <c r="AY9" s="772">
        <f>IF($C9="","",공공택지!AX$7)</f>
        <v>0</v>
      </c>
      <c r="AZ9" s="772">
        <f>IF($C9="","",공공택지!AY$7)</f>
        <v>0</v>
      </c>
      <c r="BA9" s="772">
        <f>IF($C9="","",공공택지!AZ$7)</f>
        <v>0</v>
      </c>
      <c r="BB9" s="772">
        <f>IF($C9="","",공공택지!BA$7)</f>
        <v>0</v>
      </c>
      <c r="BC9" s="772">
        <f>IF($C9="","",공공택지!BB$7)</f>
        <v>0</v>
      </c>
      <c r="BD9" s="772">
        <f>IF($C9="","",공공택지!BC$7)</f>
        <v>0</v>
      </c>
      <c r="BE9" s="772">
        <f>IF($C9="","",공공택지!BD$7)</f>
        <v>0</v>
      </c>
      <c r="BF9" s="772">
        <f>IF($C9="","",공공택지!BE$7)</f>
        <v>0</v>
      </c>
      <c r="BG9" s="772">
        <f>IF($C9="","",공공택지!BF$7)</f>
        <v>0</v>
      </c>
      <c r="BH9" s="772">
        <f>IF($C9="","",공공택지!BG$7)</f>
        <v>0</v>
      </c>
      <c r="BI9" s="772">
        <f>IF($C9="","",공공택지!BH$7)</f>
        <v>0</v>
      </c>
      <c r="BJ9" s="772">
        <f>IF($C9="","",공공택지!BI$7)</f>
        <v>0</v>
      </c>
      <c r="BK9" s="772">
        <f>IF($C9="","",공공택지!BJ$7)</f>
        <v>0</v>
      </c>
      <c r="BL9" s="1169">
        <f>IF($C9="","",공공택지!BK$7)</f>
        <v>0</v>
      </c>
      <c r="BM9" s="772">
        <f>IF($C9="","",공공택지!BL$7)</f>
        <v>0</v>
      </c>
      <c r="BN9" s="772">
        <f>IF($C9="","",공공택지!BM$7)</f>
        <v>0</v>
      </c>
      <c r="BO9" s="772">
        <f>IF($C9="","",공공택지!BN$7)</f>
        <v>0</v>
      </c>
      <c r="BP9" s="772">
        <f>IF($C9="","",공공택지!BO$7)</f>
        <v>31</v>
      </c>
      <c r="BQ9" s="809">
        <f>IF($C9="","",공공택지!BP$7)</f>
        <v>0</v>
      </c>
      <c r="BR9" s="998" t="str">
        <f>IF($C9="","",공공택지!BQ$7)</f>
        <v>한도초과</v>
      </c>
      <c r="BS9" s="812" t="e">
        <f>IF($C9="","",공공택지!BR$7)</f>
        <v>#DIV/0!</v>
      </c>
      <c r="BT9" s="773"/>
    </row>
    <row r="10" spans="1:75" s="569" customFormat="1" ht="39.950000000000003" hidden="1" customHeight="1">
      <c r="A10" s="677"/>
      <c r="C10" s="692"/>
      <c r="D10" s="693"/>
      <c r="E10" s="694"/>
      <c r="F10" s="695"/>
      <c r="G10" s="695"/>
      <c r="H10" s="695"/>
      <c r="I10" s="696"/>
      <c r="J10" s="696"/>
      <c r="K10" s="696"/>
      <c r="L10" s="697"/>
      <c r="M10" s="696"/>
      <c r="N10" s="697"/>
      <c r="O10" s="697"/>
      <c r="P10" s="697"/>
      <c r="Q10" s="697"/>
      <c r="R10" s="697"/>
      <c r="S10" s="697"/>
      <c r="T10" s="697"/>
      <c r="U10" s="697"/>
      <c r="V10" s="697"/>
      <c r="W10" s="697"/>
      <c r="X10" s="697"/>
      <c r="Y10" s="697"/>
      <c r="Z10" s="697"/>
      <c r="AA10" s="696"/>
      <c r="AB10" s="697"/>
      <c r="AC10" s="696"/>
      <c r="AD10" s="697"/>
      <c r="AE10" s="696"/>
      <c r="AF10" s="697"/>
      <c r="AG10" s="696"/>
      <c r="AH10" s="698"/>
      <c r="AI10" s="699"/>
      <c r="AJ10" s="699"/>
      <c r="AK10" s="699"/>
      <c r="AL10" s="699"/>
      <c r="AM10" s="699"/>
      <c r="AN10" s="699"/>
      <c r="AO10" s="699"/>
      <c r="AP10" s="699"/>
      <c r="AQ10" s="699"/>
      <c r="AR10" s="699"/>
      <c r="AS10" s="699"/>
      <c r="AT10" s="699"/>
      <c r="AU10" s="697"/>
      <c r="AV10" s="697"/>
      <c r="AW10" s="697"/>
      <c r="AX10" s="697"/>
      <c r="AY10" s="700"/>
      <c r="AZ10" s="701"/>
      <c r="BA10" s="698"/>
      <c r="BB10" s="698"/>
      <c r="BC10" s="698"/>
      <c r="BD10" s="698"/>
      <c r="BE10" s="698"/>
      <c r="BF10" s="698"/>
      <c r="BG10" s="698"/>
      <c r="BH10" s="698"/>
      <c r="BI10" s="698"/>
      <c r="BJ10" s="698"/>
      <c r="BK10" s="698"/>
      <c r="BL10" s="698"/>
      <c r="BM10" s="698"/>
      <c r="BN10" s="698"/>
      <c r="BO10" s="698"/>
      <c r="BP10" s="698"/>
      <c r="BQ10" s="702"/>
      <c r="BR10" s="703"/>
      <c r="BS10" s="704"/>
      <c r="BT10" s="705"/>
      <c r="BV10" s="676"/>
    </row>
    <row r="11" spans="1:75" s="569" customFormat="1" ht="73.5" customHeight="1">
      <c r="A11" s="677"/>
      <c r="C11" s="770">
        <f>공동주택!C7</f>
        <v>1</v>
      </c>
      <c r="D11" s="771" t="s">
        <v>124</v>
      </c>
      <c r="E11" s="772">
        <f>IF($C11="","",공동주택!D$7)</f>
        <v>8</v>
      </c>
      <c r="F11" s="772">
        <f>IF($C11="","",공동주택!E7)</f>
        <v>33889000</v>
      </c>
      <c r="G11" s="772">
        <f>IF($C11="","",공동주택!F7)</f>
        <v>0</v>
      </c>
      <c r="H11" s="772">
        <f>IF($C11="","",공동주택!G7)</f>
        <v>33889000</v>
      </c>
      <c r="I11" s="772">
        <f>IF($C11="","",공동주택!H7)</f>
        <v>0</v>
      </c>
      <c r="J11" s="772">
        <f>IF($C11="","",공동주택!I7)</f>
        <v>450</v>
      </c>
      <c r="K11" s="772">
        <f>IF($C11="","",공동주택!J7)</f>
        <v>0</v>
      </c>
      <c r="L11" s="772">
        <f>IF($C11="","",공동주택!K7)</f>
        <v>0</v>
      </c>
      <c r="M11" s="772">
        <f>IF($C11="","",공동주택!L7)</f>
        <v>0</v>
      </c>
      <c r="N11" s="772">
        <f>IF($C11="","",공동주택!M7)</f>
        <v>0</v>
      </c>
      <c r="O11" s="772">
        <f>IF($C11="","",공동주택!N7)</f>
        <v>0</v>
      </c>
      <c r="P11" s="772">
        <f>IF($C11="","",공동주택!O7)</f>
        <v>0</v>
      </c>
      <c r="Q11" s="772">
        <f>IF($C11="","",공동주택!P7)</f>
        <v>0</v>
      </c>
      <c r="R11" s="772">
        <f>IF($C11="","",공동주택!Q7)</f>
        <v>0</v>
      </c>
      <c r="S11" s="772">
        <f>IF($C11="","",공동주택!R7)</f>
        <v>0</v>
      </c>
      <c r="T11" s="772">
        <f>IF($C11="","",공동주택!S7)</f>
        <v>0</v>
      </c>
      <c r="U11" s="772">
        <f>IF($C11="","",공동주택!T7)</f>
        <v>0</v>
      </c>
      <c r="V11" s="772">
        <f>IF($C11="","",공동주택!U7)</f>
        <v>0</v>
      </c>
      <c r="W11" s="772">
        <f>IF($C11="","",공동주택!V7)</f>
        <v>0</v>
      </c>
      <c r="X11" s="772">
        <f>IF($C11="","",공동주택!W7)</f>
        <v>0</v>
      </c>
      <c r="Y11" s="772">
        <f>IF($C11="","",공동주택!X7)</f>
        <v>0</v>
      </c>
      <c r="Z11" s="772">
        <f>IF($C11="","",공동주택!Y7)</f>
        <v>0</v>
      </c>
      <c r="AA11" s="772">
        <f>IF($C11="","",공동주택!Z7)</f>
        <v>0</v>
      </c>
      <c r="AB11" s="772">
        <f>IF($C11="","",공동주택!AA7)</f>
        <v>0</v>
      </c>
      <c r="AC11" s="772">
        <f>IF($C11="","",공동주택!AB7)</f>
        <v>0</v>
      </c>
      <c r="AD11" s="772">
        <f>IF($C11="","",공동주택!AC7)</f>
        <v>0</v>
      </c>
      <c r="AE11" s="772">
        <f>IF($C11="","",공동주택!AD7)</f>
        <v>0</v>
      </c>
      <c r="AF11" s="772">
        <f>IF($C11="","",공동주택!AE7)</f>
        <v>0</v>
      </c>
      <c r="AG11" s="772">
        <f>IF($C11="","",공동주택!AF7)</f>
        <v>0</v>
      </c>
      <c r="AH11" s="772">
        <f>IF($C11="","",공동주택!AG7)</f>
        <v>450</v>
      </c>
      <c r="AI11" s="772">
        <f>IF($C11="","",공동주택!AH7)</f>
        <v>0</v>
      </c>
      <c r="AJ11" s="772">
        <f>IF($C11="","",공동주택!AI7)</f>
        <v>1908</v>
      </c>
      <c r="AK11" s="772">
        <f>IF($C11="","",공동주택!AJ7)</f>
        <v>0</v>
      </c>
      <c r="AL11" s="772">
        <f>IF($C11="","",공동주택!AK7)</f>
        <v>0</v>
      </c>
      <c r="AM11" s="772">
        <f>IF($C11="","",공동주택!AL7)</f>
        <v>0</v>
      </c>
      <c r="AN11" s="772">
        <f>IF($C11="","",공동주택!AM7)</f>
        <v>0</v>
      </c>
      <c r="AO11" s="772">
        <f>IF($C11="","",공동주택!AN7)</f>
        <v>0</v>
      </c>
      <c r="AP11" s="772">
        <f>IF($C11="","",공동주택!AO7)</f>
        <v>0</v>
      </c>
      <c r="AQ11" s="772">
        <f>IF($C11="","",공동주택!AP7)</f>
        <v>0</v>
      </c>
      <c r="AR11" s="772">
        <f>IF($C11="","",공동주택!AQ7)</f>
        <v>0</v>
      </c>
      <c r="AS11" s="772">
        <f>IF($C11="","",공동주택!AR7)</f>
        <v>0</v>
      </c>
      <c r="AT11" s="772">
        <f>IF($C11="","",공동주택!AS7)</f>
        <v>1908</v>
      </c>
      <c r="AU11" s="772">
        <f>IF($C11="","",공동주택!AT7)</f>
        <v>43368840</v>
      </c>
      <c r="AV11" s="772">
        <f>IF($C11="","",공동주택!AU7)</f>
        <v>0</v>
      </c>
      <c r="AW11" s="772">
        <f>IF($C11="","",공동주택!AV7)</f>
        <v>0</v>
      </c>
      <c r="AX11" s="772">
        <f>IF($C11="","",공동주택!AW7)</f>
        <v>43368840</v>
      </c>
      <c r="AY11" s="1418">
        <f>IF($C11="","",공동주택!AX7)</f>
        <v>-43368840</v>
      </c>
      <c r="AZ11" s="772">
        <f>IF($C11="","",공동주택!AY7)</f>
        <v>0</v>
      </c>
      <c r="BA11" s="772">
        <f>IF($C11="","",공동주택!AZ7)</f>
        <v>11782800</v>
      </c>
      <c r="BB11" s="772">
        <f>IF($C11="","",공동주택!BA7)</f>
        <v>0</v>
      </c>
      <c r="BC11" s="772">
        <f>IF($C11="","",공동주택!BB7)</f>
        <v>0</v>
      </c>
      <c r="BD11" s="772">
        <f>IF($C11="","",공동주택!BC7)</f>
        <v>0</v>
      </c>
      <c r="BE11" s="772">
        <f>IF($C11="","",공동주택!BD7)</f>
        <v>0</v>
      </c>
      <c r="BF11" s="772">
        <f>IF($C11="","",공동주택!BE7)</f>
        <v>0</v>
      </c>
      <c r="BG11" s="772">
        <f>IF($C11="","",공동주택!BF7)</f>
        <v>0</v>
      </c>
      <c r="BH11" s="772">
        <f>IF($C11="","",공동주택!BG7)</f>
        <v>0</v>
      </c>
      <c r="BI11" s="772">
        <f>IF($C11="","",공동주택!BH7)</f>
        <v>0</v>
      </c>
      <c r="BJ11" s="772">
        <f>IF($C11="","",공동주택!BI7)</f>
        <v>0</v>
      </c>
      <c r="BK11" s="772">
        <f>IF($C11="","",공동주택!BJ7)</f>
        <v>0</v>
      </c>
      <c r="BL11" s="772">
        <f>IF($C11="","",공동주택!BK7)</f>
        <v>11782800</v>
      </c>
      <c r="BM11" s="772">
        <f>IF($C11="","",공동주택!BL7)</f>
        <v>278499439</v>
      </c>
      <c r="BN11" s="772">
        <f>IF($C11="","",공동주택!BM7)</f>
        <v>245665488</v>
      </c>
      <c r="BO11" s="772">
        <f>IF($C11="","",공동주택!BN7)</f>
        <v>32833951</v>
      </c>
      <c r="BP11" s="772">
        <f>IF($C11="","",공동주택!BO7)</f>
        <v>2</v>
      </c>
      <c r="BQ11" s="809">
        <f>IF($C11="","",공동주택!BP7)</f>
        <v>336399580.65493071</v>
      </c>
      <c r="BR11" s="998">
        <f>IF($C11="","",공동주택!BQ7)</f>
        <v>80.658150909601218</v>
      </c>
      <c r="BS11" s="812">
        <f>IF($C11="","",공동주택!BR7)</f>
        <v>5962.5</v>
      </c>
      <c r="BT11" s="773"/>
    </row>
    <row r="12" spans="1:75" s="678" customFormat="1" ht="39.950000000000003" customHeight="1">
      <c r="A12" s="677"/>
      <c r="C12" s="679"/>
      <c r="D12" s="680"/>
      <c r="E12" s="681"/>
      <c r="F12" s="682"/>
      <c r="G12" s="682"/>
      <c r="H12" s="682"/>
      <c r="I12" s="683"/>
      <c r="J12" s="683"/>
      <c r="K12" s="683"/>
      <c r="L12" s="684"/>
      <c r="M12" s="683"/>
      <c r="N12" s="684"/>
      <c r="O12" s="684"/>
      <c r="P12" s="684"/>
      <c r="Q12" s="684"/>
      <c r="R12" s="684"/>
      <c r="S12" s="684"/>
      <c r="T12" s="684"/>
      <c r="U12" s="684"/>
      <c r="V12" s="684"/>
      <c r="W12" s="684"/>
      <c r="X12" s="684"/>
      <c r="Y12" s="684"/>
      <c r="Z12" s="684"/>
      <c r="AA12" s="683"/>
      <c r="AB12" s="684"/>
      <c r="AC12" s="683"/>
      <c r="AD12" s="684"/>
      <c r="AE12" s="683"/>
      <c r="AF12" s="684"/>
      <c r="AG12" s="683"/>
      <c r="AH12" s="685"/>
      <c r="AI12" s="699"/>
      <c r="AJ12" s="699"/>
      <c r="AK12" s="699"/>
      <c r="AL12" s="699"/>
      <c r="AM12" s="699"/>
      <c r="AN12" s="699"/>
      <c r="AO12" s="699"/>
      <c r="AP12" s="699"/>
      <c r="AQ12" s="699"/>
      <c r="AR12" s="699"/>
      <c r="AS12" s="699"/>
      <c r="AT12" s="699"/>
      <c r="AU12" s="684"/>
      <c r="AV12" s="684"/>
      <c r="AW12" s="684"/>
      <c r="AX12" s="684"/>
      <c r="AY12" s="686"/>
      <c r="AZ12" s="687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8"/>
      <c r="BR12" s="706"/>
      <c r="BS12" s="707"/>
      <c r="BT12" s="691"/>
    </row>
    <row r="13" spans="1:75" s="569" customFormat="1" ht="39.950000000000003" customHeight="1" thickBot="1">
      <c r="A13" s="677"/>
      <c r="C13" s="1691"/>
      <c r="D13" s="1692"/>
      <c r="E13" s="729"/>
      <c r="F13" s="1693"/>
      <c r="G13" s="1693"/>
      <c r="H13" s="1693"/>
      <c r="I13" s="1694"/>
      <c r="J13" s="1694"/>
      <c r="K13" s="1694"/>
      <c r="L13" s="1695"/>
      <c r="M13" s="1694"/>
      <c r="N13" s="1695"/>
      <c r="O13" s="1695"/>
      <c r="P13" s="1695"/>
      <c r="Q13" s="1695"/>
      <c r="R13" s="1695"/>
      <c r="S13" s="1695"/>
      <c r="T13" s="1695"/>
      <c r="U13" s="1695"/>
      <c r="V13" s="1695"/>
      <c r="W13" s="1695"/>
      <c r="X13" s="1695"/>
      <c r="Y13" s="1695"/>
      <c r="Z13" s="1695"/>
      <c r="AA13" s="1694"/>
      <c r="AB13" s="1695"/>
      <c r="AC13" s="1694"/>
      <c r="AD13" s="1695"/>
      <c r="AE13" s="1694"/>
      <c r="AF13" s="1695"/>
      <c r="AG13" s="1694"/>
      <c r="AH13" s="1696"/>
      <c r="AI13" s="1697"/>
      <c r="AJ13" s="1697"/>
      <c r="AK13" s="1697"/>
      <c r="AL13" s="1697"/>
      <c r="AM13" s="1697"/>
      <c r="AN13" s="1697"/>
      <c r="AO13" s="1697"/>
      <c r="AP13" s="1697"/>
      <c r="AQ13" s="1697"/>
      <c r="AR13" s="1697"/>
      <c r="AS13" s="1697"/>
      <c r="AT13" s="1697"/>
      <c r="AU13" s="1695"/>
      <c r="AV13" s="1695"/>
      <c r="AW13" s="1695"/>
      <c r="AX13" s="1695"/>
      <c r="AY13" s="1698"/>
      <c r="AZ13" s="1699"/>
      <c r="BA13" s="1696"/>
      <c r="BB13" s="1696"/>
      <c r="BC13" s="1696"/>
      <c r="BD13" s="1696"/>
      <c r="BE13" s="1696"/>
      <c r="BF13" s="1696"/>
      <c r="BG13" s="1696"/>
      <c r="BH13" s="1696"/>
      <c r="BI13" s="1696"/>
      <c r="BJ13" s="1696"/>
      <c r="BK13" s="1696"/>
      <c r="BL13" s="1696"/>
      <c r="BM13" s="1696"/>
      <c r="BN13" s="1696"/>
      <c r="BO13" s="1696"/>
      <c r="BP13" s="1696"/>
      <c r="BQ13" s="1681"/>
      <c r="BR13" s="1682"/>
      <c r="BS13" s="1683"/>
      <c r="BT13" s="1700"/>
    </row>
    <row r="14" spans="1:75" s="569" customFormat="1" ht="73.5" hidden="1" customHeight="1">
      <c r="A14" s="677"/>
      <c r="C14" s="1614">
        <f>산업용!C7</f>
        <v>0</v>
      </c>
      <c r="D14" s="1615" t="s">
        <v>323</v>
      </c>
      <c r="E14" s="1616">
        <f>IF($C14="","",산업용!D$7)</f>
        <v>0</v>
      </c>
      <c r="F14" s="1616">
        <f>IF($C14="","",산업용!E$7)</f>
        <v>0</v>
      </c>
      <c r="G14" s="1616">
        <f>IF($C14="","",산업용!F$7)</f>
        <v>0</v>
      </c>
      <c r="H14" s="1616">
        <f>IF($C14="","",산업용!G$7)</f>
        <v>0</v>
      </c>
      <c r="I14" s="1616">
        <f>IF($C14="","",산업용!H$7)</f>
        <v>0</v>
      </c>
      <c r="J14" s="1616">
        <f>IF($C14="","",산업용!I$7)</f>
        <v>0</v>
      </c>
      <c r="K14" s="1616">
        <f>IF($C14="","",산업용!J$7)</f>
        <v>0</v>
      </c>
      <c r="L14" s="1616">
        <f>IF($C14="","",산업용!K$7)</f>
        <v>0</v>
      </c>
      <c r="M14" s="1616">
        <f>IF($C14="","",산업용!L$7)</f>
        <v>0</v>
      </c>
      <c r="N14" s="1616">
        <f>IF($C14="","",산업용!M$7)</f>
        <v>0</v>
      </c>
      <c r="O14" s="1616">
        <f>IF($C14="","",산업용!N$7)</f>
        <v>0</v>
      </c>
      <c r="P14" s="1616">
        <f>IF($C14="","",산업용!O$7)</f>
        <v>0</v>
      </c>
      <c r="Q14" s="1616">
        <f>IF($C14="","",산업용!P$7)</f>
        <v>0</v>
      </c>
      <c r="R14" s="1616">
        <f>IF($C14="","",산업용!Q$7)</f>
        <v>0</v>
      </c>
      <c r="S14" s="1616">
        <f>IF($C14="","",산업용!R$7)</f>
        <v>0</v>
      </c>
      <c r="T14" s="1616">
        <f>IF($C14="","",산업용!S$7)</f>
        <v>0</v>
      </c>
      <c r="U14" s="1616">
        <f>IF($C14="","",산업용!T$7)</f>
        <v>0</v>
      </c>
      <c r="V14" s="1616">
        <f>IF($C14="","",산업용!U$7)</f>
        <v>0</v>
      </c>
      <c r="W14" s="1616">
        <f>IF($C14="","",산업용!V$7)</f>
        <v>0</v>
      </c>
      <c r="X14" s="1616">
        <f>IF($C14="","",산업용!W$7)</f>
        <v>0</v>
      </c>
      <c r="Y14" s="1616">
        <f>IF($C14="","",산업용!X$7)</f>
        <v>0</v>
      </c>
      <c r="Z14" s="1616">
        <f>IF($C14="","",산업용!Y$7)</f>
        <v>0</v>
      </c>
      <c r="AA14" s="1616">
        <f>IF($C14="","",산업용!Z$7)</f>
        <v>0</v>
      </c>
      <c r="AB14" s="1616">
        <f>IF($C14="","",산업용!AA$7)</f>
        <v>0</v>
      </c>
      <c r="AC14" s="1616">
        <f>IF($C14="","",산업용!AB$7)</f>
        <v>0</v>
      </c>
      <c r="AD14" s="1616">
        <f>IF($C14="","",산업용!AC$7)</f>
        <v>0</v>
      </c>
      <c r="AE14" s="1616">
        <f>IF($C14="","",산업용!AD$7)</f>
        <v>0</v>
      </c>
      <c r="AF14" s="1616">
        <f>IF($C14="","",산업용!AE$7)</f>
        <v>0</v>
      </c>
      <c r="AG14" s="1616">
        <f>IF($C14="","",산업용!AF$7)</f>
        <v>0</v>
      </c>
      <c r="AH14" s="1616">
        <f>IF($C14="","",산업용!AG$7)</f>
        <v>0</v>
      </c>
      <c r="AI14" s="1616">
        <f>IF($C14="","",산업용!AH$7)</f>
        <v>0</v>
      </c>
      <c r="AJ14" s="1616">
        <f>IF($C14="","",산업용!AI$7)</f>
        <v>0</v>
      </c>
      <c r="AK14" s="1616">
        <f>IF($C14="","",산업용!AJ$7)</f>
        <v>0</v>
      </c>
      <c r="AL14" s="1616">
        <f>IF($C14="","",산업용!AK$7)</f>
        <v>0</v>
      </c>
      <c r="AM14" s="1616">
        <f>IF($C14="","",산업용!AL$7)</f>
        <v>0</v>
      </c>
      <c r="AN14" s="1616">
        <f>IF($C14="","",산업용!AM$7)</f>
        <v>0</v>
      </c>
      <c r="AO14" s="1616">
        <f>IF($C14="","",산업용!AN$7)</f>
        <v>0</v>
      </c>
      <c r="AP14" s="1616">
        <f>IF($C14="","",산업용!AO$7)</f>
        <v>0</v>
      </c>
      <c r="AQ14" s="1616">
        <f>IF($C14="","",산업용!AP$7)</f>
        <v>0</v>
      </c>
      <c r="AR14" s="1616">
        <f>IF($C14="","",산업용!AQ$7)</f>
        <v>0</v>
      </c>
      <c r="AS14" s="1616">
        <f>IF($C14="","",산업용!AR$7)</f>
        <v>0</v>
      </c>
      <c r="AT14" s="1616">
        <f>IF($C14="","",산업용!AS$7)</f>
        <v>0</v>
      </c>
      <c r="AU14" s="1616">
        <f>IF($C14="","",산업용!AT$7)</f>
        <v>0</v>
      </c>
      <c r="AV14" s="1616">
        <f>IF($C14="","",산업용!AU$7)</f>
        <v>0</v>
      </c>
      <c r="AW14" s="1616">
        <f>IF($C14="","",산업용!AV$7)</f>
        <v>0</v>
      </c>
      <c r="AX14" s="1616">
        <f>IF($C14="","",산업용!AW$7)</f>
        <v>0</v>
      </c>
      <c r="AY14" s="1616">
        <f>IF($C14="","",산업용!AX$7)</f>
        <v>0</v>
      </c>
      <c r="AZ14" s="1616">
        <f>IF($C14="","",산업용!AY$7)</f>
        <v>0</v>
      </c>
      <c r="BA14" s="1616">
        <f>IF($C14="","",산업용!AZ$7)</f>
        <v>0</v>
      </c>
      <c r="BB14" s="1616">
        <f>IF($C14="","",산업용!BA$7)</f>
        <v>0</v>
      </c>
      <c r="BC14" s="1616">
        <f>IF($C14="","",산업용!BB$7)</f>
        <v>0</v>
      </c>
      <c r="BD14" s="1616">
        <f>IF($C14="","",산업용!BC$7)</f>
        <v>0</v>
      </c>
      <c r="BE14" s="1616">
        <f>IF($C14="","",산업용!BD$7)</f>
        <v>0</v>
      </c>
      <c r="BF14" s="1616">
        <f>IF($C14="","",산업용!BE$7)</f>
        <v>0</v>
      </c>
      <c r="BG14" s="1616">
        <f>IF($C14="","",산업용!BF$7)</f>
        <v>0</v>
      </c>
      <c r="BH14" s="1616">
        <f>IF($C14="","",산업용!BG$7)</f>
        <v>0</v>
      </c>
      <c r="BI14" s="1616">
        <f>IF($C14="","",산업용!BH$7)</f>
        <v>0</v>
      </c>
      <c r="BJ14" s="1616">
        <f>IF($C14="","",산업용!BI$7)</f>
        <v>0</v>
      </c>
      <c r="BK14" s="1616">
        <f>IF($C14="","",산업용!BJ$7)</f>
        <v>0</v>
      </c>
      <c r="BL14" s="1616">
        <f>IF($C14="","",산업용!BK$7)</f>
        <v>0</v>
      </c>
      <c r="BM14" s="1616">
        <f>IF($C14="","",산업용!BL$7)</f>
        <v>0</v>
      </c>
      <c r="BN14" s="1616">
        <f>IF($C14="","",산업용!BM$7)</f>
        <v>0</v>
      </c>
      <c r="BO14" s="1616">
        <f>IF($C14="","",산업용!BN$7)</f>
        <v>0</v>
      </c>
      <c r="BP14" s="1616">
        <f>IF($C14="","",산업용!BO$7)</f>
        <v>31</v>
      </c>
      <c r="BQ14" s="1617">
        <f>IF($C14="","",산업용!BP$7)</f>
        <v>0</v>
      </c>
      <c r="BR14" s="1618" t="str">
        <f>IF($C14="","",산업용!BQ$7)</f>
        <v>한도초과</v>
      </c>
      <c r="BS14" s="1619" t="e">
        <f>IF($C14="","",산업용!BR$7)</f>
        <v>#DIV/0!</v>
      </c>
      <c r="BT14" s="1620"/>
    </row>
    <row r="15" spans="1:75" s="569" customFormat="1" ht="39.950000000000003" hidden="1" customHeight="1">
      <c r="A15" s="677"/>
      <c r="C15" s="708"/>
      <c r="D15" s="709"/>
      <c r="E15" s="694"/>
      <c r="F15" s="711"/>
      <c r="G15" s="711"/>
      <c r="H15" s="711"/>
      <c r="I15" s="712"/>
      <c r="J15" s="712"/>
      <c r="K15" s="712"/>
      <c r="L15" s="713"/>
      <c r="M15" s="712"/>
      <c r="N15" s="713"/>
      <c r="O15" s="713"/>
      <c r="P15" s="713"/>
      <c r="Q15" s="713"/>
      <c r="R15" s="713"/>
      <c r="S15" s="713"/>
      <c r="T15" s="713"/>
      <c r="U15" s="713"/>
      <c r="V15" s="713"/>
      <c r="W15" s="713"/>
      <c r="X15" s="713"/>
      <c r="Y15" s="713"/>
      <c r="Z15" s="713"/>
      <c r="AA15" s="712"/>
      <c r="AB15" s="713"/>
      <c r="AC15" s="712"/>
      <c r="AD15" s="713"/>
      <c r="AE15" s="712"/>
      <c r="AF15" s="713"/>
      <c r="AG15" s="712"/>
      <c r="AH15" s="714"/>
      <c r="AI15" s="699"/>
      <c r="AJ15" s="699"/>
      <c r="AK15" s="699"/>
      <c r="AL15" s="699"/>
      <c r="AM15" s="699"/>
      <c r="AN15" s="699"/>
      <c r="AO15" s="699"/>
      <c r="AP15" s="699"/>
      <c r="AQ15" s="699"/>
      <c r="AR15" s="699"/>
      <c r="AS15" s="699"/>
      <c r="AT15" s="699"/>
      <c r="AU15" s="713"/>
      <c r="AV15" s="713"/>
      <c r="AW15" s="713"/>
      <c r="AX15" s="713"/>
      <c r="AY15" s="715"/>
      <c r="AZ15" s="716"/>
      <c r="BA15" s="714"/>
      <c r="BB15" s="714"/>
      <c r="BC15" s="714"/>
      <c r="BD15" s="714"/>
      <c r="BE15" s="714"/>
      <c r="BF15" s="714"/>
      <c r="BG15" s="714"/>
      <c r="BH15" s="714"/>
      <c r="BI15" s="714"/>
      <c r="BJ15" s="714"/>
      <c r="BK15" s="714"/>
      <c r="BL15" s="714"/>
      <c r="BM15" s="714"/>
      <c r="BN15" s="714"/>
      <c r="BO15" s="714"/>
      <c r="BP15" s="714"/>
      <c r="BQ15" s="717"/>
      <c r="BR15" s="703"/>
      <c r="BS15" s="704"/>
      <c r="BT15" s="705"/>
      <c r="BV15" s="676"/>
    </row>
    <row r="16" spans="1:75" s="569" customFormat="1" ht="39.950000000000003" hidden="1" customHeight="1">
      <c r="A16" s="677"/>
      <c r="C16" s="708"/>
      <c r="D16" s="709"/>
      <c r="E16" s="694"/>
      <c r="F16" s="711"/>
      <c r="G16" s="711"/>
      <c r="H16" s="711"/>
      <c r="I16" s="712"/>
      <c r="J16" s="712"/>
      <c r="K16" s="712"/>
      <c r="L16" s="713"/>
      <c r="M16" s="712"/>
      <c r="N16" s="713"/>
      <c r="O16" s="713"/>
      <c r="P16" s="713"/>
      <c r="Q16" s="713"/>
      <c r="R16" s="713"/>
      <c r="S16" s="713"/>
      <c r="T16" s="713"/>
      <c r="U16" s="713"/>
      <c r="V16" s="713"/>
      <c r="W16" s="713"/>
      <c r="X16" s="713"/>
      <c r="Y16" s="713"/>
      <c r="Z16" s="713"/>
      <c r="AA16" s="712"/>
      <c r="AB16" s="713"/>
      <c r="AC16" s="712"/>
      <c r="AD16" s="713"/>
      <c r="AE16" s="712"/>
      <c r="AF16" s="713"/>
      <c r="AG16" s="712"/>
      <c r="AH16" s="714"/>
      <c r="AI16" s="699"/>
      <c r="AJ16" s="699"/>
      <c r="AK16" s="699"/>
      <c r="AL16" s="699"/>
      <c r="AM16" s="699"/>
      <c r="AN16" s="699"/>
      <c r="AO16" s="699"/>
      <c r="AP16" s="699"/>
      <c r="AQ16" s="699"/>
      <c r="AR16" s="699"/>
      <c r="AS16" s="699"/>
      <c r="AT16" s="699"/>
      <c r="AU16" s="713"/>
      <c r="AV16" s="713"/>
      <c r="AW16" s="713"/>
      <c r="AX16" s="713"/>
      <c r="AY16" s="715"/>
      <c r="AZ16" s="716"/>
      <c r="BA16" s="714"/>
      <c r="BB16" s="714"/>
      <c r="BC16" s="714"/>
      <c r="BD16" s="714"/>
      <c r="BE16" s="714"/>
      <c r="BF16" s="714"/>
      <c r="BG16" s="714"/>
      <c r="BH16" s="714"/>
      <c r="BI16" s="714"/>
      <c r="BJ16" s="714"/>
      <c r="BK16" s="714"/>
      <c r="BL16" s="714"/>
      <c r="BM16" s="714"/>
      <c r="BN16" s="714"/>
      <c r="BO16" s="714"/>
      <c r="BP16" s="714"/>
      <c r="BQ16" s="717"/>
      <c r="BR16" s="703"/>
      <c r="BS16" s="704"/>
      <c r="BT16" s="705"/>
    </row>
    <row r="17" spans="1:74" s="569" customFormat="1" ht="73.5" hidden="1" customHeight="1">
      <c r="A17" s="677"/>
      <c r="C17" s="770">
        <f>업무용!C7</f>
        <v>0</v>
      </c>
      <c r="D17" s="771" t="s">
        <v>110</v>
      </c>
      <c r="E17" s="772">
        <f>IF($C17="","",업무용!D$7)</f>
        <v>0</v>
      </c>
      <c r="F17" s="772">
        <f>IF($C17="","",업무용!E$7)</f>
        <v>0</v>
      </c>
      <c r="G17" s="772">
        <f>IF($C17="","",업무용!F$7)</f>
        <v>0</v>
      </c>
      <c r="H17" s="772">
        <f>IF($C17="","",업무용!G$7)</f>
        <v>0</v>
      </c>
      <c r="I17" s="772">
        <f>IF($C17="","",업무용!H$7)</f>
        <v>0</v>
      </c>
      <c r="J17" s="772">
        <f>IF($C17="","",업무용!I$7)</f>
        <v>0</v>
      </c>
      <c r="K17" s="772">
        <f>IF($C17="","",업무용!J$7)</f>
        <v>0</v>
      </c>
      <c r="L17" s="772">
        <f>IF($C17="","",업무용!K$7)</f>
        <v>0</v>
      </c>
      <c r="M17" s="772">
        <f>IF($C17="","",업무용!L$7)</f>
        <v>0</v>
      </c>
      <c r="N17" s="772">
        <f>IF($C17="","",업무용!M$7)</f>
        <v>0</v>
      </c>
      <c r="O17" s="772">
        <f>IF($C17="","",업무용!N$7)</f>
        <v>0</v>
      </c>
      <c r="P17" s="772">
        <f>IF($C17="","",업무용!O$7)</f>
        <v>0</v>
      </c>
      <c r="Q17" s="772">
        <f>IF($C17="","",업무용!P$7)</f>
        <v>0</v>
      </c>
      <c r="R17" s="772">
        <f>IF($C17="","",업무용!Q$7)</f>
        <v>0</v>
      </c>
      <c r="S17" s="772">
        <f>IF($C17="","",업무용!R$7)</f>
        <v>0</v>
      </c>
      <c r="T17" s="772">
        <f>IF($C17="","",업무용!S$7)</f>
        <v>0</v>
      </c>
      <c r="U17" s="772">
        <f>IF($C17="","",업무용!T$7)</f>
        <v>0</v>
      </c>
      <c r="V17" s="772">
        <f>IF($C17="","",업무용!U$7)</f>
        <v>0</v>
      </c>
      <c r="W17" s="772">
        <f>IF($C17="","",업무용!V$7)</f>
        <v>0</v>
      </c>
      <c r="X17" s="772">
        <f>IF($C17="","",업무용!W$7)</f>
        <v>0</v>
      </c>
      <c r="Y17" s="772">
        <f>IF($C17="","",업무용!X$7)</f>
        <v>0</v>
      </c>
      <c r="Z17" s="772">
        <f>IF($C17="","",업무용!Y$7)</f>
        <v>0</v>
      </c>
      <c r="AA17" s="772">
        <f>IF($C17="","",업무용!Z$7)</f>
        <v>0</v>
      </c>
      <c r="AB17" s="772">
        <f>IF($C17="","",업무용!AA$7)</f>
        <v>0</v>
      </c>
      <c r="AC17" s="772">
        <f>IF($C17="","",업무용!AB$7)</f>
        <v>0</v>
      </c>
      <c r="AD17" s="772">
        <f>IF($C17="","",업무용!AC$7)</f>
        <v>0</v>
      </c>
      <c r="AE17" s="772">
        <f>IF($C17="","",업무용!AD$7)</f>
        <v>0</v>
      </c>
      <c r="AF17" s="772">
        <f>IF($C17="","",업무용!AE$7)</f>
        <v>0</v>
      </c>
      <c r="AG17" s="772">
        <f>IF($C17="","",업무용!AF$7)</f>
        <v>0</v>
      </c>
      <c r="AH17" s="772">
        <f>IF($C17="","",업무용!AG$7)</f>
        <v>0</v>
      </c>
      <c r="AI17" s="772">
        <f>IF($C17="","",업무용!AH$7)</f>
        <v>0</v>
      </c>
      <c r="AJ17" s="772">
        <f>IF($C17="","",업무용!AI$7)</f>
        <v>0</v>
      </c>
      <c r="AK17" s="772">
        <f>IF($C17="","",업무용!AJ$7)</f>
        <v>0</v>
      </c>
      <c r="AL17" s="772">
        <f>IF($C17="","",업무용!AK$7)</f>
        <v>0</v>
      </c>
      <c r="AM17" s="772">
        <f>IF($C17="","",업무용!AL$7)</f>
        <v>0</v>
      </c>
      <c r="AN17" s="772">
        <f>IF($C17="","",업무용!AM$7)</f>
        <v>0</v>
      </c>
      <c r="AO17" s="772">
        <f>IF($C17="","",업무용!AN$7)</f>
        <v>0</v>
      </c>
      <c r="AP17" s="772">
        <f>IF($C17="","",업무용!AO$7)</f>
        <v>0</v>
      </c>
      <c r="AQ17" s="772">
        <f>IF($C17="","",업무용!AP$7)</f>
        <v>0</v>
      </c>
      <c r="AR17" s="772">
        <f>IF($C17="","",업무용!AQ$7)</f>
        <v>0</v>
      </c>
      <c r="AS17" s="772">
        <f>IF($C17="","",업무용!AR$7)</f>
        <v>0</v>
      </c>
      <c r="AT17" s="772">
        <f>IF($C17="","",업무용!AS$7)</f>
        <v>0</v>
      </c>
      <c r="AU17" s="772">
        <f>IF($C17="","",업무용!AT$7)</f>
        <v>0</v>
      </c>
      <c r="AV17" s="772">
        <f>IF($C17="","",업무용!AU$7)</f>
        <v>0</v>
      </c>
      <c r="AW17" s="772">
        <f>IF($C17="","",업무용!AV$7)</f>
        <v>0</v>
      </c>
      <c r="AX17" s="772">
        <f>IF($C17="","",업무용!AW$7)</f>
        <v>0</v>
      </c>
      <c r="AY17" s="809">
        <f>IF($C17="","",업무용!AX$7)</f>
        <v>0</v>
      </c>
      <c r="AZ17" s="772">
        <f>IF($C17="","",업무용!AY$7)</f>
        <v>0</v>
      </c>
      <c r="BA17" s="772">
        <f>IF($C17="","",업무용!AZ$7)</f>
        <v>0</v>
      </c>
      <c r="BB17" s="772">
        <f>IF($C17="","",업무용!BA$7)</f>
        <v>0</v>
      </c>
      <c r="BC17" s="772">
        <f>IF($C17="","",업무용!BB$7)</f>
        <v>0</v>
      </c>
      <c r="BD17" s="772">
        <f>IF($C17="","",업무용!BC$7)</f>
        <v>0</v>
      </c>
      <c r="BE17" s="772">
        <f>IF($C17="","",업무용!BD$7)</f>
        <v>0</v>
      </c>
      <c r="BF17" s="772">
        <f>IF($C17="","",업무용!BE$7)</f>
        <v>0</v>
      </c>
      <c r="BG17" s="772">
        <f>IF($C17="","",업무용!BF$7)</f>
        <v>0</v>
      </c>
      <c r="BH17" s="772">
        <f>IF($C17="","",업무용!BG$7)</f>
        <v>0</v>
      </c>
      <c r="BI17" s="772">
        <f>IF($C17="","",업무용!BH$7)</f>
        <v>0</v>
      </c>
      <c r="BJ17" s="772">
        <f>IF($C17="","",업무용!BI$7)</f>
        <v>0</v>
      </c>
      <c r="BK17" s="772">
        <f>IF($C17="","",업무용!BJ$7)</f>
        <v>0</v>
      </c>
      <c r="BL17" s="772">
        <f>IF($C17="","",업무용!BK$7)</f>
        <v>0</v>
      </c>
      <c r="BM17" s="772">
        <f>IF($C17="","",업무용!BL$7)</f>
        <v>0</v>
      </c>
      <c r="BN17" s="772">
        <f>IF($C17="","",업무용!BM$7)</f>
        <v>0</v>
      </c>
      <c r="BO17" s="772">
        <f>IF($C17="","",업무용!BN$7)</f>
        <v>0</v>
      </c>
      <c r="BP17" s="772">
        <f>IF($C17="","",업무용!BO$7)</f>
        <v>1</v>
      </c>
      <c r="BQ17" s="809">
        <f>IF($C17="","",업무용!BP$7)</f>
        <v>217598614.96861136</v>
      </c>
      <c r="BR17" s="1411">
        <f>IF($C17="","",업무용!BQ$7)</f>
        <v>128.23466448150577</v>
      </c>
      <c r="BS17" s="812">
        <f>IF($C17="","",업무용!BR$7)</f>
        <v>850</v>
      </c>
      <c r="BT17" s="773"/>
    </row>
    <row r="18" spans="1:74" s="569" customFormat="1" ht="39.950000000000003" hidden="1" customHeight="1">
      <c r="A18" s="677"/>
      <c r="C18" s="718"/>
      <c r="D18" s="709"/>
      <c r="E18" s="710"/>
      <c r="F18" s="711"/>
      <c r="G18" s="711"/>
      <c r="H18" s="711"/>
      <c r="I18" s="712"/>
      <c r="J18" s="712"/>
      <c r="K18" s="712"/>
      <c r="L18" s="713"/>
      <c r="M18" s="712"/>
      <c r="N18" s="713"/>
      <c r="O18" s="713"/>
      <c r="P18" s="713"/>
      <c r="Q18" s="713"/>
      <c r="R18" s="713"/>
      <c r="S18" s="713"/>
      <c r="T18" s="713"/>
      <c r="U18" s="713"/>
      <c r="V18" s="713"/>
      <c r="W18" s="713"/>
      <c r="X18" s="713"/>
      <c r="Y18" s="713"/>
      <c r="Z18" s="713"/>
      <c r="AA18" s="712"/>
      <c r="AB18" s="713"/>
      <c r="AC18" s="712"/>
      <c r="AD18" s="713"/>
      <c r="AE18" s="712"/>
      <c r="AF18" s="713"/>
      <c r="AG18" s="712"/>
      <c r="AH18" s="714"/>
      <c r="AI18" s="699"/>
      <c r="AJ18" s="699"/>
      <c r="AK18" s="699"/>
      <c r="AL18" s="699"/>
      <c r="AM18" s="699"/>
      <c r="AN18" s="699"/>
      <c r="AO18" s="699"/>
      <c r="AP18" s="699"/>
      <c r="AQ18" s="699"/>
      <c r="AR18" s="699"/>
      <c r="AS18" s="699"/>
      <c r="AT18" s="699"/>
      <c r="AU18" s="713"/>
      <c r="AV18" s="713"/>
      <c r="AW18" s="713"/>
      <c r="AX18" s="713"/>
      <c r="AY18" s="715"/>
      <c r="AZ18" s="716"/>
      <c r="BA18" s="714"/>
      <c r="BB18" s="714"/>
      <c r="BC18" s="714"/>
      <c r="BD18" s="714"/>
      <c r="BE18" s="714"/>
      <c r="BF18" s="714"/>
      <c r="BG18" s="714"/>
      <c r="BH18" s="714"/>
      <c r="BI18" s="714"/>
      <c r="BJ18" s="714"/>
      <c r="BK18" s="714"/>
      <c r="BL18" s="714"/>
      <c r="BM18" s="714"/>
      <c r="BN18" s="714"/>
      <c r="BO18" s="714"/>
      <c r="BP18" s="714"/>
      <c r="BQ18" s="717"/>
      <c r="BR18" s="703"/>
      <c r="BS18" s="704"/>
      <c r="BT18" s="705"/>
    </row>
    <row r="19" spans="1:74" s="569" customFormat="1" ht="39.950000000000003" hidden="1" customHeight="1" thickBot="1">
      <c r="A19" s="677"/>
      <c r="C19" s="1691"/>
      <c r="D19" s="1692"/>
      <c r="E19" s="1737"/>
      <c r="F19" s="1693"/>
      <c r="G19" s="1693"/>
      <c r="H19" s="1693"/>
      <c r="I19" s="1694"/>
      <c r="J19" s="1694"/>
      <c r="K19" s="1694"/>
      <c r="L19" s="1695"/>
      <c r="M19" s="1694"/>
      <c r="N19" s="1695"/>
      <c r="O19" s="1695"/>
      <c r="P19" s="1695"/>
      <c r="Q19" s="1695"/>
      <c r="R19" s="1695"/>
      <c r="S19" s="1695"/>
      <c r="T19" s="1695"/>
      <c r="U19" s="1695"/>
      <c r="V19" s="1695"/>
      <c r="W19" s="1695"/>
      <c r="X19" s="1695"/>
      <c r="Y19" s="1695"/>
      <c r="Z19" s="1695"/>
      <c r="AA19" s="1694"/>
      <c r="AB19" s="1695"/>
      <c r="AC19" s="1694"/>
      <c r="AD19" s="1695"/>
      <c r="AE19" s="1694"/>
      <c r="AF19" s="1695"/>
      <c r="AG19" s="1694"/>
      <c r="AH19" s="1696"/>
      <c r="AI19" s="1697"/>
      <c r="AJ19" s="1697"/>
      <c r="AK19" s="1697"/>
      <c r="AL19" s="1697"/>
      <c r="AM19" s="1697"/>
      <c r="AN19" s="1697"/>
      <c r="AO19" s="1697"/>
      <c r="AP19" s="1697"/>
      <c r="AQ19" s="1697"/>
      <c r="AR19" s="1697"/>
      <c r="AS19" s="1697"/>
      <c r="AT19" s="1697"/>
      <c r="AU19" s="1695"/>
      <c r="AV19" s="1695"/>
      <c r="AW19" s="1695"/>
      <c r="AX19" s="1695"/>
      <c r="AY19" s="1698"/>
      <c r="AZ19" s="1699"/>
      <c r="BA19" s="1696"/>
      <c r="BB19" s="1696"/>
      <c r="BC19" s="1696"/>
      <c r="BD19" s="1696"/>
      <c r="BE19" s="1696"/>
      <c r="BF19" s="1696"/>
      <c r="BG19" s="1696"/>
      <c r="BH19" s="1696"/>
      <c r="BI19" s="1696"/>
      <c r="BJ19" s="1696"/>
      <c r="BK19" s="1696"/>
      <c r="BL19" s="1696"/>
      <c r="BM19" s="1696"/>
      <c r="BN19" s="1696"/>
      <c r="BO19" s="1696"/>
      <c r="BP19" s="1696"/>
      <c r="BQ19" s="1681"/>
      <c r="BR19" s="1682"/>
      <c r="BS19" s="1683"/>
      <c r="BT19" s="1700"/>
    </row>
    <row r="20" spans="1:74" s="569" customFormat="1" ht="73.5" hidden="1" customHeight="1">
      <c r="A20" s="677"/>
      <c r="C20" s="1614">
        <f>연료전지!C7</f>
        <v>0</v>
      </c>
      <c r="D20" s="1615" t="s">
        <v>423</v>
      </c>
      <c r="E20" s="1616">
        <f>IF($C20="","",연료전지!D$7)</f>
        <v>0</v>
      </c>
      <c r="F20" s="1616">
        <f>IF($C20="","",연료전지!E$7)</f>
        <v>0</v>
      </c>
      <c r="G20" s="1616">
        <f>IF($C20="","",연료전지!F$7)</f>
        <v>0</v>
      </c>
      <c r="H20" s="1616">
        <f>IF($C20="","",연료전지!G$7)</f>
        <v>0</v>
      </c>
      <c r="I20" s="1616">
        <f>IF($C20="","",연료전지!H$7)</f>
        <v>0</v>
      </c>
      <c r="J20" s="1616">
        <f>IF($C20="","",연료전지!I$7)</f>
        <v>0</v>
      </c>
      <c r="K20" s="1616">
        <f>IF($C20="","",연료전지!J$7)</f>
        <v>0</v>
      </c>
      <c r="L20" s="1616">
        <f>IF($C20="","",연료전지!K$7)</f>
        <v>0</v>
      </c>
      <c r="M20" s="1616">
        <f>IF($C20="","",연료전지!L$7)</f>
        <v>0</v>
      </c>
      <c r="N20" s="1616">
        <f>IF($C20="","",연료전지!M$7)</f>
        <v>0</v>
      </c>
      <c r="O20" s="1616">
        <f>IF($C20="","",연료전지!N$7)</f>
        <v>0</v>
      </c>
      <c r="P20" s="1616">
        <f>IF($C20="","",연료전지!O$7)</f>
        <v>0</v>
      </c>
      <c r="Q20" s="1616">
        <f>IF($C20="","",연료전지!P$7)</f>
        <v>0</v>
      </c>
      <c r="R20" s="1616">
        <f>IF($C20="","",연료전지!Q$7)</f>
        <v>0</v>
      </c>
      <c r="S20" s="1616">
        <f>IF($C20="","",연료전지!R$7)</f>
        <v>0</v>
      </c>
      <c r="T20" s="1616">
        <f>IF($C20="","",연료전지!S$7)</f>
        <v>0</v>
      </c>
      <c r="U20" s="1616">
        <f>IF($C20="","",연료전지!T$7)</f>
        <v>0</v>
      </c>
      <c r="V20" s="1616">
        <f>IF($C20="","",연료전지!U$7)</f>
        <v>0</v>
      </c>
      <c r="W20" s="1616">
        <f>IF($C20="","",연료전지!V$7)</f>
        <v>0</v>
      </c>
      <c r="X20" s="1616">
        <f>IF($C20="","",연료전지!W$7)</f>
        <v>0</v>
      </c>
      <c r="Y20" s="1616">
        <f>IF($C20="","",연료전지!X$7)</f>
        <v>0</v>
      </c>
      <c r="Z20" s="1616">
        <f>IF($C20="","",연료전지!Y$7)</f>
        <v>0</v>
      </c>
      <c r="AA20" s="1616">
        <f>IF($C20="","",연료전지!Z$7)</f>
        <v>0</v>
      </c>
      <c r="AB20" s="1616">
        <f>IF($C20="","",연료전지!AA$7)</f>
        <v>0</v>
      </c>
      <c r="AC20" s="1616">
        <f>IF($C20="","",연료전지!AB$7)</f>
        <v>0</v>
      </c>
      <c r="AD20" s="1616">
        <f>IF($C20="","",연료전지!AC$7)</f>
        <v>0</v>
      </c>
      <c r="AE20" s="1616">
        <f>IF($C20="","",연료전지!AD$7)</f>
        <v>0</v>
      </c>
      <c r="AF20" s="1616">
        <f>IF($C20="","",연료전지!AE$7)</f>
        <v>0</v>
      </c>
      <c r="AG20" s="1616">
        <f>IF($C20="","",연료전지!AF$7)</f>
        <v>0</v>
      </c>
      <c r="AH20" s="1616">
        <f>IF($C20="","",연료전지!AG$7)</f>
        <v>0</v>
      </c>
      <c r="AI20" s="1616">
        <f>IF($C20="","",연료전지!AH$7)</f>
        <v>0</v>
      </c>
      <c r="AJ20" s="1616">
        <f>IF($C20="","",연료전지!AI$7)</f>
        <v>0</v>
      </c>
      <c r="AK20" s="1616">
        <f>IF($C20="","",연료전지!AJ$7)</f>
        <v>0</v>
      </c>
      <c r="AL20" s="1616">
        <f>IF($C20="","",연료전지!AK$7)</f>
        <v>0</v>
      </c>
      <c r="AM20" s="1616">
        <f>IF($C20="","",연료전지!AL$7)</f>
        <v>0</v>
      </c>
      <c r="AN20" s="1616">
        <f>IF($C20="","",연료전지!AM$7)</f>
        <v>0</v>
      </c>
      <c r="AO20" s="1616">
        <f>IF($C20="","",연료전지!AN$7)</f>
        <v>0</v>
      </c>
      <c r="AP20" s="1616">
        <f>IF($C20="","",연료전지!AO$7)</f>
        <v>0</v>
      </c>
      <c r="AQ20" s="1616">
        <f>IF($C20="","",연료전지!AP$7)</f>
        <v>0</v>
      </c>
      <c r="AR20" s="1616">
        <f>IF($C20="","",연료전지!AQ$7)</f>
        <v>0</v>
      </c>
      <c r="AS20" s="1616">
        <f>IF($C20="","",연료전지!AR$7)</f>
        <v>0</v>
      </c>
      <c r="AT20" s="1616">
        <f>IF($C20="","",연료전지!AS$7)</f>
        <v>0</v>
      </c>
      <c r="AU20" s="1616">
        <f>IF($C20="","",연료전지!AT$7)</f>
        <v>0</v>
      </c>
      <c r="AV20" s="1616">
        <f>IF($C20="","",연료전지!AU$7)</f>
        <v>0</v>
      </c>
      <c r="AW20" s="1616">
        <f>IF($C20="","",연료전지!AV$7)</f>
        <v>0</v>
      </c>
      <c r="AX20" s="1616">
        <f>IF($C20="","",연료전지!AW$7)</f>
        <v>0</v>
      </c>
      <c r="AY20" s="1617">
        <f>IF($C20="","",연료전지!AX$7)</f>
        <v>0</v>
      </c>
      <c r="AZ20" s="1616">
        <f>IF($C20="","",연료전지!AY$7)</f>
        <v>0</v>
      </c>
      <c r="BA20" s="1616">
        <f>IF($C20="","",연료전지!AZ$7)</f>
        <v>0</v>
      </c>
      <c r="BB20" s="1616">
        <f>IF($C20="","",연료전지!BA$7)</f>
        <v>0</v>
      </c>
      <c r="BC20" s="1616">
        <f>IF($C20="","",연료전지!BB$7)</f>
        <v>0</v>
      </c>
      <c r="BD20" s="1616">
        <f>IF($C20="","",연료전지!BC$7)</f>
        <v>0</v>
      </c>
      <c r="BE20" s="1616">
        <f>IF($C20="","",연료전지!BD$7)</f>
        <v>0</v>
      </c>
      <c r="BF20" s="1616">
        <f>IF($C20="","",연료전지!BE$7)</f>
        <v>0</v>
      </c>
      <c r="BG20" s="1616">
        <f>IF($C20="","",연료전지!BF$7)</f>
        <v>0</v>
      </c>
      <c r="BH20" s="1616">
        <f>IF($C20="","",연료전지!BG$7)</f>
        <v>0</v>
      </c>
      <c r="BI20" s="1616">
        <f>IF($C20="","",연료전지!BH$7)</f>
        <v>0</v>
      </c>
      <c r="BJ20" s="1616">
        <f>IF($C20="","",연료전지!BI$7)</f>
        <v>0</v>
      </c>
      <c r="BK20" s="1616">
        <f>IF($C20="","",연료전지!BJ$7)</f>
        <v>0</v>
      </c>
      <c r="BL20" s="1616">
        <f>IF($C20="","",연료전지!BK$7)</f>
        <v>0</v>
      </c>
      <c r="BM20" s="1616">
        <f>IF($C20="","",연료전지!BL$7)</f>
        <v>0</v>
      </c>
      <c r="BN20" s="1616">
        <f>IF($C20="","",연료전지!BM$7)</f>
        <v>0</v>
      </c>
      <c r="BO20" s="1616">
        <f>IF($C20="","",연료전지!BN$7)</f>
        <v>0</v>
      </c>
      <c r="BP20" s="1616">
        <f>IF($C20="","",연료전지!BO$7)</f>
        <v>31</v>
      </c>
      <c r="BQ20" s="1617">
        <f>IF($C20="","",연료전지!BP$7)</f>
        <v>0</v>
      </c>
      <c r="BR20" s="1618" t="str">
        <f>IF($C20="","",연료전지!BQ$7)</f>
        <v>한도초과</v>
      </c>
      <c r="BS20" s="1619" t="e">
        <f>IF($C20="","",연료전지!BR$7)</f>
        <v>#DIV/0!</v>
      </c>
      <c r="BT20" s="1620"/>
    </row>
    <row r="21" spans="1:74" s="569" customFormat="1" ht="39.950000000000003" hidden="1" customHeight="1">
      <c r="A21" s="677"/>
      <c r="C21" s="718"/>
      <c r="D21" s="709"/>
      <c r="E21" s="710"/>
      <c r="F21" s="711"/>
      <c r="G21" s="711"/>
      <c r="H21" s="711"/>
      <c r="I21" s="712"/>
      <c r="J21" s="712"/>
      <c r="K21" s="712"/>
      <c r="L21" s="713"/>
      <c r="M21" s="712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712"/>
      <c r="AB21" s="713"/>
      <c r="AC21" s="712"/>
      <c r="AD21" s="713"/>
      <c r="AE21" s="712"/>
      <c r="AF21" s="713"/>
      <c r="AG21" s="712"/>
      <c r="AH21" s="714"/>
      <c r="AI21" s="699"/>
      <c r="AJ21" s="699"/>
      <c r="AK21" s="699"/>
      <c r="AL21" s="699"/>
      <c r="AM21" s="699"/>
      <c r="AN21" s="699"/>
      <c r="AO21" s="699"/>
      <c r="AP21" s="699"/>
      <c r="AQ21" s="699"/>
      <c r="AR21" s="699"/>
      <c r="AS21" s="699"/>
      <c r="AT21" s="699"/>
      <c r="AU21" s="713"/>
      <c r="AV21" s="713"/>
      <c r="AW21" s="713"/>
      <c r="AX21" s="713"/>
      <c r="AY21" s="715"/>
      <c r="AZ21" s="716"/>
      <c r="BA21" s="714"/>
      <c r="BB21" s="714"/>
      <c r="BC21" s="714"/>
      <c r="BD21" s="714"/>
      <c r="BE21" s="714"/>
      <c r="BF21" s="714"/>
      <c r="BG21" s="714"/>
      <c r="BH21" s="714"/>
      <c r="BI21" s="714"/>
      <c r="BJ21" s="714"/>
      <c r="BK21" s="714"/>
      <c r="BL21" s="714"/>
      <c r="BM21" s="714"/>
      <c r="BN21" s="714"/>
      <c r="BO21" s="714"/>
      <c r="BP21" s="714"/>
      <c r="BQ21" s="717"/>
      <c r="BR21" s="703"/>
      <c r="BS21" s="704"/>
      <c r="BT21" s="705"/>
    </row>
    <row r="22" spans="1:74" s="569" customFormat="1" ht="39.950000000000003" hidden="1" customHeight="1">
      <c r="A22" s="677"/>
      <c r="C22" s="708"/>
      <c r="D22" s="709"/>
      <c r="E22" s="694"/>
      <c r="F22" s="711"/>
      <c r="G22" s="711"/>
      <c r="H22" s="711"/>
      <c r="I22" s="712"/>
      <c r="J22" s="712"/>
      <c r="K22" s="712"/>
      <c r="L22" s="713"/>
      <c r="M22" s="712"/>
      <c r="N22" s="713"/>
      <c r="O22" s="713"/>
      <c r="P22" s="713"/>
      <c r="Q22" s="713"/>
      <c r="R22" s="713"/>
      <c r="S22" s="713"/>
      <c r="T22" s="713"/>
      <c r="U22" s="713"/>
      <c r="V22" s="713"/>
      <c r="W22" s="713"/>
      <c r="X22" s="713"/>
      <c r="Y22" s="713"/>
      <c r="Z22" s="713"/>
      <c r="AA22" s="712"/>
      <c r="AB22" s="713"/>
      <c r="AC22" s="712"/>
      <c r="AD22" s="713"/>
      <c r="AE22" s="712"/>
      <c r="AF22" s="713"/>
      <c r="AG22" s="712"/>
      <c r="AH22" s="714"/>
      <c r="AI22" s="699"/>
      <c r="AJ22" s="699"/>
      <c r="AK22" s="699"/>
      <c r="AL22" s="699"/>
      <c r="AM22" s="699"/>
      <c r="AN22" s="699"/>
      <c r="AO22" s="699"/>
      <c r="AP22" s="699"/>
      <c r="AQ22" s="699"/>
      <c r="AR22" s="699"/>
      <c r="AS22" s="699"/>
      <c r="AT22" s="699"/>
      <c r="AU22" s="713"/>
      <c r="AV22" s="713"/>
      <c r="AW22" s="713"/>
      <c r="AX22" s="713"/>
      <c r="AY22" s="715"/>
      <c r="AZ22" s="716"/>
      <c r="BA22" s="714"/>
      <c r="BB22" s="714"/>
      <c r="BC22" s="714"/>
      <c r="BD22" s="714"/>
      <c r="BE22" s="714"/>
      <c r="BF22" s="714"/>
      <c r="BG22" s="714"/>
      <c r="BH22" s="714"/>
      <c r="BI22" s="714"/>
      <c r="BJ22" s="714"/>
      <c r="BK22" s="714"/>
      <c r="BL22" s="714"/>
      <c r="BM22" s="714"/>
      <c r="BN22" s="714"/>
      <c r="BO22" s="714"/>
      <c r="BP22" s="714"/>
      <c r="BQ22" s="717"/>
      <c r="BR22" s="703"/>
      <c r="BS22" s="704"/>
      <c r="BT22" s="705"/>
    </row>
    <row r="23" spans="1:74" s="569" customFormat="1" ht="73.5" hidden="1" customHeight="1">
      <c r="A23" s="677"/>
      <c r="C23" s="770">
        <f>열병합!C7</f>
        <v>0</v>
      </c>
      <c r="D23" s="771" t="s">
        <v>424</v>
      </c>
      <c r="E23" s="772">
        <f>IF($C23="","",열병합!D$7)</f>
        <v>0</v>
      </c>
      <c r="F23" s="772">
        <f>IF($C23="","",열병합!E$7)</f>
        <v>0</v>
      </c>
      <c r="G23" s="772">
        <f>IF($C23="","",열병합!F$7)</f>
        <v>0</v>
      </c>
      <c r="H23" s="772">
        <f>IF($C23="","",열병합!G$7)</f>
        <v>0</v>
      </c>
      <c r="I23" s="772">
        <f>IF($C23="","",열병합!H$7)</f>
        <v>0</v>
      </c>
      <c r="J23" s="772">
        <f>IF($C23="","",열병합!I$7)</f>
        <v>0</v>
      </c>
      <c r="K23" s="772">
        <f>IF($C23="","",열병합!J$7)</f>
        <v>0</v>
      </c>
      <c r="L23" s="772">
        <f>IF($C23="","",열병합!K$7)</f>
        <v>0</v>
      </c>
      <c r="M23" s="772">
        <f>IF($C23="","",열병합!L$7)</f>
        <v>0</v>
      </c>
      <c r="N23" s="772">
        <f>IF($C23="","",열병합!M$7)</f>
        <v>0</v>
      </c>
      <c r="O23" s="772">
        <f>IF($C23="","",열병합!N$7)</f>
        <v>0</v>
      </c>
      <c r="P23" s="772">
        <f>IF($C23="","",열병합!O$7)</f>
        <v>0</v>
      </c>
      <c r="Q23" s="772">
        <f>IF($C23="","",열병합!P$7)</f>
        <v>0</v>
      </c>
      <c r="R23" s="772">
        <f>IF($C23="","",열병합!Q$7)</f>
        <v>0</v>
      </c>
      <c r="S23" s="772">
        <f>IF($C23="","",열병합!R$7)</f>
        <v>0</v>
      </c>
      <c r="T23" s="772">
        <f>IF($C23="","",열병합!S$7)</f>
        <v>0</v>
      </c>
      <c r="U23" s="772">
        <f>IF($C23="","",열병합!T$7)</f>
        <v>0</v>
      </c>
      <c r="V23" s="772">
        <f>IF($C23="","",열병합!U$7)</f>
        <v>0</v>
      </c>
      <c r="W23" s="772">
        <f>IF($C23="","",열병합!V$7)</f>
        <v>0</v>
      </c>
      <c r="X23" s="772">
        <f>IF($C23="","",열병합!W$7)</f>
        <v>0</v>
      </c>
      <c r="Y23" s="772">
        <f>IF($C23="","",열병합!X$7)</f>
        <v>0</v>
      </c>
      <c r="Z23" s="772">
        <f>IF($C23="","",열병합!Y$7)</f>
        <v>0</v>
      </c>
      <c r="AA23" s="772">
        <f>IF($C23="","",열병합!Z$7)</f>
        <v>0</v>
      </c>
      <c r="AB23" s="772">
        <f>IF($C23="","",열병합!AA$7)</f>
        <v>0</v>
      </c>
      <c r="AC23" s="772">
        <f>IF($C23="","",열병합!AB$7)</f>
        <v>0</v>
      </c>
      <c r="AD23" s="772">
        <f>IF($C23="","",열병합!AC$7)</f>
        <v>0</v>
      </c>
      <c r="AE23" s="772">
        <f>IF($C23="","",열병합!AD$7)</f>
        <v>0</v>
      </c>
      <c r="AF23" s="772">
        <f>IF($C23="","",열병합!AE$7)</f>
        <v>0</v>
      </c>
      <c r="AG23" s="772">
        <f>IF($C23="","",열병합!AF$7)</f>
        <v>0</v>
      </c>
      <c r="AH23" s="772">
        <f>IF($C23="","",열병합!AG$7)</f>
        <v>0</v>
      </c>
      <c r="AI23" s="772">
        <f>IF($C23="","",열병합!AH$7)</f>
        <v>0</v>
      </c>
      <c r="AJ23" s="772">
        <f>IF($C23="","",열병합!AI$7)</f>
        <v>0</v>
      </c>
      <c r="AK23" s="772">
        <f>IF($C23="","",열병합!AJ$7)</f>
        <v>0</v>
      </c>
      <c r="AL23" s="772">
        <f>IF($C23="","",열병합!AK$7)</f>
        <v>0</v>
      </c>
      <c r="AM23" s="772">
        <f>IF($C23="","",열병합!AL$7)</f>
        <v>0</v>
      </c>
      <c r="AN23" s="772">
        <f>IF($C23="","",열병합!AM$7)</f>
        <v>0</v>
      </c>
      <c r="AO23" s="772">
        <f>IF($C23="","",열병합!AN$7)</f>
        <v>0</v>
      </c>
      <c r="AP23" s="772">
        <f>IF($C23="","",열병합!AO$7)</f>
        <v>0</v>
      </c>
      <c r="AQ23" s="772">
        <f>IF($C23="","",열병합!AP$7)</f>
        <v>0</v>
      </c>
      <c r="AR23" s="772">
        <f>IF($C23="","",열병합!AQ$7)</f>
        <v>0</v>
      </c>
      <c r="AS23" s="772">
        <f>IF($C23="","",열병합!AR$7)</f>
        <v>0</v>
      </c>
      <c r="AT23" s="772">
        <f>IF($C23="","",열병합!AS$7)</f>
        <v>0</v>
      </c>
      <c r="AU23" s="772">
        <f>IF($C23="","",열병합!AT$7)</f>
        <v>0</v>
      </c>
      <c r="AV23" s="772">
        <f>IF($C23="","",열병합!AU$7)</f>
        <v>0</v>
      </c>
      <c r="AW23" s="772">
        <f>IF($C23="","",열병합!AV$7)</f>
        <v>0</v>
      </c>
      <c r="AX23" s="772">
        <f>IF($C23="","",열병합!AW$7)</f>
        <v>0</v>
      </c>
      <c r="AY23" s="809">
        <f>IF($C23="","",열병합!AX$7)</f>
        <v>0</v>
      </c>
      <c r="AZ23" s="772">
        <f>IF($C23="","",열병합!AY$7)</f>
        <v>0</v>
      </c>
      <c r="BA23" s="772">
        <f>IF($C23="","",열병합!AZ$7)</f>
        <v>0</v>
      </c>
      <c r="BB23" s="772">
        <f>IF($C23="","",열병합!BA$7)</f>
        <v>0</v>
      </c>
      <c r="BC23" s="772">
        <f>IF($C23="","",열병합!BB$7)</f>
        <v>0</v>
      </c>
      <c r="BD23" s="772">
        <f>IF($C23="","",열병합!BC$7)</f>
        <v>0</v>
      </c>
      <c r="BE23" s="772">
        <f>IF($C23="","",열병합!BD$7)</f>
        <v>0</v>
      </c>
      <c r="BF23" s="772">
        <f>IF($C23="","",열병합!BE$7)</f>
        <v>0</v>
      </c>
      <c r="BG23" s="772">
        <f>IF($C23="","",열병합!BF$7)</f>
        <v>0</v>
      </c>
      <c r="BH23" s="772">
        <f>IF($C23="","",열병합!BG$7)</f>
        <v>0</v>
      </c>
      <c r="BI23" s="772">
        <f>IF($C23="","",열병합!BH$7)</f>
        <v>0</v>
      </c>
      <c r="BJ23" s="772">
        <f>IF($C23="","",열병합!BI$7)</f>
        <v>0</v>
      </c>
      <c r="BK23" s="772">
        <f>IF($C23="","",열병합!BJ$7)</f>
        <v>0</v>
      </c>
      <c r="BL23" s="772">
        <f>IF($C23="","",열병합!BK$7)</f>
        <v>0</v>
      </c>
      <c r="BM23" s="772">
        <f>IF($C23="","",열병합!BL$7)</f>
        <v>0</v>
      </c>
      <c r="BN23" s="772">
        <f>IF($C23="","",열병합!BM$7)</f>
        <v>0</v>
      </c>
      <c r="BO23" s="772">
        <f>IF($C23="","",열병합!BN$7)</f>
        <v>0</v>
      </c>
      <c r="BP23" s="772">
        <f>IF($C23="","",열병합!BO$7)</f>
        <v>31</v>
      </c>
      <c r="BQ23" s="809">
        <f>IF($C23="","",열병합!BP$7)</f>
        <v>0</v>
      </c>
      <c r="BR23" s="810" t="str">
        <f>IF($C23="","",열병합!BQ$7)</f>
        <v>한도초과</v>
      </c>
      <c r="BS23" s="812" t="e">
        <f>IF($C23="","",열병합!BR$7)</f>
        <v>#DIV/0!</v>
      </c>
      <c r="BT23" s="773"/>
    </row>
    <row r="24" spans="1:74" s="569" customFormat="1" ht="39.950000000000003" hidden="1" customHeight="1">
      <c r="A24" s="677"/>
      <c r="C24" s="718"/>
      <c r="D24" s="709"/>
      <c r="E24" s="710"/>
      <c r="F24" s="711"/>
      <c r="G24" s="711"/>
      <c r="H24" s="711"/>
      <c r="I24" s="712"/>
      <c r="J24" s="712"/>
      <c r="K24" s="712"/>
      <c r="L24" s="713"/>
      <c r="M24" s="712"/>
      <c r="N24" s="713"/>
      <c r="O24" s="713"/>
      <c r="P24" s="713"/>
      <c r="Q24" s="713"/>
      <c r="R24" s="713"/>
      <c r="S24" s="713"/>
      <c r="T24" s="713"/>
      <c r="U24" s="713"/>
      <c r="V24" s="713"/>
      <c r="W24" s="713"/>
      <c r="X24" s="713"/>
      <c r="Y24" s="713"/>
      <c r="Z24" s="713"/>
      <c r="AA24" s="712"/>
      <c r="AB24" s="713"/>
      <c r="AC24" s="712"/>
      <c r="AD24" s="713"/>
      <c r="AE24" s="712"/>
      <c r="AF24" s="713"/>
      <c r="AG24" s="712"/>
      <c r="AH24" s="714"/>
      <c r="AI24" s="699"/>
      <c r="AJ24" s="699"/>
      <c r="AK24" s="699"/>
      <c r="AL24" s="699"/>
      <c r="AM24" s="699"/>
      <c r="AN24" s="699"/>
      <c r="AO24" s="699"/>
      <c r="AP24" s="699"/>
      <c r="AQ24" s="699"/>
      <c r="AR24" s="699"/>
      <c r="AS24" s="699"/>
      <c r="AT24" s="699"/>
      <c r="AU24" s="713"/>
      <c r="AV24" s="713"/>
      <c r="AW24" s="713"/>
      <c r="AX24" s="713"/>
      <c r="AY24" s="715"/>
      <c r="AZ24" s="716"/>
      <c r="BA24" s="714"/>
      <c r="BB24" s="714"/>
      <c r="BC24" s="714"/>
      <c r="BD24" s="714"/>
      <c r="BE24" s="714"/>
      <c r="BF24" s="714"/>
      <c r="BG24" s="714"/>
      <c r="BH24" s="714"/>
      <c r="BI24" s="714"/>
      <c r="BJ24" s="714"/>
      <c r="BK24" s="714"/>
      <c r="BL24" s="714"/>
      <c r="BM24" s="714"/>
      <c r="BN24" s="714"/>
      <c r="BO24" s="714"/>
      <c r="BP24" s="714"/>
      <c r="BQ24" s="717"/>
      <c r="BR24" s="703"/>
      <c r="BS24" s="704"/>
      <c r="BT24" s="705"/>
    </row>
    <row r="25" spans="1:74" s="569" customFormat="1" ht="39.950000000000003" hidden="1" customHeight="1">
      <c r="A25" s="677"/>
      <c r="C25" s="708"/>
      <c r="D25" s="709"/>
      <c r="E25" s="694"/>
      <c r="F25" s="711"/>
      <c r="G25" s="711"/>
      <c r="H25" s="711"/>
      <c r="I25" s="712"/>
      <c r="J25" s="712"/>
      <c r="K25" s="712"/>
      <c r="L25" s="713"/>
      <c r="M25" s="712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712"/>
      <c r="AB25" s="713"/>
      <c r="AC25" s="712"/>
      <c r="AD25" s="713"/>
      <c r="AE25" s="712"/>
      <c r="AF25" s="713"/>
      <c r="AG25" s="712"/>
      <c r="AH25" s="714"/>
      <c r="AI25" s="699"/>
      <c r="AJ25" s="699"/>
      <c r="AK25" s="699"/>
      <c r="AL25" s="699"/>
      <c r="AM25" s="699"/>
      <c r="AN25" s="699"/>
      <c r="AO25" s="699"/>
      <c r="AP25" s="699"/>
      <c r="AQ25" s="699"/>
      <c r="AR25" s="699"/>
      <c r="AS25" s="699"/>
      <c r="AT25" s="699"/>
      <c r="AU25" s="713"/>
      <c r="AV25" s="713"/>
      <c r="AW25" s="713"/>
      <c r="AX25" s="713"/>
      <c r="AY25" s="715"/>
      <c r="AZ25" s="716"/>
      <c r="BA25" s="714"/>
      <c r="BB25" s="714"/>
      <c r="BC25" s="714"/>
      <c r="BD25" s="714"/>
      <c r="BE25" s="714"/>
      <c r="BF25" s="714"/>
      <c r="BG25" s="714"/>
      <c r="BH25" s="714"/>
      <c r="BI25" s="714"/>
      <c r="BJ25" s="714"/>
      <c r="BK25" s="714"/>
      <c r="BL25" s="714"/>
      <c r="BM25" s="714"/>
      <c r="BN25" s="714"/>
      <c r="BO25" s="714"/>
      <c r="BP25" s="714"/>
      <c r="BQ25" s="717"/>
      <c r="BR25" s="703"/>
      <c r="BS25" s="704"/>
      <c r="BT25" s="705"/>
    </row>
    <row r="26" spans="1:74" s="569" customFormat="1" ht="73.5" hidden="1" customHeight="1">
      <c r="A26" s="677"/>
      <c r="C26" s="770">
        <f>열전용설비!C7</f>
        <v>0</v>
      </c>
      <c r="D26" s="1407" t="s">
        <v>426</v>
      </c>
      <c r="E26" s="772">
        <f>IF($C26="","",열전용설비!D$7)</f>
        <v>0</v>
      </c>
      <c r="F26" s="772">
        <f>IF($C26="","",열전용설비!E$7)</f>
        <v>0</v>
      </c>
      <c r="G26" s="772">
        <f>IF($C26="","",열전용설비!F$7)</f>
        <v>0</v>
      </c>
      <c r="H26" s="772">
        <f>IF($C26="","",열전용설비!G$7)</f>
        <v>0</v>
      </c>
      <c r="I26" s="772">
        <f>IF($C26="","",열전용설비!H$7)</f>
        <v>0</v>
      </c>
      <c r="J26" s="772">
        <f>IF($C26="","",열전용설비!I$7)</f>
        <v>0</v>
      </c>
      <c r="K26" s="772">
        <f>IF($C26="","",열전용설비!J$7)</f>
        <v>0</v>
      </c>
      <c r="L26" s="772">
        <f>IF($C26="","",열전용설비!K$7)</f>
        <v>0</v>
      </c>
      <c r="M26" s="772">
        <f>IF($C26="","",열전용설비!L$7)</f>
        <v>0</v>
      </c>
      <c r="N26" s="772">
        <f>IF($C26="","",열전용설비!M$7)</f>
        <v>0</v>
      </c>
      <c r="O26" s="772">
        <f>IF($C26="","",열전용설비!N$7)</f>
        <v>0</v>
      </c>
      <c r="P26" s="772">
        <f>IF($C26="","",열전용설비!O$7)</f>
        <v>0</v>
      </c>
      <c r="Q26" s="772">
        <f>IF($C26="","",열전용설비!P$7)</f>
        <v>0</v>
      </c>
      <c r="R26" s="772">
        <f>IF($C26="","",열전용설비!Q$7)</f>
        <v>0</v>
      </c>
      <c r="S26" s="772">
        <f>IF($C26="","",열전용설비!R$7)</f>
        <v>0</v>
      </c>
      <c r="T26" s="772">
        <f>IF($C26="","",열전용설비!S$7)</f>
        <v>0</v>
      </c>
      <c r="U26" s="772">
        <f>IF($C26="","",열전용설비!T$7)</f>
        <v>0</v>
      </c>
      <c r="V26" s="772">
        <f>IF($C26="","",열전용설비!U$7)</f>
        <v>0</v>
      </c>
      <c r="W26" s="772">
        <f>IF($C26="","",열전용설비!V$7)</f>
        <v>0</v>
      </c>
      <c r="X26" s="772">
        <f>IF($C26="","",열전용설비!W$7)</f>
        <v>0</v>
      </c>
      <c r="Y26" s="772">
        <f>IF($C26="","",열전용설비!X$7)</f>
        <v>0</v>
      </c>
      <c r="Z26" s="772">
        <f>IF($C26="","",열전용설비!Y$7)</f>
        <v>0</v>
      </c>
      <c r="AA26" s="772">
        <f>IF($C26="","",열전용설비!Z$7)</f>
        <v>0</v>
      </c>
      <c r="AB26" s="772">
        <f>IF($C26="","",열전용설비!AA$7)</f>
        <v>0</v>
      </c>
      <c r="AC26" s="772">
        <f>IF($C26="","",열전용설비!AB$7)</f>
        <v>0</v>
      </c>
      <c r="AD26" s="772">
        <f>IF($C26="","",열전용설비!AC$7)</f>
        <v>0</v>
      </c>
      <c r="AE26" s="772">
        <f>IF($C26="","",열전용설비!AD$7)</f>
        <v>0</v>
      </c>
      <c r="AF26" s="772">
        <f>IF($C26="","",열전용설비!AE$7)</f>
        <v>0</v>
      </c>
      <c r="AG26" s="772">
        <f>IF($C26="","",열전용설비!AF$7)</f>
        <v>0</v>
      </c>
      <c r="AH26" s="772">
        <f>IF($C26="","",열전용설비!AG$7)</f>
        <v>0</v>
      </c>
      <c r="AI26" s="772">
        <f>IF($C26="","",열전용설비!AH$7)</f>
        <v>0</v>
      </c>
      <c r="AJ26" s="772">
        <f>IF($C26="","",열전용설비!AI$7)</f>
        <v>0</v>
      </c>
      <c r="AK26" s="772">
        <f>IF($C26="","",열전용설비!AJ$7)</f>
        <v>0</v>
      </c>
      <c r="AL26" s="772">
        <f>IF($C26="","",열전용설비!AK$7)</f>
        <v>0</v>
      </c>
      <c r="AM26" s="772">
        <f>IF($C26="","",열전용설비!AL$7)</f>
        <v>0</v>
      </c>
      <c r="AN26" s="772">
        <f>IF($C26="","",열전용설비!AM$7)</f>
        <v>0</v>
      </c>
      <c r="AO26" s="772">
        <f>IF($C26="","",열전용설비!AN$7)</f>
        <v>0</v>
      </c>
      <c r="AP26" s="772">
        <f>IF($C26="","",열전용설비!AO$7)</f>
        <v>0</v>
      </c>
      <c r="AQ26" s="772">
        <f>IF($C26="","",열전용설비!AP$7)</f>
        <v>0</v>
      </c>
      <c r="AR26" s="772">
        <f>IF($C26="","",열전용설비!AQ$7)</f>
        <v>0</v>
      </c>
      <c r="AS26" s="772">
        <f>IF($C26="","",열전용설비!AR$7)</f>
        <v>0</v>
      </c>
      <c r="AT26" s="772">
        <f>IF($C26="","",열전용설비!AS$7)</f>
        <v>0</v>
      </c>
      <c r="AU26" s="772">
        <f>IF($C26="","",열전용설비!AT$7)</f>
        <v>0</v>
      </c>
      <c r="AV26" s="772">
        <f>IF($C26="","",열전용설비!AU$7)</f>
        <v>0</v>
      </c>
      <c r="AW26" s="772">
        <f>IF($C26="","",열전용설비!AV$7)</f>
        <v>0</v>
      </c>
      <c r="AX26" s="772">
        <f>IF($C26="","",열전용설비!AW$7)</f>
        <v>0</v>
      </c>
      <c r="AY26" s="809">
        <f>IF($C26="","",열전용설비!AX$7)</f>
        <v>0</v>
      </c>
      <c r="AZ26" s="772">
        <f>IF($C26="","",열전용설비!AY$7)</f>
        <v>0</v>
      </c>
      <c r="BA26" s="772">
        <f>IF($C26="","",열전용설비!AZ$7)</f>
        <v>0</v>
      </c>
      <c r="BB26" s="772">
        <f>IF($C26="","",열전용설비!BA$7)</f>
        <v>0</v>
      </c>
      <c r="BC26" s="772">
        <f>IF($C26="","",열전용설비!BB$7)</f>
        <v>0</v>
      </c>
      <c r="BD26" s="772">
        <f>IF($C26="","",열전용설비!BC$7)</f>
        <v>0</v>
      </c>
      <c r="BE26" s="772">
        <f>IF($C26="","",열전용설비!BD$7)</f>
        <v>0</v>
      </c>
      <c r="BF26" s="772">
        <f>IF($C26="","",열전용설비!BE$7)</f>
        <v>0</v>
      </c>
      <c r="BG26" s="772">
        <f>IF($C26="","",열전용설비!BF$7)</f>
        <v>0</v>
      </c>
      <c r="BH26" s="772">
        <f>IF($C26="","",열전용설비!BG$7)</f>
        <v>0</v>
      </c>
      <c r="BI26" s="772">
        <f>IF($C26="","",열전용설비!BH$7)</f>
        <v>0</v>
      </c>
      <c r="BJ26" s="772">
        <f>IF($C26="","",열전용설비!BI$7)</f>
        <v>0</v>
      </c>
      <c r="BK26" s="772">
        <f>IF($C26="","",열전용설비!BJ$7)</f>
        <v>0</v>
      </c>
      <c r="BL26" s="772">
        <f>IF($C26="","",열전용설비!BK$7)</f>
        <v>0</v>
      </c>
      <c r="BM26" s="772">
        <f>IF($C26="","",열전용설비!BL$7)</f>
        <v>0</v>
      </c>
      <c r="BN26" s="772">
        <f>IF($C26="","",열전용설비!BM$7)</f>
        <v>0</v>
      </c>
      <c r="BO26" s="772">
        <f>IF($C26="","",열전용설비!BN$7)</f>
        <v>0</v>
      </c>
      <c r="BP26" s="772">
        <f>IF($C26="","",열전용설비!BO$7)</f>
        <v>31</v>
      </c>
      <c r="BQ26" s="809">
        <f>IF($C26="","",열전용설비!BP$7)</f>
        <v>0</v>
      </c>
      <c r="BR26" s="810" t="str">
        <f>IF($C26="","",열전용설비!BQ$7)</f>
        <v>한도초과</v>
      </c>
      <c r="BS26" s="812" t="e">
        <f>IF($C26="","",열전용설비!BR$7)</f>
        <v>#DIV/0!</v>
      </c>
      <c r="BT26" s="773"/>
    </row>
    <row r="27" spans="1:74" s="569" customFormat="1" ht="39.950000000000003" hidden="1" customHeight="1">
      <c r="A27" s="677"/>
      <c r="C27" s="718"/>
      <c r="D27" s="709"/>
      <c r="E27" s="710"/>
      <c r="F27" s="711"/>
      <c r="G27" s="711"/>
      <c r="H27" s="711"/>
      <c r="I27" s="712"/>
      <c r="J27" s="712"/>
      <c r="K27" s="712"/>
      <c r="L27" s="713"/>
      <c r="M27" s="712"/>
      <c r="N27" s="713"/>
      <c r="O27" s="713"/>
      <c r="P27" s="713"/>
      <c r="Q27" s="713"/>
      <c r="R27" s="713"/>
      <c r="S27" s="713"/>
      <c r="T27" s="713"/>
      <c r="U27" s="713"/>
      <c r="V27" s="713"/>
      <c r="W27" s="713"/>
      <c r="X27" s="713"/>
      <c r="Y27" s="713"/>
      <c r="Z27" s="713"/>
      <c r="AA27" s="712"/>
      <c r="AB27" s="713"/>
      <c r="AC27" s="712"/>
      <c r="AD27" s="713"/>
      <c r="AE27" s="712"/>
      <c r="AF27" s="713"/>
      <c r="AG27" s="712"/>
      <c r="AH27" s="714"/>
      <c r="AI27" s="699"/>
      <c r="AJ27" s="699"/>
      <c r="AK27" s="699"/>
      <c r="AL27" s="699"/>
      <c r="AM27" s="699"/>
      <c r="AN27" s="699"/>
      <c r="AO27" s="699"/>
      <c r="AP27" s="699"/>
      <c r="AQ27" s="699"/>
      <c r="AR27" s="699"/>
      <c r="AS27" s="699"/>
      <c r="AT27" s="699"/>
      <c r="AU27" s="713"/>
      <c r="AV27" s="713"/>
      <c r="AW27" s="713"/>
      <c r="AX27" s="713"/>
      <c r="AY27" s="715"/>
      <c r="AZ27" s="716"/>
      <c r="BA27" s="714"/>
      <c r="BB27" s="714"/>
      <c r="BC27" s="714"/>
      <c r="BD27" s="714"/>
      <c r="BE27" s="714"/>
      <c r="BF27" s="714"/>
      <c r="BG27" s="714"/>
      <c r="BH27" s="714"/>
      <c r="BI27" s="714"/>
      <c r="BJ27" s="714"/>
      <c r="BK27" s="714"/>
      <c r="BL27" s="714"/>
      <c r="BM27" s="714"/>
      <c r="BN27" s="714"/>
      <c r="BO27" s="714"/>
      <c r="BP27" s="714"/>
      <c r="BQ27" s="717"/>
      <c r="BR27" s="703"/>
      <c r="BS27" s="704"/>
      <c r="BT27" s="705"/>
    </row>
    <row r="28" spans="1:74" s="719" customFormat="1" ht="39.950000000000003" hidden="1" customHeight="1">
      <c r="A28" s="677"/>
      <c r="B28" s="569"/>
      <c r="C28" s="692"/>
      <c r="D28" s="709"/>
      <c r="E28" s="710"/>
      <c r="F28" s="711"/>
      <c r="G28" s="711"/>
      <c r="H28" s="711"/>
      <c r="I28" s="712"/>
      <c r="J28" s="712"/>
      <c r="K28" s="712"/>
      <c r="L28" s="713"/>
      <c r="M28" s="712"/>
      <c r="N28" s="713"/>
      <c r="O28" s="713"/>
      <c r="P28" s="713"/>
      <c r="Q28" s="713"/>
      <c r="R28" s="713"/>
      <c r="S28" s="713"/>
      <c r="T28" s="713"/>
      <c r="U28" s="713"/>
      <c r="V28" s="713"/>
      <c r="W28" s="713"/>
      <c r="X28" s="713"/>
      <c r="Y28" s="713"/>
      <c r="Z28" s="713"/>
      <c r="AA28" s="712"/>
      <c r="AB28" s="713"/>
      <c r="AC28" s="712"/>
      <c r="AD28" s="713"/>
      <c r="AE28" s="712"/>
      <c r="AF28" s="713"/>
      <c r="AG28" s="712"/>
      <c r="AH28" s="714"/>
      <c r="AI28" s="699"/>
      <c r="AJ28" s="699"/>
      <c r="AK28" s="699"/>
      <c r="AL28" s="699"/>
      <c r="AM28" s="699"/>
      <c r="AN28" s="699"/>
      <c r="AO28" s="699"/>
      <c r="AP28" s="699"/>
      <c r="AQ28" s="699"/>
      <c r="AR28" s="699"/>
      <c r="AS28" s="699"/>
      <c r="AT28" s="699"/>
      <c r="AU28" s="713"/>
      <c r="AV28" s="713"/>
      <c r="AW28" s="713"/>
      <c r="AX28" s="713"/>
      <c r="AY28" s="715"/>
      <c r="AZ28" s="716"/>
      <c r="BA28" s="714"/>
      <c r="BB28" s="714"/>
      <c r="BC28" s="714"/>
      <c r="BD28" s="714"/>
      <c r="BE28" s="714"/>
      <c r="BF28" s="714"/>
      <c r="BG28" s="714"/>
      <c r="BH28" s="714"/>
      <c r="BI28" s="714"/>
      <c r="BJ28" s="714"/>
      <c r="BK28" s="714"/>
      <c r="BL28" s="714"/>
      <c r="BM28" s="714"/>
      <c r="BN28" s="714"/>
      <c r="BO28" s="714"/>
      <c r="BP28" s="714"/>
      <c r="BQ28" s="717"/>
      <c r="BR28" s="703"/>
      <c r="BS28" s="704"/>
      <c r="BT28" s="705"/>
    </row>
    <row r="29" spans="1:74" s="569" customFormat="1" ht="73.5" hidden="1" customHeight="1">
      <c r="A29" s="677"/>
      <c r="C29" s="770">
        <f>영업용!C7</f>
        <v>0</v>
      </c>
      <c r="D29" s="771" t="s">
        <v>108</v>
      </c>
      <c r="E29" s="772">
        <f>IF($C29="","",영업용!D$7)</f>
        <v>0</v>
      </c>
      <c r="F29" s="772">
        <f>IF($C29="","",영업용!E$7)</f>
        <v>0</v>
      </c>
      <c r="G29" s="772">
        <f>IF($C29="","",영업용!F$7)</f>
        <v>0</v>
      </c>
      <c r="H29" s="772">
        <f>IF($C29="","",영업용!G$7)</f>
        <v>0</v>
      </c>
      <c r="I29" s="772">
        <f>IF($C29="","",영업용!H$7)</f>
        <v>0</v>
      </c>
      <c r="J29" s="772">
        <f>IF($C29="","",영업용!I$7)</f>
        <v>0</v>
      </c>
      <c r="K29" s="772">
        <f>IF($C29="","",영업용!J$7)</f>
        <v>0</v>
      </c>
      <c r="L29" s="772">
        <f>IF($C29="","",영업용!K$7)</f>
        <v>0</v>
      </c>
      <c r="M29" s="772">
        <f>IF($C29="","",영업용!L$7)</f>
        <v>0</v>
      </c>
      <c r="N29" s="772">
        <f>IF($C29="","",영업용!M$7)</f>
        <v>0</v>
      </c>
      <c r="O29" s="772">
        <f>IF($C29="","",영업용!N$7)</f>
        <v>0</v>
      </c>
      <c r="P29" s="772">
        <f>IF($C29="","",영업용!O$7)</f>
        <v>0</v>
      </c>
      <c r="Q29" s="772">
        <f>IF($C29="","",영업용!P$7)</f>
        <v>0</v>
      </c>
      <c r="R29" s="772">
        <f>IF($C29="","",영업용!Q$7)</f>
        <v>0</v>
      </c>
      <c r="S29" s="772">
        <f>IF($C29="","",영업용!R$7)</f>
        <v>0</v>
      </c>
      <c r="T29" s="772">
        <f>IF($C29="","",영업용!S$7)</f>
        <v>0</v>
      </c>
      <c r="U29" s="772">
        <f>IF($C29="","",영업용!T$7)</f>
        <v>0</v>
      </c>
      <c r="V29" s="772">
        <f>IF($C29="","",영업용!U$7)</f>
        <v>0</v>
      </c>
      <c r="W29" s="772">
        <f>IF($C29="","",영업용!V$7)</f>
        <v>0</v>
      </c>
      <c r="X29" s="772">
        <f>IF($C29="","",영업용!W$7)</f>
        <v>0</v>
      </c>
      <c r="Y29" s="772">
        <f>IF($C29="","",영업용!X$7)</f>
        <v>0</v>
      </c>
      <c r="Z29" s="772">
        <f>IF($C29="","",영업용!Y$7)</f>
        <v>0</v>
      </c>
      <c r="AA29" s="772">
        <f>IF($C29="","",영업용!Z$7)</f>
        <v>0</v>
      </c>
      <c r="AB29" s="772">
        <f>IF($C29="","",영업용!AA$7)</f>
        <v>0</v>
      </c>
      <c r="AC29" s="772">
        <f>IF($C29="","",영업용!AB$7)</f>
        <v>0</v>
      </c>
      <c r="AD29" s="772">
        <f>IF($C29="","",영업용!AC$7)</f>
        <v>0</v>
      </c>
      <c r="AE29" s="772">
        <f>IF($C29="","",영업용!AD$7)</f>
        <v>0</v>
      </c>
      <c r="AF29" s="772">
        <f>IF($C29="","",영업용!AE$7)</f>
        <v>0</v>
      </c>
      <c r="AG29" s="772">
        <f>IF($C29="","",영업용!AF$7)</f>
        <v>0</v>
      </c>
      <c r="AH29" s="772">
        <f>IF($C29="","",영업용!AG$7)</f>
        <v>0</v>
      </c>
      <c r="AI29" s="772">
        <f>IF($C29="","",영업용!AH$7)</f>
        <v>0</v>
      </c>
      <c r="AJ29" s="772">
        <f>IF($C29="","",영업용!AI$7)</f>
        <v>0</v>
      </c>
      <c r="AK29" s="772">
        <f>IF($C29="","",영업용!AJ$7)</f>
        <v>0</v>
      </c>
      <c r="AL29" s="772">
        <f>IF($C29="","",영업용!AK$7)</f>
        <v>0</v>
      </c>
      <c r="AM29" s="772">
        <f>IF($C29="","",영업용!AL$7)</f>
        <v>0</v>
      </c>
      <c r="AN29" s="772">
        <f>IF($C29="","",영업용!AM$7)</f>
        <v>0</v>
      </c>
      <c r="AO29" s="772">
        <f>IF($C29="","",영업용!AN$7)</f>
        <v>0</v>
      </c>
      <c r="AP29" s="772">
        <f>IF($C29="","",영업용!AO$7)</f>
        <v>0</v>
      </c>
      <c r="AQ29" s="772">
        <f>IF($C29="","",영업용!AP$7)</f>
        <v>0</v>
      </c>
      <c r="AR29" s="772">
        <f>IF($C29="","",영업용!AQ$7)</f>
        <v>0</v>
      </c>
      <c r="AS29" s="772">
        <f>IF($C29="","",영업용!AR$7)</f>
        <v>0</v>
      </c>
      <c r="AT29" s="772">
        <f>IF($C29="","",영업용!AS$7)</f>
        <v>0</v>
      </c>
      <c r="AU29" s="772">
        <f>IF($C29="","",영업용!AT$7)</f>
        <v>0</v>
      </c>
      <c r="AV29" s="772">
        <f>IF($C29="","",영업용!AU$7)</f>
        <v>0</v>
      </c>
      <c r="AW29" s="772">
        <f>IF($C29="","",영업용!AV$7)</f>
        <v>0</v>
      </c>
      <c r="AX29" s="772">
        <f>IF($C29="","",영업용!AW$7)</f>
        <v>0</v>
      </c>
      <c r="AY29" s="772">
        <f>IF($C29="","",영업용!AX$7)</f>
        <v>0</v>
      </c>
      <c r="AZ29" s="772">
        <f>IF($C29="","",영업용!AY$7)</f>
        <v>0</v>
      </c>
      <c r="BA29" s="772">
        <f>IF($C29="","",영업용!AZ$7)</f>
        <v>0</v>
      </c>
      <c r="BB29" s="772">
        <f>IF($C29="","",영업용!BA$7)</f>
        <v>0</v>
      </c>
      <c r="BC29" s="772">
        <f>IF($C29="","",영업용!BB$7)</f>
        <v>0</v>
      </c>
      <c r="BD29" s="772">
        <f>IF($C29="","",영업용!BC$7)</f>
        <v>0</v>
      </c>
      <c r="BE29" s="772">
        <f>IF($C29="","",영업용!BD$7)</f>
        <v>0</v>
      </c>
      <c r="BF29" s="772">
        <f>IF($C29="","",영업용!BE$7)</f>
        <v>0</v>
      </c>
      <c r="BG29" s="772">
        <f>IF($C29="","",영업용!BF$7)</f>
        <v>0</v>
      </c>
      <c r="BH29" s="772">
        <f>IF($C29="","",영업용!BG$7)</f>
        <v>0</v>
      </c>
      <c r="BI29" s="772">
        <f>IF($C29="","",영업용!BH$7)</f>
        <v>0</v>
      </c>
      <c r="BJ29" s="772">
        <f>IF($C29="","",영업용!BI$7)</f>
        <v>0</v>
      </c>
      <c r="BK29" s="772">
        <f>IF($C29="","",영업용!BJ$7)</f>
        <v>0</v>
      </c>
      <c r="BL29" s="772">
        <f>IF($C29="","",영업용!BK$7)</f>
        <v>0</v>
      </c>
      <c r="BM29" s="772">
        <f>IF($C29="","",영업용!BL$7)</f>
        <v>0</v>
      </c>
      <c r="BN29" s="772">
        <f>IF($C29="","",영업용!BM$7)</f>
        <v>0</v>
      </c>
      <c r="BO29" s="772">
        <f>IF($C29="","",영업용!BN$7)</f>
        <v>0</v>
      </c>
      <c r="BP29" s="772">
        <f>IF($C29="","",영업용!BO$7)</f>
        <v>31</v>
      </c>
      <c r="BQ29" s="809">
        <f>IF($C29="","",영업용!BP$7)</f>
        <v>0</v>
      </c>
      <c r="BR29" s="810" t="str">
        <f>IF($C29="","",영업용!BQ$7)</f>
        <v>한도초과</v>
      </c>
      <c r="BS29" s="812" t="e">
        <f>IF($C29="","",영업용!BR$7)</f>
        <v>#DIV/0!</v>
      </c>
      <c r="BT29" s="773"/>
    </row>
    <row r="30" spans="1:74" s="569" customFormat="1" ht="39.950000000000003" hidden="1" customHeight="1" thickBot="1">
      <c r="A30" s="677"/>
      <c r="C30" s="708"/>
      <c r="D30" s="709"/>
      <c r="E30" s="694"/>
      <c r="F30" s="711"/>
      <c r="G30" s="711"/>
      <c r="H30" s="711"/>
      <c r="I30" s="712"/>
      <c r="J30" s="712"/>
      <c r="K30" s="712"/>
      <c r="L30" s="713"/>
      <c r="M30" s="712"/>
      <c r="N30" s="713"/>
      <c r="O30" s="713"/>
      <c r="P30" s="713"/>
      <c r="Q30" s="713"/>
      <c r="R30" s="713"/>
      <c r="S30" s="713"/>
      <c r="T30" s="713"/>
      <c r="U30" s="713"/>
      <c r="V30" s="713"/>
      <c r="W30" s="713"/>
      <c r="X30" s="713"/>
      <c r="Y30" s="713"/>
      <c r="Z30" s="713"/>
      <c r="AA30" s="712"/>
      <c r="AB30" s="713"/>
      <c r="AC30" s="712"/>
      <c r="AD30" s="713"/>
      <c r="AE30" s="712"/>
      <c r="AF30" s="713"/>
      <c r="AG30" s="712"/>
      <c r="AH30" s="714"/>
      <c r="AI30" s="699"/>
      <c r="AJ30" s="699"/>
      <c r="AK30" s="699"/>
      <c r="AL30" s="699"/>
      <c r="AM30" s="699"/>
      <c r="AN30" s="699"/>
      <c r="AO30" s="699"/>
      <c r="AP30" s="699"/>
      <c r="AQ30" s="699"/>
      <c r="AR30" s="699"/>
      <c r="AS30" s="699"/>
      <c r="AT30" s="699"/>
      <c r="AU30" s="713"/>
      <c r="AV30" s="713"/>
      <c r="AW30" s="713"/>
      <c r="AX30" s="713"/>
      <c r="AY30" s="715"/>
      <c r="AZ30" s="716"/>
      <c r="BA30" s="714"/>
      <c r="BB30" s="714"/>
      <c r="BC30" s="714"/>
      <c r="BD30" s="714"/>
      <c r="BE30" s="714"/>
      <c r="BF30" s="714"/>
      <c r="BG30" s="714"/>
      <c r="BH30" s="714"/>
      <c r="BI30" s="714"/>
      <c r="BJ30" s="714"/>
      <c r="BK30" s="714"/>
      <c r="BL30" s="714"/>
      <c r="BM30" s="714"/>
      <c r="BN30" s="714"/>
      <c r="BO30" s="714"/>
      <c r="BP30" s="714"/>
      <c r="BQ30" s="717"/>
      <c r="BR30" s="703"/>
      <c r="BS30" s="704"/>
      <c r="BT30" s="705"/>
    </row>
    <row r="31" spans="1:74" s="569" customFormat="1" ht="39.950000000000003" hidden="1" customHeight="1">
      <c r="A31" s="677"/>
      <c r="C31" s="1551"/>
      <c r="D31" s="1552"/>
      <c r="E31" s="1553"/>
      <c r="F31" s="1554"/>
      <c r="G31" s="1554"/>
      <c r="H31" s="1554"/>
      <c r="I31" s="1555"/>
      <c r="J31" s="1555"/>
      <c r="K31" s="1555"/>
      <c r="L31" s="1556"/>
      <c r="M31" s="1555"/>
      <c r="N31" s="1556"/>
      <c r="O31" s="1556"/>
      <c r="P31" s="1556"/>
      <c r="Q31" s="1556"/>
      <c r="R31" s="1556"/>
      <c r="S31" s="1556"/>
      <c r="T31" s="1556"/>
      <c r="U31" s="1556"/>
      <c r="V31" s="1556"/>
      <c r="W31" s="1556"/>
      <c r="X31" s="1556"/>
      <c r="Y31" s="1556"/>
      <c r="Z31" s="1556"/>
      <c r="AA31" s="1555"/>
      <c r="AB31" s="1556"/>
      <c r="AC31" s="1555"/>
      <c r="AD31" s="1556"/>
      <c r="AE31" s="1555"/>
      <c r="AF31" s="1556"/>
      <c r="AG31" s="1555"/>
      <c r="AH31" s="1557"/>
      <c r="AI31" s="1558"/>
      <c r="AJ31" s="1558"/>
      <c r="AK31" s="1558"/>
      <c r="AL31" s="1558"/>
      <c r="AM31" s="1558"/>
      <c r="AN31" s="1558"/>
      <c r="AO31" s="1558"/>
      <c r="AP31" s="1558"/>
      <c r="AQ31" s="1558"/>
      <c r="AR31" s="1558"/>
      <c r="AS31" s="1558"/>
      <c r="AT31" s="1558"/>
      <c r="AU31" s="1556"/>
      <c r="AV31" s="1556"/>
      <c r="AW31" s="1556"/>
      <c r="AX31" s="1556"/>
      <c r="AY31" s="1559"/>
      <c r="AZ31" s="1560"/>
      <c r="BA31" s="1557"/>
      <c r="BB31" s="1557"/>
      <c r="BC31" s="1557"/>
      <c r="BD31" s="1557"/>
      <c r="BE31" s="1557"/>
      <c r="BF31" s="1557"/>
      <c r="BG31" s="1557"/>
      <c r="BH31" s="1557"/>
      <c r="BI31" s="1557"/>
      <c r="BJ31" s="1557"/>
      <c r="BK31" s="1557"/>
      <c r="BL31" s="1557"/>
      <c r="BM31" s="1557"/>
      <c r="BN31" s="1557"/>
      <c r="BO31" s="1557"/>
      <c r="BP31" s="1557"/>
      <c r="BQ31" s="1561"/>
      <c r="BR31" s="1562"/>
      <c r="BS31" s="1563"/>
      <c r="BT31" s="1564"/>
    </row>
    <row r="32" spans="1:74" s="569" customFormat="1" ht="73.5" hidden="1" customHeight="1">
      <c r="A32" s="677"/>
      <c r="C32" s="770">
        <f>주택용!C7</f>
        <v>0</v>
      </c>
      <c r="D32" s="771" t="s">
        <v>243</v>
      </c>
      <c r="E32" s="772">
        <f>IF($C32="","",주택용!D$7)</f>
        <v>0</v>
      </c>
      <c r="F32" s="772">
        <f>IF($C32="","",주택용!E$7)</f>
        <v>0</v>
      </c>
      <c r="G32" s="772">
        <f>IF($C32="","",주택용!F$7)</f>
        <v>0</v>
      </c>
      <c r="H32" s="772">
        <f>IF($C32="","",주택용!G$7)</f>
        <v>0</v>
      </c>
      <c r="I32" s="772">
        <f>IF($C32="","",주택용!H$7)</f>
        <v>0</v>
      </c>
      <c r="J32" s="772">
        <f>IF($C32="","",주택용!I$7)</f>
        <v>0</v>
      </c>
      <c r="K32" s="772">
        <f>IF($C32="","",주택용!J$7)</f>
        <v>0</v>
      </c>
      <c r="L32" s="772">
        <f>IF($C32="","",주택용!K$7)</f>
        <v>0</v>
      </c>
      <c r="M32" s="772">
        <f>IF($C32="","",주택용!L$7)</f>
        <v>0</v>
      </c>
      <c r="N32" s="772">
        <f>IF($C32="","",주택용!M$7)</f>
        <v>0</v>
      </c>
      <c r="O32" s="772">
        <f>IF($C32="","",주택용!N$7)</f>
        <v>0</v>
      </c>
      <c r="P32" s="772">
        <f>IF($C32="","",주택용!O$7)</f>
        <v>0</v>
      </c>
      <c r="Q32" s="772">
        <f>IF($C32="","",주택용!P$7)</f>
        <v>0</v>
      </c>
      <c r="R32" s="772">
        <f>IF($C32="","",주택용!Q$7)</f>
        <v>0</v>
      </c>
      <c r="S32" s="772">
        <f>IF($C32="","",주택용!R$7)</f>
        <v>0</v>
      </c>
      <c r="T32" s="772">
        <f>IF($C32="","",주택용!S$7)</f>
        <v>0</v>
      </c>
      <c r="U32" s="772">
        <f>IF($C32="","",주택용!T$7)</f>
        <v>0</v>
      </c>
      <c r="V32" s="772">
        <f>IF($C32="","",주택용!U$7)</f>
        <v>0</v>
      </c>
      <c r="W32" s="772">
        <f>IF($C32="","",주택용!V$7)</f>
        <v>0</v>
      </c>
      <c r="X32" s="772">
        <f>IF($C32="","",주택용!W$7)</f>
        <v>0</v>
      </c>
      <c r="Y32" s="772">
        <f>IF($C32="","",주택용!X$7)</f>
        <v>0</v>
      </c>
      <c r="Z32" s="772">
        <f>IF($C32="","",주택용!Y$7)</f>
        <v>0</v>
      </c>
      <c r="AA32" s="772">
        <f>IF($C32="","",주택용!Z$7)</f>
        <v>0</v>
      </c>
      <c r="AB32" s="772">
        <f>IF($C32="","",주택용!AA$7)</f>
        <v>0</v>
      </c>
      <c r="AC32" s="772">
        <f>IF($C32="","",주택용!AB$7)</f>
        <v>0</v>
      </c>
      <c r="AD32" s="772">
        <f>IF($C32="","",주택용!AC$7)</f>
        <v>0</v>
      </c>
      <c r="AE32" s="772">
        <f>IF($C32="","",주택용!AD$7)</f>
        <v>0</v>
      </c>
      <c r="AF32" s="772">
        <f>IF($C32="","",주택용!AE$7)</f>
        <v>0</v>
      </c>
      <c r="AG32" s="772">
        <f>IF($C32="","",주택용!AF$7)</f>
        <v>0</v>
      </c>
      <c r="AH32" s="772">
        <f>IF($C32="","",주택용!AG$7)</f>
        <v>0</v>
      </c>
      <c r="AI32" s="772">
        <f>IF($C32="","",주택용!AH$7)</f>
        <v>0</v>
      </c>
      <c r="AJ32" s="772">
        <f>IF($C32="","",주택용!AI$7)</f>
        <v>0</v>
      </c>
      <c r="AK32" s="772">
        <f>IF($C32="","",주택용!AJ$7)</f>
        <v>0</v>
      </c>
      <c r="AL32" s="772">
        <f>IF($C32="","",주택용!AK$7)</f>
        <v>0</v>
      </c>
      <c r="AM32" s="772">
        <f>IF($C32="","",주택용!AL$7)</f>
        <v>0</v>
      </c>
      <c r="AN32" s="772">
        <f>IF($C32="","",주택용!AM$7)</f>
        <v>0</v>
      </c>
      <c r="AO32" s="772">
        <f>IF($C32="","",주택용!AN$7)</f>
        <v>0</v>
      </c>
      <c r="AP32" s="772">
        <f>IF($C32="","",주택용!AO$7)</f>
        <v>0</v>
      </c>
      <c r="AQ32" s="772">
        <f>IF($C32="","",주택용!AP$7)</f>
        <v>0</v>
      </c>
      <c r="AR32" s="772">
        <f>IF($C32="","",주택용!AQ$7)</f>
        <v>0</v>
      </c>
      <c r="AS32" s="772">
        <f>IF($C32="","",주택용!AR$7)</f>
        <v>0</v>
      </c>
      <c r="AT32" s="772">
        <f>IF($C32="","",주택용!AS$7)</f>
        <v>0</v>
      </c>
      <c r="AU32" s="772">
        <f>IF($C32="","",주택용!AT$7)</f>
        <v>0</v>
      </c>
      <c r="AV32" s="772">
        <f>IF($C32="","",주택용!AU$7)</f>
        <v>0</v>
      </c>
      <c r="AW32" s="772">
        <f>IF($C32="","",주택용!AV$7)</f>
        <v>0</v>
      </c>
      <c r="AX32" s="772">
        <f>IF($C32="","",주택용!AW$7)</f>
        <v>0</v>
      </c>
      <c r="AY32" s="772">
        <f>IF($C32="","",주택용!AX$7)</f>
        <v>0</v>
      </c>
      <c r="AZ32" s="772">
        <f>IF($C32="","",주택용!AY$7)</f>
        <v>0</v>
      </c>
      <c r="BA32" s="772">
        <f>IF($C32="","",주택용!AZ$7)</f>
        <v>0</v>
      </c>
      <c r="BB32" s="772">
        <f>IF($C32="","",주택용!BA$7)</f>
        <v>0</v>
      </c>
      <c r="BC32" s="772">
        <f>IF($C32="","",주택용!BB$7)</f>
        <v>0</v>
      </c>
      <c r="BD32" s="772">
        <f>IF($C32="","",주택용!BC$7)</f>
        <v>0</v>
      </c>
      <c r="BE32" s="772">
        <f>IF($C32="","",주택용!BD$7)</f>
        <v>0</v>
      </c>
      <c r="BF32" s="772">
        <f>IF($C32="","",주택용!BE$7)</f>
        <v>0</v>
      </c>
      <c r="BG32" s="772">
        <f>IF($C32="","",주택용!BF$7)</f>
        <v>0</v>
      </c>
      <c r="BH32" s="772">
        <f>IF($C32="","",주택용!BG$7)</f>
        <v>0</v>
      </c>
      <c r="BI32" s="772">
        <f>IF($C32="","",주택용!BH$7)</f>
        <v>0</v>
      </c>
      <c r="BJ32" s="772">
        <f>IF($C32="","",주택용!BI$7)</f>
        <v>0</v>
      </c>
      <c r="BK32" s="772">
        <f>IF($C32="","",주택용!BJ$7)</f>
        <v>0</v>
      </c>
      <c r="BL32" s="772">
        <f>IF($C32="","",주택용!BK$7)</f>
        <v>0</v>
      </c>
      <c r="BM32" s="772">
        <f>IF($C32="","",주택용!BL$7)</f>
        <v>0</v>
      </c>
      <c r="BN32" s="772">
        <f>IF($C32="","",주택용!BM$7)</f>
        <v>0</v>
      </c>
      <c r="BO32" s="772">
        <f>IF($C32="","",주택용!BN$7)</f>
        <v>0</v>
      </c>
      <c r="BP32" s="772" t="str">
        <f>IF($C32="","",주택용!BO$7)</f>
        <v xml:space="preserve">30년 초과 </v>
      </c>
      <c r="BQ32" s="809">
        <f>IF($C32="","",주택용!BP$7)</f>
        <v>-46210408.054396279</v>
      </c>
      <c r="BR32" s="1411"/>
      <c r="BS32" s="812">
        <f>IF($C32="","",주택용!BR$7)</f>
        <v>7.1759259259259256</v>
      </c>
      <c r="BT32" s="773"/>
      <c r="BU32" s="569" t="s">
        <v>486</v>
      </c>
      <c r="BV32" s="569" t="s">
        <v>485</v>
      </c>
    </row>
    <row r="33" spans="1:72" s="569" customFormat="1" ht="39.950000000000003" hidden="1" customHeight="1">
      <c r="A33" s="677"/>
      <c r="C33" s="692"/>
      <c r="D33" s="693"/>
      <c r="E33" s="710"/>
      <c r="F33" s="720"/>
      <c r="G33" s="720"/>
      <c r="H33" s="720"/>
      <c r="I33" s="721"/>
      <c r="J33" s="721"/>
      <c r="K33" s="721"/>
      <c r="L33" s="722"/>
      <c r="M33" s="721"/>
      <c r="N33" s="722"/>
      <c r="O33" s="722"/>
      <c r="P33" s="722"/>
      <c r="Q33" s="722"/>
      <c r="R33" s="722"/>
      <c r="S33" s="722"/>
      <c r="T33" s="722"/>
      <c r="U33" s="722"/>
      <c r="V33" s="722"/>
      <c r="W33" s="722"/>
      <c r="X33" s="722"/>
      <c r="Y33" s="722"/>
      <c r="Z33" s="722"/>
      <c r="AA33" s="721"/>
      <c r="AB33" s="722"/>
      <c r="AC33" s="721"/>
      <c r="AD33" s="722"/>
      <c r="AE33" s="721"/>
      <c r="AF33" s="722"/>
      <c r="AG33" s="721"/>
      <c r="AH33" s="723"/>
      <c r="AI33" s="699"/>
      <c r="AJ33" s="699"/>
      <c r="AK33" s="699"/>
      <c r="AL33" s="699"/>
      <c r="AM33" s="699"/>
      <c r="AN33" s="699"/>
      <c r="AO33" s="699"/>
      <c r="AP33" s="699"/>
      <c r="AQ33" s="699"/>
      <c r="AR33" s="699"/>
      <c r="AS33" s="699"/>
      <c r="AT33" s="699"/>
      <c r="AU33" s="722"/>
      <c r="AV33" s="722"/>
      <c r="AW33" s="722"/>
      <c r="AX33" s="722"/>
      <c r="AY33" s="724"/>
      <c r="AZ33" s="725"/>
      <c r="BA33" s="723"/>
      <c r="BB33" s="723"/>
      <c r="BC33" s="723"/>
      <c r="BD33" s="723"/>
      <c r="BE33" s="723"/>
      <c r="BF33" s="723"/>
      <c r="BG33" s="723"/>
      <c r="BH33" s="723"/>
      <c r="BI33" s="723"/>
      <c r="BJ33" s="723"/>
      <c r="BK33" s="723"/>
      <c r="BL33" s="723"/>
      <c r="BM33" s="723"/>
      <c r="BN33" s="723"/>
      <c r="BO33" s="723"/>
      <c r="BP33" s="723"/>
      <c r="BQ33" s="717"/>
      <c r="BR33" s="703"/>
      <c r="BS33" s="704"/>
      <c r="BT33" s="726"/>
    </row>
    <row r="34" spans="1:72" s="569" customFormat="1" ht="39.950000000000003" hidden="1" customHeight="1" thickBot="1">
      <c r="A34" s="677"/>
      <c r="C34" s="727"/>
      <c r="D34" s="1675"/>
      <c r="E34" s="729"/>
      <c r="F34" s="730"/>
      <c r="G34" s="730"/>
      <c r="H34" s="730"/>
      <c r="I34" s="1676"/>
      <c r="J34" s="1676"/>
      <c r="K34" s="1676"/>
      <c r="L34" s="1677"/>
      <c r="M34" s="1676"/>
      <c r="N34" s="1677"/>
      <c r="O34" s="1677"/>
      <c r="P34" s="1677"/>
      <c r="Q34" s="1677"/>
      <c r="R34" s="1677"/>
      <c r="S34" s="1677"/>
      <c r="T34" s="1677"/>
      <c r="U34" s="1677"/>
      <c r="V34" s="1677"/>
      <c r="W34" s="1677"/>
      <c r="X34" s="1677"/>
      <c r="Y34" s="1677"/>
      <c r="Z34" s="1677"/>
      <c r="AA34" s="1676"/>
      <c r="AB34" s="1677"/>
      <c r="AC34" s="1676"/>
      <c r="AD34" s="1677"/>
      <c r="AE34" s="1676"/>
      <c r="AF34" s="1677"/>
      <c r="AG34" s="1676"/>
      <c r="AH34" s="1678"/>
      <c r="AI34" s="734"/>
      <c r="AJ34" s="734"/>
      <c r="AK34" s="734"/>
      <c r="AL34" s="734"/>
      <c r="AM34" s="734"/>
      <c r="AN34" s="734"/>
      <c r="AO34" s="734"/>
      <c r="AP34" s="734"/>
      <c r="AQ34" s="734"/>
      <c r="AR34" s="734"/>
      <c r="AS34" s="734"/>
      <c r="AT34" s="734"/>
      <c r="AU34" s="1677"/>
      <c r="AV34" s="1677"/>
      <c r="AW34" s="1677"/>
      <c r="AX34" s="1677"/>
      <c r="AY34" s="1679"/>
      <c r="AZ34" s="1680"/>
      <c r="BA34" s="1678"/>
      <c r="BB34" s="1678"/>
      <c r="BC34" s="1678"/>
      <c r="BD34" s="1678"/>
      <c r="BE34" s="1678"/>
      <c r="BF34" s="1678"/>
      <c r="BG34" s="1678"/>
      <c r="BH34" s="1678"/>
      <c r="BI34" s="1678"/>
      <c r="BJ34" s="1678"/>
      <c r="BK34" s="1678"/>
      <c r="BL34" s="1678"/>
      <c r="BM34" s="1678"/>
      <c r="BN34" s="1678"/>
      <c r="BO34" s="1678"/>
      <c r="BP34" s="1678"/>
      <c r="BQ34" s="1681"/>
      <c r="BR34" s="1682"/>
      <c r="BS34" s="1683"/>
      <c r="BT34" s="1684"/>
    </row>
    <row r="35" spans="1:72" s="569" customFormat="1" ht="73.5" customHeight="1">
      <c r="A35" s="677"/>
      <c r="C35" s="1852">
        <f>투자보수율가산!C7</f>
        <v>1</v>
      </c>
      <c r="D35" s="1853" t="s">
        <v>329</v>
      </c>
      <c r="E35" s="1854">
        <f>IF($C35="","",투자보수율가산!D$7)</f>
        <v>51</v>
      </c>
      <c r="F35" s="1854">
        <f>IF($C35="","",투자보수율가산!E$7)</f>
        <v>35554000</v>
      </c>
      <c r="G35" s="1854">
        <f>IF($C35="","",투자보수율가산!F$7)</f>
        <v>0</v>
      </c>
      <c r="H35" s="1854">
        <f>IF($C35="","",투자보수율가산!G$7)</f>
        <v>35554000</v>
      </c>
      <c r="I35" s="1854">
        <f>IF($C35="","",투자보수율가산!H$7)</f>
        <v>0</v>
      </c>
      <c r="J35" s="1854">
        <f>IF($C35="","",투자보수율가산!I$7)</f>
        <v>0</v>
      </c>
      <c r="K35" s="1854">
        <f>IF($C35="","",투자보수율가산!J$7)</f>
        <v>0</v>
      </c>
      <c r="L35" s="1854">
        <f>IF($C35="","",투자보수율가산!K$7)</f>
        <v>0</v>
      </c>
      <c r="M35" s="1854">
        <f>IF($C35="","",투자보수율가산!L$7)</f>
        <v>0</v>
      </c>
      <c r="N35" s="1854">
        <f>IF($C35="","",투자보수율가산!M$7)</f>
        <v>0</v>
      </c>
      <c r="O35" s="1854">
        <f>IF($C35="","",투자보수율가산!N$7)</f>
        <v>0</v>
      </c>
      <c r="P35" s="1854">
        <f>IF($C35="","",투자보수율가산!O$7)</f>
        <v>0</v>
      </c>
      <c r="Q35" s="1854">
        <f>IF($C35="","",투자보수율가산!P$7)</f>
        <v>0</v>
      </c>
      <c r="R35" s="1854">
        <f>IF($C35="","",투자보수율가산!Q$7)</f>
        <v>0</v>
      </c>
      <c r="S35" s="1854">
        <f>IF($C35="","",투자보수율가산!R$7)</f>
        <v>0</v>
      </c>
      <c r="T35" s="1854">
        <f>IF($C35="","",투자보수율가산!S$7)</f>
        <v>0</v>
      </c>
      <c r="U35" s="1854">
        <f>IF($C35="","",투자보수율가산!T$7)</f>
        <v>0</v>
      </c>
      <c r="V35" s="1854">
        <f>IF($C35="","",투자보수율가산!U$7)</f>
        <v>0</v>
      </c>
      <c r="W35" s="1854">
        <f>IF($C35="","",투자보수율가산!V$7)</f>
        <v>0</v>
      </c>
      <c r="X35" s="1854">
        <f>IF($C35="","",투자보수율가산!W$7)</f>
        <v>0</v>
      </c>
      <c r="Y35" s="1854">
        <f>IF($C35="","",투자보수율가산!X$7)</f>
        <v>0</v>
      </c>
      <c r="Z35" s="1854">
        <f>IF($C35="","",투자보수율가산!Y$7)</f>
        <v>0</v>
      </c>
      <c r="AA35" s="1854">
        <f>IF($C35="","",투자보수율가산!Z$7)</f>
        <v>0</v>
      </c>
      <c r="AB35" s="1854">
        <f>IF($C35="","",투자보수율가산!AA$7)</f>
        <v>0</v>
      </c>
      <c r="AC35" s="1854">
        <f>IF($C35="","",투자보수율가산!AB$7)</f>
        <v>0</v>
      </c>
      <c r="AD35" s="1854">
        <f>IF($C35="","",투자보수율가산!AC$7)</f>
        <v>0</v>
      </c>
      <c r="AE35" s="1854">
        <f>IF($C35="","",투자보수율가산!AD$7)</f>
        <v>0</v>
      </c>
      <c r="AF35" s="1854">
        <f>IF($C35="","",투자보수율가산!AE$7)</f>
        <v>0</v>
      </c>
      <c r="AG35" s="1854">
        <f>IF($C35="","",투자보수율가산!AF$7)</f>
        <v>0</v>
      </c>
      <c r="AH35" s="1854">
        <f>IF($C35="","",투자보수율가산!AG$7)</f>
        <v>0</v>
      </c>
      <c r="AI35" s="1854">
        <f>IF($C35="","",투자보수율가산!AH$7)</f>
        <v>0</v>
      </c>
      <c r="AJ35" s="1854">
        <f>IF($C35="","",투자보수율가산!AI$7)</f>
        <v>0</v>
      </c>
      <c r="AK35" s="1854">
        <f>IF($C35="","",투자보수율가산!AJ$7)</f>
        <v>0</v>
      </c>
      <c r="AL35" s="1854">
        <f>IF($C35="","",투자보수율가산!AK$7)</f>
        <v>0</v>
      </c>
      <c r="AM35" s="1854">
        <f>IF($C35="","",투자보수율가산!AL$7)</f>
        <v>0</v>
      </c>
      <c r="AN35" s="1854">
        <f>IF($C35="","",투자보수율가산!AM$7)</f>
        <v>0</v>
      </c>
      <c r="AO35" s="1854">
        <f>IF($C35="","",투자보수율가산!AN$7)</f>
        <v>0</v>
      </c>
      <c r="AP35" s="1854">
        <f>IF($C35="","",투자보수율가산!AO$7)</f>
        <v>0</v>
      </c>
      <c r="AQ35" s="1854">
        <f>IF($C35="","",투자보수율가산!AP$7)</f>
        <v>0</v>
      </c>
      <c r="AR35" s="1854">
        <f>IF($C35="","",투자보수율가산!AQ$7)</f>
        <v>0</v>
      </c>
      <c r="AS35" s="1854">
        <f>IF($C35="","",투자보수율가산!AR$7)</f>
        <v>0</v>
      </c>
      <c r="AT35" s="1854">
        <f>IF($C35="","",투자보수율가산!AS$7)</f>
        <v>0</v>
      </c>
      <c r="AU35" s="1854">
        <f>IF($C35="","",투자보수율가산!AT$7)</f>
        <v>1636560</v>
      </c>
      <c r="AV35" s="1854">
        <f>IF($C35="","",투자보수율가산!AU$7)</f>
        <v>0</v>
      </c>
      <c r="AW35" s="1854">
        <f>IF($C35="","",투자보수율가산!AV$7)</f>
        <v>89208</v>
      </c>
      <c r="AX35" s="1854">
        <f>IF($C35="","",투자보수율가산!AW$7)</f>
        <v>1725768</v>
      </c>
      <c r="AY35" s="1854">
        <f>IF($C35="","",투자보수율가산!AX$7)</f>
        <v>0</v>
      </c>
      <c r="AZ35" s="1854">
        <f>IF($C35="","",투자보수율가산!AY$7)</f>
        <v>0</v>
      </c>
      <c r="BA35" s="1854">
        <f>IF($C35="","",투자보수율가산!AZ$7)</f>
        <v>0</v>
      </c>
      <c r="BB35" s="1854">
        <f>IF($C35="","",투자보수율가산!BA$7)</f>
        <v>0</v>
      </c>
      <c r="BC35" s="1854">
        <f>IF($C35="","",투자보수율가산!BB$7)</f>
        <v>0</v>
      </c>
      <c r="BD35" s="1854">
        <f>IF($C35="","",투자보수율가산!BC$7)</f>
        <v>0</v>
      </c>
      <c r="BE35" s="1854">
        <f>IF($C35="","",투자보수율가산!BD$7)</f>
        <v>0</v>
      </c>
      <c r="BF35" s="1854">
        <f>IF($C35="","",투자보수율가산!BE$7)</f>
        <v>0</v>
      </c>
      <c r="BG35" s="1854">
        <f>IF($C35="","",투자보수율가산!BF$7)</f>
        <v>0</v>
      </c>
      <c r="BH35" s="1854">
        <f>IF($C35="","",투자보수율가산!BG$7)</f>
        <v>0</v>
      </c>
      <c r="BI35" s="1854">
        <f>IF($C35="","",투자보수율가산!BH$7)</f>
        <v>0</v>
      </c>
      <c r="BJ35" s="1854">
        <f>IF($C35="","",투자보수율가산!BI$7)</f>
        <v>0</v>
      </c>
      <c r="BK35" s="1854">
        <f>IF($C35="","",투자보수율가산!BJ$7)</f>
        <v>0</v>
      </c>
      <c r="BL35" s="1854">
        <f>IF($C35="","",투자보수율가산!BK$7)</f>
        <v>0</v>
      </c>
      <c r="BM35" s="1854">
        <f>IF($C35="","",투자보수율가산!BL$7)</f>
        <v>0</v>
      </c>
      <c r="BN35" s="1854">
        <f>IF($C35="","",투자보수율가산!BM$7)</f>
        <v>0</v>
      </c>
      <c r="BO35" s="1854">
        <f>IF($C35="","",투자보수율가산!BN$7)</f>
        <v>0</v>
      </c>
      <c r="BP35" s="1854">
        <f>IF($C35="","",투자보수율가산!BO$7)</f>
        <v>0</v>
      </c>
      <c r="BQ35" s="1854">
        <f>IF($C35="","",투자보수율가산!BP$7)</f>
        <v>0</v>
      </c>
      <c r="BR35" s="1854">
        <f>IF($C35="","",투자보수율가산!BQ$7)</f>
        <v>0</v>
      </c>
      <c r="BS35" s="1854">
        <f>IF($C35="","",투자보수율가산!BR$7)</f>
        <v>0</v>
      </c>
      <c r="BT35" s="1855"/>
    </row>
    <row r="36" spans="1:72" s="569" customFormat="1" ht="39.950000000000003" customHeight="1" thickBot="1">
      <c r="A36" s="677"/>
      <c r="C36" s="1838"/>
      <c r="D36" s="1839"/>
      <c r="E36" s="1840"/>
      <c r="F36" s="1841"/>
      <c r="G36" s="1841"/>
      <c r="H36" s="1841"/>
      <c r="I36" s="1842"/>
      <c r="J36" s="1842"/>
      <c r="K36" s="1842"/>
      <c r="L36" s="1843"/>
      <c r="M36" s="1842"/>
      <c r="N36" s="1843"/>
      <c r="O36" s="1843"/>
      <c r="P36" s="1843"/>
      <c r="Q36" s="1843"/>
      <c r="R36" s="1843"/>
      <c r="S36" s="1843"/>
      <c r="T36" s="1843"/>
      <c r="U36" s="1843"/>
      <c r="V36" s="1843"/>
      <c r="W36" s="1843"/>
      <c r="X36" s="1843"/>
      <c r="Y36" s="1843"/>
      <c r="Z36" s="1843"/>
      <c r="AA36" s="1842"/>
      <c r="AB36" s="1843"/>
      <c r="AC36" s="1842"/>
      <c r="AD36" s="1843"/>
      <c r="AE36" s="1842"/>
      <c r="AF36" s="1843"/>
      <c r="AG36" s="1842"/>
      <c r="AH36" s="1844"/>
      <c r="AI36" s="1845"/>
      <c r="AJ36" s="1845"/>
      <c r="AK36" s="1845"/>
      <c r="AL36" s="1845"/>
      <c r="AM36" s="1845"/>
      <c r="AN36" s="1845"/>
      <c r="AO36" s="1845"/>
      <c r="AP36" s="1845"/>
      <c r="AQ36" s="1845"/>
      <c r="AR36" s="1845"/>
      <c r="AS36" s="1845"/>
      <c r="AT36" s="1845"/>
      <c r="AU36" s="1843"/>
      <c r="AV36" s="1843"/>
      <c r="AW36" s="1843"/>
      <c r="AX36" s="1843"/>
      <c r="AY36" s="1846"/>
      <c r="AZ36" s="1847"/>
      <c r="BA36" s="1844"/>
      <c r="BB36" s="1844"/>
      <c r="BC36" s="1844"/>
      <c r="BD36" s="1844"/>
      <c r="BE36" s="1844"/>
      <c r="BF36" s="1844"/>
      <c r="BG36" s="1844"/>
      <c r="BH36" s="1844"/>
      <c r="BI36" s="1844"/>
      <c r="BJ36" s="1844"/>
      <c r="BK36" s="1844"/>
      <c r="BL36" s="1844"/>
      <c r="BM36" s="1844"/>
      <c r="BN36" s="1844"/>
      <c r="BO36" s="1844"/>
      <c r="BP36" s="1844"/>
      <c r="BQ36" s="1848"/>
      <c r="BR36" s="1849"/>
      <c r="BS36" s="1850"/>
      <c r="BT36" s="1851"/>
    </row>
    <row r="37" spans="1:72" s="569" customFormat="1" ht="39.950000000000003" hidden="1" customHeight="1" thickBot="1">
      <c r="A37" s="677"/>
      <c r="C37" s="1838"/>
      <c r="D37" s="1839"/>
      <c r="E37" s="1840"/>
      <c r="F37" s="1841"/>
      <c r="G37" s="1841"/>
      <c r="H37" s="1841"/>
      <c r="I37" s="1842"/>
      <c r="J37" s="1842"/>
      <c r="K37" s="1842"/>
      <c r="L37" s="1843"/>
      <c r="M37" s="1842"/>
      <c r="N37" s="1843"/>
      <c r="O37" s="1843"/>
      <c r="P37" s="1843"/>
      <c r="Q37" s="1843"/>
      <c r="R37" s="1843"/>
      <c r="S37" s="1843"/>
      <c r="T37" s="1843"/>
      <c r="U37" s="1843"/>
      <c r="V37" s="1843"/>
      <c r="W37" s="1843"/>
      <c r="X37" s="1843"/>
      <c r="Y37" s="1843"/>
      <c r="Z37" s="1843"/>
      <c r="AA37" s="1842"/>
      <c r="AB37" s="1843"/>
      <c r="AC37" s="1842"/>
      <c r="AD37" s="1843"/>
      <c r="AE37" s="1842"/>
      <c r="AF37" s="1843"/>
      <c r="AG37" s="1842"/>
      <c r="AH37" s="1844"/>
      <c r="AI37" s="1845"/>
      <c r="AJ37" s="1845"/>
      <c r="AK37" s="1845"/>
      <c r="AL37" s="1845"/>
      <c r="AM37" s="1845"/>
      <c r="AN37" s="1845"/>
      <c r="AO37" s="1845"/>
      <c r="AP37" s="1845"/>
      <c r="AQ37" s="1845"/>
      <c r="AR37" s="1845"/>
      <c r="AS37" s="1845"/>
      <c r="AT37" s="1845"/>
      <c r="AU37" s="1843"/>
      <c r="AV37" s="1843"/>
      <c r="AW37" s="1843"/>
      <c r="AX37" s="1843"/>
      <c r="AY37" s="1846"/>
      <c r="AZ37" s="1847"/>
      <c r="BA37" s="1844"/>
      <c r="BB37" s="1844"/>
      <c r="BC37" s="1844"/>
      <c r="BD37" s="1844"/>
      <c r="BE37" s="1844"/>
      <c r="BF37" s="1844"/>
      <c r="BG37" s="1844"/>
      <c r="BH37" s="1844"/>
      <c r="BI37" s="1844"/>
      <c r="BJ37" s="1844"/>
      <c r="BK37" s="1844"/>
      <c r="BL37" s="1844"/>
      <c r="BM37" s="1844"/>
      <c r="BN37" s="1844"/>
      <c r="BO37" s="1844"/>
      <c r="BP37" s="1844"/>
      <c r="BQ37" s="1848"/>
      <c r="BR37" s="1849"/>
      <c r="BS37" s="1850"/>
      <c r="BT37" s="1851"/>
    </row>
    <row r="38" spans="1:72" s="569" customFormat="1" ht="73.5" hidden="1" customHeight="1">
      <c r="A38" s="677"/>
      <c r="C38" s="1614">
        <f>투자재원!C7</f>
        <v>0</v>
      </c>
      <c r="D38" s="1615" t="s">
        <v>244</v>
      </c>
      <c r="E38" s="1616">
        <f>IF($C38="","",투자재원!D$7)</f>
        <v>0</v>
      </c>
      <c r="F38" s="1616">
        <f>IF($C38="","",투자재원!E$7)</f>
        <v>0</v>
      </c>
      <c r="G38" s="1616">
        <f>IF($C38="","",투자재원!F$7)</f>
        <v>0</v>
      </c>
      <c r="H38" s="1616">
        <f>IF($C38="","",투자재원!G$7)</f>
        <v>0</v>
      </c>
      <c r="I38" s="1616">
        <f>IF($C38="","",투자재원!H$7)</f>
        <v>0</v>
      </c>
      <c r="J38" s="1616">
        <f>IF($C38="","",투자재원!I$7)</f>
        <v>0</v>
      </c>
      <c r="K38" s="1616">
        <f>IF($C38="","",투자재원!J$7)</f>
        <v>0</v>
      </c>
      <c r="L38" s="1616">
        <f>IF($C38="","",투자재원!K$7)</f>
        <v>0</v>
      </c>
      <c r="M38" s="1616">
        <f>IF($C38="","",투자재원!L$7)</f>
        <v>0</v>
      </c>
      <c r="N38" s="1616">
        <f>IF($C38="","",투자재원!M$7)</f>
        <v>0</v>
      </c>
      <c r="O38" s="1616">
        <f>IF($C38="","",투자재원!N$7)</f>
        <v>0</v>
      </c>
      <c r="P38" s="1616">
        <f>IF($C38="","",투자재원!O$7)</f>
        <v>0</v>
      </c>
      <c r="Q38" s="1616">
        <f>IF($C38="","",투자재원!P$7)</f>
        <v>0</v>
      </c>
      <c r="R38" s="1616">
        <f>IF($C38="","",투자재원!Q$7)</f>
        <v>0</v>
      </c>
      <c r="S38" s="1616">
        <f>IF($C38="","",투자재원!R$7)</f>
        <v>0</v>
      </c>
      <c r="T38" s="1616">
        <f>IF($C38="","",투자재원!S$7)</f>
        <v>0</v>
      </c>
      <c r="U38" s="1616">
        <f>IF($C38="","",투자재원!T$7)</f>
        <v>0</v>
      </c>
      <c r="V38" s="1616">
        <f>IF($C38="","",투자재원!U$7)</f>
        <v>0</v>
      </c>
      <c r="W38" s="1616">
        <f>IF($C38="","",투자재원!V$7)</f>
        <v>0</v>
      </c>
      <c r="X38" s="1616">
        <f>IF($C38="","",투자재원!W$7)</f>
        <v>0</v>
      </c>
      <c r="Y38" s="1616">
        <f>IF($C38="","",투자재원!X$7)</f>
        <v>0</v>
      </c>
      <c r="Z38" s="1616">
        <f>IF($C38="","",투자재원!Y$7)</f>
        <v>0</v>
      </c>
      <c r="AA38" s="1616">
        <f>IF($C38="","",투자재원!Z$7)</f>
        <v>0</v>
      </c>
      <c r="AB38" s="1616">
        <f>IF($C38="","",투자재원!AA$7)</f>
        <v>0</v>
      </c>
      <c r="AC38" s="1616">
        <f>IF($C38="","",투자재원!AB$7)</f>
        <v>0</v>
      </c>
      <c r="AD38" s="1616">
        <f>IF($C38="","",투자재원!AC$7)</f>
        <v>0</v>
      </c>
      <c r="AE38" s="1616">
        <f>IF($C38="","",투자재원!AD$7)</f>
        <v>0</v>
      </c>
      <c r="AF38" s="1616">
        <f>IF($C38="","",투자재원!AE$7)</f>
        <v>0</v>
      </c>
      <c r="AG38" s="1616">
        <f>IF($C38="","",투자재원!AF$7)</f>
        <v>0</v>
      </c>
      <c r="AH38" s="1616">
        <f>IF($C38="","",투자재원!AG$7)</f>
        <v>0</v>
      </c>
      <c r="AI38" s="1616">
        <f>IF($C38="","",투자재원!AH$7)</f>
        <v>0</v>
      </c>
      <c r="AJ38" s="1616">
        <f>IF($C38="","",투자재원!AI$7)</f>
        <v>0</v>
      </c>
      <c r="AK38" s="1616">
        <f>IF($C38="","",투자재원!AJ$7)</f>
        <v>0</v>
      </c>
      <c r="AL38" s="1616">
        <f>IF($C38="","",투자재원!AK$7)</f>
        <v>0</v>
      </c>
      <c r="AM38" s="1616">
        <f>IF($C38="","",투자재원!AL$7)</f>
        <v>0</v>
      </c>
      <c r="AN38" s="1616">
        <f>IF($C38="","",투자재원!AM$7)</f>
        <v>0</v>
      </c>
      <c r="AO38" s="1616">
        <f>IF($C38="","",투자재원!AN$7)</f>
        <v>0</v>
      </c>
      <c r="AP38" s="1616">
        <f>IF($C38="","",투자재원!AO$7)</f>
        <v>0</v>
      </c>
      <c r="AQ38" s="1616">
        <f>IF($C38="","",투자재원!AP$7)</f>
        <v>0</v>
      </c>
      <c r="AR38" s="1616">
        <f>IF($C38="","",투자재원!AQ$7)</f>
        <v>0</v>
      </c>
      <c r="AS38" s="1616">
        <f>IF($C38="","",투자재원!AR$7)</f>
        <v>0</v>
      </c>
      <c r="AT38" s="1616">
        <f>IF($C38="","",투자재원!AS$7)</f>
        <v>0</v>
      </c>
      <c r="AU38" s="1616">
        <f>IF($C38="","",투자재원!AT$7)</f>
        <v>0</v>
      </c>
      <c r="AV38" s="1616">
        <f>IF($C38="","",투자재원!AU$7)</f>
        <v>0</v>
      </c>
      <c r="AW38" s="1616">
        <f>IF($C38="","",투자재원!AV$7)</f>
        <v>0</v>
      </c>
      <c r="AX38" s="1616">
        <f>IF($C38="","",투자재원!AW$7)</f>
        <v>0</v>
      </c>
      <c r="AY38" s="1616">
        <f>IF($C38="","",투자재원!AX$7)</f>
        <v>0</v>
      </c>
      <c r="AZ38" s="1616">
        <f>IF($C38="","",투자재원!AY$7)</f>
        <v>0</v>
      </c>
      <c r="BA38" s="1616">
        <f>IF($C38="","",투자재원!AZ$7)</f>
        <v>0</v>
      </c>
      <c r="BB38" s="1616">
        <f>IF($C38="","",투자재원!BA$7)</f>
        <v>0</v>
      </c>
      <c r="BC38" s="1616">
        <f>IF($C38="","",투자재원!BB$7)</f>
        <v>0</v>
      </c>
      <c r="BD38" s="1616">
        <f>IF($C38="","",투자재원!BC$7)</f>
        <v>0</v>
      </c>
      <c r="BE38" s="1616">
        <f>IF($C38="","",투자재원!BD$7)</f>
        <v>0</v>
      </c>
      <c r="BF38" s="1616">
        <f>IF($C38="","",투자재원!BE$7)</f>
        <v>0</v>
      </c>
      <c r="BG38" s="1616">
        <f>IF($C38="","",투자재원!BF$7)</f>
        <v>0</v>
      </c>
      <c r="BH38" s="1616">
        <f>IF($C38="","",투자재원!BG$7)</f>
        <v>0</v>
      </c>
      <c r="BI38" s="1616">
        <f>IF($C38="","",투자재원!BH$7)</f>
        <v>0</v>
      </c>
      <c r="BJ38" s="1616">
        <f>IF($C38="","",투자재원!BI$7)</f>
        <v>0</v>
      </c>
      <c r="BK38" s="1616">
        <f>IF($C38="","",투자재원!BJ$7)</f>
        <v>0</v>
      </c>
      <c r="BL38" s="1616">
        <f>IF($C38="","",투자재원!BK$7)</f>
        <v>0</v>
      </c>
      <c r="BM38" s="1616">
        <f>IF($C38="","",투자재원!BL$7)</f>
        <v>0</v>
      </c>
      <c r="BN38" s="1616">
        <f>IF($C38="","",투자재원!BM$7)</f>
        <v>0</v>
      </c>
      <c r="BO38" s="1616">
        <f>IF($C38="","",투자재원!BN$7)</f>
        <v>0</v>
      </c>
      <c r="BP38" s="1616">
        <f>IF($C38="","",투자재원!BO$7)</f>
        <v>0</v>
      </c>
      <c r="BQ38" s="1616">
        <f>IF($C38="","",투자재원!BP$7)</f>
        <v>0</v>
      </c>
      <c r="BR38" s="1616">
        <f>IF($C38="","",투자재원!BQ$7)</f>
        <v>0</v>
      </c>
      <c r="BS38" s="1616">
        <f>IF($C38="","",투자재원!BR$7)</f>
        <v>0</v>
      </c>
      <c r="BT38" s="1620"/>
    </row>
    <row r="39" spans="1:72" s="569" customFormat="1" ht="39.950000000000003" hidden="1" customHeight="1" thickBot="1">
      <c r="A39" s="677"/>
      <c r="C39" s="727"/>
      <c r="D39" s="728"/>
      <c r="E39" s="729"/>
      <c r="F39" s="730"/>
      <c r="G39" s="730"/>
      <c r="H39" s="730"/>
      <c r="I39" s="731"/>
      <c r="J39" s="731"/>
      <c r="K39" s="731"/>
      <c r="L39" s="732"/>
      <c r="M39" s="731"/>
      <c r="N39" s="732"/>
      <c r="O39" s="732"/>
      <c r="P39" s="732"/>
      <c r="Q39" s="732"/>
      <c r="R39" s="732"/>
      <c r="S39" s="732"/>
      <c r="T39" s="732"/>
      <c r="U39" s="732"/>
      <c r="V39" s="732"/>
      <c r="W39" s="732"/>
      <c r="X39" s="732"/>
      <c r="Y39" s="732"/>
      <c r="Z39" s="732"/>
      <c r="AA39" s="731"/>
      <c r="AB39" s="732"/>
      <c r="AC39" s="731"/>
      <c r="AD39" s="732"/>
      <c r="AE39" s="731"/>
      <c r="AF39" s="732"/>
      <c r="AG39" s="731"/>
      <c r="AH39" s="733"/>
      <c r="AI39" s="734"/>
      <c r="AJ39" s="734"/>
      <c r="AK39" s="734"/>
      <c r="AL39" s="734"/>
      <c r="AM39" s="734"/>
      <c r="AN39" s="734"/>
      <c r="AO39" s="734"/>
      <c r="AP39" s="734"/>
      <c r="AQ39" s="734"/>
      <c r="AR39" s="734"/>
      <c r="AS39" s="734"/>
      <c r="AT39" s="734"/>
      <c r="AU39" s="732"/>
      <c r="AV39" s="732"/>
      <c r="AW39" s="732"/>
      <c r="AX39" s="732"/>
      <c r="AY39" s="735"/>
      <c r="AZ39" s="736"/>
      <c r="BA39" s="733"/>
      <c r="BB39" s="733"/>
      <c r="BC39" s="733"/>
      <c r="BD39" s="733"/>
      <c r="BE39" s="733"/>
      <c r="BF39" s="733"/>
      <c r="BG39" s="733"/>
      <c r="BH39" s="733"/>
      <c r="BI39" s="733"/>
      <c r="BJ39" s="733"/>
      <c r="BK39" s="733"/>
      <c r="BL39" s="733"/>
      <c r="BM39" s="733"/>
      <c r="BN39" s="733"/>
      <c r="BO39" s="733"/>
      <c r="BP39" s="733"/>
      <c r="BQ39" s="737"/>
      <c r="BR39" s="738"/>
      <c r="BS39" s="739"/>
      <c r="BT39" s="740"/>
    </row>
  </sheetData>
  <mergeCells count="17">
    <mergeCell ref="BT4:BT6"/>
    <mergeCell ref="Z4:AA5"/>
    <mergeCell ref="AU4:AX5"/>
    <mergeCell ref="AI5:AK5"/>
    <mergeCell ref="AY4:AY6"/>
    <mergeCell ref="AB4:AC5"/>
    <mergeCell ref="AD4:AE5"/>
    <mergeCell ref="AF4:AG5"/>
    <mergeCell ref="AL5:AS5"/>
    <mergeCell ref="BH5:BH6"/>
    <mergeCell ref="BI5:BI6"/>
    <mergeCell ref="BJ5:BJ6"/>
    <mergeCell ref="BK5:BK6"/>
    <mergeCell ref="BP4:BS4"/>
    <mergeCell ref="C4:D6"/>
    <mergeCell ref="AT4:AT6"/>
    <mergeCell ref="AH4:AH6"/>
  </mergeCells>
  <phoneticPr fontId="4" type="noConversion"/>
  <conditionalFormatting sqref="AI8 AI10 AI12:AI13 AI15:AI16 AI18:AI28 AI30:AI31 AI36:AI37">
    <cfRule type="expression" dxfId="28" priority="9" stopIfTrue="1">
      <formula>AND(SUM(XEQ8,XES8,XEU8)&gt;0,AI8="")</formula>
    </cfRule>
  </conditionalFormatting>
  <conditionalFormatting sqref="AI33:AI34">
    <cfRule type="expression" dxfId="27" priority="1" stopIfTrue="1">
      <formula>AND(SUM(XEQ33,XES33,XEU33)&gt;0,AI33="")</formula>
    </cfRule>
  </conditionalFormatting>
  <conditionalFormatting sqref="AK8 AK10 AK12:AK13 AK15:AK16 AK18:AK28 AK30:AK31 AK36:AK37">
    <cfRule type="expression" dxfId="26" priority="7" stopIfTrue="1">
      <formula>AND(SUM(XER8,XET8,XEV8)&gt;0,AK8="")</formula>
    </cfRule>
  </conditionalFormatting>
  <conditionalFormatting sqref="AK33:AK34">
    <cfRule type="expression" dxfId="25" priority="3" stopIfTrue="1">
      <formula>AND(SUM(XER33,XET33,XEV33)&gt;0,AK33="")</formula>
    </cfRule>
  </conditionalFormatting>
  <conditionalFormatting sqref="AM8:AS8 AM10:AS10 AM12:AS13 AM15:AS16 AM18:AS28 AM30:AS31 AM36:AS37">
    <cfRule type="expression" dxfId="24" priority="8" stopIfTrue="1">
      <formula>AND(XEV8&gt;0,AM8="")</formula>
    </cfRule>
  </conditionalFormatting>
  <conditionalFormatting sqref="AM33:AS34">
    <cfRule type="expression" dxfId="23" priority="2" stopIfTrue="1">
      <formula>AND(XEV33&gt;0,AM33="")</formula>
    </cfRule>
  </conditionalFormatting>
  <printOptions horizontalCentered="1" gridLinesSet="0"/>
  <pageMargins left="0.11811023622047245" right="0.11811023622047245" top="0.59055118110236227" bottom="0.39370078740157483" header="0.59055118110236227" footer="0.19685039370078741"/>
  <pageSetup paperSize="8" scale="44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tabColor theme="2" tint="-0.249977111117893"/>
  </sheetPr>
  <dimension ref="A1:BU288"/>
  <sheetViews>
    <sheetView showGridLines="0" showOutlineSymbols="0" zoomScale="51" zoomScaleNormal="51" zoomScaleSheetLayoutView="55" workbookViewId="0">
      <pane xSplit="4" ySplit="7" topLeftCell="E21" activePane="bottomRight" state="frozen"/>
      <selection activeCell="AU225" sqref="AU225"/>
      <selection pane="topRight" activeCell="AU225" sqref="AU225"/>
      <selection pane="bottomLeft" activeCell="AU225" sqref="AU225"/>
      <selection pane="bottomRight" activeCell="G230" sqref="G230"/>
    </sheetView>
  </sheetViews>
  <sheetFormatPr defaultRowHeight="54.75" customHeight="1" outlineLevelRow="1"/>
  <cols>
    <col min="1" max="2" width="9.44140625" style="568" customWidth="1"/>
    <col min="3" max="3" width="15.44140625" style="568" bestFit="1" customWidth="1"/>
    <col min="4" max="4" width="41.77734375" style="568" customWidth="1"/>
    <col min="5" max="5" width="13" style="570" customWidth="1"/>
    <col min="6" max="6" width="24.6640625" style="568" bestFit="1" customWidth="1"/>
    <col min="7" max="7" width="19.44140625" style="581" customWidth="1"/>
    <col min="8" max="8" width="25.33203125" style="581" customWidth="1"/>
    <col min="9" max="9" width="12" style="568" hidden="1" customWidth="1"/>
    <col min="10" max="10" width="12.77734375" style="568" hidden="1" customWidth="1"/>
    <col min="11" max="11" width="9.33203125" style="568" hidden="1" customWidth="1"/>
    <col min="12" max="12" width="10.5546875" style="568" hidden="1" customWidth="1"/>
    <col min="13" max="13" width="6.33203125" style="568" hidden="1" customWidth="1"/>
    <col min="14" max="14" width="9.21875" style="568" hidden="1" customWidth="1"/>
    <col min="15" max="15" width="5.77734375" style="568" hidden="1" customWidth="1"/>
    <col min="16" max="16" width="7.44140625" style="568" hidden="1" customWidth="1"/>
    <col min="17" max="17" width="7.5546875" style="568" hidden="1" customWidth="1"/>
    <col min="18" max="18" width="13.6640625" style="568" hidden="1" customWidth="1"/>
    <col min="19" max="19" width="5.77734375" style="568" hidden="1" customWidth="1"/>
    <col min="20" max="20" width="14.109375" style="568" hidden="1" customWidth="1"/>
    <col min="21" max="21" width="5.77734375" style="568" hidden="1" customWidth="1"/>
    <col min="22" max="22" width="16.44140625" style="568" hidden="1" customWidth="1"/>
    <col min="23" max="23" width="13.88671875" style="568" hidden="1" customWidth="1"/>
    <col min="24" max="24" width="10.44140625" style="568" hidden="1" customWidth="1"/>
    <col min="25" max="25" width="16.5546875" style="568" hidden="1" customWidth="1"/>
    <col min="26" max="26" width="10.44140625" style="568" hidden="1" customWidth="1"/>
    <col min="27" max="27" width="16.5546875" style="568" hidden="1" customWidth="1"/>
    <col min="28" max="28" width="10.44140625" style="568" hidden="1" customWidth="1"/>
    <col min="29" max="29" width="16.5546875" style="568" hidden="1" customWidth="1"/>
    <col min="30" max="30" width="10.44140625" style="568" hidden="1" customWidth="1"/>
    <col min="31" max="31" width="16.5546875" style="568" hidden="1" customWidth="1"/>
    <col min="32" max="32" width="12.33203125" style="568" bestFit="1" customWidth="1"/>
    <col min="33" max="43" width="12.77734375" style="568" hidden="1" customWidth="1"/>
    <col min="44" max="44" width="14.21875" style="582" customWidth="1"/>
    <col min="45" max="45" width="23.88671875" style="568" bestFit="1" customWidth="1"/>
    <col min="46" max="46" width="24" style="568" customWidth="1"/>
    <col min="47" max="48" width="23.88671875" style="568" bestFit="1" customWidth="1"/>
    <col min="49" max="49" width="22.109375" style="568" customWidth="1"/>
    <col min="50" max="50" width="17.109375" style="568" hidden="1" customWidth="1"/>
    <col min="51" max="51" width="19.21875" style="568" hidden="1" customWidth="1"/>
    <col min="52" max="52" width="14" style="568" hidden="1" customWidth="1"/>
    <col min="53" max="53" width="16" style="568" hidden="1" customWidth="1"/>
    <col min="54" max="54" width="19.109375" style="568" hidden="1" customWidth="1"/>
    <col min="55" max="55" width="18" style="568" hidden="1" customWidth="1"/>
    <col min="56" max="57" width="16.44140625" style="568" hidden="1" customWidth="1"/>
    <col min="58" max="61" width="19.21875" style="568" hidden="1" customWidth="1"/>
    <col min="62" max="62" width="21.6640625" style="568" bestFit="1" customWidth="1"/>
    <col min="63" max="63" width="24.5546875" style="568" customWidth="1"/>
    <col min="64" max="64" width="25.21875" style="568" customWidth="1"/>
    <col min="65" max="65" width="23.88671875" style="568" bestFit="1" customWidth="1"/>
    <col min="66" max="66" width="15.21875" style="568" customWidth="1"/>
    <col min="67" max="67" width="23.33203125" style="568" customWidth="1"/>
    <col min="68" max="68" width="18.21875" style="568" customWidth="1"/>
    <col min="69" max="69" width="17.21875" style="568" customWidth="1"/>
    <col min="70" max="70" width="10.109375" style="583" customWidth="1"/>
    <col min="71" max="72" width="8.88671875" style="568"/>
    <col min="73" max="73" width="17.77734375" style="568" customWidth="1"/>
    <col min="74" max="16384" width="8.88671875" style="568"/>
  </cols>
  <sheetData>
    <row r="1" spans="1:70" ht="54.75" customHeight="1">
      <c r="C1" s="569"/>
      <c r="AW1" s="1364"/>
    </row>
    <row r="2" spans="1:70" ht="54.75" customHeight="1">
      <c r="C2" s="572" t="s">
        <v>232</v>
      </c>
      <c r="D2" s="573"/>
      <c r="E2" s="574"/>
      <c r="F2" s="573"/>
      <c r="G2" s="584"/>
      <c r="H2" s="585"/>
      <c r="I2" s="586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3"/>
      <c r="U2" s="573"/>
      <c r="V2" s="573"/>
      <c r="W2" s="573"/>
      <c r="X2" s="573"/>
      <c r="Y2" s="573"/>
      <c r="Z2" s="573"/>
      <c r="AA2" s="573"/>
      <c r="AB2" s="573"/>
      <c r="AC2" s="573"/>
      <c r="AD2" s="573"/>
      <c r="AE2" s="573"/>
      <c r="AF2" s="573"/>
      <c r="AG2" s="573"/>
      <c r="AH2" s="573"/>
      <c r="AI2" s="573"/>
      <c r="AJ2" s="573"/>
      <c r="AK2" s="573"/>
      <c r="AL2" s="573"/>
      <c r="AM2" s="573"/>
      <c r="AN2" s="573"/>
      <c r="AO2" s="573"/>
      <c r="AP2" s="573"/>
      <c r="AQ2" s="573"/>
      <c r="AR2" s="587"/>
      <c r="AS2" s="573"/>
      <c r="AT2" s="573"/>
      <c r="AU2" s="573"/>
      <c r="AV2" s="573"/>
      <c r="AW2" s="573"/>
      <c r="AX2" s="573"/>
      <c r="AY2" s="573"/>
      <c r="AZ2" s="573"/>
      <c r="BA2" s="573"/>
      <c r="BB2" s="573"/>
      <c r="BC2" s="573"/>
      <c r="BD2" s="573"/>
      <c r="BE2" s="573"/>
      <c r="BF2" s="573"/>
      <c r="BG2" s="573"/>
      <c r="BH2" s="573"/>
      <c r="BI2" s="573"/>
      <c r="BJ2" s="573"/>
      <c r="BK2" s="573"/>
      <c r="BL2" s="573"/>
      <c r="BM2" s="573"/>
      <c r="BN2" s="573"/>
      <c r="BO2" s="573"/>
      <c r="BP2" s="573"/>
      <c r="BQ2" s="573"/>
      <c r="BR2" s="573"/>
    </row>
    <row r="3" spans="1:70" ht="23.25" customHeight="1" thickBot="1">
      <c r="G3" s="588"/>
      <c r="H3" s="588"/>
      <c r="BJ3" s="576"/>
      <c r="BM3" s="577"/>
    </row>
    <row r="4" spans="1:70" ht="54.75" customHeight="1">
      <c r="C4" s="774"/>
      <c r="D4" s="2019" t="s">
        <v>21</v>
      </c>
      <c r="E4" s="775"/>
      <c r="F4" s="776" t="s">
        <v>282</v>
      </c>
      <c r="G4" s="777"/>
      <c r="H4" s="811"/>
      <c r="I4" s="778" t="s">
        <v>430</v>
      </c>
      <c r="J4" s="778"/>
      <c r="K4" s="778"/>
      <c r="L4" s="778"/>
      <c r="M4" s="778"/>
      <c r="N4" s="778"/>
      <c r="O4" s="778"/>
      <c r="P4" s="778"/>
      <c r="Q4" s="778" t="s">
        <v>431</v>
      </c>
      <c r="R4" s="778"/>
      <c r="S4" s="778"/>
      <c r="T4" s="778"/>
      <c r="U4" s="778"/>
      <c r="V4" s="778"/>
      <c r="W4" s="778"/>
      <c r="X4" s="2034" t="s">
        <v>432</v>
      </c>
      <c r="Y4" s="2035"/>
      <c r="Z4" s="2034" t="s">
        <v>417</v>
      </c>
      <c r="AA4" s="2035"/>
      <c r="AB4" s="2034" t="s">
        <v>429</v>
      </c>
      <c r="AC4" s="2035"/>
      <c r="AD4" s="2034" t="s">
        <v>446</v>
      </c>
      <c r="AE4" s="2035"/>
      <c r="AF4" s="779" t="s">
        <v>72</v>
      </c>
      <c r="AG4" s="1404" t="s">
        <v>135</v>
      </c>
      <c r="AH4" s="1404"/>
      <c r="AI4" s="1404"/>
      <c r="AJ4" s="1404"/>
      <c r="AK4" s="1404"/>
      <c r="AL4" s="1404"/>
      <c r="AM4" s="1404"/>
      <c r="AN4" s="1404"/>
      <c r="AO4" s="1404"/>
      <c r="AP4" s="1404"/>
      <c r="AQ4" s="1404"/>
      <c r="AR4" s="2037" t="s">
        <v>149</v>
      </c>
      <c r="AS4" s="2022" t="s">
        <v>283</v>
      </c>
      <c r="AT4" s="2023"/>
      <c r="AU4" s="2023"/>
      <c r="AV4" s="2024"/>
      <c r="AW4" s="2044" t="s">
        <v>227</v>
      </c>
      <c r="AX4" s="778" t="s">
        <v>441</v>
      </c>
      <c r="AY4" s="778"/>
      <c r="AZ4" s="778"/>
      <c r="BA4" s="778"/>
      <c r="BB4" s="778"/>
      <c r="BC4" s="778"/>
      <c r="BD4" s="778"/>
      <c r="BE4" s="778"/>
      <c r="BF4" s="778"/>
      <c r="BG4" s="778"/>
      <c r="BH4" s="778"/>
      <c r="BI4" s="778"/>
      <c r="BJ4" s="780" t="s">
        <v>130</v>
      </c>
      <c r="BK4" s="780" t="s">
        <v>73</v>
      </c>
      <c r="BL4" s="780" t="s">
        <v>74</v>
      </c>
      <c r="BM4" s="780" t="s">
        <v>74</v>
      </c>
      <c r="BN4" s="781" t="s">
        <v>75</v>
      </c>
      <c r="BO4" s="2031" t="s">
        <v>75</v>
      </c>
      <c r="BP4" s="2032"/>
      <c r="BQ4" s="2033"/>
      <c r="BR4" s="2028" t="s">
        <v>233</v>
      </c>
    </row>
    <row r="5" spans="1:70" ht="54.75" customHeight="1">
      <c r="C5" s="782" t="s">
        <v>20</v>
      </c>
      <c r="D5" s="2020"/>
      <c r="E5" s="783" t="s">
        <v>77</v>
      </c>
      <c r="F5" s="1656" t="s">
        <v>100</v>
      </c>
      <c r="G5" s="784" t="s">
        <v>97</v>
      </c>
      <c r="H5" s="784" t="s">
        <v>98</v>
      </c>
      <c r="I5" s="1577" t="s">
        <v>78</v>
      </c>
      <c r="J5" s="1578"/>
      <c r="K5" s="1577" t="s">
        <v>79</v>
      </c>
      <c r="L5" s="1578"/>
      <c r="M5" s="1577" t="s">
        <v>80</v>
      </c>
      <c r="N5" s="1578"/>
      <c r="O5" s="1577" t="s">
        <v>81</v>
      </c>
      <c r="P5" s="1578"/>
      <c r="Q5" s="1577" t="s">
        <v>11</v>
      </c>
      <c r="R5" s="1578"/>
      <c r="S5" s="1577" t="s">
        <v>12</v>
      </c>
      <c r="T5" s="1578"/>
      <c r="U5" s="1578" t="s">
        <v>82</v>
      </c>
      <c r="V5" s="1578"/>
      <c r="W5" s="1578"/>
      <c r="X5" s="2036"/>
      <c r="Y5" s="2036"/>
      <c r="Z5" s="2036"/>
      <c r="AA5" s="2036"/>
      <c r="AB5" s="2036"/>
      <c r="AC5" s="2036"/>
      <c r="AD5" s="2036"/>
      <c r="AE5" s="2036"/>
      <c r="AF5" s="852" t="s">
        <v>83</v>
      </c>
      <c r="AG5" s="2040" t="s">
        <v>0</v>
      </c>
      <c r="AH5" s="2041"/>
      <c r="AI5" s="2042"/>
      <c r="AJ5" s="2040" t="s">
        <v>136</v>
      </c>
      <c r="AK5" s="2041"/>
      <c r="AL5" s="2041"/>
      <c r="AM5" s="2041"/>
      <c r="AN5" s="2041"/>
      <c r="AO5" s="2041"/>
      <c r="AP5" s="2041"/>
      <c r="AQ5" s="2042"/>
      <c r="AR5" s="2038"/>
      <c r="AS5" s="2025"/>
      <c r="AT5" s="2026"/>
      <c r="AU5" s="2026"/>
      <c r="AV5" s="2027"/>
      <c r="AW5" s="2045"/>
      <c r="AX5" s="1579" t="s">
        <v>84</v>
      </c>
      <c r="AY5" s="1580"/>
      <c r="AZ5" s="1580"/>
      <c r="BA5" s="1579" t="s">
        <v>85</v>
      </c>
      <c r="BB5" s="1580"/>
      <c r="BC5" s="1580"/>
      <c r="BD5" s="1580"/>
      <c r="BE5" s="1580"/>
      <c r="BF5" s="2043" t="s">
        <v>442</v>
      </c>
      <c r="BG5" s="2043" t="s">
        <v>398</v>
      </c>
      <c r="BH5" s="2043" t="s">
        <v>443</v>
      </c>
      <c r="BI5" s="2017" t="s">
        <v>427</v>
      </c>
      <c r="BJ5" s="1656" t="s">
        <v>96</v>
      </c>
      <c r="BK5" s="1656" t="s">
        <v>88</v>
      </c>
      <c r="BL5" s="1656" t="s">
        <v>89</v>
      </c>
      <c r="BM5" s="1656" t="s">
        <v>90</v>
      </c>
      <c r="BN5" s="1652" t="s">
        <v>91</v>
      </c>
      <c r="BO5" s="1652" t="s">
        <v>92</v>
      </c>
      <c r="BP5" s="1652" t="s">
        <v>93</v>
      </c>
      <c r="BQ5" s="1652" t="s">
        <v>120</v>
      </c>
      <c r="BR5" s="2029"/>
    </row>
    <row r="6" spans="1:70" ht="54.75" customHeight="1">
      <c r="C6" s="785"/>
      <c r="D6" s="2021"/>
      <c r="E6" s="786" t="s">
        <v>14</v>
      </c>
      <c r="F6" s="788" t="s">
        <v>13</v>
      </c>
      <c r="G6" s="787"/>
      <c r="H6" s="787"/>
      <c r="I6" s="1581" t="s">
        <v>5</v>
      </c>
      <c r="J6" s="1581" t="s">
        <v>6</v>
      </c>
      <c r="K6" s="1581" t="s">
        <v>5</v>
      </c>
      <c r="L6" s="1655" t="s">
        <v>6</v>
      </c>
      <c r="M6" s="1581" t="s">
        <v>5</v>
      </c>
      <c r="N6" s="1655" t="s">
        <v>6</v>
      </c>
      <c r="O6" s="1581" t="s">
        <v>4</v>
      </c>
      <c r="P6" s="1655" t="s">
        <v>7</v>
      </c>
      <c r="Q6" s="1581" t="s">
        <v>4</v>
      </c>
      <c r="R6" s="1655" t="s">
        <v>7</v>
      </c>
      <c r="S6" s="1581" t="s">
        <v>4</v>
      </c>
      <c r="T6" s="1655" t="s">
        <v>7</v>
      </c>
      <c r="U6" s="1581" t="s">
        <v>4</v>
      </c>
      <c r="V6" s="1582" t="s">
        <v>9</v>
      </c>
      <c r="W6" s="1582" t="s">
        <v>10</v>
      </c>
      <c r="X6" s="1581" t="s">
        <v>4</v>
      </c>
      <c r="Y6" s="1655" t="s">
        <v>7</v>
      </c>
      <c r="Z6" s="1581" t="s">
        <v>4</v>
      </c>
      <c r="AA6" s="1655" t="s">
        <v>7</v>
      </c>
      <c r="AB6" s="1581" t="s">
        <v>4</v>
      </c>
      <c r="AC6" s="1655" t="s">
        <v>7</v>
      </c>
      <c r="AD6" s="1581" t="s">
        <v>4</v>
      </c>
      <c r="AE6" s="1655" t="s">
        <v>7</v>
      </c>
      <c r="AF6" s="1654" t="s">
        <v>3</v>
      </c>
      <c r="AG6" s="1583" t="s">
        <v>433</v>
      </c>
      <c r="AH6" s="1583" t="s">
        <v>434</v>
      </c>
      <c r="AI6" s="1583" t="s">
        <v>435</v>
      </c>
      <c r="AJ6" s="1583" t="s">
        <v>436</v>
      </c>
      <c r="AK6" s="1584" t="s">
        <v>437</v>
      </c>
      <c r="AL6" s="1584" t="s">
        <v>438</v>
      </c>
      <c r="AM6" s="1584" t="s">
        <v>439</v>
      </c>
      <c r="AN6" s="1584" t="s">
        <v>440</v>
      </c>
      <c r="AO6" s="1584" t="s">
        <v>398</v>
      </c>
      <c r="AP6" s="1584" t="s">
        <v>399</v>
      </c>
      <c r="AQ6" s="1585" t="s">
        <v>400</v>
      </c>
      <c r="AR6" s="2039"/>
      <c r="AS6" s="1655" t="s">
        <v>201</v>
      </c>
      <c r="AT6" s="1655" t="s">
        <v>202</v>
      </c>
      <c r="AU6" s="1655" t="s">
        <v>203</v>
      </c>
      <c r="AV6" s="1655" t="s">
        <v>204</v>
      </c>
      <c r="AW6" s="2046"/>
      <c r="AX6" s="1586" t="s">
        <v>68</v>
      </c>
      <c r="AY6" s="1586" t="s">
        <v>15</v>
      </c>
      <c r="AZ6" s="1587" t="s">
        <v>16</v>
      </c>
      <c r="BA6" s="1588" t="s">
        <v>69</v>
      </c>
      <c r="BB6" s="1582" t="s">
        <v>70</v>
      </c>
      <c r="BC6" s="1582" t="s">
        <v>71</v>
      </c>
      <c r="BD6" s="1582" t="s">
        <v>270</v>
      </c>
      <c r="BE6" s="1582" t="s">
        <v>271</v>
      </c>
      <c r="BF6" s="2018"/>
      <c r="BG6" s="2018"/>
      <c r="BH6" s="2018"/>
      <c r="BI6" s="2018"/>
      <c r="BJ6" s="788" t="s">
        <v>285</v>
      </c>
      <c r="BK6" s="788" t="s">
        <v>17</v>
      </c>
      <c r="BL6" s="788" t="s">
        <v>8</v>
      </c>
      <c r="BM6" s="788" t="s">
        <v>8</v>
      </c>
      <c r="BN6" s="788" t="s">
        <v>18</v>
      </c>
      <c r="BO6" s="788" t="s">
        <v>13</v>
      </c>
      <c r="BP6" s="788" t="s">
        <v>19</v>
      </c>
      <c r="BQ6" s="788" t="s">
        <v>122</v>
      </c>
      <c r="BR6" s="2030"/>
    </row>
    <row r="7" spans="1:70" ht="54.75" customHeight="1" thickBot="1">
      <c r="C7" s="1589"/>
      <c r="D7" s="1590">
        <f>COUNTA(A8:A226)</f>
        <v>2</v>
      </c>
      <c r="E7" s="1591">
        <f t="shared" ref="E7:AJ7" si="0">SUM(E8:E226)</f>
        <v>59</v>
      </c>
      <c r="F7" s="1592">
        <f t="shared" si="0"/>
        <v>69443000</v>
      </c>
      <c r="G7" s="1592">
        <f t="shared" si="0"/>
        <v>0</v>
      </c>
      <c r="H7" s="1592">
        <f t="shared" si="0"/>
        <v>69443000</v>
      </c>
      <c r="I7" s="1593">
        <f t="shared" si="0"/>
        <v>0</v>
      </c>
      <c r="J7" s="1593">
        <f t="shared" si="0"/>
        <v>450</v>
      </c>
      <c r="K7" s="1593">
        <f t="shared" si="0"/>
        <v>0</v>
      </c>
      <c r="L7" s="1594">
        <f t="shared" si="0"/>
        <v>0</v>
      </c>
      <c r="M7" s="1593">
        <f t="shared" si="0"/>
        <v>0</v>
      </c>
      <c r="N7" s="1594">
        <f t="shared" si="0"/>
        <v>0</v>
      </c>
      <c r="O7" s="1593">
        <f t="shared" si="0"/>
        <v>0</v>
      </c>
      <c r="P7" s="1594">
        <f t="shared" si="0"/>
        <v>0</v>
      </c>
      <c r="Q7" s="1593">
        <f t="shared" si="0"/>
        <v>0</v>
      </c>
      <c r="R7" s="1594">
        <f t="shared" si="0"/>
        <v>0</v>
      </c>
      <c r="S7" s="1593">
        <f t="shared" si="0"/>
        <v>0</v>
      </c>
      <c r="T7" s="1594">
        <f t="shared" si="0"/>
        <v>0</v>
      </c>
      <c r="U7" s="1593">
        <f t="shared" si="0"/>
        <v>0</v>
      </c>
      <c r="V7" s="1595">
        <f t="shared" si="0"/>
        <v>0</v>
      </c>
      <c r="W7" s="1595">
        <f t="shared" si="0"/>
        <v>0</v>
      </c>
      <c r="X7" s="1593">
        <f t="shared" si="0"/>
        <v>0</v>
      </c>
      <c r="Y7" s="1594">
        <f t="shared" si="0"/>
        <v>0</v>
      </c>
      <c r="Z7" s="1593">
        <f t="shared" si="0"/>
        <v>0</v>
      </c>
      <c r="AA7" s="1594">
        <f t="shared" si="0"/>
        <v>0</v>
      </c>
      <c r="AB7" s="1593">
        <f t="shared" si="0"/>
        <v>0</v>
      </c>
      <c r="AC7" s="1594">
        <f t="shared" si="0"/>
        <v>0</v>
      </c>
      <c r="AD7" s="1593">
        <f t="shared" si="0"/>
        <v>0</v>
      </c>
      <c r="AE7" s="1594">
        <f t="shared" si="0"/>
        <v>0</v>
      </c>
      <c r="AF7" s="1594">
        <f t="shared" si="0"/>
        <v>450</v>
      </c>
      <c r="AG7" s="1596">
        <f t="shared" si="0"/>
        <v>0</v>
      </c>
      <c r="AH7" s="1596">
        <f t="shared" si="0"/>
        <v>1908</v>
      </c>
      <c r="AI7" s="1596">
        <f t="shared" si="0"/>
        <v>0</v>
      </c>
      <c r="AJ7" s="1596">
        <f t="shared" si="0"/>
        <v>0</v>
      </c>
      <c r="AK7" s="1596">
        <f t="shared" ref="AK7:BM7" si="1">SUM(AK8:AK226)</f>
        <v>0</v>
      </c>
      <c r="AL7" s="1596">
        <f t="shared" si="1"/>
        <v>0</v>
      </c>
      <c r="AM7" s="1596">
        <f t="shared" si="1"/>
        <v>0</v>
      </c>
      <c r="AN7" s="1596">
        <f t="shared" si="1"/>
        <v>0</v>
      </c>
      <c r="AO7" s="1596">
        <f t="shared" si="1"/>
        <v>0</v>
      </c>
      <c r="AP7" s="1596">
        <f t="shared" si="1"/>
        <v>0</v>
      </c>
      <c r="AQ7" s="1596">
        <f t="shared" si="1"/>
        <v>0</v>
      </c>
      <c r="AR7" s="1591">
        <f t="shared" si="1"/>
        <v>1908</v>
      </c>
      <c r="AS7" s="1594">
        <f t="shared" si="1"/>
        <v>45005400</v>
      </c>
      <c r="AT7" s="1594">
        <f t="shared" si="1"/>
        <v>0</v>
      </c>
      <c r="AU7" s="1594">
        <f t="shared" si="1"/>
        <v>89208</v>
      </c>
      <c r="AV7" s="1594">
        <f t="shared" si="1"/>
        <v>45094608</v>
      </c>
      <c r="AW7" s="1594">
        <f t="shared" si="1"/>
        <v>-43368840</v>
      </c>
      <c r="AX7" s="1594">
        <f t="shared" si="1"/>
        <v>0</v>
      </c>
      <c r="AY7" s="1594">
        <f t="shared" si="1"/>
        <v>11782800</v>
      </c>
      <c r="AZ7" s="1594">
        <f t="shared" si="1"/>
        <v>0</v>
      </c>
      <c r="BA7" s="1597">
        <f t="shared" si="1"/>
        <v>0</v>
      </c>
      <c r="BB7" s="1595">
        <f t="shared" si="1"/>
        <v>0</v>
      </c>
      <c r="BC7" s="1595">
        <f t="shared" si="1"/>
        <v>0</v>
      </c>
      <c r="BD7" s="1595">
        <f t="shared" si="1"/>
        <v>0</v>
      </c>
      <c r="BE7" s="1594">
        <f t="shared" si="1"/>
        <v>0</v>
      </c>
      <c r="BF7" s="1594">
        <f t="shared" si="1"/>
        <v>0</v>
      </c>
      <c r="BG7" s="1594">
        <f t="shared" si="1"/>
        <v>0</v>
      </c>
      <c r="BH7" s="1594">
        <f t="shared" si="1"/>
        <v>0</v>
      </c>
      <c r="BI7" s="1594">
        <f t="shared" si="1"/>
        <v>0</v>
      </c>
      <c r="BJ7" s="1598">
        <f t="shared" si="1"/>
        <v>11782800</v>
      </c>
      <c r="BK7" s="1594">
        <f t="shared" si="1"/>
        <v>278499439</v>
      </c>
      <c r="BL7" s="1594">
        <f t="shared" si="1"/>
        <v>245665488</v>
      </c>
      <c r="BM7" s="1594">
        <f t="shared" si="1"/>
        <v>32833951</v>
      </c>
      <c r="BN7" s="1599"/>
      <c r="BO7" s="1600">
        <f>용도별분석!BQ7</f>
        <v>336399580.65493071</v>
      </c>
      <c r="BP7" s="1601">
        <f>용도별분석!BR7</f>
        <v>80.658150909601218</v>
      </c>
      <c r="BQ7" s="1602">
        <f>용도별분석!BS7</f>
        <v>5962.5</v>
      </c>
      <c r="BR7" s="1603"/>
    </row>
    <row r="8" spans="1:70" s="571" customFormat="1" ht="50.1" hidden="1" customHeight="1">
      <c r="A8" s="1488"/>
      <c r="C8" s="1524" t="s">
        <v>161</v>
      </c>
      <c r="D8" s="1490" t="str">
        <f>IF($A8="","",VLOOKUP($A8,기본데이타!$A$8:$BV$103,COLUMN(기본데이타!F$8),0))</f>
        <v/>
      </c>
      <c r="E8" s="1491" t="str">
        <f>IF($A8="","",VLOOKUP($A8,기본데이타!$A$8:$BV$103,COLUMN(기본데이타!G$8),0))</f>
        <v/>
      </c>
      <c r="F8" s="1604" t="str">
        <f>IF($A8="","",VLOOKUP($A8,기본데이타!$A$8:$BV$103,COLUMN(기본데이타!H$8),0))</f>
        <v/>
      </c>
      <c r="G8" s="1605" t="str">
        <f>IF($A8="","",VLOOKUP($A8,기본데이타!$A$8:$BV$103,COLUMN(기본데이타!I$8),0))</f>
        <v/>
      </c>
      <c r="H8" s="1605" t="str">
        <f>IF($A8="","",VLOOKUP($A8,기본데이타!$A$8:$BV$103,COLUMN(기본데이타!J$8),0))</f>
        <v/>
      </c>
      <c r="I8" s="1606" t="str">
        <f>IF($A8="","",VLOOKUP($A8,기본데이타!$A$8:$BV$103,COLUMN(기본데이타!K$8),0))</f>
        <v/>
      </c>
      <c r="J8" s="1606" t="str">
        <f>IF($A8="","",VLOOKUP($A8,기본데이타!$A$8:$BV$103,COLUMN(기본데이타!L$8),0))</f>
        <v/>
      </c>
      <c r="K8" s="1606" t="str">
        <f>IF($A8="","",VLOOKUP($A8,기본데이타!$A$8:$BV$103,COLUMN(기본데이타!M$8),0))</f>
        <v/>
      </c>
      <c r="L8" s="1607" t="str">
        <f>IF($A8="","",VLOOKUP($A8,기본데이타!$A$8:$BV$103,COLUMN(기본데이타!N$8),0))</f>
        <v/>
      </c>
      <c r="M8" s="1606" t="str">
        <f>IF($A8="","",VLOOKUP($A8,기본데이타!$A$8:$BV$103,COLUMN(기본데이타!O$8),0))</f>
        <v/>
      </c>
      <c r="N8" s="1607" t="str">
        <f>IF($A8="","",VLOOKUP($A8,기본데이타!$A$8:$BV$103,COLUMN(기본데이타!P$8),0))</f>
        <v/>
      </c>
      <c r="O8" s="1607" t="str">
        <f>IF($A8="","",VLOOKUP($A8,기본데이타!$A$8:$BV$103,COLUMN(기본데이타!Q$8),0))</f>
        <v/>
      </c>
      <c r="P8" s="1607" t="str">
        <f>IF($A8="","",VLOOKUP($A8,기본데이타!$A$8:$BV$103,COLUMN(기본데이타!R$8),0))</f>
        <v/>
      </c>
      <c r="Q8" s="1607" t="str">
        <f>IF($A8="","",VLOOKUP($A8,기본데이타!$A$8:$BV$103,COLUMN(기본데이타!S$8),0))</f>
        <v/>
      </c>
      <c r="R8" s="1607" t="str">
        <f>IF($A8="","",VLOOKUP($A8,기본데이타!$A$8:$BV$103,COLUMN(기본데이타!T$8),0))</f>
        <v/>
      </c>
      <c r="S8" s="1607" t="str">
        <f>IF($A8="","",VLOOKUP($A8,기본데이타!$A$8:$BV$103,COLUMN(기본데이타!U$8),0))</f>
        <v/>
      </c>
      <c r="T8" s="1607" t="str">
        <f>IF($A8="","",VLOOKUP($A8,기본데이타!$A$8:$BV$103,COLUMN(기본데이타!V$8),0))</f>
        <v/>
      </c>
      <c r="U8" s="1607" t="str">
        <f>IF($A8="","",VLOOKUP($A8,기본데이타!$A$8:$BV$103,COLUMN(기본데이타!W$8),0))</f>
        <v/>
      </c>
      <c r="V8" s="1607" t="str">
        <f>IF($A8="","",VLOOKUP($A8,기본데이타!$A$8:$BV$103,COLUMN(기본데이타!X$8),0))</f>
        <v/>
      </c>
      <c r="W8" s="1607" t="str">
        <f>IF($A8="","",VLOOKUP($A8,기본데이타!$A$8:$BV$103,COLUMN(기본데이타!AA$8),0))</f>
        <v/>
      </c>
      <c r="X8" s="1607" t="str">
        <f>IF($A8="","",VLOOKUP($A8,기본데이타!$A$8:$BV$103,COLUMN(기본데이타!AB$8),0))</f>
        <v/>
      </c>
      <c r="Y8" s="1606" t="str">
        <f>IF($A8="","",VLOOKUP($A8,기본데이타!$A$8:$BV$103,COLUMN(기본데이타!AC$8),0))</f>
        <v/>
      </c>
      <c r="Z8" s="1607" t="str">
        <f>IF($A8="","",VLOOKUP($A8,기본데이타!$A$8:$BV$103,COLUMN(기본데이타!AD$8),0))</f>
        <v/>
      </c>
      <c r="AA8" s="1606" t="str">
        <f>IF($A8="","",VLOOKUP($A8,기본데이타!$A$8:$BV$103,COLUMN(기본데이타!AE$8),0))</f>
        <v/>
      </c>
      <c r="AB8" s="1607" t="str">
        <f>IF($A8="","",VLOOKUP($A8,기본데이타!$A$8:$BV$103,COLUMN(기본데이타!AF$8),0))</f>
        <v/>
      </c>
      <c r="AC8" s="1606" t="str">
        <f>IF($A8="","",VLOOKUP($A8,기본데이타!$A$8:$BV$103,COLUMN(기본데이타!AG$8),0))</f>
        <v/>
      </c>
      <c r="AD8" s="1607" t="str">
        <f>IF($A8="","",VLOOKUP($A8,기본데이타!$A$8:$BV$103,COLUMN(기본데이타!AH$8),0))</f>
        <v/>
      </c>
      <c r="AE8" s="1606" t="str">
        <f>IF($A8="","",VLOOKUP($A8,기본데이타!$A$8:$BV$103,COLUMN(기본데이타!AI$8),0))</f>
        <v/>
      </c>
      <c r="AF8" s="1608" t="str">
        <f>IF($A8="","",VLOOKUP($A8,기본데이타!$A$8:$BV$103,COLUMN(기본데이타!AJ$8),0))</f>
        <v/>
      </c>
      <c r="AG8" s="1495" t="str">
        <f>IF($A8="","",VLOOKUP($A8,기본데이타!$A$8:$BV$103,COLUMN(기본데이타!AK$8),0))</f>
        <v/>
      </c>
      <c r="AH8" s="1609" t="str">
        <f>IF($A8="","",VLOOKUP($A8,기본데이타!$A$8:$BV$103,COLUMN(기본데이타!AL$8),0))</f>
        <v/>
      </c>
      <c r="AI8" s="1609" t="str">
        <f>IF($A8="","",VLOOKUP($A8,기본데이타!$A$8:$BV$103,COLUMN(기본데이타!AM$8),0))</f>
        <v/>
      </c>
      <c r="AJ8" s="1609" t="str">
        <f>IF($A8="","",VLOOKUP($A8,기본데이타!$A$8:$BV$103,COLUMN(기본데이타!AN$8),0))</f>
        <v/>
      </c>
      <c r="AK8" s="1609" t="str">
        <f>IF($A8="","",VLOOKUP($A8,기본데이타!$A$8:$BV$103,COLUMN(기본데이타!AO$8),0))</f>
        <v/>
      </c>
      <c r="AL8" s="1609" t="str">
        <f>IF($A8="","",VLOOKUP($A8,기본데이타!$A$8:$BV$103,COLUMN(기본데이타!AP$8),0))</f>
        <v/>
      </c>
      <c r="AM8" s="1609" t="str">
        <f>IF($A8="","",VLOOKUP($A8,기본데이타!$A$8:$BV$103,COLUMN(기본데이타!AQ$8),0))</f>
        <v/>
      </c>
      <c r="AN8" s="1609" t="str">
        <f>IF($A8="","",VLOOKUP($A8,기본데이타!$A$8:$BV$103,COLUMN(기본데이타!AR$8),0))</f>
        <v/>
      </c>
      <c r="AO8" s="1609" t="str">
        <f>IF($A8="","",VLOOKUP($A8,기본데이타!$A$8:$BV$103,COLUMN(기본데이타!AS$8),0))</f>
        <v/>
      </c>
      <c r="AP8" s="1609" t="str">
        <f>IF($A8="","",VLOOKUP($A8,기본데이타!$A$8:$BV$103,COLUMN(기본데이타!AT$8),0))</f>
        <v/>
      </c>
      <c r="AQ8" s="1609" t="str">
        <f>IF($A8="","",VLOOKUP($A8,기본데이타!$A$8:$BV$103,COLUMN(기본데이타!AU$8),0))</f>
        <v/>
      </c>
      <c r="AR8" s="1525" t="str">
        <f>IF($A8="","",VLOOKUP($A8,기본데이타!$A$8:$BV$103,COLUMN(기본데이타!AV$8),0))</f>
        <v/>
      </c>
      <c r="AS8" s="1607" t="str">
        <f>IF($A8="","",VLOOKUP($A8,기본데이타!$A$8:$BV$103,COLUMN(기본데이타!AW$8),0))</f>
        <v/>
      </c>
      <c r="AT8" s="1607" t="str">
        <f>IF($A8="","",VLOOKUP($A8,기본데이타!$A$8:$BV$103,COLUMN(기본데이타!AX$8),0))</f>
        <v/>
      </c>
      <c r="AU8" s="1607" t="str">
        <f>IF($A8="","",VLOOKUP($A8,기본데이타!$A$8:$BV$103,COLUMN(기본데이타!AY$8),0))</f>
        <v/>
      </c>
      <c r="AV8" s="1607" t="str">
        <f>IF(AS8="","",SUM(AS8:AU8))</f>
        <v/>
      </c>
      <c r="AW8" s="1608" t="str">
        <f>IF($A8="","",VLOOKUP($A8,기본데이타!$A$8:$BV$103,COLUMN(기본데이타!BA$8),0))</f>
        <v/>
      </c>
      <c r="AX8" s="1608" t="str">
        <f>IF($A8="","",VLOOKUP($A8,기본데이타!$A$8:$BV$103,COLUMN(기본데이타!BB$8),0))</f>
        <v/>
      </c>
      <c r="AY8" s="1608" t="str">
        <f>IF($A8="","",VLOOKUP($A8,기본데이타!$A$8:$BV$103,COLUMN(기본데이타!BC$8),0))</f>
        <v/>
      </c>
      <c r="AZ8" s="1608" t="str">
        <f>IF($A8="","",VLOOKUP($A8,기본데이타!$A$8:$BV$103,COLUMN(기본데이타!BD$8),0))</f>
        <v/>
      </c>
      <c r="BA8" s="1608" t="str">
        <f>IF($A8="","",VLOOKUP($A8,기본데이타!$A$8:$BV$103,COLUMN(기본데이타!BE$8),0))</f>
        <v/>
      </c>
      <c r="BB8" s="1608" t="str">
        <f>IF($A8="","",VLOOKUP($A8,기본데이타!$A$8:$BV$103,COLUMN(기본데이타!BF$8),0))</f>
        <v/>
      </c>
      <c r="BC8" s="1608" t="str">
        <f>IF($A8="","",VLOOKUP($A8,기본데이타!$A$8:$BV$103,COLUMN(기본데이타!BG$8),0))</f>
        <v/>
      </c>
      <c r="BD8" s="1653" t="str">
        <f>IF($A8="","",VLOOKUP($A8,기본데이타!$A$8:$BV$103,COLUMN(기본데이타!BH$8),0))</f>
        <v/>
      </c>
      <c r="BE8" s="1608" t="str">
        <f>IF($A8="","",VLOOKUP($A8,기본데이타!$A$8:$BV$103,COLUMN(기본데이타!BI$8),0))</f>
        <v/>
      </c>
      <c r="BF8" s="1608" t="str">
        <f>IF($A8="","",VLOOKUP($A8,기본데이타!$A$8:$BV$103,COLUMN(기본데이타!BJ$8),0))</f>
        <v/>
      </c>
      <c r="BG8" s="1608" t="str">
        <f>IF($A8="","",VLOOKUP($A8,기본데이타!$A$8:$BV$103,COLUMN(기본데이타!BK$8),0))</f>
        <v/>
      </c>
      <c r="BH8" s="1608" t="str">
        <f>IF($A8="","",VLOOKUP($A8,기본데이타!$A$8:$BV$103,COLUMN(기본데이타!BL$8),0))</f>
        <v/>
      </c>
      <c r="BI8" s="1608" t="str">
        <f>IF($A8="","",VLOOKUP($A8,기본데이타!$A$8:$BV$103,COLUMN(기본데이타!BM$8),0))</f>
        <v/>
      </c>
      <c r="BJ8" s="1610" t="str">
        <f>IF($A8="","",VLOOKUP($A8,기본데이타!$A$8:$BV$103,COLUMN(기본데이타!BN$8),0))</f>
        <v/>
      </c>
      <c r="BK8" s="1608" t="str">
        <f>IF($A8="","",VLOOKUP($A8,기본데이타!$A$8:$BV$103,COLUMN(기본데이타!BO$8),0))</f>
        <v/>
      </c>
      <c r="BL8" s="1608" t="str">
        <f>IF($A8="","",VLOOKUP($A8,기본데이타!$A$8:$BV$103,COLUMN(기본데이타!BP$8),0))</f>
        <v/>
      </c>
      <c r="BM8" s="1608" t="str">
        <f>IF($A8="","",VLOOKUP($A8,기본데이타!$A$8:$BV$103,COLUMN(기본데이타!BQ$8),0))</f>
        <v/>
      </c>
      <c r="BN8" s="599" t="str">
        <f>IF($A8="","",VLOOKUP($A8,기본데이타!$A$8:$BV$103,COLUMN(기본데이타!BR$8),0))</f>
        <v/>
      </c>
      <c r="BO8" s="1611" t="str">
        <f>IF($A8="","",VLOOKUP($A8,기본데이타!$A$8:$BV$103,COLUMN(기본데이타!BS$8),0))</f>
        <v/>
      </c>
      <c r="BP8" s="1501" t="str">
        <f>IF($A8="","",VLOOKUP($A8,기본데이타!$A$8:$BV$103,COLUMN(기본데이타!BT$8),0))</f>
        <v/>
      </c>
      <c r="BQ8" s="1502" t="str">
        <f>IF($A8="","",VLOOKUP($A8,기본데이타!$A$8:$BV$103,COLUMN(기본데이타!BU$8),0))</f>
        <v/>
      </c>
      <c r="BR8" s="1612" t="str">
        <f>IF($A8="","",A8)</f>
        <v/>
      </c>
    </row>
    <row r="9" spans="1:70" s="571" customFormat="1" ht="50.1" hidden="1" customHeight="1">
      <c r="A9" s="606"/>
      <c r="B9" s="589"/>
      <c r="C9" s="590"/>
      <c r="D9" s="591" t="str">
        <f>IF($A9="","",VLOOKUP($A9,기본데이타!$A$8:$BV$103,COLUMN(기본데이타!F$8),0))</f>
        <v/>
      </c>
      <c r="E9" s="592" t="str">
        <f>IF($A9="","",VLOOKUP($A9,기본데이타!$A$8:$BV$103,COLUMN(기본데이타!G$8),0))</f>
        <v/>
      </c>
      <c r="F9" s="593" t="str">
        <f>IF($A9="","",VLOOKUP($A9,기본데이타!$A$8:$BV$103,COLUMN(기본데이타!H$8),0))</f>
        <v/>
      </c>
      <c r="G9" s="594" t="str">
        <f>IF($A9="","",VLOOKUP($A9,기본데이타!$A$8:$BV$103,COLUMN(기본데이타!I$8),0))</f>
        <v/>
      </c>
      <c r="H9" s="594" t="str">
        <f>IF($A9="","",VLOOKUP($A9,기본데이타!$A$8:$BV$103,COLUMN(기본데이타!J$8),0))</f>
        <v/>
      </c>
      <c r="I9" s="595" t="str">
        <f>IF($A9="","",VLOOKUP($A9,기본데이타!$A$8:$BV$103,COLUMN(기본데이타!K$8),0))</f>
        <v/>
      </c>
      <c r="J9" s="595" t="str">
        <f>IF($A9="","",VLOOKUP($A9,기본데이타!$A$8:$BV$103,COLUMN(기본데이타!L$8),0))</f>
        <v/>
      </c>
      <c r="K9" s="595" t="str">
        <f>IF($A9="","",VLOOKUP($A9,기본데이타!$A$8:$BV$103,COLUMN(기본데이타!M$8),0))</f>
        <v/>
      </c>
      <c r="L9" s="596" t="str">
        <f>IF($A9="","",VLOOKUP($A9,기본데이타!$A$8:$BV$103,COLUMN(기본데이타!N$8),0))</f>
        <v/>
      </c>
      <c r="M9" s="595" t="str">
        <f>IF($A9="","",VLOOKUP($A9,기본데이타!$A$8:$BV$103,COLUMN(기본데이타!O$8),0))</f>
        <v/>
      </c>
      <c r="N9" s="596" t="str">
        <f>IF($A9="","",VLOOKUP($A9,기본데이타!$A$8:$BV$103,COLUMN(기본데이타!P$8),0))</f>
        <v/>
      </c>
      <c r="O9" s="596" t="str">
        <f>IF($A9="","",VLOOKUP($A9,기본데이타!$A$8:$BV$103,COLUMN(기본데이타!Q$8),0))</f>
        <v/>
      </c>
      <c r="P9" s="596" t="str">
        <f>IF($A9="","",VLOOKUP($A9,기본데이타!$A$8:$BV$103,COLUMN(기본데이타!R$8),0))</f>
        <v/>
      </c>
      <c r="Q9" s="596" t="str">
        <f>IF($A9="","",VLOOKUP($A9,기본데이타!$A$8:$BV$103,COLUMN(기본데이타!S$8),0))</f>
        <v/>
      </c>
      <c r="R9" s="596" t="str">
        <f>IF($A9="","",VLOOKUP($A9,기본데이타!$A$8:$BV$103,COLUMN(기본데이타!T$8),0))</f>
        <v/>
      </c>
      <c r="S9" s="596" t="str">
        <f>IF($A9="","",VLOOKUP($A9,기본데이타!$A$8:$BV$103,COLUMN(기본데이타!U$8),0))</f>
        <v/>
      </c>
      <c r="T9" s="596" t="str">
        <f>IF($A9="","",VLOOKUP($A9,기본데이타!$A$8:$BV$103,COLUMN(기본데이타!V$8),0))</f>
        <v/>
      </c>
      <c r="U9" s="596" t="str">
        <f>IF($A9="","",VLOOKUP($A9,기본데이타!$A$8:$BV$103,COLUMN(기본데이타!W$8),0))</f>
        <v/>
      </c>
      <c r="V9" s="596" t="str">
        <f>IF($A9="","",VLOOKUP($A9,기본데이타!$A$8:$BV$103,COLUMN(기본데이타!X$8),0))</f>
        <v/>
      </c>
      <c r="W9" s="596" t="str">
        <f>IF($A9="","",VLOOKUP($A9,기본데이타!$A$8:$BV$103,COLUMN(기본데이타!AA$8),0))</f>
        <v/>
      </c>
      <c r="X9" s="596" t="str">
        <f>IF($A9="","",VLOOKUP($A9,기본데이타!$A$8:$BV$103,COLUMN(기본데이타!AB$8),0))</f>
        <v/>
      </c>
      <c r="Y9" s="595" t="str">
        <f>IF($A9="","",VLOOKUP($A9,기본데이타!$A$8:$BV$103,COLUMN(기본데이타!AC$8),0))</f>
        <v/>
      </c>
      <c r="Z9" s="596" t="str">
        <f>IF($A9="","",VLOOKUP($A9,기본데이타!$A$8:$BV$103,COLUMN(기본데이타!AD$8),0))</f>
        <v/>
      </c>
      <c r="AA9" s="595" t="str">
        <f>IF($A9="","",VLOOKUP($A9,기본데이타!$A$8:$BV$103,COLUMN(기본데이타!AE$8),0))</f>
        <v/>
      </c>
      <c r="AB9" s="596" t="str">
        <f>IF($A9="","",VLOOKUP($A9,기본데이타!$A$8:$BV$103,COLUMN(기본데이타!AF$8),0))</f>
        <v/>
      </c>
      <c r="AC9" s="595" t="str">
        <f>IF($A9="","",VLOOKUP($A9,기본데이타!$A$8:$BV$103,COLUMN(기본데이타!AG$8),0))</f>
        <v/>
      </c>
      <c r="AD9" s="596" t="str">
        <f>IF($A9="","",VLOOKUP($A9,기본데이타!$A$8:$BV$103,COLUMN(기본데이타!AH$8),0))</f>
        <v/>
      </c>
      <c r="AE9" s="595" t="str">
        <f>IF($A9="","",VLOOKUP($A9,기본데이타!$A$8:$BV$103,COLUMN(기본데이타!AI$8),0))</f>
        <v/>
      </c>
      <c r="AF9" s="597" t="str">
        <f>IF($A9="","",VLOOKUP($A9,기본데이타!$A$8:$BV$103,COLUMN(기본데이타!AJ$8),0))</f>
        <v/>
      </c>
      <c r="AG9" s="580" t="str">
        <f>IF($A9="","",VLOOKUP($A9,기본데이타!$A$8:$BV$103,COLUMN(기본데이타!AK$8),0))</f>
        <v/>
      </c>
      <c r="AH9" s="580" t="str">
        <f>IF($A9="","",VLOOKUP($A9,기본데이타!$A$8:$BV$103,COLUMN(기본데이타!AL$8),0))</f>
        <v/>
      </c>
      <c r="AI9" s="580" t="str">
        <f>IF($A9="","",VLOOKUP($A9,기본데이타!$A$8:$BV$103,COLUMN(기본데이타!AM$8),0))</f>
        <v/>
      </c>
      <c r="AJ9" s="580" t="str">
        <f>IF($A9="","",VLOOKUP($A9,기본데이타!$A$8:$BV$103,COLUMN(기본데이타!AN$8),0))</f>
        <v/>
      </c>
      <c r="AK9" s="580" t="str">
        <f>IF($A9="","",VLOOKUP($A9,기본데이타!$A$8:$BV$103,COLUMN(기본데이타!AO$8),0))</f>
        <v/>
      </c>
      <c r="AL9" s="580" t="str">
        <f>IF($A9="","",VLOOKUP($A9,기본데이타!$A$8:$BV$103,COLUMN(기본데이타!AP$8),0))</f>
        <v/>
      </c>
      <c r="AM9" s="580" t="str">
        <f>IF($A9="","",VLOOKUP($A9,기본데이타!$A$8:$BV$103,COLUMN(기본데이타!AQ$8),0))</f>
        <v/>
      </c>
      <c r="AN9" s="580" t="str">
        <f>IF($A9="","",VLOOKUP($A9,기본데이타!$A$8:$BV$103,COLUMN(기본데이타!AR$8),0))</f>
        <v/>
      </c>
      <c r="AO9" s="580" t="str">
        <f>IF($A9="","",VLOOKUP($A9,기본데이타!$A$8:$BV$103,COLUMN(기본데이타!AS$8),0))</f>
        <v/>
      </c>
      <c r="AP9" s="580" t="str">
        <f>IF($A9="","",VLOOKUP($A9,기본데이타!$A$8:$BV$103,COLUMN(기본데이타!AT$8),0))</f>
        <v/>
      </c>
      <c r="AQ9" s="580" t="str">
        <f>IF($A9="","",VLOOKUP($A9,기본데이타!$A$8:$BV$103,COLUMN(기본데이타!AU$8),0))</f>
        <v/>
      </c>
      <c r="AR9" s="598" t="str">
        <f>IF($A9="","",VLOOKUP($A9,기본데이타!$A$8:$BV$103,COLUMN(기본데이타!AV$8),0))</f>
        <v/>
      </c>
      <c r="AS9" s="596" t="str">
        <f>IF($A9="","",VLOOKUP($A9,기본데이타!$A$8:$BV$103,COLUMN(기본데이타!AW$8),0))</f>
        <v/>
      </c>
      <c r="AT9" s="596" t="str">
        <f>IF($A9="","",VLOOKUP($A9,기본데이타!$A$8:$BV$103,COLUMN(기본데이타!AX$8),0))</f>
        <v/>
      </c>
      <c r="AU9" s="596" t="str">
        <f>IF($A9="","",VLOOKUP($A9,기본데이타!$A$8:$BV$103,COLUMN(기본데이타!AY$8),0))</f>
        <v/>
      </c>
      <c r="AV9" s="596" t="str">
        <f t="shared" ref="AV9:AV61" si="2">IF(AS9="","",SUM(AS9:AU9))</f>
        <v/>
      </c>
      <c r="AW9" s="597" t="str">
        <f>IF($A9="","",VLOOKUP($A9,기본데이타!$A$8:$BV$103,COLUMN(기본데이타!BA$8),0))</f>
        <v/>
      </c>
      <c r="AX9" s="597" t="str">
        <f>IF($A9="","",VLOOKUP($A9,기본데이타!$A$8:$BV$103,COLUMN(기본데이타!BB$8),0))</f>
        <v/>
      </c>
      <c r="AY9" s="597" t="str">
        <f>IF($A9="","",VLOOKUP($A9,기본데이타!$A$8:$BV$103,COLUMN(기본데이타!BC$8),0))</f>
        <v/>
      </c>
      <c r="AZ9" s="597" t="str">
        <f>IF($A9="","",VLOOKUP($A9,기본데이타!$A$8:$BV$103,COLUMN(기본데이타!BD$8),0))</f>
        <v/>
      </c>
      <c r="BA9" s="597" t="str">
        <f>IF($A9="","",VLOOKUP($A9,기본데이타!$A$8:$BV$103,COLUMN(기본데이타!BE$8),0))</f>
        <v/>
      </c>
      <c r="BB9" s="597" t="str">
        <f>IF($A9="","",VLOOKUP($A9,기본데이타!$A$8:$BV$103,COLUMN(기본데이타!BF$8),0))</f>
        <v/>
      </c>
      <c r="BC9" s="597" t="str">
        <f>IF($A9="","",VLOOKUP($A9,기본데이타!$A$8:$BV$103,COLUMN(기본데이타!BG$8),0))</f>
        <v/>
      </c>
      <c r="BD9" s="1406" t="str">
        <f>IF($A9="","",VLOOKUP($A9,기본데이타!$A$8:$BV$103,COLUMN(기본데이타!BH$8),0))</f>
        <v/>
      </c>
      <c r="BE9" s="597" t="str">
        <f>IF($A9="","",VLOOKUP($A9,기본데이타!$A$8:$BV$103,COLUMN(기본데이타!BI$8),0))</f>
        <v/>
      </c>
      <c r="BF9" s="597" t="str">
        <f>IF($A9="","",VLOOKUP($A9,기본데이타!$A$8:$BV$103,COLUMN(기본데이타!BJ$8),0))</f>
        <v/>
      </c>
      <c r="BG9" s="597" t="str">
        <f>IF($A9="","",VLOOKUP($A9,기본데이타!$A$8:$BV$103,COLUMN(기본데이타!BK$8),0))</f>
        <v/>
      </c>
      <c r="BH9" s="597" t="str">
        <f>IF($A9="","",VLOOKUP($A9,기본데이타!$A$8:$BV$103,COLUMN(기본데이타!BL$8),0))</f>
        <v/>
      </c>
      <c r="BI9" s="597" t="str">
        <f>IF($A9="","",VLOOKUP($A9,기본데이타!$A$8:$BV$103,COLUMN(기본데이타!BM$8),0))</f>
        <v/>
      </c>
      <c r="BJ9" s="597" t="str">
        <f>IF($A9="","",VLOOKUP($A9,기본데이타!$A$8:$BV$103,COLUMN(기본데이타!BN$8),0))</f>
        <v/>
      </c>
      <c r="BK9" s="597" t="str">
        <f>IF($A9="","",VLOOKUP($A9,기본데이타!$A$8:$BV$103,COLUMN(기본데이타!BO$8),0))</f>
        <v/>
      </c>
      <c r="BL9" s="597" t="str">
        <f>IF($A9="","",VLOOKUP($A9,기본데이타!$A$8:$BV$103,COLUMN(기본데이타!BP$8),0))</f>
        <v/>
      </c>
      <c r="BM9" s="597" t="str">
        <f>IF($A9="","",VLOOKUP($A9,기본데이타!$A$8:$BV$103,COLUMN(기본데이타!BQ$8),0))</f>
        <v/>
      </c>
      <c r="BN9" s="599" t="str">
        <f>IF($A9="","",VLOOKUP($A9,기본데이타!$A$8:$BV$103,COLUMN(기본데이타!BR$8),0))</f>
        <v/>
      </c>
      <c r="BO9" s="600" t="str">
        <f>IF($A9="","",VLOOKUP($A9,기본데이타!$A$8:$BV$103,COLUMN(기본데이타!BS$8),0))</f>
        <v/>
      </c>
      <c r="BP9" s="639" t="str">
        <f>IF($A9="","",VLOOKUP($A9,기본데이타!$A$8:$BV$103,COLUMN(기본데이타!BT$8),0))</f>
        <v/>
      </c>
      <c r="BQ9" s="602" t="str">
        <f>IF($A9="","",VLOOKUP($A9,기본데이타!$A$8:$BV$103,COLUMN(기본데이타!BU$8),0))</f>
        <v/>
      </c>
      <c r="BR9" s="603" t="str">
        <f t="shared" ref="BR9:BR61" si="3">IF($A9="","",A9)</f>
        <v/>
      </c>
    </row>
    <row r="10" spans="1:70" s="571" customFormat="1" ht="50.1" hidden="1" customHeight="1">
      <c r="A10" s="578"/>
      <c r="B10" s="589"/>
      <c r="C10" s="590"/>
      <c r="D10" s="591" t="str">
        <f>IF($A10="","",VLOOKUP($A10,기본데이타!$A$8:$BV$103,COLUMN(기본데이타!F$8),0))</f>
        <v/>
      </c>
      <c r="E10" s="592" t="str">
        <f>IF($A10="","",VLOOKUP($A10,기본데이타!$A$8:$BV$103,COLUMN(기본데이타!G$8),0))</f>
        <v/>
      </c>
      <c r="F10" s="593" t="str">
        <f>IF($A10="","",VLOOKUP($A10,기본데이타!$A$8:$BV$103,COLUMN(기본데이타!H$8),0))</f>
        <v/>
      </c>
      <c r="G10" s="594" t="str">
        <f>IF($A10="","",VLOOKUP($A10,기본데이타!$A$8:$BV$103,COLUMN(기본데이타!I$8),0))</f>
        <v/>
      </c>
      <c r="H10" s="594" t="str">
        <f>IF($A10="","",VLOOKUP($A10,기본데이타!$A$8:$BV$103,COLUMN(기본데이타!J$8),0))</f>
        <v/>
      </c>
      <c r="I10" s="595" t="str">
        <f>IF($A10="","",VLOOKUP($A10,기본데이타!$A$8:$BV$103,COLUMN(기본데이타!K$8),0))</f>
        <v/>
      </c>
      <c r="J10" s="595" t="str">
        <f>IF($A10="","",VLOOKUP($A10,기본데이타!$A$8:$BV$103,COLUMN(기본데이타!L$8),0))</f>
        <v/>
      </c>
      <c r="K10" s="595" t="str">
        <f>IF($A10="","",VLOOKUP($A10,기본데이타!$A$8:$BV$103,COLUMN(기본데이타!M$8),0))</f>
        <v/>
      </c>
      <c r="L10" s="596" t="str">
        <f>IF($A10="","",VLOOKUP($A10,기본데이타!$A$8:$BV$103,COLUMN(기본데이타!N$8),0))</f>
        <v/>
      </c>
      <c r="M10" s="595" t="str">
        <f>IF($A10="","",VLOOKUP($A10,기본데이타!$A$8:$BV$103,COLUMN(기본데이타!O$8),0))</f>
        <v/>
      </c>
      <c r="N10" s="596" t="str">
        <f>IF($A10="","",VLOOKUP($A10,기본데이타!$A$8:$BV$103,COLUMN(기본데이타!P$8),0))</f>
        <v/>
      </c>
      <c r="O10" s="596" t="str">
        <f>IF($A10="","",VLOOKUP($A10,기본데이타!$A$8:$BV$103,COLUMN(기본데이타!Q$8),0))</f>
        <v/>
      </c>
      <c r="P10" s="596" t="str">
        <f>IF($A10="","",VLOOKUP($A10,기본데이타!$A$8:$BV$103,COLUMN(기본데이타!R$8),0))</f>
        <v/>
      </c>
      <c r="Q10" s="596" t="str">
        <f>IF($A10="","",VLOOKUP($A10,기본데이타!$A$8:$BV$103,COLUMN(기본데이타!S$8),0))</f>
        <v/>
      </c>
      <c r="R10" s="596" t="str">
        <f>IF($A10="","",VLOOKUP($A10,기본데이타!$A$8:$BV$103,COLUMN(기본데이타!T$8),0))</f>
        <v/>
      </c>
      <c r="S10" s="596" t="str">
        <f>IF($A10="","",VLOOKUP($A10,기본데이타!$A$8:$BV$103,COLUMN(기본데이타!U$8),0))</f>
        <v/>
      </c>
      <c r="T10" s="596" t="str">
        <f>IF($A10="","",VLOOKUP($A10,기본데이타!$A$8:$BV$103,COLUMN(기본데이타!V$8),0))</f>
        <v/>
      </c>
      <c r="U10" s="596" t="str">
        <f>IF($A10="","",VLOOKUP($A10,기본데이타!$A$8:$BV$103,COLUMN(기본데이타!W$8),0))</f>
        <v/>
      </c>
      <c r="V10" s="596" t="str">
        <f>IF($A10="","",VLOOKUP($A10,기본데이타!$A$8:$BV$103,COLUMN(기본데이타!X$8),0))</f>
        <v/>
      </c>
      <c r="W10" s="596" t="str">
        <f>IF($A10="","",VLOOKUP($A10,기본데이타!$A$8:$BV$103,COLUMN(기본데이타!AA$8),0))</f>
        <v/>
      </c>
      <c r="X10" s="596" t="str">
        <f>IF($A10="","",VLOOKUP($A10,기본데이타!$A$8:$BV$103,COLUMN(기본데이타!AB$8),0))</f>
        <v/>
      </c>
      <c r="Y10" s="595" t="str">
        <f>IF($A10="","",VLOOKUP($A10,기본데이타!$A$8:$BV$103,COLUMN(기본데이타!AC$8),0))</f>
        <v/>
      </c>
      <c r="Z10" s="596" t="str">
        <f>IF($A10="","",VLOOKUP($A10,기본데이타!$A$8:$BV$103,COLUMN(기본데이타!AD$8),0))</f>
        <v/>
      </c>
      <c r="AA10" s="595" t="str">
        <f>IF($A10="","",VLOOKUP($A10,기본데이타!$A$8:$BV$103,COLUMN(기본데이타!AE$8),0))</f>
        <v/>
      </c>
      <c r="AB10" s="596" t="str">
        <f>IF($A10="","",VLOOKUP($A10,기본데이타!$A$8:$BV$103,COLUMN(기본데이타!AF$8),0))</f>
        <v/>
      </c>
      <c r="AC10" s="595" t="str">
        <f>IF($A10="","",VLOOKUP($A10,기본데이타!$A$8:$BV$103,COLUMN(기본데이타!AG$8),0))</f>
        <v/>
      </c>
      <c r="AD10" s="596" t="str">
        <f>IF($A10="","",VLOOKUP($A10,기본데이타!$A$8:$BV$103,COLUMN(기본데이타!AH$8),0))</f>
        <v/>
      </c>
      <c r="AE10" s="595" t="str">
        <f>IF($A10="","",VLOOKUP($A10,기본데이타!$A$8:$BV$103,COLUMN(기본데이타!AI$8),0))</f>
        <v/>
      </c>
      <c r="AF10" s="597" t="str">
        <f>IF($A10="","",VLOOKUP($A10,기본데이타!$A$8:$BV$103,COLUMN(기본데이타!AJ$8),0))</f>
        <v/>
      </c>
      <c r="AG10" s="580" t="str">
        <f>IF($A10="","",VLOOKUP($A10,기본데이타!$A$8:$BV$103,COLUMN(기본데이타!AK$8),0))</f>
        <v/>
      </c>
      <c r="AH10" s="580" t="str">
        <f>IF($A10="","",VLOOKUP($A10,기본데이타!$A$8:$BV$103,COLUMN(기본데이타!AL$8),0))</f>
        <v/>
      </c>
      <c r="AI10" s="580" t="str">
        <f>IF($A10="","",VLOOKUP($A10,기본데이타!$A$8:$BV$103,COLUMN(기본데이타!AM$8),0))</f>
        <v/>
      </c>
      <c r="AJ10" s="580" t="str">
        <f>IF($A10="","",VLOOKUP($A10,기본데이타!$A$8:$BV$103,COLUMN(기본데이타!AN$8),0))</f>
        <v/>
      </c>
      <c r="AK10" s="580" t="str">
        <f>IF($A10="","",VLOOKUP($A10,기본데이타!$A$8:$BV$103,COLUMN(기본데이타!AO$8),0))</f>
        <v/>
      </c>
      <c r="AL10" s="580" t="str">
        <f>IF($A10="","",VLOOKUP($A10,기본데이타!$A$8:$BV$103,COLUMN(기본데이타!AP$8),0))</f>
        <v/>
      </c>
      <c r="AM10" s="580" t="str">
        <f>IF($A10="","",VLOOKUP($A10,기본데이타!$A$8:$BV$103,COLUMN(기본데이타!AQ$8),0))</f>
        <v/>
      </c>
      <c r="AN10" s="580" t="str">
        <f>IF($A10="","",VLOOKUP($A10,기본데이타!$A$8:$BV$103,COLUMN(기본데이타!AR$8),0))</f>
        <v/>
      </c>
      <c r="AO10" s="580" t="str">
        <f>IF($A10="","",VLOOKUP($A10,기본데이타!$A$8:$BV$103,COLUMN(기본데이타!AS$8),0))</f>
        <v/>
      </c>
      <c r="AP10" s="580" t="str">
        <f>IF($A10="","",VLOOKUP($A10,기본데이타!$A$8:$BV$103,COLUMN(기본데이타!AT$8),0))</f>
        <v/>
      </c>
      <c r="AQ10" s="580" t="str">
        <f>IF($A10="","",VLOOKUP($A10,기본데이타!$A$8:$BV$103,COLUMN(기본데이타!AU$8),0))</f>
        <v/>
      </c>
      <c r="AR10" s="598" t="str">
        <f>IF($A10="","",VLOOKUP($A10,기본데이타!$A$8:$BV$103,COLUMN(기본데이타!AV$8),0))</f>
        <v/>
      </c>
      <c r="AS10" s="596" t="str">
        <f>IF($A10="","",VLOOKUP($A10,기본데이타!$A$8:$BV$103,COLUMN(기본데이타!AW$8),0))</f>
        <v/>
      </c>
      <c r="AT10" s="596" t="str">
        <f>IF($A10="","",VLOOKUP($A10,기본데이타!$A$8:$BV$103,COLUMN(기본데이타!AX$8),0))</f>
        <v/>
      </c>
      <c r="AU10" s="596" t="str">
        <f>IF($A10="","",VLOOKUP($A10,기본데이타!$A$8:$BV$103,COLUMN(기본데이타!AY$8),0))</f>
        <v/>
      </c>
      <c r="AV10" s="596" t="str">
        <f t="shared" si="2"/>
        <v/>
      </c>
      <c r="AW10" s="597" t="str">
        <f>IF($A10="","",VLOOKUP($A10,기본데이타!$A$8:$BV$103,COLUMN(기본데이타!BA$8),0))</f>
        <v/>
      </c>
      <c r="AX10" s="597" t="str">
        <f>IF($A10="","",VLOOKUP($A10,기본데이타!$A$8:$BV$103,COLUMN(기본데이타!BB$8),0))</f>
        <v/>
      </c>
      <c r="AY10" s="597" t="str">
        <f>IF($A10="","",VLOOKUP($A10,기본데이타!$A$8:$BV$103,COLUMN(기본데이타!BC$8),0))</f>
        <v/>
      </c>
      <c r="AZ10" s="597" t="str">
        <f>IF($A10="","",VLOOKUP($A10,기본데이타!$A$8:$BV$103,COLUMN(기본데이타!BD$8),0))</f>
        <v/>
      </c>
      <c r="BA10" s="597" t="str">
        <f>IF($A10="","",VLOOKUP($A10,기본데이타!$A$8:$BV$103,COLUMN(기본데이타!BE$8),0))</f>
        <v/>
      </c>
      <c r="BB10" s="597" t="str">
        <f>IF($A10="","",VLOOKUP($A10,기본데이타!$A$8:$BV$103,COLUMN(기본데이타!BF$8),0))</f>
        <v/>
      </c>
      <c r="BC10" s="597" t="str">
        <f>IF($A10="","",VLOOKUP($A10,기본데이타!$A$8:$BV$103,COLUMN(기본데이타!BG$8),0))</f>
        <v/>
      </c>
      <c r="BD10" s="1406" t="str">
        <f>IF($A10="","",VLOOKUP($A10,기본데이타!$A$8:$BV$103,COLUMN(기본데이타!BH$8),0))</f>
        <v/>
      </c>
      <c r="BE10" s="597" t="str">
        <f>IF($A10="","",VLOOKUP($A10,기본데이타!$A$8:$BV$103,COLUMN(기본데이타!BI$8),0))</f>
        <v/>
      </c>
      <c r="BF10" s="597" t="str">
        <f>IF($A10="","",VLOOKUP($A10,기본데이타!$A$8:$BV$103,COLUMN(기본데이타!BJ$8),0))</f>
        <v/>
      </c>
      <c r="BG10" s="597" t="str">
        <f>IF($A10="","",VLOOKUP($A10,기본데이타!$A$8:$BV$103,COLUMN(기본데이타!BK$8),0))</f>
        <v/>
      </c>
      <c r="BH10" s="597" t="str">
        <f>IF($A10="","",VLOOKUP($A10,기본데이타!$A$8:$BV$103,COLUMN(기본데이타!BL$8),0))</f>
        <v/>
      </c>
      <c r="BI10" s="597" t="str">
        <f>IF($A10="","",VLOOKUP($A10,기본데이타!$A$8:$BV$103,COLUMN(기본데이타!BM$8),0))</f>
        <v/>
      </c>
      <c r="BJ10" s="597" t="str">
        <f>IF($A10="","",VLOOKUP($A10,기본데이타!$A$8:$BV$103,COLUMN(기본데이타!BN$8),0))</f>
        <v/>
      </c>
      <c r="BK10" s="597" t="str">
        <f>IF($A10="","",VLOOKUP($A10,기본데이타!$A$8:$BV$103,COLUMN(기본데이타!BO$8),0))</f>
        <v/>
      </c>
      <c r="BL10" s="597" t="str">
        <f>IF($A10="","",VLOOKUP($A10,기본데이타!$A$8:$BV$103,COLUMN(기본데이타!BP$8),0))</f>
        <v/>
      </c>
      <c r="BM10" s="597" t="str">
        <f>IF($A10="","",VLOOKUP($A10,기본데이타!$A$8:$BV$103,COLUMN(기본데이타!BQ$8),0))</f>
        <v/>
      </c>
      <c r="BN10" s="599" t="str">
        <f>IF($A10="","",VLOOKUP($A10,기본데이타!$A$8:$BV$103,COLUMN(기본데이타!BR$8),0))</f>
        <v/>
      </c>
      <c r="BO10" s="600" t="str">
        <f>IF($A10="","",VLOOKUP($A10,기본데이타!$A$8:$BV$103,COLUMN(기본데이타!BS$8),0))</f>
        <v/>
      </c>
      <c r="BP10" s="639" t="str">
        <f>IF($A10="","",VLOOKUP($A10,기본데이타!$A$8:$BV$103,COLUMN(기본데이타!BT$8),0))</f>
        <v/>
      </c>
      <c r="BQ10" s="602" t="str">
        <f>IF($A10="","",VLOOKUP($A10,기본데이타!$A$8:$BV$103,COLUMN(기본데이타!BU$8),0))</f>
        <v/>
      </c>
      <c r="BR10" s="603" t="str">
        <f t="shared" si="3"/>
        <v/>
      </c>
    </row>
    <row r="11" spans="1:70" s="571" customFormat="1" ht="50.1" hidden="1" customHeight="1">
      <c r="A11" s="578"/>
      <c r="B11" s="589"/>
      <c r="C11" s="590"/>
      <c r="D11" s="591" t="str">
        <f>IF($A11="","",VLOOKUP($A11,기본데이타!$A$8:$BV$103,COLUMN(기본데이타!F$8),0))</f>
        <v/>
      </c>
      <c r="E11" s="592" t="str">
        <f>IF($A11="","",VLOOKUP($A11,기본데이타!$A$8:$BV$103,COLUMN(기본데이타!G$8),0))</f>
        <v/>
      </c>
      <c r="F11" s="593" t="str">
        <f>IF($A11="","",VLOOKUP($A11,기본데이타!$A$8:$BV$103,COLUMN(기본데이타!H$8),0))</f>
        <v/>
      </c>
      <c r="G11" s="594" t="str">
        <f>IF($A11="","",VLOOKUP($A11,기본데이타!$A$8:$BV$103,COLUMN(기본데이타!I$8),0))</f>
        <v/>
      </c>
      <c r="H11" s="594" t="str">
        <f>IF($A11="","",VLOOKUP($A11,기본데이타!$A$8:$BV$103,COLUMN(기본데이타!J$8),0))</f>
        <v/>
      </c>
      <c r="I11" s="595" t="str">
        <f>IF($A11="","",VLOOKUP($A11,기본데이타!$A$8:$BV$103,COLUMN(기본데이타!K$8),0))</f>
        <v/>
      </c>
      <c r="J11" s="595" t="str">
        <f>IF($A11="","",VLOOKUP($A11,기본데이타!$A$8:$BV$103,COLUMN(기본데이타!L$8),0))</f>
        <v/>
      </c>
      <c r="K11" s="595" t="str">
        <f>IF($A11="","",VLOOKUP($A11,기본데이타!$A$8:$BV$103,COLUMN(기본데이타!M$8),0))</f>
        <v/>
      </c>
      <c r="L11" s="596" t="str">
        <f>IF($A11="","",VLOOKUP($A11,기본데이타!$A$8:$BV$103,COLUMN(기본데이타!N$8),0))</f>
        <v/>
      </c>
      <c r="M11" s="595" t="str">
        <f>IF($A11="","",VLOOKUP($A11,기본데이타!$A$8:$BV$103,COLUMN(기본데이타!O$8),0))</f>
        <v/>
      </c>
      <c r="N11" s="596" t="str">
        <f>IF($A11="","",VLOOKUP($A11,기본데이타!$A$8:$BV$103,COLUMN(기본데이타!P$8),0))</f>
        <v/>
      </c>
      <c r="O11" s="596" t="str">
        <f>IF($A11="","",VLOOKUP($A11,기본데이타!$A$8:$BV$103,COLUMN(기본데이타!Q$8),0))</f>
        <v/>
      </c>
      <c r="P11" s="596" t="str">
        <f>IF($A11="","",VLOOKUP($A11,기본데이타!$A$8:$BV$103,COLUMN(기본데이타!R$8),0))</f>
        <v/>
      </c>
      <c r="Q11" s="596" t="str">
        <f>IF($A11="","",VLOOKUP($A11,기본데이타!$A$8:$BV$103,COLUMN(기본데이타!S$8),0))</f>
        <v/>
      </c>
      <c r="R11" s="596" t="str">
        <f>IF($A11="","",VLOOKUP($A11,기본데이타!$A$8:$BV$103,COLUMN(기본데이타!T$8),0))</f>
        <v/>
      </c>
      <c r="S11" s="596" t="str">
        <f>IF($A11="","",VLOOKUP($A11,기본데이타!$A$8:$BV$103,COLUMN(기본데이타!U$8),0))</f>
        <v/>
      </c>
      <c r="T11" s="596" t="str">
        <f>IF($A11="","",VLOOKUP($A11,기본데이타!$A$8:$BV$103,COLUMN(기본데이타!V$8),0))</f>
        <v/>
      </c>
      <c r="U11" s="596" t="str">
        <f>IF($A11="","",VLOOKUP($A11,기본데이타!$A$8:$BV$103,COLUMN(기본데이타!W$8),0))</f>
        <v/>
      </c>
      <c r="V11" s="596" t="str">
        <f>IF($A11="","",VLOOKUP($A11,기본데이타!$A$8:$BV$103,COLUMN(기본데이타!X$8),0))</f>
        <v/>
      </c>
      <c r="W11" s="596" t="str">
        <f>IF($A11="","",VLOOKUP($A11,기본데이타!$A$8:$BV$103,COLUMN(기본데이타!AA$8),0))</f>
        <v/>
      </c>
      <c r="X11" s="596" t="str">
        <f>IF($A11="","",VLOOKUP($A11,기본데이타!$A$8:$BV$103,COLUMN(기본데이타!AB$8),0))</f>
        <v/>
      </c>
      <c r="Y11" s="595" t="str">
        <f>IF($A11="","",VLOOKUP($A11,기본데이타!$A$8:$BV$103,COLUMN(기본데이타!AC$8),0))</f>
        <v/>
      </c>
      <c r="Z11" s="596" t="str">
        <f>IF($A11="","",VLOOKUP($A11,기본데이타!$A$8:$BV$103,COLUMN(기본데이타!AD$8),0))</f>
        <v/>
      </c>
      <c r="AA11" s="595" t="str">
        <f>IF($A11="","",VLOOKUP($A11,기본데이타!$A$8:$BV$103,COLUMN(기본데이타!AE$8),0))</f>
        <v/>
      </c>
      <c r="AB11" s="596" t="str">
        <f>IF($A11="","",VLOOKUP($A11,기본데이타!$A$8:$BV$103,COLUMN(기본데이타!AF$8),0))</f>
        <v/>
      </c>
      <c r="AC11" s="595" t="str">
        <f>IF($A11="","",VLOOKUP($A11,기본데이타!$A$8:$BV$103,COLUMN(기본데이타!AG$8),0))</f>
        <v/>
      </c>
      <c r="AD11" s="596" t="str">
        <f>IF($A11="","",VLOOKUP($A11,기본데이타!$A$8:$BV$103,COLUMN(기본데이타!AH$8),0))</f>
        <v/>
      </c>
      <c r="AE11" s="595" t="str">
        <f>IF($A11="","",VLOOKUP($A11,기본데이타!$A$8:$BV$103,COLUMN(기본데이타!AI$8),0))</f>
        <v/>
      </c>
      <c r="AF11" s="597" t="str">
        <f>IF($A11="","",VLOOKUP($A11,기본데이타!$A$8:$BV$103,COLUMN(기본데이타!AJ$8),0))</f>
        <v/>
      </c>
      <c r="AG11" s="580" t="str">
        <f>IF($A11="","",VLOOKUP($A11,기본데이타!$A$8:$BV$103,COLUMN(기본데이타!AK$8),0))</f>
        <v/>
      </c>
      <c r="AH11" s="580" t="str">
        <f>IF($A11="","",VLOOKUP($A11,기본데이타!$A$8:$BV$103,COLUMN(기본데이타!AL$8),0))</f>
        <v/>
      </c>
      <c r="AI11" s="580" t="str">
        <f>IF($A11="","",VLOOKUP($A11,기본데이타!$A$8:$BV$103,COLUMN(기본데이타!AM$8),0))</f>
        <v/>
      </c>
      <c r="AJ11" s="580" t="str">
        <f>IF($A11="","",VLOOKUP($A11,기본데이타!$A$8:$BV$103,COLUMN(기본데이타!AN$8),0))</f>
        <v/>
      </c>
      <c r="AK11" s="580" t="str">
        <f>IF($A11="","",VLOOKUP($A11,기본데이타!$A$8:$BV$103,COLUMN(기본데이타!AO$8),0))</f>
        <v/>
      </c>
      <c r="AL11" s="580" t="str">
        <f>IF($A11="","",VLOOKUP($A11,기본데이타!$A$8:$BV$103,COLUMN(기본데이타!AP$8),0))</f>
        <v/>
      </c>
      <c r="AM11" s="580" t="str">
        <f>IF($A11="","",VLOOKUP($A11,기본데이타!$A$8:$BV$103,COLUMN(기본데이타!AQ$8),0))</f>
        <v/>
      </c>
      <c r="AN11" s="580" t="str">
        <f>IF($A11="","",VLOOKUP($A11,기본데이타!$A$8:$BV$103,COLUMN(기본데이타!AR$8),0))</f>
        <v/>
      </c>
      <c r="AO11" s="580" t="str">
        <f>IF($A11="","",VLOOKUP($A11,기본데이타!$A$8:$BV$103,COLUMN(기본데이타!AS$8),0))</f>
        <v/>
      </c>
      <c r="AP11" s="580" t="str">
        <f>IF($A11="","",VLOOKUP($A11,기본데이타!$A$8:$BV$103,COLUMN(기본데이타!AT$8),0))</f>
        <v/>
      </c>
      <c r="AQ11" s="580" t="str">
        <f>IF($A11="","",VLOOKUP($A11,기본데이타!$A$8:$BV$103,COLUMN(기본데이타!AU$8),0))</f>
        <v/>
      </c>
      <c r="AR11" s="598" t="str">
        <f>IF($A11="","",VLOOKUP($A11,기본데이타!$A$8:$BV$103,COLUMN(기본데이타!AV$8),0))</f>
        <v/>
      </c>
      <c r="AS11" s="596" t="str">
        <f>IF($A11="","",VLOOKUP($A11,기본데이타!$A$8:$BV$103,COLUMN(기본데이타!AW$8),0))</f>
        <v/>
      </c>
      <c r="AT11" s="596" t="str">
        <f>IF($A11="","",VLOOKUP($A11,기본데이타!$A$8:$BV$103,COLUMN(기본데이타!AX$8),0))</f>
        <v/>
      </c>
      <c r="AU11" s="596" t="str">
        <f>IF($A11="","",VLOOKUP($A11,기본데이타!$A$8:$BV$103,COLUMN(기본데이타!AY$8),0))</f>
        <v/>
      </c>
      <c r="AV11" s="596" t="str">
        <f t="shared" si="2"/>
        <v/>
      </c>
      <c r="AW11" s="597" t="str">
        <f>IF($A11="","",VLOOKUP($A11,기본데이타!$A$8:$BV$103,COLUMN(기본데이타!BA$8),0))</f>
        <v/>
      </c>
      <c r="AX11" s="597" t="str">
        <f>IF($A11="","",VLOOKUP($A11,기본데이타!$A$8:$BV$103,COLUMN(기본데이타!BB$8),0))</f>
        <v/>
      </c>
      <c r="AY11" s="597" t="str">
        <f>IF($A11="","",VLOOKUP($A11,기본데이타!$A$8:$BV$103,COLUMN(기본데이타!BC$8),0))</f>
        <v/>
      </c>
      <c r="AZ11" s="597" t="str">
        <f>IF($A11="","",VLOOKUP($A11,기본데이타!$A$8:$BV$103,COLUMN(기본데이타!BD$8),0))</f>
        <v/>
      </c>
      <c r="BA11" s="597" t="str">
        <f>IF($A11="","",VLOOKUP($A11,기본데이타!$A$8:$BV$103,COLUMN(기본데이타!BE$8),0))</f>
        <v/>
      </c>
      <c r="BB11" s="597" t="str">
        <f>IF($A11="","",VLOOKUP($A11,기본데이타!$A$8:$BV$103,COLUMN(기본데이타!BF$8),0))</f>
        <v/>
      </c>
      <c r="BC11" s="597" t="str">
        <f>IF($A11="","",VLOOKUP($A11,기본데이타!$A$8:$BV$103,COLUMN(기본데이타!BG$8),0))</f>
        <v/>
      </c>
      <c r="BD11" s="1406" t="str">
        <f>IF($A11="","",VLOOKUP($A11,기본데이타!$A$8:$BV$103,COLUMN(기본데이타!BH$8),0))</f>
        <v/>
      </c>
      <c r="BE11" s="597" t="str">
        <f>IF($A11="","",VLOOKUP($A11,기본데이타!$A$8:$BV$103,COLUMN(기본데이타!BI$8),0))</f>
        <v/>
      </c>
      <c r="BF11" s="597" t="str">
        <f>IF($A11="","",VLOOKUP($A11,기본데이타!$A$8:$BV$103,COLUMN(기본데이타!BJ$8),0))</f>
        <v/>
      </c>
      <c r="BG11" s="597" t="str">
        <f>IF($A11="","",VLOOKUP($A11,기본데이타!$A$8:$BV$103,COLUMN(기본데이타!BK$8),0))</f>
        <v/>
      </c>
      <c r="BH11" s="597" t="str">
        <f>IF($A11="","",VLOOKUP($A11,기본데이타!$A$8:$BV$103,COLUMN(기본데이타!BL$8),0))</f>
        <v/>
      </c>
      <c r="BI11" s="597" t="str">
        <f>IF($A11="","",VLOOKUP($A11,기본데이타!$A$8:$BV$103,COLUMN(기본데이타!BM$8),0))</f>
        <v/>
      </c>
      <c r="BJ11" s="597" t="str">
        <f>IF($A11="","",VLOOKUP($A11,기본데이타!$A$8:$BV$103,COLUMN(기본데이타!BN$8),0))</f>
        <v/>
      </c>
      <c r="BK11" s="597" t="str">
        <f>IF($A11="","",VLOOKUP($A11,기본데이타!$A$8:$BV$103,COLUMN(기본데이타!BO$8),0))</f>
        <v/>
      </c>
      <c r="BL11" s="597" t="str">
        <f>IF($A11="","",VLOOKUP($A11,기본데이타!$A$8:$BV$103,COLUMN(기본데이타!BP$8),0))</f>
        <v/>
      </c>
      <c r="BM11" s="597" t="str">
        <f>IF($A11="","",VLOOKUP($A11,기본데이타!$A$8:$BV$103,COLUMN(기본데이타!BQ$8),0))</f>
        <v/>
      </c>
      <c r="BN11" s="599" t="str">
        <f>IF($A11="","",VLOOKUP($A11,기본데이타!$A$8:$BV$103,COLUMN(기본데이타!BR$8),0))</f>
        <v/>
      </c>
      <c r="BO11" s="600" t="str">
        <f>IF($A11="","",VLOOKUP($A11,기본데이타!$A$8:$BV$103,COLUMN(기본데이타!BS$8),0))</f>
        <v/>
      </c>
      <c r="BP11" s="601" t="str">
        <f>IF($A11="","",VLOOKUP($A11,기본데이타!$A$8:$BV$103,COLUMN(기본데이타!BT$8),0))</f>
        <v/>
      </c>
      <c r="BQ11" s="602" t="str">
        <f>IF($A11="","",VLOOKUP($A11,기본데이타!$A$8:$BV$103,COLUMN(기본데이타!BU$8),0))</f>
        <v/>
      </c>
      <c r="BR11" s="603" t="str">
        <f t="shared" si="3"/>
        <v/>
      </c>
    </row>
    <row r="12" spans="1:70" s="571" customFormat="1" ht="50.1" hidden="1" customHeight="1">
      <c r="A12" s="578"/>
      <c r="B12" s="589"/>
      <c r="C12" s="590"/>
      <c r="D12" s="591" t="str">
        <f>IF($A12="","",VLOOKUP($A12,기본데이타!$A$8:$BV$103,COLUMN(기본데이타!F$8),0))</f>
        <v/>
      </c>
      <c r="E12" s="592" t="str">
        <f>IF($A12="","",VLOOKUP($A12,기본데이타!$A$8:$BV$103,COLUMN(기본데이타!G$8),0))</f>
        <v/>
      </c>
      <c r="F12" s="593" t="str">
        <f>IF($A12="","",VLOOKUP($A12,기본데이타!$A$8:$BV$103,COLUMN(기본데이타!H$8),0))</f>
        <v/>
      </c>
      <c r="G12" s="594" t="str">
        <f>IF($A12="","",VLOOKUP($A12,기본데이타!$A$8:$BV$103,COLUMN(기본데이타!I$8),0))</f>
        <v/>
      </c>
      <c r="H12" s="594" t="str">
        <f>IF($A12="","",VLOOKUP($A12,기본데이타!$A$8:$BV$103,COLUMN(기본데이타!J$8),0))</f>
        <v/>
      </c>
      <c r="I12" s="595" t="str">
        <f>IF($A12="","",VLOOKUP($A12,기본데이타!$A$8:$BV$103,COLUMN(기본데이타!K$8),0))</f>
        <v/>
      </c>
      <c r="J12" s="595" t="str">
        <f>IF($A12="","",VLOOKUP($A12,기본데이타!$A$8:$BV$103,COLUMN(기본데이타!L$8),0))</f>
        <v/>
      </c>
      <c r="K12" s="595" t="str">
        <f>IF($A12="","",VLOOKUP($A12,기본데이타!$A$8:$BV$103,COLUMN(기본데이타!M$8),0))</f>
        <v/>
      </c>
      <c r="L12" s="596" t="str">
        <f>IF($A12="","",VLOOKUP($A12,기본데이타!$A$8:$BV$103,COLUMN(기본데이타!N$8),0))</f>
        <v/>
      </c>
      <c r="M12" s="595" t="str">
        <f>IF($A12="","",VLOOKUP($A12,기본데이타!$A$8:$BV$103,COLUMN(기본데이타!O$8),0))</f>
        <v/>
      </c>
      <c r="N12" s="596" t="str">
        <f>IF($A12="","",VLOOKUP($A12,기본데이타!$A$8:$BV$103,COLUMN(기본데이타!P$8),0))</f>
        <v/>
      </c>
      <c r="O12" s="596" t="str">
        <f>IF($A12="","",VLOOKUP($A12,기본데이타!$A$8:$BV$103,COLUMN(기본데이타!Q$8),0))</f>
        <v/>
      </c>
      <c r="P12" s="596" t="str">
        <f>IF($A12="","",VLOOKUP($A12,기본데이타!$A$8:$BV$103,COLUMN(기본데이타!R$8),0))</f>
        <v/>
      </c>
      <c r="Q12" s="596" t="str">
        <f>IF($A12="","",VLOOKUP($A12,기본데이타!$A$8:$BV$103,COLUMN(기본데이타!S$8),0))</f>
        <v/>
      </c>
      <c r="R12" s="596" t="str">
        <f>IF($A12="","",VLOOKUP($A12,기본데이타!$A$8:$BV$103,COLUMN(기본데이타!T$8),0))</f>
        <v/>
      </c>
      <c r="S12" s="596" t="str">
        <f>IF($A12="","",VLOOKUP($A12,기본데이타!$A$8:$BV$103,COLUMN(기본데이타!U$8),0))</f>
        <v/>
      </c>
      <c r="T12" s="596" t="str">
        <f>IF($A12="","",VLOOKUP($A12,기본데이타!$A$8:$BV$103,COLUMN(기본데이타!V$8),0))</f>
        <v/>
      </c>
      <c r="U12" s="596" t="str">
        <f>IF($A12="","",VLOOKUP($A12,기본데이타!$A$8:$BV$103,COLUMN(기본데이타!W$8),0))</f>
        <v/>
      </c>
      <c r="V12" s="596" t="str">
        <f>IF($A12="","",VLOOKUP($A12,기본데이타!$A$8:$BV$103,COLUMN(기본데이타!X$8),0))</f>
        <v/>
      </c>
      <c r="W12" s="596" t="str">
        <f>IF($A12="","",VLOOKUP($A12,기본데이타!$A$8:$BV$103,COLUMN(기본데이타!AA$8),0))</f>
        <v/>
      </c>
      <c r="X12" s="596" t="str">
        <f>IF($A12="","",VLOOKUP($A12,기본데이타!$A$8:$BV$103,COLUMN(기본데이타!AB$8),0))</f>
        <v/>
      </c>
      <c r="Y12" s="595" t="str">
        <f>IF($A12="","",VLOOKUP($A12,기본데이타!$A$8:$BV$103,COLUMN(기본데이타!AC$8),0))</f>
        <v/>
      </c>
      <c r="Z12" s="596" t="str">
        <f>IF($A12="","",VLOOKUP($A12,기본데이타!$A$8:$BV$103,COLUMN(기본데이타!AD$8),0))</f>
        <v/>
      </c>
      <c r="AA12" s="595" t="str">
        <f>IF($A12="","",VLOOKUP($A12,기본데이타!$A$8:$BV$103,COLUMN(기본데이타!AE$8),0))</f>
        <v/>
      </c>
      <c r="AB12" s="596" t="str">
        <f>IF($A12="","",VLOOKUP($A12,기본데이타!$A$8:$BV$103,COLUMN(기본데이타!AF$8),0))</f>
        <v/>
      </c>
      <c r="AC12" s="595" t="str">
        <f>IF($A12="","",VLOOKUP($A12,기본데이타!$A$8:$BV$103,COLUMN(기본데이타!AG$8),0))</f>
        <v/>
      </c>
      <c r="AD12" s="596" t="str">
        <f>IF($A12="","",VLOOKUP($A12,기본데이타!$A$8:$BV$103,COLUMN(기본데이타!AH$8),0))</f>
        <v/>
      </c>
      <c r="AE12" s="595" t="str">
        <f>IF($A12="","",VLOOKUP($A12,기본데이타!$A$8:$BV$103,COLUMN(기본데이타!AI$8),0))</f>
        <v/>
      </c>
      <c r="AF12" s="597" t="str">
        <f>IF($A12="","",VLOOKUP($A12,기본데이타!$A$8:$BV$103,COLUMN(기본데이타!AJ$8),0))</f>
        <v/>
      </c>
      <c r="AG12" s="580" t="str">
        <f>IF($A12="","",VLOOKUP($A12,기본데이타!$A$8:$BV$103,COLUMN(기본데이타!AK$8),0))</f>
        <v/>
      </c>
      <c r="AH12" s="580" t="str">
        <f>IF($A12="","",VLOOKUP($A12,기본데이타!$A$8:$BV$103,COLUMN(기본데이타!AL$8),0))</f>
        <v/>
      </c>
      <c r="AI12" s="580" t="str">
        <f>IF($A12="","",VLOOKUP($A12,기본데이타!$A$8:$BV$103,COLUMN(기본데이타!AM$8),0))</f>
        <v/>
      </c>
      <c r="AJ12" s="580" t="str">
        <f>IF($A12="","",VLOOKUP($A12,기본데이타!$A$8:$BV$103,COLUMN(기본데이타!AN$8),0))</f>
        <v/>
      </c>
      <c r="AK12" s="580" t="str">
        <f>IF($A12="","",VLOOKUP($A12,기본데이타!$A$8:$BV$103,COLUMN(기본데이타!AO$8),0))</f>
        <v/>
      </c>
      <c r="AL12" s="580" t="str">
        <f>IF($A12="","",VLOOKUP($A12,기본데이타!$A$8:$BV$103,COLUMN(기본데이타!AP$8),0))</f>
        <v/>
      </c>
      <c r="AM12" s="580" t="str">
        <f>IF($A12="","",VLOOKUP($A12,기본데이타!$A$8:$BV$103,COLUMN(기본데이타!AQ$8),0))</f>
        <v/>
      </c>
      <c r="AN12" s="580" t="str">
        <f>IF($A12="","",VLOOKUP($A12,기본데이타!$A$8:$BV$103,COLUMN(기본데이타!AR$8),0))</f>
        <v/>
      </c>
      <c r="AO12" s="580" t="str">
        <f>IF($A12="","",VLOOKUP($A12,기본데이타!$A$8:$BV$103,COLUMN(기본데이타!AS$8),0))</f>
        <v/>
      </c>
      <c r="AP12" s="580" t="str">
        <f>IF($A12="","",VLOOKUP($A12,기본데이타!$A$8:$BV$103,COLUMN(기본데이타!AT$8),0))</f>
        <v/>
      </c>
      <c r="AQ12" s="580" t="str">
        <f>IF($A12="","",VLOOKUP($A12,기본데이타!$A$8:$BV$103,COLUMN(기본데이타!AU$8),0))</f>
        <v/>
      </c>
      <c r="AR12" s="598" t="str">
        <f>IF($A12="","",VLOOKUP($A12,기본데이타!$A$8:$BV$103,COLUMN(기본데이타!AV$8),0))</f>
        <v/>
      </c>
      <c r="AS12" s="596" t="str">
        <f>IF($A12="","",VLOOKUP($A12,기본데이타!$A$8:$BV$103,COLUMN(기본데이타!AW$8),0))</f>
        <v/>
      </c>
      <c r="AT12" s="596" t="str">
        <f>IF($A12="","",VLOOKUP($A12,기본데이타!$A$8:$BV$103,COLUMN(기본데이타!AX$8),0))</f>
        <v/>
      </c>
      <c r="AU12" s="596" t="str">
        <f>IF($A12="","",VLOOKUP($A12,기본데이타!$A$8:$BV$103,COLUMN(기본데이타!AY$8),0))</f>
        <v/>
      </c>
      <c r="AV12" s="596" t="str">
        <f t="shared" si="2"/>
        <v/>
      </c>
      <c r="AW12" s="597" t="str">
        <f>IF($A12="","",VLOOKUP($A12,기본데이타!$A$8:$BV$103,COLUMN(기본데이타!BA$8),0))</f>
        <v/>
      </c>
      <c r="AX12" s="597" t="str">
        <f>IF($A12="","",VLOOKUP($A12,기본데이타!$A$8:$BV$103,COLUMN(기본데이타!BB$8),0))</f>
        <v/>
      </c>
      <c r="AY12" s="597" t="str">
        <f>IF($A12="","",VLOOKUP($A12,기본데이타!$A$8:$BV$103,COLUMN(기본데이타!BC$8),0))</f>
        <v/>
      </c>
      <c r="AZ12" s="597" t="str">
        <f>IF($A12="","",VLOOKUP($A12,기본데이타!$A$8:$BV$103,COLUMN(기본데이타!BD$8),0))</f>
        <v/>
      </c>
      <c r="BA12" s="597" t="str">
        <f>IF($A12="","",VLOOKUP($A12,기본데이타!$A$8:$BV$103,COLUMN(기본데이타!BE$8),0))</f>
        <v/>
      </c>
      <c r="BB12" s="597" t="str">
        <f>IF($A12="","",VLOOKUP($A12,기본데이타!$A$8:$BV$103,COLUMN(기본데이타!BF$8),0))</f>
        <v/>
      </c>
      <c r="BC12" s="597" t="str">
        <f>IF($A12="","",VLOOKUP($A12,기본데이타!$A$8:$BV$103,COLUMN(기본데이타!BG$8),0))</f>
        <v/>
      </c>
      <c r="BD12" s="1406" t="str">
        <f>IF($A12="","",VLOOKUP($A12,기본데이타!$A$8:$BV$103,COLUMN(기본데이타!BH$8),0))</f>
        <v/>
      </c>
      <c r="BE12" s="597" t="str">
        <f>IF($A12="","",VLOOKUP($A12,기본데이타!$A$8:$BV$103,COLUMN(기본데이타!BI$8),0))</f>
        <v/>
      </c>
      <c r="BF12" s="597" t="str">
        <f>IF($A12="","",VLOOKUP($A12,기본데이타!$A$8:$BV$103,COLUMN(기본데이타!BJ$8),0))</f>
        <v/>
      </c>
      <c r="BG12" s="597" t="str">
        <f>IF($A12="","",VLOOKUP($A12,기본데이타!$A$8:$BV$103,COLUMN(기본데이타!BK$8),0))</f>
        <v/>
      </c>
      <c r="BH12" s="597" t="str">
        <f>IF($A12="","",VLOOKUP($A12,기본데이타!$A$8:$BV$103,COLUMN(기본데이타!BL$8),0))</f>
        <v/>
      </c>
      <c r="BI12" s="597" t="str">
        <f>IF($A12="","",VLOOKUP($A12,기본데이타!$A$8:$BV$103,COLUMN(기본데이타!BM$8),0))</f>
        <v/>
      </c>
      <c r="BJ12" s="597" t="str">
        <f>IF($A12="","",VLOOKUP($A12,기본데이타!$A$8:$BV$103,COLUMN(기본데이타!BN$8),0))</f>
        <v/>
      </c>
      <c r="BK12" s="597" t="str">
        <f>IF($A12="","",VLOOKUP($A12,기본데이타!$A$8:$BV$103,COLUMN(기본데이타!BO$8),0))</f>
        <v/>
      </c>
      <c r="BL12" s="597" t="str">
        <f>IF($A12="","",VLOOKUP($A12,기본데이타!$A$8:$BV$103,COLUMN(기본데이타!BP$8),0))</f>
        <v/>
      </c>
      <c r="BM12" s="597" t="str">
        <f>IF($A12="","",VLOOKUP($A12,기본데이타!$A$8:$BV$103,COLUMN(기본데이타!BQ$8),0))</f>
        <v/>
      </c>
      <c r="BN12" s="599" t="str">
        <f>IF($A12="","",VLOOKUP($A12,기본데이타!$A$8:$BV$103,COLUMN(기본데이타!BR$8),0))</f>
        <v/>
      </c>
      <c r="BO12" s="600" t="str">
        <f>IF($A12="","",VLOOKUP($A12,기본데이타!$A$8:$BV$103,COLUMN(기본데이타!BS$8),0))</f>
        <v/>
      </c>
      <c r="BP12" s="601" t="str">
        <f>IF($A12="","",VLOOKUP($A12,기본데이타!$A$8:$BV$103,COLUMN(기본데이타!BT$8),0))</f>
        <v/>
      </c>
      <c r="BQ12" s="602" t="str">
        <f>IF($A12="","",VLOOKUP($A12,기본데이타!$A$8:$BV$103,COLUMN(기본데이타!BU$8),0))</f>
        <v/>
      </c>
      <c r="BR12" s="603" t="str">
        <f t="shared" si="3"/>
        <v/>
      </c>
    </row>
    <row r="13" spans="1:70" s="571" customFormat="1" ht="50.1" hidden="1" customHeight="1">
      <c r="A13" s="578"/>
      <c r="B13" s="589"/>
      <c r="C13" s="590"/>
      <c r="D13" s="591" t="str">
        <f>IF($A13="","",VLOOKUP($A13,기본데이타!$A$8:$BV$103,COLUMN(기본데이타!F$8),0))</f>
        <v/>
      </c>
      <c r="E13" s="592" t="str">
        <f>IF($A13="","",VLOOKUP($A13,기본데이타!$A$8:$BV$103,COLUMN(기본데이타!G$8),0))</f>
        <v/>
      </c>
      <c r="F13" s="593" t="str">
        <f>IF($A13="","",VLOOKUP($A13,기본데이타!$A$8:$BV$103,COLUMN(기본데이타!H$8),0))</f>
        <v/>
      </c>
      <c r="G13" s="594" t="str">
        <f>IF($A13="","",VLOOKUP($A13,기본데이타!$A$8:$BV$103,COLUMN(기본데이타!I$8),0))</f>
        <v/>
      </c>
      <c r="H13" s="594" t="str">
        <f>IF($A13="","",VLOOKUP($A13,기본데이타!$A$8:$BV$103,COLUMN(기본데이타!J$8),0))</f>
        <v/>
      </c>
      <c r="I13" s="595" t="str">
        <f>IF($A13="","",VLOOKUP($A13,기본데이타!$A$8:$BV$103,COLUMN(기본데이타!K$8),0))</f>
        <v/>
      </c>
      <c r="J13" s="595" t="str">
        <f>IF($A13="","",VLOOKUP($A13,기본데이타!$A$8:$BV$103,COLUMN(기본데이타!L$8),0))</f>
        <v/>
      </c>
      <c r="K13" s="595" t="str">
        <f>IF($A13="","",VLOOKUP($A13,기본데이타!$A$8:$BV$103,COLUMN(기본데이타!M$8),0))</f>
        <v/>
      </c>
      <c r="L13" s="596" t="str">
        <f>IF($A13="","",VLOOKUP($A13,기본데이타!$A$8:$BV$103,COLUMN(기본데이타!N$8),0))</f>
        <v/>
      </c>
      <c r="M13" s="595" t="str">
        <f>IF($A13="","",VLOOKUP($A13,기본데이타!$A$8:$BV$103,COLUMN(기본데이타!O$8),0))</f>
        <v/>
      </c>
      <c r="N13" s="596" t="str">
        <f>IF($A13="","",VLOOKUP($A13,기본데이타!$A$8:$BV$103,COLUMN(기본데이타!P$8),0))</f>
        <v/>
      </c>
      <c r="O13" s="596" t="str">
        <f>IF($A13="","",VLOOKUP($A13,기본데이타!$A$8:$BV$103,COLUMN(기본데이타!Q$8),0))</f>
        <v/>
      </c>
      <c r="P13" s="596" t="str">
        <f>IF($A13="","",VLOOKUP($A13,기본데이타!$A$8:$BV$103,COLUMN(기본데이타!R$8),0))</f>
        <v/>
      </c>
      <c r="Q13" s="596" t="str">
        <f>IF($A13="","",VLOOKUP($A13,기본데이타!$A$8:$BV$103,COLUMN(기본데이타!S$8),0))</f>
        <v/>
      </c>
      <c r="R13" s="596" t="str">
        <f>IF($A13="","",VLOOKUP($A13,기본데이타!$A$8:$BV$103,COLUMN(기본데이타!T$8),0))</f>
        <v/>
      </c>
      <c r="S13" s="596" t="str">
        <f>IF($A13="","",VLOOKUP($A13,기본데이타!$A$8:$BV$103,COLUMN(기본데이타!U$8),0))</f>
        <v/>
      </c>
      <c r="T13" s="596" t="str">
        <f>IF($A13="","",VLOOKUP($A13,기본데이타!$A$8:$BV$103,COLUMN(기본데이타!V$8),0))</f>
        <v/>
      </c>
      <c r="U13" s="596" t="str">
        <f>IF($A13="","",VLOOKUP($A13,기본데이타!$A$8:$BV$103,COLUMN(기본데이타!W$8),0))</f>
        <v/>
      </c>
      <c r="V13" s="596" t="str">
        <f>IF($A13="","",VLOOKUP($A13,기본데이타!$A$8:$BV$103,COLUMN(기본데이타!X$8),0))</f>
        <v/>
      </c>
      <c r="W13" s="596" t="str">
        <f>IF($A13="","",VLOOKUP($A13,기본데이타!$A$8:$BV$103,COLUMN(기본데이타!AA$8),0))</f>
        <v/>
      </c>
      <c r="X13" s="596" t="str">
        <f>IF($A13="","",VLOOKUP($A13,기본데이타!$A$8:$BV$103,COLUMN(기본데이타!AB$8),0))</f>
        <v/>
      </c>
      <c r="Y13" s="595" t="str">
        <f>IF($A13="","",VLOOKUP($A13,기본데이타!$A$8:$BV$103,COLUMN(기본데이타!AC$8),0))</f>
        <v/>
      </c>
      <c r="Z13" s="596" t="str">
        <f>IF($A13="","",VLOOKUP($A13,기본데이타!$A$8:$BV$103,COLUMN(기본데이타!AD$8),0))</f>
        <v/>
      </c>
      <c r="AA13" s="595" t="str">
        <f>IF($A13="","",VLOOKUP($A13,기본데이타!$A$8:$BV$103,COLUMN(기본데이타!AE$8),0))</f>
        <v/>
      </c>
      <c r="AB13" s="596" t="str">
        <f>IF($A13="","",VLOOKUP($A13,기본데이타!$A$8:$BV$103,COLUMN(기본데이타!AF$8),0))</f>
        <v/>
      </c>
      <c r="AC13" s="595" t="str">
        <f>IF($A13="","",VLOOKUP($A13,기본데이타!$A$8:$BV$103,COLUMN(기본데이타!AG$8),0))</f>
        <v/>
      </c>
      <c r="AD13" s="596" t="str">
        <f>IF($A13="","",VLOOKUP($A13,기본데이타!$A$8:$BV$103,COLUMN(기본데이타!AH$8),0))</f>
        <v/>
      </c>
      <c r="AE13" s="595" t="str">
        <f>IF($A13="","",VLOOKUP($A13,기본데이타!$A$8:$BV$103,COLUMN(기본데이타!AI$8),0))</f>
        <v/>
      </c>
      <c r="AF13" s="597" t="str">
        <f>IF($A13="","",VLOOKUP($A13,기본데이타!$A$8:$BV$103,COLUMN(기본데이타!AJ$8),0))</f>
        <v/>
      </c>
      <c r="AG13" s="580" t="str">
        <f>IF($A13="","",VLOOKUP($A13,기본데이타!$A$8:$BV$103,COLUMN(기본데이타!AK$8),0))</f>
        <v/>
      </c>
      <c r="AH13" s="580" t="str">
        <f>IF($A13="","",VLOOKUP($A13,기본데이타!$A$8:$BV$103,COLUMN(기본데이타!AL$8),0))</f>
        <v/>
      </c>
      <c r="AI13" s="580" t="str">
        <f>IF($A13="","",VLOOKUP($A13,기본데이타!$A$8:$BV$103,COLUMN(기본데이타!AM$8),0))</f>
        <v/>
      </c>
      <c r="AJ13" s="580" t="str">
        <f>IF($A13="","",VLOOKUP($A13,기본데이타!$A$8:$BV$103,COLUMN(기본데이타!AN$8),0))</f>
        <v/>
      </c>
      <c r="AK13" s="580" t="str">
        <f>IF($A13="","",VLOOKUP($A13,기본데이타!$A$8:$BV$103,COLUMN(기본데이타!AO$8),0))</f>
        <v/>
      </c>
      <c r="AL13" s="580" t="str">
        <f>IF($A13="","",VLOOKUP($A13,기본데이타!$A$8:$BV$103,COLUMN(기본데이타!AP$8),0))</f>
        <v/>
      </c>
      <c r="AM13" s="580" t="str">
        <f>IF($A13="","",VLOOKUP($A13,기본데이타!$A$8:$BV$103,COLUMN(기본데이타!AQ$8),0))</f>
        <v/>
      </c>
      <c r="AN13" s="580" t="str">
        <f>IF($A13="","",VLOOKUP($A13,기본데이타!$A$8:$BV$103,COLUMN(기본데이타!AR$8),0))</f>
        <v/>
      </c>
      <c r="AO13" s="580" t="str">
        <f>IF($A13="","",VLOOKUP($A13,기본데이타!$A$8:$BV$103,COLUMN(기본데이타!AS$8),0))</f>
        <v/>
      </c>
      <c r="AP13" s="580" t="str">
        <f>IF($A13="","",VLOOKUP($A13,기본데이타!$A$8:$BV$103,COLUMN(기본데이타!AT$8),0))</f>
        <v/>
      </c>
      <c r="AQ13" s="580" t="str">
        <f>IF($A13="","",VLOOKUP($A13,기본데이타!$A$8:$BV$103,COLUMN(기본데이타!AU$8),0))</f>
        <v/>
      </c>
      <c r="AR13" s="598" t="str">
        <f>IF($A13="","",VLOOKUP($A13,기본데이타!$A$8:$BV$103,COLUMN(기본데이타!AV$8),0))</f>
        <v/>
      </c>
      <c r="AS13" s="596" t="str">
        <f>IF($A13="","",VLOOKUP($A13,기본데이타!$A$8:$BV$103,COLUMN(기본데이타!AW$8),0))</f>
        <v/>
      </c>
      <c r="AT13" s="596" t="str">
        <f>IF($A13="","",VLOOKUP($A13,기본데이타!$A$8:$BV$103,COLUMN(기본데이타!AX$8),0))</f>
        <v/>
      </c>
      <c r="AU13" s="596" t="str">
        <f>IF($A13="","",VLOOKUP($A13,기본데이타!$A$8:$BV$103,COLUMN(기본데이타!AY$8),0))</f>
        <v/>
      </c>
      <c r="AV13" s="596" t="str">
        <f t="shared" si="2"/>
        <v/>
      </c>
      <c r="AW13" s="597" t="str">
        <f>IF($A13="","",VLOOKUP($A13,기본데이타!$A$8:$BV$103,COLUMN(기본데이타!BA$8),0))</f>
        <v/>
      </c>
      <c r="AX13" s="597" t="str">
        <f>IF($A13="","",VLOOKUP($A13,기본데이타!$A$8:$BV$103,COLUMN(기본데이타!BB$8),0))</f>
        <v/>
      </c>
      <c r="AY13" s="597" t="str">
        <f>IF($A13="","",VLOOKUP($A13,기본데이타!$A$8:$BV$103,COLUMN(기본데이타!BC$8),0))</f>
        <v/>
      </c>
      <c r="AZ13" s="597" t="str">
        <f>IF($A13="","",VLOOKUP($A13,기본데이타!$A$8:$BV$103,COLUMN(기본데이타!BD$8),0))</f>
        <v/>
      </c>
      <c r="BA13" s="597" t="str">
        <f>IF($A13="","",VLOOKUP($A13,기본데이타!$A$8:$BV$103,COLUMN(기본데이타!BE$8),0))</f>
        <v/>
      </c>
      <c r="BB13" s="597" t="str">
        <f>IF($A13="","",VLOOKUP($A13,기본데이타!$A$8:$BV$103,COLUMN(기본데이타!BF$8),0))</f>
        <v/>
      </c>
      <c r="BC13" s="597" t="str">
        <f>IF($A13="","",VLOOKUP($A13,기본데이타!$A$8:$BV$103,COLUMN(기본데이타!BG$8),0))</f>
        <v/>
      </c>
      <c r="BD13" s="1406" t="str">
        <f>IF($A13="","",VLOOKUP($A13,기본데이타!$A$8:$BV$103,COLUMN(기본데이타!BH$8),0))</f>
        <v/>
      </c>
      <c r="BE13" s="597" t="str">
        <f>IF($A13="","",VLOOKUP($A13,기본데이타!$A$8:$BV$103,COLUMN(기본데이타!BI$8),0))</f>
        <v/>
      </c>
      <c r="BF13" s="597" t="str">
        <f>IF($A13="","",VLOOKUP($A13,기본데이타!$A$8:$BV$103,COLUMN(기본데이타!BJ$8),0))</f>
        <v/>
      </c>
      <c r="BG13" s="597" t="str">
        <f>IF($A13="","",VLOOKUP($A13,기본데이타!$A$8:$BV$103,COLUMN(기본데이타!BK$8),0))</f>
        <v/>
      </c>
      <c r="BH13" s="597" t="str">
        <f>IF($A13="","",VLOOKUP($A13,기본데이타!$A$8:$BV$103,COLUMN(기본데이타!BL$8),0))</f>
        <v/>
      </c>
      <c r="BI13" s="597" t="str">
        <f>IF($A13="","",VLOOKUP($A13,기본데이타!$A$8:$BV$103,COLUMN(기본데이타!BM$8),0))</f>
        <v/>
      </c>
      <c r="BJ13" s="597" t="str">
        <f>IF($A13="","",VLOOKUP($A13,기본데이타!$A$8:$BV$103,COLUMN(기본데이타!BN$8),0))</f>
        <v/>
      </c>
      <c r="BK13" s="597" t="str">
        <f>IF($A13="","",VLOOKUP($A13,기본데이타!$A$8:$BV$103,COLUMN(기본데이타!BO$8),0))</f>
        <v/>
      </c>
      <c r="BL13" s="597" t="str">
        <f>IF($A13="","",VLOOKUP($A13,기본데이타!$A$8:$BV$103,COLUMN(기본데이타!BP$8),0))</f>
        <v/>
      </c>
      <c r="BM13" s="597" t="str">
        <f>IF($A13="","",VLOOKUP($A13,기본데이타!$A$8:$BV$103,COLUMN(기본데이타!BQ$8),0))</f>
        <v/>
      </c>
      <c r="BN13" s="599" t="str">
        <f>IF($A13="","",VLOOKUP($A13,기본데이타!$A$8:$BV$103,COLUMN(기본데이타!BR$8),0))</f>
        <v/>
      </c>
      <c r="BO13" s="600" t="str">
        <f>IF($A13="","",VLOOKUP($A13,기본데이타!$A$8:$BV$103,COLUMN(기본데이타!BS$8),0))</f>
        <v/>
      </c>
      <c r="BP13" s="601" t="str">
        <f>IF($A13="","",VLOOKUP($A13,기본데이타!$A$8:$BV$103,COLUMN(기본데이타!BT$8),0))</f>
        <v/>
      </c>
      <c r="BQ13" s="602" t="str">
        <f>IF($A13="","",VLOOKUP($A13,기본데이타!$A$8:$BV$103,COLUMN(기본데이타!BU$8),0))</f>
        <v/>
      </c>
      <c r="BR13" s="603" t="str">
        <f t="shared" si="3"/>
        <v/>
      </c>
    </row>
    <row r="14" spans="1:70" s="571" customFormat="1" ht="50.1" hidden="1" customHeight="1">
      <c r="A14" s="578"/>
      <c r="B14" s="589"/>
      <c r="C14" s="590"/>
      <c r="D14" s="591" t="str">
        <f>IF($A14="","",VLOOKUP($A14,기본데이타!$A$8:$BV$103,COLUMN(기본데이타!F$8),0))</f>
        <v/>
      </c>
      <c r="E14" s="592" t="str">
        <f>IF($A14="","",VLOOKUP($A14,기본데이타!$A$8:$BV$103,COLUMN(기본데이타!G$8),0))</f>
        <v/>
      </c>
      <c r="F14" s="593" t="str">
        <f>IF($A14="","",VLOOKUP($A14,기본데이타!$A$8:$BV$103,COLUMN(기본데이타!H$8),0))</f>
        <v/>
      </c>
      <c r="G14" s="594" t="str">
        <f>IF($A14="","",VLOOKUP($A14,기본데이타!$A$8:$BV$103,COLUMN(기본데이타!I$8),0))</f>
        <v/>
      </c>
      <c r="H14" s="594" t="str">
        <f>IF($A14="","",VLOOKUP($A14,기본데이타!$A$8:$BV$103,COLUMN(기본데이타!J$8),0))</f>
        <v/>
      </c>
      <c r="I14" s="595" t="str">
        <f>IF($A14="","",VLOOKUP($A14,기본데이타!$A$8:$BV$103,COLUMN(기본데이타!K$8),0))</f>
        <v/>
      </c>
      <c r="J14" s="595" t="str">
        <f>IF($A14="","",VLOOKUP($A14,기본데이타!$A$8:$BV$103,COLUMN(기본데이타!L$8),0))</f>
        <v/>
      </c>
      <c r="K14" s="595" t="str">
        <f>IF($A14="","",VLOOKUP($A14,기본데이타!$A$8:$BV$103,COLUMN(기본데이타!M$8),0))</f>
        <v/>
      </c>
      <c r="L14" s="596" t="str">
        <f>IF($A14="","",VLOOKUP($A14,기본데이타!$A$8:$BV$103,COLUMN(기본데이타!N$8),0))</f>
        <v/>
      </c>
      <c r="M14" s="595" t="str">
        <f>IF($A14="","",VLOOKUP($A14,기본데이타!$A$8:$BV$103,COLUMN(기본데이타!O$8),0))</f>
        <v/>
      </c>
      <c r="N14" s="596" t="str">
        <f>IF($A14="","",VLOOKUP($A14,기본데이타!$A$8:$BV$103,COLUMN(기본데이타!P$8),0))</f>
        <v/>
      </c>
      <c r="O14" s="596" t="str">
        <f>IF($A14="","",VLOOKUP($A14,기본데이타!$A$8:$BV$103,COLUMN(기본데이타!Q$8),0))</f>
        <v/>
      </c>
      <c r="P14" s="596" t="str">
        <f>IF($A14="","",VLOOKUP($A14,기본데이타!$A$8:$BV$103,COLUMN(기본데이타!R$8),0))</f>
        <v/>
      </c>
      <c r="Q14" s="596" t="str">
        <f>IF($A14="","",VLOOKUP($A14,기본데이타!$A$8:$BV$103,COLUMN(기본데이타!S$8),0))</f>
        <v/>
      </c>
      <c r="R14" s="596" t="str">
        <f>IF($A14="","",VLOOKUP($A14,기본데이타!$A$8:$BV$103,COLUMN(기본데이타!T$8),0))</f>
        <v/>
      </c>
      <c r="S14" s="596" t="str">
        <f>IF($A14="","",VLOOKUP($A14,기본데이타!$A$8:$BV$103,COLUMN(기본데이타!U$8),0))</f>
        <v/>
      </c>
      <c r="T14" s="596" t="str">
        <f>IF($A14="","",VLOOKUP($A14,기본데이타!$A$8:$BV$103,COLUMN(기본데이타!V$8),0))</f>
        <v/>
      </c>
      <c r="U14" s="596" t="str">
        <f>IF($A14="","",VLOOKUP($A14,기본데이타!$A$8:$BV$103,COLUMN(기본데이타!W$8),0))</f>
        <v/>
      </c>
      <c r="V14" s="596" t="str">
        <f>IF($A14="","",VLOOKUP($A14,기본데이타!$A$8:$BV$103,COLUMN(기본데이타!X$8),0))</f>
        <v/>
      </c>
      <c r="W14" s="596" t="str">
        <f>IF($A14="","",VLOOKUP($A14,기본데이타!$A$8:$BV$103,COLUMN(기본데이타!AA$8),0))</f>
        <v/>
      </c>
      <c r="X14" s="596" t="str">
        <f>IF($A14="","",VLOOKUP($A14,기본데이타!$A$8:$BV$103,COLUMN(기본데이타!AB$8),0))</f>
        <v/>
      </c>
      <c r="Y14" s="595" t="str">
        <f>IF($A14="","",VLOOKUP($A14,기본데이타!$A$8:$BV$103,COLUMN(기본데이타!AC$8),0))</f>
        <v/>
      </c>
      <c r="Z14" s="596" t="str">
        <f>IF($A14="","",VLOOKUP($A14,기본데이타!$A$8:$BV$103,COLUMN(기본데이타!AD$8),0))</f>
        <v/>
      </c>
      <c r="AA14" s="595" t="str">
        <f>IF($A14="","",VLOOKUP($A14,기본데이타!$A$8:$BV$103,COLUMN(기본데이타!AE$8),0))</f>
        <v/>
      </c>
      <c r="AB14" s="596" t="str">
        <f>IF($A14="","",VLOOKUP($A14,기본데이타!$A$8:$BV$103,COLUMN(기본데이타!AF$8),0))</f>
        <v/>
      </c>
      <c r="AC14" s="595" t="str">
        <f>IF($A14="","",VLOOKUP($A14,기본데이타!$A$8:$BV$103,COLUMN(기본데이타!AG$8),0))</f>
        <v/>
      </c>
      <c r="AD14" s="596" t="str">
        <f>IF($A14="","",VLOOKUP($A14,기본데이타!$A$8:$BV$103,COLUMN(기본데이타!AH$8),0))</f>
        <v/>
      </c>
      <c r="AE14" s="595" t="str">
        <f>IF($A14="","",VLOOKUP($A14,기본데이타!$A$8:$BV$103,COLUMN(기본데이타!AI$8),0))</f>
        <v/>
      </c>
      <c r="AF14" s="597" t="str">
        <f>IF($A14="","",VLOOKUP($A14,기본데이타!$A$8:$BV$103,COLUMN(기본데이타!AJ$8),0))</f>
        <v/>
      </c>
      <c r="AG14" s="580" t="str">
        <f>IF($A14="","",VLOOKUP($A14,기본데이타!$A$8:$BV$103,COLUMN(기본데이타!AK$8),0))</f>
        <v/>
      </c>
      <c r="AH14" s="580" t="str">
        <f>IF($A14="","",VLOOKUP($A14,기본데이타!$A$8:$BV$103,COLUMN(기본데이타!AL$8),0))</f>
        <v/>
      </c>
      <c r="AI14" s="580" t="str">
        <f>IF($A14="","",VLOOKUP($A14,기본데이타!$A$8:$BV$103,COLUMN(기본데이타!AM$8),0))</f>
        <v/>
      </c>
      <c r="AJ14" s="580" t="str">
        <f>IF($A14="","",VLOOKUP($A14,기본데이타!$A$8:$BV$103,COLUMN(기본데이타!AN$8),0))</f>
        <v/>
      </c>
      <c r="AK14" s="580" t="str">
        <f>IF($A14="","",VLOOKUP($A14,기본데이타!$A$8:$BV$103,COLUMN(기본데이타!AO$8),0))</f>
        <v/>
      </c>
      <c r="AL14" s="580" t="str">
        <f>IF($A14="","",VLOOKUP($A14,기본데이타!$A$8:$BV$103,COLUMN(기본데이타!AP$8),0))</f>
        <v/>
      </c>
      <c r="AM14" s="580" t="str">
        <f>IF($A14="","",VLOOKUP($A14,기본데이타!$A$8:$BV$103,COLUMN(기본데이타!AQ$8),0))</f>
        <v/>
      </c>
      <c r="AN14" s="580" t="str">
        <f>IF($A14="","",VLOOKUP($A14,기본데이타!$A$8:$BV$103,COLUMN(기본데이타!AR$8),0))</f>
        <v/>
      </c>
      <c r="AO14" s="580" t="str">
        <f>IF($A14="","",VLOOKUP($A14,기본데이타!$A$8:$BV$103,COLUMN(기본데이타!AS$8),0))</f>
        <v/>
      </c>
      <c r="AP14" s="580" t="str">
        <f>IF($A14="","",VLOOKUP($A14,기본데이타!$A$8:$BV$103,COLUMN(기본데이타!AT$8),0))</f>
        <v/>
      </c>
      <c r="AQ14" s="580" t="str">
        <f>IF($A14="","",VLOOKUP($A14,기본데이타!$A$8:$BV$103,COLUMN(기본데이타!AU$8),0))</f>
        <v/>
      </c>
      <c r="AR14" s="598" t="str">
        <f>IF($A14="","",VLOOKUP($A14,기본데이타!$A$8:$BV$103,COLUMN(기본데이타!AV$8),0))</f>
        <v/>
      </c>
      <c r="AS14" s="596" t="str">
        <f>IF($A14="","",VLOOKUP($A14,기본데이타!$A$8:$BV$103,COLUMN(기본데이타!AW$8),0))</f>
        <v/>
      </c>
      <c r="AT14" s="596" t="str">
        <f>IF($A14="","",VLOOKUP($A14,기본데이타!$A$8:$BV$103,COLUMN(기본데이타!AX$8),0))</f>
        <v/>
      </c>
      <c r="AU14" s="596" t="str">
        <f>IF($A14="","",VLOOKUP($A14,기본데이타!$A$8:$BV$103,COLUMN(기본데이타!AY$8),0))</f>
        <v/>
      </c>
      <c r="AV14" s="596" t="str">
        <f t="shared" si="2"/>
        <v/>
      </c>
      <c r="AW14" s="597" t="str">
        <f>IF($A14="","",VLOOKUP($A14,기본데이타!$A$8:$BV$103,COLUMN(기본데이타!BA$8),0))</f>
        <v/>
      </c>
      <c r="AX14" s="597" t="str">
        <f>IF($A14="","",VLOOKUP($A14,기본데이타!$A$8:$BV$103,COLUMN(기본데이타!BB$8),0))</f>
        <v/>
      </c>
      <c r="AY14" s="597" t="str">
        <f>IF($A14="","",VLOOKUP($A14,기본데이타!$A$8:$BV$103,COLUMN(기본데이타!BC$8),0))</f>
        <v/>
      </c>
      <c r="AZ14" s="597" t="str">
        <f>IF($A14="","",VLOOKUP($A14,기본데이타!$A$8:$BV$103,COLUMN(기본데이타!BD$8),0))</f>
        <v/>
      </c>
      <c r="BA14" s="597" t="str">
        <f>IF($A14="","",VLOOKUP($A14,기본데이타!$A$8:$BV$103,COLUMN(기본데이타!BE$8),0))</f>
        <v/>
      </c>
      <c r="BB14" s="597" t="str">
        <f>IF($A14="","",VLOOKUP($A14,기본데이타!$A$8:$BV$103,COLUMN(기본데이타!BF$8),0))</f>
        <v/>
      </c>
      <c r="BC14" s="597" t="str">
        <f>IF($A14="","",VLOOKUP($A14,기본데이타!$A$8:$BV$103,COLUMN(기본데이타!BG$8),0))</f>
        <v/>
      </c>
      <c r="BD14" s="1406" t="str">
        <f>IF($A14="","",VLOOKUP($A14,기본데이타!$A$8:$BV$103,COLUMN(기본데이타!BH$8),0))</f>
        <v/>
      </c>
      <c r="BE14" s="597" t="str">
        <f>IF($A14="","",VLOOKUP($A14,기본데이타!$A$8:$BV$103,COLUMN(기본데이타!BI$8),0))</f>
        <v/>
      </c>
      <c r="BF14" s="597" t="str">
        <f>IF($A14="","",VLOOKUP($A14,기본데이타!$A$8:$BV$103,COLUMN(기본데이타!BJ$8),0))</f>
        <v/>
      </c>
      <c r="BG14" s="597" t="str">
        <f>IF($A14="","",VLOOKUP($A14,기본데이타!$A$8:$BV$103,COLUMN(기본데이타!BK$8),0))</f>
        <v/>
      </c>
      <c r="BH14" s="597" t="str">
        <f>IF($A14="","",VLOOKUP($A14,기본데이타!$A$8:$BV$103,COLUMN(기본데이타!BL$8),0))</f>
        <v/>
      </c>
      <c r="BI14" s="597" t="str">
        <f>IF($A14="","",VLOOKUP($A14,기본데이타!$A$8:$BV$103,COLUMN(기본데이타!BM$8),0))</f>
        <v/>
      </c>
      <c r="BJ14" s="597" t="str">
        <f>IF($A14="","",VLOOKUP($A14,기본데이타!$A$8:$BV$103,COLUMN(기본데이타!BN$8),0))</f>
        <v/>
      </c>
      <c r="BK14" s="597" t="str">
        <f>IF($A14="","",VLOOKUP($A14,기본데이타!$A$8:$BV$103,COLUMN(기본데이타!BO$8),0))</f>
        <v/>
      </c>
      <c r="BL14" s="597" t="str">
        <f>IF($A14="","",VLOOKUP($A14,기본데이타!$A$8:$BV$103,COLUMN(기본데이타!BP$8),0))</f>
        <v/>
      </c>
      <c r="BM14" s="597" t="str">
        <f>IF($A14="","",VLOOKUP($A14,기본데이타!$A$8:$BV$103,COLUMN(기본데이타!BQ$8),0))</f>
        <v/>
      </c>
      <c r="BN14" s="599" t="str">
        <f>IF($A14="","",VLOOKUP($A14,기본데이타!$A$8:$BV$103,COLUMN(기본데이타!BR$8),0))</f>
        <v/>
      </c>
      <c r="BO14" s="600" t="str">
        <f>IF($A14="","",VLOOKUP($A14,기본데이타!$A$8:$BV$103,COLUMN(기본데이타!BS$8),0))</f>
        <v/>
      </c>
      <c r="BP14" s="601" t="str">
        <f>IF($A14="","",VLOOKUP($A14,기본데이타!$A$8:$BV$103,COLUMN(기본데이타!BT$8),0))</f>
        <v/>
      </c>
      <c r="BQ14" s="602" t="str">
        <f>IF($A14="","",VLOOKUP($A14,기본데이타!$A$8:$BV$103,COLUMN(기본데이타!BU$8),0))</f>
        <v/>
      </c>
      <c r="BR14" s="603" t="str">
        <f t="shared" si="3"/>
        <v/>
      </c>
    </row>
    <row r="15" spans="1:70" s="571" customFormat="1" ht="50.1" hidden="1" customHeight="1">
      <c r="A15" s="578"/>
      <c r="B15" s="589"/>
      <c r="C15" s="590"/>
      <c r="D15" s="591" t="str">
        <f>IF($A15="","",VLOOKUP($A15,기본데이타!$A$8:$BV$103,COLUMN(기본데이타!F$8),0))</f>
        <v/>
      </c>
      <c r="E15" s="592" t="str">
        <f>IF($A15="","",VLOOKUP($A15,기본데이타!$A$8:$BV$103,COLUMN(기본데이타!G$8),0))</f>
        <v/>
      </c>
      <c r="F15" s="593" t="str">
        <f>IF($A15="","",VLOOKUP($A15,기본데이타!$A$8:$BV$103,COLUMN(기본데이타!H$8),0))</f>
        <v/>
      </c>
      <c r="G15" s="594" t="str">
        <f>IF($A15="","",VLOOKUP($A15,기본데이타!$A$8:$BV$103,COLUMN(기본데이타!I$8),0))</f>
        <v/>
      </c>
      <c r="H15" s="594" t="str">
        <f>IF($A15="","",VLOOKUP($A15,기본데이타!$A$8:$BV$103,COLUMN(기본데이타!J$8),0))</f>
        <v/>
      </c>
      <c r="I15" s="595" t="str">
        <f>IF($A15="","",VLOOKUP($A15,기본데이타!$A$8:$BV$103,COLUMN(기본데이타!K$8),0))</f>
        <v/>
      </c>
      <c r="J15" s="595" t="str">
        <f>IF($A15="","",VLOOKUP($A15,기본데이타!$A$8:$BV$103,COLUMN(기본데이타!L$8),0))</f>
        <v/>
      </c>
      <c r="K15" s="595" t="str">
        <f>IF($A15="","",VLOOKUP($A15,기본데이타!$A$8:$BV$103,COLUMN(기본데이타!M$8),0))</f>
        <v/>
      </c>
      <c r="L15" s="596" t="str">
        <f>IF($A15="","",VLOOKUP($A15,기본데이타!$A$8:$BV$103,COLUMN(기본데이타!N$8),0))</f>
        <v/>
      </c>
      <c r="M15" s="595" t="str">
        <f>IF($A15="","",VLOOKUP($A15,기본데이타!$A$8:$BV$103,COLUMN(기본데이타!O$8),0))</f>
        <v/>
      </c>
      <c r="N15" s="596" t="str">
        <f>IF($A15="","",VLOOKUP($A15,기본데이타!$A$8:$BV$103,COLUMN(기본데이타!P$8),0))</f>
        <v/>
      </c>
      <c r="O15" s="596" t="str">
        <f>IF($A15="","",VLOOKUP($A15,기본데이타!$A$8:$BV$103,COLUMN(기본데이타!Q$8),0))</f>
        <v/>
      </c>
      <c r="P15" s="596" t="str">
        <f>IF($A15="","",VLOOKUP($A15,기본데이타!$A$8:$BV$103,COLUMN(기본데이타!R$8),0))</f>
        <v/>
      </c>
      <c r="Q15" s="596" t="str">
        <f>IF($A15="","",VLOOKUP($A15,기본데이타!$A$8:$BV$103,COLUMN(기본데이타!S$8),0))</f>
        <v/>
      </c>
      <c r="R15" s="596" t="str">
        <f>IF($A15="","",VLOOKUP($A15,기본데이타!$A$8:$BV$103,COLUMN(기본데이타!T$8),0))</f>
        <v/>
      </c>
      <c r="S15" s="596" t="str">
        <f>IF($A15="","",VLOOKUP($A15,기본데이타!$A$8:$BV$103,COLUMN(기본데이타!U$8),0))</f>
        <v/>
      </c>
      <c r="T15" s="596" t="str">
        <f>IF($A15="","",VLOOKUP($A15,기본데이타!$A$8:$BV$103,COLUMN(기본데이타!V$8),0))</f>
        <v/>
      </c>
      <c r="U15" s="596" t="str">
        <f>IF($A15="","",VLOOKUP($A15,기본데이타!$A$8:$BV$103,COLUMN(기본데이타!W$8),0))</f>
        <v/>
      </c>
      <c r="V15" s="596" t="str">
        <f>IF($A15="","",VLOOKUP($A15,기본데이타!$A$8:$BV$103,COLUMN(기본데이타!X$8),0))</f>
        <v/>
      </c>
      <c r="W15" s="596" t="str">
        <f>IF($A15="","",VLOOKUP($A15,기본데이타!$A$8:$BV$103,COLUMN(기본데이타!AA$8),0))</f>
        <v/>
      </c>
      <c r="X15" s="596" t="str">
        <f>IF($A15="","",VLOOKUP($A15,기본데이타!$A$8:$BV$103,COLUMN(기본데이타!AB$8),0))</f>
        <v/>
      </c>
      <c r="Y15" s="595" t="str">
        <f>IF($A15="","",VLOOKUP($A15,기본데이타!$A$8:$BV$103,COLUMN(기본데이타!AC$8),0))</f>
        <v/>
      </c>
      <c r="Z15" s="596" t="str">
        <f>IF($A15="","",VLOOKUP($A15,기본데이타!$A$8:$BV$103,COLUMN(기본데이타!AD$8),0))</f>
        <v/>
      </c>
      <c r="AA15" s="595" t="str">
        <f>IF($A15="","",VLOOKUP($A15,기본데이타!$A$8:$BV$103,COLUMN(기본데이타!AE$8),0))</f>
        <v/>
      </c>
      <c r="AB15" s="596" t="str">
        <f>IF($A15="","",VLOOKUP($A15,기본데이타!$A$8:$BV$103,COLUMN(기본데이타!AF$8),0))</f>
        <v/>
      </c>
      <c r="AC15" s="595" t="str">
        <f>IF($A15="","",VLOOKUP($A15,기본데이타!$A$8:$BV$103,COLUMN(기본데이타!AG$8),0))</f>
        <v/>
      </c>
      <c r="AD15" s="596" t="str">
        <f>IF($A15="","",VLOOKUP($A15,기본데이타!$A$8:$BV$103,COLUMN(기본데이타!AH$8),0))</f>
        <v/>
      </c>
      <c r="AE15" s="595" t="str">
        <f>IF($A15="","",VLOOKUP($A15,기본데이타!$A$8:$BV$103,COLUMN(기본데이타!AI$8),0))</f>
        <v/>
      </c>
      <c r="AF15" s="597" t="str">
        <f>IF($A15="","",VLOOKUP($A15,기본데이타!$A$8:$BV$103,COLUMN(기본데이타!AJ$8),0))</f>
        <v/>
      </c>
      <c r="AG15" s="580" t="str">
        <f>IF($A15="","",VLOOKUP($A15,기본데이타!$A$8:$BV$103,COLUMN(기본데이타!AK$8),0))</f>
        <v/>
      </c>
      <c r="AH15" s="580" t="str">
        <f>IF($A15="","",VLOOKUP($A15,기본데이타!$A$8:$BV$103,COLUMN(기본데이타!AL$8),0))</f>
        <v/>
      </c>
      <c r="AI15" s="580" t="str">
        <f>IF($A15="","",VLOOKUP($A15,기본데이타!$A$8:$BV$103,COLUMN(기본데이타!AM$8),0))</f>
        <v/>
      </c>
      <c r="AJ15" s="580" t="str">
        <f>IF($A15="","",VLOOKUP($A15,기본데이타!$A$8:$BV$103,COLUMN(기본데이타!AN$8),0))</f>
        <v/>
      </c>
      <c r="AK15" s="580" t="str">
        <f>IF($A15="","",VLOOKUP($A15,기본데이타!$A$8:$BV$103,COLUMN(기본데이타!AO$8),0))</f>
        <v/>
      </c>
      <c r="AL15" s="580" t="str">
        <f>IF($A15="","",VLOOKUP($A15,기본데이타!$A$8:$BV$103,COLUMN(기본데이타!AP$8),0))</f>
        <v/>
      </c>
      <c r="AM15" s="580" t="str">
        <f>IF($A15="","",VLOOKUP($A15,기본데이타!$A$8:$BV$103,COLUMN(기본데이타!AQ$8),0))</f>
        <v/>
      </c>
      <c r="AN15" s="580" t="str">
        <f>IF($A15="","",VLOOKUP($A15,기본데이타!$A$8:$BV$103,COLUMN(기본데이타!AR$8),0))</f>
        <v/>
      </c>
      <c r="AO15" s="580" t="str">
        <f>IF($A15="","",VLOOKUP($A15,기본데이타!$A$8:$BV$103,COLUMN(기본데이타!AS$8),0))</f>
        <v/>
      </c>
      <c r="AP15" s="580" t="str">
        <f>IF($A15="","",VLOOKUP($A15,기본데이타!$A$8:$BV$103,COLUMN(기본데이타!AT$8),0))</f>
        <v/>
      </c>
      <c r="AQ15" s="580" t="str">
        <f>IF($A15="","",VLOOKUP($A15,기본데이타!$A$8:$BV$103,COLUMN(기본데이타!AU$8),0))</f>
        <v/>
      </c>
      <c r="AR15" s="598" t="str">
        <f>IF($A15="","",VLOOKUP($A15,기본데이타!$A$8:$BV$103,COLUMN(기본데이타!AV$8),0))</f>
        <v/>
      </c>
      <c r="AS15" s="604" t="str">
        <f>IF($A15="","",VLOOKUP($A15,기본데이타!$A$8:$BV$103,COLUMN(기본데이타!AW$8),0))</f>
        <v/>
      </c>
      <c r="AT15" s="604" t="str">
        <f>IF($A15="","",VLOOKUP($A15,기본데이타!$A$8:$BV$103,COLUMN(기본데이타!AX$8),0))</f>
        <v/>
      </c>
      <c r="AU15" s="604" t="str">
        <f>IF($A15="","",VLOOKUP($A15,기본데이타!$A$8:$BV$103,COLUMN(기본데이타!AY$8),0))</f>
        <v/>
      </c>
      <c r="AV15" s="604" t="str">
        <f t="shared" si="2"/>
        <v/>
      </c>
      <c r="AW15" s="605" t="str">
        <f>IF($A15="","",VLOOKUP($A15,기본데이타!$A$8:$BV$103,COLUMN(기본데이타!BA$8),0))</f>
        <v/>
      </c>
      <c r="AX15" s="605" t="str">
        <f>IF($A15="","",VLOOKUP($A15,기본데이타!$A$8:$BV$103,COLUMN(기본데이타!BB$8),0))</f>
        <v/>
      </c>
      <c r="AY15" s="604" t="str">
        <f>IF($A15="","",VLOOKUP($A15,기본데이타!$A$8:$BV$103,COLUMN(기본데이타!BC$8),0))</f>
        <v/>
      </c>
      <c r="AZ15" s="605" t="str">
        <f>IF($A15="","",VLOOKUP($A15,기본데이타!$A$8:$BV$103,COLUMN(기본데이타!BD$8),0))</f>
        <v/>
      </c>
      <c r="BA15" s="605" t="str">
        <f>IF($A15="","",VLOOKUP($A15,기본데이타!$A$8:$BV$103,COLUMN(기본데이타!BE$8),0))</f>
        <v/>
      </c>
      <c r="BB15" s="605" t="str">
        <f>IF($A15="","",VLOOKUP($A15,기본데이타!$A$8:$BV$103,COLUMN(기본데이타!BF$8),0))</f>
        <v/>
      </c>
      <c r="BC15" s="605" t="str">
        <f>IF($A15="","",VLOOKUP($A15,기본데이타!$A$8:$BV$103,COLUMN(기본데이타!BG$8),0))</f>
        <v/>
      </c>
      <c r="BD15" s="1406" t="str">
        <f>IF($A15="","",VLOOKUP($A15,기본데이타!$A$8:$BV$103,COLUMN(기본데이타!BH$8),0))</f>
        <v/>
      </c>
      <c r="BE15" s="605" t="str">
        <f>IF($A15="","",VLOOKUP($A15,기본데이타!$A$8:$BV$103,COLUMN(기본데이타!BI$8),0))</f>
        <v/>
      </c>
      <c r="BF15" s="605" t="str">
        <f>IF($A15="","",VLOOKUP($A15,기본데이타!$A$8:$BV$103,COLUMN(기본데이타!BJ$8),0))</f>
        <v/>
      </c>
      <c r="BG15" s="605" t="str">
        <f>IF($A15="","",VLOOKUP($A15,기본데이타!$A$8:$BV$103,COLUMN(기본데이타!BK$8),0))</f>
        <v/>
      </c>
      <c r="BH15" s="605" t="str">
        <f>IF($A15="","",VLOOKUP($A15,기본데이타!$A$8:$BV$103,COLUMN(기본데이타!BL$8),0))</f>
        <v/>
      </c>
      <c r="BI15" s="605" t="str">
        <f>IF($A15="","",VLOOKUP($A15,기본데이타!$A$8:$BV$103,COLUMN(기본데이타!BM$8),0))</f>
        <v/>
      </c>
      <c r="BJ15" s="604" t="str">
        <f>IF($A15="","",VLOOKUP($A15,기본데이타!$A$8:$BV$103,COLUMN(기본데이타!BN$8),0))</f>
        <v/>
      </c>
      <c r="BK15" s="604" t="str">
        <f>IF($A15="","",VLOOKUP($A15,기본데이타!$A$8:$BV$103,COLUMN(기본데이타!BO$8),0))</f>
        <v/>
      </c>
      <c r="BL15" s="604" t="str">
        <f>IF($A15="","",VLOOKUP($A15,기본데이타!$A$8:$BV$103,COLUMN(기본데이타!BP$8),0))</f>
        <v/>
      </c>
      <c r="BM15" s="604" t="str">
        <f>IF($A15="","",VLOOKUP($A15,기본데이타!$A$8:$BV$103,COLUMN(기본데이타!BQ$8),0))</f>
        <v/>
      </c>
      <c r="BN15" s="604" t="str">
        <f>IF($A15="","",VLOOKUP($A15,기본데이타!$A$8:$BV$103,COLUMN(기본데이타!BR$8),0))</f>
        <v/>
      </c>
      <c r="BO15" s="604" t="str">
        <f>IF($A15="","",VLOOKUP($A15,기본데이타!$A$8:$BV$103,COLUMN(기본데이타!BS$8),0))</f>
        <v/>
      </c>
      <c r="BP15" s="601" t="str">
        <f>IF($A15="","",VLOOKUP($A15,기본데이타!$A$8:$BV$103,COLUMN(기본데이타!BT$8),0))</f>
        <v/>
      </c>
      <c r="BQ15" s="602" t="str">
        <f>IF($A15="","",VLOOKUP($A15,기본데이타!$A$8:$BV$103,COLUMN(기본데이타!BU$8),0))</f>
        <v/>
      </c>
      <c r="BR15" s="603" t="str">
        <f t="shared" si="3"/>
        <v/>
      </c>
    </row>
    <row r="16" spans="1:70" s="571" customFormat="1" ht="50.1" hidden="1" customHeight="1">
      <c r="A16" s="578"/>
      <c r="B16" s="589"/>
      <c r="C16" s="590"/>
      <c r="D16" s="591" t="str">
        <f>IF($A16="","",VLOOKUP($A16,기본데이타!$A$8:$BV$103,COLUMN(기본데이타!F$8),0))</f>
        <v/>
      </c>
      <c r="E16" s="592" t="str">
        <f>IF($A16="","",VLOOKUP($A16,기본데이타!$A$8:$BV$103,COLUMN(기본데이타!G$8),0))</f>
        <v/>
      </c>
      <c r="F16" s="593" t="str">
        <f>IF($A16="","",VLOOKUP($A16,기본데이타!$A$8:$BV$103,COLUMN(기본데이타!H$8),0))</f>
        <v/>
      </c>
      <c r="G16" s="594" t="str">
        <f>IF($A16="","",VLOOKUP($A16,기본데이타!$A$8:$BV$103,COLUMN(기본데이타!I$8),0))</f>
        <v/>
      </c>
      <c r="H16" s="594" t="str">
        <f>IF($A16="","",VLOOKUP($A16,기본데이타!$A$8:$BV$103,COLUMN(기본데이타!J$8),0))</f>
        <v/>
      </c>
      <c r="I16" s="595" t="str">
        <f>IF($A16="","",VLOOKUP($A16,기본데이타!$A$8:$BV$103,COLUMN(기본데이타!K$8),0))</f>
        <v/>
      </c>
      <c r="J16" s="595" t="str">
        <f>IF($A16="","",VLOOKUP($A16,기본데이타!$A$8:$BV$103,COLUMN(기본데이타!L$8),0))</f>
        <v/>
      </c>
      <c r="K16" s="595" t="str">
        <f>IF($A16="","",VLOOKUP($A16,기본데이타!$A$8:$BV$103,COLUMN(기본데이타!M$8),0))</f>
        <v/>
      </c>
      <c r="L16" s="596" t="str">
        <f>IF($A16="","",VLOOKUP($A16,기본데이타!$A$8:$BV$103,COLUMN(기본데이타!N$8),0))</f>
        <v/>
      </c>
      <c r="M16" s="595" t="str">
        <f>IF($A16="","",VLOOKUP($A16,기본데이타!$A$8:$BV$103,COLUMN(기본데이타!O$8),0))</f>
        <v/>
      </c>
      <c r="N16" s="596" t="str">
        <f>IF($A16="","",VLOOKUP($A16,기본데이타!$A$8:$BV$103,COLUMN(기본데이타!P$8),0))</f>
        <v/>
      </c>
      <c r="O16" s="596" t="str">
        <f>IF($A16="","",VLOOKUP($A16,기본데이타!$A$8:$BV$103,COLUMN(기본데이타!Q$8),0))</f>
        <v/>
      </c>
      <c r="P16" s="596" t="str">
        <f>IF($A16="","",VLOOKUP($A16,기본데이타!$A$8:$BV$103,COLUMN(기본데이타!R$8),0))</f>
        <v/>
      </c>
      <c r="Q16" s="596" t="str">
        <f>IF($A16="","",VLOOKUP($A16,기본데이타!$A$8:$BV$103,COLUMN(기본데이타!S$8),0))</f>
        <v/>
      </c>
      <c r="R16" s="596" t="str">
        <f>IF($A16="","",VLOOKUP($A16,기본데이타!$A$8:$BV$103,COLUMN(기본데이타!T$8),0))</f>
        <v/>
      </c>
      <c r="S16" s="596" t="str">
        <f>IF($A16="","",VLOOKUP($A16,기본데이타!$A$8:$BV$103,COLUMN(기본데이타!U$8),0))</f>
        <v/>
      </c>
      <c r="T16" s="596" t="str">
        <f>IF($A16="","",VLOOKUP($A16,기본데이타!$A$8:$BV$103,COLUMN(기본데이타!V$8),0))</f>
        <v/>
      </c>
      <c r="U16" s="596" t="str">
        <f>IF($A16="","",VLOOKUP($A16,기본데이타!$A$8:$BV$103,COLUMN(기본데이타!W$8),0))</f>
        <v/>
      </c>
      <c r="V16" s="596" t="str">
        <f>IF($A16="","",VLOOKUP($A16,기본데이타!$A$8:$BV$103,COLUMN(기본데이타!X$8),0))</f>
        <v/>
      </c>
      <c r="W16" s="596" t="str">
        <f>IF($A16="","",VLOOKUP($A16,기본데이타!$A$8:$BV$103,COLUMN(기본데이타!AA$8),0))</f>
        <v/>
      </c>
      <c r="X16" s="596" t="str">
        <f>IF($A16="","",VLOOKUP($A16,기본데이타!$A$8:$BV$103,COLUMN(기본데이타!AB$8),0))</f>
        <v/>
      </c>
      <c r="Y16" s="595" t="str">
        <f>IF($A16="","",VLOOKUP($A16,기본데이타!$A$8:$BV$103,COLUMN(기본데이타!AC$8),0))</f>
        <v/>
      </c>
      <c r="Z16" s="596" t="str">
        <f>IF($A16="","",VLOOKUP($A16,기본데이타!$A$8:$BV$103,COLUMN(기본데이타!AD$8),0))</f>
        <v/>
      </c>
      <c r="AA16" s="595" t="str">
        <f>IF($A16="","",VLOOKUP($A16,기본데이타!$A$8:$BV$103,COLUMN(기본데이타!AE$8),0))</f>
        <v/>
      </c>
      <c r="AB16" s="596" t="str">
        <f>IF($A16="","",VLOOKUP($A16,기본데이타!$A$8:$BV$103,COLUMN(기본데이타!AF$8),0))</f>
        <v/>
      </c>
      <c r="AC16" s="595" t="str">
        <f>IF($A16="","",VLOOKUP($A16,기본데이타!$A$8:$BV$103,COLUMN(기본데이타!AG$8),0))</f>
        <v/>
      </c>
      <c r="AD16" s="596" t="str">
        <f>IF($A16="","",VLOOKUP($A16,기본데이타!$A$8:$BV$103,COLUMN(기본데이타!AH$8),0))</f>
        <v/>
      </c>
      <c r="AE16" s="595" t="str">
        <f>IF($A16="","",VLOOKUP($A16,기본데이타!$A$8:$BV$103,COLUMN(기본데이타!AI$8),0))</f>
        <v/>
      </c>
      <c r="AF16" s="597" t="str">
        <f>IF($A16="","",VLOOKUP($A16,기본데이타!$A$8:$BV$103,COLUMN(기본데이타!AJ$8),0))</f>
        <v/>
      </c>
      <c r="AG16" s="580" t="str">
        <f>IF($A16="","",VLOOKUP($A16,기본데이타!$A$8:$BV$103,COLUMN(기본데이타!AK$8),0))</f>
        <v/>
      </c>
      <c r="AH16" s="580" t="str">
        <f>IF($A16="","",VLOOKUP($A16,기본데이타!$A$8:$BV$103,COLUMN(기본데이타!AL$8),0))</f>
        <v/>
      </c>
      <c r="AI16" s="580" t="str">
        <f>IF($A16="","",VLOOKUP($A16,기본데이타!$A$8:$BV$103,COLUMN(기본데이타!AM$8),0))</f>
        <v/>
      </c>
      <c r="AJ16" s="580" t="str">
        <f>IF($A16="","",VLOOKUP($A16,기본데이타!$A$8:$BV$103,COLUMN(기본데이타!AN$8),0))</f>
        <v/>
      </c>
      <c r="AK16" s="580" t="str">
        <f>IF($A16="","",VLOOKUP($A16,기본데이타!$A$8:$BV$103,COLUMN(기본데이타!AO$8),0))</f>
        <v/>
      </c>
      <c r="AL16" s="580" t="str">
        <f>IF($A16="","",VLOOKUP($A16,기본데이타!$A$8:$BV$103,COLUMN(기본데이타!AP$8),0))</f>
        <v/>
      </c>
      <c r="AM16" s="580" t="str">
        <f>IF($A16="","",VLOOKUP($A16,기본데이타!$A$8:$BV$103,COLUMN(기본데이타!AQ$8),0))</f>
        <v/>
      </c>
      <c r="AN16" s="580" t="str">
        <f>IF($A16="","",VLOOKUP($A16,기본데이타!$A$8:$BV$103,COLUMN(기본데이타!AR$8),0))</f>
        <v/>
      </c>
      <c r="AO16" s="580" t="str">
        <f>IF($A16="","",VLOOKUP($A16,기본데이타!$A$8:$BV$103,COLUMN(기본데이타!AS$8),0))</f>
        <v/>
      </c>
      <c r="AP16" s="580" t="str">
        <f>IF($A16="","",VLOOKUP($A16,기본데이타!$A$8:$BV$103,COLUMN(기본데이타!AT$8),0))</f>
        <v/>
      </c>
      <c r="AQ16" s="580" t="str">
        <f>IF($A16="","",VLOOKUP($A16,기본데이타!$A$8:$BV$103,COLUMN(기본데이타!AU$8),0))</f>
        <v/>
      </c>
      <c r="AR16" s="598" t="str">
        <f>IF($A16="","",VLOOKUP($A16,기본데이타!$A$8:$BV$103,COLUMN(기본데이타!AV$8),0))</f>
        <v/>
      </c>
      <c r="AS16" s="596" t="str">
        <f>IF($A16="","",VLOOKUP($A16,기본데이타!$A$8:$BV$103,COLUMN(기본데이타!AW$8),0))</f>
        <v/>
      </c>
      <c r="AT16" s="596" t="str">
        <f>IF($A16="","",VLOOKUP($A16,기본데이타!$A$8:$BV$103,COLUMN(기본데이타!AX$8),0))</f>
        <v/>
      </c>
      <c r="AU16" s="596" t="str">
        <f>IF($A16="","",VLOOKUP($A16,기본데이타!$A$8:$BV$103,COLUMN(기본데이타!AY$8),0))</f>
        <v/>
      </c>
      <c r="AV16" s="596" t="str">
        <f t="shared" si="2"/>
        <v/>
      </c>
      <c r="AW16" s="597" t="str">
        <f>IF($A16="","",VLOOKUP($A16,기본데이타!$A$8:$BV$103,COLUMN(기본데이타!BA$8),0))</f>
        <v/>
      </c>
      <c r="AX16" s="597" t="str">
        <f>IF($A16="","",VLOOKUP($A16,기본데이타!$A$8:$BV$103,COLUMN(기본데이타!BB$8),0))</f>
        <v/>
      </c>
      <c r="AY16" s="597" t="str">
        <f>IF($A16="","",VLOOKUP($A16,기본데이타!$A$8:$BV$103,COLUMN(기본데이타!BC$8),0))</f>
        <v/>
      </c>
      <c r="AZ16" s="597" t="str">
        <f>IF($A16="","",VLOOKUP($A16,기본데이타!$A$8:$BV$103,COLUMN(기본데이타!BD$8),0))</f>
        <v/>
      </c>
      <c r="BA16" s="597" t="str">
        <f>IF($A16="","",VLOOKUP($A16,기본데이타!$A$8:$BV$103,COLUMN(기본데이타!BE$8),0))</f>
        <v/>
      </c>
      <c r="BB16" s="597" t="str">
        <f>IF($A16="","",VLOOKUP($A16,기본데이타!$A$8:$BV$103,COLUMN(기본데이타!BF$8),0))</f>
        <v/>
      </c>
      <c r="BC16" s="597" t="str">
        <f>IF($A16="","",VLOOKUP($A16,기본데이타!$A$8:$BV$103,COLUMN(기본데이타!BG$8),0))</f>
        <v/>
      </c>
      <c r="BD16" s="1406" t="str">
        <f>IF($A16="","",VLOOKUP($A16,기본데이타!$A$8:$BV$103,COLUMN(기본데이타!BH$8),0))</f>
        <v/>
      </c>
      <c r="BE16" s="597" t="str">
        <f>IF($A16="","",VLOOKUP($A16,기본데이타!$A$8:$BV$103,COLUMN(기본데이타!BI$8),0))</f>
        <v/>
      </c>
      <c r="BF16" s="597" t="str">
        <f>IF($A16="","",VLOOKUP($A16,기본데이타!$A$8:$BV$103,COLUMN(기본데이타!BJ$8),0))</f>
        <v/>
      </c>
      <c r="BG16" s="597" t="str">
        <f>IF($A16="","",VLOOKUP($A16,기본데이타!$A$8:$BV$103,COLUMN(기본데이타!BK$8),0))</f>
        <v/>
      </c>
      <c r="BH16" s="597" t="str">
        <f>IF($A16="","",VLOOKUP($A16,기본데이타!$A$8:$BV$103,COLUMN(기본데이타!BL$8),0))</f>
        <v/>
      </c>
      <c r="BI16" s="597" t="str">
        <f>IF($A16="","",VLOOKUP($A16,기본데이타!$A$8:$BV$103,COLUMN(기본데이타!BM$8),0))</f>
        <v/>
      </c>
      <c r="BJ16" s="597" t="str">
        <f>IF($A16="","",VLOOKUP($A16,기본데이타!$A$8:$BV$103,COLUMN(기본데이타!BN$8),0))</f>
        <v/>
      </c>
      <c r="BK16" s="597" t="str">
        <f>IF($A16="","",VLOOKUP($A16,기본데이타!$A$8:$BV$103,COLUMN(기본데이타!BO$8),0))</f>
        <v/>
      </c>
      <c r="BL16" s="597" t="str">
        <f>IF($A16="","",VLOOKUP($A16,기본데이타!$A$8:$BV$103,COLUMN(기본데이타!BP$8),0))</f>
        <v/>
      </c>
      <c r="BM16" s="597" t="str">
        <f>IF($A16="","",VLOOKUP($A16,기본데이타!$A$8:$BV$103,COLUMN(기본데이타!BQ$8),0))</f>
        <v/>
      </c>
      <c r="BN16" s="599" t="str">
        <f>IF($A16="","",VLOOKUP($A16,기본데이타!$A$8:$BV$103,COLUMN(기본데이타!BR$8),0))</f>
        <v/>
      </c>
      <c r="BO16" s="600" t="str">
        <f>IF($A16="","",VLOOKUP($A16,기본데이타!$A$8:$BV$103,COLUMN(기본데이타!BS$8),0))</f>
        <v/>
      </c>
      <c r="BP16" s="601" t="str">
        <f>IF($A16="","",VLOOKUP($A16,기본데이타!$A$8:$BV$103,COLUMN(기본데이타!BT$8),0))</f>
        <v/>
      </c>
      <c r="BQ16" s="602" t="str">
        <f>IF($A16="","",VLOOKUP($A16,기본데이타!$A$8:$BV$103,COLUMN(기본데이타!BU$8),0))</f>
        <v/>
      </c>
      <c r="BR16" s="603" t="str">
        <f t="shared" si="3"/>
        <v/>
      </c>
    </row>
    <row r="17" spans="1:70" s="571" customFormat="1" ht="50.1" hidden="1" customHeight="1">
      <c r="A17" s="578"/>
      <c r="B17" s="589"/>
      <c r="C17" s="590"/>
      <c r="D17" s="591" t="str">
        <f>IF($A17="","",VLOOKUP($A17,기본데이타!$A$8:$BV$103,COLUMN(기본데이타!F$8),0))</f>
        <v/>
      </c>
      <c r="E17" s="592" t="str">
        <f>IF($A17="","",VLOOKUP($A17,기본데이타!$A$8:$BV$103,COLUMN(기본데이타!G$8),0))</f>
        <v/>
      </c>
      <c r="F17" s="593" t="str">
        <f>IF($A17="","",VLOOKUP($A17,기본데이타!$A$8:$BV$103,COLUMN(기본데이타!H$8),0))</f>
        <v/>
      </c>
      <c r="G17" s="594" t="str">
        <f>IF($A17="","",VLOOKUP($A17,기본데이타!$A$8:$BV$103,COLUMN(기본데이타!I$8),0))</f>
        <v/>
      </c>
      <c r="H17" s="594" t="str">
        <f>IF($A17="","",VLOOKUP($A17,기본데이타!$A$8:$BV$103,COLUMN(기본데이타!J$8),0))</f>
        <v/>
      </c>
      <c r="I17" s="595" t="str">
        <f>IF($A17="","",VLOOKUP($A17,기본데이타!$A$8:$BV$103,COLUMN(기본데이타!K$8),0))</f>
        <v/>
      </c>
      <c r="J17" s="595" t="str">
        <f>IF($A17="","",VLOOKUP($A17,기본데이타!$A$8:$BV$103,COLUMN(기본데이타!L$8),0))</f>
        <v/>
      </c>
      <c r="K17" s="595" t="str">
        <f>IF($A17="","",VLOOKUP($A17,기본데이타!$A$8:$BV$103,COLUMN(기본데이타!M$8),0))</f>
        <v/>
      </c>
      <c r="L17" s="596" t="str">
        <f>IF($A17="","",VLOOKUP($A17,기본데이타!$A$8:$BV$103,COLUMN(기본데이타!N$8),0))</f>
        <v/>
      </c>
      <c r="M17" s="595" t="str">
        <f>IF($A17="","",VLOOKUP($A17,기본데이타!$A$8:$BV$103,COLUMN(기본데이타!O$8),0))</f>
        <v/>
      </c>
      <c r="N17" s="596" t="str">
        <f>IF($A17="","",VLOOKUP($A17,기본데이타!$A$8:$BV$103,COLUMN(기본데이타!P$8),0))</f>
        <v/>
      </c>
      <c r="O17" s="596" t="str">
        <f>IF($A17="","",VLOOKUP($A17,기본데이타!$A$8:$BV$103,COLUMN(기본데이타!Q$8),0))</f>
        <v/>
      </c>
      <c r="P17" s="596" t="str">
        <f>IF($A17="","",VLOOKUP($A17,기본데이타!$A$8:$BV$103,COLUMN(기본데이타!R$8),0))</f>
        <v/>
      </c>
      <c r="Q17" s="596" t="str">
        <f>IF($A17="","",VLOOKUP($A17,기본데이타!$A$8:$BV$103,COLUMN(기본데이타!S$8),0))</f>
        <v/>
      </c>
      <c r="R17" s="596" t="str">
        <f>IF($A17="","",VLOOKUP($A17,기본데이타!$A$8:$BV$103,COLUMN(기본데이타!T$8),0))</f>
        <v/>
      </c>
      <c r="S17" s="596" t="str">
        <f>IF($A17="","",VLOOKUP($A17,기본데이타!$A$8:$BV$103,COLUMN(기본데이타!U$8),0))</f>
        <v/>
      </c>
      <c r="T17" s="596" t="str">
        <f>IF($A17="","",VLOOKUP($A17,기본데이타!$A$8:$BV$103,COLUMN(기본데이타!V$8),0))</f>
        <v/>
      </c>
      <c r="U17" s="596" t="str">
        <f>IF($A17="","",VLOOKUP($A17,기본데이타!$A$8:$BV$103,COLUMN(기본데이타!W$8),0))</f>
        <v/>
      </c>
      <c r="V17" s="596" t="str">
        <f>IF($A17="","",VLOOKUP($A17,기본데이타!$A$8:$BV$103,COLUMN(기본데이타!X$8),0))</f>
        <v/>
      </c>
      <c r="W17" s="596" t="str">
        <f>IF($A17="","",VLOOKUP($A17,기본데이타!$A$8:$BV$103,COLUMN(기본데이타!AA$8),0))</f>
        <v/>
      </c>
      <c r="X17" s="596" t="str">
        <f>IF($A17="","",VLOOKUP($A17,기본데이타!$A$8:$BV$103,COLUMN(기본데이타!AB$8),0))</f>
        <v/>
      </c>
      <c r="Y17" s="595" t="str">
        <f>IF($A17="","",VLOOKUP($A17,기본데이타!$A$8:$BV$103,COLUMN(기본데이타!AC$8),0))</f>
        <v/>
      </c>
      <c r="Z17" s="596" t="str">
        <f>IF($A17="","",VLOOKUP($A17,기본데이타!$A$8:$BV$103,COLUMN(기본데이타!AD$8),0))</f>
        <v/>
      </c>
      <c r="AA17" s="595" t="str">
        <f>IF($A17="","",VLOOKUP($A17,기본데이타!$A$8:$BV$103,COLUMN(기본데이타!AE$8),0))</f>
        <v/>
      </c>
      <c r="AB17" s="596" t="str">
        <f>IF($A17="","",VLOOKUP($A17,기본데이타!$A$8:$BV$103,COLUMN(기본데이타!AF$8),0))</f>
        <v/>
      </c>
      <c r="AC17" s="595" t="str">
        <f>IF($A17="","",VLOOKUP($A17,기본데이타!$A$8:$BV$103,COLUMN(기본데이타!AG$8),0))</f>
        <v/>
      </c>
      <c r="AD17" s="596" t="str">
        <f>IF($A17="","",VLOOKUP($A17,기본데이타!$A$8:$BV$103,COLUMN(기본데이타!AH$8),0))</f>
        <v/>
      </c>
      <c r="AE17" s="595" t="str">
        <f>IF($A17="","",VLOOKUP($A17,기본데이타!$A$8:$BV$103,COLUMN(기본데이타!AI$8),0))</f>
        <v/>
      </c>
      <c r="AF17" s="597" t="str">
        <f>IF($A17="","",VLOOKUP($A17,기본데이타!$A$8:$BV$103,COLUMN(기본데이타!AJ$8),0))</f>
        <v/>
      </c>
      <c r="AG17" s="580" t="str">
        <f>IF($A17="","",VLOOKUP($A17,기본데이타!$A$8:$BV$103,COLUMN(기본데이타!AK$8),0))</f>
        <v/>
      </c>
      <c r="AH17" s="580" t="str">
        <f>IF($A17="","",VLOOKUP($A17,기본데이타!$A$8:$BV$103,COLUMN(기본데이타!AL$8),0))</f>
        <v/>
      </c>
      <c r="AI17" s="580" t="str">
        <f>IF($A17="","",VLOOKUP($A17,기본데이타!$A$8:$BV$103,COLUMN(기본데이타!AM$8),0))</f>
        <v/>
      </c>
      <c r="AJ17" s="580" t="str">
        <f>IF($A17="","",VLOOKUP($A17,기본데이타!$A$8:$BV$103,COLUMN(기본데이타!AN$8),0))</f>
        <v/>
      </c>
      <c r="AK17" s="580" t="str">
        <f>IF($A17="","",VLOOKUP($A17,기본데이타!$A$8:$BV$103,COLUMN(기본데이타!AO$8),0))</f>
        <v/>
      </c>
      <c r="AL17" s="580" t="str">
        <f>IF($A17="","",VLOOKUP($A17,기본데이타!$A$8:$BV$103,COLUMN(기본데이타!AP$8),0))</f>
        <v/>
      </c>
      <c r="AM17" s="580" t="str">
        <f>IF($A17="","",VLOOKUP($A17,기본데이타!$A$8:$BV$103,COLUMN(기본데이타!AQ$8),0))</f>
        <v/>
      </c>
      <c r="AN17" s="580" t="str">
        <f>IF($A17="","",VLOOKUP($A17,기본데이타!$A$8:$BV$103,COLUMN(기본데이타!AR$8),0))</f>
        <v/>
      </c>
      <c r="AO17" s="580" t="str">
        <f>IF($A17="","",VLOOKUP($A17,기본데이타!$A$8:$BV$103,COLUMN(기본데이타!AS$8),0))</f>
        <v/>
      </c>
      <c r="AP17" s="580" t="str">
        <f>IF($A17="","",VLOOKUP($A17,기본데이타!$A$8:$BV$103,COLUMN(기본데이타!AT$8),0))</f>
        <v/>
      </c>
      <c r="AQ17" s="580" t="str">
        <f>IF($A17="","",VLOOKUP($A17,기본데이타!$A$8:$BV$103,COLUMN(기본데이타!AU$8),0))</f>
        <v/>
      </c>
      <c r="AR17" s="598" t="str">
        <f>IF($A17="","",VLOOKUP($A17,기본데이타!$A$8:$BV$103,COLUMN(기본데이타!AV$8),0))</f>
        <v/>
      </c>
      <c r="AS17" s="596" t="str">
        <f>IF($A17="","",VLOOKUP($A17,기본데이타!$A$8:$BV$103,COLUMN(기본데이타!AW$8),0))</f>
        <v/>
      </c>
      <c r="AT17" s="596" t="str">
        <f>IF($A17="","",VLOOKUP($A17,기본데이타!$A$8:$BV$103,COLUMN(기본데이타!AX$8),0))</f>
        <v/>
      </c>
      <c r="AU17" s="596" t="str">
        <f>IF($A17="","",VLOOKUP($A17,기본데이타!$A$8:$BV$103,COLUMN(기본데이타!AY$8),0))</f>
        <v/>
      </c>
      <c r="AV17" s="596" t="str">
        <f t="shared" si="2"/>
        <v/>
      </c>
      <c r="AW17" s="597" t="str">
        <f>IF($A17="","",VLOOKUP($A17,기본데이타!$A$8:$BV$103,COLUMN(기본데이타!BA$8),0))</f>
        <v/>
      </c>
      <c r="AX17" s="597" t="str">
        <f>IF($A17="","",VLOOKUP($A17,기본데이타!$A$8:$BV$103,COLUMN(기본데이타!BB$8),0))</f>
        <v/>
      </c>
      <c r="AY17" s="597" t="str">
        <f>IF($A17="","",VLOOKUP($A17,기본데이타!$A$8:$BV$103,COLUMN(기본데이타!BC$8),0))</f>
        <v/>
      </c>
      <c r="AZ17" s="597" t="str">
        <f>IF($A17="","",VLOOKUP($A17,기본데이타!$A$8:$BV$103,COLUMN(기본데이타!BD$8),0))</f>
        <v/>
      </c>
      <c r="BA17" s="597" t="str">
        <f>IF($A17="","",VLOOKUP($A17,기본데이타!$A$8:$BV$103,COLUMN(기본데이타!BE$8),0))</f>
        <v/>
      </c>
      <c r="BB17" s="597" t="str">
        <f>IF($A17="","",VLOOKUP($A17,기본데이타!$A$8:$BV$103,COLUMN(기본데이타!BF$8),0))</f>
        <v/>
      </c>
      <c r="BC17" s="597" t="str">
        <f>IF($A17="","",VLOOKUP($A17,기본데이타!$A$8:$BV$103,COLUMN(기본데이타!BG$8),0))</f>
        <v/>
      </c>
      <c r="BD17" s="1406" t="str">
        <f>IF($A17="","",VLOOKUP($A17,기본데이타!$A$8:$BV$103,COLUMN(기본데이타!BH$8),0))</f>
        <v/>
      </c>
      <c r="BE17" s="597" t="str">
        <f>IF($A17="","",VLOOKUP($A17,기본데이타!$A$8:$BV$103,COLUMN(기본데이타!BI$8),0))</f>
        <v/>
      </c>
      <c r="BF17" s="597" t="str">
        <f>IF($A17="","",VLOOKUP($A17,기본데이타!$A$8:$BV$103,COLUMN(기본데이타!BJ$8),0))</f>
        <v/>
      </c>
      <c r="BG17" s="597" t="str">
        <f>IF($A17="","",VLOOKUP($A17,기본데이타!$A$8:$BV$103,COLUMN(기본데이타!BK$8),0))</f>
        <v/>
      </c>
      <c r="BH17" s="597" t="str">
        <f>IF($A17="","",VLOOKUP($A17,기본데이타!$A$8:$BV$103,COLUMN(기본데이타!BL$8),0))</f>
        <v/>
      </c>
      <c r="BI17" s="597" t="str">
        <f>IF($A17="","",VLOOKUP($A17,기본데이타!$A$8:$BV$103,COLUMN(기본데이타!BM$8),0))</f>
        <v/>
      </c>
      <c r="BJ17" s="597" t="str">
        <f>IF($A17="","",VLOOKUP($A17,기본데이타!$A$8:$BV$103,COLUMN(기본데이타!BN$8),0))</f>
        <v/>
      </c>
      <c r="BK17" s="597" t="str">
        <f>IF($A17="","",VLOOKUP($A17,기본데이타!$A$8:$BV$103,COLUMN(기본데이타!BO$8),0))</f>
        <v/>
      </c>
      <c r="BL17" s="597" t="str">
        <f>IF($A17="","",VLOOKUP($A17,기본데이타!$A$8:$BV$103,COLUMN(기본데이타!BP$8),0))</f>
        <v/>
      </c>
      <c r="BM17" s="597" t="str">
        <f>IF($A17="","",VLOOKUP($A17,기본데이타!$A$8:$BV$103,COLUMN(기본데이타!BQ$8),0))</f>
        <v/>
      </c>
      <c r="BN17" s="599" t="str">
        <f>IF($A17="","",VLOOKUP($A17,기본데이타!$A$8:$BV$103,COLUMN(기본데이타!BR$8),0))</f>
        <v/>
      </c>
      <c r="BO17" s="600" t="str">
        <f>IF($A17="","",VLOOKUP($A17,기본데이타!$A$8:$BV$103,COLUMN(기본데이타!BS$8),0))</f>
        <v/>
      </c>
      <c r="BP17" s="601" t="str">
        <f>IF($A17="","",VLOOKUP($A17,기본데이타!$A$8:$BV$103,COLUMN(기본데이타!BT$8),0))</f>
        <v/>
      </c>
      <c r="BQ17" s="602" t="str">
        <f>IF($A17="","",VLOOKUP($A17,기본데이타!$A$8:$BV$103,COLUMN(기본데이타!BU$8),0))</f>
        <v/>
      </c>
      <c r="BR17" s="603" t="str">
        <f t="shared" si="3"/>
        <v/>
      </c>
    </row>
    <row r="18" spans="1:70" s="571" customFormat="1" ht="50.1" hidden="1" customHeight="1">
      <c r="A18" s="578"/>
      <c r="B18" s="589"/>
      <c r="C18" s="590"/>
      <c r="D18" s="591" t="str">
        <f>IF($A18="","",VLOOKUP($A18,기본데이타!$A$8:$BV$103,COLUMN(기본데이타!F$8),0))</f>
        <v/>
      </c>
      <c r="E18" s="592" t="str">
        <f>IF($A18="","",VLOOKUP($A18,기본데이타!$A$8:$BV$103,COLUMN(기본데이타!G$8),0))</f>
        <v/>
      </c>
      <c r="F18" s="593" t="str">
        <f>IF($A18="","",VLOOKUP($A18,기본데이타!$A$8:$BV$103,COLUMN(기본데이타!H$8),0))</f>
        <v/>
      </c>
      <c r="G18" s="594" t="str">
        <f>IF($A18="","",VLOOKUP($A18,기본데이타!$A$8:$BV$103,COLUMN(기본데이타!I$8),0))</f>
        <v/>
      </c>
      <c r="H18" s="594" t="str">
        <f>IF($A18="","",VLOOKUP($A18,기본데이타!$A$8:$BV$103,COLUMN(기본데이타!J$8),0))</f>
        <v/>
      </c>
      <c r="I18" s="595" t="str">
        <f>IF($A18="","",VLOOKUP($A18,기본데이타!$A$8:$BV$103,COLUMN(기본데이타!K$8),0))</f>
        <v/>
      </c>
      <c r="J18" s="595" t="str">
        <f>IF($A18="","",VLOOKUP($A18,기본데이타!$A$8:$BV$103,COLUMN(기본데이타!L$8),0))</f>
        <v/>
      </c>
      <c r="K18" s="595" t="str">
        <f>IF($A18="","",VLOOKUP($A18,기본데이타!$A$8:$BV$103,COLUMN(기본데이타!M$8),0))</f>
        <v/>
      </c>
      <c r="L18" s="596" t="str">
        <f>IF($A18="","",VLOOKUP($A18,기본데이타!$A$8:$BV$103,COLUMN(기본데이타!N$8),0))</f>
        <v/>
      </c>
      <c r="M18" s="595" t="str">
        <f>IF($A18="","",VLOOKUP($A18,기본데이타!$A$8:$BV$103,COLUMN(기본데이타!O$8),0))</f>
        <v/>
      </c>
      <c r="N18" s="596" t="str">
        <f>IF($A18="","",VLOOKUP($A18,기본데이타!$A$8:$BV$103,COLUMN(기본데이타!P$8),0))</f>
        <v/>
      </c>
      <c r="O18" s="596" t="str">
        <f>IF($A18="","",VLOOKUP($A18,기본데이타!$A$8:$BV$103,COLUMN(기본데이타!Q$8),0))</f>
        <v/>
      </c>
      <c r="P18" s="596" t="str">
        <f>IF($A18="","",VLOOKUP($A18,기본데이타!$A$8:$BV$103,COLUMN(기본데이타!R$8),0))</f>
        <v/>
      </c>
      <c r="Q18" s="596" t="str">
        <f>IF($A18="","",VLOOKUP($A18,기본데이타!$A$8:$BV$103,COLUMN(기본데이타!S$8),0))</f>
        <v/>
      </c>
      <c r="R18" s="596" t="str">
        <f>IF($A18="","",VLOOKUP($A18,기본데이타!$A$8:$BV$103,COLUMN(기본데이타!T$8),0))</f>
        <v/>
      </c>
      <c r="S18" s="596" t="str">
        <f>IF($A18="","",VLOOKUP($A18,기본데이타!$A$8:$BV$103,COLUMN(기본데이타!U$8),0))</f>
        <v/>
      </c>
      <c r="T18" s="596" t="str">
        <f>IF($A18="","",VLOOKUP($A18,기본데이타!$A$8:$BV$103,COLUMN(기본데이타!V$8),0))</f>
        <v/>
      </c>
      <c r="U18" s="596" t="str">
        <f>IF($A18="","",VLOOKUP($A18,기본데이타!$A$8:$BV$103,COLUMN(기본데이타!W$8),0))</f>
        <v/>
      </c>
      <c r="V18" s="596" t="str">
        <f>IF($A18="","",VLOOKUP($A18,기본데이타!$A$8:$BV$103,COLUMN(기본데이타!X$8),0))</f>
        <v/>
      </c>
      <c r="W18" s="596" t="str">
        <f>IF($A18="","",VLOOKUP($A18,기본데이타!$A$8:$BV$103,COLUMN(기본데이타!AA$8),0))</f>
        <v/>
      </c>
      <c r="X18" s="596" t="str">
        <f>IF($A18="","",VLOOKUP($A18,기본데이타!$A$8:$BV$103,COLUMN(기본데이타!AB$8),0))</f>
        <v/>
      </c>
      <c r="Y18" s="595" t="str">
        <f>IF($A18="","",VLOOKUP($A18,기본데이타!$A$8:$BV$103,COLUMN(기본데이타!AC$8),0))</f>
        <v/>
      </c>
      <c r="Z18" s="596" t="str">
        <f>IF($A18="","",VLOOKUP($A18,기본데이타!$A$8:$BV$103,COLUMN(기본데이타!AD$8),0))</f>
        <v/>
      </c>
      <c r="AA18" s="595" t="str">
        <f>IF($A18="","",VLOOKUP($A18,기본데이타!$A$8:$BV$103,COLUMN(기본데이타!AE$8),0))</f>
        <v/>
      </c>
      <c r="AB18" s="596" t="str">
        <f>IF($A18="","",VLOOKUP($A18,기본데이타!$A$8:$BV$103,COLUMN(기본데이타!AF$8),0))</f>
        <v/>
      </c>
      <c r="AC18" s="595" t="str">
        <f>IF($A18="","",VLOOKUP($A18,기본데이타!$A$8:$BV$103,COLUMN(기본데이타!AG$8),0))</f>
        <v/>
      </c>
      <c r="AD18" s="596" t="str">
        <f>IF($A18="","",VLOOKUP($A18,기본데이타!$A$8:$BV$103,COLUMN(기본데이타!AH$8),0))</f>
        <v/>
      </c>
      <c r="AE18" s="595" t="str">
        <f>IF($A18="","",VLOOKUP($A18,기본데이타!$A$8:$BV$103,COLUMN(기본데이타!AI$8),0))</f>
        <v/>
      </c>
      <c r="AF18" s="597" t="str">
        <f>IF($A18="","",VLOOKUP($A18,기본데이타!$A$8:$BV$103,COLUMN(기본데이타!AJ$8),0))</f>
        <v/>
      </c>
      <c r="AG18" s="580" t="str">
        <f>IF($A18="","",VLOOKUP($A18,기본데이타!$A$8:$BV$103,COLUMN(기본데이타!AK$8),0))</f>
        <v/>
      </c>
      <c r="AH18" s="580" t="str">
        <f>IF($A18="","",VLOOKUP($A18,기본데이타!$A$8:$BV$103,COLUMN(기본데이타!AL$8),0))</f>
        <v/>
      </c>
      <c r="AI18" s="580" t="str">
        <f>IF($A18="","",VLOOKUP($A18,기본데이타!$A$8:$BV$103,COLUMN(기본데이타!AM$8),0))</f>
        <v/>
      </c>
      <c r="AJ18" s="580" t="str">
        <f>IF($A18="","",VLOOKUP($A18,기본데이타!$A$8:$BV$103,COLUMN(기본데이타!AN$8),0))</f>
        <v/>
      </c>
      <c r="AK18" s="580" t="str">
        <f>IF($A18="","",VLOOKUP($A18,기본데이타!$A$8:$BV$103,COLUMN(기본데이타!AO$8),0))</f>
        <v/>
      </c>
      <c r="AL18" s="580" t="str">
        <f>IF($A18="","",VLOOKUP($A18,기본데이타!$A$8:$BV$103,COLUMN(기본데이타!AP$8),0))</f>
        <v/>
      </c>
      <c r="AM18" s="580" t="str">
        <f>IF($A18="","",VLOOKUP($A18,기본데이타!$A$8:$BV$103,COLUMN(기본데이타!AQ$8),0))</f>
        <v/>
      </c>
      <c r="AN18" s="580" t="str">
        <f>IF($A18="","",VLOOKUP($A18,기본데이타!$A$8:$BV$103,COLUMN(기본데이타!AR$8),0))</f>
        <v/>
      </c>
      <c r="AO18" s="580" t="str">
        <f>IF($A18="","",VLOOKUP($A18,기본데이타!$A$8:$BV$103,COLUMN(기본데이타!AS$8),0))</f>
        <v/>
      </c>
      <c r="AP18" s="580" t="str">
        <f>IF($A18="","",VLOOKUP($A18,기본데이타!$A$8:$BV$103,COLUMN(기본데이타!AT$8),0))</f>
        <v/>
      </c>
      <c r="AQ18" s="580" t="str">
        <f>IF($A18="","",VLOOKUP($A18,기본데이타!$A$8:$BV$103,COLUMN(기본데이타!AU$8),0))</f>
        <v/>
      </c>
      <c r="AR18" s="598" t="str">
        <f>IF($A18="","",VLOOKUP($A18,기본데이타!$A$8:$BV$103,COLUMN(기본데이타!AV$8),0))</f>
        <v/>
      </c>
      <c r="AS18" s="596" t="str">
        <f>IF($A18="","",VLOOKUP($A18,기본데이타!$A$8:$BV$103,COLUMN(기본데이타!AW$8),0))</f>
        <v/>
      </c>
      <c r="AT18" s="596" t="str">
        <f>IF($A18="","",VLOOKUP($A18,기본데이타!$A$8:$BV$103,COLUMN(기본데이타!AX$8),0))</f>
        <v/>
      </c>
      <c r="AU18" s="596" t="str">
        <f>IF($A18="","",VLOOKUP($A18,기본데이타!$A$8:$BV$103,COLUMN(기본데이타!AY$8),0))</f>
        <v/>
      </c>
      <c r="AV18" s="596" t="str">
        <f t="shared" si="2"/>
        <v/>
      </c>
      <c r="AW18" s="597" t="str">
        <f>IF($A18="","",VLOOKUP($A18,기본데이타!$A$8:$BV$103,COLUMN(기본데이타!BA$8),0))</f>
        <v/>
      </c>
      <c r="AX18" s="597" t="str">
        <f>IF($A18="","",VLOOKUP($A18,기본데이타!$A$8:$BV$103,COLUMN(기본데이타!BB$8),0))</f>
        <v/>
      </c>
      <c r="AY18" s="597" t="str">
        <f>IF($A18="","",VLOOKUP($A18,기본데이타!$A$8:$BV$103,COLUMN(기본데이타!BC$8),0))</f>
        <v/>
      </c>
      <c r="AZ18" s="597" t="str">
        <f>IF($A18="","",VLOOKUP($A18,기본데이타!$A$8:$BV$103,COLUMN(기본데이타!BD$8),0))</f>
        <v/>
      </c>
      <c r="BA18" s="597" t="str">
        <f>IF($A18="","",VLOOKUP($A18,기본데이타!$A$8:$BV$103,COLUMN(기본데이타!BE$8),0))</f>
        <v/>
      </c>
      <c r="BB18" s="597" t="str">
        <f>IF($A18="","",VLOOKUP($A18,기본데이타!$A$8:$BV$103,COLUMN(기본데이타!BF$8),0))</f>
        <v/>
      </c>
      <c r="BC18" s="597" t="str">
        <f>IF($A18="","",VLOOKUP($A18,기본데이타!$A$8:$BV$103,COLUMN(기본데이타!BG$8),0))</f>
        <v/>
      </c>
      <c r="BD18" s="1405" t="str">
        <f>IF($A18="","",VLOOKUP($A18,기본데이타!$A$8:$BV$103,COLUMN(기본데이타!BH$8),0))</f>
        <v/>
      </c>
      <c r="BE18" s="597" t="str">
        <f>IF($A18="","",VLOOKUP($A18,기본데이타!$A$8:$BV$103,COLUMN(기본데이타!BI$8),0))</f>
        <v/>
      </c>
      <c r="BF18" s="597" t="str">
        <f>IF($A18="","",VLOOKUP($A18,기본데이타!$A$8:$BV$103,COLUMN(기본데이타!BJ$8),0))</f>
        <v/>
      </c>
      <c r="BG18" s="597" t="str">
        <f>IF($A18="","",VLOOKUP($A18,기본데이타!$A$8:$BV$103,COLUMN(기본데이타!BK$8),0))</f>
        <v/>
      </c>
      <c r="BH18" s="597" t="str">
        <f>IF($A18="","",VLOOKUP($A18,기본데이타!$A$8:$BV$103,COLUMN(기본데이타!BL$8),0))</f>
        <v/>
      </c>
      <c r="BI18" s="597" t="str">
        <f>IF($A18="","",VLOOKUP($A18,기본데이타!$A$8:$BV$103,COLUMN(기본데이타!BM$8),0))</f>
        <v/>
      </c>
      <c r="BJ18" s="597" t="str">
        <f>IF($A18="","",VLOOKUP($A18,기본데이타!$A$8:$BV$103,COLUMN(기본데이타!BN$8),0))</f>
        <v/>
      </c>
      <c r="BK18" s="597" t="str">
        <f>IF($A18="","",VLOOKUP($A18,기본데이타!$A$8:$BV$103,COLUMN(기본데이타!BO$8),0))</f>
        <v/>
      </c>
      <c r="BL18" s="597" t="str">
        <f>IF($A18="","",VLOOKUP($A18,기본데이타!$A$8:$BV$103,COLUMN(기본데이타!BP$8),0))</f>
        <v/>
      </c>
      <c r="BM18" s="597" t="str">
        <f>IF($A18="","",VLOOKUP($A18,기본데이타!$A$8:$BV$103,COLUMN(기본데이타!BQ$8),0))</f>
        <v/>
      </c>
      <c r="BN18" s="599" t="str">
        <f>IF($A18="","",VLOOKUP($A18,기본데이타!$A$8:$BV$103,COLUMN(기본데이타!BR$8),0))</f>
        <v/>
      </c>
      <c r="BO18" s="600" t="str">
        <f>IF($A18="","",VLOOKUP($A18,기본데이타!$A$8:$BV$103,COLUMN(기본데이타!BS$8),0))</f>
        <v/>
      </c>
      <c r="BP18" s="601" t="str">
        <f>IF($A18="","",VLOOKUP($A18,기본데이타!$A$8:$BV$103,COLUMN(기본데이타!BT$8),0))</f>
        <v/>
      </c>
      <c r="BQ18" s="602" t="str">
        <f>IF($A18="","",VLOOKUP($A18,기본데이타!$A$8:$BV$103,COLUMN(기본데이타!BU$8),0))</f>
        <v/>
      </c>
      <c r="BR18" s="603" t="str">
        <f t="shared" si="3"/>
        <v/>
      </c>
    </row>
    <row r="19" spans="1:70" s="571" customFormat="1" ht="50.1" hidden="1" customHeight="1">
      <c r="A19" s="578"/>
      <c r="B19" s="589"/>
      <c r="C19" s="590"/>
      <c r="D19" s="591" t="str">
        <f>IF($A19="","",VLOOKUP($A19,기본데이타!$A$8:$BV$103,COLUMN(기본데이타!F$8),0))</f>
        <v/>
      </c>
      <c r="E19" s="592" t="str">
        <f>IF($A19="","",VLOOKUP($A19,기본데이타!$A$8:$BV$103,COLUMN(기본데이타!G$8),0))</f>
        <v/>
      </c>
      <c r="F19" s="593" t="str">
        <f>IF($A19="","",VLOOKUP($A19,기본데이타!$A$8:$BV$103,COLUMN(기본데이타!H$8),0))</f>
        <v/>
      </c>
      <c r="G19" s="594" t="str">
        <f>IF($A19="","",VLOOKUP($A19,기본데이타!$A$8:$BV$103,COLUMN(기본데이타!I$8),0))</f>
        <v/>
      </c>
      <c r="H19" s="594" t="str">
        <f>IF($A19="","",VLOOKUP($A19,기본데이타!$A$8:$BV$103,COLUMN(기본데이타!J$8),0))</f>
        <v/>
      </c>
      <c r="I19" s="595" t="str">
        <f>IF($A19="","",VLOOKUP($A19,기본데이타!$A$8:$BV$103,COLUMN(기본데이타!K$8),0))</f>
        <v/>
      </c>
      <c r="J19" s="595" t="str">
        <f>IF($A19="","",VLOOKUP($A19,기본데이타!$A$8:$BV$103,COLUMN(기본데이타!L$8),0))</f>
        <v/>
      </c>
      <c r="K19" s="595" t="str">
        <f>IF($A19="","",VLOOKUP($A19,기본데이타!$A$8:$BV$103,COLUMN(기본데이타!M$8),0))</f>
        <v/>
      </c>
      <c r="L19" s="596" t="str">
        <f>IF($A19="","",VLOOKUP($A19,기본데이타!$A$8:$BV$103,COLUMN(기본데이타!N$8),0))</f>
        <v/>
      </c>
      <c r="M19" s="595" t="str">
        <f>IF($A19="","",VLOOKUP($A19,기본데이타!$A$8:$BV$103,COLUMN(기본데이타!O$8),0))</f>
        <v/>
      </c>
      <c r="N19" s="596" t="str">
        <f>IF($A19="","",VLOOKUP($A19,기본데이타!$A$8:$BV$103,COLUMN(기본데이타!P$8),0))</f>
        <v/>
      </c>
      <c r="O19" s="596" t="str">
        <f>IF($A19="","",VLOOKUP($A19,기본데이타!$A$8:$BV$103,COLUMN(기본데이타!Q$8),0))</f>
        <v/>
      </c>
      <c r="P19" s="596" t="str">
        <f>IF($A19="","",VLOOKUP($A19,기본데이타!$A$8:$BV$103,COLUMN(기본데이타!R$8),0))</f>
        <v/>
      </c>
      <c r="Q19" s="596" t="str">
        <f>IF($A19="","",VLOOKUP($A19,기본데이타!$A$8:$BV$103,COLUMN(기본데이타!S$8),0))</f>
        <v/>
      </c>
      <c r="R19" s="596" t="str">
        <f>IF($A19="","",VLOOKUP($A19,기본데이타!$A$8:$BV$103,COLUMN(기본데이타!T$8),0))</f>
        <v/>
      </c>
      <c r="S19" s="596" t="str">
        <f>IF($A19="","",VLOOKUP($A19,기본데이타!$A$8:$BV$103,COLUMN(기본데이타!U$8),0))</f>
        <v/>
      </c>
      <c r="T19" s="596" t="str">
        <f>IF($A19="","",VLOOKUP($A19,기본데이타!$A$8:$BV$103,COLUMN(기본데이타!V$8),0))</f>
        <v/>
      </c>
      <c r="U19" s="596" t="str">
        <f>IF($A19="","",VLOOKUP($A19,기본데이타!$A$8:$BV$103,COLUMN(기본데이타!W$8),0))</f>
        <v/>
      </c>
      <c r="V19" s="596" t="str">
        <f>IF($A19="","",VLOOKUP($A19,기본데이타!$A$8:$BV$103,COLUMN(기본데이타!X$8),0))</f>
        <v/>
      </c>
      <c r="W19" s="596" t="str">
        <f>IF($A19="","",VLOOKUP($A19,기본데이타!$A$8:$BV$103,COLUMN(기본데이타!AA$8),0))</f>
        <v/>
      </c>
      <c r="X19" s="596" t="str">
        <f>IF($A19="","",VLOOKUP($A19,기본데이타!$A$8:$BV$103,COLUMN(기본데이타!AB$8),0))</f>
        <v/>
      </c>
      <c r="Y19" s="595" t="str">
        <f>IF($A19="","",VLOOKUP($A19,기본데이타!$A$8:$BV$103,COLUMN(기본데이타!AC$8),0))</f>
        <v/>
      </c>
      <c r="Z19" s="596" t="str">
        <f>IF($A19="","",VLOOKUP($A19,기본데이타!$A$8:$BV$103,COLUMN(기본데이타!AD$8),0))</f>
        <v/>
      </c>
      <c r="AA19" s="595" t="str">
        <f>IF($A19="","",VLOOKUP($A19,기본데이타!$A$8:$BV$103,COLUMN(기본데이타!AE$8),0))</f>
        <v/>
      </c>
      <c r="AB19" s="596" t="str">
        <f>IF($A19="","",VLOOKUP($A19,기본데이타!$A$8:$BV$103,COLUMN(기본데이타!AF$8),0))</f>
        <v/>
      </c>
      <c r="AC19" s="595" t="str">
        <f>IF($A19="","",VLOOKUP($A19,기본데이타!$A$8:$BV$103,COLUMN(기본데이타!AG$8),0))</f>
        <v/>
      </c>
      <c r="AD19" s="596" t="str">
        <f>IF($A19="","",VLOOKUP($A19,기본데이타!$A$8:$BV$103,COLUMN(기본데이타!AH$8),0))</f>
        <v/>
      </c>
      <c r="AE19" s="595" t="str">
        <f>IF($A19="","",VLOOKUP($A19,기본데이타!$A$8:$BV$103,COLUMN(기본데이타!AI$8),0))</f>
        <v/>
      </c>
      <c r="AF19" s="597" t="str">
        <f>IF($A19="","",VLOOKUP($A19,기본데이타!$A$8:$BV$103,COLUMN(기본데이타!AJ$8),0))</f>
        <v/>
      </c>
      <c r="AG19" s="580" t="str">
        <f>IF($A19="","",VLOOKUP($A19,기본데이타!$A$8:$BV$103,COLUMN(기본데이타!AK$8),0))</f>
        <v/>
      </c>
      <c r="AH19" s="580" t="str">
        <f>IF($A19="","",VLOOKUP($A19,기본데이타!$A$8:$BV$103,COLUMN(기본데이타!AL$8),0))</f>
        <v/>
      </c>
      <c r="AI19" s="580" t="str">
        <f>IF($A19="","",VLOOKUP($A19,기본데이타!$A$8:$BV$103,COLUMN(기본데이타!AM$8),0))</f>
        <v/>
      </c>
      <c r="AJ19" s="580" t="str">
        <f>IF($A19="","",VLOOKUP($A19,기본데이타!$A$8:$BV$103,COLUMN(기본데이타!AN$8),0))</f>
        <v/>
      </c>
      <c r="AK19" s="580" t="str">
        <f>IF($A19="","",VLOOKUP($A19,기본데이타!$A$8:$BV$103,COLUMN(기본데이타!AO$8),0))</f>
        <v/>
      </c>
      <c r="AL19" s="580" t="str">
        <f>IF($A19="","",VLOOKUP($A19,기본데이타!$A$8:$BV$103,COLUMN(기본데이타!AP$8),0))</f>
        <v/>
      </c>
      <c r="AM19" s="580" t="str">
        <f>IF($A19="","",VLOOKUP($A19,기본데이타!$A$8:$BV$103,COLUMN(기본데이타!AQ$8),0))</f>
        <v/>
      </c>
      <c r="AN19" s="580" t="str">
        <f>IF($A19="","",VLOOKUP($A19,기본데이타!$A$8:$BV$103,COLUMN(기본데이타!AR$8),0))</f>
        <v/>
      </c>
      <c r="AO19" s="580" t="str">
        <f>IF($A19="","",VLOOKUP($A19,기본데이타!$A$8:$BV$103,COLUMN(기본데이타!AS$8),0))</f>
        <v/>
      </c>
      <c r="AP19" s="580" t="str">
        <f>IF($A19="","",VLOOKUP($A19,기본데이타!$A$8:$BV$103,COLUMN(기본데이타!AT$8),0))</f>
        <v/>
      </c>
      <c r="AQ19" s="580" t="str">
        <f>IF($A19="","",VLOOKUP($A19,기본데이타!$A$8:$BV$103,COLUMN(기본데이타!AU$8),0))</f>
        <v/>
      </c>
      <c r="AR19" s="598" t="str">
        <f>IF($A19="","",VLOOKUP($A19,기본데이타!$A$8:$BV$103,COLUMN(기본데이타!AV$8),0))</f>
        <v/>
      </c>
      <c r="AS19" s="596" t="str">
        <f>IF($A19="","",VLOOKUP($A19,기본데이타!$A$8:$BV$103,COLUMN(기본데이타!AW$8),0))</f>
        <v/>
      </c>
      <c r="AT19" s="596" t="str">
        <f>IF($A19="","",VLOOKUP($A19,기본데이타!$A$8:$BV$103,COLUMN(기본데이타!AX$8),0))</f>
        <v/>
      </c>
      <c r="AU19" s="596" t="str">
        <f>IF($A19="","",VLOOKUP($A19,기본데이타!$A$8:$BV$103,COLUMN(기본데이타!AY$8),0))</f>
        <v/>
      </c>
      <c r="AV19" s="596" t="str">
        <f t="shared" si="2"/>
        <v/>
      </c>
      <c r="AW19" s="597" t="str">
        <f>IF($A19="","",VLOOKUP($A19,기본데이타!$A$8:$BV$103,COLUMN(기본데이타!BA$8),0))</f>
        <v/>
      </c>
      <c r="AX19" s="597" t="str">
        <f>IF($A19="","",VLOOKUP($A19,기본데이타!$A$8:$BV$103,COLUMN(기본데이타!BB$8),0))</f>
        <v/>
      </c>
      <c r="AY19" s="597" t="str">
        <f>IF($A19="","",VLOOKUP($A19,기본데이타!$A$8:$BV$103,COLUMN(기본데이타!BC$8),0))</f>
        <v/>
      </c>
      <c r="AZ19" s="597" t="str">
        <f>IF($A19="","",VLOOKUP($A19,기본데이타!$A$8:$BV$103,COLUMN(기본데이타!BD$8),0))</f>
        <v/>
      </c>
      <c r="BA19" s="597" t="str">
        <f>IF($A19="","",VLOOKUP($A19,기본데이타!$A$8:$BV$103,COLUMN(기본데이타!BE$8),0))</f>
        <v/>
      </c>
      <c r="BB19" s="597" t="str">
        <f>IF($A19="","",VLOOKUP($A19,기본데이타!$A$8:$BV$103,COLUMN(기본데이타!BF$8),0))</f>
        <v/>
      </c>
      <c r="BC19" s="597" t="str">
        <f>IF($A19="","",VLOOKUP($A19,기본데이타!$A$8:$BV$103,COLUMN(기본데이타!BG$8),0))</f>
        <v/>
      </c>
      <c r="BD19" s="597" t="str">
        <f>IF($A19="","",VLOOKUP($A19,기본데이타!$A$8:$BV$103,COLUMN(기본데이타!BH$8),0))</f>
        <v/>
      </c>
      <c r="BE19" s="597" t="str">
        <f>IF($A19="","",VLOOKUP($A19,기본데이타!$A$8:$BV$103,COLUMN(기본데이타!BI$8),0))</f>
        <v/>
      </c>
      <c r="BF19" s="597" t="str">
        <f>IF($A19="","",VLOOKUP($A19,기본데이타!$A$8:$BV$103,COLUMN(기본데이타!BJ$8),0))</f>
        <v/>
      </c>
      <c r="BG19" s="597" t="str">
        <f>IF($A19="","",VLOOKUP($A19,기본데이타!$A$8:$BV$103,COLUMN(기본데이타!BK$8),0))</f>
        <v/>
      </c>
      <c r="BH19" s="597" t="str">
        <f>IF($A19="","",VLOOKUP($A19,기본데이타!$A$8:$BV$103,COLUMN(기본데이타!BL$8),0))</f>
        <v/>
      </c>
      <c r="BI19" s="597" t="str">
        <f>IF($A19="","",VLOOKUP($A19,기본데이타!$A$8:$BV$103,COLUMN(기본데이타!BM$8),0))</f>
        <v/>
      </c>
      <c r="BJ19" s="597" t="str">
        <f>IF($A19="","",VLOOKUP($A19,기본데이타!$A$8:$BV$103,COLUMN(기본데이타!BN$8),0))</f>
        <v/>
      </c>
      <c r="BK19" s="597" t="str">
        <f>IF($A19="","",VLOOKUP($A19,기본데이타!$A$8:$BV$103,COLUMN(기본데이타!BO$8),0))</f>
        <v/>
      </c>
      <c r="BL19" s="597" t="str">
        <f>IF($A19="","",VLOOKUP($A19,기본데이타!$A$8:$BV$103,COLUMN(기본데이타!BP$8),0))</f>
        <v/>
      </c>
      <c r="BM19" s="597" t="str">
        <f>IF($A19="","",VLOOKUP($A19,기본데이타!$A$8:$BV$103,COLUMN(기본데이타!BQ$8),0))</f>
        <v/>
      </c>
      <c r="BN19" s="599" t="str">
        <f>IF($A19="","",VLOOKUP($A19,기본데이타!$A$8:$BV$103,COLUMN(기본데이타!BR$8),0))</f>
        <v/>
      </c>
      <c r="BO19" s="600" t="str">
        <f>IF($A19="","",VLOOKUP($A19,기본데이타!$A$8:$BV$103,COLUMN(기본데이타!BS$8),0))</f>
        <v/>
      </c>
      <c r="BP19" s="601" t="str">
        <f>IF($A19="","",VLOOKUP($A19,기본데이타!$A$8:$BV$103,COLUMN(기본데이타!BT$8),0))</f>
        <v/>
      </c>
      <c r="BQ19" s="602" t="str">
        <f>IF($A19="","",VLOOKUP($A19,기본데이타!$A$8:$BV$103,COLUMN(기본데이타!BU$8),0))</f>
        <v/>
      </c>
      <c r="BR19" s="603" t="str">
        <f t="shared" si="3"/>
        <v/>
      </c>
    </row>
    <row r="20" spans="1:70" s="571" customFormat="1" ht="50.1" hidden="1" customHeight="1" thickBot="1">
      <c r="A20" s="606"/>
      <c r="B20" s="1642"/>
      <c r="C20" s="590"/>
      <c r="D20" s="607" t="str">
        <f>IF($A20="","",VLOOKUP($A20,기본데이타!$A$8:$BV$103,COLUMN(기본데이타!F$8),0))</f>
        <v/>
      </c>
      <c r="E20" s="608" t="str">
        <f>IF($A20="","",VLOOKUP($A20,기본데이타!$A$8:$BV$103,COLUMN(기본데이타!G$8),0))</f>
        <v/>
      </c>
      <c r="F20" s="609" t="str">
        <f>IF($A20="","",VLOOKUP($A20,기본데이타!$A$8:$BV$103,COLUMN(기본데이타!H$8),0))</f>
        <v/>
      </c>
      <c r="G20" s="610" t="str">
        <f>IF($A20="","",VLOOKUP($A20,기본데이타!$A$8:$BV$103,COLUMN(기본데이타!I$8),0))</f>
        <v/>
      </c>
      <c r="H20" s="610" t="str">
        <f>IF($A20="","",VLOOKUP($A20,기본데이타!$A$8:$BV$103,COLUMN(기본데이타!J$8),0))</f>
        <v/>
      </c>
      <c r="I20" s="611" t="str">
        <f>IF($A20="","",VLOOKUP($A20,기본데이타!$A$8:$BV$103,COLUMN(기본데이타!K$8),0))</f>
        <v/>
      </c>
      <c r="J20" s="611" t="str">
        <f>IF($A20="","",VLOOKUP($A20,기본데이타!$A$8:$BV$103,COLUMN(기본데이타!L$8),0))</f>
        <v/>
      </c>
      <c r="K20" s="611" t="str">
        <f>IF($A20="","",VLOOKUP($A20,기본데이타!$A$8:$BV$103,COLUMN(기본데이타!M$8),0))</f>
        <v/>
      </c>
      <c r="L20" s="612" t="str">
        <f>IF($A20="","",VLOOKUP($A20,기본데이타!$A$8:$BV$103,COLUMN(기본데이타!N$8),0))</f>
        <v/>
      </c>
      <c r="M20" s="611" t="str">
        <f>IF($A20="","",VLOOKUP($A20,기본데이타!$A$8:$BV$103,COLUMN(기본데이타!O$8),0))</f>
        <v/>
      </c>
      <c r="N20" s="612" t="str">
        <f>IF($A20="","",VLOOKUP($A20,기본데이타!$A$8:$BV$103,COLUMN(기본데이타!P$8),0))</f>
        <v/>
      </c>
      <c r="O20" s="612" t="str">
        <f>IF($A20="","",VLOOKUP($A20,기본데이타!$A$8:$BV$103,COLUMN(기본데이타!Q$8),0))</f>
        <v/>
      </c>
      <c r="P20" s="612" t="str">
        <f>IF($A20="","",VLOOKUP($A20,기본데이타!$A$8:$BV$103,COLUMN(기본데이타!R$8),0))</f>
        <v/>
      </c>
      <c r="Q20" s="612" t="str">
        <f>IF($A20="","",VLOOKUP($A20,기본데이타!$A$8:$BV$103,COLUMN(기본데이타!S$8),0))</f>
        <v/>
      </c>
      <c r="R20" s="612" t="str">
        <f>IF($A20="","",VLOOKUP($A20,기본데이타!$A$8:$BV$103,COLUMN(기본데이타!T$8),0))</f>
        <v/>
      </c>
      <c r="S20" s="612" t="str">
        <f>IF($A20="","",VLOOKUP($A20,기본데이타!$A$8:$BV$103,COLUMN(기본데이타!U$8),0))</f>
        <v/>
      </c>
      <c r="T20" s="612" t="str">
        <f>IF($A20="","",VLOOKUP($A20,기본데이타!$A$8:$BV$103,COLUMN(기본데이타!V$8),0))</f>
        <v/>
      </c>
      <c r="U20" s="612" t="str">
        <f>IF($A20="","",VLOOKUP($A20,기본데이타!$A$8:$BV$103,COLUMN(기본데이타!W$8),0))</f>
        <v/>
      </c>
      <c r="V20" s="612" t="str">
        <f>IF($A20="","",VLOOKUP($A20,기본데이타!$A$8:$BV$103,COLUMN(기본데이타!X$8),0))</f>
        <v/>
      </c>
      <c r="W20" s="612" t="str">
        <f>IF($A20="","",VLOOKUP($A20,기본데이타!$A$8:$BV$103,COLUMN(기본데이타!AA$8),0))</f>
        <v/>
      </c>
      <c r="X20" s="612" t="str">
        <f>IF($A20="","",VLOOKUP($A20,기본데이타!$A$8:$BV$103,COLUMN(기본데이타!AB$8),0))</f>
        <v/>
      </c>
      <c r="Y20" s="611" t="str">
        <f>IF($A20="","",VLOOKUP($A20,기본데이타!$A$8:$BV$103,COLUMN(기본데이타!AC$8),0))</f>
        <v/>
      </c>
      <c r="Z20" s="612" t="str">
        <f>IF($A20="","",VLOOKUP($A20,기본데이타!$A$8:$BV$103,COLUMN(기본데이타!AD$8),0))</f>
        <v/>
      </c>
      <c r="AA20" s="611" t="str">
        <f>IF($A20="","",VLOOKUP($A20,기본데이타!$A$8:$BV$103,COLUMN(기본데이타!AE$8),0))</f>
        <v/>
      </c>
      <c r="AB20" s="612" t="str">
        <f>IF($A20="","",VLOOKUP($A20,기본데이타!$A$8:$BV$103,COLUMN(기본데이타!AF$8),0))</f>
        <v/>
      </c>
      <c r="AC20" s="611" t="str">
        <f>IF($A20="","",VLOOKUP($A20,기본데이타!$A$8:$BV$103,COLUMN(기본데이타!AG$8),0))</f>
        <v/>
      </c>
      <c r="AD20" s="612" t="str">
        <f>IF($A20="","",VLOOKUP($A20,기본데이타!$A$8:$BV$103,COLUMN(기본데이타!AH$8),0))</f>
        <v/>
      </c>
      <c r="AE20" s="611" t="str">
        <f>IF($A20="","",VLOOKUP($A20,기본데이타!$A$8:$BV$103,COLUMN(기본데이타!AI$8),0))</f>
        <v/>
      </c>
      <c r="AF20" s="613" t="str">
        <f>IF($A20="","",VLOOKUP($A20,기본데이타!$A$8:$BV$103,COLUMN(기본데이타!AJ$8),0))</f>
        <v/>
      </c>
      <c r="AG20" s="614" t="str">
        <f>IF($A20="","",VLOOKUP($A20,기본데이타!$A$8:$BV$103,COLUMN(기본데이타!AK$8),0))</f>
        <v/>
      </c>
      <c r="AH20" s="614" t="str">
        <f>IF($A20="","",VLOOKUP($A20,기본데이타!$A$8:$BV$103,COLUMN(기본데이타!AL$8),0))</f>
        <v/>
      </c>
      <c r="AI20" s="614" t="str">
        <f>IF($A20="","",VLOOKUP($A20,기본데이타!$A$8:$BV$103,COLUMN(기본데이타!AM$8),0))</f>
        <v/>
      </c>
      <c r="AJ20" s="614" t="str">
        <f>IF($A20="","",VLOOKUP($A20,기본데이타!$A$8:$BV$103,COLUMN(기본데이타!AN$8),0))</f>
        <v/>
      </c>
      <c r="AK20" s="614" t="str">
        <f>IF($A20="","",VLOOKUP($A20,기본데이타!$A$8:$BV$103,COLUMN(기본데이타!AO$8),0))</f>
        <v/>
      </c>
      <c r="AL20" s="614" t="str">
        <f>IF($A20="","",VLOOKUP($A20,기본데이타!$A$8:$BV$103,COLUMN(기본데이타!AP$8),0))</f>
        <v/>
      </c>
      <c r="AM20" s="614" t="str">
        <f>IF($A20="","",VLOOKUP($A20,기본데이타!$A$8:$BV$103,COLUMN(기본데이타!AQ$8),0))</f>
        <v/>
      </c>
      <c r="AN20" s="614" t="str">
        <f>IF($A20="","",VLOOKUP($A20,기본데이타!$A$8:$BV$103,COLUMN(기본데이타!AR$8),0))</f>
        <v/>
      </c>
      <c r="AO20" s="614" t="str">
        <f>IF($A20="","",VLOOKUP($A20,기본데이타!$A$8:$BV$103,COLUMN(기본데이타!AS$8),0))</f>
        <v/>
      </c>
      <c r="AP20" s="614" t="str">
        <f>IF($A20="","",VLOOKUP($A20,기본데이타!$A$8:$BV$103,COLUMN(기본데이타!AT$8),0))</f>
        <v/>
      </c>
      <c r="AQ20" s="614" t="str">
        <f>IF($A20="","",VLOOKUP($A20,기본데이타!$A$8:$BV$103,COLUMN(기본데이타!AU$8),0))</f>
        <v/>
      </c>
      <c r="AR20" s="615" t="str">
        <f>IF($A20="","",VLOOKUP($A20,기본데이타!$A$8:$BV$103,COLUMN(기본데이타!AV$8),0))</f>
        <v/>
      </c>
      <c r="AS20" s="612" t="str">
        <f>IF($A20="","",VLOOKUP($A20,기본데이타!$A$8:$BV$103,COLUMN(기본데이타!AW$8),0))</f>
        <v/>
      </c>
      <c r="AT20" s="612" t="str">
        <f>IF($A20="","",VLOOKUP($A20,기본데이타!$A$8:$BV$103,COLUMN(기본데이타!AX$8),0))</f>
        <v/>
      </c>
      <c r="AU20" s="612" t="str">
        <f>IF($A20="","",VLOOKUP($A20,기본데이타!$A$8:$BV$103,COLUMN(기본데이타!AY$8),0))</f>
        <v/>
      </c>
      <c r="AV20" s="612" t="str">
        <f t="shared" si="2"/>
        <v/>
      </c>
      <c r="AW20" s="613" t="str">
        <f>IF($A20="","",VLOOKUP($A20,기본데이타!$A$8:$BV$103,COLUMN(기본데이타!BA$8),0))</f>
        <v/>
      </c>
      <c r="AX20" s="613" t="str">
        <f>IF($A20="","",VLOOKUP($A20,기본데이타!$A$8:$BV$103,COLUMN(기본데이타!BB$8),0))</f>
        <v/>
      </c>
      <c r="AY20" s="613" t="str">
        <f>IF($A20="","",VLOOKUP($A20,기본데이타!$A$8:$BV$103,COLUMN(기본데이타!BC$8),0))</f>
        <v/>
      </c>
      <c r="AZ20" s="613" t="str">
        <f>IF($A20="","",VLOOKUP($A20,기본데이타!$A$8:$BV$103,COLUMN(기본데이타!BD$8),0))</f>
        <v/>
      </c>
      <c r="BA20" s="613" t="str">
        <f>IF($A20="","",VLOOKUP($A20,기본데이타!$A$8:$BV$103,COLUMN(기본데이타!BE$8),0))</f>
        <v/>
      </c>
      <c r="BB20" s="613" t="str">
        <f>IF($A20="","",VLOOKUP($A20,기본데이타!$A$8:$BV$103,COLUMN(기본데이타!BF$8),0))</f>
        <v/>
      </c>
      <c r="BC20" s="613" t="str">
        <f>IF($A20="","",VLOOKUP($A20,기본데이타!$A$8:$BV$103,COLUMN(기본데이타!BG$8),0))</f>
        <v/>
      </c>
      <c r="BD20" s="613" t="str">
        <f>IF($A20="","",VLOOKUP($A20,기본데이타!$A$8:$BV$103,COLUMN(기본데이타!BH$8),0))</f>
        <v/>
      </c>
      <c r="BE20" s="613" t="str">
        <f>IF($A20="","",VLOOKUP($A20,기본데이타!$A$8:$BV$103,COLUMN(기본데이타!BI$8),0))</f>
        <v/>
      </c>
      <c r="BF20" s="613" t="str">
        <f>IF($A20="","",VLOOKUP($A20,기본데이타!$A$8:$BV$103,COLUMN(기본데이타!BJ$8),0))</f>
        <v/>
      </c>
      <c r="BG20" s="613" t="str">
        <f>IF($A20="","",VLOOKUP($A20,기본데이타!$A$8:$BV$103,COLUMN(기본데이타!BK$8),0))</f>
        <v/>
      </c>
      <c r="BH20" s="613" t="str">
        <f>IF($A20="","",VLOOKUP($A20,기본데이타!$A$8:$BV$103,COLUMN(기본데이타!BL$8),0))</f>
        <v/>
      </c>
      <c r="BI20" s="613" t="str">
        <f>IF($A20="","",VLOOKUP($A20,기본데이타!$A$8:$BV$103,COLUMN(기본데이타!BM$8),0))</f>
        <v/>
      </c>
      <c r="BJ20" s="613" t="str">
        <f>IF($A20="","",VLOOKUP($A20,기본데이타!$A$8:$BV$103,COLUMN(기본데이타!BN$8),0))</f>
        <v/>
      </c>
      <c r="BK20" s="613" t="str">
        <f>IF($A20="","",VLOOKUP($A20,기본데이타!$A$8:$BV$103,COLUMN(기본데이타!BO$8),0))</f>
        <v/>
      </c>
      <c r="BL20" s="613" t="str">
        <f>IF($A20="","",VLOOKUP($A20,기본데이타!$A$8:$BV$103,COLUMN(기본데이타!BP$8),0))</f>
        <v/>
      </c>
      <c r="BM20" s="613" t="str">
        <f>IF($A20="","",VLOOKUP($A20,기본데이타!$A$8:$BV$103,COLUMN(기본데이타!BQ$8),0))</f>
        <v/>
      </c>
      <c r="BN20" s="616" t="str">
        <f>IF($A20="","",VLOOKUP($A20,기본데이타!$A$8:$BV$103,COLUMN(기본데이타!BR$8),0))</f>
        <v/>
      </c>
      <c r="BO20" s="617" t="str">
        <f>IF($A20="","",VLOOKUP($A20,기본데이타!$A$8:$BV$103,COLUMN(기본데이타!BS$8),0))</f>
        <v/>
      </c>
      <c r="BP20" s="618" t="str">
        <f>IF($A20="","",VLOOKUP($A20,기본데이타!$A$8:$BV$103,COLUMN(기본데이타!BT$8),0))</f>
        <v/>
      </c>
      <c r="BQ20" s="619" t="str">
        <f>IF($A20="","",VLOOKUP($A20,기본데이타!$A$8:$BV$103,COLUMN(기본데이타!BU$8),0))</f>
        <v/>
      </c>
      <c r="BR20" s="620" t="str">
        <f t="shared" si="3"/>
        <v/>
      </c>
    </row>
    <row r="21" spans="1:70" s="571" customFormat="1" ht="61.5" customHeight="1">
      <c r="A21" s="1098">
        <v>1</v>
      </c>
      <c r="B21" s="1642"/>
      <c r="C21" s="1743" t="s">
        <v>124</v>
      </c>
      <c r="D21" s="1788" t="str">
        <f>IF($A21="","",VLOOKUP($A21,기본데이타!$A$8:$BV$103,COLUMN(기본데이타!F$8),0))</f>
        <v>복현대백맨션개별난방전환</v>
      </c>
      <c r="E21" s="1745">
        <f>IF($A21="","",VLOOKUP($A21,기본데이타!$A$8:$BV$103,COLUMN(기본데이타!G$8),0))</f>
        <v>8</v>
      </c>
      <c r="F21" s="1789">
        <f>IF($A21="","",VLOOKUP($A21,기본데이타!$A$8:$BV$103,COLUMN(기본데이타!H$8),0))</f>
        <v>33889000</v>
      </c>
      <c r="G21" s="1790">
        <f>IF($A21="","",VLOOKUP($A21,기본데이타!$A$8:$BV$103,COLUMN(기본데이타!I$8),0))</f>
        <v>0</v>
      </c>
      <c r="H21" s="1790">
        <f>IF($A21="","",VLOOKUP($A21,기본데이타!$A$8:$BV$103,COLUMN(기본데이타!J$8),0))</f>
        <v>33889000</v>
      </c>
      <c r="I21" s="1791">
        <f>IF($A21="","",VLOOKUP($A21,기본데이타!$A$8:$BV$103,COLUMN(기본데이타!K$8),0))</f>
        <v>0</v>
      </c>
      <c r="J21" s="1791">
        <f>IF($A21="","",VLOOKUP($A21,기본데이타!$A$8:$BV$103,COLUMN(기본데이타!L$8),0))</f>
        <v>450</v>
      </c>
      <c r="K21" s="1791">
        <f>IF($A21="","",VLOOKUP($A21,기본데이타!$A$8:$BV$103,COLUMN(기본데이타!M$8),0))</f>
        <v>0</v>
      </c>
      <c r="L21" s="1792">
        <f>IF($A21="","",VLOOKUP($A21,기본데이타!$A$8:$BV$103,COLUMN(기본데이타!N$8),0))</f>
        <v>0</v>
      </c>
      <c r="M21" s="1791">
        <f>IF($A21="","",VLOOKUP($A21,기본데이타!$A$8:$BV$103,COLUMN(기본데이타!O$8),0))</f>
        <v>0</v>
      </c>
      <c r="N21" s="1792">
        <f>IF($A21="","",VLOOKUP($A21,기본데이타!$A$8:$BV$103,COLUMN(기본데이타!P$8),0))</f>
        <v>0</v>
      </c>
      <c r="O21" s="1792">
        <f>IF($A21="","",VLOOKUP($A21,기본데이타!$A$8:$BV$103,COLUMN(기본데이타!Q$8),0))</f>
        <v>0</v>
      </c>
      <c r="P21" s="1792">
        <f>IF($A21="","",VLOOKUP($A21,기본데이타!$A$8:$BV$103,COLUMN(기본데이타!R$8),0))</f>
        <v>0</v>
      </c>
      <c r="Q21" s="1792">
        <f>IF($A21="","",VLOOKUP($A21,기본데이타!$A$8:$BV$103,COLUMN(기본데이타!S$8),0))</f>
        <v>0</v>
      </c>
      <c r="R21" s="1792">
        <f>IF($A21="","",VLOOKUP($A21,기본데이타!$A$8:$BV$103,COLUMN(기본데이타!T$8),0))</f>
        <v>0</v>
      </c>
      <c r="S21" s="1792">
        <f>IF($A21="","",VLOOKUP($A21,기본데이타!$A$8:$BV$103,COLUMN(기본데이타!U$8),0))</f>
        <v>0</v>
      </c>
      <c r="T21" s="1792">
        <f>IF($A21="","",VLOOKUP($A21,기본데이타!$A$8:$BV$103,COLUMN(기본데이타!V$8),0))</f>
        <v>0</v>
      </c>
      <c r="U21" s="1792">
        <f>IF($A21="","",VLOOKUP($A21,기본데이타!$A$8:$BV$103,COLUMN(기본데이타!W$8),0))</f>
        <v>0</v>
      </c>
      <c r="V21" s="1792">
        <f>IF($A21="","",VLOOKUP($A21,기본데이타!$A$8:$BV$103,COLUMN(기본데이타!X$8),0))</f>
        <v>0</v>
      </c>
      <c r="W21" s="1792">
        <f>IF($A21="","",VLOOKUP($A21,기본데이타!$A$8:$BV$103,COLUMN(기본데이타!AA$8),0))</f>
        <v>0</v>
      </c>
      <c r="X21" s="1792">
        <f>IF($A21="","",VLOOKUP($A21,기본데이타!$A$8:$BV$103,COLUMN(기본데이타!AB$8),0))</f>
        <v>0</v>
      </c>
      <c r="Y21" s="1791">
        <f>IF($A21="","",VLOOKUP($A21,기본데이타!$A$8:$BV$103,COLUMN(기본데이타!AC$8),0))</f>
        <v>0</v>
      </c>
      <c r="Z21" s="1792">
        <f>IF($A21="","",VLOOKUP($A21,기본데이타!$A$8:$BV$103,COLUMN(기본데이타!AD$8),0))</f>
        <v>0</v>
      </c>
      <c r="AA21" s="1791">
        <f>IF($A21="","",VLOOKUP($A21,기본데이타!$A$8:$BV$103,COLUMN(기본데이타!AE$8),0))</f>
        <v>0</v>
      </c>
      <c r="AB21" s="1792">
        <f>IF($A21="","",VLOOKUP($A21,기본데이타!$A$8:$BV$103,COLUMN(기본데이타!AF$8),0))</f>
        <v>0</v>
      </c>
      <c r="AC21" s="1791">
        <f>IF($A21="","",VLOOKUP($A21,기본데이타!$A$8:$BV$103,COLUMN(기본데이타!AG$8),0))</f>
        <v>0</v>
      </c>
      <c r="AD21" s="1792">
        <f>IF($A21="","",VLOOKUP($A21,기본데이타!$A$8:$BV$103,COLUMN(기본데이타!AH$8),0))</f>
        <v>0</v>
      </c>
      <c r="AE21" s="1791">
        <f>IF($A21="","",VLOOKUP($A21,기본데이타!$A$8:$BV$103,COLUMN(기본데이타!AI$8),0))</f>
        <v>0</v>
      </c>
      <c r="AF21" s="1793">
        <f>IF($A21="","",VLOOKUP($A21,기본데이타!$A$8:$BV$103,COLUMN(기본데이타!AJ$8),0))</f>
        <v>450</v>
      </c>
      <c r="AG21" s="1750">
        <f>IF($A21="","",VLOOKUP($A21,기본데이타!$A$8:$BV$103,COLUMN(기본데이타!AK$8),0))</f>
        <v>0</v>
      </c>
      <c r="AH21" s="1750">
        <f>IF($A21="","",VLOOKUP($A21,기본데이타!$A$8:$BV$103,COLUMN(기본데이타!AL$8),0))</f>
        <v>1908</v>
      </c>
      <c r="AI21" s="1750">
        <f>IF($A21="","",VLOOKUP($A21,기본데이타!$A$8:$BV$103,COLUMN(기본데이타!AM$8),0))</f>
        <v>0</v>
      </c>
      <c r="AJ21" s="1750">
        <f>IF($A21="","",VLOOKUP($A21,기본데이타!$A$8:$BV$103,COLUMN(기본데이타!AN$8),0))</f>
        <v>0</v>
      </c>
      <c r="AK21" s="1750">
        <f>IF($A21="","",VLOOKUP($A21,기본데이타!$A$8:$BV$103,COLUMN(기본데이타!AO$8),0))</f>
        <v>0</v>
      </c>
      <c r="AL21" s="1750">
        <f>IF($A21="","",VLOOKUP($A21,기본데이타!$A$8:$BV$103,COLUMN(기본데이타!AP$8),0))</f>
        <v>0</v>
      </c>
      <c r="AM21" s="1750">
        <f>IF($A21="","",VLOOKUP($A21,기본데이타!$A$8:$BV$103,COLUMN(기본데이타!AQ$8),0))</f>
        <v>0</v>
      </c>
      <c r="AN21" s="1750">
        <f>IF($A21="","",VLOOKUP($A21,기본데이타!$A$8:$BV$103,COLUMN(기본데이타!AR$8),0))</f>
        <v>0</v>
      </c>
      <c r="AO21" s="1750">
        <f>IF($A21="","",VLOOKUP($A21,기본데이타!$A$8:$BV$103,COLUMN(기본데이타!AS$8),0))</f>
        <v>0</v>
      </c>
      <c r="AP21" s="1750">
        <f>IF($A21="","",VLOOKUP($A21,기본데이타!$A$8:$BV$103,COLUMN(기본데이타!AT$8),0))</f>
        <v>0</v>
      </c>
      <c r="AQ21" s="1750">
        <f>IF($A21="","",VLOOKUP($A21,기본데이타!$A$8:$BV$103,COLUMN(기본데이타!AU$8),0))</f>
        <v>0</v>
      </c>
      <c r="AR21" s="1794">
        <f>IF($A21="","",VLOOKUP($A21,기본데이타!$A$8:$BV$103,COLUMN(기본데이타!AV$8),0))</f>
        <v>1908</v>
      </c>
      <c r="AS21" s="1792">
        <f>IF($A21="","",VLOOKUP($A21,기본데이타!$A$8:$BV$103,COLUMN(기본데이타!AW$8),0))</f>
        <v>43368840</v>
      </c>
      <c r="AT21" s="1792">
        <f>IF($A21="","",VLOOKUP($A21,기본데이타!$A$8:$BV$103,COLUMN(기본데이타!AX$8),0))</f>
        <v>0</v>
      </c>
      <c r="AU21" s="1792">
        <f>IF($A21="","",VLOOKUP($A21,기본데이타!$A$8:$BV$103,COLUMN(기본데이타!AY$8),0))</f>
        <v>0</v>
      </c>
      <c r="AV21" s="1792">
        <f t="shared" si="2"/>
        <v>43368840</v>
      </c>
      <c r="AW21" s="1793">
        <f>IF($A21="","",VLOOKUP($A21,기본데이타!$A$8:$BV$103,COLUMN(기본데이타!BA$8),0))</f>
        <v>-43368840</v>
      </c>
      <c r="AX21" s="1793">
        <f>IF($A21="","",VLOOKUP($A21,기본데이타!$A$8:$BV$103,COLUMN(기본데이타!BB$8),0))</f>
        <v>0</v>
      </c>
      <c r="AY21" s="1793">
        <f>IF($A21="","",VLOOKUP($A21,기본데이타!$A$8:$BV$103,COLUMN(기본데이타!BC$8),0))</f>
        <v>11782800</v>
      </c>
      <c r="AZ21" s="1793">
        <f>IF($A21="","",VLOOKUP($A21,기본데이타!$A$8:$BV$103,COLUMN(기본데이타!BD$8),0))</f>
        <v>0</v>
      </c>
      <c r="BA21" s="1793">
        <f>IF($A21="","",VLOOKUP($A21,기본데이타!$A$8:$BV$103,COLUMN(기본데이타!BE$8),0))</f>
        <v>0</v>
      </c>
      <c r="BB21" s="1793">
        <f>IF($A21="","",VLOOKUP($A21,기본데이타!$A$8:$BV$103,COLUMN(기본데이타!BF$8),0))</f>
        <v>0</v>
      </c>
      <c r="BC21" s="1793">
        <f>IF($A21="","",VLOOKUP($A21,기본데이타!$A$8:$BV$103,COLUMN(기본데이타!BG$8),0))</f>
        <v>0</v>
      </c>
      <c r="BD21" s="1793">
        <f>IF($A21="","",VLOOKUP($A21,기본데이타!$A$8:$BV$103,COLUMN(기본데이타!BH$8),0))</f>
        <v>0</v>
      </c>
      <c r="BE21" s="1793">
        <f>IF($A21="","",VLOOKUP($A21,기본데이타!$A$8:$BV$103,COLUMN(기본데이타!BI$8),0))</f>
        <v>0</v>
      </c>
      <c r="BF21" s="1793">
        <f>IF($A21="","",VLOOKUP($A21,기본데이타!$A$8:$BV$103,COLUMN(기본데이타!BJ$8),0))</f>
        <v>0</v>
      </c>
      <c r="BG21" s="1793">
        <f>IF($A21="","",VLOOKUP($A21,기본데이타!$A$8:$BV$103,COLUMN(기본데이타!BK$8),0))</f>
        <v>0</v>
      </c>
      <c r="BH21" s="1793">
        <f>IF($A21="","",VLOOKUP($A21,기본데이타!$A$8:$BV$103,COLUMN(기본데이타!BL$8),0))</f>
        <v>0</v>
      </c>
      <c r="BI21" s="1793">
        <f>IF($A21="","",VLOOKUP($A21,기본데이타!$A$8:$BV$103,COLUMN(기본데이타!BM$8),0))</f>
        <v>0</v>
      </c>
      <c r="BJ21" s="1793">
        <f>IF($A21="","",VLOOKUP($A21,기본데이타!$A$8:$BV$103,COLUMN(기본데이타!BN$8),0))</f>
        <v>11782800</v>
      </c>
      <c r="BK21" s="1793">
        <f>IF($A21="","",VLOOKUP($A21,기본데이타!$A$8:$BV$103,COLUMN(기본데이타!BO$8),0))</f>
        <v>278499439</v>
      </c>
      <c r="BL21" s="1793">
        <f>IF($A21="","",VLOOKUP($A21,기본데이타!$A$8:$BV$103,COLUMN(기본데이타!BP$8),0))</f>
        <v>245665488</v>
      </c>
      <c r="BM21" s="1793">
        <f>IF($A21="","",VLOOKUP($A21,기본데이타!$A$8:$BV$103,COLUMN(기본데이타!BQ$8),0))</f>
        <v>32833951</v>
      </c>
      <c r="BN21" s="1753">
        <f>IF($A21="","",VLOOKUP($A21,기본데이타!$A$8:$BV$103,COLUMN(기본데이타!BR$8),0))</f>
        <v>2</v>
      </c>
      <c r="BO21" s="1754">
        <f>IF($A21="","",VLOOKUP($A21,기본데이타!$A$8:$BV$103,COLUMN(기본데이타!BS$8),0))</f>
        <v>336399581</v>
      </c>
      <c r="BP21" s="1755">
        <f>IF($A21="","",VLOOKUP($A21,기본데이타!$A$8:$BV$103,COLUMN(기본데이타!BT$8),0))</f>
        <v>80.66</v>
      </c>
      <c r="BQ21" s="1756">
        <f>IF($A21="","",VLOOKUP($A21,기본데이타!$A$8:$BV$103,COLUMN(기본데이타!BU$8),0))</f>
        <v>5962.5</v>
      </c>
      <c r="BR21" s="1795">
        <f t="shared" si="3"/>
        <v>1</v>
      </c>
    </row>
    <row r="22" spans="1:70" s="571" customFormat="1" ht="61.5" hidden="1" customHeight="1">
      <c r="A22" s="578"/>
      <c r="B22" s="1642"/>
      <c r="C22" s="590"/>
      <c r="D22" s="673" t="str">
        <f>IF($A22="","",VLOOKUP($A22,기본데이타!$A$8:$BV$103,COLUMN(기본데이타!F$8),0))</f>
        <v/>
      </c>
      <c r="E22" s="630" t="str">
        <f>IF($A22="","",VLOOKUP($A22,기본데이타!$A$8:$BV$103,COLUMN(기본데이타!G$8),0))</f>
        <v/>
      </c>
      <c r="F22" s="631" t="str">
        <f>IF($A22="","",VLOOKUP($A22,기본데이타!$A$8:$BV$103,COLUMN(기본데이타!H$8),0))</f>
        <v/>
      </c>
      <c r="G22" s="632" t="str">
        <f>IF($A22="","",VLOOKUP($A22,기본데이타!$A$8:$BV$103,COLUMN(기본데이타!I$8),0))</f>
        <v/>
      </c>
      <c r="H22" s="632" t="str">
        <f>IF($A22="","",VLOOKUP($A22,기본데이타!$A$8:$BV$103,COLUMN(기본데이타!J$8),0))</f>
        <v/>
      </c>
      <c r="I22" s="633" t="str">
        <f>IF($A22="","",VLOOKUP($A22,기본데이타!$A$8:$BV$103,COLUMN(기본데이타!K$8),0))</f>
        <v/>
      </c>
      <c r="J22" s="633" t="str">
        <f>IF($A22="","",VLOOKUP($A22,기본데이타!$A$8:$BV$103,COLUMN(기본데이타!L$8),0))</f>
        <v/>
      </c>
      <c r="K22" s="633" t="str">
        <f>IF($A22="","",VLOOKUP($A22,기본데이타!$A$8:$BV$103,COLUMN(기본데이타!M$8),0))</f>
        <v/>
      </c>
      <c r="L22" s="634" t="str">
        <f>IF($A22="","",VLOOKUP($A22,기본데이타!$A$8:$BV$103,COLUMN(기본데이타!N$8),0))</f>
        <v/>
      </c>
      <c r="M22" s="633" t="str">
        <f>IF($A22="","",VLOOKUP($A22,기본데이타!$A$8:$BV$103,COLUMN(기본데이타!O$8),0))</f>
        <v/>
      </c>
      <c r="N22" s="634" t="str">
        <f>IF($A22="","",VLOOKUP($A22,기본데이타!$A$8:$BV$103,COLUMN(기본데이타!P$8),0))</f>
        <v/>
      </c>
      <c r="O22" s="634" t="str">
        <f>IF($A22="","",VLOOKUP($A22,기본데이타!$A$8:$BV$103,COLUMN(기본데이타!Q$8),0))</f>
        <v/>
      </c>
      <c r="P22" s="634" t="str">
        <f>IF($A22="","",VLOOKUP($A22,기본데이타!$A$8:$BV$103,COLUMN(기본데이타!R$8),0))</f>
        <v/>
      </c>
      <c r="Q22" s="634" t="str">
        <f>IF($A22="","",VLOOKUP($A22,기본데이타!$A$8:$BV$103,COLUMN(기본데이타!S$8),0))</f>
        <v/>
      </c>
      <c r="R22" s="634" t="str">
        <f>IF($A22="","",VLOOKUP($A22,기본데이타!$A$8:$BV$103,COLUMN(기본데이타!T$8),0))</f>
        <v/>
      </c>
      <c r="S22" s="634" t="str">
        <f>IF($A22="","",VLOOKUP($A22,기본데이타!$A$8:$BV$103,COLUMN(기본데이타!U$8),0))</f>
        <v/>
      </c>
      <c r="T22" s="634" t="str">
        <f>IF($A22="","",VLOOKUP($A22,기본데이타!$A$8:$BV$103,COLUMN(기본데이타!V$8),0))</f>
        <v/>
      </c>
      <c r="U22" s="634" t="str">
        <f>IF($A22="","",VLOOKUP($A22,기본데이타!$A$8:$BV$103,COLUMN(기본데이타!W$8),0))</f>
        <v/>
      </c>
      <c r="V22" s="634" t="str">
        <f>IF($A22="","",VLOOKUP($A22,기본데이타!$A$8:$BV$103,COLUMN(기본데이타!X$8),0))</f>
        <v/>
      </c>
      <c r="W22" s="634" t="str">
        <f>IF($A22="","",VLOOKUP($A22,기본데이타!$A$8:$BV$103,COLUMN(기본데이타!AA$8),0))</f>
        <v/>
      </c>
      <c r="X22" s="634" t="str">
        <f>IF($A22="","",VLOOKUP($A22,기본데이타!$A$8:$BV$103,COLUMN(기본데이타!AB$8),0))</f>
        <v/>
      </c>
      <c r="Y22" s="633" t="str">
        <f>IF($A22="","",VLOOKUP($A22,기본데이타!$A$8:$BV$103,COLUMN(기본데이타!AC$8),0))</f>
        <v/>
      </c>
      <c r="Z22" s="634" t="str">
        <f>IF($A22="","",VLOOKUP($A22,기본데이타!$A$8:$BV$103,COLUMN(기본데이타!AD$8),0))</f>
        <v/>
      </c>
      <c r="AA22" s="633" t="str">
        <f>IF($A22="","",VLOOKUP($A22,기본데이타!$A$8:$BV$103,COLUMN(기본데이타!AE$8),0))</f>
        <v/>
      </c>
      <c r="AB22" s="634" t="str">
        <f>IF($A22="","",VLOOKUP($A22,기본데이타!$A$8:$BV$103,COLUMN(기본데이타!AF$8),0))</f>
        <v/>
      </c>
      <c r="AC22" s="633" t="str">
        <f>IF($A22="","",VLOOKUP($A22,기본데이타!$A$8:$BV$103,COLUMN(기본데이타!AG$8),0))</f>
        <v/>
      </c>
      <c r="AD22" s="634" t="str">
        <f>IF($A22="","",VLOOKUP($A22,기본데이타!$A$8:$BV$103,COLUMN(기본데이타!AH$8),0))</f>
        <v/>
      </c>
      <c r="AE22" s="633" t="str">
        <f>IF($A22="","",VLOOKUP($A22,기본데이타!$A$8:$BV$103,COLUMN(기본데이타!AI$8),0))</f>
        <v/>
      </c>
      <c r="AF22" s="635" t="str">
        <f>IF($A22="","",VLOOKUP($A22,기본데이타!$A$8:$BV$103,COLUMN(기본데이타!AJ$8),0))</f>
        <v/>
      </c>
      <c r="AG22" s="635" t="str">
        <f>IF($A22="","",VLOOKUP($A22,기본데이타!$A$8:$BV$103,COLUMN(기본데이타!AK$8),0))</f>
        <v/>
      </c>
      <c r="AH22" s="635" t="str">
        <f>IF($A22="","",VLOOKUP($A22,기본데이타!$A$8:$BV$103,COLUMN(기본데이타!AL$8),0))</f>
        <v/>
      </c>
      <c r="AI22" s="635" t="str">
        <f>IF($A22="","",VLOOKUP($A22,기본데이타!$A$8:$BV$103,COLUMN(기본데이타!AM$8),0))</f>
        <v/>
      </c>
      <c r="AJ22" s="635" t="str">
        <f>IF($A22="","",VLOOKUP($A22,기본데이타!$A$8:$BV$103,COLUMN(기본데이타!AN$8),0))</f>
        <v/>
      </c>
      <c r="AK22" s="635" t="str">
        <f>IF($A22="","",VLOOKUP($A22,기본데이타!$A$8:$BV$103,COLUMN(기본데이타!AO$8),0))</f>
        <v/>
      </c>
      <c r="AL22" s="635" t="str">
        <f>IF($A22="","",VLOOKUP($A22,기본데이타!$A$8:$BV$103,COLUMN(기본데이타!AP$8),0))</f>
        <v/>
      </c>
      <c r="AM22" s="635" t="str">
        <f>IF($A22="","",VLOOKUP($A22,기본데이타!$A$8:$BV$103,COLUMN(기본데이타!AQ$8),0))</f>
        <v/>
      </c>
      <c r="AN22" s="635" t="str">
        <f>IF($A22="","",VLOOKUP($A22,기본데이타!$A$8:$BV$103,COLUMN(기본데이타!AR$8),0))</f>
        <v/>
      </c>
      <c r="AO22" s="635" t="str">
        <f>IF($A22="","",VLOOKUP($A22,기본데이타!$A$8:$BV$103,COLUMN(기본데이타!AS$8),0))</f>
        <v/>
      </c>
      <c r="AP22" s="635" t="str">
        <f>IF($A22="","",VLOOKUP($A22,기본데이타!$A$8:$BV$103,COLUMN(기본데이타!AT$8),0))</f>
        <v/>
      </c>
      <c r="AQ22" s="635" t="str">
        <f>IF($A22="","",VLOOKUP($A22,기본데이타!$A$8:$BV$103,COLUMN(기본데이타!AU$8),0))</f>
        <v/>
      </c>
      <c r="AR22" s="598" t="str">
        <f>IF($A22="","",VLOOKUP($A22,기본데이타!$A$8:$BV$103,COLUMN(기본데이타!AV$8),0))</f>
        <v/>
      </c>
      <c r="AS22" s="634" t="str">
        <f>IF($A22="","",VLOOKUP($A22,기본데이타!$A$8:$BV$103,COLUMN(기본데이타!AW$8),0))</f>
        <v/>
      </c>
      <c r="AT22" s="634" t="str">
        <f>IF($A22="","",VLOOKUP($A22,기본데이타!$A$8:$BV$103,COLUMN(기본데이타!AX$8),0))</f>
        <v/>
      </c>
      <c r="AU22" s="634" t="str">
        <f>IF($A22="","",VLOOKUP($A22,기본데이타!$A$8:$BV$103,COLUMN(기본데이타!AY$8),0))</f>
        <v/>
      </c>
      <c r="AV22" s="634" t="str">
        <f t="shared" si="2"/>
        <v/>
      </c>
      <c r="AW22" s="635" t="str">
        <f>IF($A22="","",VLOOKUP($A22,기본데이타!$A$8:$BV$103,COLUMN(기본데이타!BA$8),0))</f>
        <v/>
      </c>
      <c r="AX22" s="635" t="str">
        <f>IF($A22="","",VLOOKUP($A22,기본데이타!$A$8:$BV$103,COLUMN(기본데이타!BB$8),0))</f>
        <v/>
      </c>
      <c r="AY22" s="635" t="str">
        <f>IF($A22="","",VLOOKUP($A22,기본데이타!$A$8:$BV$103,COLUMN(기본데이타!BC$8),0))</f>
        <v/>
      </c>
      <c r="AZ22" s="635" t="str">
        <f>IF($A22="","",VLOOKUP($A22,기본데이타!$A$8:$BV$103,COLUMN(기본데이타!BD$8),0))</f>
        <v/>
      </c>
      <c r="BA22" s="635" t="str">
        <f>IF($A22="","",VLOOKUP($A22,기본데이타!$A$8:$BV$103,COLUMN(기본데이타!BE$8),0))</f>
        <v/>
      </c>
      <c r="BB22" s="635" t="str">
        <f>IF($A22="","",VLOOKUP($A22,기본데이타!$A$8:$BV$103,COLUMN(기본데이타!BF$8),0))</f>
        <v/>
      </c>
      <c r="BC22" s="635" t="str">
        <f>IF($A22="","",VLOOKUP($A22,기본데이타!$A$8:$BV$103,COLUMN(기본데이타!BG$8),0))</f>
        <v/>
      </c>
      <c r="BD22" s="635" t="str">
        <f>IF($A22="","",VLOOKUP($A22,기본데이타!$A$8:$BV$103,COLUMN(기본데이타!BH$8),0))</f>
        <v/>
      </c>
      <c r="BE22" s="635" t="str">
        <f>IF($A22="","",VLOOKUP($A22,기본데이타!$A$8:$BV$103,COLUMN(기본데이타!BI$8),0))</f>
        <v/>
      </c>
      <c r="BF22" s="635" t="str">
        <f>IF($A22="","",VLOOKUP($A22,기본데이타!$A$8:$BV$103,COLUMN(기본데이타!BJ$8),0))</f>
        <v/>
      </c>
      <c r="BG22" s="635" t="str">
        <f>IF($A22="","",VLOOKUP($A22,기본데이타!$A$8:$BV$103,COLUMN(기본데이타!BK$8),0))</f>
        <v/>
      </c>
      <c r="BH22" s="635" t="str">
        <f>IF($A22="","",VLOOKUP($A22,기본데이타!$A$8:$BV$103,COLUMN(기본데이타!BL$8),0))</f>
        <v/>
      </c>
      <c r="BI22" s="635" t="str">
        <f>IF($A22="","",VLOOKUP($A22,기본데이타!$A$8:$BV$103,COLUMN(기본데이타!BM$8),0))</f>
        <v/>
      </c>
      <c r="BJ22" s="635" t="str">
        <f>IF($A22="","",VLOOKUP($A22,기본데이타!$A$8:$BV$103,COLUMN(기본데이타!BN$8),0))</f>
        <v/>
      </c>
      <c r="BK22" s="635" t="str">
        <f>IF($A22="","",VLOOKUP($A22,기본데이타!$A$8:$BV$103,COLUMN(기본데이타!BO$8),0))</f>
        <v/>
      </c>
      <c r="BL22" s="635" t="str">
        <f>IF($A22="","",VLOOKUP($A22,기본데이타!$A$8:$BV$103,COLUMN(기본데이타!BP$8),0))</f>
        <v/>
      </c>
      <c r="BM22" s="635" t="str">
        <f>IF($A22="","",VLOOKUP($A22,기본데이타!$A$8:$BV$103,COLUMN(기본데이타!BQ$8),0))</f>
        <v/>
      </c>
      <c r="BN22" s="638" t="str">
        <f>IF($A22="","",VLOOKUP($A22,기본데이타!$A$8:$BV$103,COLUMN(기본데이타!BR$8),0))</f>
        <v/>
      </c>
      <c r="BO22" s="579" t="str">
        <f>IF($A22="","",VLOOKUP($A22,기본데이타!$A$8:$BV$103,COLUMN(기본데이타!BS$8),0))</f>
        <v/>
      </c>
      <c r="BP22" s="639" t="str">
        <f>IF($A22="","",VLOOKUP($A22,기본데이타!$A$8:$BV$103,COLUMN(기본데이타!BT$8),0))</f>
        <v/>
      </c>
      <c r="BQ22" s="640" t="str">
        <f>IF($A22="","",VLOOKUP($A22,기본데이타!$A$8:$BV$103,COLUMN(기본데이타!BU$8),0))</f>
        <v/>
      </c>
      <c r="BR22" s="625" t="str">
        <f t="shared" si="3"/>
        <v/>
      </c>
    </row>
    <row r="23" spans="1:70" s="571" customFormat="1" ht="61.5" customHeight="1" thickBot="1">
      <c r="A23" s="1098"/>
      <c r="B23" s="1642"/>
      <c r="C23" s="657"/>
      <c r="D23" s="1796" t="str">
        <f>IF($A23="","",VLOOKUP($A23,기본데이타!$A$8:$BV$103,COLUMN(기본데이타!F$8),0))</f>
        <v/>
      </c>
      <c r="E23" s="1537" t="str">
        <f>IF($A23="","",VLOOKUP($A23,기본데이타!$A$8:$BV$103,COLUMN(기본데이타!G$8),0))</f>
        <v/>
      </c>
      <c r="F23" s="1538" t="str">
        <f>IF($A23="","",VLOOKUP($A23,기본데이타!$A$8:$BV$103,COLUMN(기본데이타!H$8),0))</f>
        <v/>
      </c>
      <c r="G23" s="1539" t="str">
        <f>IF($A23="","",VLOOKUP($A23,기본데이타!$A$8:$BV$103,COLUMN(기본데이타!I$8),0))</f>
        <v/>
      </c>
      <c r="H23" s="1539" t="str">
        <f>IF($A23="","",VLOOKUP($A23,기본데이타!$A$8:$BV$103,COLUMN(기본데이타!J$8),0))</f>
        <v/>
      </c>
      <c r="I23" s="1540" t="str">
        <f>IF($A23="","",VLOOKUP($A23,기본데이타!$A$8:$BV$103,COLUMN(기본데이타!K$8),0))</f>
        <v/>
      </c>
      <c r="J23" s="1540" t="str">
        <f>IF($A23="","",VLOOKUP($A23,기본데이타!$A$8:$BV$103,COLUMN(기본데이타!L$8),0))</f>
        <v/>
      </c>
      <c r="K23" s="1540" t="str">
        <f>IF($A23="","",VLOOKUP($A23,기본데이타!$A$8:$BV$103,COLUMN(기본데이타!M$8),0))</f>
        <v/>
      </c>
      <c r="L23" s="1541" t="str">
        <f>IF($A23="","",VLOOKUP($A23,기본데이타!$A$8:$BV$103,COLUMN(기본데이타!N$8),0))</f>
        <v/>
      </c>
      <c r="M23" s="1540" t="str">
        <f>IF($A23="","",VLOOKUP($A23,기본데이타!$A$8:$BV$103,COLUMN(기본데이타!O$8),0))</f>
        <v/>
      </c>
      <c r="N23" s="1541" t="str">
        <f>IF($A23="","",VLOOKUP($A23,기본데이타!$A$8:$BV$103,COLUMN(기본데이타!P$8),0))</f>
        <v/>
      </c>
      <c r="O23" s="1541" t="str">
        <f>IF($A23="","",VLOOKUP($A23,기본데이타!$A$8:$BV$103,COLUMN(기본데이타!Q$8),0))</f>
        <v/>
      </c>
      <c r="P23" s="1541" t="str">
        <f>IF($A23="","",VLOOKUP($A23,기본데이타!$A$8:$BV$103,COLUMN(기본데이타!R$8),0))</f>
        <v/>
      </c>
      <c r="Q23" s="1541" t="str">
        <f>IF($A23="","",VLOOKUP($A23,기본데이타!$A$8:$BV$103,COLUMN(기본데이타!S$8),0))</f>
        <v/>
      </c>
      <c r="R23" s="1541" t="str">
        <f>IF($A23="","",VLOOKUP($A23,기본데이타!$A$8:$BV$103,COLUMN(기본데이타!T$8),0))</f>
        <v/>
      </c>
      <c r="S23" s="1541" t="str">
        <f>IF($A23="","",VLOOKUP($A23,기본데이타!$A$8:$BV$103,COLUMN(기본데이타!U$8),0))</f>
        <v/>
      </c>
      <c r="T23" s="1541" t="str">
        <f>IF($A23="","",VLOOKUP($A23,기본데이타!$A$8:$BV$103,COLUMN(기본데이타!V$8),0))</f>
        <v/>
      </c>
      <c r="U23" s="1541" t="str">
        <f>IF($A23="","",VLOOKUP($A23,기본데이타!$A$8:$BV$103,COLUMN(기본데이타!W$8),0))</f>
        <v/>
      </c>
      <c r="V23" s="1541" t="str">
        <f>IF($A23="","",VLOOKUP($A23,기본데이타!$A$8:$BV$103,COLUMN(기본데이타!X$8),0))</f>
        <v/>
      </c>
      <c r="W23" s="1541" t="str">
        <f>IF($A23="","",VLOOKUP($A23,기본데이타!$A$8:$BV$103,COLUMN(기본데이타!AA$8),0))</f>
        <v/>
      </c>
      <c r="X23" s="1541" t="str">
        <f>IF($A23="","",VLOOKUP($A23,기본데이타!$A$8:$BV$103,COLUMN(기본데이타!AB$8),0))</f>
        <v/>
      </c>
      <c r="Y23" s="1540" t="str">
        <f>IF($A23="","",VLOOKUP($A23,기본데이타!$A$8:$BV$103,COLUMN(기본데이타!AC$8),0))</f>
        <v/>
      </c>
      <c r="Z23" s="1541" t="str">
        <f>IF($A23="","",VLOOKUP($A23,기본데이타!$A$8:$BV$103,COLUMN(기본데이타!AD$8),0))</f>
        <v/>
      </c>
      <c r="AA23" s="1540" t="str">
        <f>IF($A23="","",VLOOKUP($A23,기본데이타!$A$8:$BV$103,COLUMN(기본데이타!AE$8),0))</f>
        <v/>
      </c>
      <c r="AB23" s="1541" t="str">
        <f>IF($A23="","",VLOOKUP($A23,기본데이타!$A$8:$BV$103,COLUMN(기본데이타!AF$8),0))</f>
        <v/>
      </c>
      <c r="AC23" s="1540" t="str">
        <f>IF($A23="","",VLOOKUP($A23,기본데이타!$A$8:$BV$103,COLUMN(기본데이타!AG$8),0))</f>
        <v/>
      </c>
      <c r="AD23" s="1541" t="str">
        <f>IF($A23="","",VLOOKUP($A23,기본데이타!$A$8:$BV$103,COLUMN(기본데이타!AH$8),0))</f>
        <v/>
      </c>
      <c r="AE23" s="1540" t="str">
        <f>IF($A23="","",VLOOKUP($A23,기본데이타!$A$8:$BV$103,COLUMN(기본데이타!AI$8),0))</f>
        <v/>
      </c>
      <c r="AF23" s="1542" t="str">
        <f>IF($A23="","",VLOOKUP($A23,기본데이타!$A$8:$BV$103,COLUMN(기본데이타!AJ$8),0))</f>
        <v/>
      </c>
      <c r="AG23" s="1542" t="str">
        <f>IF($A23="","",VLOOKUP($A23,기본데이타!$A$8:$BV$103,COLUMN(기본데이타!AK$8),0))</f>
        <v/>
      </c>
      <c r="AH23" s="1542" t="str">
        <f>IF($A23="","",VLOOKUP($A23,기본데이타!$A$8:$BV$103,COLUMN(기본데이타!AL$8),0))</f>
        <v/>
      </c>
      <c r="AI23" s="1542" t="str">
        <f>IF($A23="","",VLOOKUP($A23,기본데이타!$A$8:$BV$103,COLUMN(기본데이타!AM$8),0))</f>
        <v/>
      </c>
      <c r="AJ23" s="1542" t="str">
        <f>IF($A23="","",VLOOKUP($A23,기본데이타!$A$8:$BV$103,COLUMN(기본데이타!AN$8),0))</f>
        <v/>
      </c>
      <c r="AK23" s="1542" t="str">
        <f>IF($A23="","",VLOOKUP($A23,기본데이타!$A$8:$BV$103,COLUMN(기본데이타!AO$8),0))</f>
        <v/>
      </c>
      <c r="AL23" s="1542" t="str">
        <f>IF($A23="","",VLOOKUP($A23,기본데이타!$A$8:$BV$103,COLUMN(기본데이타!AP$8),0))</f>
        <v/>
      </c>
      <c r="AM23" s="1542" t="str">
        <f>IF($A23="","",VLOOKUP($A23,기본데이타!$A$8:$BV$103,COLUMN(기본데이타!AQ$8),0))</f>
        <v/>
      </c>
      <c r="AN23" s="1542" t="str">
        <f>IF($A23="","",VLOOKUP($A23,기본데이타!$A$8:$BV$103,COLUMN(기본데이타!AR$8),0))</f>
        <v/>
      </c>
      <c r="AO23" s="1542" t="str">
        <f>IF($A23="","",VLOOKUP($A23,기본데이타!$A$8:$BV$103,COLUMN(기본데이타!AS$8),0))</f>
        <v/>
      </c>
      <c r="AP23" s="1542" t="str">
        <f>IF($A23="","",VLOOKUP($A23,기본데이타!$A$8:$BV$103,COLUMN(기본데이타!AT$8),0))</f>
        <v/>
      </c>
      <c r="AQ23" s="1542" t="str">
        <f>IF($A23="","",VLOOKUP($A23,기본데이타!$A$8:$BV$103,COLUMN(기본데이타!AU$8),0))</f>
        <v/>
      </c>
      <c r="AR23" s="1797" t="str">
        <f>IF($A23="","",VLOOKUP($A23,기본데이타!$A$8:$BV$103,COLUMN(기본데이타!AV$8),0))</f>
        <v/>
      </c>
      <c r="AS23" s="1541" t="str">
        <f>IF($A23="","",VLOOKUP($A23,기본데이타!$A$8:$BV$103,COLUMN(기본데이타!AW$8),0))</f>
        <v/>
      </c>
      <c r="AT23" s="1541" t="str">
        <f>IF($A23="","",VLOOKUP($A23,기본데이타!$A$8:$BV$103,COLUMN(기본데이타!AX$8),0))</f>
        <v/>
      </c>
      <c r="AU23" s="1541" t="str">
        <f>IF($A23="","",VLOOKUP($A23,기본데이타!$A$8:$BV$103,COLUMN(기본데이타!AY$8),0))</f>
        <v/>
      </c>
      <c r="AV23" s="1541" t="str">
        <f t="shared" si="2"/>
        <v/>
      </c>
      <c r="AW23" s="1542" t="str">
        <f>IF($A23="","",VLOOKUP($A23,기본데이타!$A$8:$BV$103,COLUMN(기본데이타!BA$8),0))</f>
        <v/>
      </c>
      <c r="AX23" s="1542" t="str">
        <f>IF($A23="","",VLOOKUP($A23,기본데이타!$A$8:$BV$103,COLUMN(기본데이타!BB$8),0))</f>
        <v/>
      </c>
      <c r="AY23" s="1542" t="str">
        <f>IF($A23="","",VLOOKUP($A23,기본데이타!$A$8:$BV$103,COLUMN(기본데이타!BC$8),0))</f>
        <v/>
      </c>
      <c r="AZ23" s="1542" t="str">
        <f>IF($A23="","",VLOOKUP($A23,기본데이타!$A$8:$BV$103,COLUMN(기본데이타!BD$8),0))</f>
        <v/>
      </c>
      <c r="BA23" s="1542" t="str">
        <f>IF($A23="","",VLOOKUP($A23,기본데이타!$A$8:$BV$103,COLUMN(기본데이타!BE$8),0))</f>
        <v/>
      </c>
      <c r="BB23" s="1542" t="str">
        <f>IF($A23="","",VLOOKUP($A23,기본데이타!$A$8:$BV$103,COLUMN(기본데이타!BF$8),0))</f>
        <v/>
      </c>
      <c r="BC23" s="1542" t="str">
        <f>IF($A23="","",VLOOKUP($A23,기본데이타!$A$8:$BV$103,COLUMN(기본데이타!BG$8),0))</f>
        <v/>
      </c>
      <c r="BD23" s="1542" t="str">
        <f>IF($A23="","",VLOOKUP($A23,기본데이타!$A$8:$BV$103,COLUMN(기본데이타!BH$8),0))</f>
        <v/>
      </c>
      <c r="BE23" s="1542" t="str">
        <f>IF($A23="","",VLOOKUP($A23,기본데이타!$A$8:$BV$103,COLUMN(기본데이타!BI$8),0))</f>
        <v/>
      </c>
      <c r="BF23" s="1542" t="str">
        <f>IF($A23="","",VLOOKUP($A23,기본데이타!$A$8:$BV$103,COLUMN(기본데이타!BJ$8),0))</f>
        <v/>
      </c>
      <c r="BG23" s="1542" t="str">
        <f>IF($A23="","",VLOOKUP($A23,기본데이타!$A$8:$BV$103,COLUMN(기본데이타!BK$8),0))</f>
        <v/>
      </c>
      <c r="BH23" s="1542" t="str">
        <f>IF($A23="","",VLOOKUP($A23,기본데이타!$A$8:$BV$103,COLUMN(기본데이타!BL$8),0))</f>
        <v/>
      </c>
      <c r="BI23" s="1542" t="str">
        <f>IF($A23="","",VLOOKUP($A23,기본데이타!$A$8:$BV$103,COLUMN(기본데이타!BM$8),0))</f>
        <v/>
      </c>
      <c r="BJ23" s="1542" t="str">
        <f>IF($A23="","",VLOOKUP($A23,기본데이타!$A$8:$BV$103,COLUMN(기본데이타!BN$8),0))</f>
        <v/>
      </c>
      <c r="BK23" s="1542" t="str">
        <f>IF($A23="","",VLOOKUP($A23,기본데이타!$A$8:$BV$103,COLUMN(기본데이타!BO$8),0))</f>
        <v/>
      </c>
      <c r="BL23" s="1542" t="str">
        <f>IF($A23="","",VLOOKUP($A23,기본데이타!$A$8:$BV$103,COLUMN(기본데이타!BP$8),0))</f>
        <v/>
      </c>
      <c r="BM23" s="1542" t="str">
        <f>IF($A23="","",VLOOKUP($A23,기본데이타!$A$8:$BV$103,COLUMN(기본데이타!BQ$8),0))</f>
        <v/>
      </c>
      <c r="BN23" s="1545" t="str">
        <f>IF($A23="","",VLOOKUP($A23,기본데이타!$A$8:$BV$103,COLUMN(기본데이타!BR$8),0))</f>
        <v/>
      </c>
      <c r="BO23" s="1546" t="str">
        <f>IF($A23="","",VLOOKUP($A23,기본데이타!$A$8:$BV$103,COLUMN(기본데이타!BS$8),0))</f>
        <v/>
      </c>
      <c r="BP23" s="1547" t="str">
        <f>IF($A23="","",VLOOKUP($A23,기본데이타!$A$8:$BV$103,COLUMN(기본데이타!BT$8),0))</f>
        <v/>
      </c>
      <c r="BQ23" s="1548" t="str">
        <f>IF($A23="","",VLOOKUP($A23,기본데이타!$A$8:$BV$103,COLUMN(기본데이타!BU$8),0))</f>
        <v/>
      </c>
      <c r="BR23" s="1549" t="str">
        <f t="shared" si="3"/>
        <v/>
      </c>
    </row>
    <row r="24" spans="1:70" s="571" customFormat="1" ht="61.5" hidden="1" customHeight="1">
      <c r="A24" s="578"/>
      <c r="B24" s="1642"/>
      <c r="C24" s="590"/>
      <c r="D24" s="1460" t="str">
        <f>IF($A24="","",VLOOKUP($A24,기본데이타!$A$8:$BV$103,COLUMN(기본데이타!F$8),0))</f>
        <v/>
      </c>
      <c r="E24" s="592" t="str">
        <f>IF($A24="","",VLOOKUP($A24,기본데이타!$A$8:$BV$103,COLUMN(기본데이타!G$8),0))</f>
        <v/>
      </c>
      <c r="F24" s="593" t="str">
        <f>IF($A24="","",VLOOKUP($A24,기본데이타!$A$8:$BV$103,COLUMN(기본데이타!H$8),0))</f>
        <v/>
      </c>
      <c r="G24" s="594" t="str">
        <f>IF($A24="","",VLOOKUP($A24,기본데이타!$A$8:$BV$103,COLUMN(기본데이타!I$8),0))</f>
        <v/>
      </c>
      <c r="H24" s="594" t="str">
        <f>IF($A24="","",VLOOKUP($A24,기본데이타!$A$8:$BV$103,COLUMN(기본데이타!J$8),0))</f>
        <v/>
      </c>
      <c r="I24" s="595" t="str">
        <f>IF($A24="","",VLOOKUP($A24,기본데이타!$A$8:$BV$103,COLUMN(기본데이타!K$8),0))</f>
        <v/>
      </c>
      <c r="J24" s="595" t="str">
        <f>IF($A24="","",VLOOKUP($A24,기본데이타!$A$8:$BV$103,COLUMN(기본데이타!L$8),0))</f>
        <v/>
      </c>
      <c r="K24" s="595" t="str">
        <f>IF($A24="","",VLOOKUP($A24,기본데이타!$A$8:$BV$103,COLUMN(기본데이타!M$8),0))</f>
        <v/>
      </c>
      <c r="L24" s="596" t="str">
        <f>IF($A24="","",VLOOKUP($A24,기본데이타!$A$8:$BV$103,COLUMN(기본데이타!N$8),0))</f>
        <v/>
      </c>
      <c r="M24" s="595" t="str">
        <f>IF($A24="","",VLOOKUP($A24,기본데이타!$A$8:$BV$103,COLUMN(기본데이타!O$8),0))</f>
        <v/>
      </c>
      <c r="N24" s="596" t="str">
        <f>IF($A24="","",VLOOKUP($A24,기본데이타!$A$8:$BV$103,COLUMN(기본데이타!P$8),0))</f>
        <v/>
      </c>
      <c r="O24" s="596" t="str">
        <f>IF($A24="","",VLOOKUP($A24,기본데이타!$A$8:$BV$103,COLUMN(기본데이타!Q$8),0))</f>
        <v/>
      </c>
      <c r="P24" s="596" t="str">
        <f>IF($A24="","",VLOOKUP($A24,기본데이타!$A$8:$BV$103,COLUMN(기본데이타!R$8),0))</f>
        <v/>
      </c>
      <c r="Q24" s="596" t="str">
        <f>IF($A24="","",VLOOKUP($A24,기본데이타!$A$8:$BV$103,COLUMN(기본데이타!S$8),0))</f>
        <v/>
      </c>
      <c r="R24" s="596" t="str">
        <f>IF($A24="","",VLOOKUP($A24,기본데이타!$A$8:$BV$103,COLUMN(기본데이타!T$8),0))</f>
        <v/>
      </c>
      <c r="S24" s="596" t="str">
        <f>IF($A24="","",VLOOKUP($A24,기본데이타!$A$8:$BV$103,COLUMN(기본데이타!U$8),0))</f>
        <v/>
      </c>
      <c r="T24" s="596" t="str">
        <f>IF($A24="","",VLOOKUP($A24,기본데이타!$A$8:$BV$103,COLUMN(기본데이타!V$8),0))</f>
        <v/>
      </c>
      <c r="U24" s="596" t="str">
        <f>IF($A24="","",VLOOKUP($A24,기본데이타!$A$8:$BV$103,COLUMN(기본데이타!W$8),0))</f>
        <v/>
      </c>
      <c r="V24" s="596" t="str">
        <f>IF($A24="","",VLOOKUP($A24,기본데이타!$A$8:$BV$103,COLUMN(기본데이타!X$8),0))</f>
        <v/>
      </c>
      <c r="W24" s="596" t="str">
        <f>IF($A24="","",VLOOKUP($A24,기본데이타!$A$8:$BV$103,COLUMN(기본데이타!AA$8),0))</f>
        <v/>
      </c>
      <c r="X24" s="596" t="str">
        <f>IF($A24="","",VLOOKUP($A24,기본데이타!$A$8:$BV$103,COLUMN(기본데이타!AB$8),0))</f>
        <v/>
      </c>
      <c r="Y24" s="595" t="str">
        <f>IF($A24="","",VLOOKUP($A24,기본데이타!$A$8:$BV$103,COLUMN(기본데이타!AC$8),0))</f>
        <v/>
      </c>
      <c r="Z24" s="596" t="str">
        <f>IF($A24="","",VLOOKUP($A24,기본데이타!$A$8:$BV$103,COLUMN(기본데이타!AD$8),0))</f>
        <v/>
      </c>
      <c r="AA24" s="595" t="str">
        <f>IF($A24="","",VLOOKUP($A24,기본데이타!$A$8:$BV$103,COLUMN(기본데이타!AE$8),0))</f>
        <v/>
      </c>
      <c r="AB24" s="596" t="str">
        <f>IF($A24="","",VLOOKUP($A24,기본데이타!$A$8:$BV$103,COLUMN(기본데이타!AF$8),0))</f>
        <v/>
      </c>
      <c r="AC24" s="595" t="str">
        <f>IF($A24="","",VLOOKUP($A24,기본데이타!$A$8:$BV$103,COLUMN(기본데이타!AG$8),0))</f>
        <v/>
      </c>
      <c r="AD24" s="596" t="str">
        <f>IF($A24="","",VLOOKUP($A24,기본데이타!$A$8:$BV$103,COLUMN(기본데이타!AH$8),0))</f>
        <v/>
      </c>
      <c r="AE24" s="595" t="str">
        <f>IF($A24="","",VLOOKUP($A24,기본데이타!$A$8:$BV$103,COLUMN(기본데이타!AI$8),0))</f>
        <v/>
      </c>
      <c r="AF24" s="597" t="str">
        <f>IF($A24="","",VLOOKUP($A24,기본데이타!$A$8:$BV$103,COLUMN(기본데이타!AJ$8),0))</f>
        <v/>
      </c>
      <c r="AG24" s="597" t="str">
        <f>IF($A24="","",VLOOKUP($A24,기본데이타!$A$8:$BV$103,COLUMN(기본데이타!AK$8),0))</f>
        <v/>
      </c>
      <c r="AH24" s="597" t="str">
        <f>IF($A24="","",VLOOKUP($A24,기본데이타!$A$8:$BV$103,COLUMN(기본데이타!AL$8),0))</f>
        <v/>
      </c>
      <c r="AI24" s="597" t="str">
        <f>IF($A24="","",VLOOKUP($A24,기본데이타!$A$8:$BV$103,COLUMN(기본데이타!AM$8),0))</f>
        <v/>
      </c>
      <c r="AJ24" s="597" t="str">
        <f>IF($A24="","",VLOOKUP($A24,기본데이타!$A$8:$BV$103,COLUMN(기본데이타!AN$8),0))</f>
        <v/>
      </c>
      <c r="AK24" s="597" t="str">
        <f>IF($A24="","",VLOOKUP($A24,기본데이타!$A$8:$BV$103,COLUMN(기본데이타!AO$8),0))</f>
        <v/>
      </c>
      <c r="AL24" s="597" t="str">
        <f>IF($A24="","",VLOOKUP($A24,기본데이타!$A$8:$BV$103,COLUMN(기본데이타!AP$8),0))</f>
        <v/>
      </c>
      <c r="AM24" s="597" t="str">
        <f>IF($A24="","",VLOOKUP($A24,기본데이타!$A$8:$BV$103,COLUMN(기본데이타!AQ$8),0))</f>
        <v/>
      </c>
      <c r="AN24" s="597" t="str">
        <f>IF($A24="","",VLOOKUP($A24,기본데이타!$A$8:$BV$103,COLUMN(기본데이타!AR$8),0))</f>
        <v/>
      </c>
      <c r="AO24" s="597" t="str">
        <f>IF($A24="","",VLOOKUP($A24,기본데이타!$A$8:$BV$103,COLUMN(기본데이타!AS$8),0))</f>
        <v/>
      </c>
      <c r="AP24" s="597" t="str">
        <f>IF($A24="","",VLOOKUP($A24,기본데이타!$A$8:$BV$103,COLUMN(기본데이타!AT$8),0))</f>
        <v/>
      </c>
      <c r="AQ24" s="597" t="str">
        <f>IF($A24="","",VLOOKUP($A24,기본데이타!$A$8:$BV$103,COLUMN(기본데이타!AU$8),0))</f>
        <v/>
      </c>
      <c r="AR24" s="622" t="str">
        <f>IF($A24="","",VLOOKUP($A24,기본데이타!$A$8:$BV$103,COLUMN(기본데이타!AV$8),0))</f>
        <v/>
      </c>
      <c r="AS24" s="596" t="str">
        <f>IF($A24="","",VLOOKUP($A24,기본데이타!$A$8:$BV$103,COLUMN(기본데이타!AW$8),0))</f>
        <v/>
      </c>
      <c r="AT24" s="596" t="str">
        <f>IF($A24="","",VLOOKUP($A24,기본데이타!$A$8:$BV$103,COLUMN(기본데이타!AX$8),0))</f>
        <v/>
      </c>
      <c r="AU24" s="596" t="str">
        <f>IF($A24="","",VLOOKUP($A24,기본데이타!$A$8:$BV$103,COLUMN(기본데이타!AY$8),0))</f>
        <v/>
      </c>
      <c r="AV24" s="596" t="str">
        <f t="shared" si="2"/>
        <v/>
      </c>
      <c r="AW24" s="597" t="str">
        <f>IF($A24="","",VLOOKUP($A24,기본데이타!$A$8:$BV$103,COLUMN(기본데이타!BA$8),0))</f>
        <v/>
      </c>
      <c r="AX24" s="597" t="str">
        <f>IF($A24="","",VLOOKUP($A24,기본데이타!$A$8:$BV$103,COLUMN(기본데이타!BB$8),0))</f>
        <v/>
      </c>
      <c r="AY24" s="597" t="str">
        <f>IF($A24="","",VLOOKUP($A24,기본데이타!$A$8:$BV$103,COLUMN(기본데이타!BC$8),0))</f>
        <v/>
      </c>
      <c r="AZ24" s="597" t="str">
        <f>IF($A24="","",VLOOKUP($A24,기본데이타!$A$8:$BV$103,COLUMN(기본데이타!BD$8),0))</f>
        <v/>
      </c>
      <c r="BA24" s="597" t="str">
        <f>IF($A24="","",VLOOKUP($A24,기본데이타!$A$8:$BV$103,COLUMN(기본데이타!BE$8),0))</f>
        <v/>
      </c>
      <c r="BB24" s="597" t="str">
        <f>IF($A24="","",VLOOKUP($A24,기본데이타!$A$8:$BV$103,COLUMN(기본데이타!BF$8),0))</f>
        <v/>
      </c>
      <c r="BC24" s="597" t="str">
        <f>IF($A24="","",VLOOKUP($A24,기본데이타!$A$8:$BV$103,COLUMN(기본데이타!BG$8),0))</f>
        <v/>
      </c>
      <c r="BD24" s="597" t="str">
        <f>IF($A24="","",VLOOKUP($A24,기본데이타!$A$8:$BV$103,COLUMN(기본데이타!BH$8),0))</f>
        <v/>
      </c>
      <c r="BE24" s="597" t="str">
        <f>IF($A24="","",VLOOKUP($A24,기본데이타!$A$8:$BV$103,COLUMN(기본데이타!BI$8),0))</f>
        <v/>
      </c>
      <c r="BF24" s="597" t="str">
        <f>IF($A24="","",VLOOKUP($A24,기본데이타!$A$8:$BV$103,COLUMN(기본데이타!BJ$8),0))</f>
        <v/>
      </c>
      <c r="BG24" s="597" t="str">
        <f>IF($A24="","",VLOOKUP($A24,기본데이타!$A$8:$BV$103,COLUMN(기본데이타!BK$8),0))</f>
        <v/>
      </c>
      <c r="BH24" s="597" t="str">
        <f>IF($A24="","",VLOOKUP($A24,기본데이타!$A$8:$BV$103,COLUMN(기본데이타!BL$8),0))</f>
        <v/>
      </c>
      <c r="BI24" s="597" t="str">
        <f>IF($A24="","",VLOOKUP($A24,기본데이타!$A$8:$BV$103,COLUMN(기본데이타!BM$8),0))</f>
        <v/>
      </c>
      <c r="BJ24" s="597" t="str">
        <f>IF($A24="","",VLOOKUP($A24,기본데이타!$A$8:$BV$103,COLUMN(기본데이타!BN$8),0))</f>
        <v/>
      </c>
      <c r="BK24" s="597" t="str">
        <f>IF($A24="","",VLOOKUP($A24,기본데이타!$A$8:$BV$103,COLUMN(기본데이타!BO$8),0))</f>
        <v/>
      </c>
      <c r="BL24" s="597" t="str">
        <f>IF($A24="","",VLOOKUP($A24,기본데이타!$A$8:$BV$103,COLUMN(기본데이타!BP$8),0))</f>
        <v/>
      </c>
      <c r="BM24" s="597" t="str">
        <f>IF($A24="","",VLOOKUP($A24,기본데이타!$A$8:$BV$103,COLUMN(기본데이타!BQ$8),0))</f>
        <v/>
      </c>
      <c r="BN24" s="599" t="str">
        <f>IF($A24="","",VLOOKUP($A24,기본데이타!$A$8:$BV$103,COLUMN(기본데이타!BR$8),0))</f>
        <v/>
      </c>
      <c r="BO24" s="600" t="str">
        <f>IF($A24="","",VLOOKUP($A24,기본데이타!$A$8:$BV$103,COLUMN(기본데이타!BS$8),0))</f>
        <v/>
      </c>
      <c r="BP24" s="623" t="str">
        <f>IF($A24="","",VLOOKUP($A24,기본데이타!$A$8:$BV$103,COLUMN(기본데이타!BT$8),0))</f>
        <v/>
      </c>
      <c r="BQ24" s="602" t="str">
        <f>IF($A24="","",VLOOKUP($A24,기본데이타!$A$8:$BV$103,COLUMN(기본데이타!BU$8),0))</f>
        <v/>
      </c>
      <c r="BR24" s="603" t="str">
        <f t="shared" si="3"/>
        <v/>
      </c>
    </row>
    <row r="25" spans="1:70" s="571" customFormat="1" ht="61.5" hidden="1" customHeight="1" thickBot="1">
      <c r="A25" s="1767"/>
      <c r="B25" s="1642"/>
      <c r="C25" s="657"/>
      <c r="D25" s="1786" t="str">
        <f>IF($A25="","",VLOOKUP($A25,기본데이타!$A$8:$BV$103,COLUMN(기본데이타!F$8),0))</f>
        <v/>
      </c>
      <c r="E25" s="1537" t="str">
        <f>IF($A25="","",VLOOKUP($A25,기본데이타!$A$8:$BV$103,COLUMN(기본데이타!G$8),0))</f>
        <v/>
      </c>
      <c r="F25" s="1538" t="str">
        <f>IF($A25="","",VLOOKUP($A25,기본데이타!$A$8:$BV$103,COLUMN(기본데이타!H$8),0))</f>
        <v/>
      </c>
      <c r="G25" s="1539" t="str">
        <f>IF($A25="","",VLOOKUP($A25,기본데이타!$A$8:$BV$103,COLUMN(기본데이타!I$8),0))</f>
        <v/>
      </c>
      <c r="H25" s="1539" t="str">
        <f>IF($A25="","",VLOOKUP($A25,기본데이타!$A$8:$BV$103,COLUMN(기본데이타!J$8),0))</f>
        <v/>
      </c>
      <c r="I25" s="1540" t="str">
        <f>IF($A25="","",VLOOKUP($A25,기본데이타!$A$8:$BV$103,COLUMN(기본데이타!K$8),0))</f>
        <v/>
      </c>
      <c r="J25" s="1540" t="str">
        <f>IF($A25="","",VLOOKUP($A25,기본데이타!$A$8:$BV$103,COLUMN(기본데이타!L$8),0))</f>
        <v/>
      </c>
      <c r="K25" s="1540" t="str">
        <f>IF($A25="","",VLOOKUP($A25,기본데이타!$A$8:$BV$103,COLUMN(기본데이타!M$8),0))</f>
        <v/>
      </c>
      <c r="L25" s="1541" t="str">
        <f>IF($A25="","",VLOOKUP($A25,기본데이타!$A$8:$BV$103,COLUMN(기본데이타!N$8),0))</f>
        <v/>
      </c>
      <c r="M25" s="1540" t="str">
        <f>IF($A25="","",VLOOKUP($A25,기본데이타!$A$8:$BV$103,COLUMN(기본데이타!O$8),0))</f>
        <v/>
      </c>
      <c r="N25" s="1541" t="str">
        <f>IF($A25="","",VLOOKUP($A25,기본데이타!$A$8:$BV$103,COLUMN(기본데이타!P$8),0))</f>
        <v/>
      </c>
      <c r="O25" s="1541" t="str">
        <f>IF($A25="","",VLOOKUP($A25,기본데이타!$A$8:$BV$103,COLUMN(기본데이타!Q$8),0))</f>
        <v/>
      </c>
      <c r="P25" s="1541" t="str">
        <f>IF($A25="","",VLOOKUP($A25,기본데이타!$A$8:$BV$103,COLUMN(기본데이타!R$8),0))</f>
        <v/>
      </c>
      <c r="Q25" s="1541" t="str">
        <f>IF($A25="","",VLOOKUP($A25,기본데이타!$A$8:$BV$103,COLUMN(기본데이타!S$8),0))</f>
        <v/>
      </c>
      <c r="R25" s="1541" t="str">
        <f>IF($A25="","",VLOOKUP($A25,기본데이타!$A$8:$BV$103,COLUMN(기본데이타!T$8),0))</f>
        <v/>
      </c>
      <c r="S25" s="1541" t="str">
        <f>IF($A25="","",VLOOKUP($A25,기본데이타!$A$8:$BV$103,COLUMN(기본데이타!U$8),0))</f>
        <v/>
      </c>
      <c r="T25" s="1541" t="str">
        <f>IF($A25="","",VLOOKUP($A25,기본데이타!$A$8:$BV$103,COLUMN(기본데이타!V$8),0))</f>
        <v/>
      </c>
      <c r="U25" s="1541" t="str">
        <f>IF($A25="","",VLOOKUP($A25,기본데이타!$A$8:$BV$103,COLUMN(기본데이타!W$8),0))</f>
        <v/>
      </c>
      <c r="V25" s="1541" t="str">
        <f>IF($A25="","",VLOOKUP($A25,기본데이타!$A$8:$BV$103,COLUMN(기본데이타!X$8),0))</f>
        <v/>
      </c>
      <c r="W25" s="1541" t="str">
        <f>IF($A25="","",VLOOKUP($A25,기본데이타!$A$8:$BV$103,COLUMN(기본데이타!AA$8),0))</f>
        <v/>
      </c>
      <c r="X25" s="1541" t="str">
        <f>IF($A25="","",VLOOKUP($A25,기본데이타!$A$8:$BV$103,COLUMN(기본데이타!AB$8),0))</f>
        <v/>
      </c>
      <c r="Y25" s="1540" t="str">
        <f>IF($A25="","",VLOOKUP($A25,기본데이타!$A$8:$BV$103,COLUMN(기본데이타!AC$8),0))</f>
        <v/>
      </c>
      <c r="Z25" s="1541" t="str">
        <f>IF($A25="","",VLOOKUP($A25,기본데이타!$A$8:$BV$103,COLUMN(기본데이타!AD$8),0))</f>
        <v/>
      </c>
      <c r="AA25" s="1540" t="str">
        <f>IF($A25="","",VLOOKUP($A25,기본데이타!$A$8:$BV$103,COLUMN(기본데이타!AE$8),0))</f>
        <v/>
      </c>
      <c r="AB25" s="1541" t="str">
        <f>IF($A25="","",VLOOKUP($A25,기본데이타!$A$8:$BV$103,COLUMN(기본데이타!AF$8),0))</f>
        <v/>
      </c>
      <c r="AC25" s="1540" t="str">
        <f>IF($A25="","",VLOOKUP($A25,기본데이타!$A$8:$BV$103,COLUMN(기본데이타!AG$8),0))</f>
        <v/>
      </c>
      <c r="AD25" s="1541" t="str">
        <f>IF($A25="","",VLOOKUP($A25,기본데이타!$A$8:$BV$103,COLUMN(기본데이타!AH$8),0))</f>
        <v/>
      </c>
      <c r="AE25" s="1540" t="str">
        <f>IF($A25="","",VLOOKUP($A25,기본데이타!$A$8:$BV$103,COLUMN(기본데이타!AI$8),0))</f>
        <v/>
      </c>
      <c r="AF25" s="1542" t="str">
        <f>IF($A25="","",VLOOKUP($A25,기본데이타!$A$8:$BV$103,COLUMN(기본데이타!AJ$8),0))</f>
        <v/>
      </c>
      <c r="AG25" s="1047" t="str">
        <f>IF($A25="","",VLOOKUP($A25,기본데이타!$A$8:$BV$103,COLUMN(기본데이타!AK$8),0))</f>
        <v/>
      </c>
      <c r="AH25" s="1047" t="str">
        <f>IF($A25="","",VLOOKUP($A25,기본데이타!$A$8:$BV$103,COLUMN(기본데이타!AL$8),0))</f>
        <v/>
      </c>
      <c r="AI25" s="1047" t="str">
        <f>IF($A25="","",VLOOKUP($A25,기본데이타!$A$8:$BV$103,COLUMN(기본데이타!AM$8),0))</f>
        <v/>
      </c>
      <c r="AJ25" s="1047" t="str">
        <f>IF($A25="","",VLOOKUP($A25,기본데이타!$A$8:$BV$103,COLUMN(기본데이타!AN$8),0))</f>
        <v/>
      </c>
      <c r="AK25" s="1047" t="str">
        <f>IF($A25="","",VLOOKUP($A25,기본데이타!$A$8:$BV$103,COLUMN(기본데이타!AO$8),0))</f>
        <v/>
      </c>
      <c r="AL25" s="1047" t="str">
        <f>IF($A25="","",VLOOKUP($A25,기본데이타!$A$8:$BV$103,COLUMN(기본데이타!AP$8),0))</f>
        <v/>
      </c>
      <c r="AM25" s="1047" t="str">
        <f>IF($A25="","",VLOOKUP($A25,기본데이타!$A$8:$BV$103,COLUMN(기본데이타!AQ$8),0))</f>
        <v/>
      </c>
      <c r="AN25" s="1047" t="str">
        <f>IF($A25="","",VLOOKUP($A25,기본데이타!$A$8:$BV$103,COLUMN(기본데이타!AR$8),0))</f>
        <v/>
      </c>
      <c r="AO25" s="1047" t="str">
        <f>IF($A25="","",VLOOKUP($A25,기본데이타!$A$8:$BV$103,COLUMN(기본데이타!AS$8),0))</f>
        <v/>
      </c>
      <c r="AP25" s="1047" t="str">
        <f>IF($A25="","",VLOOKUP($A25,기본데이타!$A$8:$BV$103,COLUMN(기본데이타!AT$8),0))</f>
        <v/>
      </c>
      <c r="AQ25" s="1047" t="str">
        <f>IF($A25="","",VLOOKUP($A25,기본데이타!$A$8:$BV$103,COLUMN(기본데이타!AU$8),0))</f>
        <v/>
      </c>
      <c r="AR25" s="1613" t="str">
        <f>IF($A25="","",VLOOKUP($A25,기본데이타!$A$8:$BV$103,COLUMN(기본데이타!AV$8),0))</f>
        <v/>
      </c>
      <c r="AS25" s="1541" t="str">
        <f>IF($A25="","",VLOOKUP($A25,기본데이타!$A$8:$BV$103,COLUMN(기본데이타!AW$8),0))</f>
        <v/>
      </c>
      <c r="AT25" s="1541" t="str">
        <f>IF($A25="","",VLOOKUP($A25,기본데이타!$A$8:$BV$103,COLUMN(기본데이타!AX$8),0))</f>
        <v/>
      </c>
      <c r="AU25" s="1541" t="str">
        <f>IF($A25="","",VLOOKUP($A25,기본데이타!$A$8:$BV$103,COLUMN(기본데이타!AY$8),0))</f>
        <v/>
      </c>
      <c r="AV25" s="1541" t="str">
        <f t="shared" si="2"/>
        <v/>
      </c>
      <c r="AW25" s="1542" t="str">
        <f>IF($A25="","",VLOOKUP($A25,기본데이타!$A$8:$BV$103,COLUMN(기본데이타!BA$8),0))</f>
        <v/>
      </c>
      <c r="AX25" s="1542" t="str">
        <f>IF($A25="","",VLOOKUP($A25,기본데이타!$A$8:$BV$103,COLUMN(기본데이타!BB$8),0))</f>
        <v/>
      </c>
      <c r="AY25" s="1542" t="str">
        <f>IF($A25="","",VLOOKUP($A25,기본데이타!$A$8:$BV$103,COLUMN(기본데이타!BC$8),0))</f>
        <v/>
      </c>
      <c r="AZ25" s="1542" t="str">
        <f>IF($A25="","",VLOOKUP($A25,기본데이타!$A$8:$BV$103,COLUMN(기본데이타!BD$8),0))</f>
        <v/>
      </c>
      <c r="BA25" s="1542" t="str">
        <f>IF($A25="","",VLOOKUP($A25,기본데이타!$A$8:$BV$103,COLUMN(기본데이타!BE$8),0))</f>
        <v/>
      </c>
      <c r="BB25" s="1542" t="str">
        <f>IF($A25="","",VLOOKUP($A25,기본데이타!$A$8:$BV$103,COLUMN(기본데이타!BF$8),0))</f>
        <v/>
      </c>
      <c r="BC25" s="1542" t="str">
        <f>IF($A25="","",VLOOKUP($A25,기본데이타!$A$8:$BV$103,COLUMN(기본데이타!BG$8),0))</f>
        <v/>
      </c>
      <c r="BD25" s="1542" t="str">
        <f>IF($A25="","",VLOOKUP($A25,기본데이타!$A$8:$BV$103,COLUMN(기본데이타!BH$8),0))</f>
        <v/>
      </c>
      <c r="BE25" s="1542" t="str">
        <f>IF($A25="","",VLOOKUP($A25,기본데이타!$A$8:$BV$103,COLUMN(기본데이타!BI$8),0))</f>
        <v/>
      </c>
      <c r="BF25" s="1542" t="str">
        <f>IF($A25="","",VLOOKUP($A25,기본데이타!$A$8:$BV$103,COLUMN(기본데이타!BJ$8),0))</f>
        <v/>
      </c>
      <c r="BG25" s="1542" t="str">
        <f>IF($A25="","",VLOOKUP($A25,기본데이타!$A$8:$BV$103,COLUMN(기본데이타!BK$8),0))</f>
        <v/>
      </c>
      <c r="BH25" s="1542" t="str">
        <f>IF($A25="","",VLOOKUP($A25,기본데이타!$A$8:$BV$103,COLUMN(기본데이타!BL$8),0))</f>
        <v/>
      </c>
      <c r="BI25" s="1542" t="str">
        <f>IF($A25="","",VLOOKUP($A25,기본데이타!$A$8:$BV$103,COLUMN(기본데이타!BM$8),0))</f>
        <v/>
      </c>
      <c r="BJ25" s="1542" t="str">
        <f>IF($A25="","",VLOOKUP($A25,기본데이타!$A$8:$BV$103,COLUMN(기본데이타!BN$8),0))</f>
        <v/>
      </c>
      <c r="BK25" s="1542" t="str">
        <f>IF($A25="","",VLOOKUP($A25,기본데이타!$A$8:$BV$103,COLUMN(기본데이타!BO$8),0))</f>
        <v/>
      </c>
      <c r="BL25" s="1542" t="str">
        <f>IF($A25="","",VLOOKUP($A25,기본데이타!$A$8:$BV$103,COLUMN(기본데이타!BP$8),0))</f>
        <v/>
      </c>
      <c r="BM25" s="1542" t="str">
        <f>IF($A25="","",VLOOKUP($A25,기본데이타!$A$8:$BV$103,COLUMN(기본데이타!BQ$8),0))</f>
        <v/>
      </c>
      <c r="BN25" s="1545" t="str">
        <f>IF($A25="","",VLOOKUP($A25,기본데이타!$A$8:$BV$103,COLUMN(기본데이타!BR$8),0))</f>
        <v/>
      </c>
      <c r="BO25" s="1546" t="str">
        <f>IF($A25="","",VLOOKUP($A25,기본데이타!$A$8:$BV$103,COLUMN(기본데이타!BS$8),0))</f>
        <v/>
      </c>
      <c r="BP25" s="1547" t="str">
        <f>IF($A25="","",VLOOKUP($A25,기본데이타!$A$8:$BV$103,COLUMN(기본데이타!BT$8),0))</f>
        <v/>
      </c>
      <c r="BQ25" s="1548" t="str">
        <f>IF($A25="","",VLOOKUP($A25,기본데이타!$A$8:$BV$103,COLUMN(기본데이타!BU$8),0))</f>
        <v/>
      </c>
      <c r="BR25" s="1549" t="str">
        <f t="shared" si="3"/>
        <v/>
      </c>
    </row>
    <row r="26" spans="1:70" s="571" customFormat="1" ht="61.5" hidden="1" customHeight="1">
      <c r="A26" s="578"/>
      <c r="B26" s="1642"/>
      <c r="C26" s="590"/>
      <c r="D26" s="672" t="str">
        <f>IF($A26="","",VLOOKUP($A26,기본데이타!$A$8:$BV$103,COLUMN(기본데이타!F$8),0))</f>
        <v/>
      </c>
      <c r="E26" s="592" t="str">
        <f>IF($A26="","",VLOOKUP($A26,기본데이타!$A$8:$BV$103,COLUMN(기본데이타!G$8),0))</f>
        <v/>
      </c>
      <c r="F26" s="593" t="str">
        <f>IF($A26="","",VLOOKUP($A26,기본데이타!$A$8:$BV$103,COLUMN(기본데이타!H$8),0))</f>
        <v/>
      </c>
      <c r="G26" s="594" t="str">
        <f>IF($A26="","",VLOOKUP($A26,기본데이타!$A$8:$BV$103,COLUMN(기본데이타!I$8),0))</f>
        <v/>
      </c>
      <c r="H26" s="594" t="str">
        <f>IF($A26="","",VLOOKUP($A26,기본데이타!$A$8:$BV$103,COLUMN(기본데이타!J$8),0))</f>
        <v/>
      </c>
      <c r="I26" s="595" t="str">
        <f>IF($A26="","",VLOOKUP($A26,기본데이타!$A$8:$BV$103,COLUMN(기본데이타!K$8),0))</f>
        <v/>
      </c>
      <c r="J26" s="595" t="str">
        <f>IF($A26="","",VLOOKUP($A26,기본데이타!$A$8:$BV$103,COLUMN(기본데이타!L$8),0))</f>
        <v/>
      </c>
      <c r="K26" s="595" t="str">
        <f>IF($A26="","",VLOOKUP($A26,기본데이타!$A$8:$BV$103,COLUMN(기본데이타!M$8),0))</f>
        <v/>
      </c>
      <c r="L26" s="596" t="str">
        <f>IF($A26="","",VLOOKUP($A26,기본데이타!$A$8:$BV$103,COLUMN(기본데이타!N$8),0))</f>
        <v/>
      </c>
      <c r="M26" s="595" t="str">
        <f>IF($A26="","",VLOOKUP($A26,기본데이타!$A$8:$BV$103,COLUMN(기본데이타!O$8),0))</f>
        <v/>
      </c>
      <c r="N26" s="596" t="str">
        <f>IF($A26="","",VLOOKUP($A26,기본데이타!$A$8:$BV$103,COLUMN(기본데이타!P$8),0))</f>
        <v/>
      </c>
      <c r="O26" s="596" t="str">
        <f>IF($A26="","",VLOOKUP($A26,기본데이타!$A$8:$BV$103,COLUMN(기본데이타!Q$8),0))</f>
        <v/>
      </c>
      <c r="P26" s="596" t="str">
        <f>IF($A26="","",VLOOKUP($A26,기본데이타!$A$8:$BV$103,COLUMN(기본데이타!R$8),0))</f>
        <v/>
      </c>
      <c r="Q26" s="596" t="str">
        <f>IF($A26="","",VLOOKUP($A26,기본데이타!$A$8:$BV$103,COLUMN(기본데이타!S$8),0))</f>
        <v/>
      </c>
      <c r="R26" s="596" t="str">
        <f>IF($A26="","",VLOOKUP($A26,기본데이타!$A$8:$BV$103,COLUMN(기본데이타!T$8),0))</f>
        <v/>
      </c>
      <c r="S26" s="596" t="str">
        <f>IF($A26="","",VLOOKUP($A26,기본데이타!$A$8:$BV$103,COLUMN(기본데이타!U$8),0))</f>
        <v/>
      </c>
      <c r="T26" s="596" t="str">
        <f>IF($A26="","",VLOOKUP($A26,기본데이타!$A$8:$BV$103,COLUMN(기본데이타!V$8),0))</f>
        <v/>
      </c>
      <c r="U26" s="596" t="str">
        <f>IF($A26="","",VLOOKUP($A26,기본데이타!$A$8:$BV$103,COLUMN(기본데이타!W$8),0))</f>
        <v/>
      </c>
      <c r="V26" s="596" t="str">
        <f>IF($A26="","",VLOOKUP($A26,기본데이타!$A$8:$BV$103,COLUMN(기본데이타!X$8),0))</f>
        <v/>
      </c>
      <c r="W26" s="596" t="str">
        <f>IF($A26="","",VLOOKUP($A26,기본데이타!$A$8:$BV$103,COLUMN(기본데이타!AA$8),0))</f>
        <v/>
      </c>
      <c r="X26" s="596" t="str">
        <f>IF($A26="","",VLOOKUP($A26,기본데이타!$A$8:$BV$103,COLUMN(기본데이타!AB$8),0))</f>
        <v/>
      </c>
      <c r="Y26" s="595" t="str">
        <f>IF($A26="","",VLOOKUP($A26,기본데이타!$A$8:$BV$103,COLUMN(기본데이타!AC$8),0))</f>
        <v/>
      </c>
      <c r="Z26" s="596" t="str">
        <f>IF($A26="","",VLOOKUP($A26,기본데이타!$A$8:$BV$103,COLUMN(기본데이타!AD$8),0))</f>
        <v/>
      </c>
      <c r="AA26" s="595" t="str">
        <f>IF($A26="","",VLOOKUP($A26,기본데이타!$A$8:$BV$103,COLUMN(기본데이타!AE$8),0))</f>
        <v/>
      </c>
      <c r="AB26" s="596" t="str">
        <f>IF($A26="","",VLOOKUP($A26,기본데이타!$A$8:$BV$103,COLUMN(기본데이타!AF$8),0))</f>
        <v/>
      </c>
      <c r="AC26" s="595" t="str">
        <f>IF($A26="","",VLOOKUP($A26,기본데이타!$A$8:$BV$103,COLUMN(기본데이타!AG$8),0))</f>
        <v/>
      </c>
      <c r="AD26" s="596" t="str">
        <f>IF($A26="","",VLOOKUP($A26,기본데이타!$A$8:$BV$103,COLUMN(기본데이타!AH$8),0))</f>
        <v/>
      </c>
      <c r="AE26" s="595" t="str">
        <f>IF($A26="","",VLOOKUP($A26,기본데이타!$A$8:$BV$103,COLUMN(기본데이타!AI$8),0))</f>
        <v/>
      </c>
      <c r="AF26" s="597" t="str">
        <f>IF($A26="","",VLOOKUP($A26,기본데이타!$A$8:$BV$103,COLUMN(기본데이타!AJ$8),0))</f>
        <v/>
      </c>
      <c r="AG26" s="597" t="str">
        <f>IF($A26="","",VLOOKUP($A26,기본데이타!$A$8:$BV$103,COLUMN(기본데이타!AK$8),0))</f>
        <v/>
      </c>
      <c r="AH26" s="597" t="str">
        <f>IF($A26="","",VLOOKUP($A26,기본데이타!$A$8:$BV$103,COLUMN(기본데이타!AL$8),0))</f>
        <v/>
      </c>
      <c r="AI26" s="597" t="str">
        <f>IF($A26="","",VLOOKUP($A26,기본데이타!$A$8:$BV$103,COLUMN(기본데이타!AM$8),0))</f>
        <v/>
      </c>
      <c r="AJ26" s="597" t="str">
        <f>IF($A26="","",VLOOKUP($A26,기본데이타!$A$8:$BV$103,COLUMN(기본데이타!AN$8),0))</f>
        <v/>
      </c>
      <c r="AK26" s="597" t="str">
        <f>IF($A26="","",VLOOKUP($A26,기본데이타!$A$8:$BV$103,COLUMN(기본데이타!AO$8),0))</f>
        <v/>
      </c>
      <c r="AL26" s="597" t="str">
        <f>IF($A26="","",VLOOKUP($A26,기본데이타!$A$8:$BV$103,COLUMN(기본데이타!AP$8),0))</f>
        <v/>
      </c>
      <c r="AM26" s="597" t="str">
        <f>IF($A26="","",VLOOKUP($A26,기본데이타!$A$8:$BV$103,COLUMN(기본데이타!AQ$8),0))</f>
        <v/>
      </c>
      <c r="AN26" s="597" t="str">
        <f>IF($A26="","",VLOOKUP($A26,기본데이타!$A$8:$BV$103,COLUMN(기본데이타!AR$8),0))</f>
        <v/>
      </c>
      <c r="AO26" s="597" t="str">
        <f>IF($A26="","",VLOOKUP($A26,기본데이타!$A$8:$BV$103,COLUMN(기본데이타!AS$8),0))</f>
        <v/>
      </c>
      <c r="AP26" s="597" t="str">
        <f>IF($A26="","",VLOOKUP($A26,기본데이타!$A$8:$BV$103,COLUMN(기본데이타!AT$8),0))</f>
        <v/>
      </c>
      <c r="AQ26" s="597" t="str">
        <f>IF($A26="","",VLOOKUP($A26,기본데이타!$A$8:$BV$103,COLUMN(기본데이타!AU$8),0))</f>
        <v/>
      </c>
      <c r="AR26" s="622" t="str">
        <f>IF($A26="","",VLOOKUP($A26,기본데이타!$A$8:$BV$103,COLUMN(기본데이타!AV$8),0))</f>
        <v/>
      </c>
      <c r="AS26" s="596" t="str">
        <f>IF($A26="","",VLOOKUP($A26,기본데이타!$A$8:$BV$103,COLUMN(기본데이타!AW$8),0))</f>
        <v/>
      </c>
      <c r="AT26" s="596" t="str">
        <f>IF($A26="","",VLOOKUP($A26,기본데이타!$A$8:$BV$103,COLUMN(기본데이타!AX$8),0))</f>
        <v/>
      </c>
      <c r="AU26" s="596" t="str">
        <f>IF($A26="","",VLOOKUP($A26,기본데이타!$A$8:$BV$103,COLUMN(기본데이타!AY$8),0))</f>
        <v/>
      </c>
      <c r="AV26" s="596" t="str">
        <f t="shared" si="2"/>
        <v/>
      </c>
      <c r="AW26" s="597" t="str">
        <f>IF($A26="","",VLOOKUP($A26,기본데이타!$A$8:$BV$103,COLUMN(기본데이타!BA$8),0))</f>
        <v/>
      </c>
      <c r="AX26" s="597" t="str">
        <f>IF($A26="","",VLOOKUP($A26,기본데이타!$A$8:$BV$103,COLUMN(기본데이타!BB$8),0))</f>
        <v/>
      </c>
      <c r="AY26" s="597" t="str">
        <f>IF($A26="","",VLOOKUP($A26,기본데이타!$A$8:$BV$103,COLUMN(기본데이타!BC$8),0))</f>
        <v/>
      </c>
      <c r="AZ26" s="597" t="str">
        <f>IF($A26="","",VLOOKUP($A26,기본데이타!$A$8:$BV$103,COLUMN(기본데이타!BD$8),0))</f>
        <v/>
      </c>
      <c r="BA26" s="597" t="str">
        <f>IF($A26="","",VLOOKUP($A26,기본데이타!$A$8:$BV$103,COLUMN(기본데이타!BE$8),0))</f>
        <v/>
      </c>
      <c r="BB26" s="597" t="str">
        <f>IF($A26="","",VLOOKUP($A26,기본데이타!$A$8:$BV$103,COLUMN(기본데이타!BF$8),0))</f>
        <v/>
      </c>
      <c r="BC26" s="597" t="str">
        <f>IF($A26="","",VLOOKUP($A26,기본데이타!$A$8:$BV$103,COLUMN(기본데이타!BG$8),0))</f>
        <v/>
      </c>
      <c r="BD26" s="597" t="str">
        <f>IF($A26="","",VLOOKUP($A26,기본데이타!$A$8:$BV$103,COLUMN(기본데이타!BH$8),0))</f>
        <v/>
      </c>
      <c r="BE26" s="597" t="str">
        <f>IF($A26="","",VLOOKUP($A26,기본데이타!$A$8:$BV$103,COLUMN(기본데이타!BI$8),0))</f>
        <v/>
      </c>
      <c r="BF26" s="597" t="str">
        <f>IF($A26="","",VLOOKUP($A26,기본데이타!$A$8:$BV$103,COLUMN(기본데이타!BJ$8),0))</f>
        <v/>
      </c>
      <c r="BG26" s="597" t="str">
        <f>IF($A26="","",VLOOKUP($A26,기본데이타!$A$8:$BV$103,COLUMN(기본데이타!BK$8),0))</f>
        <v/>
      </c>
      <c r="BH26" s="597" t="str">
        <f>IF($A26="","",VLOOKUP($A26,기본데이타!$A$8:$BV$103,COLUMN(기본데이타!BL$8),0))</f>
        <v/>
      </c>
      <c r="BI26" s="597" t="str">
        <f>IF($A26="","",VLOOKUP($A26,기본데이타!$A$8:$BV$103,COLUMN(기본데이타!BM$8),0))</f>
        <v/>
      </c>
      <c r="BJ26" s="597" t="str">
        <f>IF($A26="","",VLOOKUP($A26,기본데이타!$A$8:$BV$103,COLUMN(기본데이타!BN$8),0))</f>
        <v/>
      </c>
      <c r="BK26" s="597" t="str">
        <f>IF($A26="","",VLOOKUP($A26,기본데이타!$A$8:$BV$103,COLUMN(기본데이타!BO$8),0))</f>
        <v/>
      </c>
      <c r="BL26" s="597" t="str">
        <f>IF($A26="","",VLOOKUP($A26,기본데이타!$A$8:$BV$103,COLUMN(기본데이타!BP$8),0))</f>
        <v/>
      </c>
      <c r="BM26" s="597" t="str">
        <f>IF($A26="","",VLOOKUP($A26,기본데이타!$A$8:$BV$103,COLUMN(기본데이타!BQ$8),0))</f>
        <v/>
      </c>
      <c r="BN26" s="599" t="str">
        <f>IF($A26="","",VLOOKUP($A26,기본데이타!$A$8:$BV$103,COLUMN(기본데이타!BR$8),0))</f>
        <v/>
      </c>
      <c r="BO26" s="600" t="str">
        <f>IF($A26="","",VLOOKUP($A26,기본데이타!$A$8:$BV$103,COLUMN(기본데이타!BS$8),0))</f>
        <v/>
      </c>
      <c r="BP26" s="623" t="str">
        <f>IF($A26="","",VLOOKUP($A26,기본데이타!$A$8:$BV$103,COLUMN(기본데이타!BT$8),0))</f>
        <v/>
      </c>
      <c r="BQ26" s="602" t="str">
        <f>IF($A26="","",VLOOKUP($A26,기본데이타!$A$8:$BV$103,COLUMN(기본데이타!BU$8),0))</f>
        <v/>
      </c>
      <c r="BR26" s="603" t="str">
        <f t="shared" si="3"/>
        <v/>
      </c>
    </row>
    <row r="27" spans="1:70" s="571" customFormat="1" ht="61.5" hidden="1" customHeight="1">
      <c r="A27" s="1098"/>
      <c r="B27" s="1642"/>
      <c r="C27" s="590"/>
      <c r="D27" s="1460" t="str">
        <f>IF($A27="","",VLOOKUP($A27,기본데이타!$A$8:$BV$103,COLUMN(기본데이타!F$8),0))</f>
        <v/>
      </c>
      <c r="E27" s="592" t="str">
        <f>IF($A27="","",VLOOKUP($A27,기본데이타!$A$8:$BV$103,COLUMN(기본데이타!G$8),0))</f>
        <v/>
      </c>
      <c r="F27" s="593" t="str">
        <f>IF($A27="","",VLOOKUP($A27,기본데이타!$A$8:$BV$103,COLUMN(기본데이타!H$8),0))</f>
        <v/>
      </c>
      <c r="G27" s="594" t="str">
        <f>IF($A27="","",VLOOKUP($A27,기본데이타!$A$8:$BV$103,COLUMN(기본데이타!I$8),0))</f>
        <v/>
      </c>
      <c r="H27" s="594" t="str">
        <f>IF($A27="","",VLOOKUP($A27,기본데이타!$A$8:$BV$103,COLUMN(기본데이타!J$8),0))</f>
        <v/>
      </c>
      <c r="I27" s="595" t="str">
        <f>IF($A27="","",VLOOKUP($A27,기본데이타!$A$8:$BV$103,COLUMN(기본데이타!K$8),0))</f>
        <v/>
      </c>
      <c r="J27" s="595" t="str">
        <f>IF($A27="","",VLOOKUP($A27,기본데이타!$A$8:$BV$103,COLUMN(기본데이타!L$8),0))</f>
        <v/>
      </c>
      <c r="K27" s="595" t="str">
        <f>IF($A27="","",VLOOKUP($A27,기본데이타!$A$8:$BV$103,COLUMN(기본데이타!M$8),0))</f>
        <v/>
      </c>
      <c r="L27" s="596" t="str">
        <f>IF($A27="","",VLOOKUP($A27,기본데이타!$A$8:$BV$103,COLUMN(기본데이타!N$8),0))</f>
        <v/>
      </c>
      <c r="M27" s="595" t="str">
        <f>IF($A27="","",VLOOKUP($A27,기본데이타!$A$8:$BV$103,COLUMN(기본데이타!O$8),0))</f>
        <v/>
      </c>
      <c r="N27" s="596" t="str">
        <f>IF($A27="","",VLOOKUP($A27,기본데이타!$A$8:$BV$103,COLUMN(기본데이타!P$8),0))</f>
        <v/>
      </c>
      <c r="O27" s="596" t="str">
        <f>IF($A27="","",VLOOKUP($A27,기본데이타!$A$8:$BV$103,COLUMN(기본데이타!Q$8),0))</f>
        <v/>
      </c>
      <c r="P27" s="596" t="str">
        <f>IF($A27="","",VLOOKUP($A27,기본데이타!$A$8:$BV$103,COLUMN(기본데이타!R$8),0))</f>
        <v/>
      </c>
      <c r="Q27" s="596" t="str">
        <f>IF($A27="","",VLOOKUP($A27,기본데이타!$A$8:$BV$103,COLUMN(기본데이타!S$8),0))</f>
        <v/>
      </c>
      <c r="R27" s="596" t="str">
        <f>IF($A27="","",VLOOKUP($A27,기본데이타!$A$8:$BV$103,COLUMN(기본데이타!T$8),0))</f>
        <v/>
      </c>
      <c r="S27" s="596" t="str">
        <f>IF($A27="","",VLOOKUP($A27,기본데이타!$A$8:$BV$103,COLUMN(기본데이타!U$8),0))</f>
        <v/>
      </c>
      <c r="T27" s="596" t="str">
        <f>IF($A27="","",VLOOKUP($A27,기본데이타!$A$8:$BV$103,COLUMN(기본데이타!V$8),0))</f>
        <v/>
      </c>
      <c r="U27" s="596" t="str">
        <f>IF($A27="","",VLOOKUP($A27,기본데이타!$A$8:$BV$103,COLUMN(기본데이타!W$8),0))</f>
        <v/>
      </c>
      <c r="V27" s="596" t="str">
        <f>IF($A27="","",VLOOKUP($A27,기본데이타!$A$8:$BV$103,COLUMN(기본데이타!X$8),0))</f>
        <v/>
      </c>
      <c r="W27" s="596" t="str">
        <f>IF($A27="","",VLOOKUP($A27,기본데이타!$A$8:$BV$103,COLUMN(기본데이타!AA$8),0))</f>
        <v/>
      </c>
      <c r="X27" s="596" t="str">
        <f>IF($A27="","",VLOOKUP($A27,기본데이타!$A$8:$BV$103,COLUMN(기본데이타!AB$8),0))</f>
        <v/>
      </c>
      <c r="Y27" s="595" t="str">
        <f>IF($A27="","",VLOOKUP($A27,기본데이타!$A$8:$BV$103,COLUMN(기본데이타!AC$8),0))</f>
        <v/>
      </c>
      <c r="Z27" s="596" t="str">
        <f>IF($A27="","",VLOOKUP($A27,기본데이타!$A$8:$BV$103,COLUMN(기본데이타!AD$8),0))</f>
        <v/>
      </c>
      <c r="AA27" s="595" t="str">
        <f>IF($A27="","",VLOOKUP($A27,기본데이타!$A$8:$BV$103,COLUMN(기본데이타!AE$8),0))</f>
        <v/>
      </c>
      <c r="AB27" s="596" t="str">
        <f>IF($A27="","",VLOOKUP($A27,기본데이타!$A$8:$BV$103,COLUMN(기본데이타!AF$8),0))</f>
        <v/>
      </c>
      <c r="AC27" s="595" t="str">
        <f>IF($A27="","",VLOOKUP($A27,기본데이타!$A$8:$BV$103,COLUMN(기본데이타!AG$8),0))</f>
        <v/>
      </c>
      <c r="AD27" s="596" t="str">
        <f>IF($A27="","",VLOOKUP($A27,기본데이타!$A$8:$BV$103,COLUMN(기본데이타!AH$8),0))</f>
        <v/>
      </c>
      <c r="AE27" s="595" t="str">
        <f>IF($A27="","",VLOOKUP($A27,기본데이타!$A$8:$BV$103,COLUMN(기본데이타!AI$8),0))</f>
        <v/>
      </c>
      <c r="AF27" s="597" t="str">
        <f>IF($A27="","",VLOOKUP($A27,기본데이타!$A$8:$BV$103,COLUMN(기본데이타!AJ$8),0))</f>
        <v/>
      </c>
      <c r="AG27" s="635" t="str">
        <f>IF($A27="","",VLOOKUP($A27,기본데이타!$A$8:$BV$103,COLUMN(기본데이타!AK$8),0))</f>
        <v/>
      </c>
      <c r="AH27" s="635" t="str">
        <f>IF($A27="","",VLOOKUP($A27,기본데이타!$A$8:$BV$103,COLUMN(기본데이타!AL$8),0))</f>
        <v/>
      </c>
      <c r="AI27" s="635" t="str">
        <f>IF($A27="","",VLOOKUP($A27,기본데이타!$A$8:$BV$103,COLUMN(기본데이타!AM$8),0))</f>
        <v/>
      </c>
      <c r="AJ27" s="635" t="str">
        <f>IF($A27="","",VLOOKUP($A27,기본데이타!$A$8:$BV$103,COLUMN(기본데이타!AN$8),0))</f>
        <v/>
      </c>
      <c r="AK27" s="635" t="str">
        <f>IF($A27="","",VLOOKUP($A27,기본데이타!$A$8:$BV$103,COLUMN(기본데이타!AO$8),0))</f>
        <v/>
      </c>
      <c r="AL27" s="635" t="str">
        <f>IF($A27="","",VLOOKUP($A27,기본데이타!$A$8:$BV$103,COLUMN(기본데이타!AP$8),0))</f>
        <v/>
      </c>
      <c r="AM27" s="635" t="str">
        <f>IF($A27="","",VLOOKUP($A27,기본데이타!$A$8:$BV$103,COLUMN(기본데이타!AQ$8),0))</f>
        <v/>
      </c>
      <c r="AN27" s="635" t="str">
        <f>IF($A27="","",VLOOKUP($A27,기본데이타!$A$8:$BV$103,COLUMN(기본데이타!AR$8),0))</f>
        <v/>
      </c>
      <c r="AO27" s="635" t="str">
        <f>IF($A27="","",VLOOKUP($A27,기본데이타!$A$8:$BV$103,COLUMN(기본데이타!AS$8),0))</f>
        <v/>
      </c>
      <c r="AP27" s="635" t="str">
        <f>IF($A27="","",VLOOKUP($A27,기본데이타!$A$8:$BV$103,COLUMN(기본데이타!AT$8),0))</f>
        <v/>
      </c>
      <c r="AQ27" s="635" t="str">
        <f>IF($A27="","",VLOOKUP($A27,기본데이타!$A$8:$BV$103,COLUMN(기본데이타!AU$8),0))</f>
        <v/>
      </c>
      <c r="AR27" s="598" t="str">
        <f>IF($A27="","",VLOOKUP($A27,기본데이타!$A$8:$BV$103,COLUMN(기본데이타!AV$8),0))</f>
        <v/>
      </c>
      <c r="AS27" s="596" t="str">
        <f>IF($A27="","",VLOOKUP($A27,기본데이타!$A$8:$BV$103,COLUMN(기본데이타!AW$8),0))</f>
        <v/>
      </c>
      <c r="AT27" s="596" t="str">
        <f>IF($A27="","",VLOOKUP($A27,기본데이타!$A$8:$BV$103,COLUMN(기본데이타!AX$8),0))</f>
        <v/>
      </c>
      <c r="AU27" s="596" t="str">
        <f>IF($A27="","",VLOOKUP($A27,기본데이타!$A$8:$BV$103,COLUMN(기본데이타!AY$8),0))</f>
        <v/>
      </c>
      <c r="AV27" s="596" t="str">
        <f t="shared" si="2"/>
        <v/>
      </c>
      <c r="AW27" s="597" t="str">
        <f>IF($A27="","",VLOOKUP($A27,기본데이타!$A$8:$BV$103,COLUMN(기본데이타!BA$8),0))</f>
        <v/>
      </c>
      <c r="AX27" s="597" t="str">
        <f>IF($A27="","",VLOOKUP($A27,기본데이타!$A$8:$BV$103,COLUMN(기본데이타!BB$8),0))</f>
        <v/>
      </c>
      <c r="AY27" s="597" t="str">
        <f>IF($A27="","",VLOOKUP($A27,기본데이타!$A$8:$BV$103,COLUMN(기본데이타!BC$8),0))</f>
        <v/>
      </c>
      <c r="AZ27" s="597" t="str">
        <f>IF($A27="","",VLOOKUP($A27,기본데이타!$A$8:$BV$103,COLUMN(기본데이타!BD$8),0))</f>
        <v/>
      </c>
      <c r="BA27" s="597" t="str">
        <f>IF($A27="","",VLOOKUP($A27,기본데이타!$A$8:$BV$103,COLUMN(기본데이타!BE$8),0))</f>
        <v/>
      </c>
      <c r="BB27" s="597" t="str">
        <f>IF($A27="","",VLOOKUP($A27,기본데이타!$A$8:$BV$103,COLUMN(기본데이타!BF$8),0))</f>
        <v/>
      </c>
      <c r="BC27" s="597" t="str">
        <f>IF($A27="","",VLOOKUP($A27,기본데이타!$A$8:$BV$103,COLUMN(기본데이타!BG$8),0))</f>
        <v/>
      </c>
      <c r="BD27" s="597" t="str">
        <f>IF($A27="","",VLOOKUP($A27,기본데이타!$A$8:$BV$103,COLUMN(기본데이타!BH$8),0))</f>
        <v/>
      </c>
      <c r="BE27" s="597" t="str">
        <f>IF($A27="","",VLOOKUP($A27,기본데이타!$A$8:$BV$103,COLUMN(기본데이타!BI$8),0))</f>
        <v/>
      </c>
      <c r="BF27" s="597" t="str">
        <f>IF($A27="","",VLOOKUP($A27,기본데이타!$A$8:$BV$103,COLUMN(기본데이타!BJ$8),0))</f>
        <v/>
      </c>
      <c r="BG27" s="597" t="str">
        <f>IF($A27="","",VLOOKUP($A27,기본데이타!$A$8:$BV$103,COLUMN(기본데이타!BK$8),0))</f>
        <v/>
      </c>
      <c r="BH27" s="597" t="str">
        <f>IF($A27="","",VLOOKUP($A27,기본데이타!$A$8:$BV$103,COLUMN(기본데이타!BL$8),0))</f>
        <v/>
      </c>
      <c r="BI27" s="597" t="str">
        <f>IF($A27="","",VLOOKUP($A27,기본데이타!$A$8:$BV$103,COLUMN(기본데이타!BM$8),0))</f>
        <v/>
      </c>
      <c r="BJ27" s="597" t="str">
        <f>IF($A27="","",VLOOKUP($A27,기본데이타!$A$8:$BV$103,COLUMN(기본데이타!BN$8),0))</f>
        <v/>
      </c>
      <c r="BK27" s="597" t="str">
        <f>IF($A27="","",VLOOKUP($A27,기본데이타!$A$8:$BV$103,COLUMN(기본데이타!BO$8),0))</f>
        <v/>
      </c>
      <c r="BL27" s="597" t="str">
        <f>IF($A27="","",VLOOKUP($A27,기본데이타!$A$8:$BV$103,COLUMN(기본데이타!BP$8),0))</f>
        <v/>
      </c>
      <c r="BM27" s="597" t="str">
        <f>IF($A27="","",VLOOKUP($A27,기본데이타!$A$8:$BV$103,COLUMN(기본데이타!BQ$8),0))</f>
        <v/>
      </c>
      <c r="BN27" s="599" t="str">
        <f>IF($A27="","",VLOOKUP($A27,기본데이타!$A$8:$BV$103,COLUMN(기본데이타!BR$8),0))</f>
        <v/>
      </c>
      <c r="BO27" s="600" t="str">
        <f>IF($A27="","",VLOOKUP($A27,기본데이타!$A$8:$BV$103,COLUMN(기본데이타!BS$8),0))</f>
        <v/>
      </c>
      <c r="BP27" s="623" t="str">
        <f>IF($A27="","",VLOOKUP($A27,기본데이타!$A$8:$BV$103,COLUMN(기본데이타!BT$8),0))</f>
        <v/>
      </c>
      <c r="BQ27" s="602" t="str">
        <f>IF($A27="","",VLOOKUP($A27,기본데이타!$A$8:$BV$103,COLUMN(기본데이타!BU$8),0))</f>
        <v/>
      </c>
      <c r="BR27" s="603" t="str">
        <f t="shared" si="3"/>
        <v/>
      </c>
    </row>
    <row r="28" spans="1:70" s="571" customFormat="1" ht="61.5" hidden="1" customHeight="1">
      <c r="A28" s="578"/>
      <c r="B28" s="1642"/>
      <c r="C28" s="590"/>
      <c r="D28" s="1460" t="str">
        <f>IF($A28="","",VLOOKUP($A28,기본데이타!$A$8:$BV$103,COLUMN(기본데이타!F$8),0))</f>
        <v/>
      </c>
      <c r="E28" s="592" t="str">
        <f>IF($A28="","",VLOOKUP($A28,기본데이타!$A$8:$BV$103,COLUMN(기본데이타!G$8),0))</f>
        <v/>
      </c>
      <c r="F28" s="593" t="str">
        <f>IF($A28="","",VLOOKUP($A28,기본데이타!$A$8:$BV$103,COLUMN(기본데이타!H$8),0))</f>
        <v/>
      </c>
      <c r="G28" s="594" t="str">
        <f>IF($A28="","",VLOOKUP($A28,기본데이타!$A$8:$BV$103,COLUMN(기본데이타!I$8),0))</f>
        <v/>
      </c>
      <c r="H28" s="604" t="str">
        <f>IF($A28="","",VLOOKUP($A28,기본데이타!$A$8:$BV$103,COLUMN(기본데이타!J$8),0))</f>
        <v/>
      </c>
      <c r="I28" s="605" t="str">
        <f>IF($A28="","",VLOOKUP($A28,기본데이타!$A$8:$BV$103,COLUMN(기본데이타!K$8),0))</f>
        <v/>
      </c>
      <c r="J28" s="605" t="str">
        <f>IF($A28="","",VLOOKUP($A28,기본데이타!$A$8:$BV$103,COLUMN(기본데이타!L$8),0))</f>
        <v/>
      </c>
      <c r="K28" s="605" t="str">
        <f>IF($A28="","",VLOOKUP($A28,기본데이타!$A$8:$BV$103,COLUMN(기본데이타!M$8),0))</f>
        <v/>
      </c>
      <c r="L28" s="605" t="str">
        <f>IF($A28="","",VLOOKUP($A28,기본데이타!$A$8:$BV$103,COLUMN(기본데이타!N$8),0))</f>
        <v/>
      </c>
      <c r="M28" s="605" t="str">
        <f>IF($A28="","",VLOOKUP($A28,기본데이타!$A$8:$BV$103,COLUMN(기본데이타!O$8),0))</f>
        <v/>
      </c>
      <c r="N28" s="605" t="str">
        <f>IF($A28="","",VLOOKUP($A28,기본데이타!$A$8:$BV$103,COLUMN(기본데이타!P$8),0))</f>
        <v/>
      </c>
      <c r="O28" s="605" t="str">
        <f>IF($A28="","",VLOOKUP($A28,기본데이타!$A$8:$BV$103,COLUMN(기본데이타!Q$8),0))</f>
        <v/>
      </c>
      <c r="P28" s="605" t="str">
        <f>IF($A28="","",VLOOKUP($A28,기본데이타!$A$8:$BV$103,COLUMN(기본데이타!R$8),0))</f>
        <v/>
      </c>
      <c r="Q28" s="605" t="str">
        <f>IF($A28="","",VLOOKUP($A28,기본데이타!$A$8:$BV$103,COLUMN(기본데이타!S$8),0))</f>
        <v/>
      </c>
      <c r="R28" s="605" t="str">
        <f>IF($A28="","",VLOOKUP($A28,기본데이타!$A$8:$BV$103,COLUMN(기본데이타!T$8),0))</f>
        <v/>
      </c>
      <c r="S28" s="605" t="str">
        <f>IF($A28="","",VLOOKUP($A28,기본데이타!$A$8:$BV$103,COLUMN(기본데이타!U$8),0))</f>
        <v/>
      </c>
      <c r="T28" s="605" t="str">
        <f>IF($A28="","",VLOOKUP($A28,기본데이타!$A$8:$BV$103,COLUMN(기본데이타!V$8),0))</f>
        <v/>
      </c>
      <c r="U28" s="605" t="str">
        <f>IF($A28="","",VLOOKUP($A28,기본데이타!$A$8:$BV$103,COLUMN(기본데이타!W$8),0))</f>
        <v/>
      </c>
      <c r="V28" s="605" t="str">
        <f>IF($A28="","",VLOOKUP($A28,기본데이타!$A$8:$BV$103,COLUMN(기본데이타!X$8),0))</f>
        <v/>
      </c>
      <c r="W28" s="605" t="str">
        <f>IF($A28="","",VLOOKUP($A28,기본데이타!$A$8:$BV$103,COLUMN(기본데이타!AA$8),0))</f>
        <v/>
      </c>
      <c r="X28" s="605" t="str">
        <f>IF($A28="","",VLOOKUP($A28,기본데이타!$A$8:$BV$103,COLUMN(기본데이타!AB$8),0))</f>
        <v/>
      </c>
      <c r="Y28" s="605" t="str">
        <f>IF($A28="","",VLOOKUP($A28,기본데이타!$A$8:$BV$103,COLUMN(기본데이타!AC$8),0))</f>
        <v/>
      </c>
      <c r="Z28" s="605" t="str">
        <f>IF($A28="","",VLOOKUP($A28,기본데이타!$A$8:$BV$103,COLUMN(기본데이타!AD$8),0))</f>
        <v/>
      </c>
      <c r="AA28" s="605" t="str">
        <f>IF($A28="","",VLOOKUP($A28,기본데이타!$A$8:$BV$103,COLUMN(기본데이타!AE$8),0))</f>
        <v/>
      </c>
      <c r="AB28" s="605" t="str">
        <f>IF($A28="","",VLOOKUP($A28,기본데이타!$A$8:$BV$103,COLUMN(기본데이타!AF$8),0))</f>
        <v/>
      </c>
      <c r="AC28" s="605" t="str">
        <f>IF($A28="","",VLOOKUP($A28,기본데이타!$A$8:$BV$103,COLUMN(기본데이타!AG$8),0))</f>
        <v/>
      </c>
      <c r="AD28" s="605" t="str">
        <f>IF($A28="","",VLOOKUP($A28,기본데이타!$A$8:$BV$103,COLUMN(기본데이타!AH$8),0))</f>
        <v/>
      </c>
      <c r="AE28" s="605" t="str">
        <f>IF($A28="","",VLOOKUP($A28,기본데이타!$A$8:$BV$103,COLUMN(기본데이타!AI$8),0))</f>
        <v/>
      </c>
      <c r="AF28" s="605" t="str">
        <f>IF($A28="","",VLOOKUP($A28,기본데이타!$A$8:$BV$103,COLUMN(기본데이타!AJ$8),0))</f>
        <v/>
      </c>
      <c r="AG28" s="635" t="str">
        <f>IF($A28="","",VLOOKUP($A28,기본데이타!$A$8:$BV$103,COLUMN(기본데이타!AK$8),0))</f>
        <v/>
      </c>
      <c r="AH28" s="635" t="str">
        <f>IF($A28="","",VLOOKUP($A28,기본데이타!$A$8:$BV$103,COLUMN(기본데이타!AL$8),0))</f>
        <v/>
      </c>
      <c r="AI28" s="635" t="str">
        <f>IF($A28="","",VLOOKUP($A28,기본데이타!$A$8:$BV$103,COLUMN(기본데이타!AM$8),0))</f>
        <v/>
      </c>
      <c r="AJ28" s="635" t="str">
        <f>IF($A28="","",VLOOKUP($A28,기본데이타!$A$8:$BV$103,COLUMN(기본데이타!AN$8),0))</f>
        <v/>
      </c>
      <c r="AK28" s="635" t="str">
        <f>IF($A28="","",VLOOKUP($A28,기본데이타!$A$8:$BV$103,COLUMN(기본데이타!AO$8),0))</f>
        <v/>
      </c>
      <c r="AL28" s="635" t="str">
        <f>IF($A28="","",VLOOKUP($A28,기본데이타!$A$8:$BV$103,COLUMN(기본데이타!AP$8),0))</f>
        <v/>
      </c>
      <c r="AM28" s="635" t="str">
        <f>IF($A28="","",VLOOKUP($A28,기본데이타!$A$8:$BV$103,COLUMN(기본데이타!AQ$8),0))</f>
        <v/>
      </c>
      <c r="AN28" s="635" t="str">
        <f>IF($A28="","",VLOOKUP($A28,기본데이타!$A$8:$BV$103,COLUMN(기본데이타!AR$8),0))</f>
        <v/>
      </c>
      <c r="AO28" s="635" t="str">
        <f>IF($A28="","",VLOOKUP($A28,기본데이타!$A$8:$BV$103,COLUMN(기본데이타!AS$8),0))</f>
        <v/>
      </c>
      <c r="AP28" s="635" t="str">
        <f>IF($A28="","",VLOOKUP($A28,기본데이타!$A$8:$BV$103,COLUMN(기본데이타!AT$8),0))</f>
        <v/>
      </c>
      <c r="AQ28" s="635" t="str">
        <f>IF($A28="","",VLOOKUP($A28,기본데이타!$A$8:$BV$103,COLUMN(기본데이타!AU$8),0))</f>
        <v/>
      </c>
      <c r="AR28" s="598" t="str">
        <f>IF($A28="","",VLOOKUP($A28,기본데이타!$A$8:$BV$103,COLUMN(기본데이타!AV$8),0))</f>
        <v/>
      </c>
      <c r="AS28" s="604" t="str">
        <f>IF($A28="","",VLOOKUP($A28,기본데이타!$A$8:$BV$103,COLUMN(기본데이타!AW$8),0))</f>
        <v/>
      </c>
      <c r="AT28" s="596" t="str">
        <f>IF($A28="","",VLOOKUP($A28,기본데이타!$A$8:$BV$103,COLUMN(기본데이타!AX$8),0))</f>
        <v/>
      </c>
      <c r="AU28" s="596" t="str">
        <f>IF($A28="","",VLOOKUP($A28,기본데이타!$A$8:$BV$103,COLUMN(기본데이타!AY$8),0))</f>
        <v/>
      </c>
      <c r="AV28" s="604" t="str">
        <f t="shared" si="2"/>
        <v/>
      </c>
      <c r="AW28" s="597" t="str">
        <f>IF($A28="","",VLOOKUP($A28,기본데이타!$A$8:$BV$103,COLUMN(기본데이타!BA$8),0))</f>
        <v/>
      </c>
      <c r="AX28" s="597" t="str">
        <f>IF($A28="","",VLOOKUP($A28,기본데이타!$A$8:$BV$103,COLUMN(기본데이타!BB$8),0))</f>
        <v/>
      </c>
      <c r="AY28" s="597" t="str">
        <f>IF($A28="","",VLOOKUP($A28,기본데이타!$A$8:$BV$103,COLUMN(기본데이타!BC$8),0))</f>
        <v/>
      </c>
      <c r="AZ28" s="597" t="str">
        <f>IF($A28="","",VLOOKUP($A28,기본데이타!$A$8:$BV$103,COLUMN(기본데이타!BD$8),0))</f>
        <v/>
      </c>
      <c r="BA28" s="597" t="str">
        <f>IF($A28="","",VLOOKUP($A28,기본데이타!$A$8:$BV$103,COLUMN(기본데이타!BE$8),0))</f>
        <v/>
      </c>
      <c r="BB28" s="597" t="str">
        <f>IF($A28="","",VLOOKUP($A28,기본데이타!$A$8:$BV$103,COLUMN(기본데이타!BF$8),0))</f>
        <v/>
      </c>
      <c r="BC28" s="597" t="str">
        <f>IF($A28="","",VLOOKUP($A28,기본데이타!$A$8:$BV$103,COLUMN(기본데이타!BG$8),0))</f>
        <v/>
      </c>
      <c r="BD28" s="597" t="str">
        <f>IF($A28="","",VLOOKUP($A28,기본데이타!$A$8:$BV$103,COLUMN(기본데이타!BH$8),0))</f>
        <v/>
      </c>
      <c r="BE28" s="597" t="str">
        <f>IF($A28="","",VLOOKUP($A28,기본데이타!$A$8:$BV$103,COLUMN(기본데이타!BI$8),0))</f>
        <v/>
      </c>
      <c r="BF28" s="597" t="str">
        <f>IF($A28="","",VLOOKUP($A28,기본데이타!$A$8:$BV$103,COLUMN(기본데이타!BJ$8),0))</f>
        <v/>
      </c>
      <c r="BG28" s="597" t="str">
        <f>IF($A28="","",VLOOKUP($A28,기본데이타!$A$8:$BV$103,COLUMN(기본데이타!BK$8),0))</f>
        <v/>
      </c>
      <c r="BH28" s="597" t="str">
        <f>IF($A28="","",VLOOKUP($A28,기본데이타!$A$8:$BV$103,COLUMN(기본데이타!BL$8),0))</f>
        <v/>
      </c>
      <c r="BI28" s="597" t="str">
        <f>IF($A28="","",VLOOKUP($A28,기본데이타!$A$8:$BV$103,COLUMN(기본데이타!BM$8),0))</f>
        <v/>
      </c>
      <c r="BJ28" s="597" t="str">
        <f>IF($A28="","",VLOOKUP($A28,기본데이타!$A$8:$BV$103,COLUMN(기본데이타!BN$8),0))</f>
        <v/>
      </c>
      <c r="BK28" s="597" t="str">
        <f>IF($A28="","",VLOOKUP($A28,기본데이타!$A$8:$BV$103,COLUMN(기본데이타!BO$8),0))</f>
        <v/>
      </c>
      <c r="BL28" s="597" t="str">
        <f>IF($A28="","",VLOOKUP($A28,기본데이타!$A$8:$BV$103,COLUMN(기본데이타!BP$8),0))</f>
        <v/>
      </c>
      <c r="BM28" s="597" t="str">
        <f>IF($A28="","",VLOOKUP($A28,기본데이타!$A$8:$BV$103,COLUMN(기본데이타!BQ$8),0))</f>
        <v/>
      </c>
      <c r="BN28" s="599" t="str">
        <f>IF($A28="","",VLOOKUP($A28,기본데이타!$A$8:$BV$103,COLUMN(기본데이타!BR$8),0))</f>
        <v/>
      </c>
      <c r="BO28" s="1504" t="str">
        <f>IF($A28="","",VLOOKUP($A28,기본데이타!$A$8:$BV$103,COLUMN(기본데이타!BS$8),0))</f>
        <v/>
      </c>
      <c r="BP28" s="623" t="str">
        <f>IF($A28="","",VLOOKUP($A28,기본데이타!$A$8:$BV$103,COLUMN(기본데이타!BT$8),0))</f>
        <v/>
      </c>
      <c r="BQ28" s="602" t="str">
        <f>IF($A28="","",VLOOKUP($A28,기본데이타!$A$8:$BV$103,COLUMN(기본데이타!BU$8),0))</f>
        <v/>
      </c>
      <c r="BR28" s="603" t="str">
        <f t="shared" si="3"/>
        <v/>
      </c>
    </row>
    <row r="29" spans="1:70" s="571" customFormat="1" ht="61.5" hidden="1" customHeight="1">
      <c r="A29" s="1098"/>
      <c r="B29" s="1642"/>
      <c r="C29" s="590"/>
      <c r="D29" s="591" t="str">
        <f>IF($A29="","",VLOOKUP($A29,기본데이타!$A$8:$BV$103,COLUMN(기본데이타!F$8),0))</f>
        <v/>
      </c>
      <c r="E29" s="592" t="str">
        <f>IF($A29="","",VLOOKUP($A29,기본데이타!$A$8:$BV$103,COLUMN(기본데이타!G$8),0))</f>
        <v/>
      </c>
      <c r="F29" s="593" t="str">
        <f>IF($A29="","",VLOOKUP($A29,기본데이타!$A$8:$BV$103,COLUMN(기본데이타!H$8),0))</f>
        <v/>
      </c>
      <c r="G29" s="594" t="str">
        <f>IF($A29="","",VLOOKUP($A29,기본데이타!$A$8:$BV$103,COLUMN(기본데이타!I$8),0))</f>
        <v/>
      </c>
      <c r="H29" s="594" t="str">
        <f>IF($A29="","",VLOOKUP($A29,기본데이타!$A$8:$BV$103,COLUMN(기본데이타!J$8),0))</f>
        <v/>
      </c>
      <c r="I29" s="595" t="str">
        <f>IF($A29="","",VLOOKUP($A29,기본데이타!$A$8:$BV$103,COLUMN(기본데이타!K$8),0))</f>
        <v/>
      </c>
      <c r="J29" s="595" t="str">
        <f>IF($A29="","",VLOOKUP($A29,기본데이타!$A$8:$BV$103,COLUMN(기본데이타!L$8),0))</f>
        <v/>
      </c>
      <c r="K29" s="595" t="str">
        <f>IF($A29="","",VLOOKUP($A29,기본데이타!$A$8:$BV$103,COLUMN(기본데이타!M$8),0))</f>
        <v/>
      </c>
      <c r="L29" s="596" t="str">
        <f>IF($A29="","",VLOOKUP($A29,기본데이타!$A$8:$BV$103,COLUMN(기본데이타!N$8),0))</f>
        <v/>
      </c>
      <c r="M29" s="595" t="str">
        <f>IF($A29="","",VLOOKUP($A29,기본데이타!$A$8:$BV$103,COLUMN(기본데이타!O$8),0))</f>
        <v/>
      </c>
      <c r="N29" s="596" t="str">
        <f>IF($A29="","",VLOOKUP($A29,기본데이타!$A$8:$BV$103,COLUMN(기본데이타!P$8),0))</f>
        <v/>
      </c>
      <c r="O29" s="596" t="str">
        <f>IF($A29="","",VLOOKUP($A29,기본데이타!$A$8:$BV$103,COLUMN(기본데이타!Q$8),0))</f>
        <v/>
      </c>
      <c r="P29" s="596" t="str">
        <f>IF($A29="","",VLOOKUP($A29,기본데이타!$A$8:$BV$103,COLUMN(기본데이타!R$8),0))</f>
        <v/>
      </c>
      <c r="Q29" s="596" t="str">
        <f>IF($A29="","",VLOOKUP($A29,기본데이타!$A$8:$BV$103,COLUMN(기본데이타!S$8),0))</f>
        <v/>
      </c>
      <c r="R29" s="596" t="str">
        <f>IF($A29="","",VLOOKUP($A29,기본데이타!$A$8:$BV$103,COLUMN(기본데이타!T$8),0))</f>
        <v/>
      </c>
      <c r="S29" s="596" t="str">
        <f>IF($A29="","",VLOOKUP($A29,기본데이타!$A$8:$BV$103,COLUMN(기본데이타!U$8),0))</f>
        <v/>
      </c>
      <c r="T29" s="596" t="str">
        <f>IF($A29="","",VLOOKUP($A29,기본데이타!$A$8:$BV$103,COLUMN(기본데이타!V$8),0))</f>
        <v/>
      </c>
      <c r="U29" s="596" t="str">
        <f>IF($A29="","",VLOOKUP($A29,기본데이타!$A$8:$BV$103,COLUMN(기본데이타!W$8),0))</f>
        <v/>
      </c>
      <c r="V29" s="596" t="str">
        <f>IF($A29="","",VLOOKUP($A29,기본데이타!$A$8:$BV$103,COLUMN(기본데이타!X$8),0))</f>
        <v/>
      </c>
      <c r="W29" s="596" t="str">
        <f>IF($A29="","",VLOOKUP($A29,기본데이타!$A$8:$BV$103,COLUMN(기본데이타!AA$8),0))</f>
        <v/>
      </c>
      <c r="X29" s="596" t="str">
        <f>IF($A29="","",VLOOKUP($A29,기본데이타!$A$8:$BV$103,COLUMN(기본데이타!AB$8),0))</f>
        <v/>
      </c>
      <c r="Y29" s="595" t="str">
        <f>IF($A29="","",VLOOKUP($A29,기본데이타!$A$8:$BV$103,COLUMN(기본데이타!AC$8),0))</f>
        <v/>
      </c>
      <c r="Z29" s="596" t="str">
        <f>IF($A29="","",VLOOKUP($A29,기본데이타!$A$8:$BV$103,COLUMN(기본데이타!AD$8),0))</f>
        <v/>
      </c>
      <c r="AA29" s="595" t="str">
        <f>IF($A29="","",VLOOKUP($A29,기본데이타!$A$8:$BV$103,COLUMN(기본데이타!AE$8),0))</f>
        <v/>
      </c>
      <c r="AB29" s="596" t="str">
        <f>IF($A29="","",VLOOKUP($A29,기본데이타!$A$8:$BV$103,COLUMN(기본데이타!AF$8),0))</f>
        <v/>
      </c>
      <c r="AC29" s="595" t="str">
        <f>IF($A29="","",VLOOKUP($A29,기본데이타!$A$8:$BV$103,COLUMN(기본데이타!AG$8),0))</f>
        <v/>
      </c>
      <c r="AD29" s="596" t="str">
        <f>IF($A29="","",VLOOKUP($A29,기본데이타!$A$8:$BV$103,COLUMN(기본데이타!AH$8),0))</f>
        <v/>
      </c>
      <c r="AE29" s="595" t="str">
        <f>IF($A29="","",VLOOKUP($A29,기본데이타!$A$8:$BV$103,COLUMN(기본데이타!AI$8),0))</f>
        <v/>
      </c>
      <c r="AF29" s="597" t="str">
        <f>IF($A29="","",VLOOKUP($A29,기본데이타!$A$8:$BV$103,COLUMN(기본데이타!AJ$8),0))</f>
        <v/>
      </c>
      <c r="AG29" s="635" t="str">
        <f>IF($A29="","",VLOOKUP($A29,기본데이타!$A$8:$BV$103,COLUMN(기본데이타!AK$8),0))</f>
        <v/>
      </c>
      <c r="AH29" s="635" t="str">
        <f>IF($A29="","",VLOOKUP($A29,기본데이타!$A$8:$BV$103,COLUMN(기본데이타!AL$8),0))</f>
        <v/>
      </c>
      <c r="AI29" s="635" t="str">
        <f>IF($A29="","",VLOOKUP($A29,기본데이타!$A$8:$BV$103,COLUMN(기본데이타!AM$8),0))</f>
        <v/>
      </c>
      <c r="AJ29" s="635" t="str">
        <f>IF($A29="","",VLOOKUP($A29,기본데이타!$A$8:$BV$103,COLUMN(기본데이타!AN$8),0))</f>
        <v/>
      </c>
      <c r="AK29" s="635" t="str">
        <f>IF($A29="","",VLOOKUP($A29,기본데이타!$A$8:$BV$103,COLUMN(기본데이타!AO$8),0))</f>
        <v/>
      </c>
      <c r="AL29" s="635" t="str">
        <f>IF($A29="","",VLOOKUP($A29,기본데이타!$A$8:$BV$103,COLUMN(기본데이타!AP$8),0))</f>
        <v/>
      </c>
      <c r="AM29" s="635" t="str">
        <f>IF($A29="","",VLOOKUP($A29,기본데이타!$A$8:$BV$103,COLUMN(기본데이타!AQ$8),0))</f>
        <v/>
      </c>
      <c r="AN29" s="635" t="str">
        <f>IF($A29="","",VLOOKUP($A29,기본데이타!$A$8:$BV$103,COLUMN(기본데이타!AR$8),0))</f>
        <v/>
      </c>
      <c r="AO29" s="635" t="str">
        <f>IF($A29="","",VLOOKUP($A29,기본데이타!$A$8:$BV$103,COLUMN(기본데이타!AS$8),0))</f>
        <v/>
      </c>
      <c r="AP29" s="635" t="str">
        <f>IF($A29="","",VLOOKUP($A29,기본데이타!$A$8:$BV$103,COLUMN(기본데이타!AT$8),0))</f>
        <v/>
      </c>
      <c r="AQ29" s="635" t="str">
        <f>IF($A29="","",VLOOKUP($A29,기본데이타!$A$8:$BV$103,COLUMN(기본데이타!AU$8),0))</f>
        <v/>
      </c>
      <c r="AR29" s="598" t="str">
        <f>IF($A29="","",VLOOKUP($A29,기본데이타!$A$8:$BV$103,COLUMN(기본데이타!AV$8),0))</f>
        <v/>
      </c>
      <c r="AS29" s="596" t="str">
        <f>IF($A29="","",VLOOKUP($A29,기본데이타!$A$8:$BV$103,COLUMN(기본데이타!AW$8),0))</f>
        <v/>
      </c>
      <c r="AT29" s="596" t="str">
        <f>IF($A29="","",VLOOKUP($A29,기본데이타!$A$8:$BV$103,COLUMN(기본데이타!AX$8),0))</f>
        <v/>
      </c>
      <c r="AU29" s="596" t="str">
        <f>IF($A29="","",VLOOKUP($A29,기본데이타!$A$8:$BV$103,COLUMN(기본데이타!AY$8),0))</f>
        <v/>
      </c>
      <c r="AV29" s="596" t="str">
        <f t="shared" si="2"/>
        <v/>
      </c>
      <c r="AW29" s="597" t="str">
        <f>IF($A29="","",VLOOKUP($A29,기본데이타!$A$8:$BV$103,COLUMN(기본데이타!BA$8),0))</f>
        <v/>
      </c>
      <c r="AX29" s="597" t="str">
        <f>IF($A29="","",VLOOKUP($A29,기본데이타!$A$8:$BV$103,COLUMN(기본데이타!BB$8),0))</f>
        <v/>
      </c>
      <c r="AY29" s="597" t="str">
        <f>IF($A29="","",VLOOKUP($A29,기본데이타!$A$8:$BV$103,COLUMN(기본데이타!BC$8),0))</f>
        <v/>
      </c>
      <c r="AZ29" s="597" t="str">
        <f>IF($A29="","",VLOOKUP($A29,기본데이타!$A$8:$BV$103,COLUMN(기본데이타!BD$8),0))</f>
        <v/>
      </c>
      <c r="BA29" s="597" t="str">
        <f>IF($A29="","",VLOOKUP($A29,기본데이타!$A$8:$BV$103,COLUMN(기본데이타!BE$8),0))</f>
        <v/>
      </c>
      <c r="BB29" s="597" t="str">
        <f>IF($A29="","",VLOOKUP($A29,기본데이타!$A$8:$BV$103,COLUMN(기본데이타!BF$8),0))</f>
        <v/>
      </c>
      <c r="BC29" s="597" t="str">
        <f>IF($A29="","",VLOOKUP($A29,기본데이타!$A$8:$BV$103,COLUMN(기본데이타!BG$8),0))</f>
        <v/>
      </c>
      <c r="BD29" s="597" t="str">
        <f>IF($A29="","",VLOOKUP($A29,기본데이타!$A$8:$BV$103,COLUMN(기본데이타!BH$8),0))</f>
        <v/>
      </c>
      <c r="BE29" s="597" t="str">
        <f>IF($A29="","",VLOOKUP($A29,기본데이타!$A$8:$BV$103,COLUMN(기본데이타!BI$8),0))</f>
        <v/>
      </c>
      <c r="BF29" s="597" t="str">
        <f>IF($A29="","",VLOOKUP($A29,기본데이타!$A$8:$BV$103,COLUMN(기본데이타!BJ$8),0))</f>
        <v/>
      </c>
      <c r="BG29" s="597" t="str">
        <f>IF($A29="","",VLOOKUP($A29,기본데이타!$A$8:$BV$103,COLUMN(기본데이타!BK$8),0))</f>
        <v/>
      </c>
      <c r="BH29" s="597" t="str">
        <f>IF($A29="","",VLOOKUP($A29,기본데이타!$A$8:$BV$103,COLUMN(기본데이타!BL$8),0))</f>
        <v/>
      </c>
      <c r="BI29" s="597" t="str">
        <f>IF($A29="","",VLOOKUP($A29,기본데이타!$A$8:$BV$103,COLUMN(기본데이타!BM$8),0))</f>
        <v/>
      </c>
      <c r="BJ29" s="597" t="str">
        <f>IF($A29="","",VLOOKUP($A29,기본데이타!$A$8:$BV$103,COLUMN(기본데이타!BN$8),0))</f>
        <v/>
      </c>
      <c r="BK29" s="597" t="str">
        <f>IF($A29="","",VLOOKUP($A29,기본데이타!$A$8:$BV$103,COLUMN(기본데이타!BO$8),0))</f>
        <v/>
      </c>
      <c r="BL29" s="597" t="str">
        <f>IF($A29="","",VLOOKUP($A29,기본데이타!$A$8:$BV$103,COLUMN(기본데이타!BP$8),0))</f>
        <v/>
      </c>
      <c r="BM29" s="597" t="str">
        <f>IF($A29="","",VLOOKUP($A29,기본데이타!$A$8:$BV$103,COLUMN(기본데이타!BQ$8),0))</f>
        <v/>
      </c>
      <c r="BN29" s="599" t="str">
        <f>IF($A29="","",VLOOKUP($A29,기본데이타!$A$8:$BV$103,COLUMN(기본데이타!BR$8),0))</f>
        <v/>
      </c>
      <c r="BO29" s="600" t="str">
        <f>IF($A29="","",VLOOKUP($A29,기본데이타!$A$8:$BV$103,COLUMN(기본데이타!BS$8),0))</f>
        <v/>
      </c>
      <c r="BP29" s="623" t="str">
        <f>IF($A29="","",VLOOKUP($A29,기본데이타!$A$8:$BV$103,COLUMN(기본데이타!BT$8),0))</f>
        <v/>
      </c>
      <c r="BQ29" s="602" t="str">
        <f>IF($A29="","",VLOOKUP($A29,기본데이타!$A$8:$BV$103,COLUMN(기본데이타!BU$8),0))</f>
        <v/>
      </c>
      <c r="BR29" s="603" t="str">
        <f t="shared" si="3"/>
        <v/>
      </c>
    </row>
    <row r="30" spans="1:70" s="571" customFormat="1" ht="61.5" hidden="1" customHeight="1">
      <c r="A30" s="578"/>
      <c r="B30" s="1642"/>
      <c r="C30" s="590"/>
      <c r="D30" s="591" t="str">
        <f>IF($A30="","",VLOOKUP($A30,기본데이타!$A$8:$BV$103,COLUMN(기본데이타!F$8),0))</f>
        <v/>
      </c>
      <c r="E30" s="592" t="str">
        <f>IF($A30="","",VLOOKUP($A30,기본데이타!$A$8:$BV$103,COLUMN(기본데이타!G$8),0))</f>
        <v/>
      </c>
      <c r="F30" s="593" t="str">
        <f>IF($A30="","",VLOOKUP($A30,기본데이타!$A$8:$BV$103,COLUMN(기본데이타!H$8),0))</f>
        <v/>
      </c>
      <c r="G30" s="594" t="str">
        <f>IF($A30="","",VLOOKUP($A30,기본데이타!$A$8:$BV$103,COLUMN(기본데이타!I$8),0))</f>
        <v/>
      </c>
      <c r="H30" s="594" t="str">
        <f>IF($A30="","",VLOOKUP($A30,기본데이타!$A$8:$BV$103,COLUMN(기본데이타!J$8),0))</f>
        <v/>
      </c>
      <c r="I30" s="595" t="str">
        <f>IF($A30="","",VLOOKUP($A30,기본데이타!$A$8:$BV$103,COLUMN(기본데이타!K$8),0))</f>
        <v/>
      </c>
      <c r="J30" s="595" t="str">
        <f>IF($A30="","",VLOOKUP($A30,기본데이타!$A$8:$BV$103,COLUMN(기본데이타!L$8),0))</f>
        <v/>
      </c>
      <c r="K30" s="595" t="str">
        <f>IF($A30="","",VLOOKUP($A30,기본데이타!$A$8:$BV$103,COLUMN(기본데이타!M$8),0))</f>
        <v/>
      </c>
      <c r="L30" s="596" t="str">
        <f>IF($A30="","",VLOOKUP($A30,기본데이타!$A$8:$BV$103,COLUMN(기본데이타!N$8),0))</f>
        <v/>
      </c>
      <c r="M30" s="595" t="str">
        <f>IF($A30="","",VLOOKUP($A30,기본데이타!$A$8:$BV$103,COLUMN(기본데이타!O$8),0))</f>
        <v/>
      </c>
      <c r="N30" s="596" t="str">
        <f>IF($A30="","",VLOOKUP($A30,기본데이타!$A$8:$BV$103,COLUMN(기본데이타!P$8),0))</f>
        <v/>
      </c>
      <c r="O30" s="596" t="str">
        <f>IF($A30="","",VLOOKUP($A30,기본데이타!$A$8:$BV$103,COLUMN(기본데이타!Q$8),0))</f>
        <v/>
      </c>
      <c r="P30" s="596" t="str">
        <f>IF($A30="","",VLOOKUP($A30,기본데이타!$A$8:$BV$103,COLUMN(기본데이타!R$8),0))</f>
        <v/>
      </c>
      <c r="Q30" s="596" t="str">
        <f>IF($A30="","",VLOOKUP($A30,기본데이타!$A$8:$BV$103,COLUMN(기본데이타!S$8),0))</f>
        <v/>
      </c>
      <c r="R30" s="596" t="str">
        <f>IF($A30="","",VLOOKUP($A30,기본데이타!$A$8:$BV$103,COLUMN(기본데이타!T$8),0))</f>
        <v/>
      </c>
      <c r="S30" s="596" t="str">
        <f>IF($A30="","",VLOOKUP($A30,기본데이타!$A$8:$BV$103,COLUMN(기본데이타!U$8),0))</f>
        <v/>
      </c>
      <c r="T30" s="596" t="str">
        <f>IF($A30="","",VLOOKUP($A30,기본데이타!$A$8:$BV$103,COLUMN(기본데이타!V$8),0))</f>
        <v/>
      </c>
      <c r="U30" s="596" t="str">
        <f>IF($A30="","",VLOOKUP($A30,기본데이타!$A$8:$BV$103,COLUMN(기본데이타!W$8),0))</f>
        <v/>
      </c>
      <c r="V30" s="596" t="str">
        <f>IF($A30="","",VLOOKUP($A30,기본데이타!$A$8:$BV$103,COLUMN(기본데이타!X$8),0))</f>
        <v/>
      </c>
      <c r="W30" s="596" t="str">
        <f>IF($A30="","",VLOOKUP($A30,기본데이타!$A$8:$BV$103,COLUMN(기본데이타!AA$8),0))</f>
        <v/>
      </c>
      <c r="X30" s="596" t="str">
        <f>IF($A30="","",VLOOKUP($A30,기본데이타!$A$8:$BV$103,COLUMN(기본데이타!AB$8),0))</f>
        <v/>
      </c>
      <c r="Y30" s="595" t="str">
        <f>IF($A30="","",VLOOKUP($A30,기본데이타!$A$8:$BV$103,COLUMN(기본데이타!AC$8),0))</f>
        <v/>
      </c>
      <c r="Z30" s="596" t="str">
        <f>IF($A30="","",VLOOKUP($A30,기본데이타!$A$8:$BV$103,COLUMN(기본데이타!AD$8),0))</f>
        <v/>
      </c>
      <c r="AA30" s="595" t="str">
        <f>IF($A30="","",VLOOKUP($A30,기본데이타!$A$8:$BV$103,COLUMN(기본데이타!AE$8),0))</f>
        <v/>
      </c>
      <c r="AB30" s="596" t="str">
        <f>IF($A30="","",VLOOKUP($A30,기본데이타!$A$8:$BV$103,COLUMN(기본데이타!AF$8),0))</f>
        <v/>
      </c>
      <c r="AC30" s="595" t="str">
        <f>IF($A30="","",VLOOKUP($A30,기본데이타!$A$8:$BV$103,COLUMN(기본데이타!AG$8),0))</f>
        <v/>
      </c>
      <c r="AD30" s="596" t="str">
        <f>IF($A30="","",VLOOKUP($A30,기본데이타!$A$8:$BV$103,COLUMN(기본데이타!AH$8),0))</f>
        <v/>
      </c>
      <c r="AE30" s="595" t="str">
        <f>IF($A30="","",VLOOKUP($A30,기본데이타!$A$8:$BV$103,COLUMN(기본데이타!AI$8),0))</f>
        <v/>
      </c>
      <c r="AF30" s="597" t="str">
        <f>IF($A30="","",VLOOKUP($A30,기본데이타!$A$8:$BV$103,COLUMN(기본데이타!AJ$8),0))</f>
        <v/>
      </c>
      <c r="AG30" s="635" t="str">
        <f>IF($A30="","",VLOOKUP($A30,기본데이타!$A$8:$BV$103,COLUMN(기본데이타!AK$8),0))</f>
        <v/>
      </c>
      <c r="AH30" s="635" t="str">
        <f>IF($A30="","",VLOOKUP($A30,기본데이타!$A$8:$BV$103,COLUMN(기본데이타!AL$8),0))</f>
        <v/>
      </c>
      <c r="AI30" s="635" t="str">
        <f>IF($A30="","",VLOOKUP($A30,기본데이타!$A$8:$BV$103,COLUMN(기본데이타!AM$8),0))</f>
        <v/>
      </c>
      <c r="AJ30" s="635" t="str">
        <f>IF($A30="","",VLOOKUP($A30,기본데이타!$A$8:$BV$103,COLUMN(기본데이타!AN$8),0))</f>
        <v/>
      </c>
      <c r="AK30" s="635" t="str">
        <f>IF($A30="","",VLOOKUP($A30,기본데이타!$A$8:$BV$103,COLUMN(기본데이타!AO$8),0))</f>
        <v/>
      </c>
      <c r="AL30" s="635" t="str">
        <f>IF($A30="","",VLOOKUP($A30,기본데이타!$A$8:$BV$103,COLUMN(기본데이타!AP$8),0))</f>
        <v/>
      </c>
      <c r="AM30" s="635" t="str">
        <f>IF($A30="","",VLOOKUP($A30,기본데이타!$A$8:$BV$103,COLUMN(기본데이타!AQ$8),0))</f>
        <v/>
      </c>
      <c r="AN30" s="635" t="str">
        <f>IF($A30="","",VLOOKUP($A30,기본데이타!$A$8:$BV$103,COLUMN(기본데이타!AR$8),0))</f>
        <v/>
      </c>
      <c r="AO30" s="635" t="str">
        <f>IF($A30="","",VLOOKUP($A30,기본데이타!$A$8:$BV$103,COLUMN(기본데이타!AS$8),0))</f>
        <v/>
      </c>
      <c r="AP30" s="635" t="str">
        <f>IF($A30="","",VLOOKUP($A30,기본데이타!$A$8:$BV$103,COLUMN(기본데이타!AT$8),0))</f>
        <v/>
      </c>
      <c r="AQ30" s="635" t="str">
        <f>IF($A30="","",VLOOKUP($A30,기본데이타!$A$8:$BV$103,COLUMN(기본데이타!AU$8),0))</f>
        <v/>
      </c>
      <c r="AR30" s="598" t="str">
        <f>IF($A30="","",VLOOKUP($A30,기본데이타!$A$8:$BV$103,COLUMN(기본데이타!AV$8),0))</f>
        <v/>
      </c>
      <c r="AS30" s="596" t="str">
        <f>IF($A30="","",VLOOKUP($A30,기본데이타!$A$8:$BV$103,COLUMN(기본데이타!AW$8),0))</f>
        <v/>
      </c>
      <c r="AT30" s="596" t="str">
        <f>IF($A30="","",VLOOKUP($A30,기본데이타!$A$8:$BV$103,COLUMN(기본데이타!AX$8),0))</f>
        <v/>
      </c>
      <c r="AU30" s="596" t="str">
        <f>IF($A30="","",VLOOKUP($A30,기본데이타!$A$8:$BV$103,COLUMN(기본데이타!AY$8),0))</f>
        <v/>
      </c>
      <c r="AV30" s="596" t="str">
        <f t="shared" si="2"/>
        <v/>
      </c>
      <c r="AW30" s="597" t="str">
        <f>IF($A30="","",VLOOKUP($A30,기본데이타!$A$8:$BV$103,COLUMN(기본데이타!BA$8),0))</f>
        <v/>
      </c>
      <c r="AX30" s="597" t="str">
        <f>IF($A30="","",VLOOKUP($A30,기본데이타!$A$8:$BV$103,COLUMN(기본데이타!BB$8),0))</f>
        <v/>
      </c>
      <c r="AY30" s="597" t="str">
        <f>IF($A30="","",VLOOKUP($A30,기본데이타!$A$8:$BV$103,COLUMN(기본데이타!BC$8),0))</f>
        <v/>
      </c>
      <c r="AZ30" s="597" t="str">
        <f>IF($A30="","",VLOOKUP($A30,기본데이타!$A$8:$BV$103,COLUMN(기본데이타!BD$8),0))</f>
        <v/>
      </c>
      <c r="BA30" s="597" t="str">
        <f>IF($A30="","",VLOOKUP($A30,기본데이타!$A$8:$BV$103,COLUMN(기본데이타!BE$8),0))</f>
        <v/>
      </c>
      <c r="BB30" s="597" t="str">
        <f>IF($A30="","",VLOOKUP($A30,기본데이타!$A$8:$BV$103,COLUMN(기본데이타!BF$8),0))</f>
        <v/>
      </c>
      <c r="BC30" s="597" t="str">
        <f>IF($A30="","",VLOOKUP($A30,기본데이타!$A$8:$BV$103,COLUMN(기본데이타!BG$8),0))</f>
        <v/>
      </c>
      <c r="BD30" s="597" t="str">
        <f>IF($A30="","",VLOOKUP($A30,기본데이타!$A$8:$BV$103,COLUMN(기본데이타!BH$8),0))</f>
        <v/>
      </c>
      <c r="BE30" s="597" t="str">
        <f>IF($A30="","",VLOOKUP($A30,기본데이타!$A$8:$BV$103,COLUMN(기본데이타!BI$8),0))</f>
        <v/>
      </c>
      <c r="BF30" s="597" t="str">
        <f>IF($A30="","",VLOOKUP($A30,기본데이타!$A$8:$BV$103,COLUMN(기본데이타!BJ$8),0))</f>
        <v/>
      </c>
      <c r="BG30" s="597" t="str">
        <f>IF($A30="","",VLOOKUP($A30,기본데이타!$A$8:$BV$103,COLUMN(기본데이타!BK$8),0))</f>
        <v/>
      </c>
      <c r="BH30" s="597" t="str">
        <f>IF($A30="","",VLOOKUP($A30,기본데이타!$A$8:$BV$103,COLUMN(기본데이타!BL$8),0))</f>
        <v/>
      </c>
      <c r="BI30" s="597" t="str">
        <f>IF($A30="","",VLOOKUP($A30,기본데이타!$A$8:$BV$103,COLUMN(기본데이타!BM$8),0))</f>
        <v/>
      </c>
      <c r="BJ30" s="597" t="str">
        <f>IF($A30="","",VLOOKUP($A30,기본데이타!$A$8:$BV$103,COLUMN(기본데이타!BN$8),0))</f>
        <v/>
      </c>
      <c r="BK30" s="597" t="str">
        <f>IF($A30="","",VLOOKUP($A30,기본데이타!$A$8:$BV$103,COLUMN(기본데이타!BO$8),0))</f>
        <v/>
      </c>
      <c r="BL30" s="597" t="str">
        <f>IF($A30="","",VLOOKUP($A30,기본데이타!$A$8:$BV$103,COLUMN(기본데이타!BP$8),0))</f>
        <v/>
      </c>
      <c r="BM30" s="597" t="str">
        <f>IF($A30="","",VLOOKUP($A30,기본데이타!$A$8:$BV$103,COLUMN(기본데이타!BQ$8),0))</f>
        <v/>
      </c>
      <c r="BN30" s="599" t="str">
        <f>IF($A30="","",VLOOKUP($A30,기본데이타!$A$8:$BV$103,COLUMN(기본데이타!BR$8),0))</f>
        <v/>
      </c>
      <c r="BO30" s="600" t="str">
        <f>IF($A30="","",VLOOKUP($A30,기본데이타!$A$8:$BV$103,COLUMN(기본데이타!BS$8),0))</f>
        <v/>
      </c>
      <c r="BP30" s="623" t="str">
        <f>IF($A30="","",VLOOKUP($A30,기본데이타!$A$8:$BV$103,COLUMN(기본데이타!BT$8),0))</f>
        <v/>
      </c>
      <c r="BQ30" s="602" t="str">
        <f>IF($A30="","",VLOOKUP($A30,기본데이타!$A$8:$BV$103,COLUMN(기본데이타!BU$8),0))</f>
        <v/>
      </c>
      <c r="BR30" s="603" t="str">
        <f t="shared" si="3"/>
        <v/>
      </c>
    </row>
    <row r="31" spans="1:70" s="571" customFormat="1" ht="61.5" hidden="1" customHeight="1">
      <c r="A31" s="578"/>
      <c r="B31" s="1642"/>
      <c r="C31" s="590"/>
      <c r="D31" s="591" t="str">
        <f>IF($A31="","",VLOOKUP($A31,기본데이타!$A$8:$BV$103,COLUMN(기본데이타!F$8),0))</f>
        <v/>
      </c>
      <c r="E31" s="592" t="str">
        <f>IF($A31="","",VLOOKUP($A31,기본데이타!$A$8:$BV$103,COLUMN(기본데이타!G$8),0))</f>
        <v/>
      </c>
      <c r="F31" s="593" t="str">
        <f>IF($A31="","",VLOOKUP($A31,기본데이타!$A$8:$BV$103,COLUMN(기본데이타!H$8),0))</f>
        <v/>
      </c>
      <c r="G31" s="594" t="str">
        <f>IF($A31="","",VLOOKUP($A31,기본데이타!$A$8:$BV$103,COLUMN(기본데이타!I$8),0))</f>
        <v/>
      </c>
      <c r="H31" s="594" t="str">
        <f>IF($A31="","",VLOOKUP($A31,기본데이타!$A$8:$BV$103,COLUMN(기본데이타!J$8),0))</f>
        <v/>
      </c>
      <c r="I31" s="595" t="str">
        <f>IF($A31="","",VLOOKUP($A31,기본데이타!$A$8:$BV$103,COLUMN(기본데이타!K$8),0))</f>
        <v/>
      </c>
      <c r="J31" s="595" t="str">
        <f>IF($A31="","",VLOOKUP($A31,기본데이타!$A$8:$BV$103,COLUMN(기본데이타!L$8),0))</f>
        <v/>
      </c>
      <c r="K31" s="595" t="str">
        <f>IF($A31="","",VLOOKUP($A31,기본데이타!$A$8:$BV$103,COLUMN(기본데이타!M$8),0))</f>
        <v/>
      </c>
      <c r="L31" s="596" t="str">
        <f>IF($A31="","",VLOOKUP($A31,기본데이타!$A$8:$BV$103,COLUMN(기본데이타!N$8),0))</f>
        <v/>
      </c>
      <c r="M31" s="595" t="str">
        <f>IF($A31="","",VLOOKUP($A31,기본데이타!$A$8:$BV$103,COLUMN(기본데이타!O$8),0))</f>
        <v/>
      </c>
      <c r="N31" s="596" t="str">
        <f>IF($A31="","",VLOOKUP($A31,기본데이타!$A$8:$BV$103,COLUMN(기본데이타!P$8),0))</f>
        <v/>
      </c>
      <c r="O31" s="596" t="str">
        <f>IF($A31="","",VLOOKUP($A31,기본데이타!$A$8:$BV$103,COLUMN(기본데이타!Q$8),0))</f>
        <v/>
      </c>
      <c r="P31" s="596" t="str">
        <f>IF($A31="","",VLOOKUP($A31,기본데이타!$A$8:$BV$103,COLUMN(기본데이타!R$8),0))</f>
        <v/>
      </c>
      <c r="Q31" s="596" t="str">
        <f>IF($A31="","",VLOOKUP($A31,기본데이타!$A$8:$BV$103,COLUMN(기본데이타!S$8),0))</f>
        <v/>
      </c>
      <c r="R31" s="596" t="str">
        <f>IF($A31="","",VLOOKUP($A31,기본데이타!$A$8:$BV$103,COLUMN(기본데이타!T$8),0))</f>
        <v/>
      </c>
      <c r="S31" s="596" t="str">
        <f>IF($A31="","",VLOOKUP($A31,기본데이타!$A$8:$BV$103,COLUMN(기본데이타!U$8),0))</f>
        <v/>
      </c>
      <c r="T31" s="596" t="str">
        <f>IF($A31="","",VLOOKUP($A31,기본데이타!$A$8:$BV$103,COLUMN(기본데이타!V$8),0))</f>
        <v/>
      </c>
      <c r="U31" s="596" t="str">
        <f>IF($A31="","",VLOOKUP($A31,기본데이타!$A$8:$BV$103,COLUMN(기본데이타!W$8),0))</f>
        <v/>
      </c>
      <c r="V31" s="596" t="str">
        <f>IF($A31="","",VLOOKUP($A31,기본데이타!$A$8:$BV$103,COLUMN(기본데이타!X$8),0))</f>
        <v/>
      </c>
      <c r="W31" s="596" t="str">
        <f>IF($A31="","",VLOOKUP($A31,기본데이타!$A$8:$BV$103,COLUMN(기본데이타!AA$8),0))</f>
        <v/>
      </c>
      <c r="X31" s="596" t="str">
        <f>IF($A31="","",VLOOKUP($A31,기본데이타!$A$8:$BV$103,COLUMN(기본데이타!AB$8),0))</f>
        <v/>
      </c>
      <c r="Y31" s="595" t="str">
        <f>IF($A31="","",VLOOKUP($A31,기본데이타!$A$8:$BV$103,COLUMN(기본데이타!AC$8),0))</f>
        <v/>
      </c>
      <c r="Z31" s="596" t="str">
        <f>IF($A31="","",VLOOKUP($A31,기본데이타!$A$8:$BV$103,COLUMN(기본데이타!AD$8),0))</f>
        <v/>
      </c>
      <c r="AA31" s="595" t="str">
        <f>IF($A31="","",VLOOKUP($A31,기본데이타!$A$8:$BV$103,COLUMN(기본데이타!AE$8),0))</f>
        <v/>
      </c>
      <c r="AB31" s="596" t="str">
        <f>IF($A31="","",VLOOKUP($A31,기본데이타!$A$8:$BV$103,COLUMN(기본데이타!AF$8),0))</f>
        <v/>
      </c>
      <c r="AC31" s="595" t="str">
        <f>IF($A31="","",VLOOKUP($A31,기본데이타!$A$8:$BV$103,COLUMN(기본데이타!AG$8),0))</f>
        <v/>
      </c>
      <c r="AD31" s="596" t="str">
        <f>IF($A31="","",VLOOKUP($A31,기본데이타!$A$8:$BV$103,COLUMN(기본데이타!AH$8),0))</f>
        <v/>
      </c>
      <c r="AE31" s="595" t="str">
        <f>IF($A31="","",VLOOKUP($A31,기본데이타!$A$8:$BV$103,COLUMN(기본데이타!AI$8),0))</f>
        <v/>
      </c>
      <c r="AF31" s="597" t="str">
        <f>IF($A31="","",VLOOKUP($A31,기본데이타!$A$8:$BV$103,COLUMN(기본데이타!AJ$8),0))</f>
        <v/>
      </c>
      <c r="AG31" s="635" t="str">
        <f>IF($A31="","",VLOOKUP($A31,기본데이타!$A$8:$BV$103,COLUMN(기본데이타!AK$8),0))</f>
        <v/>
      </c>
      <c r="AH31" s="635" t="str">
        <f>IF($A31="","",VLOOKUP($A31,기본데이타!$A$8:$BV$103,COLUMN(기본데이타!AL$8),0))</f>
        <v/>
      </c>
      <c r="AI31" s="635" t="str">
        <f>IF($A31="","",VLOOKUP($A31,기본데이타!$A$8:$BV$103,COLUMN(기본데이타!AM$8),0))</f>
        <v/>
      </c>
      <c r="AJ31" s="635" t="str">
        <f>IF($A31="","",VLOOKUP($A31,기본데이타!$A$8:$BV$103,COLUMN(기본데이타!AN$8),0))</f>
        <v/>
      </c>
      <c r="AK31" s="635" t="str">
        <f>IF($A31="","",VLOOKUP($A31,기본데이타!$A$8:$BV$103,COLUMN(기본데이타!AO$8),0))</f>
        <v/>
      </c>
      <c r="AL31" s="635" t="str">
        <f>IF($A31="","",VLOOKUP($A31,기본데이타!$A$8:$BV$103,COLUMN(기본데이타!AP$8),0))</f>
        <v/>
      </c>
      <c r="AM31" s="635" t="str">
        <f>IF($A31="","",VLOOKUP($A31,기본데이타!$A$8:$BV$103,COLUMN(기본데이타!AQ$8),0))</f>
        <v/>
      </c>
      <c r="AN31" s="635" t="str">
        <f>IF($A31="","",VLOOKUP($A31,기본데이타!$A$8:$BV$103,COLUMN(기본데이타!AR$8),0))</f>
        <v/>
      </c>
      <c r="AO31" s="635" t="str">
        <f>IF($A31="","",VLOOKUP($A31,기본데이타!$A$8:$BV$103,COLUMN(기본데이타!AS$8),0))</f>
        <v/>
      </c>
      <c r="AP31" s="635" t="str">
        <f>IF($A31="","",VLOOKUP($A31,기본데이타!$A$8:$BV$103,COLUMN(기본데이타!AT$8),0))</f>
        <v/>
      </c>
      <c r="AQ31" s="635" t="str">
        <f>IF($A31="","",VLOOKUP($A31,기본데이타!$A$8:$BV$103,COLUMN(기본데이타!AU$8),0))</f>
        <v/>
      </c>
      <c r="AR31" s="598" t="str">
        <f>IF($A31="","",VLOOKUP($A31,기본데이타!$A$8:$BV$103,COLUMN(기본데이타!AV$8),0))</f>
        <v/>
      </c>
      <c r="AS31" s="596" t="str">
        <f>IF($A31="","",VLOOKUP($A31,기본데이타!$A$8:$BV$103,COLUMN(기본데이타!AW$8),0))</f>
        <v/>
      </c>
      <c r="AT31" s="596" t="str">
        <f>IF($A31="","",VLOOKUP($A31,기본데이타!$A$8:$BV$103,COLUMN(기본데이타!AX$8),0))</f>
        <v/>
      </c>
      <c r="AU31" s="596" t="str">
        <f>IF($A31="","",VLOOKUP($A31,기본데이타!$A$8:$BV$103,COLUMN(기본데이타!AY$8),0))</f>
        <v/>
      </c>
      <c r="AV31" s="596" t="str">
        <f t="shared" si="2"/>
        <v/>
      </c>
      <c r="AW31" s="597" t="str">
        <f>IF($A31="","",VLOOKUP($A31,기본데이타!$A$8:$BV$103,COLUMN(기본데이타!BA$8),0))</f>
        <v/>
      </c>
      <c r="AX31" s="597" t="str">
        <f>IF($A31="","",VLOOKUP($A31,기본데이타!$A$8:$BV$103,COLUMN(기본데이타!BB$8),0))</f>
        <v/>
      </c>
      <c r="AY31" s="597" t="str">
        <f>IF($A31="","",VLOOKUP($A31,기본데이타!$A$8:$BV$103,COLUMN(기본데이타!BC$8),0))</f>
        <v/>
      </c>
      <c r="AZ31" s="597" t="str">
        <f>IF($A31="","",VLOOKUP($A31,기본데이타!$A$8:$BV$103,COLUMN(기본데이타!BD$8),0))</f>
        <v/>
      </c>
      <c r="BA31" s="597" t="str">
        <f>IF($A31="","",VLOOKUP($A31,기본데이타!$A$8:$BV$103,COLUMN(기본데이타!BE$8),0))</f>
        <v/>
      </c>
      <c r="BB31" s="597" t="str">
        <f>IF($A31="","",VLOOKUP($A31,기본데이타!$A$8:$BV$103,COLUMN(기본데이타!BF$8),0))</f>
        <v/>
      </c>
      <c r="BC31" s="597" t="str">
        <f>IF($A31="","",VLOOKUP($A31,기본데이타!$A$8:$BV$103,COLUMN(기본데이타!BG$8),0))</f>
        <v/>
      </c>
      <c r="BD31" s="597" t="str">
        <f>IF($A31="","",VLOOKUP($A31,기본데이타!$A$8:$BV$103,COLUMN(기본데이타!BH$8),0))</f>
        <v/>
      </c>
      <c r="BE31" s="597" t="str">
        <f>IF($A31="","",VLOOKUP($A31,기본데이타!$A$8:$BV$103,COLUMN(기본데이타!BI$8),0))</f>
        <v/>
      </c>
      <c r="BF31" s="597" t="str">
        <f>IF($A31="","",VLOOKUP($A31,기본데이타!$A$8:$BV$103,COLUMN(기본데이타!BJ$8),0))</f>
        <v/>
      </c>
      <c r="BG31" s="597" t="str">
        <f>IF($A31="","",VLOOKUP($A31,기본데이타!$A$8:$BV$103,COLUMN(기본데이타!BK$8),0))</f>
        <v/>
      </c>
      <c r="BH31" s="597" t="str">
        <f>IF($A31="","",VLOOKUP($A31,기본데이타!$A$8:$BV$103,COLUMN(기본데이타!BL$8),0))</f>
        <v/>
      </c>
      <c r="BI31" s="597" t="str">
        <f>IF($A31="","",VLOOKUP($A31,기본데이타!$A$8:$BV$103,COLUMN(기본데이타!BM$8),0))</f>
        <v/>
      </c>
      <c r="BJ31" s="597" t="str">
        <f>IF($A31="","",VLOOKUP($A31,기본데이타!$A$8:$BV$103,COLUMN(기본데이타!BN$8),0))</f>
        <v/>
      </c>
      <c r="BK31" s="597" t="str">
        <f>IF($A31="","",VLOOKUP($A31,기본데이타!$A$8:$BV$103,COLUMN(기본데이타!BO$8),0))</f>
        <v/>
      </c>
      <c r="BL31" s="597" t="str">
        <f>IF($A31="","",VLOOKUP($A31,기본데이타!$A$8:$BV$103,COLUMN(기본데이타!BP$8),0))</f>
        <v/>
      </c>
      <c r="BM31" s="597" t="str">
        <f>IF($A31="","",VLOOKUP($A31,기본데이타!$A$8:$BV$103,COLUMN(기본데이타!BQ$8),0))</f>
        <v/>
      </c>
      <c r="BN31" s="599" t="str">
        <f>IF($A31="","",VLOOKUP($A31,기본데이타!$A$8:$BV$103,COLUMN(기본데이타!BR$8),0))</f>
        <v/>
      </c>
      <c r="BO31" s="600" t="str">
        <f>IF($A31="","",VLOOKUP($A31,기본데이타!$A$8:$BV$103,COLUMN(기본데이타!BS$8),0))</f>
        <v/>
      </c>
      <c r="BP31" s="623" t="str">
        <f>IF($A31="","",VLOOKUP($A31,기본데이타!$A$8:$BV$103,COLUMN(기본데이타!BT$8),0))</f>
        <v/>
      </c>
      <c r="BQ31" s="602" t="str">
        <f>IF($A31="","",VLOOKUP($A31,기본데이타!$A$8:$BV$103,COLUMN(기본데이타!BU$8),0))</f>
        <v/>
      </c>
      <c r="BR31" s="603" t="str">
        <f t="shared" si="3"/>
        <v/>
      </c>
    </row>
    <row r="32" spans="1:70" s="571" customFormat="1" ht="61.5" hidden="1" customHeight="1">
      <c r="A32" s="578"/>
      <c r="B32" s="1642"/>
      <c r="C32" s="590"/>
      <c r="D32" s="591" t="str">
        <f>IF($A32="","",VLOOKUP($A32,기본데이타!$A$8:$BV$103,COLUMN(기본데이타!F$8),0))</f>
        <v/>
      </c>
      <c r="E32" s="592" t="str">
        <f>IF($A32="","",VLOOKUP($A32,기본데이타!$A$8:$BV$103,COLUMN(기본데이타!G$8),0))</f>
        <v/>
      </c>
      <c r="F32" s="593" t="str">
        <f>IF($A32="","",VLOOKUP($A32,기본데이타!$A$8:$BV$103,COLUMN(기본데이타!H$8),0))</f>
        <v/>
      </c>
      <c r="G32" s="594" t="str">
        <f>IF($A32="","",VLOOKUP($A32,기본데이타!$A$8:$BV$103,COLUMN(기본데이타!I$8),0))</f>
        <v/>
      </c>
      <c r="H32" s="594" t="str">
        <f>IF($A32="","",VLOOKUP($A32,기본데이타!$A$8:$BV$103,COLUMN(기본데이타!J$8),0))</f>
        <v/>
      </c>
      <c r="I32" s="595" t="str">
        <f>IF($A32="","",VLOOKUP($A32,기본데이타!$A$8:$BV$103,COLUMN(기본데이타!K$8),0))</f>
        <v/>
      </c>
      <c r="J32" s="595" t="str">
        <f>IF($A32="","",VLOOKUP($A32,기본데이타!$A$8:$BV$103,COLUMN(기본데이타!L$8),0))</f>
        <v/>
      </c>
      <c r="K32" s="595" t="str">
        <f>IF($A32="","",VLOOKUP($A32,기본데이타!$A$8:$BV$103,COLUMN(기본데이타!M$8),0))</f>
        <v/>
      </c>
      <c r="L32" s="596" t="str">
        <f>IF($A32="","",VLOOKUP($A32,기본데이타!$A$8:$BV$103,COLUMN(기본데이타!N$8),0))</f>
        <v/>
      </c>
      <c r="M32" s="595" t="str">
        <f>IF($A32="","",VLOOKUP($A32,기본데이타!$A$8:$BV$103,COLUMN(기본데이타!O$8),0))</f>
        <v/>
      </c>
      <c r="N32" s="596" t="str">
        <f>IF($A32="","",VLOOKUP($A32,기본데이타!$A$8:$BV$103,COLUMN(기본데이타!P$8),0))</f>
        <v/>
      </c>
      <c r="O32" s="596" t="str">
        <f>IF($A32="","",VLOOKUP($A32,기본데이타!$A$8:$BV$103,COLUMN(기본데이타!Q$8),0))</f>
        <v/>
      </c>
      <c r="P32" s="596" t="str">
        <f>IF($A32="","",VLOOKUP($A32,기본데이타!$A$8:$BV$103,COLUMN(기본데이타!R$8),0))</f>
        <v/>
      </c>
      <c r="Q32" s="596" t="str">
        <f>IF($A32="","",VLOOKUP($A32,기본데이타!$A$8:$BV$103,COLUMN(기본데이타!S$8),0))</f>
        <v/>
      </c>
      <c r="R32" s="596" t="str">
        <f>IF($A32="","",VLOOKUP($A32,기본데이타!$A$8:$BV$103,COLUMN(기본데이타!T$8),0))</f>
        <v/>
      </c>
      <c r="S32" s="596" t="str">
        <f>IF($A32="","",VLOOKUP($A32,기본데이타!$A$8:$BV$103,COLUMN(기본데이타!U$8),0))</f>
        <v/>
      </c>
      <c r="T32" s="596" t="str">
        <f>IF($A32="","",VLOOKUP($A32,기본데이타!$A$8:$BV$103,COLUMN(기본데이타!V$8),0))</f>
        <v/>
      </c>
      <c r="U32" s="596" t="str">
        <f>IF($A32="","",VLOOKUP($A32,기본데이타!$A$8:$BV$103,COLUMN(기본데이타!W$8),0))</f>
        <v/>
      </c>
      <c r="V32" s="596" t="str">
        <f>IF($A32="","",VLOOKUP($A32,기본데이타!$A$8:$BV$103,COLUMN(기본데이타!X$8),0))</f>
        <v/>
      </c>
      <c r="W32" s="596" t="str">
        <f>IF($A32="","",VLOOKUP($A32,기본데이타!$A$8:$BV$103,COLUMN(기본데이타!AA$8),0))</f>
        <v/>
      </c>
      <c r="X32" s="596" t="str">
        <f>IF($A32="","",VLOOKUP($A32,기본데이타!$A$8:$BV$103,COLUMN(기본데이타!AB$8),0))</f>
        <v/>
      </c>
      <c r="Y32" s="595" t="str">
        <f>IF($A32="","",VLOOKUP($A32,기본데이타!$A$8:$BV$103,COLUMN(기본데이타!AC$8),0))</f>
        <v/>
      </c>
      <c r="Z32" s="596" t="str">
        <f>IF($A32="","",VLOOKUP($A32,기본데이타!$A$8:$BV$103,COLUMN(기본데이타!AD$8),0))</f>
        <v/>
      </c>
      <c r="AA32" s="595" t="str">
        <f>IF($A32="","",VLOOKUP($A32,기본데이타!$A$8:$BV$103,COLUMN(기본데이타!AE$8),0))</f>
        <v/>
      </c>
      <c r="AB32" s="596" t="str">
        <f>IF($A32="","",VLOOKUP($A32,기본데이타!$A$8:$BV$103,COLUMN(기본데이타!AF$8),0))</f>
        <v/>
      </c>
      <c r="AC32" s="595" t="str">
        <f>IF($A32="","",VLOOKUP($A32,기본데이타!$A$8:$BV$103,COLUMN(기본데이타!AG$8),0))</f>
        <v/>
      </c>
      <c r="AD32" s="596" t="str">
        <f>IF($A32="","",VLOOKUP($A32,기본데이타!$A$8:$BV$103,COLUMN(기본데이타!AH$8),0))</f>
        <v/>
      </c>
      <c r="AE32" s="595" t="str">
        <f>IF($A32="","",VLOOKUP($A32,기본데이타!$A$8:$BV$103,COLUMN(기본데이타!AI$8),0))</f>
        <v/>
      </c>
      <c r="AF32" s="597" t="str">
        <f>IF($A32="","",VLOOKUP($A32,기본데이타!$A$8:$BV$103,COLUMN(기본데이타!AJ$8),0))</f>
        <v/>
      </c>
      <c r="AG32" s="635" t="str">
        <f>IF($A32="","",VLOOKUP($A32,기본데이타!$A$8:$BV$103,COLUMN(기본데이타!AK$8),0))</f>
        <v/>
      </c>
      <c r="AH32" s="635" t="str">
        <f>IF($A32="","",VLOOKUP($A32,기본데이타!$A$8:$BV$103,COLUMN(기본데이타!AL$8),0))</f>
        <v/>
      </c>
      <c r="AI32" s="635" t="str">
        <f>IF($A32="","",VLOOKUP($A32,기본데이타!$A$8:$BV$103,COLUMN(기본데이타!AM$8),0))</f>
        <v/>
      </c>
      <c r="AJ32" s="635" t="str">
        <f>IF($A32="","",VLOOKUP($A32,기본데이타!$A$8:$BV$103,COLUMN(기본데이타!AN$8),0))</f>
        <v/>
      </c>
      <c r="AK32" s="635" t="str">
        <f>IF($A32="","",VLOOKUP($A32,기본데이타!$A$8:$BV$103,COLUMN(기본데이타!AO$8),0))</f>
        <v/>
      </c>
      <c r="AL32" s="635" t="str">
        <f>IF($A32="","",VLOOKUP($A32,기본데이타!$A$8:$BV$103,COLUMN(기본데이타!AP$8),0))</f>
        <v/>
      </c>
      <c r="AM32" s="635" t="str">
        <f>IF($A32="","",VLOOKUP($A32,기본데이타!$A$8:$BV$103,COLUMN(기본데이타!AQ$8),0))</f>
        <v/>
      </c>
      <c r="AN32" s="635" t="str">
        <f>IF($A32="","",VLOOKUP($A32,기본데이타!$A$8:$BV$103,COLUMN(기본데이타!AR$8),0))</f>
        <v/>
      </c>
      <c r="AO32" s="635" t="str">
        <f>IF($A32="","",VLOOKUP($A32,기본데이타!$A$8:$BV$103,COLUMN(기본데이타!AS$8),0))</f>
        <v/>
      </c>
      <c r="AP32" s="635" t="str">
        <f>IF($A32="","",VLOOKUP($A32,기본데이타!$A$8:$BV$103,COLUMN(기본데이타!AT$8),0))</f>
        <v/>
      </c>
      <c r="AQ32" s="635" t="str">
        <f>IF($A32="","",VLOOKUP($A32,기본데이타!$A$8:$BV$103,COLUMN(기본데이타!AU$8),0))</f>
        <v/>
      </c>
      <c r="AR32" s="598" t="str">
        <f>IF($A32="","",VLOOKUP($A32,기본데이타!$A$8:$BV$103,COLUMN(기본데이타!AV$8),0))</f>
        <v/>
      </c>
      <c r="AS32" s="596" t="str">
        <f>IF($A32="","",VLOOKUP($A32,기본데이타!$A$8:$BV$103,COLUMN(기본데이타!AW$8),0))</f>
        <v/>
      </c>
      <c r="AT32" s="596" t="str">
        <f>IF($A32="","",VLOOKUP($A32,기본데이타!$A$8:$BV$103,COLUMN(기본데이타!AX$8),0))</f>
        <v/>
      </c>
      <c r="AU32" s="596" t="str">
        <f>IF($A32="","",VLOOKUP($A32,기본데이타!$A$8:$BV$103,COLUMN(기본데이타!AY$8),0))</f>
        <v/>
      </c>
      <c r="AV32" s="596" t="str">
        <f t="shared" si="2"/>
        <v/>
      </c>
      <c r="AW32" s="597" t="str">
        <f>IF($A32="","",VLOOKUP($A32,기본데이타!$A$8:$BV$103,COLUMN(기본데이타!BA$8),0))</f>
        <v/>
      </c>
      <c r="AX32" s="597" t="str">
        <f>IF($A32="","",VLOOKUP($A32,기본데이타!$A$8:$BV$103,COLUMN(기본데이타!BB$8),0))</f>
        <v/>
      </c>
      <c r="AY32" s="597" t="str">
        <f>IF($A32="","",VLOOKUP($A32,기본데이타!$A$8:$BV$103,COLUMN(기본데이타!BC$8),0))</f>
        <v/>
      </c>
      <c r="AZ32" s="597" t="str">
        <f>IF($A32="","",VLOOKUP($A32,기본데이타!$A$8:$BV$103,COLUMN(기본데이타!BD$8),0))</f>
        <v/>
      </c>
      <c r="BA32" s="597" t="str">
        <f>IF($A32="","",VLOOKUP($A32,기본데이타!$A$8:$BV$103,COLUMN(기본데이타!BE$8),0))</f>
        <v/>
      </c>
      <c r="BB32" s="597" t="str">
        <f>IF($A32="","",VLOOKUP($A32,기본데이타!$A$8:$BV$103,COLUMN(기본데이타!BF$8),0))</f>
        <v/>
      </c>
      <c r="BC32" s="597" t="str">
        <f>IF($A32="","",VLOOKUP($A32,기본데이타!$A$8:$BV$103,COLUMN(기본데이타!BG$8),0))</f>
        <v/>
      </c>
      <c r="BD32" s="597" t="str">
        <f>IF($A32="","",VLOOKUP($A32,기본데이타!$A$8:$BV$103,COLUMN(기본데이타!BH$8),0))</f>
        <v/>
      </c>
      <c r="BE32" s="597" t="str">
        <f>IF($A32="","",VLOOKUP($A32,기본데이타!$A$8:$BV$103,COLUMN(기본데이타!BI$8),0))</f>
        <v/>
      </c>
      <c r="BF32" s="597" t="str">
        <f>IF($A32="","",VLOOKUP($A32,기본데이타!$A$8:$BV$103,COLUMN(기본데이타!BJ$8),0))</f>
        <v/>
      </c>
      <c r="BG32" s="597" t="str">
        <f>IF($A32="","",VLOOKUP($A32,기본데이타!$A$8:$BV$103,COLUMN(기본데이타!BK$8),0))</f>
        <v/>
      </c>
      <c r="BH32" s="597" t="str">
        <f>IF($A32="","",VLOOKUP($A32,기본데이타!$A$8:$BV$103,COLUMN(기본데이타!BL$8),0))</f>
        <v/>
      </c>
      <c r="BI32" s="597" t="str">
        <f>IF($A32="","",VLOOKUP($A32,기본데이타!$A$8:$BV$103,COLUMN(기본데이타!BM$8),0))</f>
        <v/>
      </c>
      <c r="BJ32" s="597" t="str">
        <f>IF($A32="","",VLOOKUP($A32,기본데이타!$A$8:$BV$103,COLUMN(기본데이타!BN$8),0))</f>
        <v/>
      </c>
      <c r="BK32" s="597" t="str">
        <f>IF($A32="","",VLOOKUP($A32,기본데이타!$A$8:$BV$103,COLUMN(기본데이타!BO$8),0))</f>
        <v/>
      </c>
      <c r="BL32" s="597" t="str">
        <f>IF($A32="","",VLOOKUP($A32,기본데이타!$A$8:$BV$103,COLUMN(기본데이타!BP$8),0))</f>
        <v/>
      </c>
      <c r="BM32" s="597" t="str">
        <f>IF($A32="","",VLOOKUP($A32,기본데이타!$A$8:$BV$103,COLUMN(기본데이타!BQ$8),0))</f>
        <v/>
      </c>
      <c r="BN32" s="599" t="str">
        <f>IF($A32="","",VLOOKUP($A32,기본데이타!$A$8:$BV$103,COLUMN(기본데이타!BR$8),0))</f>
        <v/>
      </c>
      <c r="BO32" s="600" t="str">
        <f>IF($A32="","",VLOOKUP($A32,기본데이타!$A$8:$BV$103,COLUMN(기본데이타!BS$8),0))</f>
        <v/>
      </c>
      <c r="BP32" s="623" t="str">
        <f>IF($A32="","",VLOOKUP($A32,기본데이타!$A$8:$BV$103,COLUMN(기본데이타!BT$8),0))</f>
        <v/>
      </c>
      <c r="BQ32" s="602" t="str">
        <f>IF($A32="","",VLOOKUP($A32,기본데이타!$A$8:$BV$103,COLUMN(기본데이타!BU$8),0))</f>
        <v/>
      </c>
      <c r="BR32" s="603" t="str">
        <f t="shared" si="3"/>
        <v/>
      </c>
    </row>
    <row r="33" spans="1:70" s="571" customFormat="1" ht="61.5" hidden="1" customHeight="1" thickBot="1">
      <c r="A33" s="606"/>
      <c r="B33" s="1642"/>
      <c r="C33" s="657"/>
      <c r="D33" s="1041" t="str">
        <f>IF($A33="","",VLOOKUP($A33,기본데이타!$A$8:$BV$103,COLUMN(기본데이타!F$8),0))</f>
        <v/>
      </c>
      <c r="E33" s="1042" t="str">
        <f>IF($A33="","",VLOOKUP($A33,기본데이타!$A$8:$BV$103,COLUMN(기본데이타!G$8),0))</f>
        <v/>
      </c>
      <c r="F33" s="1043" t="str">
        <f>IF($A33="","",VLOOKUP($A33,기본데이타!$A$8:$BV$103,COLUMN(기본데이타!H$8),0))</f>
        <v/>
      </c>
      <c r="G33" s="1044" t="str">
        <f>IF($A33="","",VLOOKUP($A33,기본데이타!$A$8:$BV$103,COLUMN(기본데이타!I$8),0))</f>
        <v/>
      </c>
      <c r="H33" s="1044" t="str">
        <f>IF($A33="","",VLOOKUP($A33,기본데이타!$A$8:$BV$103,COLUMN(기본데이타!J$8),0))</f>
        <v/>
      </c>
      <c r="I33" s="1045" t="str">
        <f>IF($A33="","",VLOOKUP($A33,기본데이타!$A$8:$BV$103,COLUMN(기본데이타!K$8),0))</f>
        <v/>
      </c>
      <c r="J33" s="1045" t="str">
        <f>IF($A33="","",VLOOKUP($A33,기본데이타!$A$8:$BV$103,COLUMN(기본데이타!L$8),0))</f>
        <v/>
      </c>
      <c r="K33" s="1045" t="str">
        <f>IF($A33="","",VLOOKUP($A33,기본데이타!$A$8:$BV$103,COLUMN(기본데이타!M$8),0))</f>
        <v/>
      </c>
      <c r="L33" s="1046" t="str">
        <f>IF($A33="","",VLOOKUP($A33,기본데이타!$A$8:$BV$103,COLUMN(기본데이타!N$8),0))</f>
        <v/>
      </c>
      <c r="M33" s="1045" t="str">
        <f>IF($A33="","",VLOOKUP($A33,기본데이타!$A$8:$BV$103,COLUMN(기본데이타!O$8),0))</f>
        <v/>
      </c>
      <c r="N33" s="1046" t="str">
        <f>IF($A33="","",VLOOKUP($A33,기본데이타!$A$8:$BV$103,COLUMN(기본데이타!P$8),0))</f>
        <v/>
      </c>
      <c r="O33" s="1046" t="str">
        <f>IF($A33="","",VLOOKUP($A33,기본데이타!$A$8:$BV$103,COLUMN(기본데이타!Q$8),0))</f>
        <v/>
      </c>
      <c r="P33" s="1046" t="str">
        <f>IF($A33="","",VLOOKUP($A33,기본데이타!$A$8:$BV$103,COLUMN(기본데이타!R$8),0))</f>
        <v/>
      </c>
      <c r="Q33" s="1046" t="str">
        <f>IF($A33="","",VLOOKUP($A33,기본데이타!$A$8:$BV$103,COLUMN(기본데이타!S$8),0))</f>
        <v/>
      </c>
      <c r="R33" s="1046" t="str">
        <f>IF($A33="","",VLOOKUP($A33,기본데이타!$A$8:$BV$103,COLUMN(기본데이타!T$8),0))</f>
        <v/>
      </c>
      <c r="S33" s="1046" t="str">
        <f>IF($A33="","",VLOOKUP($A33,기본데이타!$A$8:$BV$103,COLUMN(기본데이타!U$8),0))</f>
        <v/>
      </c>
      <c r="T33" s="1046" t="str">
        <f>IF($A33="","",VLOOKUP($A33,기본데이타!$A$8:$BV$103,COLUMN(기본데이타!V$8),0))</f>
        <v/>
      </c>
      <c r="U33" s="1046" t="str">
        <f>IF($A33="","",VLOOKUP($A33,기본데이타!$A$8:$BV$103,COLUMN(기본데이타!W$8),0))</f>
        <v/>
      </c>
      <c r="V33" s="1046" t="str">
        <f>IF($A33="","",VLOOKUP($A33,기본데이타!$A$8:$BV$103,COLUMN(기본데이타!X$8),0))</f>
        <v/>
      </c>
      <c r="W33" s="1046" t="str">
        <f>IF($A33="","",VLOOKUP($A33,기본데이타!$A$8:$BV$103,COLUMN(기본데이타!AA$8),0))</f>
        <v/>
      </c>
      <c r="X33" s="1046" t="str">
        <f>IF($A33="","",VLOOKUP($A33,기본데이타!$A$8:$BV$103,COLUMN(기본데이타!AB$8),0))</f>
        <v/>
      </c>
      <c r="Y33" s="1045" t="str">
        <f>IF($A33="","",VLOOKUP($A33,기본데이타!$A$8:$BV$103,COLUMN(기본데이타!AC$8),0))</f>
        <v/>
      </c>
      <c r="Z33" s="1046" t="str">
        <f>IF($A33="","",VLOOKUP($A33,기본데이타!$A$8:$BV$103,COLUMN(기본데이타!AD$8),0))</f>
        <v/>
      </c>
      <c r="AA33" s="1045" t="str">
        <f>IF($A33="","",VLOOKUP($A33,기본데이타!$A$8:$BV$103,COLUMN(기본데이타!AE$8),0))</f>
        <v/>
      </c>
      <c r="AB33" s="1046" t="str">
        <f>IF($A33="","",VLOOKUP($A33,기본데이타!$A$8:$BV$103,COLUMN(기본데이타!AF$8),0))</f>
        <v/>
      </c>
      <c r="AC33" s="1045" t="str">
        <f>IF($A33="","",VLOOKUP($A33,기본데이타!$A$8:$BV$103,COLUMN(기본데이타!AG$8),0))</f>
        <v/>
      </c>
      <c r="AD33" s="1046" t="str">
        <f>IF($A33="","",VLOOKUP($A33,기본데이타!$A$8:$BV$103,COLUMN(기본데이타!AH$8),0))</f>
        <v/>
      </c>
      <c r="AE33" s="1045" t="str">
        <f>IF($A33="","",VLOOKUP($A33,기본데이타!$A$8:$BV$103,COLUMN(기본데이타!AI$8),0))</f>
        <v/>
      </c>
      <c r="AF33" s="1047" t="str">
        <f>IF($A33="","",VLOOKUP($A33,기본데이타!$A$8:$BV$103,COLUMN(기본데이타!AJ$8),0))</f>
        <v/>
      </c>
      <c r="AG33" s="1047" t="str">
        <f>IF($A33="","",VLOOKUP($A33,기본데이타!$A$8:$BV$103,COLUMN(기본데이타!AK$8),0))</f>
        <v/>
      </c>
      <c r="AH33" s="1047" t="str">
        <f>IF($A33="","",VLOOKUP($A33,기본데이타!$A$8:$BV$103,COLUMN(기본데이타!AL$8),0))</f>
        <v/>
      </c>
      <c r="AI33" s="1047" t="str">
        <f>IF($A33="","",VLOOKUP($A33,기본데이타!$A$8:$BV$103,COLUMN(기본데이타!AM$8),0))</f>
        <v/>
      </c>
      <c r="AJ33" s="1047" t="str">
        <f>IF($A33="","",VLOOKUP($A33,기본데이타!$A$8:$BV$103,COLUMN(기본데이타!AN$8),0))</f>
        <v/>
      </c>
      <c r="AK33" s="1047" t="str">
        <f>IF($A33="","",VLOOKUP($A33,기본데이타!$A$8:$BV$103,COLUMN(기본데이타!AO$8),0))</f>
        <v/>
      </c>
      <c r="AL33" s="1047" t="str">
        <f>IF($A33="","",VLOOKUP($A33,기본데이타!$A$8:$BV$103,COLUMN(기본데이타!AP$8),0))</f>
        <v/>
      </c>
      <c r="AM33" s="1047" t="str">
        <f>IF($A33="","",VLOOKUP($A33,기본데이타!$A$8:$BV$103,COLUMN(기본데이타!AQ$8),0))</f>
        <v/>
      </c>
      <c r="AN33" s="1047" t="str">
        <f>IF($A33="","",VLOOKUP($A33,기본데이타!$A$8:$BV$103,COLUMN(기본데이타!AR$8),0))</f>
        <v/>
      </c>
      <c r="AO33" s="1047" t="str">
        <f>IF($A33="","",VLOOKUP($A33,기본데이타!$A$8:$BV$103,COLUMN(기본데이타!AS$8),0))</f>
        <v/>
      </c>
      <c r="AP33" s="1047" t="str">
        <f>IF($A33="","",VLOOKUP($A33,기본데이타!$A$8:$BV$103,COLUMN(기본데이타!AT$8),0))</f>
        <v/>
      </c>
      <c r="AQ33" s="1047" t="str">
        <f>IF($A33="","",VLOOKUP($A33,기본데이타!$A$8:$BV$103,COLUMN(기본데이타!AU$8),0))</f>
        <v/>
      </c>
      <c r="AR33" s="1613" t="str">
        <f>IF($A33="","",VLOOKUP($A33,기본데이타!$A$8:$BV$103,COLUMN(기본데이타!AV$8),0))</f>
        <v/>
      </c>
      <c r="AS33" s="1046" t="str">
        <f>IF($A33="","",VLOOKUP($A33,기본데이타!$A$8:$BV$103,COLUMN(기본데이타!AW$8),0))</f>
        <v/>
      </c>
      <c r="AT33" s="1046" t="str">
        <f>IF($A33="","",VLOOKUP($A33,기본데이타!$A$8:$BV$103,COLUMN(기본데이타!AX$8),0))</f>
        <v/>
      </c>
      <c r="AU33" s="1046" t="str">
        <f>IF($A33="","",VLOOKUP($A33,기본데이타!$A$8:$BV$103,COLUMN(기본데이타!AY$8),0))</f>
        <v/>
      </c>
      <c r="AV33" s="1046" t="str">
        <f t="shared" si="2"/>
        <v/>
      </c>
      <c r="AW33" s="1047" t="str">
        <f>IF($A33="","",VLOOKUP($A33,기본데이타!$A$8:$BV$103,COLUMN(기본데이타!BA$8),0))</f>
        <v/>
      </c>
      <c r="AX33" s="1047" t="str">
        <f>IF($A33="","",VLOOKUP($A33,기본데이타!$A$8:$BV$103,COLUMN(기본데이타!BB$8),0))</f>
        <v/>
      </c>
      <c r="AY33" s="1047" t="str">
        <f>IF($A33="","",VLOOKUP($A33,기본데이타!$A$8:$BV$103,COLUMN(기본데이타!BC$8),0))</f>
        <v/>
      </c>
      <c r="AZ33" s="1047" t="str">
        <f>IF($A33="","",VLOOKUP($A33,기본데이타!$A$8:$BV$103,COLUMN(기본데이타!BD$8),0))</f>
        <v/>
      </c>
      <c r="BA33" s="1047" t="str">
        <f>IF($A33="","",VLOOKUP($A33,기본데이타!$A$8:$BV$103,COLUMN(기본데이타!BE$8),0))</f>
        <v/>
      </c>
      <c r="BB33" s="1047" t="str">
        <f>IF($A33="","",VLOOKUP($A33,기본데이타!$A$8:$BV$103,COLUMN(기본데이타!BF$8),0))</f>
        <v/>
      </c>
      <c r="BC33" s="1047" t="str">
        <f>IF($A33="","",VLOOKUP($A33,기본데이타!$A$8:$BV$103,COLUMN(기본데이타!BG$8),0))</f>
        <v/>
      </c>
      <c r="BD33" s="1047" t="str">
        <f>IF($A33="","",VLOOKUP($A33,기본데이타!$A$8:$BV$103,COLUMN(기본데이타!BH$8),0))</f>
        <v/>
      </c>
      <c r="BE33" s="1047" t="str">
        <f>IF($A33="","",VLOOKUP($A33,기본데이타!$A$8:$BV$103,COLUMN(기본데이타!BI$8),0))</f>
        <v/>
      </c>
      <c r="BF33" s="1047" t="str">
        <f>IF($A33="","",VLOOKUP($A33,기본데이타!$A$8:$BV$103,COLUMN(기본데이타!BJ$8),0))</f>
        <v/>
      </c>
      <c r="BG33" s="1047" t="str">
        <f>IF($A33="","",VLOOKUP($A33,기본데이타!$A$8:$BV$103,COLUMN(기본데이타!BK$8),0))</f>
        <v/>
      </c>
      <c r="BH33" s="1047" t="str">
        <f>IF($A33="","",VLOOKUP($A33,기본데이타!$A$8:$BV$103,COLUMN(기본데이타!BL$8),0))</f>
        <v/>
      </c>
      <c r="BI33" s="1047" t="str">
        <f>IF($A33="","",VLOOKUP($A33,기본데이타!$A$8:$BV$103,COLUMN(기본데이타!BM$8),0))</f>
        <v/>
      </c>
      <c r="BJ33" s="1047" t="str">
        <f>IF($A33="","",VLOOKUP($A33,기본데이타!$A$8:$BV$103,COLUMN(기본데이타!BN$8),0))</f>
        <v/>
      </c>
      <c r="BK33" s="1047" t="str">
        <f>IF($A33="","",VLOOKUP($A33,기본데이타!$A$8:$BV$103,COLUMN(기본데이타!BO$8),0))</f>
        <v/>
      </c>
      <c r="BL33" s="1047" t="str">
        <f>IF($A33="","",VLOOKUP($A33,기본데이타!$A$8:$BV$103,COLUMN(기본데이타!BP$8),0))</f>
        <v/>
      </c>
      <c r="BM33" s="1047" t="str">
        <f>IF($A33="","",VLOOKUP($A33,기본데이타!$A$8:$BV$103,COLUMN(기본데이타!BQ$8),0))</f>
        <v/>
      </c>
      <c r="BN33" s="1050" t="str">
        <f>IF($A33="","",VLOOKUP($A33,기본데이타!$A$8:$BV$103,COLUMN(기본데이타!BR$8),0))</f>
        <v/>
      </c>
      <c r="BO33" s="1051" t="str">
        <f>IF($A33="","",VLOOKUP($A33,기본데이타!$A$8:$BV$103,COLUMN(기본데이타!BS$8),0))</f>
        <v/>
      </c>
      <c r="BP33" s="1052" t="str">
        <f>IF($A33="","",VLOOKUP($A33,기본데이타!$A$8:$BV$103,COLUMN(기본데이타!BT$8),0))</f>
        <v/>
      </c>
      <c r="BQ33" s="1343" t="str">
        <f>IF($A33="","",VLOOKUP($A33,기본데이타!$A$8:$BV$103,COLUMN(기본데이타!BU$8),0))</f>
        <v/>
      </c>
      <c r="BR33" s="1053" t="str">
        <f t="shared" si="3"/>
        <v/>
      </c>
    </row>
    <row r="34" spans="1:70" s="571" customFormat="1" ht="61.5" hidden="1" customHeight="1" outlineLevel="1" thickBot="1">
      <c r="A34" s="578"/>
      <c r="B34" s="1642"/>
      <c r="C34" s="1768" t="s">
        <v>322</v>
      </c>
      <c r="D34" s="1769" t="str">
        <f>IF($A34="","",VLOOKUP($A34,기본데이타!$A$8:$BV$103,COLUMN(기본데이타!F$8),0))</f>
        <v/>
      </c>
      <c r="E34" s="1770" t="str">
        <f>IF($A34="","",VLOOKUP($A34,기본데이타!$A$8:$BV$103,COLUMN(기본데이타!G$8),0))</f>
        <v/>
      </c>
      <c r="F34" s="1771" t="str">
        <f>IF($A34="","",VLOOKUP($A34,기본데이타!$A$8:$BV$103,COLUMN(기본데이타!H$8),0))</f>
        <v/>
      </c>
      <c r="G34" s="1772" t="str">
        <f>IF($A34="","",VLOOKUP($A34,기본데이타!$A$8:$BV$103,COLUMN(기본데이타!I$8),0))</f>
        <v/>
      </c>
      <c r="H34" s="1772" t="str">
        <f>IF($A34="","",VLOOKUP($A34,기본데이타!$A$8:$BV$103,COLUMN(기본데이타!J$8),0))</f>
        <v/>
      </c>
      <c r="I34" s="1773" t="str">
        <f>IF($A34="","",VLOOKUP($A34,기본데이타!$A$8:$BV$103,COLUMN(기본데이타!K$8),0))</f>
        <v/>
      </c>
      <c r="J34" s="1773" t="str">
        <f>IF($A34="","",VLOOKUP($A34,기본데이타!$A$8:$BV$103,COLUMN(기본데이타!L$8),0))</f>
        <v/>
      </c>
      <c r="K34" s="1773" t="str">
        <f>IF($A34="","",VLOOKUP($A34,기본데이타!$A$8:$BV$103,COLUMN(기본데이타!M$8),0))</f>
        <v/>
      </c>
      <c r="L34" s="1774" t="str">
        <f>IF($A34="","",VLOOKUP($A34,기본데이타!$A$8:$BV$103,COLUMN(기본데이타!N$8),0))</f>
        <v/>
      </c>
      <c r="M34" s="1773" t="str">
        <f>IF($A34="","",VLOOKUP($A34,기본데이타!$A$8:$BV$103,COLUMN(기본데이타!O$8),0))</f>
        <v/>
      </c>
      <c r="N34" s="1774" t="str">
        <f>IF($A34="","",VLOOKUP($A34,기본데이타!$A$8:$BV$103,COLUMN(기본데이타!P$8),0))</f>
        <v/>
      </c>
      <c r="O34" s="1774" t="str">
        <f>IF($A34="","",VLOOKUP($A34,기본데이타!$A$8:$BV$103,COLUMN(기본데이타!Q$8),0))</f>
        <v/>
      </c>
      <c r="P34" s="1774" t="str">
        <f>IF($A34="","",VLOOKUP($A34,기본데이타!$A$8:$BV$103,COLUMN(기본데이타!R$8),0))</f>
        <v/>
      </c>
      <c r="Q34" s="1774" t="str">
        <f>IF($A34="","",VLOOKUP($A34,기본데이타!$A$8:$BV$103,COLUMN(기본데이타!S$8),0))</f>
        <v/>
      </c>
      <c r="R34" s="1774" t="str">
        <f>IF($A34="","",VLOOKUP($A34,기본데이타!$A$8:$BV$103,COLUMN(기본데이타!T$8),0))</f>
        <v/>
      </c>
      <c r="S34" s="1774" t="str">
        <f>IF($A34="","",VLOOKUP($A34,기본데이타!$A$8:$BV$103,COLUMN(기본데이타!U$8),0))</f>
        <v/>
      </c>
      <c r="T34" s="1774" t="str">
        <f>IF($A34="","",VLOOKUP($A34,기본데이타!$A$8:$BV$103,COLUMN(기본데이타!V$8),0))</f>
        <v/>
      </c>
      <c r="U34" s="1774" t="str">
        <f>IF($A34="","",VLOOKUP($A34,기본데이타!$A$8:$BV$103,COLUMN(기본데이타!W$8),0))</f>
        <v/>
      </c>
      <c r="V34" s="1774" t="str">
        <f>IF($A34="","",VLOOKUP($A34,기본데이타!$A$8:$BV$103,COLUMN(기본데이타!X$8),0))</f>
        <v/>
      </c>
      <c r="W34" s="1774" t="str">
        <f>IF($A34="","",VLOOKUP($A34,기본데이타!$A$8:$BV$103,COLUMN(기본데이타!AA$8),0))</f>
        <v/>
      </c>
      <c r="X34" s="1774" t="str">
        <f>IF($A34="","",VLOOKUP($A34,기본데이타!$A$8:$BV$103,COLUMN(기본데이타!AB$8),0))</f>
        <v/>
      </c>
      <c r="Y34" s="1773" t="str">
        <f>IF($A34="","",VLOOKUP($A34,기본데이타!$A$8:$BV$103,COLUMN(기본데이타!AC$8),0))</f>
        <v/>
      </c>
      <c r="Z34" s="1774" t="str">
        <f>IF($A34="","",VLOOKUP($A34,기본데이타!$A$8:$BV$103,COLUMN(기본데이타!AD$8),0))</f>
        <v/>
      </c>
      <c r="AA34" s="1773" t="str">
        <f>IF($A34="","",VLOOKUP($A34,기본데이타!$A$8:$BV$103,COLUMN(기본데이타!AE$8),0))</f>
        <v/>
      </c>
      <c r="AB34" s="1774" t="str">
        <f>IF($A34="","",VLOOKUP($A34,기본데이타!$A$8:$BV$103,COLUMN(기본데이타!AF$8),0))</f>
        <v/>
      </c>
      <c r="AC34" s="1773" t="str">
        <f>IF($A34="","",VLOOKUP($A34,기본데이타!$A$8:$BV$103,COLUMN(기본데이타!AG$8),0))</f>
        <v/>
      </c>
      <c r="AD34" s="1774" t="str">
        <f>IF($A34="","",VLOOKUP($A34,기본데이타!$A$8:$BV$103,COLUMN(기본데이타!AH$8),0))</f>
        <v/>
      </c>
      <c r="AE34" s="1773" t="str">
        <f>IF($A34="","",VLOOKUP($A34,기본데이타!$A$8:$BV$103,COLUMN(기본데이타!AI$8),0))</f>
        <v/>
      </c>
      <c r="AF34" s="1775" t="str">
        <f>IF($A34="","",VLOOKUP($A34,기본데이타!$A$8:$BV$103,COLUMN(기본데이타!AJ$8),0))</f>
        <v/>
      </c>
      <c r="AG34" s="1775" t="str">
        <f>IF($A34="","",VLOOKUP($A34,기본데이타!$A$8:$BV$103,COLUMN(기본데이타!AK$8),0))</f>
        <v/>
      </c>
      <c r="AH34" s="1775" t="str">
        <f>IF($A34="","",VLOOKUP($A34,기본데이타!$A$8:$BV$103,COLUMN(기본데이타!AL$8),0))</f>
        <v/>
      </c>
      <c r="AI34" s="1775" t="str">
        <f>IF($A34="","",VLOOKUP($A34,기본데이타!$A$8:$BV$103,COLUMN(기본데이타!AM$8),0))</f>
        <v/>
      </c>
      <c r="AJ34" s="1775" t="str">
        <f>IF($A34="","",VLOOKUP($A34,기본데이타!$A$8:$BV$103,COLUMN(기본데이타!AN$8),0))</f>
        <v/>
      </c>
      <c r="AK34" s="1775" t="str">
        <f>IF($A34="","",VLOOKUP($A34,기본데이타!$A$8:$BV$103,COLUMN(기본데이타!AO$8),0))</f>
        <v/>
      </c>
      <c r="AL34" s="1775" t="str">
        <f>IF($A34="","",VLOOKUP($A34,기본데이타!$A$8:$BV$103,COLUMN(기본데이타!AP$8),0))</f>
        <v/>
      </c>
      <c r="AM34" s="1775" t="str">
        <f>IF($A34="","",VLOOKUP($A34,기본데이타!$A$8:$BV$103,COLUMN(기본데이타!AQ$8),0))</f>
        <v/>
      </c>
      <c r="AN34" s="1775" t="str">
        <f>IF($A34="","",VLOOKUP($A34,기본데이타!$A$8:$BV$103,COLUMN(기본데이타!AR$8),0))</f>
        <v/>
      </c>
      <c r="AO34" s="1775" t="str">
        <f>IF($A34="","",VLOOKUP($A34,기본데이타!$A$8:$BV$103,COLUMN(기본데이타!AS$8),0))</f>
        <v/>
      </c>
      <c r="AP34" s="1775" t="str">
        <f>IF($A34="","",VLOOKUP($A34,기본데이타!$A$8:$BV$103,COLUMN(기본데이타!AT$8),0))</f>
        <v/>
      </c>
      <c r="AQ34" s="1775" t="str">
        <f>IF($A34="","",VLOOKUP($A34,기본데이타!$A$8:$BV$103,COLUMN(기본데이타!AU$8),0))</f>
        <v/>
      </c>
      <c r="AR34" s="1776" t="str">
        <f>IF($A34="","",VLOOKUP($A34,기본데이타!$A$8:$BV$103,COLUMN(기본데이타!AV$8),0))</f>
        <v/>
      </c>
      <c r="AS34" s="1774" t="str">
        <f>IF($A34="","",VLOOKUP($A34,기본데이타!$A$8:$BV$103,COLUMN(기본데이타!AW$8),0))</f>
        <v/>
      </c>
      <c r="AT34" s="1774" t="str">
        <f>IF($A34="","",VLOOKUP($A34,기본데이타!$A$8:$BV$103,COLUMN(기본데이타!AX$8),0))</f>
        <v/>
      </c>
      <c r="AU34" s="1774" t="str">
        <f>IF($A34="","",VLOOKUP($A34,기본데이타!$A$8:$BV$103,COLUMN(기본데이타!AY$8),0))</f>
        <v/>
      </c>
      <c r="AV34" s="1774" t="str">
        <f t="shared" si="2"/>
        <v/>
      </c>
      <c r="AW34" s="1775" t="str">
        <f>IF($A34="","",VLOOKUP($A34,기본데이타!$A$8:$BV$103,COLUMN(기본데이타!BA$8),0))</f>
        <v/>
      </c>
      <c r="AX34" s="1775" t="str">
        <f>IF($A34="","",VLOOKUP($A34,기본데이타!$A$8:$BV$103,COLUMN(기본데이타!BB$8),0))</f>
        <v/>
      </c>
      <c r="AY34" s="1775" t="str">
        <f>IF($A34="","",VLOOKUP($A34,기본데이타!$A$8:$BV$103,COLUMN(기본데이타!BC$8),0))</f>
        <v/>
      </c>
      <c r="AZ34" s="1775" t="str">
        <f>IF($A34="","",VLOOKUP($A34,기본데이타!$A$8:$BV$103,COLUMN(기본데이타!BD$8),0))</f>
        <v/>
      </c>
      <c r="BA34" s="1775" t="str">
        <f>IF($A34="","",VLOOKUP($A34,기본데이타!$A$8:$BV$103,COLUMN(기본데이타!BE$8),0))</f>
        <v/>
      </c>
      <c r="BB34" s="1775" t="str">
        <f>IF($A34="","",VLOOKUP($A34,기본데이타!$A$8:$BV$103,COLUMN(기본데이타!BF$8),0))</f>
        <v/>
      </c>
      <c r="BC34" s="1775" t="str">
        <f>IF($A34="","",VLOOKUP($A34,기본데이타!$A$8:$BV$103,COLUMN(기본데이타!BG$8),0))</f>
        <v/>
      </c>
      <c r="BD34" s="1775" t="str">
        <f>IF($A34="","",VLOOKUP($A34,기본데이타!$A$8:$BV$103,COLUMN(기본데이타!BH$8),0))</f>
        <v/>
      </c>
      <c r="BE34" s="1775" t="str">
        <f>IF($A34="","",VLOOKUP($A34,기본데이타!$A$8:$BV$103,COLUMN(기본데이타!BI$8),0))</f>
        <v/>
      </c>
      <c r="BF34" s="1775" t="str">
        <f>IF($A34="","",VLOOKUP($A34,기본데이타!$A$8:$BV$103,COLUMN(기본데이타!BJ$8),0))</f>
        <v/>
      </c>
      <c r="BG34" s="1775" t="str">
        <f>IF($A34="","",VLOOKUP($A34,기본데이타!$A$8:$BV$103,COLUMN(기본데이타!BK$8),0))</f>
        <v/>
      </c>
      <c r="BH34" s="1775" t="str">
        <f>IF($A34="","",VLOOKUP($A34,기본데이타!$A$8:$BV$103,COLUMN(기본데이타!BL$8),0))</f>
        <v/>
      </c>
      <c r="BI34" s="1775" t="str">
        <f>IF($A34="","",VLOOKUP($A34,기본데이타!$A$8:$BV$103,COLUMN(기본데이타!BM$8),0))</f>
        <v/>
      </c>
      <c r="BJ34" s="1775" t="str">
        <f>IF($A34="","",VLOOKUP($A34,기본데이타!$A$8:$BV$103,COLUMN(기본데이타!BN$8),0))</f>
        <v/>
      </c>
      <c r="BK34" s="1775" t="str">
        <f>IF($A34="","",VLOOKUP($A34,기본데이타!$A$8:$BV$103,COLUMN(기본데이타!BO$8),0))</f>
        <v/>
      </c>
      <c r="BL34" s="1775" t="str">
        <f>IF($A34="","",VLOOKUP($A34,기본데이타!$A$8:$BV$103,COLUMN(기본데이타!BP$8),0))</f>
        <v/>
      </c>
      <c r="BM34" s="1775" t="str">
        <f>IF($A34="","",VLOOKUP($A34,기본데이타!$A$8:$BV$103,COLUMN(기본데이타!BQ$8),0))</f>
        <v/>
      </c>
      <c r="BN34" s="1777" t="str">
        <f>IF($A34="","",VLOOKUP($A34,기본데이타!$A$8:$BV$103,COLUMN(기본데이타!BR$8),0))</f>
        <v/>
      </c>
      <c r="BO34" s="1778" t="str">
        <f>IF($A34="","",VLOOKUP($A34,기본데이타!$A$8:$BV$103,COLUMN(기본데이타!BS$8),0))</f>
        <v/>
      </c>
      <c r="BP34" s="1779" t="str">
        <f>IF($A34="","",VLOOKUP($A34,기본데이타!$A$8:$BV$103,COLUMN(기본데이타!BT$8),0))</f>
        <v/>
      </c>
      <c r="BQ34" s="1780" t="str">
        <f>IF($A34="","",VLOOKUP($A34,기본데이타!$A$8:$BV$103,COLUMN(기본데이타!BU$8),0))</f>
        <v/>
      </c>
      <c r="BR34" s="1781" t="str">
        <f t="shared" si="3"/>
        <v/>
      </c>
    </row>
    <row r="35" spans="1:70" s="571" customFormat="1" ht="61.5" hidden="1" customHeight="1" outlineLevel="1">
      <c r="A35" s="578"/>
      <c r="B35" s="1642"/>
      <c r="C35" s="590"/>
      <c r="D35" s="591" t="str">
        <f>IF($A35="","",VLOOKUP($A35,기본데이타!$A$8:$BV$103,COLUMN(기본데이타!F$8),0))</f>
        <v/>
      </c>
      <c r="E35" s="592" t="str">
        <f>IF($A35="","",VLOOKUP($A35,기본데이타!$A$8:$BV$103,COLUMN(기본데이타!G$8),0))</f>
        <v/>
      </c>
      <c r="F35" s="593" t="str">
        <f>IF($A35="","",VLOOKUP($A35,기본데이타!$A$8:$BV$103,COLUMN(기본데이타!H$8),0))</f>
        <v/>
      </c>
      <c r="G35" s="594" t="str">
        <f>IF($A35="","",VLOOKUP($A35,기본데이타!$A$8:$BV$103,COLUMN(기본데이타!I$8),0))</f>
        <v/>
      </c>
      <c r="H35" s="594" t="str">
        <f>IF($A35="","",VLOOKUP($A35,기본데이타!$A$8:$BV$103,COLUMN(기본데이타!J$8),0))</f>
        <v/>
      </c>
      <c r="I35" s="595" t="str">
        <f>IF($A35="","",VLOOKUP($A35,기본데이타!$A$8:$BV$103,COLUMN(기본데이타!K$8),0))</f>
        <v/>
      </c>
      <c r="J35" s="595" t="str">
        <f>IF($A35="","",VLOOKUP($A35,기본데이타!$A$8:$BV$103,COLUMN(기본데이타!L$8),0))</f>
        <v/>
      </c>
      <c r="K35" s="595" t="str">
        <f>IF($A35="","",VLOOKUP($A35,기본데이타!$A$8:$BV$103,COLUMN(기본데이타!M$8),0))</f>
        <v/>
      </c>
      <c r="L35" s="596" t="str">
        <f>IF($A35="","",VLOOKUP($A35,기본데이타!$A$8:$BV$103,COLUMN(기본데이타!N$8),0))</f>
        <v/>
      </c>
      <c r="M35" s="595" t="str">
        <f>IF($A35="","",VLOOKUP($A35,기본데이타!$A$8:$BV$103,COLUMN(기본데이타!O$8),0))</f>
        <v/>
      </c>
      <c r="N35" s="596" t="str">
        <f>IF($A35="","",VLOOKUP($A35,기본데이타!$A$8:$BV$103,COLUMN(기본데이타!P$8),0))</f>
        <v/>
      </c>
      <c r="O35" s="596" t="str">
        <f>IF($A35="","",VLOOKUP($A35,기본데이타!$A$8:$BV$103,COLUMN(기본데이타!Q$8),0))</f>
        <v/>
      </c>
      <c r="P35" s="596" t="str">
        <f>IF($A35="","",VLOOKUP($A35,기본데이타!$A$8:$BV$103,COLUMN(기본데이타!R$8),0))</f>
        <v/>
      </c>
      <c r="Q35" s="596" t="str">
        <f>IF($A35="","",VLOOKUP($A35,기본데이타!$A$8:$BV$103,COLUMN(기본데이타!S$8),0))</f>
        <v/>
      </c>
      <c r="R35" s="596" t="str">
        <f>IF($A35="","",VLOOKUP($A35,기본데이타!$A$8:$BV$103,COLUMN(기본데이타!T$8),0))</f>
        <v/>
      </c>
      <c r="S35" s="596" t="str">
        <f>IF($A35="","",VLOOKUP($A35,기본데이타!$A$8:$BV$103,COLUMN(기본데이타!U$8),0))</f>
        <v/>
      </c>
      <c r="T35" s="596" t="str">
        <f>IF($A35="","",VLOOKUP($A35,기본데이타!$A$8:$BV$103,COLUMN(기본데이타!V$8),0))</f>
        <v/>
      </c>
      <c r="U35" s="596" t="str">
        <f>IF($A35="","",VLOOKUP($A35,기본데이타!$A$8:$BV$103,COLUMN(기본데이타!W$8),0))</f>
        <v/>
      </c>
      <c r="V35" s="596" t="str">
        <f>IF($A35="","",VLOOKUP($A35,기본데이타!$A$8:$BV$103,COLUMN(기본데이타!X$8),0))</f>
        <v/>
      </c>
      <c r="W35" s="596" t="str">
        <f>IF($A35="","",VLOOKUP($A35,기본데이타!$A$8:$BV$103,COLUMN(기본데이타!AA$8),0))</f>
        <v/>
      </c>
      <c r="X35" s="596" t="str">
        <f>IF($A35="","",VLOOKUP($A35,기본데이타!$A$8:$BV$103,COLUMN(기본데이타!AB$8),0))</f>
        <v/>
      </c>
      <c r="Y35" s="595" t="str">
        <f>IF($A35="","",VLOOKUP($A35,기본데이타!$A$8:$BV$103,COLUMN(기본데이타!AC$8),0))</f>
        <v/>
      </c>
      <c r="Z35" s="596" t="str">
        <f>IF($A35="","",VLOOKUP($A35,기본데이타!$A$8:$BV$103,COLUMN(기본데이타!AD$8),0))</f>
        <v/>
      </c>
      <c r="AA35" s="595" t="str">
        <f>IF($A35="","",VLOOKUP($A35,기본데이타!$A$8:$BV$103,COLUMN(기본데이타!AE$8),0))</f>
        <v/>
      </c>
      <c r="AB35" s="596" t="str">
        <f>IF($A35="","",VLOOKUP($A35,기본데이타!$A$8:$BV$103,COLUMN(기본데이타!AF$8),0))</f>
        <v/>
      </c>
      <c r="AC35" s="595" t="str">
        <f>IF($A35="","",VLOOKUP($A35,기본데이타!$A$8:$BV$103,COLUMN(기본데이타!AG$8),0))</f>
        <v/>
      </c>
      <c r="AD35" s="596" t="str">
        <f>IF($A35="","",VLOOKUP($A35,기본데이타!$A$8:$BV$103,COLUMN(기본데이타!AH$8),0))</f>
        <v/>
      </c>
      <c r="AE35" s="595" t="str">
        <f>IF($A35="","",VLOOKUP($A35,기본데이타!$A$8:$BV$103,COLUMN(기본데이타!AI$8),0))</f>
        <v/>
      </c>
      <c r="AF35" s="597" t="str">
        <f>IF($A35="","",VLOOKUP($A35,기본데이타!$A$8:$BV$103,COLUMN(기본데이타!AJ$8),0))</f>
        <v/>
      </c>
      <c r="AG35" s="597" t="str">
        <f>IF($A35="","",VLOOKUP($A35,기본데이타!$A$8:$BV$103,COLUMN(기본데이타!AK$8),0))</f>
        <v/>
      </c>
      <c r="AH35" s="597" t="str">
        <f>IF($A35="","",VLOOKUP($A35,기본데이타!$A$8:$BV$103,COLUMN(기본데이타!AL$8),0))</f>
        <v/>
      </c>
      <c r="AI35" s="597" t="str">
        <f>IF($A35="","",VLOOKUP($A35,기본데이타!$A$8:$BV$103,COLUMN(기본데이타!AM$8),0))</f>
        <v/>
      </c>
      <c r="AJ35" s="597" t="str">
        <f>IF($A35="","",VLOOKUP($A35,기본데이타!$A$8:$BV$103,COLUMN(기본데이타!AN$8),0))</f>
        <v/>
      </c>
      <c r="AK35" s="597" t="str">
        <f>IF($A35="","",VLOOKUP($A35,기본데이타!$A$8:$BV$103,COLUMN(기본데이타!AO$8),0))</f>
        <v/>
      </c>
      <c r="AL35" s="597" t="str">
        <f>IF($A35="","",VLOOKUP($A35,기본데이타!$A$8:$BV$103,COLUMN(기본데이타!AP$8),0))</f>
        <v/>
      </c>
      <c r="AM35" s="597" t="str">
        <f>IF($A35="","",VLOOKUP($A35,기본데이타!$A$8:$BV$103,COLUMN(기본데이타!AQ$8),0))</f>
        <v/>
      </c>
      <c r="AN35" s="597" t="str">
        <f>IF($A35="","",VLOOKUP($A35,기본데이타!$A$8:$BV$103,COLUMN(기본데이타!AR$8),0))</f>
        <v/>
      </c>
      <c r="AO35" s="597" t="str">
        <f>IF($A35="","",VLOOKUP($A35,기본데이타!$A$8:$BV$103,COLUMN(기본데이타!AS$8),0))</f>
        <v/>
      </c>
      <c r="AP35" s="597" t="str">
        <f>IF($A35="","",VLOOKUP($A35,기본데이타!$A$8:$BV$103,COLUMN(기본데이타!AT$8),0))</f>
        <v/>
      </c>
      <c r="AQ35" s="597" t="str">
        <f>IF($A35="","",VLOOKUP($A35,기본데이타!$A$8:$BV$103,COLUMN(기본데이타!AU$8),0))</f>
        <v/>
      </c>
      <c r="AR35" s="622" t="str">
        <f>IF($A35="","",VLOOKUP($A35,기본데이타!$A$8:$BV$103,COLUMN(기본데이타!AV$8),0))</f>
        <v/>
      </c>
      <c r="AS35" s="596" t="str">
        <f>IF($A35="","",VLOOKUP($A35,기본데이타!$A$8:$BV$103,COLUMN(기본데이타!AW$8),0))</f>
        <v/>
      </c>
      <c r="AT35" s="596" t="str">
        <f>IF($A35="","",VLOOKUP($A35,기본데이타!$A$8:$BV$103,COLUMN(기본데이타!AX$8),0))</f>
        <v/>
      </c>
      <c r="AU35" s="596" t="str">
        <f>IF($A35="","",VLOOKUP($A35,기본데이타!$A$8:$BV$103,COLUMN(기본데이타!AY$8),0))</f>
        <v/>
      </c>
      <c r="AV35" s="596" t="str">
        <f t="shared" si="2"/>
        <v/>
      </c>
      <c r="AW35" s="597" t="str">
        <f>IF($A35="","",VLOOKUP($A35,기본데이타!$A$8:$BV$103,COLUMN(기본데이타!BA$8),0))</f>
        <v/>
      </c>
      <c r="AX35" s="597" t="str">
        <f>IF($A35="","",VLOOKUP($A35,기본데이타!$A$8:$BV$103,COLUMN(기본데이타!BB$8),0))</f>
        <v/>
      </c>
      <c r="AY35" s="597" t="str">
        <f>IF($A35="","",VLOOKUP($A35,기본데이타!$A$8:$BV$103,COLUMN(기본데이타!BC$8),0))</f>
        <v/>
      </c>
      <c r="AZ35" s="597" t="str">
        <f>IF($A35="","",VLOOKUP($A35,기본데이타!$A$8:$BV$103,COLUMN(기본데이타!BD$8),0))</f>
        <v/>
      </c>
      <c r="BA35" s="597" t="str">
        <f>IF($A35="","",VLOOKUP($A35,기본데이타!$A$8:$BV$103,COLUMN(기본데이타!BE$8),0))</f>
        <v/>
      </c>
      <c r="BB35" s="597" t="str">
        <f>IF($A35="","",VLOOKUP($A35,기본데이타!$A$8:$BV$103,COLUMN(기본데이타!BF$8),0))</f>
        <v/>
      </c>
      <c r="BC35" s="597" t="str">
        <f>IF($A35="","",VLOOKUP($A35,기본데이타!$A$8:$BV$103,COLUMN(기본데이타!BG$8),0))</f>
        <v/>
      </c>
      <c r="BD35" s="597" t="str">
        <f>IF($A35="","",VLOOKUP($A35,기본데이타!$A$8:$BV$103,COLUMN(기본데이타!BH$8),0))</f>
        <v/>
      </c>
      <c r="BE35" s="597" t="str">
        <f>IF($A35="","",VLOOKUP($A35,기본데이타!$A$8:$BV$103,COLUMN(기본데이타!BI$8),0))</f>
        <v/>
      </c>
      <c r="BF35" s="597" t="str">
        <f>IF($A35="","",VLOOKUP($A35,기본데이타!$A$8:$BV$103,COLUMN(기본데이타!BJ$8),0))</f>
        <v/>
      </c>
      <c r="BG35" s="597" t="str">
        <f>IF($A35="","",VLOOKUP($A35,기본데이타!$A$8:$BV$103,COLUMN(기본데이타!BK$8),0))</f>
        <v/>
      </c>
      <c r="BH35" s="597" t="str">
        <f>IF($A35="","",VLOOKUP($A35,기본데이타!$A$8:$BV$103,COLUMN(기본데이타!BL$8),0))</f>
        <v/>
      </c>
      <c r="BI35" s="597" t="str">
        <f>IF($A35="","",VLOOKUP($A35,기본데이타!$A$8:$BV$103,COLUMN(기본데이타!BM$8),0))</f>
        <v/>
      </c>
      <c r="BJ35" s="597" t="str">
        <f>IF($A35="","",VLOOKUP($A35,기본데이타!$A$8:$BV$103,COLUMN(기본데이타!BN$8),0))</f>
        <v/>
      </c>
      <c r="BK35" s="597" t="str">
        <f>IF($A35="","",VLOOKUP($A35,기본데이타!$A$8:$BV$103,COLUMN(기본데이타!BO$8),0))</f>
        <v/>
      </c>
      <c r="BL35" s="597" t="str">
        <f>IF($A35="","",VLOOKUP($A35,기본데이타!$A$8:$BV$103,COLUMN(기본데이타!BP$8),0))</f>
        <v/>
      </c>
      <c r="BM35" s="597" t="str">
        <f>IF($A35="","",VLOOKUP($A35,기본데이타!$A$8:$BV$103,COLUMN(기본데이타!BQ$8),0))</f>
        <v/>
      </c>
      <c r="BN35" s="599" t="str">
        <f>IF($A35="","",VLOOKUP($A35,기본데이타!$A$8:$BV$103,COLUMN(기본데이타!BR$8),0))</f>
        <v/>
      </c>
      <c r="BO35" s="600" t="str">
        <f>IF($A35="","",VLOOKUP($A35,기본데이타!$A$8:$BV$103,COLUMN(기본데이타!BS$8),0))</f>
        <v/>
      </c>
      <c r="BP35" s="623" t="str">
        <f>IF($A35="","",VLOOKUP($A35,기본데이타!$A$8:$BV$103,COLUMN(기본데이타!BT$8),0))</f>
        <v/>
      </c>
      <c r="BQ35" s="602" t="str">
        <f>IF($A35="","",VLOOKUP($A35,기본데이타!$A$8:$BV$103,COLUMN(기본데이타!BU$8),0))</f>
        <v/>
      </c>
      <c r="BR35" s="603" t="str">
        <f t="shared" si="3"/>
        <v/>
      </c>
    </row>
    <row r="36" spans="1:70" s="571" customFormat="1" ht="61.5" hidden="1" customHeight="1" outlineLevel="1">
      <c r="A36" s="578"/>
      <c r="B36" s="1642"/>
      <c r="C36" s="590"/>
      <c r="D36" s="591" t="str">
        <f>IF($A36="","",VLOOKUP($A36,기본데이타!$A$8:$BV$103,COLUMN(기본데이타!F$8),0))</f>
        <v/>
      </c>
      <c r="E36" s="592" t="str">
        <f>IF($A36="","",VLOOKUP($A36,기본데이타!$A$8:$BV$103,COLUMN(기본데이타!G$8),0))</f>
        <v/>
      </c>
      <c r="F36" s="593" t="str">
        <f>IF($A36="","",VLOOKUP($A36,기본데이타!$A$8:$BV$103,COLUMN(기본데이타!H$8),0))</f>
        <v/>
      </c>
      <c r="G36" s="594" t="str">
        <f>IF($A36="","",VLOOKUP($A36,기본데이타!$A$8:$BV$103,COLUMN(기본데이타!I$8),0))</f>
        <v/>
      </c>
      <c r="H36" s="594" t="str">
        <f>IF($A36="","",VLOOKUP($A36,기본데이타!$A$8:$BV$103,COLUMN(기본데이타!J$8),0))</f>
        <v/>
      </c>
      <c r="I36" s="595" t="str">
        <f>IF($A36="","",VLOOKUP($A36,기본데이타!$A$8:$BV$103,COLUMN(기본데이타!K$8),0))</f>
        <v/>
      </c>
      <c r="J36" s="595" t="str">
        <f>IF($A36="","",VLOOKUP($A36,기본데이타!$A$8:$BV$103,COLUMN(기본데이타!L$8),0))</f>
        <v/>
      </c>
      <c r="K36" s="595" t="str">
        <f>IF($A36="","",VLOOKUP($A36,기본데이타!$A$8:$BV$103,COLUMN(기본데이타!M$8),0))</f>
        <v/>
      </c>
      <c r="L36" s="596" t="str">
        <f>IF($A36="","",VLOOKUP($A36,기본데이타!$A$8:$BV$103,COLUMN(기본데이타!N$8),0))</f>
        <v/>
      </c>
      <c r="M36" s="595" t="str">
        <f>IF($A36="","",VLOOKUP($A36,기본데이타!$A$8:$BV$103,COLUMN(기본데이타!O$8),0))</f>
        <v/>
      </c>
      <c r="N36" s="596" t="str">
        <f>IF($A36="","",VLOOKUP($A36,기본데이타!$A$8:$BV$103,COLUMN(기본데이타!P$8),0))</f>
        <v/>
      </c>
      <c r="O36" s="596" t="str">
        <f>IF($A36="","",VLOOKUP($A36,기본데이타!$A$8:$BV$103,COLUMN(기본데이타!Q$8),0))</f>
        <v/>
      </c>
      <c r="P36" s="596" t="str">
        <f>IF($A36="","",VLOOKUP($A36,기본데이타!$A$8:$BV$103,COLUMN(기본데이타!R$8),0))</f>
        <v/>
      </c>
      <c r="Q36" s="596" t="str">
        <f>IF($A36="","",VLOOKUP($A36,기본데이타!$A$8:$BV$103,COLUMN(기본데이타!S$8),0))</f>
        <v/>
      </c>
      <c r="R36" s="596" t="str">
        <f>IF($A36="","",VLOOKUP($A36,기본데이타!$A$8:$BV$103,COLUMN(기본데이타!T$8),0))</f>
        <v/>
      </c>
      <c r="S36" s="596" t="str">
        <f>IF($A36="","",VLOOKUP($A36,기본데이타!$A$8:$BV$103,COLUMN(기본데이타!U$8),0))</f>
        <v/>
      </c>
      <c r="T36" s="596" t="str">
        <f>IF($A36="","",VLOOKUP($A36,기본데이타!$A$8:$BV$103,COLUMN(기본데이타!V$8),0))</f>
        <v/>
      </c>
      <c r="U36" s="596" t="str">
        <f>IF($A36="","",VLOOKUP($A36,기본데이타!$A$8:$BV$103,COLUMN(기본데이타!W$8),0))</f>
        <v/>
      </c>
      <c r="V36" s="596" t="str">
        <f>IF($A36="","",VLOOKUP($A36,기본데이타!$A$8:$BV$103,COLUMN(기본데이타!X$8),0))</f>
        <v/>
      </c>
      <c r="W36" s="596" t="str">
        <f>IF($A36="","",VLOOKUP($A36,기본데이타!$A$8:$BV$103,COLUMN(기본데이타!AA$8),0))</f>
        <v/>
      </c>
      <c r="X36" s="596" t="str">
        <f>IF($A36="","",VLOOKUP($A36,기본데이타!$A$8:$BV$103,COLUMN(기본데이타!AB$8),0))</f>
        <v/>
      </c>
      <c r="Y36" s="595" t="str">
        <f>IF($A36="","",VLOOKUP($A36,기본데이타!$A$8:$BV$103,COLUMN(기본데이타!AC$8),0))</f>
        <v/>
      </c>
      <c r="Z36" s="596" t="str">
        <f>IF($A36="","",VLOOKUP($A36,기본데이타!$A$8:$BV$103,COLUMN(기본데이타!AD$8),0))</f>
        <v/>
      </c>
      <c r="AA36" s="595" t="str">
        <f>IF($A36="","",VLOOKUP($A36,기본데이타!$A$8:$BV$103,COLUMN(기본데이타!AE$8),0))</f>
        <v/>
      </c>
      <c r="AB36" s="596" t="str">
        <f>IF($A36="","",VLOOKUP($A36,기본데이타!$A$8:$BV$103,COLUMN(기본데이타!AF$8),0))</f>
        <v/>
      </c>
      <c r="AC36" s="595" t="str">
        <f>IF($A36="","",VLOOKUP($A36,기본데이타!$A$8:$BV$103,COLUMN(기본데이타!AG$8),0))</f>
        <v/>
      </c>
      <c r="AD36" s="596" t="str">
        <f>IF($A36="","",VLOOKUP($A36,기본데이타!$A$8:$BV$103,COLUMN(기본데이타!AH$8),0))</f>
        <v/>
      </c>
      <c r="AE36" s="595" t="str">
        <f>IF($A36="","",VLOOKUP($A36,기본데이타!$A$8:$BV$103,COLUMN(기본데이타!AI$8),0))</f>
        <v/>
      </c>
      <c r="AF36" s="597" t="str">
        <f>IF($A36="","",VLOOKUP($A36,기본데이타!$A$8:$BV$103,COLUMN(기본데이타!AJ$8),0))</f>
        <v/>
      </c>
      <c r="AG36" s="635" t="str">
        <f>IF($A36="","",VLOOKUP($A36,기본데이타!$A$8:$BV$103,COLUMN(기본데이타!AK$8),0))</f>
        <v/>
      </c>
      <c r="AH36" s="635" t="str">
        <f>IF($A36="","",VLOOKUP($A36,기본데이타!$A$8:$BV$103,COLUMN(기본데이타!AL$8),0))</f>
        <v/>
      </c>
      <c r="AI36" s="635" t="str">
        <f>IF($A36="","",VLOOKUP($A36,기본데이타!$A$8:$BV$103,COLUMN(기본데이타!AM$8),0))</f>
        <v/>
      </c>
      <c r="AJ36" s="635" t="str">
        <f>IF($A36="","",VLOOKUP($A36,기본데이타!$A$8:$BV$103,COLUMN(기본데이타!AN$8),0))</f>
        <v/>
      </c>
      <c r="AK36" s="635" t="str">
        <f>IF($A36="","",VLOOKUP($A36,기본데이타!$A$8:$BV$103,COLUMN(기본데이타!AO$8),0))</f>
        <v/>
      </c>
      <c r="AL36" s="635" t="str">
        <f>IF($A36="","",VLOOKUP($A36,기본데이타!$A$8:$BV$103,COLUMN(기본데이타!AP$8),0))</f>
        <v/>
      </c>
      <c r="AM36" s="635" t="str">
        <f>IF($A36="","",VLOOKUP($A36,기본데이타!$A$8:$BV$103,COLUMN(기본데이타!AQ$8),0))</f>
        <v/>
      </c>
      <c r="AN36" s="635" t="str">
        <f>IF($A36="","",VLOOKUP($A36,기본데이타!$A$8:$BV$103,COLUMN(기본데이타!AR$8),0))</f>
        <v/>
      </c>
      <c r="AO36" s="635" t="str">
        <f>IF($A36="","",VLOOKUP($A36,기본데이타!$A$8:$BV$103,COLUMN(기본데이타!AS$8),0))</f>
        <v/>
      </c>
      <c r="AP36" s="635" t="str">
        <f>IF($A36="","",VLOOKUP($A36,기본데이타!$A$8:$BV$103,COLUMN(기본데이타!AT$8),0))</f>
        <v/>
      </c>
      <c r="AQ36" s="635" t="str">
        <f>IF($A36="","",VLOOKUP($A36,기본데이타!$A$8:$BV$103,COLUMN(기본데이타!AU$8),0))</f>
        <v/>
      </c>
      <c r="AR36" s="598" t="str">
        <f>IF($A36="","",VLOOKUP($A36,기본데이타!$A$8:$BV$103,COLUMN(기본데이타!AV$8),0))</f>
        <v/>
      </c>
      <c r="AS36" s="596" t="str">
        <f>IF($A36="","",VLOOKUP($A36,기본데이타!$A$8:$BV$103,COLUMN(기본데이타!AW$8),0))</f>
        <v/>
      </c>
      <c r="AT36" s="596" t="str">
        <f>IF($A36="","",VLOOKUP($A36,기본데이타!$A$8:$BV$103,COLUMN(기본데이타!AX$8),0))</f>
        <v/>
      </c>
      <c r="AU36" s="596" t="str">
        <f>IF($A36="","",VLOOKUP($A36,기본데이타!$A$8:$BV$103,COLUMN(기본데이타!AY$8),0))</f>
        <v/>
      </c>
      <c r="AV36" s="596" t="str">
        <f t="shared" si="2"/>
        <v/>
      </c>
      <c r="AW36" s="597" t="str">
        <f>IF($A36="","",VLOOKUP($A36,기본데이타!$A$8:$BV$103,COLUMN(기본데이타!BA$8),0))</f>
        <v/>
      </c>
      <c r="AX36" s="597" t="str">
        <f>IF($A36="","",VLOOKUP($A36,기본데이타!$A$8:$BV$103,COLUMN(기본데이타!BB$8),0))</f>
        <v/>
      </c>
      <c r="AY36" s="597" t="str">
        <f>IF($A36="","",VLOOKUP($A36,기본데이타!$A$8:$BV$103,COLUMN(기본데이타!BC$8),0))</f>
        <v/>
      </c>
      <c r="AZ36" s="597" t="str">
        <f>IF($A36="","",VLOOKUP($A36,기본데이타!$A$8:$BV$103,COLUMN(기본데이타!BD$8),0))</f>
        <v/>
      </c>
      <c r="BA36" s="597" t="str">
        <f>IF($A36="","",VLOOKUP($A36,기본데이타!$A$8:$BV$103,COLUMN(기본데이타!BE$8),0))</f>
        <v/>
      </c>
      <c r="BB36" s="597" t="str">
        <f>IF($A36="","",VLOOKUP($A36,기본데이타!$A$8:$BV$103,COLUMN(기본데이타!BF$8),0))</f>
        <v/>
      </c>
      <c r="BC36" s="597" t="str">
        <f>IF($A36="","",VLOOKUP($A36,기본데이타!$A$8:$BV$103,COLUMN(기본데이타!BG$8),0))</f>
        <v/>
      </c>
      <c r="BD36" s="1496" t="str">
        <f>IF($A36="","",VLOOKUP($A36,기본데이타!$A$8:$BV$103,COLUMN(기본데이타!BH$8),0))</f>
        <v/>
      </c>
      <c r="BE36" s="597" t="str">
        <f>IF($A36="","",VLOOKUP($A36,기본데이타!$A$8:$BV$103,COLUMN(기본데이타!BI$8),0))</f>
        <v/>
      </c>
      <c r="BF36" s="597" t="str">
        <f>IF($A36="","",VLOOKUP($A36,기본데이타!$A$8:$BV$103,COLUMN(기본데이타!BJ$8),0))</f>
        <v/>
      </c>
      <c r="BG36" s="597" t="str">
        <f>IF($A36="","",VLOOKUP($A36,기본데이타!$A$8:$BV$103,COLUMN(기본데이타!BK$8),0))</f>
        <v/>
      </c>
      <c r="BH36" s="597" t="str">
        <f>IF($A36="","",VLOOKUP($A36,기본데이타!$A$8:$BV$103,COLUMN(기본데이타!BL$8),0))</f>
        <v/>
      </c>
      <c r="BI36" s="597" t="str">
        <f>IF($A36="","",VLOOKUP($A36,기본데이타!$A$8:$BV$103,COLUMN(기본데이타!BM$8),0))</f>
        <v/>
      </c>
      <c r="BJ36" s="597" t="str">
        <f>IF($A36="","",VLOOKUP($A36,기본데이타!$A$8:$BV$103,COLUMN(기본데이타!BN$8),0))</f>
        <v/>
      </c>
      <c r="BK36" s="597" t="str">
        <f>IF($A36="","",VLOOKUP($A36,기본데이타!$A$8:$BV$103,COLUMN(기본데이타!BO$8),0))</f>
        <v/>
      </c>
      <c r="BL36" s="597" t="str">
        <f>IF($A36="","",VLOOKUP($A36,기본데이타!$A$8:$BV$103,COLUMN(기본데이타!BP$8),0))</f>
        <v/>
      </c>
      <c r="BM36" s="597" t="str">
        <f>IF($A36="","",VLOOKUP($A36,기본데이타!$A$8:$BV$103,COLUMN(기본데이타!BQ$8),0))</f>
        <v/>
      </c>
      <c r="BN36" s="599" t="str">
        <f>IF($A36="","",VLOOKUP($A36,기본데이타!$A$8:$BV$103,COLUMN(기본데이타!BR$8),0))</f>
        <v/>
      </c>
      <c r="BO36" s="600" t="str">
        <f>IF($A36="","",VLOOKUP($A36,기본데이타!$A$8:$BV$103,COLUMN(기본데이타!BS$8),0))</f>
        <v/>
      </c>
      <c r="BP36" s="623" t="str">
        <f>IF($A36="","",VLOOKUP($A36,기본데이타!$A$8:$BV$103,COLUMN(기본데이타!BT$8),0))</f>
        <v/>
      </c>
      <c r="BQ36" s="602" t="str">
        <f>IF($A36="","",VLOOKUP($A36,기본데이타!$A$8:$BV$103,COLUMN(기본데이타!BU$8),0))</f>
        <v/>
      </c>
      <c r="BR36" s="625" t="str">
        <f t="shared" si="3"/>
        <v/>
      </c>
    </row>
    <row r="37" spans="1:70" s="571" customFormat="1" ht="61.5" hidden="1" customHeight="1" outlineLevel="1">
      <c r="A37" s="578"/>
      <c r="B37" s="1642"/>
      <c r="C37" s="590"/>
      <c r="D37" s="591" t="str">
        <f>IF($A37="","",VLOOKUP($A37,기본데이타!$A$8:$BV$103,COLUMN(기본데이타!F$8),0))</f>
        <v/>
      </c>
      <c r="E37" s="592" t="str">
        <f>IF($A37="","",VLOOKUP($A37,기본데이타!$A$8:$BV$103,COLUMN(기본데이타!G$8),0))</f>
        <v/>
      </c>
      <c r="F37" s="593" t="str">
        <f>IF($A37="","",VLOOKUP($A37,기본데이타!$A$8:$BV$103,COLUMN(기본데이타!H$8),0))</f>
        <v/>
      </c>
      <c r="G37" s="594" t="str">
        <f>IF($A37="","",VLOOKUP($A37,기본데이타!$A$8:$BV$103,COLUMN(기본데이타!I$8),0))</f>
        <v/>
      </c>
      <c r="H37" s="594" t="str">
        <f>IF($A37="","",VLOOKUP($A37,기본데이타!$A$8:$BV$103,COLUMN(기본데이타!J$8),0))</f>
        <v/>
      </c>
      <c r="I37" s="595" t="str">
        <f>IF($A37="","",VLOOKUP($A37,기본데이타!$A$8:$BV$103,COLUMN(기본데이타!K$8),0))</f>
        <v/>
      </c>
      <c r="J37" s="595" t="str">
        <f>IF($A37="","",VLOOKUP($A37,기본데이타!$A$8:$BV$103,COLUMN(기본데이타!L$8),0))</f>
        <v/>
      </c>
      <c r="K37" s="595" t="str">
        <f>IF($A37="","",VLOOKUP($A37,기본데이타!$A$8:$BV$103,COLUMN(기본데이타!M$8),0))</f>
        <v/>
      </c>
      <c r="L37" s="596" t="str">
        <f>IF($A37="","",VLOOKUP($A37,기본데이타!$A$8:$BV$103,COLUMN(기본데이타!N$8),0))</f>
        <v/>
      </c>
      <c r="M37" s="595" t="str">
        <f>IF($A37="","",VLOOKUP($A37,기본데이타!$A$8:$BV$103,COLUMN(기본데이타!O$8),0))</f>
        <v/>
      </c>
      <c r="N37" s="596" t="str">
        <f>IF($A37="","",VLOOKUP($A37,기본데이타!$A$8:$BV$103,COLUMN(기본데이타!P$8),0))</f>
        <v/>
      </c>
      <c r="O37" s="596" t="str">
        <f>IF($A37="","",VLOOKUP($A37,기본데이타!$A$8:$BV$103,COLUMN(기본데이타!Q$8),0))</f>
        <v/>
      </c>
      <c r="P37" s="596" t="str">
        <f>IF($A37="","",VLOOKUP($A37,기본데이타!$A$8:$BV$103,COLUMN(기본데이타!R$8),0))</f>
        <v/>
      </c>
      <c r="Q37" s="596" t="str">
        <f>IF($A37="","",VLOOKUP($A37,기본데이타!$A$8:$BV$103,COLUMN(기본데이타!S$8),0))</f>
        <v/>
      </c>
      <c r="R37" s="596" t="str">
        <f>IF($A37="","",VLOOKUP($A37,기본데이타!$A$8:$BV$103,COLUMN(기본데이타!T$8),0))</f>
        <v/>
      </c>
      <c r="S37" s="596" t="str">
        <f>IF($A37="","",VLOOKUP($A37,기본데이타!$A$8:$BV$103,COLUMN(기본데이타!U$8),0))</f>
        <v/>
      </c>
      <c r="T37" s="596" t="str">
        <f>IF($A37="","",VLOOKUP($A37,기본데이타!$A$8:$BV$103,COLUMN(기본데이타!V$8),0))</f>
        <v/>
      </c>
      <c r="U37" s="596" t="str">
        <f>IF($A37="","",VLOOKUP($A37,기본데이타!$A$8:$BV$103,COLUMN(기본데이타!W$8),0))</f>
        <v/>
      </c>
      <c r="V37" s="596" t="str">
        <f>IF($A37="","",VLOOKUP($A37,기본데이타!$A$8:$BV$103,COLUMN(기본데이타!X$8),0))</f>
        <v/>
      </c>
      <c r="W37" s="596" t="str">
        <f>IF($A37="","",VLOOKUP($A37,기본데이타!$A$8:$BV$103,COLUMN(기본데이타!AA$8),0))</f>
        <v/>
      </c>
      <c r="X37" s="596" t="str">
        <f>IF($A37="","",VLOOKUP($A37,기본데이타!$A$8:$BV$103,COLUMN(기본데이타!AB$8),0))</f>
        <v/>
      </c>
      <c r="Y37" s="595" t="str">
        <f>IF($A37="","",VLOOKUP($A37,기본데이타!$A$8:$BV$103,COLUMN(기본데이타!AC$8),0))</f>
        <v/>
      </c>
      <c r="Z37" s="596" t="str">
        <f>IF($A37="","",VLOOKUP($A37,기본데이타!$A$8:$BV$103,COLUMN(기본데이타!AD$8),0))</f>
        <v/>
      </c>
      <c r="AA37" s="595" t="str">
        <f>IF($A37="","",VLOOKUP($A37,기본데이타!$A$8:$BV$103,COLUMN(기본데이타!AE$8),0))</f>
        <v/>
      </c>
      <c r="AB37" s="596" t="str">
        <f>IF($A37="","",VLOOKUP($A37,기본데이타!$A$8:$BV$103,COLUMN(기본데이타!AF$8),0))</f>
        <v/>
      </c>
      <c r="AC37" s="595" t="str">
        <f>IF($A37="","",VLOOKUP($A37,기본데이타!$A$8:$BV$103,COLUMN(기본데이타!AG$8),0))</f>
        <v/>
      </c>
      <c r="AD37" s="596" t="str">
        <f>IF($A37="","",VLOOKUP($A37,기본데이타!$A$8:$BV$103,COLUMN(기본데이타!AH$8),0))</f>
        <v/>
      </c>
      <c r="AE37" s="595" t="str">
        <f>IF($A37="","",VLOOKUP($A37,기본데이타!$A$8:$BV$103,COLUMN(기본데이타!AI$8),0))</f>
        <v/>
      </c>
      <c r="AF37" s="597" t="str">
        <f>IF($A37="","",VLOOKUP($A37,기본데이타!$A$8:$BV$103,COLUMN(기본데이타!AJ$8),0))</f>
        <v/>
      </c>
      <c r="AG37" s="635" t="str">
        <f>IF($A37="","",VLOOKUP($A37,기본데이타!$A$8:$BV$103,COLUMN(기본데이타!AK$8),0))</f>
        <v/>
      </c>
      <c r="AH37" s="635" t="str">
        <f>IF($A37="","",VLOOKUP($A37,기본데이타!$A$8:$BV$103,COLUMN(기본데이타!AL$8),0))</f>
        <v/>
      </c>
      <c r="AI37" s="635" t="str">
        <f>IF($A37="","",VLOOKUP($A37,기본데이타!$A$8:$BV$103,COLUMN(기본데이타!AM$8),0))</f>
        <v/>
      </c>
      <c r="AJ37" s="635" t="str">
        <f>IF($A37="","",VLOOKUP($A37,기본데이타!$A$8:$BV$103,COLUMN(기본데이타!AN$8),0))</f>
        <v/>
      </c>
      <c r="AK37" s="635" t="str">
        <f>IF($A37="","",VLOOKUP($A37,기본데이타!$A$8:$BV$103,COLUMN(기본데이타!AO$8),0))</f>
        <v/>
      </c>
      <c r="AL37" s="635" t="str">
        <f>IF($A37="","",VLOOKUP($A37,기본데이타!$A$8:$BV$103,COLUMN(기본데이타!AP$8),0))</f>
        <v/>
      </c>
      <c r="AM37" s="635" t="str">
        <f>IF($A37="","",VLOOKUP($A37,기본데이타!$A$8:$BV$103,COLUMN(기본데이타!AQ$8),0))</f>
        <v/>
      </c>
      <c r="AN37" s="635" t="str">
        <f>IF($A37="","",VLOOKUP($A37,기본데이타!$A$8:$BV$103,COLUMN(기본데이타!AR$8),0))</f>
        <v/>
      </c>
      <c r="AO37" s="635" t="str">
        <f>IF($A37="","",VLOOKUP($A37,기본데이타!$A$8:$BV$103,COLUMN(기본데이타!AS$8),0))</f>
        <v/>
      </c>
      <c r="AP37" s="635" t="str">
        <f>IF($A37="","",VLOOKUP($A37,기본데이타!$A$8:$BV$103,COLUMN(기본데이타!AT$8),0))</f>
        <v/>
      </c>
      <c r="AQ37" s="635" t="str">
        <f>IF($A37="","",VLOOKUP($A37,기본데이타!$A$8:$BV$103,COLUMN(기본데이타!AU$8),0))</f>
        <v/>
      </c>
      <c r="AR37" s="598" t="str">
        <f>IF($A37="","",VLOOKUP($A37,기본데이타!$A$8:$BV$103,COLUMN(기본데이타!AV$8),0))</f>
        <v/>
      </c>
      <c r="AS37" s="596" t="str">
        <f>IF($A37="","",VLOOKUP($A37,기본데이타!$A$8:$BV$103,COLUMN(기본데이타!AW$8),0))</f>
        <v/>
      </c>
      <c r="AT37" s="596" t="str">
        <f>IF($A37="","",VLOOKUP($A37,기본데이타!$A$8:$BV$103,COLUMN(기본데이타!AX$8),0))</f>
        <v/>
      </c>
      <c r="AU37" s="596" t="str">
        <f>IF($A37="","",VLOOKUP($A37,기본데이타!$A$8:$BV$103,COLUMN(기본데이타!AY$8),0))</f>
        <v/>
      </c>
      <c r="AV37" s="596" t="str">
        <f t="shared" si="2"/>
        <v/>
      </c>
      <c r="AW37" s="597" t="str">
        <f>IF($A37="","",VLOOKUP($A37,기본데이타!$A$8:$BV$103,COLUMN(기본데이타!BA$8),0))</f>
        <v/>
      </c>
      <c r="AX37" s="597" t="str">
        <f>IF($A37="","",VLOOKUP($A37,기본데이타!$A$8:$BV$103,COLUMN(기본데이타!BB$8),0))</f>
        <v/>
      </c>
      <c r="AY37" s="597" t="str">
        <f>IF($A37="","",VLOOKUP($A37,기본데이타!$A$8:$BV$103,COLUMN(기본데이타!BC$8),0))</f>
        <v/>
      </c>
      <c r="AZ37" s="597" t="str">
        <f>IF($A37="","",VLOOKUP($A37,기본데이타!$A$8:$BV$103,COLUMN(기본데이타!BD$8),0))</f>
        <v/>
      </c>
      <c r="BA37" s="597" t="str">
        <f>IF($A37="","",VLOOKUP($A37,기본데이타!$A$8:$BV$103,COLUMN(기본데이타!BE$8),0))</f>
        <v/>
      </c>
      <c r="BB37" s="597" t="str">
        <f>IF($A37="","",VLOOKUP($A37,기본데이타!$A$8:$BV$103,COLUMN(기본데이타!BF$8),0))</f>
        <v/>
      </c>
      <c r="BC37" s="597" t="str">
        <f>IF($A37="","",VLOOKUP($A37,기본데이타!$A$8:$BV$103,COLUMN(기본데이타!BG$8),0))</f>
        <v/>
      </c>
      <c r="BD37" s="1496" t="str">
        <f>IF($A37="","",VLOOKUP($A37,기본데이타!$A$8:$BV$103,COLUMN(기본데이타!BH$8),0))</f>
        <v/>
      </c>
      <c r="BE37" s="597" t="str">
        <f>IF($A37="","",VLOOKUP($A37,기본데이타!$A$8:$BV$103,COLUMN(기본데이타!BI$8),0))</f>
        <v/>
      </c>
      <c r="BF37" s="597" t="str">
        <f>IF($A37="","",VLOOKUP($A37,기본데이타!$A$8:$BV$103,COLUMN(기본데이타!BJ$8),0))</f>
        <v/>
      </c>
      <c r="BG37" s="597" t="str">
        <f>IF($A37="","",VLOOKUP($A37,기본데이타!$A$8:$BV$103,COLUMN(기본데이타!BK$8),0))</f>
        <v/>
      </c>
      <c r="BH37" s="597" t="str">
        <f>IF($A37="","",VLOOKUP($A37,기본데이타!$A$8:$BV$103,COLUMN(기본데이타!BL$8),0))</f>
        <v/>
      </c>
      <c r="BI37" s="597" t="str">
        <f>IF($A37="","",VLOOKUP($A37,기본데이타!$A$8:$BV$103,COLUMN(기본데이타!BM$8),0))</f>
        <v/>
      </c>
      <c r="BJ37" s="597" t="str">
        <f>IF($A37="","",VLOOKUP($A37,기본데이타!$A$8:$BV$103,COLUMN(기본데이타!BN$8),0))</f>
        <v/>
      </c>
      <c r="BK37" s="597" t="str">
        <f>IF($A37="","",VLOOKUP($A37,기본데이타!$A$8:$BV$103,COLUMN(기본데이타!BO$8),0))</f>
        <v/>
      </c>
      <c r="BL37" s="597" t="str">
        <f>IF($A37="","",VLOOKUP($A37,기본데이타!$A$8:$BV$103,COLUMN(기본데이타!BP$8),0))</f>
        <v/>
      </c>
      <c r="BM37" s="597" t="str">
        <f>IF($A37="","",VLOOKUP($A37,기본데이타!$A$8:$BV$103,COLUMN(기본데이타!BQ$8),0))</f>
        <v/>
      </c>
      <c r="BN37" s="599" t="str">
        <f>IF($A37="","",VLOOKUP($A37,기본데이타!$A$8:$BV$103,COLUMN(기본데이타!BR$8),0))</f>
        <v/>
      </c>
      <c r="BO37" s="600" t="str">
        <f>IF($A37="","",VLOOKUP($A37,기본데이타!$A$8:$BV$103,COLUMN(기본데이타!BS$8),0))</f>
        <v/>
      </c>
      <c r="BP37" s="623" t="str">
        <f>IF($A37="","",VLOOKUP($A37,기본데이타!$A$8:$BV$103,COLUMN(기본데이타!BT$8),0))</f>
        <v/>
      </c>
      <c r="BQ37" s="602" t="str">
        <f>IF($A37="","",VLOOKUP($A37,기본데이타!$A$8:$BV$103,COLUMN(기본데이타!BU$8),0))</f>
        <v/>
      </c>
      <c r="BR37" s="625" t="str">
        <f t="shared" si="3"/>
        <v/>
      </c>
    </row>
    <row r="38" spans="1:70" s="571" customFormat="1" ht="61.5" hidden="1" customHeight="1" outlineLevel="1">
      <c r="A38" s="578"/>
      <c r="B38" s="1642"/>
      <c r="C38" s="590"/>
      <c r="D38" s="591" t="str">
        <f>IF($A38="","",VLOOKUP($A38,기본데이타!$A$8:$BV$103,COLUMN(기본데이타!F$8),0))</f>
        <v/>
      </c>
      <c r="E38" s="592" t="str">
        <f>IF($A38="","",VLOOKUP($A38,기본데이타!$A$8:$BV$103,COLUMN(기본데이타!G$8),0))</f>
        <v/>
      </c>
      <c r="F38" s="593" t="str">
        <f>IF($A38="","",VLOOKUP($A38,기본데이타!$A$8:$BV$103,COLUMN(기본데이타!H$8),0))</f>
        <v/>
      </c>
      <c r="G38" s="594" t="str">
        <f>IF($A38="","",VLOOKUP($A38,기본데이타!$A$8:$BV$103,COLUMN(기본데이타!I$8),0))</f>
        <v/>
      </c>
      <c r="H38" s="594" t="str">
        <f>IF($A38="","",VLOOKUP($A38,기본데이타!$A$8:$BV$103,COLUMN(기본데이타!J$8),0))</f>
        <v/>
      </c>
      <c r="I38" s="595" t="str">
        <f>IF($A38="","",VLOOKUP($A38,기본데이타!$A$8:$BV$103,COLUMN(기본데이타!K$8),0))</f>
        <v/>
      </c>
      <c r="J38" s="595" t="str">
        <f>IF($A38="","",VLOOKUP($A38,기본데이타!$A$8:$BV$103,COLUMN(기본데이타!L$8),0))</f>
        <v/>
      </c>
      <c r="K38" s="595" t="str">
        <f>IF($A38="","",VLOOKUP($A38,기본데이타!$A$8:$BV$103,COLUMN(기본데이타!M$8),0))</f>
        <v/>
      </c>
      <c r="L38" s="596" t="str">
        <f>IF($A38="","",VLOOKUP($A38,기본데이타!$A$8:$BV$103,COLUMN(기본데이타!N$8),0))</f>
        <v/>
      </c>
      <c r="M38" s="595" t="str">
        <f>IF($A38="","",VLOOKUP($A38,기본데이타!$A$8:$BV$103,COLUMN(기본데이타!O$8),0))</f>
        <v/>
      </c>
      <c r="N38" s="596" t="str">
        <f>IF($A38="","",VLOOKUP($A38,기본데이타!$A$8:$BV$103,COLUMN(기본데이타!P$8),0))</f>
        <v/>
      </c>
      <c r="O38" s="596" t="str">
        <f>IF($A38="","",VLOOKUP($A38,기본데이타!$A$8:$BV$103,COLUMN(기본데이타!Q$8),0))</f>
        <v/>
      </c>
      <c r="P38" s="596" t="str">
        <f>IF($A38="","",VLOOKUP($A38,기본데이타!$A$8:$BV$103,COLUMN(기본데이타!R$8),0))</f>
        <v/>
      </c>
      <c r="Q38" s="596" t="str">
        <f>IF($A38="","",VLOOKUP($A38,기본데이타!$A$8:$BV$103,COLUMN(기본데이타!S$8),0))</f>
        <v/>
      </c>
      <c r="R38" s="596" t="str">
        <f>IF($A38="","",VLOOKUP($A38,기본데이타!$A$8:$BV$103,COLUMN(기본데이타!T$8),0))</f>
        <v/>
      </c>
      <c r="S38" s="596" t="str">
        <f>IF($A38="","",VLOOKUP($A38,기본데이타!$A$8:$BV$103,COLUMN(기본데이타!U$8),0))</f>
        <v/>
      </c>
      <c r="T38" s="596" t="str">
        <f>IF($A38="","",VLOOKUP($A38,기본데이타!$A$8:$BV$103,COLUMN(기본데이타!V$8),0))</f>
        <v/>
      </c>
      <c r="U38" s="596" t="str">
        <f>IF($A38="","",VLOOKUP($A38,기본데이타!$A$8:$BV$103,COLUMN(기본데이타!W$8),0))</f>
        <v/>
      </c>
      <c r="V38" s="596" t="str">
        <f>IF($A38="","",VLOOKUP($A38,기본데이타!$A$8:$BV$103,COLUMN(기본데이타!X$8),0))</f>
        <v/>
      </c>
      <c r="W38" s="596" t="str">
        <f>IF($A38="","",VLOOKUP($A38,기본데이타!$A$8:$BV$103,COLUMN(기본데이타!AA$8),0))</f>
        <v/>
      </c>
      <c r="X38" s="596" t="str">
        <f>IF($A38="","",VLOOKUP($A38,기본데이타!$A$8:$BV$103,COLUMN(기본데이타!AB$8),0))</f>
        <v/>
      </c>
      <c r="Y38" s="595" t="str">
        <f>IF($A38="","",VLOOKUP($A38,기본데이타!$A$8:$BV$103,COLUMN(기본데이타!AC$8),0))</f>
        <v/>
      </c>
      <c r="Z38" s="596" t="str">
        <f>IF($A38="","",VLOOKUP($A38,기본데이타!$A$8:$BV$103,COLUMN(기본데이타!AD$8),0))</f>
        <v/>
      </c>
      <c r="AA38" s="595" t="str">
        <f>IF($A38="","",VLOOKUP($A38,기본데이타!$A$8:$BV$103,COLUMN(기본데이타!AE$8),0))</f>
        <v/>
      </c>
      <c r="AB38" s="596" t="str">
        <f>IF($A38="","",VLOOKUP($A38,기본데이타!$A$8:$BV$103,COLUMN(기본데이타!AF$8),0))</f>
        <v/>
      </c>
      <c r="AC38" s="595" t="str">
        <f>IF($A38="","",VLOOKUP($A38,기본데이타!$A$8:$BV$103,COLUMN(기본데이타!AG$8),0))</f>
        <v/>
      </c>
      <c r="AD38" s="596" t="str">
        <f>IF($A38="","",VLOOKUP($A38,기본데이타!$A$8:$BV$103,COLUMN(기본데이타!AH$8),0))</f>
        <v/>
      </c>
      <c r="AE38" s="595" t="str">
        <f>IF($A38="","",VLOOKUP($A38,기본데이타!$A$8:$BV$103,COLUMN(기본데이타!AI$8),0))</f>
        <v/>
      </c>
      <c r="AF38" s="597" t="str">
        <f>IF($A38="","",VLOOKUP($A38,기본데이타!$A$8:$BV$103,COLUMN(기본데이타!AJ$8),0))</f>
        <v/>
      </c>
      <c r="AG38" s="635" t="str">
        <f>IF($A38="","",VLOOKUP($A38,기본데이타!$A$8:$BV$103,COLUMN(기본데이타!AK$8),0))</f>
        <v/>
      </c>
      <c r="AH38" s="635" t="str">
        <f>IF($A38="","",VLOOKUP($A38,기본데이타!$A$8:$BV$103,COLUMN(기본데이타!AL$8),0))</f>
        <v/>
      </c>
      <c r="AI38" s="635" t="str">
        <f>IF($A38="","",VLOOKUP($A38,기본데이타!$A$8:$BV$103,COLUMN(기본데이타!AM$8),0))</f>
        <v/>
      </c>
      <c r="AJ38" s="635" t="str">
        <f>IF($A38="","",VLOOKUP($A38,기본데이타!$A$8:$BV$103,COLUMN(기본데이타!AN$8),0))</f>
        <v/>
      </c>
      <c r="AK38" s="635" t="str">
        <f>IF($A38="","",VLOOKUP($A38,기본데이타!$A$8:$BV$103,COLUMN(기본데이타!AO$8),0))</f>
        <v/>
      </c>
      <c r="AL38" s="635" t="str">
        <f>IF($A38="","",VLOOKUP($A38,기본데이타!$A$8:$BV$103,COLUMN(기본데이타!AP$8),0))</f>
        <v/>
      </c>
      <c r="AM38" s="635" t="str">
        <f>IF($A38="","",VLOOKUP($A38,기본데이타!$A$8:$BV$103,COLUMN(기본데이타!AQ$8),0))</f>
        <v/>
      </c>
      <c r="AN38" s="635" t="str">
        <f>IF($A38="","",VLOOKUP($A38,기본데이타!$A$8:$BV$103,COLUMN(기본데이타!AR$8),0))</f>
        <v/>
      </c>
      <c r="AO38" s="635" t="str">
        <f>IF($A38="","",VLOOKUP($A38,기본데이타!$A$8:$BV$103,COLUMN(기본데이타!AS$8),0))</f>
        <v/>
      </c>
      <c r="AP38" s="635" t="str">
        <f>IF($A38="","",VLOOKUP($A38,기본데이타!$A$8:$BV$103,COLUMN(기본데이타!AT$8),0))</f>
        <v/>
      </c>
      <c r="AQ38" s="635" t="str">
        <f>IF($A38="","",VLOOKUP($A38,기본데이타!$A$8:$BV$103,COLUMN(기본데이타!AU$8),0))</f>
        <v/>
      </c>
      <c r="AR38" s="598" t="str">
        <f>IF($A38="","",VLOOKUP($A38,기본데이타!$A$8:$BV$103,COLUMN(기본데이타!AV$8),0))</f>
        <v/>
      </c>
      <c r="AS38" s="596" t="str">
        <f>IF($A38="","",VLOOKUP($A38,기본데이타!$A$8:$BV$103,COLUMN(기본데이타!AW$8),0))</f>
        <v/>
      </c>
      <c r="AT38" s="596" t="str">
        <f>IF($A38="","",VLOOKUP($A38,기본데이타!$A$8:$BV$103,COLUMN(기본데이타!AX$8),0))</f>
        <v/>
      </c>
      <c r="AU38" s="596" t="str">
        <f>IF($A38="","",VLOOKUP($A38,기본데이타!$A$8:$BV$103,COLUMN(기본데이타!AY$8),0))</f>
        <v/>
      </c>
      <c r="AV38" s="596" t="str">
        <f t="shared" si="2"/>
        <v/>
      </c>
      <c r="AW38" s="597" t="str">
        <f>IF($A38="","",VLOOKUP($A38,기본데이타!$A$8:$BV$103,COLUMN(기본데이타!BA$8),0))</f>
        <v/>
      </c>
      <c r="AX38" s="597" t="str">
        <f>IF($A38="","",VLOOKUP($A38,기본데이타!$A$8:$BV$103,COLUMN(기본데이타!BB$8),0))</f>
        <v/>
      </c>
      <c r="AY38" s="597" t="str">
        <f>IF($A38="","",VLOOKUP($A38,기본데이타!$A$8:$BV$103,COLUMN(기본데이타!BC$8),0))</f>
        <v/>
      </c>
      <c r="AZ38" s="597" t="str">
        <f>IF($A38="","",VLOOKUP($A38,기본데이타!$A$8:$BV$103,COLUMN(기본데이타!BD$8),0))</f>
        <v/>
      </c>
      <c r="BA38" s="597" t="str">
        <f>IF($A38="","",VLOOKUP($A38,기본데이타!$A$8:$BV$103,COLUMN(기본데이타!BE$8),0))</f>
        <v/>
      </c>
      <c r="BB38" s="597" t="str">
        <f>IF($A38="","",VLOOKUP($A38,기본데이타!$A$8:$BV$103,COLUMN(기본데이타!BF$8),0))</f>
        <v/>
      </c>
      <c r="BC38" s="597" t="str">
        <f>IF($A38="","",VLOOKUP($A38,기본데이타!$A$8:$BV$103,COLUMN(기본데이타!BG$8),0))</f>
        <v/>
      </c>
      <c r="BD38" s="1496" t="str">
        <f>IF($A38="","",VLOOKUP($A38,기본데이타!$A$8:$BV$103,COLUMN(기본데이타!BH$8),0))</f>
        <v/>
      </c>
      <c r="BE38" s="597" t="str">
        <f>IF($A38="","",VLOOKUP($A38,기본데이타!$A$8:$BV$103,COLUMN(기본데이타!BI$8),0))</f>
        <v/>
      </c>
      <c r="BF38" s="597" t="str">
        <f>IF($A38="","",VLOOKUP($A38,기본데이타!$A$8:$BV$103,COLUMN(기본데이타!BJ$8),0))</f>
        <v/>
      </c>
      <c r="BG38" s="597" t="str">
        <f>IF($A38="","",VLOOKUP($A38,기본데이타!$A$8:$BV$103,COLUMN(기본데이타!BK$8),0))</f>
        <v/>
      </c>
      <c r="BH38" s="597" t="str">
        <f>IF($A38="","",VLOOKUP($A38,기본데이타!$A$8:$BV$103,COLUMN(기본데이타!BL$8),0))</f>
        <v/>
      </c>
      <c r="BI38" s="597" t="str">
        <f>IF($A38="","",VLOOKUP($A38,기본데이타!$A$8:$BV$103,COLUMN(기본데이타!BM$8),0))</f>
        <v/>
      </c>
      <c r="BJ38" s="597" t="str">
        <f>IF($A38="","",VLOOKUP($A38,기본데이타!$A$8:$BV$103,COLUMN(기본데이타!BN$8),0))</f>
        <v/>
      </c>
      <c r="BK38" s="597" t="str">
        <f>IF($A38="","",VLOOKUP($A38,기본데이타!$A$8:$BV$103,COLUMN(기본데이타!BO$8),0))</f>
        <v/>
      </c>
      <c r="BL38" s="597" t="str">
        <f>IF($A38="","",VLOOKUP($A38,기본데이타!$A$8:$BV$103,COLUMN(기본데이타!BP$8),0))</f>
        <v/>
      </c>
      <c r="BM38" s="597" t="str">
        <f>IF($A38="","",VLOOKUP($A38,기본데이타!$A$8:$BV$103,COLUMN(기본데이타!BQ$8),0))</f>
        <v/>
      </c>
      <c r="BN38" s="599" t="str">
        <f>IF($A38="","",VLOOKUP($A38,기본데이타!$A$8:$BV$103,COLUMN(기본데이타!BR$8),0))</f>
        <v/>
      </c>
      <c r="BO38" s="600" t="str">
        <f>IF($A38="","",VLOOKUP($A38,기본데이타!$A$8:$BV$103,COLUMN(기본데이타!BS$8),0))</f>
        <v/>
      </c>
      <c r="BP38" s="623" t="str">
        <f>IF($A38="","",VLOOKUP($A38,기본데이타!$A$8:$BV$103,COLUMN(기본데이타!BT$8),0))</f>
        <v/>
      </c>
      <c r="BQ38" s="602" t="str">
        <f>IF($A38="","",VLOOKUP($A38,기본데이타!$A$8:$BV$103,COLUMN(기본데이타!BU$8),0))</f>
        <v/>
      </c>
      <c r="BR38" s="625" t="str">
        <f t="shared" si="3"/>
        <v/>
      </c>
    </row>
    <row r="39" spans="1:70" s="571" customFormat="1" ht="61.5" hidden="1" customHeight="1" outlineLevel="1">
      <c r="A39" s="578"/>
      <c r="B39" s="1642"/>
      <c r="C39" s="590"/>
      <c r="D39" s="591" t="str">
        <f>IF($A39="","",VLOOKUP($A39,기본데이타!$A$8:$BV$103,COLUMN(기본데이타!F$8),0))</f>
        <v/>
      </c>
      <c r="E39" s="592" t="str">
        <f>IF($A39="","",VLOOKUP($A39,기본데이타!$A$8:$BV$103,COLUMN(기본데이타!G$8),0))</f>
        <v/>
      </c>
      <c r="F39" s="593" t="str">
        <f>IF($A39="","",VLOOKUP($A39,기본데이타!$A$8:$BV$103,COLUMN(기본데이타!H$8),0))</f>
        <v/>
      </c>
      <c r="G39" s="594" t="str">
        <f>IF($A39="","",VLOOKUP($A39,기본데이타!$A$8:$BV$103,COLUMN(기본데이타!I$8),0))</f>
        <v/>
      </c>
      <c r="H39" s="594" t="str">
        <f>IF($A39="","",VLOOKUP($A39,기본데이타!$A$8:$BV$103,COLUMN(기본데이타!J$8),0))</f>
        <v/>
      </c>
      <c r="I39" s="595" t="str">
        <f>IF($A39="","",VLOOKUP($A39,기본데이타!$A$8:$BV$103,COLUMN(기본데이타!K$8),0))</f>
        <v/>
      </c>
      <c r="J39" s="595" t="str">
        <f>IF($A39="","",VLOOKUP($A39,기본데이타!$A$8:$BV$103,COLUMN(기본데이타!L$8),0))</f>
        <v/>
      </c>
      <c r="K39" s="595" t="str">
        <f>IF($A39="","",VLOOKUP($A39,기본데이타!$A$8:$BV$103,COLUMN(기본데이타!M$8),0))</f>
        <v/>
      </c>
      <c r="L39" s="596" t="str">
        <f>IF($A39="","",VLOOKUP($A39,기본데이타!$A$8:$BV$103,COLUMN(기본데이타!N$8),0))</f>
        <v/>
      </c>
      <c r="M39" s="595" t="str">
        <f>IF($A39="","",VLOOKUP($A39,기본데이타!$A$8:$BV$103,COLUMN(기본데이타!O$8),0))</f>
        <v/>
      </c>
      <c r="N39" s="596" t="str">
        <f>IF($A39="","",VLOOKUP($A39,기본데이타!$A$8:$BV$103,COLUMN(기본데이타!P$8),0))</f>
        <v/>
      </c>
      <c r="O39" s="596" t="str">
        <f>IF($A39="","",VLOOKUP($A39,기본데이타!$A$8:$BV$103,COLUMN(기본데이타!Q$8),0))</f>
        <v/>
      </c>
      <c r="P39" s="596" t="str">
        <f>IF($A39="","",VLOOKUP($A39,기본데이타!$A$8:$BV$103,COLUMN(기본데이타!R$8),0))</f>
        <v/>
      </c>
      <c r="Q39" s="596" t="str">
        <f>IF($A39="","",VLOOKUP($A39,기본데이타!$A$8:$BV$103,COLUMN(기본데이타!S$8),0))</f>
        <v/>
      </c>
      <c r="R39" s="596" t="str">
        <f>IF($A39="","",VLOOKUP($A39,기본데이타!$A$8:$BV$103,COLUMN(기본데이타!T$8),0))</f>
        <v/>
      </c>
      <c r="S39" s="596" t="str">
        <f>IF($A39="","",VLOOKUP($A39,기본데이타!$A$8:$BV$103,COLUMN(기본데이타!U$8),0))</f>
        <v/>
      </c>
      <c r="T39" s="596" t="str">
        <f>IF($A39="","",VLOOKUP($A39,기본데이타!$A$8:$BV$103,COLUMN(기본데이타!V$8),0))</f>
        <v/>
      </c>
      <c r="U39" s="596" t="str">
        <f>IF($A39="","",VLOOKUP($A39,기본데이타!$A$8:$BV$103,COLUMN(기본데이타!W$8),0))</f>
        <v/>
      </c>
      <c r="V39" s="596" t="str">
        <f>IF($A39="","",VLOOKUP($A39,기본데이타!$A$8:$BV$103,COLUMN(기본데이타!X$8),0))</f>
        <v/>
      </c>
      <c r="W39" s="596" t="str">
        <f>IF($A39="","",VLOOKUP($A39,기본데이타!$A$8:$BV$103,COLUMN(기본데이타!AA$8),0))</f>
        <v/>
      </c>
      <c r="X39" s="596" t="str">
        <f>IF($A39="","",VLOOKUP($A39,기본데이타!$A$8:$BV$103,COLUMN(기본데이타!AB$8),0))</f>
        <v/>
      </c>
      <c r="Y39" s="595" t="str">
        <f>IF($A39="","",VLOOKUP($A39,기본데이타!$A$8:$BV$103,COLUMN(기본데이타!AC$8),0))</f>
        <v/>
      </c>
      <c r="Z39" s="596" t="str">
        <f>IF($A39="","",VLOOKUP($A39,기본데이타!$A$8:$BV$103,COLUMN(기본데이타!AD$8),0))</f>
        <v/>
      </c>
      <c r="AA39" s="595" t="str">
        <f>IF($A39="","",VLOOKUP($A39,기본데이타!$A$8:$BV$103,COLUMN(기본데이타!AE$8),0))</f>
        <v/>
      </c>
      <c r="AB39" s="596" t="str">
        <f>IF($A39="","",VLOOKUP($A39,기본데이타!$A$8:$BV$103,COLUMN(기본데이타!AF$8),0))</f>
        <v/>
      </c>
      <c r="AC39" s="595" t="str">
        <f>IF($A39="","",VLOOKUP($A39,기본데이타!$A$8:$BV$103,COLUMN(기본데이타!AG$8),0))</f>
        <v/>
      </c>
      <c r="AD39" s="596" t="str">
        <f>IF($A39="","",VLOOKUP($A39,기본데이타!$A$8:$BV$103,COLUMN(기본데이타!AH$8),0))</f>
        <v/>
      </c>
      <c r="AE39" s="595" t="str">
        <f>IF($A39="","",VLOOKUP($A39,기본데이타!$A$8:$BV$103,COLUMN(기본데이타!AI$8),0))</f>
        <v/>
      </c>
      <c r="AF39" s="597" t="str">
        <f>IF($A39="","",VLOOKUP($A39,기본데이타!$A$8:$BV$103,COLUMN(기본데이타!AJ$8),0))</f>
        <v/>
      </c>
      <c r="AG39" s="635" t="str">
        <f>IF($A39="","",VLOOKUP($A39,기본데이타!$A$8:$BV$103,COLUMN(기본데이타!AK$8),0))</f>
        <v/>
      </c>
      <c r="AH39" s="635" t="str">
        <f>IF($A39="","",VLOOKUP($A39,기본데이타!$A$8:$BV$103,COLUMN(기본데이타!AL$8),0))</f>
        <v/>
      </c>
      <c r="AI39" s="635" t="str">
        <f>IF($A39="","",VLOOKUP($A39,기본데이타!$A$8:$BV$103,COLUMN(기본데이타!AM$8),0))</f>
        <v/>
      </c>
      <c r="AJ39" s="635" t="str">
        <f>IF($A39="","",VLOOKUP($A39,기본데이타!$A$8:$BV$103,COLUMN(기본데이타!AN$8),0))</f>
        <v/>
      </c>
      <c r="AK39" s="635" t="str">
        <f>IF($A39="","",VLOOKUP($A39,기본데이타!$A$8:$BV$103,COLUMN(기본데이타!AO$8),0))</f>
        <v/>
      </c>
      <c r="AL39" s="635" t="str">
        <f>IF($A39="","",VLOOKUP($A39,기본데이타!$A$8:$BV$103,COLUMN(기본데이타!AP$8),0))</f>
        <v/>
      </c>
      <c r="AM39" s="635" t="str">
        <f>IF($A39="","",VLOOKUP($A39,기본데이타!$A$8:$BV$103,COLUMN(기본데이타!AQ$8),0))</f>
        <v/>
      </c>
      <c r="AN39" s="635" t="str">
        <f>IF($A39="","",VLOOKUP($A39,기본데이타!$A$8:$BV$103,COLUMN(기본데이타!AR$8),0))</f>
        <v/>
      </c>
      <c r="AO39" s="635" t="str">
        <f>IF($A39="","",VLOOKUP($A39,기본데이타!$A$8:$BV$103,COLUMN(기본데이타!AS$8),0))</f>
        <v/>
      </c>
      <c r="AP39" s="635" t="str">
        <f>IF($A39="","",VLOOKUP($A39,기본데이타!$A$8:$BV$103,COLUMN(기본데이타!AT$8),0))</f>
        <v/>
      </c>
      <c r="AQ39" s="635" t="str">
        <f>IF($A39="","",VLOOKUP($A39,기본데이타!$A$8:$BV$103,COLUMN(기본데이타!AU$8),0))</f>
        <v/>
      </c>
      <c r="AR39" s="598" t="str">
        <f>IF($A39="","",VLOOKUP($A39,기본데이타!$A$8:$BV$103,COLUMN(기본데이타!AV$8),0))</f>
        <v/>
      </c>
      <c r="AS39" s="596" t="str">
        <f>IF($A39="","",VLOOKUP($A39,기본데이타!$A$8:$BV$103,COLUMN(기본데이타!AW$8),0))</f>
        <v/>
      </c>
      <c r="AT39" s="596" t="str">
        <f>IF($A39="","",VLOOKUP($A39,기본데이타!$A$8:$BV$103,COLUMN(기본데이타!AX$8),0))</f>
        <v/>
      </c>
      <c r="AU39" s="596" t="str">
        <f>IF($A39="","",VLOOKUP($A39,기본데이타!$A$8:$BV$103,COLUMN(기본데이타!AY$8),0))</f>
        <v/>
      </c>
      <c r="AV39" s="596" t="str">
        <f t="shared" si="2"/>
        <v/>
      </c>
      <c r="AW39" s="597" t="str">
        <f>IF($A39="","",VLOOKUP($A39,기본데이타!$A$8:$BV$103,COLUMN(기본데이타!BA$8),0))</f>
        <v/>
      </c>
      <c r="AX39" s="597" t="str">
        <f>IF($A39="","",VLOOKUP($A39,기본데이타!$A$8:$BV$103,COLUMN(기본데이타!BB$8),0))</f>
        <v/>
      </c>
      <c r="AY39" s="597" t="str">
        <f>IF($A39="","",VLOOKUP($A39,기본데이타!$A$8:$BV$103,COLUMN(기본데이타!BC$8),0))</f>
        <v/>
      </c>
      <c r="AZ39" s="597" t="str">
        <f>IF($A39="","",VLOOKUP($A39,기본데이타!$A$8:$BV$103,COLUMN(기본데이타!BD$8),0))</f>
        <v/>
      </c>
      <c r="BA39" s="597" t="str">
        <f>IF($A39="","",VLOOKUP($A39,기본데이타!$A$8:$BV$103,COLUMN(기본데이타!BE$8),0))</f>
        <v/>
      </c>
      <c r="BB39" s="597" t="str">
        <f>IF($A39="","",VLOOKUP($A39,기본데이타!$A$8:$BV$103,COLUMN(기본데이타!BF$8),0))</f>
        <v/>
      </c>
      <c r="BC39" s="597" t="str">
        <f>IF($A39="","",VLOOKUP($A39,기본데이타!$A$8:$BV$103,COLUMN(기본데이타!BG$8),0))</f>
        <v/>
      </c>
      <c r="BD39" s="1496" t="str">
        <f>IF($A39="","",VLOOKUP($A39,기본데이타!$A$8:$BV$103,COLUMN(기본데이타!BH$8),0))</f>
        <v/>
      </c>
      <c r="BE39" s="597" t="str">
        <f>IF($A39="","",VLOOKUP($A39,기본데이타!$A$8:$BV$103,COLUMN(기본데이타!BI$8),0))</f>
        <v/>
      </c>
      <c r="BF39" s="597" t="str">
        <f>IF($A39="","",VLOOKUP($A39,기본데이타!$A$8:$BV$103,COLUMN(기본데이타!BJ$8),0))</f>
        <v/>
      </c>
      <c r="BG39" s="597" t="str">
        <f>IF($A39="","",VLOOKUP($A39,기본데이타!$A$8:$BV$103,COLUMN(기본데이타!BK$8),0))</f>
        <v/>
      </c>
      <c r="BH39" s="597" t="str">
        <f>IF($A39="","",VLOOKUP($A39,기본데이타!$A$8:$BV$103,COLUMN(기본데이타!BL$8),0))</f>
        <v/>
      </c>
      <c r="BI39" s="597" t="str">
        <f>IF($A39="","",VLOOKUP($A39,기본데이타!$A$8:$BV$103,COLUMN(기본데이타!BM$8),0))</f>
        <v/>
      </c>
      <c r="BJ39" s="597" t="str">
        <f>IF($A39="","",VLOOKUP($A39,기본데이타!$A$8:$BV$103,COLUMN(기본데이타!BN$8),0))</f>
        <v/>
      </c>
      <c r="BK39" s="597" t="str">
        <f>IF($A39="","",VLOOKUP($A39,기본데이타!$A$8:$BV$103,COLUMN(기본데이타!BO$8),0))</f>
        <v/>
      </c>
      <c r="BL39" s="597" t="str">
        <f>IF($A39="","",VLOOKUP($A39,기본데이타!$A$8:$BV$103,COLUMN(기본데이타!BP$8),0))</f>
        <v/>
      </c>
      <c r="BM39" s="597" t="str">
        <f>IF($A39="","",VLOOKUP($A39,기본데이타!$A$8:$BV$103,COLUMN(기본데이타!BQ$8),0))</f>
        <v/>
      </c>
      <c r="BN39" s="599" t="str">
        <f>IF($A39="","",VLOOKUP($A39,기본데이타!$A$8:$BV$103,COLUMN(기본데이타!BR$8),0))</f>
        <v/>
      </c>
      <c r="BO39" s="600" t="str">
        <f>IF($A39="","",VLOOKUP($A39,기본데이타!$A$8:$BV$103,COLUMN(기본데이타!BS$8),0))</f>
        <v/>
      </c>
      <c r="BP39" s="623" t="str">
        <f>IF($A39="","",VLOOKUP($A39,기본데이타!$A$8:$BV$103,COLUMN(기본데이타!BT$8),0))</f>
        <v/>
      </c>
      <c r="BQ39" s="602" t="str">
        <f>IF($A39="","",VLOOKUP($A39,기본데이타!$A$8:$BV$103,COLUMN(기본데이타!BU$8),0))</f>
        <v/>
      </c>
      <c r="BR39" s="625" t="str">
        <f t="shared" si="3"/>
        <v/>
      </c>
    </row>
    <row r="40" spans="1:70" s="571" customFormat="1" ht="61.5" hidden="1" customHeight="1" outlineLevel="1">
      <c r="A40" s="578"/>
      <c r="B40" s="1642"/>
      <c r="C40" s="590"/>
      <c r="D40" s="591" t="str">
        <f>IF($A40="","",VLOOKUP($A40,기본데이타!$A$8:$BV$103,COLUMN(기본데이타!F$8),0))</f>
        <v/>
      </c>
      <c r="E40" s="592" t="str">
        <f>IF($A40="","",VLOOKUP($A40,기본데이타!$A$8:$BV$103,COLUMN(기본데이타!G$8),0))</f>
        <v/>
      </c>
      <c r="F40" s="593" t="str">
        <f>IF($A40="","",VLOOKUP($A40,기본데이타!$A$8:$BV$103,COLUMN(기본데이타!H$8),0))</f>
        <v/>
      </c>
      <c r="G40" s="594" t="str">
        <f>IF($A40="","",VLOOKUP($A40,기본데이타!$A$8:$BV$103,COLUMN(기본데이타!I$8),0))</f>
        <v/>
      </c>
      <c r="H40" s="594" t="str">
        <f>IF($A40="","",VLOOKUP($A40,기본데이타!$A$8:$BV$103,COLUMN(기본데이타!J$8),0))</f>
        <v/>
      </c>
      <c r="I40" s="595" t="str">
        <f>IF($A40="","",VLOOKUP($A40,기본데이타!$A$8:$BV$103,COLUMN(기본데이타!K$8),0))</f>
        <v/>
      </c>
      <c r="J40" s="595" t="str">
        <f>IF($A40="","",VLOOKUP($A40,기본데이타!$A$8:$BV$103,COLUMN(기본데이타!L$8),0))</f>
        <v/>
      </c>
      <c r="K40" s="595" t="str">
        <f>IF($A40="","",VLOOKUP($A40,기본데이타!$A$8:$BV$103,COLUMN(기본데이타!M$8),0))</f>
        <v/>
      </c>
      <c r="L40" s="596" t="str">
        <f>IF($A40="","",VLOOKUP($A40,기본데이타!$A$8:$BV$103,COLUMN(기본데이타!N$8),0))</f>
        <v/>
      </c>
      <c r="M40" s="595" t="str">
        <f>IF($A40="","",VLOOKUP($A40,기본데이타!$A$8:$BV$103,COLUMN(기본데이타!O$8),0))</f>
        <v/>
      </c>
      <c r="N40" s="596" t="str">
        <f>IF($A40="","",VLOOKUP($A40,기본데이타!$A$8:$BV$103,COLUMN(기본데이타!P$8),0))</f>
        <v/>
      </c>
      <c r="O40" s="596" t="str">
        <f>IF($A40="","",VLOOKUP($A40,기본데이타!$A$8:$BV$103,COLUMN(기본데이타!Q$8),0))</f>
        <v/>
      </c>
      <c r="P40" s="596" t="str">
        <f>IF($A40="","",VLOOKUP($A40,기본데이타!$A$8:$BV$103,COLUMN(기본데이타!R$8),0))</f>
        <v/>
      </c>
      <c r="Q40" s="596" t="str">
        <f>IF($A40="","",VLOOKUP($A40,기본데이타!$A$8:$BV$103,COLUMN(기본데이타!S$8),0))</f>
        <v/>
      </c>
      <c r="R40" s="596" t="str">
        <f>IF($A40="","",VLOOKUP($A40,기본데이타!$A$8:$BV$103,COLUMN(기본데이타!T$8),0))</f>
        <v/>
      </c>
      <c r="S40" s="596" t="str">
        <f>IF($A40="","",VLOOKUP($A40,기본데이타!$A$8:$BV$103,COLUMN(기본데이타!U$8),0))</f>
        <v/>
      </c>
      <c r="T40" s="596" t="str">
        <f>IF($A40="","",VLOOKUP($A40,기본데이타!$A$8:$BV$103,COLUMN(기본데이타!V$8),0))</f>
        <v/>
      </c>
      <c r="U40" s="596" t="str">
        <f>IF($A40="","",VLOOKUP($A40,기본데이타!$A$8:$BV$103,COLUMN(기본데이타!W$8),0))</f>
        <v/>
      </c>
      <c r="V40" s="596" t="str">
        <f>IF($A40="","",VLOOKUP($A40,기본데이타!$A$8:$BV$103,COLUMN(기본데이타!X$8),0))</f>
        <v/>
      </c>
      <c r="W40" s="596" t="str">
        <f>IF($A40="","",VLOOKUP($A40,기본데이타!$A$8:$BV$103,COLUMN(기본데이타!AA$8),0))</f>
        <v/>
      </c>
      <c r="X40" s="596" t="str">
        <f>IF($A40="","",VLOOKUP($A40,기본데이타!$A$8:$BV$103,COLUMN(기본데이타!AB$8),0))</f>
        <v/>
      </c>
      <c r="Y40" s="595" t="str">
        <f>IF($A40="","",VLOOKUP($A40,기본데이타!$A$8:$BV$103,COLUMN(기본데이타!AC$8),0))</f>
        <v/>
      </c>
      <c r="Z40" s="596" t="str">
        <f>IF($A40="","",VLOOKUP($A40,기본데이타!$A$8:$BV$103,COLUMN(기본데이타!AD$8),0))</f>
        <v/>
      </c>
      <c r="AA40" s="595" t="str">
        <f>IF($A40="","",VLOOKUP($A40,기본데이타!$A$8:$BV$103,COLUMN(기본데이타!AE$8),0))</f>
        <v/>
      </c>
      <c r="AB40" s="596" t="str">
        <f>IF($A40="","",VLOOKUP($A40,기본데이타!$A$8:$BV$103,COLUMN(기본데이타!AF$8),0))</f>
        <v/>
      </c>
      <c r="AC40" s="595" t="str">
        <f>IF($A40="","",VLOOKUP($A40,기본데이타!$A$8:$BV$103,COLUMN(기본데이타!AG$8),0))</f>
        <v/>
      </c>
      <c r="AD40" s="596" t="str">
        <f>IF($A40="","",VLOOKUP($A40,기본데이타!$A$8:$BV$103,COLUMN(기본데이타!AH$8),0))</f>
        <v/>
      </c>
      <c r="AE40" s="595" t="str">
        <f>IF($A40="","",VLOOKUP($A40,기본데이타!$A$8:$BV$103,COLUMN(기본데이타!AI$8),0))</f>
        <v/>
      </c>
      <c r="AF40" s="597" t="str">
        <f>IF($A40="","",VLOOKUP($A40,기본데이타!$A$8:$BV$103,COLUMN(기본데이타!AJ$8),0))</f>
        <v/>
      </c>
      <c r="AG40" s="635" t="str">
        <f>IF($A40="","",VLOOKUP($A40,기본데이타!$A$8:$BV$103,COLUMN(기본데이타!AK$8),0))</f>
        <v/>
      </c>
      <c r="AH40" s="635" t="str">
        <f>IF($A40="","",VLOOKUP($A40,기본데이타!$A$8:$BV$103,COLUMN(기본데이타!AL$8),0))</f>
        <v/>
      </c>
      <c r="AI40" s="635" t="str">
        <f>IF($A40="","",VLOOKUP($A40,기본데이타!$A$8:$BV$103,COLUMN(기본데이타!AM$8),0))</f>
        <v/>
      </c>
      <c r="AJ40" s="635" t="str">
        <f>IF($A40="","",VLOOKUP($A40,기본데이타!$A$8:$BV$103,COLUMN(기본데이타!AN$8),0))</f>
        <v/>
      </c>
      <c r="AK40" s="635" t="str">
        <f>IF($A40="","",VLOOKUP($A40,기본데이타!$A$8:$BV$103,COLUMN(기본데이타!AO$8),0))</f>
        <v/>
      </c>
      <c r="AL40" s="635" t="str">
        <f>IF($A40="","",VLOOKUP($A40,기본데이타!$A$8:$BV$103,COLUMN(기본데이타!AP$8),0))</f>
        <v/>
      </c>
      <c r="AM40" s="635" t="str">
        <f>IF($A40="","",VLOOKUP($A40,기본데이타!$A$8:$BV$103,COLUMN(기본데이타!AQ$8),0))</f>
        <v/>
      </c>
      <c r="AN40" s="635" t="str">
        <f>IF($A40="","",VLOOKUP($A40,기본데이타!$A$8:$BV$103,COLUMN(기본데이타!AR$8),0))</f>
        <v/>
      </c>
      <c r="AO40" s="635" t="str">
        <f>IF($A40="","",VLOOKUP($A40,기본데이타!$A$8:$BV$103,COLUMN(기본데이타!AS$8),0))</f>
        <v/>
      </c>
      <c r="AP40" s="635" t="str">
        <f>IF($A40="","",VLOOKUP($A40,기본데이타!$A$8:$BV$103,COLUMN(기본데이타!AT$8),0))</f>
        <v/>
      </c>
      <c r="AQ40" s="635" t="str">
        <f>IF($A40="","",VLOOKUP($A40,기본데이타!$A$8:$BV$103,COLUMN(기본데이타!AU$8),0))</f>
        <v/>
      </c>
      <c r="AR40" s="598" t="str">
        <f>IF($A40="","",VLOOKUP($A40,기본데이타!$A$8:$BV$103,COLUMN(기본데이타!AV$8),0))</f>
        <v/>
      </c>
      <c r="AS40" s="596" t="str">
        <f>IF($A40="","",VLOOKUP($A40,기본데이타!$A$8:$BV$103,COLUMN(기본데이타!AW$8),0))</f>
        <v/>
      </c>
      <c r="AT40" s="596" t="str">
        <f>IF($A40="","",VLOOKUP($A40,기본데이타!$A$8:$BV$103,COLUMN(기본데이타!AX$8),0))</f>
        <v/>
      </c>
      <c r="AU40" s="596" t="str">
        <f>IF($A40="","",VLOOKUP($A40,기본데이타!$A$8:$BV$103,COLUMN(기본데이타!AY$8),0))</f>
        <v/>
      </c>
      <c r="AV40" s="596" t="str">
        <f t="shared" si="2"/>
        <v/>
      </c>
      <c r="AW40" s="597" t="str">
        <f>IF($A40="","",VLOOKUP($A40,기본데이타!$A$8:$BV$103,COLUMN(기본데이타!BA$8),0))</f>
        <v/>
      </c>
      <c r="AX40" s="597" t="str">
        <f>IF($A40="","",VLOOKUP($A40,기본데이타!$A$8:$BV$103,COLUMN(기본데이타!BB$8),0))</f>
        <v/>
      </c>
      <c r="AY40" s="597" t="str">
        <f>IF($A40="","",VLOOKUP($A40,기본데이타!$A$8:$BV$103,COLUMN(기본데이타!BC$8),0))</f>
        <v/>
      </c>
      <c r="AZ40" s="597" t="str">
        <f>IF($A40="","",VLOOKUP($A40,기본데이타!$A$8:$BV$103,COLUMN(기본데이타!BD$8),0))</f>
        <v/>
      </c>
      <c r="BA40" s="597" t="str">
        <f>IF($A40="","",VLOOKUP($A40,기본데이타!$A$8:$BV$103,COLUMN(기본데이타!BE$8),0))</f>
        <v/>
      </c>
      <c r="BB40" s="597" t="str">
        <f>IF($A40="","",VLOOKUP($A40,기본데이타!$A$8:$BV$103,COLUMN(기본데이타!BF$8),0))</f>
        <v/>
      </c>
      <c r="BC40" s="597" t="str">
        <f>IF($A40="","",VLOOKUP($A40,기본데이타!$A$8:$BV$103,COLUMN(기본데이타!BG$8),0))</f>
        <v/>
      </c>
      <c r="BD40" s="1496" t="str">
        <f>IF($A40="","",VLOOKUP($A40,기본데이타!$A$8:$BV$103,COLUMN(기본데이타!BH$8),0))</f>
        <v/>
      </c>
      <c r="BE40" s="597" t="str">
        <f>IF($A40="","",VLOOKUP($A40,기본데이타!$A$8:$BV$103,COLUMN(기본데이타!BI$8),0))</f>
        <v/>
      </c>
      <c r="BF40" s="597" t="str">
        <f>IF($A40="","",VLOOKUP($A40,기본데이타!$A$8:$BV$103,COLUMN(기본데이타!BJ$8),0))</f>
        <v/>
      </c>
      <c r="BG40" s="597" t="str">
        <f>IF($A40="","",VLOOKUP($A40,기본데이타!$A$8:$BV$103,COLUMN(기본데이타!BK$8),0))</f>
        <v/>
      </c>
      <c r="BH40" s="597" t="str">
        <f>IF($A40="","",VLOOKUP($A40,기본데이타!$A$8:$BV$103,COLUMN(기본데이타!BL$8),0))</f>
        <v/>
      </c>
      <c r="BI40" s="597" t="str">
        <f>IF($A40="","",VLOOKUP($A40,기본데이타!$A$8:$BV$103,COLUMN(기본데이타!BM$8),0))</f>
        <v/>
      </c>
      <c r="BJ40" s="597" t="str">
        <f>IF($A40="","",VLOOKUP($A40,기본데이타!$A$8:$BV$103,COLUMN(기본데이타!BN$8),0))</f>
        <v/>
      </c>
      <c r="BK40" s="597" t="str">
        <f>IF($A40="","",VLOOKUP($A40,기본데이타!$A$8:$BV$103,COLUMN(기본데이타!BO$8),0))</f>
        <v/>
      </c>
      <c r="BL40" s="597" t="str">
        <f>IF($A40="","",VLOOKUP($A40,기본데이타!$A$8:$BV$103,COLUMN(기본데이타!BP$8),0))</f>
        <v/>
      </c>
      <c r="BM40" s="597" t="str">
        <f>IF($A40="","",VLOOKUP($A40,기본데이타!$A$8:$BV$103,COLUMN(기본데이타!BQ$8),0))</f>
        <v/>
      </c>
      <c r="BN40" s="599" t="str">
        <f>IF($A40="","",VLOOKUP($A40,기본데이타!$A$8:$BV$103,COLUMN(기본데이타!BR$8),0))</f>
        <v/>
      </c>
      <c r="BO40" s="600" t="str">
        <f>IF($A40="","",VLOOKUP($A40,기본데이타!$A$8:$BV$103,COLUMN(기본데이타!BS$8),0))</f>
        <v/>
      </c>
      <c r="BP40" s="623" t="str">
        <f>IF($A40="","",VLOOKUP($A40,기본데이타!$A$8:$BV$103,COLUMN(기본데이타!BT$8),0))</f>
        <v/>
      </c>
      <c r="BQ40" s="602" t="str">
        <f>IF($A40="","",VLOOKUP($A40,기본데이타!$A$8:$BV$103,COLUMN(기본데이타!BU$8),0))</f>
        <v/>
      </c>
      <c r="BR40" s="625" t="str">
        <f t="shared" si="3"/>
        <v/>
      </c>
    </row>
    <row r="41" spans="1:70" s="571" customFormat="1" ht="61.5" hidden="1" customHeight="1" outlineLevel="1">
      <c r="A41" s="578"/>
      <c r="B41" s="1642"/>
      <c r="C41" s="590"/>
      <c r="D41" s="591" t="str">
        <f>IF($A41="","",VLOOKUP($A41,기본데이타!$A$8:$BV$103,COLUMN(기본데이타!F$8),0))</f>
        <v/>
      </c>
      <c r="E41" s="592" t="str">
        <f>IF($A41="","",VLOOKUP($A41,기본데이타!$A$8:$BV$103,COLUMN(기본데이타!G$8),0))</f>
        <v/>
      </c>
      <c r="F41" s="593" t="str">
        <f>IF($A41="","",VLOOKUP($A41,기본데이타!$A$8:$BV$103,COLUMN(기본데이타!H$8),0))</f>
        <v/>
      </c>
      <c r="G41" s="594" t="str">
        <f>IF($A41="","",VLOOKUP($A41,기본데이타!$A$8:$BV$103,COLUMN(기본데이타!I$8),0))</f>
        <v/>
      </c>
      <c r="H41" s="594" t="str">
        <f>IF($A41="","",VLOOKUP($A41,기본데이타!$A$8:$BV$103,COLUMN(기본데이타!J$8),0))</f>
        <v/>
      </c>
      <c r="I41" s="595" t="str">
        <f>IF($A41="","",VLOOKUP($A41,기본데이타!$A$8:$BV$103,COLUMN(기본데이타!K$8),0))</f>
        <v/>
      </c>
      <c r="J41" s="595" t="str">
        <f>IF($A41="","",VLOOKUP($A41,기본데이타!$A$8:$BV$103,COLUMN(기본데이타!L$8),0))</f>
        <v/>
      </c>
      <c r="K41" s="595" t="str">
        <f>IF($A41="","",VLOOKUP($A41,기본데이타!$A$8:$BV$103,COLUMN(기본데이타!M$8),0))</f>
        <v/>
      </c>
      <c r="L41" s="596" t="str">
        <f>IF($A41="","",VLOOKUP($A41,기본데이타!$A$8:$BV$103,COLUMN(기본데이타!N$8),0))</f>
        <v/>
      </c>
      <c r="M41" s="595" t="str">
        <f>IF($A41="","",VLOOKUP($A41,기본데이타!$A$8:$BV$103,COLUMN(기본데이타!O$8),0))</f>
        <v/>
      </c>
      <c r="N41" s="596" t="str">
        <f>IF($A41="","",VLOOKUP($A41,기본데이타!$A$8:$BV$103,COLUMN(기본데이타!P$8),0))</f>
        <v/>
      </c>
      <c r="O41" s="596" t="str">
        <f>IF($A41="","",VLOOKUP($A41,기본데이타!$A$8:$BV$103,COLUMN(기본데이타!Q$8),0))</f>
        <v/>
      </c>
      <c r="P41" s="596" t="str">
        <f>IF($A41="","",VLOOKUP($A41,기본데이타!$A$8:$BV$103,COLUMN(기본데이타!R$8),0))</f>
        <v/>
      </c>
      <c r="Q41" s="596" t="str">
        <f>IF($A41="","",VLOOKUP($A41,기본데이타!$A$8:$BV$103,COLUMN(기본데이타!S$8),0))</f>
        <v/>
      </c>
      <c r="R41" s="596" t="str">
        <f>IF($A41="","",VLOOKUP($A41,기본데이타!$A$8:$BV$103,COLUMN(기본데이타!T$8),0))</f>
        <v/>
      </c>
      <c r="S41" s="596" t="str">
        <f>IF($A41="","",VLOOKUP($A41,기본데이타!$A$8:$BV$103,COLUMN(기본데이타!U$8),0))</f>
        <v/>
      </c>
      <c r="T41" s="596" t="str">
        <f>IF($A41="","",VLOOKUP($A41,기본데이타!$A$8:$BV$103,COLUMN(기본데이타!V$8),0))</f>
        <v/>
      </c>
      <c r="U41" s="596" t="str">
        <f>IF($A41="","",VLOOKUP($A41,기본데이타!$A$8:$BV$103,COLUMN(기본데이타!W$8),0))</f>
        <v/>
      </c>
      <c r="V41" s="596" t="str">
        <f>IF($A41="","",VLOOKUP($A41,기본데이타!$A$8:$BV$103,COLUMN(기본데이타!X$8),0))</f>
        <v/>
      </c>
      <c r="W41" s="596" t="str">
        <f>IF($A41="","",VLOOKUP($A41,기본데이타!$A$8:$BV$103,COLUMN(기본데이타!AA$8),0))</f>
        <v/>
      </c>
      <c r="X41" s="596" t="str">
        <f>IF($A41="","",VLOOKUP($A41,기본데이타!$A$8:$BV$103,COLUMN(기본데이타!AB$8),0))</f>
        <v/>
      </c>
      <c r="Y41" s="595" t="str">
        <f>IF($A41="","",VLOOKUP($A41,기본데이타!$A$8:$BV$103,COLUMN(기본데이타!AC$8),0))</f>
        <v/>
      </c>
      <c r="Z41" s="596" t="str">
        <f>IF($A41="","",VLOOKUP($A41,기본데이타!$A$8:$BV$103,COLUMN(기본데이타!AD$8),0))</f>
        <v/>
      </c>
      <c r="AA41" s="595" t="str">
        <f>IF($A41="","",VLOOKUP($A41,기본데이타!$A$8:$BV$103,COLUMN(기본데이타!AE$8),0))</f>
        <v/>
      </c>
      <c r="AB41" s="596" t="str">
        <f>IF($A41="","",VLOOKUP($A41,기본데이타!$A$8:$BV$103,COLUMN(기본데이타!AF$8),0))</f>
        <v/>
      </c>
      <c r="AC41" s="595" t="str">
        <f>IF($A41="","",VLOOKUP($A41,기본데이타!$A$8:$BV$103,COLUMN(기본데이타!AG$8),0))</f>
        <v/>
      </c>
      <c r="AD41" s="596" t="str">
        <f>IF($A41="","",VLOOKUP($A41,기본데이타!$A$8:$BV$103,COLUMN(기본데이타!AH$8),0))</f>
        <v/>
      </c>
      <c r="AE41" s="595" t="str">
        <f>IF($A41="","",VLOOKUP($A41,기본데이타!$A$8:$BV$103,COLUMN(기본데이타!AI$8),0))</f>
        <v/>
      </c>
      <c r="AF41" s="597" t="str">
        <f>IF($A41="","",VLOOKUP($A41,기본데이타!$A$8:$BV$103,COLUMN(기본데이타!AJ$8),0))</f>
        <v/>
      </c>
      <c r="AG41" s="635" t="str">
        <f>IF($A41="","",VLOOKUP($A41,기본데이타!$A$8:$BV$103,COLUMN(기본데이타!AK$8),0))</f>
        <v/>
      </c>
      <c r="AH41" s="635" t="str">
        <f>IF($A41="","",VLOOKUP($A41,기본데이타!$A$8:$BV$103,COLUMN(기본데이타!AL$8),0))</f>
        <v/>
      </c>
      <c r="AI41" s="635" t="str">
        <f>IF($A41="","",VLOOKUP($A41,기본데이타!$A$8:$BV$103,COLUMN(기본데이타!AM$8),0))</f>
        <v/>
      </c>
      <c r="AJ41" s="635" t="str">
        <f>IF($A41="","",VLOOKUP($A41,기본데이타!$A$8:$BV$103,COLUMN(기본데이타!AN$8),0))</f>
        <v/>
      </c>
      <c r="AK41" s="635" t="str">
        <f>IF($A41="","",VLOOKUP($A41,기본데이타!$A$8:$BV$103,COLUMN(기본데이타!AO$8),0))</f>
        <v/>
      </c>
      <c r="AL41" s="635" t="str">
        <f>IF($A41="","",VLOOKUP($A41,기본데이타!$A$8:$BV$103,COLUMN(기본데이타!AP$8),0))</f>
        <v/>
      </c>
      <c r="AM41" s="635" t="str">
        <f>IF($A41="","",VLOOKUP($A41,기본데이타!$A$8:$BV$103,COLUMN(기본데이타!AQ$8),0))</f>
        <v/>
      </c>
      <c r="AN41" s="635" t="str">
        <f>IF($A41="","",VLOOKUP($A41,기본데이타!$A$8:$BV$103,COLUMN(기본데이타!AR$8),0))</f>
        <v/>
      </c>
      <c r="AO41" s="635" t="str">
        <f>IF($A41="","",VLOOKUP($A41,기본데이타!$A$8:$BV$103,COLUMN(기본데이타!AS$8),0))</f>
        <v/>
      </c>
      <c r="AP41" s="635" t="str">
        <f>IF($A41="","",VLOOKUP($A41,기본데이타!$A$8:$BV$103,COLUMN(기본데이타!AT$8),0))</f>
        <v/>
      </c>
      <c r="AQ41" s="635" t="str">
        <f>IF($A41="","",VLOOKUP($A41,기본데이타!$A$8:$BV$103,COLUMN(기본데이타!AU$8),0))</f>
        <v/>
      </c>
      <c r="AR41" s="598" t="str">
        <f>IF($A41="","",VLOOKUP($A41,기본데이타!$A$8:$BV$103,COLUMN(기본데이타!AV$8),0))</f>
        <v/>
      </c>
      <c r="AS41" s="596" t="str">
        <f>IF($A41="","",VLOOKUP($A41,기본데이타!$A$8:$BV$103,COLUMN(기본데이타!AW$8),0))</f>
        <v/>
      </c>
      <c r="AT41" s="596" t="str">
        <f>IF($A41="","",VLOOKUP($A41,기본데이타!$A$8:$BV$103,COLUMN(기본데이타!AX$8),0))</f>
        <v/>
      </c>
      <c r="AU41" s="596" t="str">
        <f>IF($A41="","",VLOOKUP($A41,기본데이타!$A$8:$BV$103,COLUMN(기본데이타!AY$8),0))</f>
        <v/>
      </c>
      <c r="AV41" s="596" t="str">
        <f t="shared" si="2"/>
        <v/>
      </c>
      <c r="AW41" s="597" t="str">
        <f>IF($A41="","",VLOOKUP($A41,기본데이타!$A$8:$BV$103,COLUMN(기본데이타!BA$8),0))</f>
        <v/>
      </c>
      <c r="AX41" s="597" t="str">
        <f>IF($A41="","",VLOOKUP($A41,기본데이타!$A$8:$BV$103,COLUMN(기본데이타!BB$8),0))</f>
        <v/>
      </c>
      <c r="AY41" s="597" t="str">
        <f>IF($A41="","",VLOOKUP($A41,기본데이타!$A$8:$BV$103,COLUMN(기본데이타!BC$8),0))</f>
        <v/>
      </c>
      <c r="AZ41" s="597" t="str">
        <f>IF($A41="","",VLOOKUP($A41,기본데이타!$A$8:$BV$103,COLUMN(기본데이타!BD$8),0))</f>
        <v/>
      </c>
      <c r="BA41" s="597" t="str">
        <f>IF($A41="","",VLOOKUP($A41,기본데이타!$A$8:$BV$103,COLUMN(기본데이타!BE$8),0))</f>
        <v/>
      </c>
      <c r="BB41" s="597" t="str">
        <f>IF($A41="","",VLOOKUP($A41,기본데이타!$A$8:$BV$103,COLUMN(기본데이타!BF$8),0))</f>
        <v/>
      </c>
      <c r="BC41" s="597" t="str">
        <f>IF($A41="","",VLOOKUP($A41,기본데이타!$A$8:$BV$103,COLUMN(기본데이타!BG$8),0))</f>
        <v/>
      </c>
      <c r="BD41" s="1496" t="str">
        <f>IF($A41="","",VLOOKUP($A41,기본데이타!$A$8:$BV$103,COLUMN(기본데이타!BH$8),0))</f>
        <v/>
      </c>
      <c r="BE41" s="597" t="str">
        <f>IF($A41="","",VLOOKUP($A41,기본데이타!$A$8:$BV$103,COLUMN(기본데이타!BI$8),0))</f>
        <v/>
      </c>
      <c r="BF41" s="597" t="str">
        <f>IF($A41="","",VLOOKUP($A41,기본데이타!$A$8:$BV$103,COLUMN(기본데이타!BJ$8),0))</f>
        <v/>
      </c>
      <c r="BG41" s="597" t="str">
        <f>IF($A41="","",VLOOKUP($A41,기본데이타!$A$8:$BV$103,COLUMN(기본데이타!BK$8),0))</f>
        <v/>
      </c>
      <c r="BH41" s="597" t="str">
        <f>IF($A41="","",VLOOKUP($A41,기본데이타!$A$8:$BV$103,COLUMN(기본데이타!BL$8),0))</f>
        <v/>
      </c>
      <c r="BI41" s="597" t="str">
        <f>IF($A41="","",VLOOKUP($A41,기본데이타!$A$8:$BV$103,COLUMN(기본데이타!BM$8),0))</f>
        <v/>
      </c>
      <c r="BJ41" s="597" t="str">
        <f>IF($A41="","",VLOOKUP($A41,기본데이타!$A$8:$BV$103,COLUMN(기본데이타!BN$8),0))</f>
        <v/>
      </c>
      <c r="BK41" s="597" t="str">
        <f>IF($A41="","",VLOOKUP($A41,기본데이타!$A$8:$BV$103,COLUMN(기본데이타!BO$8),0))</f>
        <v/>
      </c>
      <c r="BL41" s="597" t="str">
        <f>IF($A41="","",VLOOKUP($A41,기본데이타!$A$8:$BV$103,COLUMN(기본데이타!BP$8),0))</f>
        <v/>
      </c>
      <c r="BM41" s="597" t="str">
        <f>IF($A41="","",VLOOKUP($A41,기본데이타!$A$8:$BV$103,COLUMN(기본데이타!BQ$8),0))</f>
        <v/>
      </c>
      <c r="BN41" s="599" t="str">
        <f>IF($A41="","",VLOOKUP($A41,기본데이타!$A$8:$BV$103,COLUMN(기본데이타!BR$8),0))</f>
        <v/>
      </c>
      <c r="BO41" s="600" t="str">
        <f>IF($A41="","",VLOOKUP($A41,기본데이타!$A$8:$BV$103,COLUMN(기본데이타!BS$8),0))</f>
        <v/>
      </c>
      <c r="BP41" s="623" t="str">
        <f>IF($A41="","",VLOOKUP($A41,기본데이타!$A$8:$BV$103,COLUMN(기본데이타!BT$8),0))</f>
        <v/>
      </c>
      <c r="BQ41" s="602" t="str">
        <f>IF($A41="","",VLOOKUP($A41,기본데이타!$A$8:$BV$103,COLUMN(기본데이타!BU$8),0))</f>
        <v/>
      </c>
      <c r="BR41" s="625" t="str">
        <f t="shared" si="3"/>
        <v/>
      </c>
    </row>
    <row r="42" spans="1:70" s="571" customFormat="1" ht="61.5" hidden="1" customHeight="1" outlineLevel="1">
      <c r="A42" s="578"/>
      <c r="B42" s="1642"/>
      <c r="C42" s="590"/>
      <c r="D42" s="591" t="str">
        <f>IF($A42="","",VLOOKUP($A42,기본데이타!$A$8:$BV$103,COLUMN(기본데이타!F$8),0))</f>
        <v/>
      </c>
      <c r="E42" s="592" t="str">
        <f>IF($A42="","",VLOOKUP($A42,기본데이타!$A$8:$BV$103,COLUMN(기본데이타!G$8),0))</f>
        <v/>
      </c>
      <c r="F42" s="593" t="str">
        <f>IF($A42="","",VLOOKUP($A42,기본데이타!$A$8:$BV$103,COLUMN(기본데이타!H$8),0))</f>
        <v/>
      </c>
      <c r="G42" s="594" t="str">
        <f>IF($A42="","",VLOOKUP($A42,기본데이타!$A$8:$BV$103,COLUMN(기본데이타!I$8),0))</f>
        <v/>
      </c>
      <c r="H42" s="594" t="str">
        <f>IF($A42="","",VLOOKUP($A42,기본데이타!$A$8:$BV$103,COLUMN(기본데이타!J$8),0))</f>
        <v/>
      </c>
      <c r="I42" s="595" t="str">
        <f>IF($A42="","",VLOOKUP($A42,기본데이타!$A$8:$BV$103,COLUMN(기본데이타!K$8),0))</f>
        <v/>
      </c>
      <c r="J42" s="595" t="str">
        <f>IF($A42="","",VLOOKUP($A42,기본데이타!$A$8:$BV$103,COLUMN(기본데이타!L$8),0))</f>
        <v/>
      </c>
      <c r="K42" s="595" t="str">
        <f>IF($A42="","",VLOOKUP($A42,기본데이타!$A$8:$BV$103,COLUMN(기본데이타!M$8),0))</f>
        <v/>
      </c>
      <c r="L42" s="596" t="str">
        <f>IF($A42="","",VLOOKUP($A42,기본데이타!$A$8:$BV$103,COLUMN(기본데이타!N$8),0))</f>
        <v/>
      </c>
      <c r="M42" s="595" t="str">
        <f>IF($A42="","",VLOOKUP($A42,기본데이타!$A$8:$BV$103,COLUMN(기본데이타!O$8),0))</f>
        <v/>
      </c>
      <c r="N42" s="596" t="str">
        <f>IF($A42="","",VLOOKUP($A42,기본데이타!$A$8:$BV$103,COLUMN(기본데이타!P$8),0))</f>
        <v/>
      </c>
      <c r="O42" s="596" t="str">
        <f>IF($A42="","",VLOOKUP($A42,기본데이타!$A$8:$BV$103,COLUMN(기본데이타!Q$8),0))</f>
        <v/>
      </c>
      <c r="P42" s="596" t="str">
        <f>IF($A42="","",VLOOKUP($A42,기본데이타!$A$8:$BV$103,COLUMN(기본데이타!R$8),0))</f>
        <v/>
      </c>
      <c r="Q42" s="596" t="str">
        <f>IF($A42="","",VLOOKUP($A42,기본데이타!$A$8:$BV$103,COLUMN(기본데이타!S$8),0))</f>
        <v/>
      </c>
      <c r="R42" s="596" t="str">
        <f>IF($A42="","",VLOOKUP($A42,기본데이타!$A$8:$BV$103,COLUMN(기본데이타!T$8),0))</f>
        <v/>
      </c>
      <c r="S42" s="596" t="str">
        <f>IF($A42="","",VLOOKUP($A42,기본데이타!$A$8:$BV$103,COLUMN(기본데이타!U$8),0))</f>
        <v/>
      </c>
      <c r="T42" s="596" t="str">
        <f>IF($A42="","",VLOOKUP($A42,기본데이타!$A$8:$BV$103,COLUMN(기본데이타!V$8),0))</f>
        <v/>
      </c>
      <c r="U42" s="596" t="str">
        <f>IF($A42="","",VLOOKUP($A42,기본데이타!$A$8:$BV$103,COLUMN(기본데이타!W$8),0))</f>
        <v/>
      </c>
      <c r="V42" s="596" t="str">
        <f>IF($A42="","",VLOOKUP($A42,기본데이타!$A$8:$BV$103,COLUMN(기본데이타!X$8),0))</f>
        <v/>
      </c>
      <c r="W42" s="596" t="str">
        <f>IF($A42="","",VLOOKUP($A42,기본데이타!$A$8:$BV$103,COLUMN(기본데이타!AA$8),0))</f>
        <v/>
      </c>
      <c r="X42" s="596" t="str">
        <f>IF($A42="","",VLOOKUP($A42,기본데이타!$A$8:$BV$103,COLUMN(기본데이타!AB$8),0))</f>
        <v/>
      </c>
      <c r="Y42" s="595" t="str">
        <f>IF($A42="","",VLOOKUP($A42,기본데이타!$A$8:$BV$103,COLUMN(기본데이타!AC$8),0))</f>
        <v/>
      </c>
      <c r="Z42" s="596" t="str">
        <f>IF($A42="","",VLOOKUP($A42,기본데이타!$A$8:$BV$103,COLUMN(기본데이타!AD$8),0))</f>
        <v/>
      </c>
      <c r="AA42" s="595" t="str">
        <f>IF($A42="","",VLOOKUP($A42,기본데이타!$A$8:$BV$103,COLUMN(기본데이타!AE$8),0))</f>
        <v/>
      </c>
      <c r="AB42" s="596" t="str">
        <f>IF($A42="","",VLOOKUP($A42,기본데이타!$A$8:$BV$103,COLUMN(기본데이타!AF$8),0))</f>
        <v/>
      </c>
      <c r="AC42" s="595" t="str">
        <f>IF($A42="","",VLOOKUP($A42,기본데이타!$A$8:$BV$103,COLUMN(기본데이타!AG$8),0))</f>
        <v/>
      </c>
      <c r="AD42" s="596" t="str">
        <f>IF($A42="","",VLOOKUP($A42,기본데이타!$A$8:$BV$103,COLUMN(기본데이타!AH$8),0))</f>
        <v/>
      </c>
      <c r="AE42" s="595" t="str">
        <f>IF($A42="","",VLOOKUP($A42,기본데이타!$A$8:$BV$103,COLUMN(기본데이타!AI$8),0))</f>
        <v/>
      </c>
      <c r="AF42" s="597" t="str">
        <f>IF($A42="","",VLOOKUP($A42,기본데이타!$A$8:$BV$103,COLUMN(기본데이타!AJ$8),0))</f>
        <v/>
      </c>
      <c r="AG42" s="635" t="str">
        <f>IF($A42="","",VLOOKUP($A42,기본데이타!$A$8:$BV$103,COLUMN(기본데이타!AK$8),0))</f>
        <v/>
      </c>
      <c r="AH42" s="635" t="str">
        <f>IF($A42="","",VLOOKUP($A42,기본데이타!$A$8:$BV$103,COLUMN(기본데이타!AL$8),0))</f>
        <v/>
      </c>
      <c r="AI42" s="635" t="str">
        <f>IF($A42="","",VLOOKUP($A42,기본데이타!$A$8:$BV$103,COLUMN(기본데이타!AM$8),0))</f>
        <v/>
      </c>
      <c r="AJ42" s="635" t="str">
        <f>IF($A42="","",VLOOKUP($A42,기본데이타!$A$8:$BV$103,COLUMN(기본데이타!AN$8),0))</f>
        <v/>
      </c>
      <c r="AK42" s="635" t="str">
        <f>IF($A42="","",VLOOKUP($A42,기본데이타!$A$8:$BV$103,COLUMN(기본데이타!AO$8),0))</f>
        <v/>
      </c>
      <c r="AL42" s="635" t="str">
        <f>IF($A42="","",VLOOKUP($A42,기본데이타!$A$8:$BV$103,COLUMN(기본데이타!AP$8),0))</f>
        <v/>
      </c>
      <c r="AM42" s="635" t="str">
        <f>IF($A42="","",VLOOKUP($A42,기본데이타!$A$8:$BV$103,COLUMN(기본데이타!AQ$8),0))</f>
        <v/>
      </c>
      <c r="AN42" s="635" t="str">
        <f>IF($A42="","",VLOOKUP($A42,기본데이타!$A$8:$BV$103,COLUMN(기본데이타!AR$8),0))</f>
        <v/>
      </c>
      <c r="AO42" s="635" t="str">
        <f>IF($A42="","",VLOOKUP($A42,기본데이타!$A$8:$BV$103,COLUMN(기본데이타!AS$8),0))</f>
        <v/>
      </c>
      <c r="AP42" s="635" t="str">
        <f>IF($A42="","",VLOOKUP($A42,기본데이타!$A$8:$BV$103,COLUMN(기본데이타!AT$8),0))</f>
        <v/>
      </c>
      <c r="AQ42" s="635" t="str">
        <f>IF($A42="","",VLOOKUP($A42,기본데이타!$A$8:$BV$103,COLUMN(기본데이타!AU$8),0))</f>
        <v/>
      </c>
      <c r="AR42" s="598" t="str">
        <f>IF($A42="","",VLOOKUP($A42,기본데이타!$A$8:$BV$103,COLUMN(기본데이타!AV$8),0))</f>
        <v/>
      </c>
      <c r="AS42" s="596" t="str">
        <f>IF($A42="","",VLOOKUP($A42,기본데이타!$A$8:$BV$103,COLUMN(기본데이타!AW$8),0))</f>
        <v/>
      </c>
      <c r="AT42" s="596" t="str">
        <f>IF($A42="","",VLOOKUP($A42,기본데이타!$A$8:$BV$103,COLUMN(기본데이타!AX$8),0))</f>
        <v/>
      </c>
      <c r="AU42" s="596" t="str">
        <f>IF($A42="","",VLOOKUP($A42,기본데이타!$A$8:$BV$103,COLUMN(기본데이타!AY$8),0))</f>
        <v/>
      </c>
      <c r="AV42" s="596" t="str">
        <f t="shared" si="2"/>
        <v/>
      </c>
      <c r="AW42" s="597" t="str">
        <f>IF($A42="","",VLOOKUP($A42,기본데이타!$A$8:$BV$103,COLUMN(기본데이타!BA$8),0))</f>
        <v/>
      </c>
      <c r="AX42" s="597" t="str">
        <f>IF($A42="","",VLOOKUP($A42,기본데이타!$A$8:$BV$103,COLUMN(기본데이타!BB$8),0))</f>
        <v/>
      </c>
      <c r="AY42" s="597" t="str">
        <f>IF($A42="","",VLOOKUP($A42,기본데이타!$A$8:$BV$103,COLUMN(기본데이타!BC$8),0))</f>
        <v/>
      </c>
      <c r="AZ42" s="597" t="str">
        <f>IF($A42="","",VLOOKUP($A42,기본데이타!$A$8:$BV$103,COLUMN(기본데이타!BD$8),0))</f>
        <v/>
      </c>
      <c r="BA42" s="597" t="str">
        <f>IF($A42="","",VLOOKUP($A42,기본데이타!$A$8:$BV$103,COLUMN(기본데이타!BE$8),0))</f>
        <v/>
      </c>
      <c r="BB42" s="597" t="str">
        <f>IF($A42="","",VLOOKUP($A42,기본데이타!$A$8:$BV$103,COLUMN(기본데이타!BF$8),0))</f>
        <v/>
      </c>
      <c r="BC42" s="597" t="str">
        <f>IF($A42="","",VLOOKUP($A42,기본데이타!$A$8:$BV$103,COLUMN(기본데이타!BG$8),0))</f>
        <v/>
      </c>
      <c r="BD42" s="1496" t="str">
        <f>IF($A42="","",VLOOKUP($A42,기본데이타!$A$8:$BV$103,COLUMN(기본데이타!BH$8),0))</f>
        <v/>
      </c>
      <c r="BE42" s="597" t="str">
        <f>IF($A42="","",VLOOKUP($A42,기본데이타!$A$8:$BV$103,COLUMN(기본데이타!BI$8),0))</f>
        <v/>
      </c>
      <c r="BF42" s="597" t="str">
        <f>IF($A42="","",VLOOKUP($A42,기본데이타!$A$8:$BV$103,COLUMN(기본데이타!BJ$8),0))</f>
        <v/>
      </c>
      <c r="BG42" s="597" t="str">
        <f>IF($A42="","",VLOOKUP($A42,기본데이타!$A$8:$BV$103,COLUMN(기본데이타!BK$8),0))</f>
        <v/>
      </c>
      <c r="BH42" s="597" t="str">
        <f>IF($A42="","",VLOOKUP($A42,기본데이타!$A$8:$BV$103,COLUMN(기본데이타!BL$8),0))</f>
        <v/>
      </c>
      <c r="BI42" s="597" t="str">
        <f>IF($A42="","",VLOOKUP($A42,기본데이타!$A$8:$BV$103,COLUMN(기본데이타!BM$8),0))</f>
        <v/>
      </c>
      <c r="BJ42" s="597" t="str">
        <f>IF($A42="","",VLOOKUP($A42,기본데이타!$A$8:$BV$103,COLUMN(기본데이타!BN$8),0))</f>
        <v/>
      </c>
      <c r="BK42" s="597" t="str">
        <f>IF($A42="","",VLOOKUP($A42,기본데이타!$A$8:$BV$103,COLUMN(기본데이타!BO$8),0))</f>
        <v/>
      </c>
      <c r="BL42" s="597" t="str">
        <f>IF($A42="","",VLOOKUP($A42,기본데이타!$A$8:$BV$103,COLUMN(기본데이타!BP$8),0))</f>
        <v/>
      </c>
      <c r="BM42" s="597" t="str">
        <f>IF($A42="","",VLOOKUP($A42,기본데이타!$A$8:$BV$103,COLUMN(기본데이타!BQ$8),0))</f>
        <v/>
      </c>
      <c r="BN42" s="599" t="str">
        <f>IF($A42="","",VLOOKUP($A42,기본데이타!$A$8:$BV$103,COLUMN(기본데이타!BR$8),0))</f>
        <v/>
      </c>
      <c r="BO42" s="600" t="str">
        <f>IF($A42="","",VLOOKUP($A42,기본데이타!$A$8:$BV$103,COLUMN(기본데이타!BS$8),0))</f>
        <v/>
      </c>
      <c r="BP42" s="623" t="str">
        <f>IF($A42="","",VLOOKUP($A42,기본데이타!$A$8:$BV$103,COLUMN(기본데이타!BT$8),0))</f>
        <v/>
      </c>
      <c r="BQ42" s="602" t="str">
        <f>IF($A42="","",VLOOKUP($A42,기본데이타!$A$8:$BV$103,COLUMN(기본데이타!BU$8),0))</f>
        <v/>
      </c>
      <c r="BR42" s="625" t="str">
        <f t="shared" si="3"/>
        <v/>
      </c>
    </row>
    <row r="43" spans="1:70" s="571" customFormat="1" ht="61.5" hidden="1" customHeight="1" outlineLevel="1">
      <c r="A43" s="578"/>
      <c r="B43" s="1642"/>
      <c r="C43" s="590"/>
      <c r="D43" s="591" t="str">
        <f>IF($A43="","",VLOOKUP($A43,기본데이타!$A$8:$BV$103,COLUMN(기본데이타!F$8),0))</f>
        <v/>
      </c>
      <c r="E43" s="592" t="str">
        <f>IF($A43="","",VLOOKUP($A43,기본데이타!$A$8:$BV$103,COLUMN(기본데이타!G$8),0))</f>
        <v/>
      </c>
      <c r="F43" s="593" t="str">
        <f>IF($A43="","",VLOOKUP($A43,기본데이타!$A$8:$BV$103,COLUMN(기본데이타!H$8),0))</f>
        <v/>
      </c>
      <c r="G43" s="594" t="str">
        <f>IF($A43="","",VLOOKUP($A43,기본데이타!$A$8:$BV$103,COLUMN(기본데이타!I$8),0))</f>
        <v/>
      </c>
      <c r="H43" s="594" t="str">
        <f>IF($A43="","",VLOOKUP($A43,기본데이타!$A$8:$BV$103,COLUMN(기본데이타!J$8),0))</f>
        <v/>
      </c>
      <c r="I43" s="595" t="str">
        <f>IF($A43="","",VLOOKUP($A43,기본데이타!$A$8:$BV$103,COLUMN(기본데이타!K$8),0))</f>
        <v/>
      </c>
      <c r="J43" s="595" t="str">
        <f>IF($A43="","",VLOOKUP($A43,기본데이타!$A$8:$BV$103,COLUMN(기본데이타!L$8),0))</f>
        <v/>
      </c>
      <c r="K43" s="595" t="str">
        <f>IF($A43="","",VLOOKUP($A43,기본데이타!$A$8:$BV$103,COLUMN(기본데이타!M$8),0))</f>
        <v/>
      </c>
      <c r="L43" s="596" t="str">
        <f>IF($A43="","",VLOOKUP($A43,기본데이타!$A$8:$BV$103,COLUMN(기본데이타!N$8),0))</f>
        <v/>
      </c>
      <c r="M43" s="595" t="str">
        <f>IF($A43="","",VLOOKUP($A43,기본데이타!$A$8:$BV$103,COLUMN(기본데이타!O$8),0))</f>
        <v/>
      </c>
      <c r="N43" s="596" t="str">
        <f>IF($A43="","",VLOOKUP($A43,기본데이타!$A$8:$BV$103,COLUMN(기본데이타!P$8),0))</f>
        <v/>
      </c>
      <c r="O43" s="596" t="str">
        <f>IF($A43="","",VLOOKUP($A43,기본데이타!$A$8:$BV$103,COLUMN(기본데이타!Q$8),0))</f>
        <v/>
      </c>
      <c r="P43" s="596" t="str">
        <f>IF($A43="","",VLOOKUP($A43,기본데이타!$A$8:$BV$103,COLUMN(기본데이타!R$8),0))</f>
        <v/>
      </c>
      <c r="Q43" s="596" t="str">
        <f>IF($A43="","",VLOOKUP($A43,기본데이타!$A$8:$BV$103,COLUMN(기본데이타!S$8),0))</f>
        <v/>
      </c>
      <c r="R43" s="596" t="str">
        <f>IF($A43="","",VLOOKUP($A43,기본데이타!$A$8:$BV$103,COLUMN(기본데이타!T$8),0))</f>
        <v/>
      </c>
      <c r="S43" s="596" t="str">
        <f>IF($A43="","",VLOOKUP($A43,기본데이타!$A$8:$BV$103,COLUMN(기본데이타!U$8),0))</f>
        <v/>
      </c>
      <c r="T43" s="596" t="str">
        <f>IF($A43="","",VLOOKUP($A43,기본데이타!$A$8:$BV$103,COLUMN(기본데이타!V$8),0))</f>
        <v/>
      </c>
      <c r="U43" s="596" t="str">
        <f>IF($A43="","",VLOOKUP($A43,기본데이타!$A$8:$BV$103,COLUMN(기본데이타!W$8),0))</f>
        <v/>
      </c>
      <c r="V43" s="596" t="str">
        <f>IF($A43="","",VLOOKUP($A43,기본데이타!$A$8:$BV$103,COLUMN(기본데이타!X$8),0))</f>
        <v/>
      </c>
      <c r="W43" s="596" t="str">
        <f>IF($A43="","",VLOOKUP($A43,기본데이타!$A$8:$BV$103,COLUMN(기본데이타!AA$8),0))</f>
        <v/>
      </c>
      <c r="X43" s="596" t="str">
        <f>IF($A43="","",VLOOKUP($A43,기본데이타!$A$8:$BV$103,COLUMN(기본데이타!AB$8),0))</f>
        <v/>
      </c>
      <c r="Y43" s="595" t="str">
        <f>IF($A43="","",VLOOKUP($A43,기본데이타!$A$8:$BV$103,COLUMN(기본데이타!AC$8),0))</f>
        <v/>
      </c>
      <c r="Z43" s="596" t="str">
        <f>IF($A43="","",VLOOKUP($A43,기본데이타!$A$8:$BV$103,COLUMN(기본데이타!AD$8),0))</f>
        <v/>
      </c>
      <c r="AA43" s="595" t="str">
        <f>IF($A43="","",VLOOKUP($A43,기본데이타!$A$8:$BV$103,COLUMN(기본데이타!AE$8),0))</f>
        <v/>
      </c>
      <c r="AB43" s="596" t="str">
        <f>IF($A43="","",VLOOKUP($A43,기본데이타!$A$8:$BV$103,COLUMN(기본데이타!AF$8),0))</f>
        <v/>
      </c>
      <c r="AC43" s="595" t="str">
        <f>IF($A43="","",VLOOKUP($A43,기본데이타!$A$8:$BV$103,COLUMN(기본데이타!AG$8),0))</f>
        <v/>
      </c>
      <c r="AD43" s="596" t="str">
        <f>IF($A43="","",VLOOKUP($A43,기본데이타!$A$8:$BV$103,COLUMN(기본데이타!AH$8),0))</f>
        <v/>
      </c>
      <c r="AE43" s="595" t="str">
        <f>IF($A43="","",VLOOKUP($A43,기본데이타!$A$8:$BV$103,COLUMN(기본데이타!AI$8),0))</f>
        <v/>
      </c>
      <c r="AF43" s="597" t="str">
        <f>IF($A43="","",VLOOKUP($A43,기본데이타!$A$8:$BV$103,COLUMN(기본데이타!AJ$8),0))</f>
        <v/>
      </c>
      <c r="AG43" s="635" t="str">
        <f>IF($A43="","",VLOOKUP($A43,기본데이타!$A$8:$BV$103,COLUMN(기본데이타!AK$8),0))</f>
        <v/>
      </c>
      <c r="AH43" s="635" t="str">
        <f>IF($A43="","",VLOOKUP($A43,기본데이타!$A$8:$BV$103,COLUMN(기본데이타!AL$8),0))</f>
        <v/>
      </c>
      <c r="AI43" s="635" t="str">
        <f>IF($A43="","",VLOOKUP($A43,기본데이타!$A$8:$BV$103,COLUMN(기본데이타!AM$8),0))</f>
        <v/>
      </c>
      <c r="AJ43" s="635" t="str">
        <f>IF($A43="","",VLOOKUP($A43,기본데이타!$A$8:$BV$103,COLUMN(기본데이타!AN$8),0))</f>
        <v/>
      </c>
      <c r="AK43" s="635" t="str">
        <f>IF($A43="","",VLOOKUP($A43,기본데이타!$A$8:$BV$103,COLUMN(기본데이타!AO$8),0))</f>
        <v/>
      </c>
      <c r="AL43" s="635" t="str">
        <f>IF($A43="","",VLOOKUP($A43,기본데이타!$A$8:$BV$103,COLUMN(기본데이타!AP$8),0))</f>
        <v/>
      </c>
      <c r="AM43" s="635" t="str">
        <f>IF($A43="","",VLOOKUP($A43,기본데이타!$A$8:$BV$103,COLUMN(기본데이타!AQ$8),0))</f>
        <v/>
      </c>
      <c r="AN43" s="635" t="str">
        <f>IF($A43="","",VLOOKUP($A43,기본데이타!$A$8:$BV$103,COLUMN(기본데이타!AR$8),0))</f>
        <v/>
      </c>
      <c r="AO43" s="635" t="str">
        <f>IF($A43="","",VLOOKUP($A43,기본데이타!$A$8:$BV$103,COLUMN(기본데이타!AS$8),0))</f>
        <v/>
      </c>
      <c r="AP43" s="635" t="str">
        <f>IF($A43="","",VLOOKUP($A43,기본데이타!$A$8:$BV$103,COLUMN(기본데이타!AT$8),0))</f>
        <v/>
      </c>
      <c r="AQ43" s="635" t="str">
        <f>IF($A43="","",VLOOKUP($A43,기본데이타!$A$8:$BV$103,COLUMN(기본데이타!AU$8),0))</f>
        <v/>
      </c>
      <c r="AR43" s="598" t="str">
        <f>IF($A43="","",VLOOKUP($A43,기본데이타!$A$8:$BV$103,COLUMN(기본데이타!AV$8),0))</f>
        <v/>
      </c>
      <c r="AS43" s="596" t="str">
        <f>IF($A43="","",VLOOKUP($A43,기본데이타!$A$8:$BV$103,COLUMN(기본데이타!AW$8),0))</f>
        <v/>
      </c>
      <c r="AT43" s="596" t="str">
        <f>IF($A43="","",VLOOKUP($A43,기본데이타!$A$8:$BV$103,COLUMN(기본데이타!AX$8),0))</f>
        <v/>
      </c>
      <c r="AU43" s="596" t="str">
        <f>IF($A43="","",VLOOKUP($A43,기본데이타!$A$8:$BV$103,COLUMN(기본데이타!AY$8),0))</f>
        <v/>
      </c>
      <c r="AV43" s="596" t="str">
        <f t="shared" si="2"/>
        <v/>
      </c>
      <c r="AW43" s="597" t="str">
        <f>IF($A43="","",VLOOKUP($A43,기본데이타!$A$8:$BV$103,COLUMN(기본데이타!BA$8),0))</f>
        <v/>
      </c>
      <c r="AX43" s="597" t="str">
        <f>IF($A43="","",VLOOKUP($A43,기본데이타!$A$8:$BV$103,COLUMN(기본데이타!BB$8),0))</f>
        <v/>
      </c>
      <c r="AY43" s="597" t="str">
        <f>IF($A43="","",VLOOKUP($A43,기본데이타!$A$8:$BV$103,COLUMN(기본데이타!BC$8),0))</f>
        <v/>
      </c>
      <c r="AZ43" s="597" t="str">
        <f>IF($A43="","",VLOOKUP($A43,기본데이타!$A$8:$BV$103,COLUMN(기본데이타!BD$8),0))</f>
        <v/>
      </c>
      <c r="BA43" s="597" t="str">
        <f>IF($A43="","",VLOOKUP($A43,기본데이타!$A$8:$BV$103,COLUMN(기본데이타!BE$8),0))</f>
        <v/>
      </c>
      <c r="BB43" s="597" t="str">
        <f>IF($A43="","",VLOOKUP($A43,기본데이타!$A$8:$BV$103,COLUMN(기본데이타!BF$8),0))</f>
        <v/>
      </c>
      <c r="BC43" s="597" t="str">
        <f>IF($A43="","",VLOOKUP($A43,기본데이타!$A$8:$BV$103,COLUMN(기본데이타!BG$8),0))</f>
        <v/>
      </c>
      <c r="BD43" s="1496" t="str">
        <f>IF($A43="","",VLOOKUP($A43,기본데이타!$A$8:$BV$103,COLUMN(기본데이타!BH$8),0))</f>
        <v/>
      </c>
      <c r="BE43" s="597" t="str">
        <f>IF($A43="","",VLOOKUP($A43,기본데이타!$A$8:$BV$103,COLUMN(기본데이타!BI$8),0))</f>
        <v/>
      </c>
      <c r="BF43" s="597" t="str">
        <f>IF($A43="","",VLOOKUP($A43,기본데이타!$A$8:$BV$103,COLUMN(기본데이타!BJ$8),0))</f>
        <v/>
      </c>
      <c r="BG43" s="597" t="str">
        <f>IF($A43="","",VLOOKUP($A43,기본데이타!$A$8:$BV$103,COLUMN(기본데이타!BK$8),0))</f>
        <v/>
      </c>
      <c r="BH43" s="597" t="str">
        <f>IF($A43="","",VLOOKUP($A43,기본데이타!$A$8:$BV$103,COLUMN(기본데이타!BL$8),0))</f>
        <v/>
      </c>
      <c r="BI43" s="597" t="str">
        <f>IF($A43="","",VLOOKUP($A43,기본데이타!$A$8:$BV$103,COLUMN(기본데이타!BM$8),0))</f>
        <v/>
      </c>
      <c r="BJ43" s="597" t="str">
        <f>IF($A43="","",VLOOKUP($A43,기본데이타!$A$8:$BV$103,COLUMN(기본데이타!BN$8),0))</f>
        <v/>
      </c>
      <c r="BK43" s="597" t="str">
        <f>IF($A43="","",VLOOKUP($A43,기본데이타!$A$8:$BV$103,COLUMN(기본데이타!BO$8),0))</f>
        <v/>
      </c>
      <c r="BL43" s="597" t="str">
        <f>IF($A43="","",VLOOKUP($A43,기본데이타!$A$8:$BV$103,COLUMN(기본데이타!BP$8),0))</f>
        <v/>
      </c>
      <c r="BM43" s="597" t="str">
        <f>IF($A43="","",VLOOKUP($A43,기본데이타!$A$8:$BV$103,COLUMN(기본데이타!BQ$8),0))</f>
        <v/>
      </c>
      <c r="BN43" s="599" t="str">
        <f>IF($A43="","",VLOOKUP($A43,기본데이타!$A$8:$BV$103,COLUMN(기본데이타!BR$8),0))</f>
        <v/>
      </c>
      <c r="BO43" s="600" t="str">
        <f>IF($A43="","",VLOOKUP($A43,기본데이타!$A$8:$BV$103,COLUMN(기본데이타!BS$8),0))</f>
        <v/>
      </c>
      <c r="BP43" s="623" t="str">
        <f>IF($A43="","",VLOOKUP($A43,기본데이타!$A$8:$BV$103,COLUMN(기본데이타!BT$8),0))</f>
        <v/>
      </c>
      <c r="BQ43" s="602" t="str">
        <f>IF($A43="","",VLOOKUP($A43,기본데이타!$A$8:$BV$103,COLUMN(기본데이타!BU$8),0))</f>
        <v/>
      </c>
      <c r="BR43" s="625" t="str">
        <f t="shared" si="3"/>
        <v/>
      </c>
    </row>
    <row r="44" spans="1:70" s="571" customFormat="1" ht="61.5" hidden="1" customHeight="1" outlineLevel="1">
      <c r="A44" s="578"/>
      <c r="B44" s="1642"/>
      <c r="C44" s="590"/>
      <c r="D44" s="591" t="str">
        <f>IF($A44="","",VLOOKUP($A44,기본데이타!$A$8:$BV$103,COLUMN(기본데이타!F$8),0))</f>
        <v/>
      </c>
      <c r="E44" s="592" t="str">
        <f>IF($A44="","",VLOOKUP($A44,기본데이타!$A$8:$BV$103,COLUMN(기본데이타!G$8),0))</f>
        <v/>
      </c>
      <c r="F44" s="593" t="str">
        <f>IF($A44="","",VLOOKUP($A44,기본데이타!$A$8:$BV$103,COLUMN(기본데이타!H$8),0))</f>
        <v/>
      </c>
      <c r="G44" s="594" t="str">
        <f>IF($A44="","",VLOOKUP($A44,기본데이타!$A$8:$BV$103,COLUMN(기본데이타!I$8),0))</f>
        <v/>
      </c>
      <c r="H44" s="594" t="str">
        <f>IF($A44="","",VLOOKUP($A44,기본데이타!$A$8:$BV$103,COLUMN(기본데이타!J$8),0))</f>
        <v/>
      </c>
      <c r="I44" s="595" t="str">
        <f>IF($A44="","",VLOOKUP($A44,기본데이타!$A$8:$BV$103,COLUMN(기본데이타!K$8),0))</f>
        <v/>
      </c>
      <c r="J44" s="595" t="str">
        <f>IF($A44="","",VLOOKUP($A44,기본데이타!$A$8:$BV$103,COLUMN(기본데이타!L$8),0))</f>
        <v/>
      </c>
      <c r="K44" s="595" t="str">
        <f>IF($A44="","",VLOOKUP($A44,기본데이타!$A$8:$BV$103,COLUMN(기본데이타!M$8),0))</f>
        <v/>
      </c>
      <c r="L44" s="596" t="str">
        <f>IF($A44="","",VLOOKUP($A44,기본데이타!$A$8:$BV$103,COLUMN(기본데이타!N$8),0))</f>
        <v/>
      </c>
      <c r="M44" s="595" t="str">
        <f>IF($A44="","",VLOOKUP($A44,기본데이타!$A$8:$BV$103,COLUMN(기본데이타!O$8),0))</f>
        <v/>
      </c>
      <c r="N44" s="596" t="str">
        <f>IF($A44="","",VLOOKUP($A44,기본데이타!$A$8:$BV$103,COLUMN(기본데이타!P$8),0))</f>
        <v/>
      </c>
      <c r="O44" s="596" t="str">
        <f>IF($A44="","",VLOOKUP($A44,기본데이타!$A$8:$BV$103,COLUMN(기본데이타!Q$8),0))</f>
        <v/>
      </c>
      <c r="P44" s="596" t="str">
        <f>IF($A44="","",VLOOKUP($A44,기본데이타!$A$8:$BV$103,COLUMN(기본데이타!R$8),0))</f>
        <v/>
      </c>
      <c r="Q44" s="596" t="str">
        <f>IF($A44="","",VLOOKUP($A44,기본데이타!$A$8:$BV$103,COLUMN(기본데이타!S$8),0))</f>
        <v/>
      </c>
      <c r="R44" s="596" t="str">
        <f>IF($A44="","",VLOOKUP($A44,기본데이타!$A$8:$BV$103,COLUMN(기본데이타!T$8),0))</f>
        <v/>
      </c>
      <c r="S44" s="596" t="str">
        <f>IF($A44="","",VLOOKUP($A44,기본데이타!$A$8:$BV$103,COLUMN(기본데이타!U$8),0))</f>
        <v/>
      </c>
      <c r="T44" s="596" t="str">
        <f>IF($A44="","",VLOOKUP($A44,기본데이타!$A$8:$BV$103,COLUMN(기본데이타!V$8),0))</f>
        <v/>
      </c>
      <c r="U44" s="596" t="str">
        <f>IF($A44="","",VLOOKUP($A44,기본데이타!$A$8:$BV$103,COLUMN(기본데이타!W$8),0))</f>
        <v/>
      </c>
      <c r="V44" s="596" t="str">
        <f>IF($A44="","",VLOOKUP($A44,기본데이타!$A$8:$BV$103,COLUMN(기본데이타!X$8),0))</f>
        <v/>
      </c>
      <c r="W44" s="596" t="str">
        <f>IF($A44="","",VLOOKUP($A44,기본데이타!$A$8:$BV$103,COLUMN(기본데이타!AA$8),0))</f>
        <v/>
      </c>
      <c r="X44" s="596" t="str">
        <f>IF($A44="","",VLOOKUP($A44,기본데이타!$A$8:$BV$103,COLUMN(기본데이타!AB$8),0))</f>
        <v/>
      </c>
      <c r="Y44" s="595" t="str">
        <f>IF($A44="","",VLOOKUP($A44,기본데이타!$A$8:$BV$103,COLUMN(기본데이타!AC$8),0))</f>
        <v/>
      </c>
      <c r="Z44" s="596" t="str">
        <f>IF($A44="","",VLOOKUP($A44,기본데이타!$A$8:$BV$103,COLUMN(기본데이타!AD$8),0))</f>
        <v/>
      </c>
      <c r="AA44" s="595" t="str">
        <f>IF($A44="","",VLOOKUP($A44,기본데이타!$A$8:$BV$103,COLUMN(기본데이타!AE$8),0))</f>
        <v/>
      </c>
      <c r="AB44" s="596" t="str">
        <f>IF($A44="","",VLOOKUP($A44,기본데이타!$A$8:$BV$103,COLUMN(기본데이타!AF$8),0))</f>
        <v/>
      </c>
      <c r="AC44" s="595" t="str">
        <f>IF($A44="","",VLOOKUP($A44,기본데이타!$A$8:$BV$103,COLUMN(기본데이타!AG$8),0))</f>
        <v/>
      </c>
      <c r="AD44" s="596" t="str">
        <f>IF($A44="","",VLOOKUP($A44,기본데이타!$A$8:$BV$103,COLUMN(기본데이타!AH$8),0))</f>
        <v/>
      </c>
      <c r="AE44" s="595" t="str">
        <f>IF($A44="","",VLOOKUP($A44,기본데이타!$A$8:$BV$103,COLUMN(기본데이타!AI$8),0))</f>
        <v/>
      </c>
      <c r="AF44" s="597" t="str">
        <f>IF($A44="","",VLOOKUP($A44,기본데이타!$A$8:$BV$103,COLUMN(기본데이타!AJ$8),0))</f>
        <v/>
      </c>
      <c r="AG44" s="635" t="str">
        <f>IF($A44="","",VLOOKUP($A44,기본데이타!$A$8:$BV$103,COLUMN(기본데이타!AK$8),0))</f>
        <v/>
      </c>
      <c r="AH44" s="635" t="str">
        <f>IF($A44="","",VLOOKUP($A44,기본데이타!$A$8:$BV$103,COLUMN(기본데이타!AL$8),0))</f>
        <v/>
      </c>
      <c r="AI44" s="635" t="str">
        <f>IF($A44="","",VLOOKUP($A44,기본데이타!$A$8:$BV$103,COLUMN(기본데이타!AM$8),0))</f>
        <v/>
      </c>
      <c r="AJ44" s="635" t="str">
        <f>IF($A44="","",VLOOKUP($A44,기본데이타!$A$8:$BV$103,COLUMN(기본데이타!AN$8),0))</f>
        <v/>
      </c>
      <c r="AK44" s="635" t="str">
        <f>IF($A44="","",VLOOKUP($A44,기본데이타!$A$8:$BV$103,COLUMN(기본데이타!AO$8),0))</f>
        <v/>
      </c>
      <c r="AL44" s="635" t="str">
        <f>IF($A44="","",VLOOKUP($A44,기본데이타!$A$8:$BV$103,COLUMN(기본데이타!AP$8),0))</f>
        <v/>
      </c>
      <c r="AM44" s="635" t="str">
        <f>IF($A44="","",VLOOKUP($A44,기본데이타!$A$8:$BV$103,COLUMN(기본데이타!AQ$8),0))</f>
        <v/>
      </c>
      <c r="AN44" s="635" t="str">
        <f>IF($A44="","",VLOOKUP($A44,기본데이타!$A$8:$BV$103,COLUMN(기본데이타!AR$8),0))</f>
        <v/>
      </c>
      <c r="AO44" s="635" t="str">
        <f>IF($A44="","",VLOOKUP($A44,기본데이타!$A$8:$BV$103,COLUMN(기본데이타!AS$8),0))</f>
        <v/>
      </c>
      <c r="AP44" s="635" t="str">
        <f>IF($A44="","",VLOOKUP($A44,기본데이타!$A$8:$BV$103,COLUMN(기본데이타!AT$8),0))</f>
        <v/>
      </c>
      <c r="AQ44" s="635" t="str">
        <f>IF($A44="","",VLOOKUP($A44,기본데이타!$A$8:$BV$103,COLUMN(기본데이타!AU$8),0))</f>
        <v/>
      </c>
      <c r="AR44" s="598" t="str">
        <f>IF($A44="","",VLOOKUP($A44,기본데이타!$A$8:$BV$103,COLUMN(기본데이타!AV$8),0))</f>
        <v/>
      </c>
      <c r="AS44" s="596" t="str">
        <f>IF($A44="","",VLOOKUP($A44,기본데이타!$A$8:$BV$103,COLUMN(기본데이타!AW$8),0))</f>
        <v/>
      </c>
      <c r="AT44" s="596" t="str">
        <f>IF($A44="","",VLOOKUP($A44,기본데이타!$A$8:$BV$103,COLUMN(기본데이타!AX$8),0))</f>
        <v/>
      </c>
      <c r="AU44" s="596" t="str">
        <f>IF($A44="","",VLOOKUP($A44,기본데이타!$A$8:$BV$103,COLUMN(기본데이타!AY$8),0))</f>
        <v/>
      </c>
      <c r="AV44" s="596" t="str">
        <f t="shared" si="2"/>
        <v/>
      </c>
      <c r="AW44" s="597" t="str">
        <f>IF($A44="","",VLOOKUP($A44,기본데이타!$A$8:$BV$103,COLUMN(기본데이타!BA$8),0))</f>
        <v/>
      </c>
      <c r="AX44" s="597" t="str">
        <f>IF($A44="","",VLOOKUP($A44,기본데이타!$A$8:$BV$103,COLUMN(기본데이타!BB$8),0))</f>
        <v/>
      </c>
      <c r="AY44" s="597" t="str">
        <f>IF($A44="","",VLOOKUP($A44,기본데이타!$A$8:$BV$103,COLUMN(기본데이타!BC$8),0))</f>
        <v/>
      </c>
      <c r="AZ44" s="597" t="str">
        <f>IF($A44="","",VLOOKUP($A44,기본데이타!$A$8:$BV$103,COLUMN(기본데이타!BD$8),0))</f>
        <v/>
      </c>
      <c r="BA44" s="597" t="str">
        <f>IF($A44="","",VLOOKUP($A44,기본데이타!$A$8:$BV$103,COLUMN(기본데이타!BE$8),0))</f>
        <v/>
      </c>
      <c r="BB44" s="597" t="str">
        <f>IF($A44="","",VLOOKUP($A44,기본데이타!$A$8:$BV$103,COLUMN(기본데이타!BF$8),0))</f>
        <v/>
      </c>
      <c r="BC44" s="597" t="str">
        <f>IF($A44="","",VLOOKUP($A44,기본데이타!$A$8:$BV$103,COLUMN(기본데이타!BG$8),0))</f>
        <v/>
      </c>
      <c r="BD44" s="1496" t="str">
        <f>IF($A44="","",VLOOKUP($A44,기본데이타!$A$8:$BV$103,COLUMN(기본데이타!BH$8),0))</f>
        <v/>
      </c>
      <c r="BE44" s="597" t="str">
        <f>IF($A44="","",VLOOKUP($A44,기본데이타!$A$8:$BV$103,COLUMN(기본데이타!BI$8),0))</f>
        <v/>
      </c>
      <c r="BF44" s="597" t="str">
        <f>IF($A44="","",VLOOKUP($A44,기본데이타!$A$8:$BV$103,COLUMN(기본데이타!BJ$8),0))</f>
        <v/>
      </c>
      <c r="BG44" s="597" t="str">
        <f>IF($A44="","",VLOOKUP($A44,기본데이타!$A$8:$BV$103,COLUMN(기본데이타!BK$8),0))</f>
        <v/>
      </c>
      <c r="BH44" s="597" t="str">
        <f>IF($A44="","",VLOOKUP($A44,기본데이타!$A$8:$BV$103,COLUMN(기본데이타!BL$8),0))</f>
        <v/>
      </c>
      <c r="BI44" s="597" t="str">
        <f>IF($A44="","",VLOOKUP($A44,기본데이타!$A$8:$BV$103,COLUMN(기본데이타!BM$8),0))</f>
        <v/>
      </c>
      <c r="BJ44" s="597" t="str">
        <f>IF($A44="","",VLOOKUP($A44,기본데이타!$A$8:$BV$103,COLUMN(기본데이타!BN$8),0))</f>
        <v/>
      </c>
      <c r="BK44" s="597" t="str">
        <f>IF($A44="","",VLOOKUP($A44,기본데이타!$A$8:$BV$103,COLUMN(기본데이타!BO$8),0))</f>
        <v/>
      </c>
      <c r="BL44" s="597" t="str">
        <f>IF($A44="","",VLOOKUP($A44,기본데이타!$A$8:$BV$103,COLUMN(기본데이타!BP$8),0))</f>
        <v/>
      </c>
      <c r="BM44" s="597" t="str">
        <f>IF($A44="","",VLOOKUP($A44,기본데이타!$A$8:$BV$103,COLUMN(기본데이타!BQ$8),0))</f>
        <v/>
      </c>
      <c r="BN44" s="599" t="str">
        <f>IF($A44="","",VLOOKUP($A44,기본데이타!$A$8:$BV$103,COLUMN(기본데이타!BR$8),0))</f>
        <v/>
      </c>
      <c r="BO44" s="600" t="str">
        <f>IF($A44="","",VLOOKUP($A44,기본데이타!$A$8:$BV$103,COLUMN(기본데이타!BS$8),0))</f>
        <v/>
      </c>
      <c r="BP44" s="623" t="str">
        <f>IF($A44="","",VLOOKUP($A44,기본데이타!$A$8:$BV$103,COLUMN(기본데이타!BT$8),0))</f>
        <v/>
      </c>
      <c r="BQ44" s="602" t="str">
        <f>IF($A44="","",VLOOKUP($A44,기본데이타!$A$8:$BV$103,COLUMN(기본데이타!BU$8),0))</f>
        <v/>
      </c>
      <c r="BR44" s="625" t="str">
        <f t="shared" si="3"/>
        <v/>
      </c>
    </row>
    <row r="45" spans="1:70" s="571" customFormat="1" ht="61.5" hidden="1" customHeight="1" outlineLevel="1">
      <c r="A45" s="578"/>
      <c r="B45" s="1642"/>
      <c r="C45" s="590"/>
      <c r="D45" s="591" t="str">
        <f>IF($A45="","",VLOOKUP($A45,기본데이타!$A$8:$BV$103,COLUMN(기본데이타!F$8),0))</f>
        <v/>
      </c>
      <c r="E45" s="592" t="str">
        <f>IF($A45="","",VLOOKUP($A45,기본데이타!$A$8:$BV$103,COLUMN(기본데이타!G$8),0))</f>
        <v/>
      </c>
      <c r="F45" s="593" t="str">
        <f>IF($A45="","",VLOOKUP($A45,기본데이타!$A$8:$BV$103,COLUMN(기본데이타!H$8),0))</f>
        <v/>
      </c>
      <c r="G45" s="594" t="str">
        <f>IF($A45="","",VLOOKUP($A45,기본데이타!$A$8:$BV$103,COLUMN(기본데이타!I$8),0))</f>
        <v/>
      </c>
      <c r="H45" s="594" t="str">
        <f>IF($A45="","",VLOOKUP($A45,기본데이타!$A$8:$BV$103,COLUMN(기본데이타!J$8),0))</f>
        <v/>
      </c>
      <c r="I45" s="595" t="str">
        <f>IF($A45="","",VLOOKUP($A45,기본데이타!$A$8:$BV$103,COLUMN(기본데이타!K$8),0))</f>
        <v/>
      </c>
      <c r="J45" s="595" t="str">
        <f>IF($A45="","",VLOOKUP($A45,기본데이타!$A$8:$BV$103,COLUMN(기본데이타!L$8),0))</f>
        <v/>
      </c>
      <c r="K45" s="595" t="str">
        <f>IF($A45="","",VLOOKUP($A45,기본데이타!$A$8:$BV$103,COLUMN(기본데이타!M$8),0))</f>
        <v/>
      </c>
      <c r="L45" s="596" t="str">
        <f>IF($A45="","",VLOOKUP($A45,기본데이타!$A$8:$BV$103,COLUMN(기본데이타!N$8),0))</f>
        <v/>
      </c>
      <c r="M45" s="595" t="str">
        <f>IF($A45="","",VLOOKUP($A45,기본데이타!$A$8:$BV$103,COLUMN(기본데이타!O$8),0))</f>
        <v/>
      </c>
      <c r="N45" s="596" t="str">
        <f>IF($A45="","",VLOOKUP($A45,기본데이타!$A$8:$BV$103,COLUMN(기본데이타!P$8),0))</f>
        <v/>
      </c>
      <c r="O45" s="596" t="str">
        <f>IF($A45="","",VLOOKUP($A45,기본데이타!$A$8:$BV$103,COLUMN(기본데이타!Q$8),0))</f>
        <v/>
      </c>
      <c r="P45" s="596" t="str">
        <f>IF($A45="","",VLOOKUP($A45,기본데이타!$A$8:$BV$103,COLUMN(기본데이타!R$8),0))</f>
        <v/>
      </c>
      <c r="Q45" s="596" t="str">
        <f>IF($A45="","",VLOOKUP($A45,기본데이타!$A$8:$BV$103,COLUMN(기본데이타!S$8),0))</f>
        <v/>
      </c>
      <c r="R45" s="596" t="str">
        <f>IF($A45="","",VLOOKUP($A45,기본데이타!$A$8:$BV$103,COLUMN(기본데이타!T$8),0))</f>
        <v/>
      </c>
      <c r="S45" s="596" t="str">
        <f>IF($A45="","",VLOOKUP($A45,기본데이타!$A$8:$BV$103,COLUMN(기본데이타!U$8),0))</f>
        <v/>
      </c>
      <c r="T45" s="596" t="str">
        <f>IF($A45="","",VLOOKUP($A45,기본데이타!$A$8:$BV$103,COLUMN(기본데이타!V$8),0))</f>
        <v/>
      </c>
      <c r="U45" s="596" t="str">
        <f>IF($A45="","",VLOOKUP($A45,기본데이타!$A$8:$BV$103,COLUMN(기본데이타!W$8),0))</f>
        <v/>
      </c>
      <c r="V45" s="596" t="str">
        <f>IF($A45="","",VLOOKUP($A45,기본데이타!$A$8:$BV$103,COLUMN(기본데이타!X$8),0))</f>
        <v/>
      </c>
      <c r="W45" s="596" t="str">
        <f>IF($A45="","",VLOOKUP($A45,기본데이타!$A$8:$BV$103,COLUMN(기본데이타!AA$8),0))</f>
        <v/>
      </c>
      <c r="X45" s="596" t="str">
        <f>IF($A45="","",VLOOKUP($A45,기본데이타!$A$8:$BV$103,COLUMN(기본데이타!AB$8),0))</f>
        <v/>
      </c>
      <c r="Y45" s="595" t="str">
        <f>IF($A45="","",VLOOKUP($A45,기본데이타!$A$8:$BV$103,COLUMN(기본데이타!AC$8),0))</f>
        <v/>
      </c>
      <c r="Z45" s="596" t="str">
        <f>IF($A45="","",VLOOKUP($A45,기본데이타!$A$8:$BV$103,COLUMN(기본데이타!AD$8),0))</f>
        <v/>
      </c>
      <c r="AA45" s="595" t="str">
        <f>IF($A45="","",VLOOKUP($A45,기본데이타!$A$8:$BV$103,COLUMN(기본데이타!AE$8),0))</f>
        <v/>
      </c>
      <c r="AB45" s="596" t="str">
        <f>IF($A45="","",VLOOKUP($A45,기본데이타!$A$8:$BV$103,COLUMN(기본데이타!AF$8),0))</f>
        <v/>
      </c>
      <c r="AC45" s="595" t="str">
        <f>IF($A45="","",VLOOKUP($A45,기본데이타!$A$8:$BV$103,COLUMN(기본데이타!AG$8),0))</f>
        <v/>
      </c>
      <c r="AD45" s="596" t="str">
        <f>IF($A45="","",VLOOKUP($A45,기본데이타!$A$8:$BV$103,COLUMN(기본데이타!AH$8),0))</f>
        <v/>
      </c>
      <c r="AE45" s="595" t="str">
        <f>IF($A45="","",VLOOKUP($A45,기본데이타!$A$8:$BV$103,COLUMN(기본데이타!AI$8),0))</f>
        <v/>
      </c>
      <c r="AF45" s="597" t="str">
        <f>IF($A45="","",VLOOKUP($A45,기본데이타!$A$8:$BV$103,COLUMN(기본데이타!AJ$8),0))</f>
        <v/>
      </c>
      <c r="AG45" s="635" t="str">
        <f>IF($A45="","",VLOOKUP($A45,기본데이타!$A$8:$BV$103,COLUMN(기본데이타!AK$8),0))</f>
        <v/>
      </c>
      <c r="AH45" s="635" t="str">
        <f>IF($A45="","",VLOOKUP($A45,기본데이타!$A$8:$BV$103,COLUMN(기본데이타!AL$8),0))</f>
        <v/>
      </c>
      <c r="AI45" s="635" t="str">
        <f>IF($A45="","",VLOOKUP($A45,기본데이타!$A$8:$BV$103,COLUMN(기본데이타!AM$8),0))</f>
        <v/>
      </c>
      <c r="AJ45" s="635" t="str">
        <f>IF($A45="","",VLOOKUP($A45,기본데이타!$A$8:$BV$103,COLUMN(기본데이타!AN$8),0))</f>
        <v/>
      </c>
      <c r="AK45" s="635" t="str">
        <f>IF($A45="","",VLOOKUP($A45,기본데이타!$A$8:$BV$103,COLUMN(기본데이타!AO$8),0))</f>
        <v/>
      </c>
      <c r="AL45" s="635" t="str">
        <f>IF($A45="","",VLOOKUP($A45,기본데이타!$A$8:$BV$103,COLUMN(기본데이타!AP$8),0))</f>
        <v/>
      </c>
      <c r="AM45" s="635" t="str">
        <f>IF($A45="","",VLOOKUP($A45,기본데이타!$A$8:$BV$103,COLUMN(기본데이타!AQ$8),0))</f>
        <v/>
      </c>
      <c r="AN45" s="635" t="str">
        <f>IF($A45="","",VLOOKUP($A45,기본데이타!$A$8:$BV$103,COLUMN(기본데이타!AR$8),0))</f>
        <v/>
      </c>
      <c r="AO45" s="635" t="str">
        <f>IF($A45="","",VLOOKUP($A45,기본데이타!$A$8:$BV$103,COLUMN(기본데이타!AS$8),0))</f>
        <v/>
      </c>
      <c r="AP45" s="635" t="str">
        <f>IF($A45="","",VLOOKUP($A45,기본데이타!$A$8:$BV$103,COLUMN(기본데이타!AT$8),0))</f>
        <v/>
      </c>
      <c r="AQ45" s="635" t="str">
        <f>IF($A45="","",VLOOKUP($A45,기본데이타!$A$8:$BV$103,COLUMN(기본데이타!AU$8),0))</f>
        <v/>
      </c>
      <c r="AR45" s="598" t="str">
        <f>IF($A45="","",VLOOKUP($A45,기본데이타!$A$8:$BV$103,COLUMN(기본데이타!AV$8),0))</f>
        <v/>
      </c>
      <c r="AS45" s="596" t="str">
        <f>IF($A45="","",VLOOKUP($A45,기본데이타!$A$8:$BV$103,COLUMN(기본데이타!AW$8),0))</f>
        <v/>
      </c>
      <c r="AT45" s="596" t="str">
        <f>IF($A45="","",VLOOKUP($A45,기본데이타!$A$8:$BV$103,COLUMN(기본데이타!AX$8),0))</f>
        <v/>
      </c>
      <c r="AU45" s="596" t="str">
        <f>IF($A45="","",VLOOKUP($A45,기본데이타!$A$8:$BV$103,COLUMN(기본데이타!AY$8),0))</f>
        <v/>
      </c>
      <c r="AV45" s="596" t="str">
        <f t="shared" si="2"/>
        <v/>
      </c>
      <c r="AW45" s="597" t="str">
        <f>IF($A45="","",VLOOKUP($A45,기본데이타!$A$8:$BV$103,COLUMN(기본데이타!BA$8),0))</f>
        <v/>
      </c>
      <c r="AX45" s="597" t="str">
        <f>IF($A45="","",VLOOKUP($A45,기본데이타!$A$8:$BV$103,COLUMN(기본데이타!BB$8),0))</f>
        <v/>
      </c>
      <c r="AY45" s="597" t="str">
        <f>IF($A45="","",VLOOKUP($A45,기본데이타!$A$8:$BV$103,COLUMN(기본데이타!BC$8),0))</f>
        <v/>
      </c>
      <c r="AZ45" s="597" t="str">
        <f>IF($A45="","",VLOOKUP($A45,기본데이타!$A$8:$BV$103,COLUMN(기본데이타!BD$8),0))</f>
        <v/>
      </c>
      <c r="BA45" s="597" t="str">
        <f>IF($A45="","",VLOOKUP($A45,기본데이타!$A$8:$BV$103,COLUMN(기본데이타!BE$8),0))</f>
        <v/>
      </c>
      <c r="BB45" s="597" t="str">
        <f>IF($A45="","",VLOOKUP($A45,기본데이타!$A$8:$BV$103,COLUMN(기본데이타!BF$8),0))</f>
        <v/>
      </c>
      <c r="BC45" s="597" t="str">
        <f>IF($A45="","",VLOOKUP($A45,기본데이타!$A$8:$BV$103,COLUMN(기본데이타!BG$8),0))</f>
        <v/>
      </c>
      <c r="BD45" s="1496" t="str">
        <f>IF($A45="","",VLOOKUP($A45,기본데이타!$A$8:$BV$103,COLUMN(기본데이타!BH$8),0))</f>
        <v/>
      </c>
      <c r="BE45" s="597" t="str">
        <f>IF($A45="","",VLOOKUP($A45,기본데이타!$A$8:$BV$103,COLUMN(기본데이타!BI$8),0))</f>
        <v/>
      </c>
      <c r="BF45" s="597" t="str">
        <f>IF($A45="","",VLOOKUP($A45,기본데이타!$A$8:$BV$103,COLUMN(기본데이타!BJ$8),0))</f>
        <v/>
      </c>
      <c r="BG45" s="597" t="str">
        <f>IF($A45="","",VLOOKUP($A45,기본데이타!$A$8:$BV$103,COLUMN(기본데이타!BK$8),0))</f>
        <v/>
      </c>
      <c r="BH45" s="597" t="str">
        <f>IF($A45="","",VLOOKUP($A45,기본데이타!$A$8:$BV$103,COLUMN(기본데이타!BL$8),0))</f>
        <v/>
      </c>
      <c r="BI45" s="597" t="str">
        <f>IF($A45="","",VLOOKUP($A45,기본데이타!$A$8:$BV$103,COLUMN(기본데이타!BM$8),0))</f>
        <v/>
      </c>
      <c r="BJ45" s="597" t="str">
        <f>IF($A45="","",VLOOKUP($A45,기본데이타!$A$8:$BV$103,COLUMN(기본데이타!BN$8),0))</f>
        <v/>
      </c>
      <c r="BK45" s="597" t="str">
        <f>IF($A45="","",VLOOKUP($A45,기본데이타!$A$8:$BV$103,COLUMN(기본데이타!BO$8),0))</f>
        <v/>
      </c>
      <c r="BL45" s="597" t="str">
        <f>IF($A45="","",VLOOKUP($A45,기본데이타!$A$8:$BV$103,COLUMN(기본데이타!BP$8),0))</f>
        <v/>
      </c>
      <c r="BM45" s="597" t="str">
        <f>IF($A45="","",VLOOKUP($A45,기본데이타!$A$8:$BV$103,COLUMN(기본데이타!BQ$8),0))</f>
        <v/>
      </c>
      <c r="BN45" s="599" t="str">
        <f>IF($A45="","",VLOOKUP($A45,기본데이타!$A$8:$BV$103,COLUMN(기본데이타!BR$8),0))</f>
        <v/>
      </c>
      <c r="BO45" s="600" t="str">
        <f>IF($A45="","",VLOOKUP($A45,기본데이타!$A$8:$BV$103,COLUMN(기본데이타!BS$8),0))</f>
        <v/>
      </c>
      <c r="BP45" s="623" t="str">
        <f>IF($A45="","",VLOOKUP($A45,기본데이타!$A$8:$BV$103,COLUMN(기본데이타!BT$8),0))</f>
        <v/>
      </c>
      <c r="BQ45" s="602" t="str">
        <f>IF($A45="","",VLOOKUP($A45,기본데이타!$A$8:$BV$103,COLUMN(기본데이타!BU$8),0))</f>
        <v/>
      </c>
      <c r="BR45" s="625" t="str">
        <f t="shared" si="3"/>
        <v/>
      </c>
    </row>
    <row r="46" spans="1:70" s="571" customFormat="1" ht="61.5" hidden="1" customHeight="1" outlineLevel="1">
      <c r="A46" s="578"/>
      <c r="B46" s="1642"/>
      <c r="C46" s="590"/>
      <c r="D46" s="591" t="str">
        <f>IF($A46="","",VLOOKUP($A46,기본데이타!$A$8:$BV$103,COLUMN(기본데이타!F$8),0))</f>
        <v/>
      </c>
      <c r="E46" s="592" t="str">
        <f>IF($A46="","",VLOOKUP($A46,기본데이타!$A$8:$BV$103,COLUMN(기본데이타!G$8),0))</f>
        <v/>
      </c>
      <c r="F46" s="593" t="str">
        <f>IF($A46="","",VLOOKUP($A46,기본데이타!$A$8:$BV$103,COLUMN(기본데이타!H$8),0))</f>
        <v/>
      </c>
      <c r="G46" s="594" t="str">
        <f>IF($A46="","",VLOOKUP($A46,기본데이타!$A$8:$BV$103,COLUMN(기본데이타!I$8),0))</f>
        <v/>
      </c>
      <c r="H46" s="594" t="str">
        <f>IF($A46="","",VLOOKUP($A46,기본데이타!$A$8:$BV$103,COLUMN(기본데이타!J$8),0))</f>
        <v/>
      </c>
      <c r="I46" s="595" t="str">
        <f>IF($A46="","",VLOOKUP($A46,기본데이타!$A$8:$BV$103,COLUMN(기본데이타!K$8),0))</f>
        <v/>
      </c>
      <c r="J46" s="595" t="str">
        <f>IF($A46="","",VLOOKUP($A46,기본데이타!$A$8:$BV$103,COLUMN(기본데이타!L$8),0))</f>
        <v/>
      </c>
      <c r="K46" s="595" t="str">
        <f>IF($A46="","",VLOOKUP($A46,기본데이타!$A$8:$BV$103,COLUMN(기본데이타!M$8),0))</f>
        <v/>
      </c>
      <c r="L46" s="596" t="str">
        <f>IF($A46="","",VLOOKUP($A46,기본데이타!$A$8:$BV$103,COLUMN(기본데이타!N$8),0))</f>
        <v/>
      </c>
      <c r="M46" s="595" t="str">
        <f>IF($A46="","",VLOOKUP($A46,기본데이타!$A$8:$BV$103,COLUMN(기본데이타!O$8),0))</f>
        <v/>
      </c>
      <c r="N46" s="596" t="str">
        <f>IF($A46="","",VLOOKUP($A46,기본데이타!$A$8:$BV$103,COLUMN(기본데이타!P$8),0))</f>
        <v/>
      </c>
      <c r="O46" s="596" t="str">
        <f>IF($A46="","",VLOOKUP($A46,기본데이타!$A$8:$BV$103,COLUMN(기본데이타!Q$8),0))</f>
        <v/>
      </c>
      <c r="P46" s="596" t="str">
        <f>IF($A46="","",VLOOKUP($A46,기본데이타!$A$8:$BV$103,COLUMN(기본데이타!R$8),0))</f>
        <v/>
      </c>
      <c r="Q46" s="596" t="str">
        <f>IF($A46="","",VLOOKUP($A46,기본데이타!$A$8:$BV$103,COLUMN(기본데이타!S$8),0))</f>
        <v/>
      </c>
      <c r="R46" s="596" t="str">
        <f>IF($A46="","",VLOOKUP($A46,기본데이타!$A$8:$BV$103,COLUMN(기본데이타!T$8),0))</f>
        <v/>
      </c>
      <c r="S46" s="596" t="str">
        <f>IF($A46="","",VLOOKUP($A46,기본데이타!$A$8:$BV$103,COLUMN(기본데이타!U$8),0))</f>
        <v/>
      </c>
      <c r="T46" s="596" t="str">
        <f>IF($A46="","",VLOOKUP($A46,기본데이타!$A$8:$BV$103,COLUMN(기본데이타!V$8),0))</f>
        <v/>
      </c>
      <c r="U46" s="596" t="str">
        <f>IF($A46="","",VLOOKUP($A46,기본데이타!$A$8:$BV$103,COLUMN(기본데이타!W$8),0))</f>
        <v/>
      </c>
      <c r="V46" s="596" t="str">
        <f>IF($A46="","",VLOOKUP($A46,기본데이타!$A$8:$BV$103,COLUMN(기본데이타!X$8),0))</f>
        <v/>
      </c>
      <c r="W46" s="596" t="str">
        <f>IF($A46="","",VLOOKUP($A46,기본데이타!$A$8:$BV$103,COLUMN(기본데이타!AA$8),0))</f>
        <v/>
      </c>
      <c r="X46" s="596" t="str">
        <f>IF($A46="","",VLOOKUP($A46,기본데이타!$A$8:$BV$103,COLUMN(기본데이타!AB$8),0))</f>
        <v/>
      </c>
      <c r="Y46" s="595" t="str">
        <f>IF($A46="","",VLOOKUP($A46,기본데이타!$A$8:$BV$103,COLUMN(기본데이타!AC$8),0))</f>
        <v/>
      </c>
      <c r="Z46" s="596" t="str">
        <f>IF($A46="","",VLOOKUP($A46,기본데이타!$A$8:$BV$103,COLUMN(기본데이타!AD$8),0))</f>
        <v/>
      </c>
      <c r="AA46" s="595" t="str">
        <f>IF($A46="","",VLOOKUP($A46,기본데이타!$A$8:$BV$103,COLUMN(기본데이타!AE$8),0))</f>
        <v/>
      </c>
      <c r="AB46" s="596" t="str">
        <f>IF($A46="","",VLOOKUP($A46,기본데이타!$A$8:$BV$103,COLUMN(기본데이타!AF$8),0))</f>
        <v/>
      </c>
      <c r="AC46" s="595" t="str">
        <f>IF($A46="","",VLOOKUP($A46,기본데이타!$A$8:$BV$103,COLUMN(기본데이타!AG$8),0))</f>
        <v/>
      </c>
      <c r="AD46" s="596" t="str">
        <f>IF($A46="","",VLOOKUP($A46,기본데이타!$A$8:$BV$103,COLUMN(기본데이타!AH$8),0))</f>
        <v/>
      </c>
      <c r="AE46" s="595" t="str">
        <f>IF($A46="","",VLOOKUP($A46,기본데이타!$A$8:$BV$103,COLUMN(기본데이타!AI$8),0))</f>
        <v/>
      </c>
      <c r="AF46" s="597" t="str">
        <f>IF($A46="","",VLOOKUP($A46,기본데이타!$A$8:$BV$103,COLUMN(기본데이타!AJ$8),0))</f>
        <v/>
      </c>
      <c r="AG46" s="635" t="str">
        <f>IF($A46="","",VLOOKUP($A46,기본데이타!$A$8:$BV$103,COLUMN(기본데이타!AK$8),0))</f>
        <v/>
      </c>
      <c r="AH46" s="635" t="str">
        <f>IF($A46="","",VLOOKUP($A46,기본데이타!$A$8:$BV$103,COLUMN(기본데이타!AL$8),0))</f>
        <v/>
      </c>
      <c r="AI46" s="635" t="str">
        <f>IF($A46="","",VLOOKUP($A46,기본데이타!$A$8:$BV$103,COLUMN(기본데이타!AM$8),0))</f>
        <v/>
      </c>
      <c r="AJ46" s="664" t="str">
        <f>IF($A46="","",VLOOKUP($A46,기본데이타!$A$8:$BV$103,COLUMN(기본데이타!AN$8),0))</f>
        <v/>
      </c>
      <c r="AK46" s="664" t="str">
        <f>IF($A46="","",VLOOKUP($A46,기본데이타!$A$8:$BV$103,COLUMN(기본데이타!AO$8),0))</f>
        <v/>
      </c>
      <c r="AL46" s="664" t="str">
        <f>IF($A46="","",VLOOKUP($A46,기본데이타!$A$8:$BV$103,COLUMN(기본데이타!AP$8),0))</f>
        <v/>
      </c>
      <c r="AM46" s="664" t="str">
        <f>IF($A46="","",VLOOKUP($A46,기본데이타!$A$8:$BV$103,COLUMN(기본데이타!AQ$8),0))</f>
        <v/>
      </c>
      <c r="AN46" s="664" t="str">
        <f>IF($A46="","",VLOOKUP($A46,기본데이타!$A$8:$BV$103,COLUMN(기본데이타!AR$8),0))</f>
        <v/>
      </c>
      <c r="AO46" s="664" t="str">
        <f>IF($A46="","",VLOOKUP($A46,기본데이타!$A$8:$BV$103,COLUMN(기본데이타!AS$8),0))</f>
        <v/>
      </c>
      <c r="AP46" s="664" t="str">
        <f>IF($A46="","",VLOOKUP($A46,기본데이타!$A$8:$BV$103,COLUMN(기본데이타!AT$8),0))</f>
        <v/>
      </c>
      <c r="AQ46" s="664" t="str">
        <f>IF($A46="","",VLOOKUP($A46,기본데이타!$A$8:$BV$103,COLUMN(기본데이타!AU$8),0))</f>
        <v/>
      </c>
      <c r="AR46" s="615" t="str">
        <f>IF($A46="","",VLOOKUP($A46,기본데이타!$A$8:$BV$103,COLUMN(기본데이타!AV$8),0))</f>
        <v/>
      </c>
      <c r="AS46" s="596" t="str">
        <f>IF($A46="","",VLOOKUP($A46,기본데이타!$A$8:$BV$103,COLUMN(기본데이타!AW$8),0))</f>
        <v/>
      </c>
      <c r="AT46" s="596" t="str">
        <f>IF($A46="","",VLOOKUP($A46,기본데이타!$A$8:$BV$103,COLUMN(기본데이타!AX$8),0))</f>
        <v/>
      </c>
      <c r="AU46" s="596" t="str">
        <f>IF($A46="","",VLOOKUP($A46,기본데이타!$A$8:$BV$103,COLUMN(기본데이타!AY$8),0))</f>
        <v/>
      </c>
      <c r="AV46" s="596" t="str">
        <f t="shared" si="2"/>
        <v/>
      </c>
      <c r="AW46" s="597" t="str">
        <f>IF($A46="","",VLOOKUP($A46,기본데이타!$A$8:$BV$103,COLUMN(기본데이타!BA$8),0))</f>
        <v/>
      </c>
      <c r="AX46" s="597" t="str">
        <f>IF($A46="","",VLOOKUP($A46,기본데이타!$A$8:$BV$103,COLUMN(기본데이타!BB$8),0))</f>
        <v/>
      </c>
      <c r="AY46" s="597" t="str">
        <f>IF($A46="","",VLOOKUP($A46,기본데이타!$A$8:$BV$103,COLUMN(기본데이타!BC$8),0))</f>
        <v/>
      </c>
      <c r="AZ46" s="597" t="str">
        <f>IF($A46="","",VLOOKUP($A46,기본데이타!$A$8:$BV$103,COLUMN(기본데이타!BD$8),0))</f>
        <v/>
      </c>
      <c r="BA46" s="597" t="str">
        <f>IF($A46="","",VLOOKUP($A46,기본데이타!$A$8:$BV$103,COLUMN(기본데이타!BE$8),0))</f>
        <v/>
      </c>
      <c r="BB46" s="597" t="str">
        <f>IF($A46="","",VLOOKUP($A46,기본데이타!$A$8:$BV$103,COLUMN(기본데이타!BF$8),0))</f>
        <v/>
      </c>
      <c r="BC46" s="597" t="str">
        <f>IF($A46="","",VLOOKUP($A46,기본데이타!$A$8:$BV$103,COLUMN(기본데이타!BG$8),0))</f>
        <v/>
      </c>
      <c r="BD46" s="1496" t="str">
        <f>IF($A46="","",VLOOKUP($A46,기본데이타!$A$8:$BV$103,COLUMN(기본데이타!BH$8),0))</f>
        <v/>
      </c>
      <c r="BE46" s="597" t="str">
        <f>IF($A46="","",VLOOKUP($A46,기본데이타!$A$8:$BV$103,COLUMN(기본데이타!BI$8),0))</f>
        <v/>
      </c>
      <c r="BF46" s="597" t="str">
        <f>IF($A46="","",VLOOKUP($A46,기본데이타!$A$8:$BV$103,COLUMN(기본데이타!BJ$8),0))</f>
        <v/>
      </c>
      <c r="BG46" s="597" t="str">
        <f>IF($A46="","",VLOOKUP($A46,기본데이타!$A$8:$BV$103,COLUMN(기본데이타!BK$8),0))</f>
        <v/>
      </c>
      <c r="BH46" s="597" t="str">
        <f>IF($A46="","",VLOOKUP($A46,기본데이타!$A$8:$BV$103,COLUMN(기본데이타!BL$8),0))</f>
        <v/>
      </c>
      <c r="BI46" s="597" t="str">
        <f>IF($A46="","",VLOOKUP($A46,기본데이타!$A$8:$BV$103,COLUMN(기본데이타!BM$8),0))</f>
        <v/>
      </c>
      <c r="BJ46" s="597" t="str">
        <f>IF($A46="","",VLOOKUP($A46,기본데이타!$A$8:$BV$103,COLUMN(기본데이타!BN$8),0))</f>
        <v/>
      </c>
      <c r="BK46" s="597" t="str">
        <f>IF($A46="","",VLOOKUP($A46,기본데이타!$A$8:$BV$103,COLUMN(기본데이타!BO$8),0))</f>
        <v/>
      </c>
      <c r="BL46" s="597" t="str">
        <f>IF($A46="","",VLOOKUP($A46,기본데이타!$A$8:$BV$103,COLUMN(기본데이타!BP$8),0))</f>
        <v/>
      </c>
      <c r="BM46" s="597" t="str">
        <f>IF($A46="","",VLOOKUP($A46,기본데이타!$A$8:$BV$103,COLUMN(기본데이타!BQ$8),0))</f>
        <v/>
      </c>
      <c r="BN46" s="599" t="str">
        <f>IF($A46="","",VLOOKUP($A46,기본데이타!$A$8:$BV$103,COLUMN(기본데이타!BR$8),0))</f>
        <v/>
      </c>
      <c r="BO46" s="600" t="str">
        <f>IF($A46="","",VLOOKUP($A46,기본데이타!$A$8:$BV$103,COLUMN(기본데이타!BS$8),0))</f>
        <v/>
      </c>
      <c r="BP46" s="623" t="str">
        <f>IF($A46="","",VLOOKUP($A46,기본데이타!$A$8:$BV$103,COLUMN(기본데이타!BT$8),0))</f>
        <v/>
      </c>
      <c r="BQ46" s="602" t="str">
        <f>IF($A46="","",VLOOKUP($A46,기본데이타!$A$8:$BV$103,COLUMN(기본데이타!BU$8),0))</f>
        <v/>
      </c>
      <c r="BR46" s="625" t="str">
        <f t="shared" si="3"/>
        <v/>
      </c>
    </row>
    <row r="47" spans="1:70" s="571" customFormat="1" ht="61.5" hidden="1" customHeight="1" collapsed="1" thickBot="1">
      <c r="A47" s="578"/>
      <c r="B47" s="1642"/>
      <c r="C47" s="1715"/>
      <c r="D47" s="1716" t="str">
        <f>IF($A47="","",VLOOKUP($A47,기본데이타!$A$8:$BV$103,COLUMN(기본데이타!F$8),0))</f>
        <v/>
      </c>
      <c r="E47" s="1717" t="str">
        <f>IF($A47="","",VLOOKUP($A47,기본데이타!$A$8:$BV$103,COLUMN(기본데이타!G$8),0))</f>
        <v/>
      </c>
      <c r="F47" s="1718" t="str">
        <f>IF($A47="","",VLOOKUP($A47,기본데이타!$A$8:$BV$103,COLUMN(기본데이타!H$8),0))</f>
        <v/>
      </c>
      <c r="G47" s="1719" t="str">
        <f>IF($A47="","",VLOOKUP($A47,기본데이타!$A$8:$BV$103,COLUMN(기본데이타!I$8),0))</f>
        <v/>
      </c>
      <c r="H47" s="1719" t="str">
        <f>IF($A47="","",VLOOKUP($A47,기본데이타!$A$8:$BV$103,COLUMN(기본데이타!J$8),0))</f>
        <v/>
      </c>
      <c r="I47" s="1720" t="str">
        <f>IF($A47="","",VLOOKUP($A47,기본데이타!$A$8:$BV$103,COLUMN(기본데이타!K$8),0))</f>
        <v/>
      </c>
      <c r="J47" s="1720" t="str">
        <f>IF($A47="","",VLOOKUP($A47,기본데이타!$A$8:$BV$103,COLUMN(기본데이타!L$8),0))</f>
        <v/>
      </c>
      <c r="K47" s="1720" t="str">
        <f>IF($A47="","",VLOOKUP($A47,기본데이타!$A$8:$BV$103,COLUMN(기본데이타!M$8),0))</f>
        <v/>
      </c>
      <c r="L47" s="1721" t="str">
        <f>IF($A47="","",VLOOKUP($A47,기본데이타!$A$8:$BV$103,COLUMN(기본데이타!N$8),0))</f>
        <v/>
      </c>
      <c r="M47" s="1720" t="str">
        <f>IF($A47="","",VLOOKUP($A47,기본데이타!$A$8:$BV$103,COLUMN(기본데이타!O$8),0))</f>
        <v/>
      </c>
      <c r="N47" s="1721" t="str">
        <f>IF($A47="","",VLOOKUP($A47,기본데이타!$A$8:$BV$103,COLUMN(기본데이타!P$8),0))</f>
        <v/>
      </c>
      <c r="O47" s="1721" t="str">
        <f>IF($A47="","",VLOOKUP($A47,기본데이타!$A$8:$BV$103,COLUMN(기본데이타!Q$8),0))</f>
        <v/>
      </c>
      <c r="P47" s="1721" t="str">
        <f>IF($A47="","",VLOOKUP($A47,기본데이타!$A$8:$BV$103,COLUMN(기본데이타!R$8),0))</f>
        <v/>
      </c>
      <c r="Q47" s="1721" t="str">
        <f>IF($A47="","",VLOOKUP($A47,기본데이타!$A$8:$BV$103,COLUMN(기본데이타!S$8),0))</f>
        <v/>
      </c>
      <c r="R47" s="1721" t="str">
        <f>IF($A47="","",VLOOKUP($A47,기본데이타!$A$8:$BV$103,COLUMN(기본데이타!T$8),0))</f>
        <v/>
      </c>
      <c r="S47" s="1721" t="str">
        <f>IF($A47="","",VLOOKUP($A47,기본데이타!$A$8:$BV$103,COLUMN(기본데이타!U$8),0))</f>
        <v/>
      </c>
      <c r="T47" s="1721" t="str">
        <f>IF($A47="","",VLOOKUP($A47,기본데이타!$A$8:$BV$103,COLUMN(기본데이타!V$8),0))</f>
        <v/>
      </c>
      <c r="U47" s="1721" t="str">
        <f>IF($A47="","",VLOOKUP($A47,기본데이타!$A$8:$BV$103,COLUMN(기본데이타!W$8),0))</f>
        <v/>
      </c>
      <c r="V47" s="1721" t="str">
        <f>IF($A47="","",VLOOKUP($A47,기본데이타!$A$8:$BV$103,COLUMN(기본데이타!X$8),0))</f>
        <v/>
      </c>
      <c r="W47" s="1721" t="str">
        <f>IF($A47="","",VLOOKUP($A47,기본데이타!$A$8:$BV$103,COLUMN(기본데이타!AA$8),0))</f>
        <v/>
      </c>
      <c r="X47" s="1721" t="str">
        <f>IF($A47="","",VLOOKUP($A47,기본데이타!$A$8:$BV$103,COLUMN(기본데이타!AB$8),0))</f>
        <v/>
      </c>
      <c r="Y47" s="1720" t="str">
        <f>IF($A47="","",VLOOKUP($A47,기본데이타!$A$8:$BV$103,COLUMN(기본데이타!AC$8),0))</f>
        <v/>
      </c>
      <c r="Z47" s="1721" t="str">
        <f>IF($A47="","",VLOOKUP($A47,기본데이타!$A$8:$BV$103,COLUMN(기본데이타!AD$8),0))</f>
        <v/>
      </c>
      <c r="AA47" s="1720" t="str">
        <f>IF($A47="","",VLOOKUP($A47,기본데이타!$A$8:$BV$103,COLUMN(기본데이타!AE$8),0))</f>
        <v/>
      </c>
      <c r="AB47" s="1721" t="str">
        <f>IF($A47="","",VLOOKUP($A47,기본데이타!$A$8:$BV$103,COLUMN(기본데이타!AF$8),0))</f>
        <v/>
      </c>
      <c r="AC47" s="1720" t="str">
        <f>IF($A47="","",VLOOKUP($A47,기본데이타!$A$8:$BV$103,COLUMN(기본데이타!AG$8),0))</f>
        <v/>
      </c>
      <c r="AD47" s="1721" t="str">
        <f>IF($A47="","",VLOOKUP($A47,기본데이타!$A$8:$BV$103,COLUMN(기본데이타!AH$8),0))</f>
        <v/>
      </c>
      <c r="AE47" s="1720" t="str">
        <f>IF($A47="","",VLOOKUP($A47,기본데이타!$A$8:$BV$103,COLUMN(기본데이타!AI$8),0))</f>
        <v/>
      </c>
      <c r="AF47" s="1722" t="str">
        <f>IF($A47="","",VLOOKUP($A47,기본데이타!$A$8:$BV$103,COLUMN(기본데이타!AJ$8),0))</f>
        <v/>
      </c>
      <c r="AG47" s="1722" t="str">
        <f>IF($A47="","",VLOOKUP($A47,기본데이타!$A$8:$BV$103,COLUMN(기본데이타!AK$8),0))</f>
        <v/>
      </c>
      <c r="AH47" s="1722" t="str">
        <f>IF($A47="","",VLOOKUP($A47,기본데이타!$A$8:$BV$103,COLUMN(기본데이타!AL$8),0))</f>
        <v/>
      </c>
      <c r="AI47" s="1722" t="str">
        <f>IF($A47="","",VLOOKUP($A47,기본데이타!$A$8:$BV$103,COLUMN(기본데이타!AM$8),0))</f>
        <v/>
      </c>
      <c r="AJ47" s="1723" t="str">
        <f>IF($A47="","",VLOOKUP($A47,기본데이타!$A$8:$BV$103,COLUMN(기본데이타!AN$8),0))</f>
        <v/>
      </c>
      <c r="AK47" s="1723" t="str">
        <f>IF($A47="","",VLOOKUP($A47,기본데이타!$A$8:$BV$103,COLUMN(기본데이타!AO$8),0))</f>
        <v/>
      </c>
      <c r="AL47" s="1723" t="str">
        <f>IF($A47="","",VLOOKUP($A47,기본데이타!$A$8:$BV$103,COLUMN(기본데이타!AP$8),0))</f>
        <v/>
      </c>
      <c r="AM47" s="1723" t="str">
        <f>IF($A47="","",VLOOKUP($A47,기본데이타!$A$8:$BV$103,COLUMN(기본데이타!AQ$8),0))</f>
        <v/>
      </c>
      <c r="AN47" s="1723" t="str">
        <f>IF($A47="","",VLOOKUP($A47,기본데이타!$A$8:$BV$103,COLUMN(기본데이타!AR$8),0))</f>
        <v/>
      </c>
      <c r="AO47" s="1723" t="str">
        <f>IF($A47="","",VLOOKUP($A47,기본데이타!$A$8:$BV$103,COLUMN(기본데이타!AS$8),0))</f>
        <v/>
      </c>
      <c r="AP47" s="1723" t="str">
        <f>IF($A47="","",VLOOKUP($A47,기본데이타!$A$8:$BV$103,COLUMN(기본데이타!AT$8),0))</f>
        <v/>
      </c>
      <c r="AQ47" s="1723" t="str">
        <f>IF($A47="","",VLOOKUP($A47,기본데이타!$A$8:$BV$103,COLUMN(기본데이타!AU$8),0))</f>
        <v/>
      </c>
      <c r="AR47" s="1724" t="str">
        <f>IF($A47="","",VLOOKUP($A47,기본데이타!$A$8:$BV$103,COLUMN(기본데이타!AV$8),0))</f>
        <v/>
      </c>
      <c r="AS47" s="1721" t="str">
        <f>IF($A47="","",VLOOKUP($A47,기본데이타!$A$8:$BV$103,COLUMN(기본데이타!AW$8),0))</f>
        <v/>
      </c>
      <c r="AT47" s="1721" t="str">
        <f>IF($A47="","",VLOOKUP($A47,기본데이타!$A$8:$BV$103,COLUMN(기본데이타!AX$8),0))</f>
        <v/>
      </c>
      <c r="AU47" s="1721" t="str">
        <f>IF($A47="","",VLOOKUP($A47,기본데이타!$A$8:$BV$103,COLUMN(기본데이타!AY$8),0))</f>
        <v/>
      </c>
      <c r="AV47" s="1721" t="str">
        <f t="shared" si="2"/>
        <v/>
      </c>
      <c r="AW47" s="1725" t="str">
        <f>IF($A47="","",VLOOKUP($A47,기본데이타!$A$8:$BV$103,COLUMN(기본데이타!BA$8),0))</f>
        <v/>
      </c>
      <c r="AX47" s="1725" t="str">
        <f>IF($A47="","",VLOOKUP($A47,기본데이타!$A$8:$BV$103,COLUMN(기본데이타!BB$8),0))</f>
        <v/>
      </c>
      <c r="AY47" s="1725" t="str">
        <f>IF($A47="","",VLOOKUP($A47,기본데이타!$A$8:$BV$103,COLUMN(기본데이타!BC$8),0))</f>
        <v/>
      </c>
      <c r="AZ47" s="1725" t="str">
        <f>IF($A47="","",VLOOKUP($A47,기본데이타!$A$8:$BV$103,COLUMN(기본데이타!BD$8),0))</f>
        <v/>
      </c>
      <c r="BA47" s="1725" t="str">
        <f>IF($A47="","",VLOOKUP($A47,기본데이타!$A$8:$BV$103,COLUMN(기본데이타!BE$8),0))</f>
        <v/>
      </c>
      <c r="BB47" s="1725" t="str">
        <f>IF($A47="","",VLOOKUP($A47,기본데이타!$A$8:$BV$103,COLUMN(기본데이타!BF$8),0))</f>
        <v/>
      </c>
      <c r="BC47" s="1725" t="str">
        <f>IF($A47="","",VLOOKUP($A47,기본데이타!$A$8:$BV$103,COLUMN(기본데이타!BG$8),0))</f>
        <v/>
      </c>
      <c r="BD47" s="1726" t="str">
        <f>IF($A47="","",VLOOKUP($A47,기본데이타!$A$8:$BV$103,COLUMN(기본데이타!BH$8),0))</f>
        <v/>
      </c>
      <c r="BE47" s="1725" t="str">
        <f>IF($A47="","",VLOOKUP($A47,기본데이타!$A$8:$BV$103,COLUMN(기본데이타!BI$8),0))</f>
        <v/>
      </c>
      <c r="BF47" s="1725" t="str">
        <f>IF($A47="","",VLOOKUP($A47,기본데이타!$A$8:$BV$103,COLUMN(기본데이타!BJ$8),0))</f>
        <v/>
      </c>
      <c r="BG47" s="1725" t="str">
        <f>IF($A47="","",VLOOKUP($A47,기본데이타!$A$8:$BV$103,COLUMN(기본데이타!BK$8),0))</f>
        <v/>
      </c>
      <c r="BH47" s="1725" t="str">
        <f>IF($A47="","",VLOOKUP($A47,기본데이타!$A$8:$BV$103,COLUMN(기본데이타!BL$8),0))</f>
        <v/>
      </c>
      <c r="BI47" s="1725" t="str">
        <f>IF($A47="","",VLOOKUP($A47,기본데이타!$A$8:$BV$103,COLUMN(기본데이타!BM$8),0))</f>
        <v/>
      </c>
      <c r="BJ47" s="1725" t="str">
        <f>IF($A47="","",VLOOKUP($A47,기본데이타!$A$8:$BV$103,COLUMN(기본데이타!BN$8),0))</f>
        <v/>
      </c>
      <c r="BK47" s="1725" t="str">
        <f>IF($A47="","",VLOOKUP($A47,기본데이타!$A$8:$BV$103,COLUMN(기본데이타!BO$8),0))</f>
        <v/>
      </c>
      <c r="BL47" s="1725" t="str">
        <f>IF($A47="","",VLOOKUP($A47,기본데이타!$A$8:$BV$103,COLUMN(기본데이타!BP$8),0))</f>
        <v/>
      </c>
      <c r="BM47" s="1725" t="str">
        <f>IF($A47="","",VLOOKUP($A47,기본데이타!$A$8:$BV$103,COLUMN(기본데이타!BQ$8),0))</f>
        <v/>
      </c>
      <c r="BN47" s="1727" t="str">
        <f>IF($A47="","",VLOOKUP($A47,기본데이타!$A$8:$BV$103,COLUMN(기본데이타!BR$8),0))</f>
        <v/>
      </c>
      <c r="BO47" s="1728" t="str">
        <f>IF($A47="","",VLOOKUP($A47,기본데이타!$A$8:$BV$103,COLUMN(기본데이타!BS$8),0))</f>
        <v/>
      </c>
      <c r="BP47" s="1729" t="str">
        <f>IF($A47="","",VLOOKUP($A47,기본데이타!$A$8:$BV$103,COLUMN(기본데이타!BT$8),0))</f>
        <v/>
      </c>
      <c r="BQ47" s="1730" t="str">
        <f>IF($A47="","",VLOOKUP($A47,기본데이타!$A$8:$BV$103,COLUMN(기본데이타!BU$8),0))</f>
        <v/>
      </c>
      <c r="BR47" s="1731" t="str">
        <f t="shared" si="3"/>
        <v/>
      </c>
    </row>
    <row r="48" spans="1:70" s="571" customFormat="1" ht="61.5" hidden="1" customHeight="1" outlineLevel="1" thickBot="1">
      <c r="A48" s="578"/>
      <c r="B48" s="1642"/>
      <c r="C48" s="590" t="s">
        <v>126</v>
      </c>
      <c r="D48" s="591" t="str">
        <f>IF($A48="","",VLOOKUP($A48,기본데이타!$A$8:$BV$103,COLUMN(기본데이타!F$8),0))</f>
        <v/>
      </c>
      <c r="E48" s="592" t="str">
        <f>IF($A48="","",VLOOKUP($A48,기본데이타!$A$8:$BV$103,COLUMN(기본데이타!G$8),0))</f>
        <v/>
      </c>
      <c r="F48" s="593" t="str">
        <f>IF($A48="","",VLOOKUP($A48,기본데이타!$A$8:$BV$103,COLUMN(기본데이타!H$8),0))</f>
        <v/>
      </c>
      <c r="G48" s="594" t="str">
        <f>IF($A48="","",VLOOKUP($A48,기본데이타!$A$8:$BV$103,COLUMN(기본데이타!I$8),0))</f>
        <v/>
      </c>
      <c r="H48" s="594" t="str">
        <f>IF($A48="","",VLOOKUP($A48,기본데이타!$A$8:$BV$103,COLUMN(기본데이타!J$8),0))</f>
        <v/>
      </c>
      <c r="I48" s="595" t="str">
        <f>IF($A48="","",VLOOKUP($A48,기본데이타!$A$8:$BV$103,COLUMN(기본데이타!K$8),0))</f>
        <v/>
      </c>
      <c r="J48" s="595" t="str">
        <f>IF($A48="","",VLOOKUP($A48,기본데이타!$A$8:$BV$103,COLUMN(기본데이타!L$8),0))</f>
        <v/>
      </c>
      <c r="K48" s="595" t="str">
        <f>IF($A48="","",VLOOKUP($A48,기본데이타!$A$8:$BV$103,COLUMN(기본데이타!M$8),0))</f>
        <v/>
      </c>
      <c r="L48" s="596" t="str">
        <f>IF($A48="","",VLOOKUP($A48,기본데이타!$A$8:$BV$103,COLUMN(기본데이타!N$8),0))</f>
        <v/>
      </c>
      <c r="M48" s="595" t="str">
        <f>IF($A48="","",VLOOKUP($A48,기본데이타!$A$8:$BV$103,COLUMN(기본데이타!O$8),0))</f>
        <v/>
      </c>
      <c r="N48" s="596" t="str">
        <f>IF($A48="","",VLOOKUP($A48,기본데이타!$A$8:$BV$103,COLUMN(기본데이타!P$8),0))</f>
        <v/>
      </c>
      <c r="O48" s="596" t="str">
        <f>IF($A48="","",VLOOKUP($A48,기본데이타!$A$8:$BV$103,COLUMN(기본데이타!Q$8),0))</f>
        <v/>
      </c>
      <c r="P48" s="596" t="str">
        <f>IF($A48="","",VLOOKUP($A48,기본데이타!$A$8:$BV$103,COLUMN(기본데이타!R$8),0))</f>
        <v/>
      </c>
      <c r="Q48" s="596" t="str">
        <f>IF($A48="","",VLOOKUP($A48,기본데이타!$A$8:$BV$103,COLUMN(기본데이타!S$8),0))</f>
        <v/>
      </c>
      <c r="R48" s="596" t="str">
        <f>IF($A48="","",VLOOKUP($A48,기본데이타!$A$8:$BV$103,COLUMN(기본데이타!T$8),0))</f>
        <v/>
      </c>
      <c r="S48" s="596" t="str">
        <f>IF($A48="","",VLOOKUP($A48,기본데이타!$A$8:$BV$103,COLUMN(기본데이타!U$8),0))</f>
        <v/>
      </c>
      <c r="T48" s="596" t="str">
        <f>IF($A48="","",VLOOKUP($A48,기본데이타!$A$8:$BV$103,COLUMN(기본데이타!V$8),0))</f>
        <v/>
      </c>
      <c r="U48" s="596" t="str">
        <f>IF($A48="","",VLOOKUP($A48,기본데이타!$A$8:$BV$103,COLUMN(기본데이타!W$8),0))</f>
        <v/>
      </c>
      <c r="V48" s="596" t="str">
        <f>IF($A48="","",VLOOKUP($A48,기본데이타!$A$8:$BV$103,COLUMN(기본데이타!X$8),0))</f>
        <v/>
      </c>
      <c r="W48" s="596" t="str">
        <f>IF($A48="","",VLOOKUP($A48,기본데이타!$A$8:$BV$103,COLUMN(기본데이타!AA$8),0))</f>
        <v/>
      </c>
      <c r="X48" s="596" t="str">
        <f>IF($A48="","",VLOOKUP($A48,기본데이타!$A$8:$BV$103,COLUMN(기본데이타!AB$8),0))</f>
        <v/>
      </c>
      <c r="Y48" s="595" t="str">
        <f>IF($A48="","",VLOOKUP($A48,기본데이타!$A$8:$BV$103,COLUMN(기본데이타!AC$8),0))</f>
        <v/>
      </c>
      <c r="Z48" s="596" t="str">
        <f>IF($A48="","",VLOOKUP($A48,기본데이타!$A$8:$BV$103,COLUMN(기본데이타!AD$8),0))</f>
        <v/>
      </c>
      <c r="AA48" s="595" t="str">
        <f>IF($A48="","",VLOOKUP($A48,기본데이타!$A$8:$BV$103,COLUMN(기본데이타!AE$8),0))</f>
        <v/>
      </c>
      <c r="AB48" s="596" t="str">
        <f>IF($A48="","",VLOOKUP($A48,기본데이타!$A$8:$BV$103,COLUMN(기본데이타!AF$8),0))</f>
        <v/>
      </c>
      <c r="AC48" s="595" t="str">
        <f>IF($A48="","",VLOOKUP($A48,기본데이타!$A$8:$BV$103,COLUMN(기본데이타!AG$8),0))</f>
        <v/>
      </c>
      <c r="AD48" s="596" t="str">
        <f>IF($A48="","",VLOOKUP($A48,기본데이타!$A$8:$BV$103,COLUMN(기본데이타!AH$8),0))</f>
        <v/>
      </c>
      <c r="AE48" s="595" t="str">
        <f>IF($A48="","",VLOOKUP($A48,기본데이타!$A$8:$BV$103,COLUMN(기본데이타!AI$8),0))</f>
        <v/>
      </c>
      <c r="AF48" s="597" t="str">
        <f>IF($A48="","",VLOOKUP($A48,기본데이타!$A$8:$BV$103,COLUMN(기본데이타!AJ$8),0))</f>
        <v/>
      </c>
      <c r="AG48" s="597" t="str">
        <f>IF($A48="","",VLOOKUP($A48,기본데이타!$A$8:$BV$103,COLUMN(기본데이타!AK$8),0))</f>
        <v/>
      </c>
      <c r="AH48" s="597" t="str">
        <f>IF($A48="","",VLOOKUP($A48,기본데이타!$A$8:$BV$103,COLUMN(기본데이타!AL$8),0))</f>
        <v/>
      </c>
      <c r="AI48" s="597" t="str">
        <f>IF($A48="","",VLOOKUP($A48,기본데이타!$A$8:$BV$103,COLUMN(기본데이타!AM$8),0))</f>
        <v/>
      </c>
      <c r="AJ48" s="642" t="str">
        <f>IF($A48="","",VLOOKUP($A48,기본데이타!$A$8:$BV$103,COLUMN(기본데이타!AN$8),0))</f>
        <v/>
      </c>
      <c r="AK48" s="642" t="str">
        <f>IF($A48="","",VLOOKUP($A48,기본데이타!$A$8:$BV$103,COLUMN(기본데이타!AO$8),0))</f>
        <v/>
      </c>
      <c r="AL48" s="642" t="str">
        <f>IF($A48="","",VLOOKUP($A48,기본데이타!$A$8:$BV$103,COLUMN(기본데이타!AP$8),0))</f>
        <v/>
      </c>
      <c r="AM48" s="642" t="str">
        <f>IF($A48="","",VLOOKUP($A48,기본데이타!$A$8:$BV$103,COLUMN(기본데이타!AQ$8),0))</f>
        <v/>
      </c>
      <c r="AN48" s="642" t="str">
        <f>IF($A48="","",VLOOKUP($A48,기본데이타!$A$8:$BV$103,COLUMN(기본데이타!AR$8),0))</f>
        <v/>
      </c>
      <c r="AO48" s="642" t="str">
        <f>IF($A48="","",VLOOKUP($A48,기본데이타!$A$8:$BV$103,COLUMN(기본데이타!AS$8),0))</f>
        <v/>
      </c>
      <c r="AP48" s="642" t="str">
        <f>IF($A48="","",VLOOKUP($A48,기본데이타!$A$8:$BV$103,COLUMN(기본데이타!AT$8),0))</f>
        <v/>
      </c>
      <c r="AQ48" s="642" t="str">
        <f>IF($A48="","",VLOOKUP($A48,기본데이타!$A$8:$BV$103,COLUMN(기본데이타!AU$8),0))</f>
        <v/>
      </c>
      <c r="AR48" s="643" t="str">
        <f>IF($A48="","",VLOOKUP($A48,기본데이타!$A$8:$BV$103,COLUMN(기본데이타!AV$8),0))</f>
        <v/>
      </c>
      <c r="AS48" s="596" t="str">
        <f>IF($A48="","",VLOOKUP($A48,기본데이타!$A$8:$BV$103,COLUMN(기본데이타!AW$8),0))</f>
        <v/>
      </c>
      <c r="AT48" s="596" t="str">
        <f>IF($A48="","",VLOOKUP($A48,기본데이타!$A$8:$BV$103,COLUMN(기본데이타!AX$8),0))</f>
        <v/>
      </c>
      <c r="AU48" s="596" t="str">
        <f>IF($A48="","",VLOOKUP($A48,기본데이타!$A$8:$BV$103,COLUMN(기본데이타!AY$8),0))</f>
        <v/>
      </c>
      <c r="AV48" s="596" t="str">
        <f t="shared" si="2"/>
        <v/>
      </c>
      <c r="AW48" s="597" t="str">
        <f>IF($A48="","",VLOOKUP($A48,기본데이타!$A$8:$BV$103,COLUMN(기본데이타!BA$8),0))</f>
        <v/>
      </c>
      <c r="AX48" s="597" t="str">
        <f>IF($A48="","",VLOOKUP($A48,기본데이타!$A$8:$BV$103,COLUMN(기본데이타!BB$8),0))</f>
        <v/>
      </c>
      <c r="AY48" s="597" t="str">
        <f>IF($A48="","",VLOOKUP($A48,기본데이타!$A$8:$BV$103,COLUMN(기본데이타!BC$8),0))</f>
        <v/>
      </c>
      <c r="AZ48" s="597" t="str">
        <f>IF($A48="","",VLOOKUP($A48,기본데이타!$A$8:$BV$103,COLUMN(기본데이타!BD$8),0))</f>
        <v/>
      </c>
      <c r="BA48" s="597" t="str">
        <f>IF($A48="","",VLOOKUP($A48,기본데이타!$A$8:$BV$103,COLUMN(기본데이타!BE$8),0))</f>
        <v/>
      </c>
      <c r="BB48" s="597" t="str">
        <f>IF($A48="","",VLOOKUP($A48,기본데이타!$A$8:$BV$103,COLUMN(기본데이타!BF$8),0))</f>
        <v/>
      </c>
      <c r="BC48" s="597" t="str">
        <f>IF($A48="","",VLOOKUP($A48,기본데이타!$A$8:$BV$103,COLUMN(기본데이타!BG$8),0))</f>
        <v/>
      </c>
      <c r="BD48" s="597" t="str">
        <f>IF($A48="","",VLOOKUP($A48,기본데이타!$A$8:$BV$103,COLUMN(기본데이타!BH$8),0))</f>
        <v/>
      </c>
      <c r="BE48" s="597" t="str">
        <f>IF($A48="","",VLOOKUP($A48,기본데이타!$A$8:$BV$103,COLUMN(기본데이타!BI$8),0))</f>
        <v/>
      </c>
      <c r="BF48" s="597" t="str">
        <f>IF($A48="","",VLOOKUP($A48,기본데이타!$A$8:$BV$103,COLUMN(기본데이타!BJ$8),0))</f>
        <v/>
      </c>
      <c r="BG48" s="597" t="str">
        <f>IF($A48="","",VLOOKUP($A48,기본데이타!$A$8:$BV$103,COLUMN(기본데이타!BK$8),0))</f>
        <v/>
      </c>
      <c r="BH48" s="597" t="str">
        <f>IF($A48="","",VLOOKUP($A48,기본데이타!$A$8:$BV$103,COLUMN(기본데이타!BL$8),0))</f>
        <v/>
      </c>
      <c r="BI48" s="597" t="str">
        <f>IF($A48="","",VLOOKUP($A48,기본데이타!$A$8:$BV$103,COLUMN(기본데이타!BM$8),0))</f>
        <v/>
      </c>
      <c r="BJ48" s="597" t="str">
        <f>IF($A48="","",VLOOKUP($A48,기본데이타!$A$8:$BV$103,COLUMN(기본데이타!BN$8),0))</f>
        <v/>
      </c>
      <c r="BK48" s="597" t="str">
        <f>IF($A48="","",VLOOKUP($A48,기본데이타!$A$8:$BV$103,COLUMN(기본데이타!BO$8),0))</f>
        <v/>
      </c>
      <c r="BL48" s="597" t="str">
        <f>IF($A48="","",VLOOKUP($A48,기본데이타!$A$8:$BV$103,COLUMN(기본데이타!BP$8),0))</f>
        <v/>
      </c>
      <c r="BM48" s="597" t="str">
        <f>IF($A48="","",VLOOKUP($A48,기본데이타!$A$8:$BV$103,COLUMN(기본데이타!BQ$8),0))</f>
        <v/>
      </c>
      <c r="BN48" s="599" t="str">
        <f>IF($A48="","",VLOOKUP($A48,기본데이타!$A$8:$BV$103,COLUMN(기본데이타!BR$8),0))</f>
        <v/>
      </c>
      <c r="BO48" s="600" t="str">
        <f>IF($A48="","",VLOOKUP($A48,기본데이타!$A$8:$BV$103,COLUMN(기본데이타!BS$8),0))</f>
        <v/>
      </c>
      <c r="BP48" s="623" t="str">
        <f>IF($A48="","",VLOOKUP($A48,기본데이타!$A$8:$BV$103,COLUMN(기본데이타!BT$8),0))</f>
        <v/>
      </c>
      <c r="BQ48" s="602" t="str">
        <f>IF($A48="","",VLOOKUP($A48,기본데이타!$A$8:$BV$103,COLUMN(기본데이타!BU$8),0))</f>
        <v/>
      </c>
      <c r="BR48" s="603" t="str">
        <f t="shared" si="3"/>
        <v/>
      </c>
    </row>
    <row r="49" spans="1:73" s="571" customFormat="1" ht="61.5" hidden="1" customHeight="1" outlineLevel="1" thickBot="1">
      <c r="A49" s="578"/>
      <c r="B49" s="1642"/>
      <c r="C49" s="657"/>
      <c r="D49" s="1041" t="str">
        <f>IF($A49="","",VLOOKUP($A49,기본데이타!$A$8:$BV$103,COLUMN(기본데이타!F$8),0))</f>
        <v/>
      </c>
      <c r="E49" s="1042" t="str">
        <f>IF($A49="","",VLOOKUP($A49,기본데이타!$A$8:$BV$103,COLUMN(기본데이타!G$8),0))</f>
        <v/>
      </c>
      <c r="F49" s="1043" t="str">
        <f>IF($A49="","",VLOOKUP($A49,기본데이타!$A$8:$BV$103,COLUMN(기본데이타!H$8),0))</f>
        <v/>
      </c>
      <c r="G49" s="1044" t="str">
        <f>IF($A49="","",VLOOKUP($A49,기본데이타!$A$8:$BV$103,COLUMN(기본데이타!I$8),0))</f>
        <v/>
      </c>
      <c r="H49" s="1044" t="str">
        <f>IF($A49="","",VLOOKUP($A49,기본데이타!$A$8:$BV$103,COLUMN(기본데이타!J$8),0))</f>
        <v/>
      </c>
      <c r="I49" s="1045" t="str">
        <f>IF($A49="","",VLOOKUP($A49,기본데이타!$A$8:$BV$103,COLUMN(기본데이타!K$8),0))</f>
        <v/>
      </c>
      <c r="J49" s="1045" t="str">
        <f>IF($A49="","",VLOOKUP($A49,기본데이타!$A$8:$BV$103,COLUMN(기본데이타!L$8),0))</f>
        <v/>
      </c>
      <c r="K49" s="1045" t="str">
        <f>IF($A49="","",VLOOKUP($A49,기본데이타!$A$8:$BV$103,COLUMN(기본데이타!M$8),0))</f>
        <v/>
      </c>
      <c r="L49" s="1046" t="str">
        <f>IF($A49="","",VLOOKUP($A49,기본데이타!$A$8:$BV$103,COLUMN(기본데이타!N$8),0))</f>
        <v/>
      </c>
      <c r="M49" s="1045" t="str">
        <f>IF($A49="","",VLOOKUP($A49,기본데이타!$A$8:$BV$103,COLUMN(기본데이타!O$8),0))</f>
        <v/>
      </c>
      <c r="N49" s="1046" t="str">
        <f>IF($A49="","",VLOOKUP($A49,기본데이타!$A$8:$BV$103,COLUMN(기본데이타!P$8),0))</f>
        <v/>
      </c>
      <c r="O49" s="1046" t="str">
        <f>IF($A49="","",VLOOKUP($A49,기본데이타!$A$8:$BV$103,COLUMN(기본데이타!Q$8),0))</f>
        <v/>
      </c>
      <c r="P49" s="1046" t="str">
        <f>IF($A49="","",VLOOKUP($A49,기본데이타!$A$8:$BV$103,COLUMN(기본데이타!R$8),0))</f>
        <v/>
      </c>
      <c r="Q49" s="1046" t="str">
        <f>IF($A49="","",VLOOKUP($A49,기본데이타!$A$8:$BV$103,COLUMN(기본데이타!S$8),0))</f>
        <v/>
      </c>
      <c r="R49" s="1046" t="str">
        <f>IF($A49="","",VLOOKUP($A49,기본데이타!$A$8:$BV$103,COLUMN(기본데이타!T$8),0))</f>
        <v/>
      </c>
      <c r="S49" s="1046" t="str">
        <f>IF($A49="","",VLOOKUP($A49,기본데이타!$A$8:$BV$103,COLUMN(기본데이타!U$8),0))</f>
        <v/>
      </c>
      <c r="T49" s="1046" t="str">
        <f>IF($A49="","",VLOOKUP($A49,기본데이타!$A$8:$BV$103,COLUMN(기본데이타!V$8),0))</f>
        <v/>
      </c>
      <c r="U49" s="1046" t="str">
        <f>IF($A49="","",VLOOKUP($A49,기본데이타!$A$8:$BV$103,COLUMN(기본데이타!W$8),0))</f>
        <v/>
      </c>
      <c r="V49" s="1046" t="str">
        <f>IF($A49="","",VLOOKUP($A49,기본데이타!$A$8:$BV$103,COLUMN(기본데이타!X$8),0))</f>
        <v/>
      </c>
      <c r="W49" s="1046" t="str">
        <f>IF($A49="","",VLOOKUP($A49,기본데이타!$A$8:$BV$103,COLUMN(기본데이타!AA$8),0))</f>
        <v/>
      </c>
      <c r="X49" s="1046" t="str">
        <f>IF($A49="","",VLOOKUP($A49,기본데이타!$A$8:$BV$103,COLUMN(기본데이타!AB$8),0))</f>
        <v/>
      </c>
      <c r="Y49" s="1045" t="str">
        <f>IF($A49="","",VLOOKUP($A49,기본데이타!$A$8:$BV$103,COLUMN(기본데이타!AC$8),0))</f>
        <v/>
      </c>
      <c r="Z49" s="1046" t="str">
        <f>IF($A49="","",VLOOKUP($A49,기본데이타!$A$8:$BV$103,COLUMN(기본데이타!AD$8),0))</f>
        <v/>
      </c>
      <c r="AA49" s="1045" t="str">
        <f>IF($A49="","",VLOOKUP($A49,기본데이타!$A$8:$BV$103,COLUMN(기본데이타!AE$8),0))</f>
        <v/>
      </c>
      <c r="AB49" s="1046" t="str">
        <f>IF($A49="","",VLOOKUP($A49,기본데이타!$A$8:$BV$103,COLUMN(기본데이타!AF$8),0))</f>
        <v/>
      </c>
      <c r="AC49" s="1045" t="str">
        <f>IF($A49="","",VLOOKUP($A49,기본데이타!$A$8:$BV$103,COLUMN(기본데이타!AG$8),0))</f>
        <v/>
      </c>
      <c r="AD49" s="1046" t="str">
        <f>IF($A49="","",VLOOKUP($A49,기본데이타!$A$8:$BV$103,COLUMN(기본데이타!AH$8),0))</f>
        <v/>
      </c>
      <c r="AE49" s="1045" t="str">
        <f>IF($A49="","",VLOOKUP($A49,기본데이타!$A$8:$BV$103,COLUMN(기본데이타!AI$8),0))</f>
        <v/>
      </c>
      <c r="AF49" s="1047" t="str">
        <f>IF($A49="","",VLOOKUP($A49,기본데이타!$A$8:$BV$103,COLUMN(기본데이타!AJ$8),0))</f>
        <v/>
      </c>
      <c r="AG49" s="1047" t="str">
        <f>IF($A49="","",VLOOKUP($A49,기본데이타!$A$8:$BV$103,COLUMN(기본데이타!AK$8),0))</f>
        <v/>
      </c>
      <c r="AH49" s="1047" t="str">
        <f>IF($A49="","",VLOOKUP($A49,기본데이타!$A$8:$BV$103,COLUMN(기본데이타!AL$8),0))</f>
        <v/>
      </c>
      <c r="AI49" s="1047" t="str">
        <f>IF($A49="","",VLOOKUP($A49,기본데이타!$A$8:$BV$103,COLUMN(기본데이타!AM$8),0))</f>
        <v/>
      </c>
      <c r="AJ49" s="1048" t="str">
        <f>IF($A49="","",VLOOKUP($A49,기본데이타!$A$8:$BV$103,COLUMN(기본데이타!AN$8),0))</f>
        <v/>
      </c>
      <c r="AK49" s="1048" t="str">
        <f>IF($A49="","",VLOOKUP($A49,기본데이타!$A$8:$BV$103,COLUMN(기본데이타!AO$8),0))</f>
        <v/>
      </c>
      <c r="AL49" s="1048" t="str">
        <f>IF($A49="","",VLOOKUP($A49,기본데이타!$A$8:$BV$103,COLUMN(기본데이타!AP$8),0))</f>
        <v/>
      </c>
      <c r="AM49" s="1048" t="str">
        <f>IF($A49="","",VLOOKUP($A49,기본데이타!$A$8:$BV$103,COLUMN(기본데이타!AQ$8),0))</f>
        <v/>
      </c>
      <c r="AN49" s="1048" t="str">
        <f>IF($A49="","",VLOOKUP($A49,기본데이타!$A$8:$BV$103,COLUMN(기본데이타!AR$8),0))</f>
        <v/>
      </c>
      <c r="AO49" s="1048" t="str">
        <f>IF($A49="","",VLOOKUP($A49,기본데이타!$A$8:$BV$103,COLUMN(기본데이타!AS$8),0))</f>
        <v/>
      </c>
      <c r="AP49" s="1048" t="str">
        <f>IF($A49="","",VLOOKUP($A49,기본데이타!$A$8:$BV$103,COLUMN(기본데이타!AT$8),0))</f>
        <v/>
      </c>
      <c r="AQ49" s="1048" t="str">
        <f>IF($A49="","",VLOOKUP($A49,기본데이타!$A$8:$BV$103,COLUMN(기본데이타!AU$8),0))</f>
        <v/>
      </c>
      <c r="AR49" s="1049" t="str">
        <f>IF($A49="","",VLOOKUP($A49,기본데이타!$A$8:$BV$103,COLUMN(기본데이타!AV$8),0))</f>
        <v/>
      </c>
      <c r="AS49" s="1046" t="str">
        <f>IF($A49="","",VLOOKUP($A49,기본데이타!$A$8:$BV$103,COLUMN(기본데이타!AW$8),0))</f>
        <v/>
      </c>
      <c r="AT49" s="1046" t="str">
        <f>IF($A49="","",VLOOKUP($A49,기본데이타!$A$8:$BV$103,COLUMN(기본데이타!AX$8),0))</f>
        <v/>
      </c>
      <c r="AU49" s="1046" t="str">
        <f>IF($A49="","",VLOOKUP($A49,기본데이타!$A$8:$BV$103,COLUMN(기본데이타!AY$8),0))</f>
        <v/>
      </c>
      <c r="AV49" s="1046" t="str">
        <f t="shared" si="2"/>
        <v/>
      </c>
      <c r="AW49" s="1047" t="str">
        <f>IF($A49="","",VLOOKUP($A49,기본데이타!$A$8:$BV$103,COLUMN(기본데이타!BA$8),0))</f>
        <v/>
      </c>
      <c r="AX49" s="1047" t="str">
        <f>IF($A49="","",VLOOKUP($A49,기본데이타!$A$8:$BV$103,COLUMN(기본데이타!BB$8),0))</f>
        <v/>
      </c>
      <c r="AY49" s="1047" t="str">
        <f>IF($A49="","",VLOOKUP($A49,기본데이타!$A$8:$BV$103,COLUMN(기본데이타!BC$8),0))</f>
        <v/>
      </c>
      <c r="AZ49" s="1047" t="str">
        <f>IF($A49="","",VLOOKUP($A49,기본데이타!$A$8:$BV$103,COLUMN(기본데이타!BD$8),0))</f>
        <v/>
      </c>
      <c r="BA49" s="1047" t="str">
        <f>IF($A49="","",VLOOKUP($A49,기본데이타!$A$8:$BV$103,COLUMN(기본데이타!BE$8),0))</f>
        <v/>
      </c>
      <c r="BB49" s="1047" t="str">
        <f>IF($A49="","",VLOOKUP($A49,기본데이타!$A$8:$BV$103,COLUMN(기본데이타!BF$8),0))</f>
        <v/>
      </c>
      <c r="BC49" s="1047" t="str">
        <f>IF($A49="","",VLOOKUP($A49,기본데이타!$A$8:$BV$103,COLUMN(기본데이타!BG$8),0))</f>
        <v/>
      </c>
      <c r="BD49" s="1047" t="str">
        <f>IF($A49="","",VLOOKUP($A49,기본데이타!$A$8:$BV$103,COLUMN(기본데이타!BH$8),0))</f>
        <v/>
      </c>
      <c r="BE49" s="1047" t="str">
        <f>IF($A49="","",VLOOKUP($A49,기본데이타!$A$8:$BV$103,COLUMN(기본데이타!BI$8),0))</f>
        <v/>
      </c>
      <c r="BF49" s="1047" t="str">
        <f>IF($A49="","",VLOOKUP($A49,기본데이타!$A$8:$BV$103,COLUMN(기본데이타!BJ$8),0))</f>
        <v/>
      </c>
      <c r="BG49" s="1047" t="str">
        <f>IF($A49="","",VLOOKUP($A49,기본데이타!$A$8:$BV$103,COLUMN(기본데이타!BK$8),0))</f>
        <v/>
      </c>
      <c r="BH49" s="1047" t="str">
        <f>IF($A49="","",VLOOKUP($A49,기본데이타!$A$8:$BV$103,COLUMN(기본데이타!BL$8),0))</f>
        <v/>
      </c>
      <c r="BI49" s="1047" t="str">
        <f>IF($A49="","",VLOOKUP($A49,기본데이타!$A$8:$BV$103,COLUMN(기본데이타!BM$8),0))</f>
        <v/>
      </c>
      <c r="BJ49" s="1047" t="str">
        <f>IF($A49="","",VLOOKUP($A49,기본데이타!$A$8:$BV$103,COLUMN(기본데이타!BN$8),0))</f>
        <v/>
      </c>
      <c r="BK49" s="1047" t="str">
        <f>IF($A49="","",VLOOKUP($A49,기본데이타!$A$8:$BV$103,COLUMN(기본데이타!BO$8),0))</f>
        <v/>
      </c>
      <c r="BL49" s="1047" t="str">
        <f>IF($A49="","",VLOOKUP($A49,기본데이타!$A$8:$BV$103,COLUMN(기본데이타!BP$8),0))</f>
        <v/>
      </c>
      <c r="BM49" s="1047" t="str">
        <f>IF($A49="","",VLOOKUP($A49,기본데이타!$A$8:$BV$103,COLUMN(기본데이타!BQ$8),0))</f>
        <v/>
      </c>
      <c r="BN49" s="1050" t="str">
        <f>IF($A49="","",VLOOKUP($A49,기본데이타!$A$8:$BV$103,COLUMN(기본데이타!BR$8),0))</f>
        <v/>
      </c>
      <c r="BO49" s="1051" t="str">
        <f>IF($A49="","",VLOOKUP($A49,기본데이타!$A$8:$BV$103,COLUMN(기본데이타!BS$8),0))</f>
        <v/>
      </c>
      <c r="BP49" s="1052" t="str">
        <f>IF($A49="","",VLOOKUP($A49,기본데이타!$A$8:$BV$103,COLUMN(기본데이타!BT$8),0))</f>
        <v/>
      </c>
      <c r="BQ49" s="1343" t="str">
        <f>IF($A49="","",VLOOKUP($A49,기본데이타!$A$8:$BV$103,COLUMN(기본데이타!BU$8),0))</f>
        <v/>
      </c>
      <c r="BR49" s="1053" t="str">
        <f t="shared" si="3"/>
        <v/>
      </c>
      <c r="BU49" s="641"/>
    </row>
    <row r="50" spans="1:73" s="571" customFormat="1" ht="61.5" hidden="1" customHeight="1" outlineLevel="1">
      <c r="A50" s="578"/>
      <c r="B50" s="1642"/>
      <c r="C50" s="590"/>
      <c r="D50" s="591" t="str">
        <f>IF($A50="","",VLOOKUP($A50,기본데이타!$A$8:$BV$103,COLUMN(기본데이타!F$8),0))</f>
        <v/>
      </c>
      <c r="E50" s="592" t="str">
        <f>IF($A50="","",VLOOKUP($A50,기본데이타!$A$8:$BV$103,COLUMN(기본데이타!G$8),0))</f>
        <v/>
      </c>
      <c r="F50" s="593" t="str">
        <f>IF($A50="","",VLOOKUP($A50,기본데이타!$A$8:$BV$103,COLUMN(기본데이타!H$8),0))</f>
        <v/>
      </c>
      <c r="G50" s="594" t="str">
        <f>IF($A50="","",VLOOKUP($A50,기본데이타!$A$8:$BV$103,COLUMN(기본데이타!I$8),0))</f>
        <v/>
      </c>
      <c r="H50" s="594" t="str">
        <f>IF($A50="","",VLOOKUP($A50,기본데이타!$A$8:$BV$103,COLUMN(기본데이타!J$8),0))</f>
        <v/>
      </c>
      <c r="I50" s="595" t="str">
        <f>IF($A50="","",VLOOKUP($A50,기본데이타!$A$8:$BV$103,COLUMN(기본데이타!K$8),0))</f>
        <v/>
      </c>
      <c r="J50" s="595" t="str">
        <f>IF($A50="","",VLOOKUP($A50,기본데이타!$A$8:$BV$103,COLUMN(기본데이타!L$8),0))</f>
        <v/>
      </c>
      <c r="K50" s="595" t="str">
        <f>IF($A50="","",VLOOKUP($A50,기본데이타!$A$8:$BV$103,COLUMN(기본데이타!M$8),0))</f>
        <v/>
      </c>
      <c r="L50" s="596" t="str">
        <f>IF($A50="","",VLOOKUP($A50,기본데이타!$A$8:$BV$103,COLUMN(기본데이타!N$8),0))</f>
        <v/>
      </c>
      <c r="M50" s="595" t="str">
        <f>IF($A50="","",VLOOKUP($A50,기본데이타!$A$8:$BV$103,COLUMN(기본데이타!O$8),0))</f>
        <v/>
      </c>
      <c r="N50" s="596" t="str">
        <f>IF($A50="","",VLOOKUP($A50,기본데이타!$A$8:$BV$103,COLUMN(기본데이타!P$8),0))</f>
        <v/>
      </c>
      <c r="O50" s="596" t="str">
        <f>IF($A50="","",VLOOKUP($A50,기본데이타!$A$8:$BV$103,COLUMN(기본데이타!Q$8),0))</f>
        <v/>
      </c>
      <c r="P50" s="596" t="str">
        <f>IF($A50="","",VLOOKUP($A50,기본데이타!$A$8:$BV$103,COLUMN(기본데이타!R$8),0))</f>
        <v/>
      </c>
      <c r="Q50" s="596" t="str">
        <f>IF($A50="","",VLOOKUP($A50,기본데이타!$A$8:$BV$103,COLUMN(기본데이타!S$8),0))</f>
        <v/>
      </c>
      <c r="R50" s="596" t="str">
        <f>IF($A50="","",VLOOKUP($A50,기본데이타!$A$8:$BV$103,COLUMN(기본데이타!T$8),0))</f>
        <v/>
      </c>
      <c r="S50" s="596" t="str">
        <f>IF($A50="","",VLOOKUP($A50,기본데이타!$A$8:$BV$103,COLUMN(기본데이타!U$8),0))</f>
        <v/>
      </c>
      <c r="T50" s="596" t="str">
        <f>IF($A50="","",VLOOKUP($A50,기본데이타!$A$8:$BV$103,COLUMN(기본데이타!V$8),0))</f>
        <v/>
      </c>
      <c r="U50" s="596" t="str">
        <f>IF($A50="","",VLOOKUP($A50,기본데이타!$A$8:$BV$103,COLUMN(기본데이타!W$8),0))</f>
        <v/>
      </c>
      <c r="V50" s="596" t="str">
        <f>IF($A50="","",VLOOKUP($A50,기본데이타!$A$8:$BV$103,COLUMN(기본데이타!X$8),0))</f>
        <v/>
      </c>
      <c r="W50" s="596" t="str">
        <f>IF($A50="","",VLOOKUP($A50,기본데이타!$A$8:$BV$103,COLUMN(기본데이타!AA$8),0))</f>
        <v/>
      </c>
      <c r="X50" s="596" t="str">
        <f>IF($A50="","",VLOOKUP($A50,기본데이타!$A$8:$BV$103,COLUMN(기본데이타!AB$8),0))</f>
        <v/>
      </c>
      <c r="Y50" s="595" t="str">
        <f>IF($A50="","",VLOOKUP($A50,기본데이타!$A$8:$BV$103,COLUMN(기본데이타!AC$8),0))</f>
        <v/>
      </c>
      <c r="Z50" s="596" t="str">
        <f>IF($A50="","",VLOOKUP($A50,기본데이타!$A$8:$BV$103,COLUMN(기본데이타!AD$8),0))</f>
        <v/>
      </c>
      <c r="AA50" s="595" t="str">
        <f>IF($A50="","",VLOOKUP($A50,기본데이타!$A$8:$BV$103,COLUMN(기본데이타!AE$8),0))</f>
        <v/>
      </c>
      <c r="AB50" s="596" t="str">
        <f>IF($A50="","",VLOOKUP($A50,기본데이타!$A$8:$BV$103,COLUMN(기본데이타!AF$8),0))</f>
        <v/>
      </c>
      <c r="AC50" s="595" t="str">
        <f>IF($A50="","",VLOOKUP($A50,기본데이타!$A$8:$BV$103,COLUMN(기본데이타!AG$8),0))</f>
        <v/>
      </c>
      <c r="AD50" s="596" t="str">
        <f>IF($A50="","",VLOOKUP($A50,기본데이타!$A$8:$BV$103,COLUMN(기본데이타!AH$8),0))</f>
        <v/>
      </c>
      <c r="AE50" s="595" t="str">
        <f>IF($A50="","",VLOOKUP($A50,기본데이타!$A$8:$BV$103,COLUMN(기본데이타!AI$8),0))</f>
        <v/>
      </c>
      <c r="AF50" s="597" t="str">
        <f>IF($A50="","",VLOOKUP($A50,기본데이타!$A$8:$BV$103,COLUMN(기본데이타!AJ$8),0))</f>
        <v/>
      </c>
      <c r="AG50" s="597" t="str">
        <f>IF($A50="","",VLOOKUP($A50,기본데이타!$A$8:$BV$103,COLUMN(기본데이타!AK$8),0))</f>
        <v/>
      </c>
      <c r="AH50" s="597" t="str">
        <f>IF($A50="","",VLOOKUP($A50,기본데이타!$A$8:$BV$103,COLUMN(기본데이타!AL$8),0))</f>
        <v/>
      </c>
      <c r="AI50" s="597" t="str">
        <f>IF($A50="","",VLOOKUP($A50,기본데이타!$A$8:$BV$103,COLUMN(기본데이타!AM$8),0))</f>
        <v/>
      </c>
      <c r="AJ50" s="642" t="str">
        <f>IF($A50="","",VLOOKUP($A50,기본데이타!$A$8:$BV$103,COLUMN(기본데이타!AN$8),0))</f>
        <v/>
      </c>
      <c r="AK50" s="642" t="str">
        <f>IF($A50="","",VLOOKUP($A50,기본데이타!$A$8:$BV$103,COLUMN(기본데이타!AO$8),0))</f>
        <v/>
      </c>
      <c r="AL50" s="642" t="str">
        <f>IF($A50="","",VLOOKUP($A50,기본데이타!$A$8:$BV$103,COLUMN(기본데이타!AP$8),0))</f>
        <v/>
      </c>
      <c r="AM50" s="642" t="str">
        <f>IF($A50="","",VLOOKUP($A50,기본데이타!$A$8:$BV$103,COLUMN(기본데이타!AQ$8),0))</f>
        <v/>
      </c>
      <c r="AN50" s="642" t="str">
        <f>IF($A50="","",VLOOKUP($A50,기본데이타!$A$8:$BV$103,COLUMN(기본데이타!AR$8),0))</f>
        <v/>
      </c>
      <c r="AO50" s="642" t="str">
        <f>IF($A50="","",VLOOKUP($A50,기본데이타!$A$8:$BV$103,COLUMN(기본데이타!AS$8),0))</f>
        <v/>
      </c>
      <c r="AP50" s="642" t="str">
        <f>IF($A50="","",VLOOKUP($A50,기본데이타!$A$8:$BV$103,COLUMN(기본데이타!AT$8),0))</f>
        <v/>
      </c>
      <c r="AQ50" s="642" t="str">
        <f>IF($A50="","",VLOOKUP($A50,기본데이타!$A$8:$BV$103,COLUMN(기본데이타!AU$8),0))</f>
        <v/>
      </c>
      <c r="AR50" s="643" t="str">
        <f>IF($A50="","",VLOOKUP($A50,기본데이타!$A$8:$BV$103,COLUMN(기본데이타!AV$8),0))</f>
        <v/>
      </c>
      <c r="AS50" s="596" t="str">
        <f>IF($A50="","",VLOOKUP($A50,기본데이타!$A$8:$BV$103,COLUMN(기본데이타!AW$8),0))</f>
        <v/>
      </c>
      <c r="AT50" s="596" t="str">
        <f>IF($A50="","",VLOOKUP($A50,기본데이타!$A$8:$BV$103,COLUMN(기본데이타!AX$8),0))</f>
        <v/>
      </c>
      <c r="AU50" s="596" t="str">
        <f>IF($A50="","",VLOOKUP($A50,기본데이타!$A$8:$BV$103,COLUMN(기본데이타!AY$8),0))</f>
        <v/>
      </c>
      <c r="AV50" s="596" t="str">
        <f t="shared" si="2"/>
        <v/>
      </c>
      <c r="AW50" s="597" t="str">
        <f>IF($A50="","",VLOOKUP($A50,기본데이타!$A$8:$BV$103,COLUMN(기본데이타!BA$8),0))</f>
        <v/>
      </c>
      <c r="AX50" s="597" t="str">
        <f>IF($A50="","",VLOOKUP($A50,기본데이타!$A$8:$BV$103,COLUMN(기본데이타!BB$8),0))</f>
        <v/>
      </c>
      <c r="AY50" s="597" t="str">
        <f>IF($A50="","",VLOOKUP($A50,기본데이타!$A$8:$BV$103,COLUMN(기본데이타!BC$8),0))</f>
        <v/>
      </c>
      <c r="AZ50" s="597" t="str">
        <f>IF($A50="","",VLOOKUP($A50,기본데이타!$A$8:$BV$103,COLUMN(기본데이타!BD$8),0))</f>
        <v/>
      </c>
      <c r="BA50" s="597" t="str">
        <f>IF($A50="","",VLOOKUP($A50,기본데이타!$A$8:$BV$103,COLUMN(기본데이타!BE$8),0))</f>
        <v/>
      </c>
      <c r="BB50" s="597" t="str">
        <f>IF($A50="","",VLOOKUP($A50,기본데이타!$A$8:$BV$103,COLUMN(기본데이타!BF$8),0))</f>
        <v/>
      </c>
      <c r="BC50" s="597" t="str">
        <f>IF($A50="","",VLOOKUP($A50,기본데이타!$A$8:$BV$103,COLUMN(기본데이타!BG$8),0))</f>
        <v/>
      </c>
      <c r="BD50" s="597" t="str">
        <f>IF($A50="","",VLOOKUP($A50,기본데이타!$A$8:$BV$103,COLUMN(기본데이타!BH$8),0))</f>
        <v/>
      </c>
      <c r="BE50" s="597" t="str">
        <f>IF($A50="","",VLOOKUP($A50,기본데이타!$A$8:$BV$103,COLUMN(기본데이타!BI$8),0))</f>
        <v/>
      </c>
      <c r="BF50" s="597" t="str">
        <f>IF($A50="","",VLOOKUP($A50,기본데이타!$A$8:$BV$103,COLUMN(기본데이타!BJ$8),0))</f>
        <v/>
      </c>
      <c r="BG50" s="597" t="str">
        <f>IF($A50="","",VLOOKUP($A50,기본데이타!$A$8:$BV$103,COLUMN(기본데이타!BK$8),0))</f>
        <v/>
      </c>
      <c r="BH50" s="597" t="str">
        <f>IF($A50="","",VLOOKUP($A50,기본데이타!$A$8:$BV$103,COLUMN(기본데이타!BL$8),0))</f>
        <v/>
      </c>
      <c r="BI50" s="597" t="str">
        <f>IF($A50="","",VLOOKUP($A50,기본데이타!$A$8:$BV$103,COLUMN(기본데이타!BM$8),0))</f>
        <v/>
      </c>
      <c r="BJ50" s="597" t="str">
        <f>IF($A50="","",VLOOKUP($A50,기본데이타!$A$8:$BV$103,COLUMN(기본데이타!BN$8),0))</f>
        <v/>
      </c>
      <c r="BK50" s="597" t="str">
        <f>IF($A50="","",VLOOKUP($A50,기본데이타!$A$8:$BV$103,COLUMN(기본데이타!BO$8),0))</f>
        <v/>
      </c>
      <c r="BL50" s="597" t="str">
        <f>IF($A50="","",VLOOKUP($A50,기본데이타!$A$8:$BV$103,COLUMN(기본데이타!BP$8),0))</f>
        <v/>
      </c>
      <c r="BM50" s="597" t="str">
        <f>IF($A50="","",VLOOKUP($A50,기본데이타!$A$8:$BV$103,COLUMN(기본데이타!BQ$8),0))</f>
        <v/>
      </c>
      <c r="BN50" s="599" t="str">
        <f>IF($A50="","",VLOOKUP($A50,기본데이타!$A$8:$BV$103,COLUMN(기본데이타!BR$8),0))</f>
        <v/>
      </c>
      <c r="BO50" s="600" t="str">
        <f>IF($A50="","",VLOOKUP($A50,기본데이타!$A$8:$BV$103,COLUMN(기본데이타!BS$8),0))</f>
        <v/>
      </c>
      <c r="BP50" s="623" t="str">
        <f>IF($A50="","",VLOOKUP($A50,기본데이타!$A$8:$BV$103,COLUMN(기본데이타!BT$8),0))</f>
        <v/>
      </c>
      <c r="BQ50" s="602" t="str">
        <f>IF($A50="","",VLOOKUP($A50,기본데이타!$A$8:$BV$103,COLUMN(기본데이타!BU$8),0))</f>
        <v/>
      </c>
      <c r="BR50" s="603" t="str">
        <f t="shared" si="3"/>
        <v/>
      </c>
    </row>
    <row r="51" spans="1:73" s="571" customFormat="1" ht="61.5" hidden="1" customHeight="1" outlineLevel="1">
      <c r="A51" s="578"/>
      <c r="B51" s="1642"/>
      <c r="C51" s="590"/>
      <c r="D51" s="591" t="str">
        <f>IF($A51="","",VLOOKUP($A51,기본데이타!$A$8:$BV$103,COLUMN(기본데이타!F$8),0))</f>
        <v/>
      </c>
      <c r="E51" s="592" t="str">
        <f>IF($A51="","",VLOOKUP($A51,기본데이타!$A$8:$BV$103,COLUMN(기본데이타!G$8),0))</f>
        <v/>
      </c>
      <c r="F51" s="593" t="str">
        <f>IF($A51="","",VLOOKUP($A51,기본데이타!$A$8:$BV$103,COLUMN(기본데이타!H$8),0))</f>
        <v/>
      </c>
      <c r="G51" s="594" t="str">
        <f>IF($A51="","",VLOOKUP($A51,기본데이타!$A$8:$BV$103,COLUMN(기본데이타!I$8),0))</f>
        <v/>
      </c>
      <c r="H51" s="594" t="str">
        <f>IF($A51="","",VLOOKUP($A51,기본데이타!$A$8:$BV$103,COLUMN(기본데이타!J$8),0))</f>
        <v/>
      </c>
      <c r="I51" s="595" t="str">
        <f>IF($A51="","",VLOOKUP($A51,기본데이타!$A$8:$BV$103,COLUMN(기본데이타!K$8),0))</f>
        <v/>
      </c>
      <c r="J51" s="595" t="str">
        <f>IF($A51="","",VLOOKUP($A51,기본데이타!$A$8:$BV$103,COLUMN(기본데이타!L$8),0))</f>
        <v/>
      </c>
      <c r="K51" s="595" t="str">
        <f>IF($A51="","",VLOOKUP($A51,기본데이타!$A$8:$BV$103,COLUMN(기본데이타!M$8),0))</f>
        <v/>
      </c>
      <c r="L51" s="596" t="str">
        <f>IF($A51="","",VLOOKUP($A51,기본데이타!$A$8:$BV$103,COLUMN(기본데이타!N$8),0))</f>
        <v/>
      </c>
      <c r="M51" s="595" t="str">
        <f>IF($A51="","",VLOOKUP($A51,기본데이타!$A$8:$BV$103,COLUMN(기본데이타!O$8),0))</f>
        <v/>
      </c>
      <c r="N51" s="596" t="str">
        <f>IF($A51="","",VLOOKUP($A51,기본데이타!$A$8:$BV$103,COLUMN(기본데이타!P$8),0))</f>
        <v/>
      </c>
      <c r="O51" s="596" t="str">
        <f>IF($A51="","",VLOOKUP($A51,기본데이타!$A$8:$BV$103,COLUMN(기본데이타!Q$8),0))</f>
        <v/>
      </c>
      <c r="P51" s="596" t="str">
        <f>IF($A51="","",VLOOKUP($A51,기본데이타!$A$8:$BV$103,COLUMN(기본데이타!R$8),0))</f>
        <v/>
      </c>
      <c r="Q51" s="596" t="str">
        <f>IF($A51="","",VLOOKUP($A51,기본데이타!$A$8:$BV$103,COLUMN(기본데이타!S$8),0))</f>
        <v/>
      </c>
      <c r="R51" s="596" t="str">
        <f>IF($A51="","",VLOOKUP($A51,기본데이타!$A$8:$BV$103,COLUMN(기본데이타!T$8),0))</f>
        <v/>
      </c>
      <c r="S51" s="596" t="str">
        <f>IF($A51="","",VLOOKUP($A51,기본데이타!$A$8:$BV$103,COLUMN(기본데이타!U$8),0))</f>
        <v/>
      </c>
      <c r="T51" s="596" t="str">
        <f>IF($A51="","",VLOOKUP($A51,기본데이타!$A$8:$BV$103,COLUMN(기본데이타!V$8),0))</f>
        <v/>
      </c>
      <c r="U51" s="596" t="str">
        <f>IF($A51="","",VLOOKUP($A51,기본데이타!$A$8:$BV$103,COLUMN(기본데이타!W$8),0))</f>
        <v/>
      </c>
      <c r="V51" s="596" t="str">
        <f>IF($A51="","",VLOOKUP($A51,기본데이타!$A$8:$BV$103,COLUMN(기본데이타!X$8),0))</f>
        <v/>
      </c>
      <c r="W51" s="596" t="str">
        <f>IF($A51="","",VLOOKUP($A51,기본데이타!$A$8:$BV$103,COLUMN(기본데이타!AA$8),0))</f>
        <v/>
      </c>
      <c r="X51" s="596" t="str">
        <f>IF($A51="","",VLOOKUP($A51,기본데이타!$A$8:$BV$103,COLUMN(기본데이타!AB$8),0))</f>
        <v/>
      </c>
      <c r="Y51" s="595" t="str">
        <f>IF($A51="","",VLOOKUP($A51,기본데이타!$A$8:$BV$103,COLUMN(기본데이타!AC$8),0))</f>
        <v/>
      </c>
      <c r="Z51" s="596" t="str">
        <f>IF($A51="","",VLOOKUP($A51,기본데이타!$A$8:$BV$103,COLUMN(기본데이타!AD$8),0))</f>
        <v/>
      </c>
      <c r="AA51" s="595" t="str">
        <f>IF($A51="","",VLOOKUP($A51,기본데이타!$A$8:$BV$103,COLUMN(기본데이타!AE$8),0))</f>
        <v/>
      </c>
      <c r="AB51" s="596" t="str">
        <f>IF($A51="","",VLOOKUP($A51,기본데이타!$A$8:$BV$103,COLUMN(기본데이타!AF$8),0))</f>
        <v/>
      </c>
      <c r="AC51" s="595" t="str">
        <f>IF($A51="","",VLOOKUP($A51,기본데이타!$A$8:$BV$103,COLUMN(기본데이타!AG$8),0))</f>
        <v/>
      </c>
      <c r="AD51" s="596" t="str">
        <f>IF($A51="","",VLOOKUP($A51,기본데이타!$A$8:$BV$103,COLUMN(기본데이타!AH$8),0))</f>
        <v/>
      </c>
      <c r="AE51" s="595" t="str">
        <f>IF($A51="","",VLOOKUP($A51,기본데이타!$A$8:$BV$103,COLUMN(기본데이타!AI$8),0))</f>
        <v/>
      </c>
      <c r="AF51" s="597" t="str">
        <f>IF($A51="","",VLOOKUP($A51,기본데이타!$A$8:$BV$103,COLUMN(기본데이타!AJ$8),0))</f>
        <v/>
      </c>
      <c r="AG51" s="597" t="str">
        <f>IF($A51="","",VLOOKUP($A51,기본데이타!$A$8:$BV$103,COLUMN(기본데이타!AK$8),0))</f>
        <v/>
      </c>
      <c r="AH51" s="597" t="str">
        <f>IF($A51="","",VLOOKUP($A51,기본데이타!$A$8:$BV$103,COLUMN(기본데이타!AL$8),0))</f>
        <v/>
      </c>
      <c r="AI51" s="597" t="str">
        <f>IF($A51="","",VLOOKUP($A51,기본데이타!$A$8:$BV$103,COLUMN(기본데이타!AM$8),0))</f>
        <v/>
      </c>
      <c r="AJ51" s="642" t="str">
        <f>IF($A51="","",VLOOKUP($A51,기본데이타!$A$8:$BV$103,COLUMN(기본데이타!AN$8),0))</f>
        <v/>
      </c>
      <c r="AK51" s="642" t="str">
        <f>IF($A51="","",VLOOKUP($A51,기본데이타!$A$8:$BV$103,COLUMN(기본데이타!AO$8),0))</f>
        <v/>
      </c>
      <c r="AL51" s="642" t="str">
        <f>IF($A51="","",VLOOKUP($A51,기본데이타!$A$8:$BV$103,COLUMN(기본데이타!AP$8),0))</f>
        <v/>
      </c>
      <c r="AM51" s="642" t="str">
        <f>IF($A51="","",VLOOKUP($A51,기본데이타!$A$8:$BV$103,COLUMN(기본데이타!AQ$8),0))</f>
        <v/>
      </c>
      <c r="AN51" s="642" t="str">
        <f>IF($A51="","",VLOOKUP($A51,기본데이타!$A$8:$BV$103,COLUMN(기본데이타!AR$8),0))</f>
        <v/>
      </c>
      <c r="AO51" s="642" t="str">
        <f>IF($A51="","",VLOOKUP($A51,기본데이타!$A$8:$BV$103,COLUMN(기본데이타!AS$8),0))</f>
        <v/>
      </c>
      <c r="AP51" s="642" t="str">
        <f>IF($A51="","",VLOOKUP($A51,기본데이타!$A$8:$BV$103,COLUMN(기본데이타!AT$8),0))</f>
        <v/>
      </c>
      <c r="AQ51" s="642" t="str">
        <f>IF($A51="","",VLOOKUP($A51,기본데이타!$A$8:$BV$103,COLUMN(기본데이타!AU$8),0))</f>
        <v/>
      </c>
      <c r="AR51" s="643" t="str">
        <f>IF($A51="","",VLOOKUP($A51,기본데이타!$A$8:$BV$103,COLUMN(기본데이타!AV$8),0))</f>
        <v/>
      </c>
      <c r="AS51" s="596" t="str">
        <f>IF($A51="","",VLOOKUP($A51,기본데이타!$A$8:$BV$103,COLUMN(기본데이타!AW$8),0))</f>
        <v/>
      </c>
      <c r="AT51" s="596" t="str">
        <f>IF($A51="","",VLOOKUP($A51,기본데이타!$A$8:$BV$103,COLUMN(기본데이타!AX$8),0))</f>
        <v/>
      </c>
      <c r="AU51" s="596" t="str">
        <f>IF($A51="","",VLOOKUP($A51,기본데이타!$A$8:$BV$103,COLUMN(기본데이타!AY$8),0))</f>
        <v/>
      </c>
      <c r="AV51" s="596" t="str">
        <f t="shared" si="2"/>
        <v/>
      </c>
      <c r="AW51" s="597" t="str">
        <f>IF($A51="","",VLOOKUP($A51,기본데이타!$A$8:$BV$103,COLUMN(기본데이타!BA$8),0))</f>
        <v/>
      </c>
      <c r="AX51" s="597" t="str">
        <f>IF($A51="","",VLOOKUP($A51,기본데이타!$A$8:$BV$103,COLUMN(기본데이타!BB$8),0))</f>
        <v/>
      </c>
      <c r="AY51" s="597" t="str">
        <f>IF($A51="","",VLOOKUP($A51,기본데이타!$A$8:$BV$103,COLUMN(기본데이타!BC$8),0))</f>
        <v/>
      </c>
      <c r="AZ51" s="597" t="str">
        <f>IF($A51="","",VLOOKUP($A51,기본데이타!$A$8:$BV$103,COLUMN(기본데이타!BD$8),0))</f>
        <v/>
      </c>
      <c r="BA51" s="597" t="str">
        <f>IF($A51="","",VLOOKUP($A51,기본데이타!$A$8:$BV$103,COLUMN(기본데이타!BE$8),0))</f>
        <v/>
      </c>
      <c r="BB51" s="597" t="str">
        <f>IF($A51="","",VLOOKUP($A51,기본데이타!$A$8:$BV$103,COLUMN(기본데이타!BF$8),0))</f>
        <v/>
      </c>
      <c r="BC51" s="597" t="str">
        <f>IF($A51="","",VLOOKUP($A51,기본데이타!$A$8:$BV$103,COLUMN(기본데이타!BG$8),0))</f>
        <v/>
      </c>
      <c r="BD51" s="597" t="str">
        <f>IF($A51="","",VLOOKUP($A51,기본데이타!$A$8:$BV$103,COLUMN(기본데이타!BH$8),0))</f>
        <v/>
      </c>
      <c r="BE51" s="597" t="str">
        <f>IF($A51="","",VLOOKUP($A51,기본데이타!$A$8:$BV$103,COLUMN(기본데이타!BI$8),0))</f>
        <v/>
      </c>
      <c r="BF51" s="597" t="str">
        <f>IF($A51="","",VLOOKUP($A51,기본데이타!$A$8:$BV$103,COLUMN(기본데이타!BJ$8),0))</f>
        <v/>
      </c>
      <c r="BG51" s="597" t="str">
        <f>IF($A51="","",VLOOKUP($A51,기본데이타!$A$8:$BV$103,COLUMN(기본데이타!BK$8),0))</f>
        <v/>
      </c>
      <c r="BH51" s="597" t="str">
        <f>IF($A51="","",VLOOKUP($A51,기본데이타!$A$8:$BV$103,COLUMN(기본데이타!BL$8),0))</f>
        <v/>
      </c>
      <c r="BI51" s="597" t="str">
        <f>IF($A51="","",VLOOKUP($A51,기본데이타!$A$8:$BV$103,COLUMN(기본데이타!BM$8),0))</f>
        <v/>
      </c>
      <c r="BJ51" s="597" t="str">
        <f>IF($A51="","",VLOOKUP($A51,기본데이타!$A$8:$BV$103,COLUMN(기본데이타!BN$8),0))</f>
        <v/>
      </c>
      <c r="BK51" s="597" t="str">
        <f>IF($A51="","",VLOOKUP($A51,기본데이타!$A$8:$BV$103,COLUMN(기본데이타!BO$8),0))</f>
        <v/>
      </c>
      <c r="BL51" s="597" t="str">
        <f>IF($A51="","",VLOOKUP($A51,기본데이타!$A$8:$BV$103,COLUMN(기본데이타!BP$8),0))</f>
        <v/>
      </c>
      <c r="BM51" s="597" t="str">
        <f>IF($A51="","",VLOOKUP($A51,기본데이타!$A$8:$BV$103,COLUMN(기본데이타!BQ$8),0))</f>
        <v/>
      </c>
      <c r="BN51" s="599" t="str">
        <f>IF($A51="","",VLOOKUP($A51,기본데이타!$A$8:$BV$103,COLUMN(기본데이타!BR$8),0))</f>
        <v/>
      </c>
      <c r="BO51" s="600" t="str">
        <f>IF($A51="","",VLOOKUP($A51,기본데이타!$A$8:$BV$103,COLUMN(기본데이타!BS$8),0))</f>
        <v/>
      </c>
      <c r="BP51" s="623" t="str">
        <f>IF($A51="","",VLOOKUP($A51,기본데이타!$A$8:$BV$103,COLUMN(기본데이타!BT$8),0))</f>
        <v/>
      </c>
      <c r="BQ51" s="602" t="str">
        <f>IF($A51="","",VLOOKUP($A51,기본데이타!$A$8:$BV$103,COLUMN(기본데이타!BU$8),0))</f>
        <v/>
      </c>
      <c r="BR51" s="603" t="str">
        <f t="shared" si="3"/>
        <v/>
      </c>
    </row>
    <row r="52" spans="1:73" s="571" customFormat="1" ht="61.5" hidden="1" customHeight="1" outlineLevel="1">
      <c r="A52" s="578"/>
      <c r="B52" s="1642"/>
      <c r="C52" s="590"/>
      <c r="D52" s="591" t="str">
        <f>IF($A52="","",VLOOKUP($A52,기본데이타!$A$8:$BV$103,COLUMN(기본데이타!F$8),0))</f>
        <v/>
      </c>
      <c r="E52" s="592" t="str">
        <f>IF($A52="","",VLOOKUP($A52,기본데이타!$A$8:$BV$103,COLUMN(기본데이타!G$8),0))</f>
        <v/>
      </c>
      <c r="F52" s="593" t="str">
        <f>IF($A52="","",VLOOKUP($A52,기본데이타!$A$8:$BV$103,COLUMN(기본데이타!H$8),0))</f>
        <v/>
      </c>
      <c r="G52" s="594" t="str">
        <f>IF($A52="","",VLOOKUP($A52,기본데이타!$A$8:$BV$103,COLUMN(기본데이타!I$8),0))</f>
        <v/>
      </c>
      <c r="H52" s="594" t="str">
        <f>IF($A52="","",VLOOKUP($A52,기본데이타!$A$8:$BV$103,COLUMN(기본데이타!J$8),0))</f>
        <v/>
      </c>
      <c r="I52" s="595" t="str">
        <f>IF($A52="","",VLOOKUP($A52,기본데이타!$A$8:$BV$103,COLUMN(기본데이타!K$8),0))</f>
        <v/>
      </c>
      <c r="J52" s="595" t="str">
        <f>IF($A52="","",VLOOKUP($A52,기본데이타!$A$8:$BV$103,COLUMN(기본데이타!L$8),0))</f>
        <v/>
      </c>
      <c r="K52" s="595" t="str">
        <f>IF($A52="","",VLOOKUP($A52,기본데이타!$A$8:$BV$103,COLUMN(기본데이타!M$8),0))</f>
        <v/>
      </c>
      <c r="L52" s="596" t="str">
        <f>IF($A52="","",VLOOKUP($A52,기본데이타!$A$8:$BV$103,COLUMN(기본데이타!N$8),0))</f>
        <v/>
      </c>
      <c r="M52" s="595" t="str">
        <f>IF($A52="","",VLOOKUP($A52,기본데이타!$A$8:$BV$103,COLUMN(기본데이타!O$8),0))</f>
        <v/>
      </c>
      <c r="N52" s="596" t="str">
        <f>IF($A52="","",VLOOKUP($A52,기본데이타!$A$8:$BV$103,COLUMN(기본데이타!P$8),0))</f>
        <v/>
      </c>
      <c r="O52" s="596" t="str">
        <f>IF($A52="","",VLOOKUP($A52,기본데이타!$A$8:$BV$103,COLUMN(기본데이타!Q$8),0))</f>
        <v/>
      </c>
      <c r="P52" s="596" t="str">
        <f>IF($A52="","",VLOOKUP($A52,기본데이타!$A$8:$BV$103,COLUMN(기본데이타!R$8),0))</f>
        <v/>
      </c>
      <c r="Q52" s="596" t="str">
        <f>IF($A52="","",VLOOKUP($A52,기본데이타!$A$8:$BV$103,COLUMN(기본데이타!S$8),0))</f>
        <v/>
      </c>
      <c r="R52" s="596" t="str">
        <f>IF($A52="","",VLOOKUP($A52,기본데이타!$A$8:$BV$103,COLUMN(기본데이타!T$8),0))</f>
        <v/>
      </c>
      <c r="S52" s="596" t="str">
        <f>IF($A52="","",VLOOKUP($A52,기본데이타!$A$8:$BV$103,COLUMN(기본데이타!U$8),0))</f>
        <v/>
      </c>
      <c r="T52" s="596" t="str">
        <f>IF($A52="","",VLOOKUP($A52,기본데이타!$A$8:$BV$103,COLUMN(기본데이타!V$8),0))</f>
        <v/>
      </c>
      <c r="U52" s="596" t="str">
        <f>IF($A52="","",VLOOKUP($A52,기본데이타!$A$8:$BV$103,COLUMN(기본데이타!W$8),0))</f>
        <v/>
      </c>
      <c r="V52" s="596" t="str">
        <f>IF($A52="","",VLOOKUP($A52,기본데이타!$A$8:$BV$103,COLUMN(기본데이타!X$8),0))</f>
        <v/>
      </c>
      <c r="W52" s="596" t="str">
        <f>IF($A52="","",VLOOKUP($A52,기본데이타!$A$8:$BV$103,COLUMN(기본데이타!AA$8),0))</f>
        <v/>
      </c>
      <c r="X52" s="596" t="str">
        <f>IF($A52="","",VLOOKUP($A52,기본데이타!$A$8:$BV$103,COLUMN(기본데이타!AB$8),0))</f>
        <v/>
      </c>
      <c r="Y52" s="595" t="str">
        <f>IF($A52="","",VLOOKUP($A52,기본데이타!$A$8:$BV$103,COLUMN(기본데이타!AC$8),0))</f>
        <v/>
      </c>
      <c r="Z52" s="596" t="str">
        <f>IF($A52="","",VLOOKUP($A52,기본데이타!$A$8:$BV$103,COLUMN(기본데이타!AD$8),0))</f>
        <v/>
      </c>
      <c r="AA52" s="595" t="str">
        <f>IF($A52="","",VLOOKUP($A52,기본데이타!$A$8:$BV$103,COLUMN(기본데이타!AE$8),0))</f>
        <v/>
      </c>
      <c r="AB52" s="596" t="str">
        <f>IF($A52="","",VLOOKUP($A52,기본데이타!$A$8:$BV$103,COLUMN(기본데이타!AF$8),0))</f>
        <v/>
      </c>
      <c r="AC52" s="595" t="str">
        <f>IF($A52="","",VLOOKUP($A52,기본데이타!$A$8:$BV$103,COLUMN(기본데이타!AG$8),0))</f>
        <v/>
      </c>
      <c r="AD52" s="596" t="str">
        <f>IF($A52="","",VLOOKUP($A52,기본데이타!$A$8:$BV$103,COLUMN(기본데이타!AH$8),0))</f>
        <v/>
      </c>
      <c r="AE52" s="595" t="str">
        <f>IF($A52="","",VLOOKUP($A52,기본데이타!$A$8:$BV$103,COLUMN(기본데이타!AI$8),0))</f>
        <v/>
      </c>
      <c r="AF52" s="597" t="str">
        <f>IF($A52="","",VLOOKUP($A52,기본데이타!$A$8:$BV$103,COLUMN(기본데이타!AJ$8),0))</f>
        <v/>
      </c>
      <c r="AG52" s="580" t="str">
        <f>IF($A52="","",VLOOKUP($A52,기본데이타!$A$8:$BV$103,COLUMN(기본데이타!AK$8),0))</f>
        <v/>
      </c>
      <c r="AH52" s="580" t="str">
        <f>IF($A52="","",VLOOKUP($A52,기본데이타!$A$8:$BV$103,COLUMN(기본데이타!AL$8),0))</f>
        <v/>
      </c>
      <c r="AI52" s="580" t="str">
        <f>IF($A52="","",VLOOKUP($A52,기본데이타!$A$8:$BV$103,COLUMN(기본데이타!AM$8),0))</f>
        <v/>
      </c>
      <c r="AJ52" s="636" t="str">
        <f>IF($A52="","",VLOOKUP($A52,기본데이타!$A$8:$BV$103,COLUMN(기본데이타!AN$8),0))</f>
        <v/>
      </c>
      <c r="AK52" s="636" t="str">
        <f>IF($A52="","",VLOOKUP($A52,기본데이타!$A$8:$BV$103,COLUMN(기본데이타!AO$8),0))</f>
        <v/>
      </c>
      <c r="AL52" s="636" t="str">
        <f>IF($A52="","",VLOOKUP($A52,기본데이타!$A$8:$BV$103,COLUMN(기본데이타!AP$8),0))</f>
        <v/>
      </c>
      <c r="AM52" s="636" t="str">
        <f>IF($A52="","",VLOOKUP($A52,기본데이타!$A$8:$BV$103,COLUMN(기본데이타!AQ$8),0))</f>
        <v/>
      </c>
      <c r="AN52" s="636" t="str">
        <f>IF($A52="","",VLOOKUP($A52,기본데이타!$A$8:$BV$103,COLUMN(기본데이타!AR$8),0))</f>
        <v/>
      </c>
      <c r="AO52" s="636" t="str">
        <f>IF($A52="","",VLOOKUP($A52,기본데이타!$A$8:$BV$103,COLUMN(기본데이타!AS$8),0))</f>
        <v/>
      </c>
      <c r="AP52" s="636" t="str">
        <f>IF($A52="","",VLOOKUP($A52,기본데이타!$A$8:$BV$103,COLUMN(기본데이타!AT$8),0))</f>
        <v/>
      </c>
      <c r="AQ52" s="636" t="str">
        <f>IF($A52="","",VLOOKUP($A52,기본데이타!$A$8:$BV$103,COLUMN(기본데이타!AU$8),0))</f>
        <v/>
      </c>
      <c r="AR52" s="637" t="str">
        <f>IF($A52="","",VLOOKUP($A52,기본데이타!$A$8:$BV$103,COLUMN(기본데이타!AV$8),0))</f>
        <v/>
      </c>
      <c r="AS52" s="596" t="str">
        <f>IF($A52="","",VLOOKUP($A52,기본데이타!$A$8:$BV$103,COLUMN(기본데이타!AW$8),0))</f>
        <v/>
      </c>
      <c r="AT52" s="596" t="str">
        <f>IF($A52="","",VLOOKUP($A52,기본데이타!$A$8:$BV$103,COLUMN(기본데이타!AX$8),0))</f>
        <v/>
      </c>
      <c r="AU52" s="596" t="str">
        <f>IF($A52="","",VLOOKUP($A52,기본데이타!$A$8:$BV$103,COLUMN(기본데이타!AY$8),0))</f>
        <v/>
      </c>
      <c r="AV52" s="596" t="str">
        <f t="shared" si="2"/>
        <v/>
      </c>
      <c r="AW52" s="597" t="str">
        <f>IF($A52="","",VLOOKUP($A52,기본데이타!$A$8:$BV$103,COLUMN(기본데이타!BA$8),0))</f>
        <v/>
      </c>
      <c r="AX52" s="597" t="str">
        <f>IF($A52="","",VLOOKUP($A52,기본데이타!$A$8:$BV$103,COLUMN(기본데이타!BB$8),0))</f>
        <v/>
      </c>
      <c r="AY52" s="597" t="str">
        <f>IF($A52="","",VLOOKUP($A52,기본데이타!$A$8:$BV$103,COLUMN(기본데이타!BC$8),0))</f>
        <v/>
      </c>
      <c r="AZ52" s="597" t="str">
        <f>IF($A52="","",VLOOKUP($A52,기본데이타!$A$8:$BV$103,COLUMN(기본데이타!BD$8),0))</f>
        <v/>
      </c>
      <c r="BA52" s="597" t="str">
        <f>IF($A52="","",VLOOKUP($A52,기본데이타!$A$8:$BV$103,COLUMN(기본데이타!BE$8),0))</f>
        <v/>
      </c>
      <c r="BB52" s="597" t="str">
        <f>IF($A52="","",VLOOKUP($A52,기본데이타!$A$8:$BV$103,COLUMN(기본데이타!BF$8),0))</f>
        <v/>
      </c>
      <c r="BC52" s="597" t="str">
        <f>IF($A52="","",VLOOKUP($A52,기본데이타!$A$8:$BV$103,COLUMN(기본데이타!BG$8),0))</f>
        <v/>
      </c>
      <c r="BD52" s="597" t="str">
        <f>IF($A52="","",VLOOKUP($A52,기본데이타!$A$8:$BV$103,COLUMN(기본데이타!BH$8),0))</f>
        <v/>
      </c>
      <c r="BE52" s="597" t="str">
        <f>IF($A52="","",VLOOKUP($A52,기본데이타!$A$8:$BV$103,COLUMN(기본데이타!BI$8),0))</f>
        <v/>
      </c>
      <c r="BF52" s="597" t="str">
        <f>IF($A52="","",VLOOKUP($A52,기본데이타!$A$8:$BV$103,COLUMN(기본데이타!BJ$8),0))</f>
        <v/>
      </c>
      <c r="BG52" s="597" t="str">
        <f>IF($A52="","",VLOOKUP($A52,기본데이타!$A$8:$BV$103,COLUMN(기본데이타!BK$8),0))</f>
        <v/>
      </c>
      <c r="BH52" s="597" t="str">
        <f>IF($A52="","",VLOOKUP($A52,기본데이타!$A$8:$BV$103,COLUMN(기본데이타!BL$8),0))</f>
        <v/>
      </c>
      <c r="BI52" s="597" t="str">
        <f>IF($A52="","",VLOOKUP($A52,기본데이타!$A$8:$BV$103,COLUMN(기본데이타!BM$8),0))</f>
        <v/>
      </c>
      <c r="BJ52" s="597" t="str">
        <f>IF($A52="","",VLOOKUP($A52,기본데이타!$A$8:$BV$103,COLUMN(기본데이타!BN$8),0))</f>
        <v/>
      </c>
      <c r="BK52" s="597" t="str">
        <f>IF($A52="","",VLOOKUP($A52,기본데이타!$A$8:$BV$103,COLUMN(기본데이타!BO$8),0))</f>
        <v/>
      </c>
      <c r="BL52" s="597" t="str">
        <f>IF($A52="","",VLOOKUP($A52,기본데이타!$A$8:$BV$103,COLUMN(기본데이타!BP$8),0))</f>
        <v/>
      </c>
      <c r="BM52" s="597" t="str">
        <f>IF($A52="","",VLOOKUP($A52,기본데이타!$A$8:$BV$103,COLUMN(기본데이타!BQ$8),0))</f>
        <v/>
      </c>
      <c r="BN52" s="599" t="str">
        <f>IF($A52="","",VLOOKUP($A52,기본데이타!$A$8:$BV$103,COLUMN(기본데이타!BR$8),0))</f>
        <v/>
      </c>
      <c r="BO52" s="600" t="str">
        <f>IF($A52="","",VLOOKUP($A52,기본데이타!$A$8:$BV$103,COLUMN(기본데이타!BS$8),0))</f>
        <v/>
      </c>
      <c r="BP52" s="623" t="str">
        <f>IF($A52="","",VLOOKUP($A52,기본데이타!$A$8:$BV$103,COLUMN(기본데이타!BT$8),0))</f>
        <v/>
      </c>
      <c r="BQ52" s="602" t="str">
        <f>IF($A52="","",VLOOKUP($A52,기본데이타!$A$8:$BV$103,COLUMN(기본데이타!BU$8),0))</f>
        <v/>
      </c>
      <c r="BR52" s="603" t="str">
        <f t="shared" si="3"/>
        <v/>
      </c>
    </row>
    <row r="53" spans="1:73" s="571" customFormat="1" ht="61.5" hidden="1" customHeight="1" outlineLevel="1">
      <c r="A53" s="578"/>
      <c r="B53" s="1642"/>
      <c r="C53" s="590"/>
      <c r="D53" s="591" t="str">
        <f>IF($A53="","",VLOOKUP($A53,기본데이타!$A$8:$BV$103,COLUMN(기본데이타!F$8),0))</f>
        <v/>
      </c>
      <c r="E53" s="592" t="str">
        <f>IF($A53="","",VLOOKUP($A53,기본데이타!$A$8:$BV$103,COLUMN(기본데이타!G$8),0))</f>
        <v/>
      </c>
      <c r="F53" s="593" t="str">
        <f>IF($A53="","",VLOOKUP($A53,기본데이타!$A$8:$BV$103,COLUMN(기본데이타!H$8),0))</f>
        <v/>
      </c>
      <c r="G53" s="594" t="str">
        <f>IF($A53="","",VLOOKUP($A53,기본데이타!$A$8:$BV$103,COLUMN(기본데이타!I$8),0))</f>
        <v/>
      </c>
      <c r="H53" s="594" t="str">
        <f>IF($A53="","",VLOOKUP($A53,기본데이타!$A$8:$BV$103,COLUMN(기본데이타!J$8),0))</f>
        <v/>
      </c>
      <c r="I53" s="595" t="str">
        <f>IF($A53="","",VLOOKUP($A53,기본데이타!$A$8:$BV$103,COLUMN(기본데이타!K$8),0))</f>
        <v/>
      </c>
      <c r="J53" s="595" t="str">
        <f>IF($A53="","",VLOOKUP($A53,기본데이타!$A$8:$BV$103,COLUMN(기본데이타!L$8),0))</f>
        <v/>
      </c>
      <c r="K53" s="595" t="str">
        <f>IF($A53="","",VLOOKUP($A53,기본데이타!$A$8:$BV$103,COLUMN(기본데이타!M$8),0))</f>
        <v/>
      </c>
      <c r="L53" s="596" t="str">
        <f>IF($A53="","",VLOOKUP($A53,기본데이타!$A$8:$BV$103,COLUMN(기본데이타!N$8),0))</f>
        <v/>
      </c>
      <c r="M53" s="595" t="str">
        <f>IF($A53="","",VLOOKUP($A53,기본데이타!$A$8:$BV$103,COLUMN(기본데이타!O$8),0))</f>
        <v/>
      </c>
      <c r="N53" s="596" t="str">
        <f>IF($A53="","",VLOOKUP($A53,기본데이타!$A$8:$BV$103,COLUMN(기본데이타!P$8),0))</f>
        <v/>
      </c>
      <c r="O53" s="596" t="str">
        <f>IF($A53="","",VLOOKUP($A53,기본데이타!$A$8:$BV$103,COLUMN(기본데이타!Q$8),0))</f>
        <v/>
      </c>
      <c r="P53" s="596" t="str">
        <f>IF($A53="","",VLOOKUP($A53,기본데이타!$A$8:$BV$103,COLUMN(기본데이타!R$8),0))</f>
        <v/>
      </c>
      <c r="Q53" s="596" t="str">
        <f>IF($A53="","",VLOOKUP($A53,기본데이타!$A$8:$BV$103,COLUMN(기본데이타!S$8),0))</f>
        <v/>
      </c>
      <c r="R53" s="596" t="str">
        <f>IF($A53="","",VLOOKUP($A53,기본데이타!$A$8:$BV$103,COLUMN(기본데이타!T$8),0))</f>
        <v/>
      </c>
      <c r="S53" s="596" t="str">
        <f>IF($A53="","",VLOOKUP($A53,기본데이타!$A$8:$BV$103,COLUMN(기본데이타!U$8),0))</f>
        <v/>
      </c>
      <c r="T53" s="596" t="str">
        <f>IF($A53="","",VLOOKUP($A53,기본데이타!$A$8:$BV$103,COLUMN(기본데이타!V$8),0))</f>
        <v/>
      </c>
      <c r="U53" s="596" t="str">
        <f>IF($A53="","",VLOOKUP($A53,기본데이타!$A$8:$BV$103,COLUMN(기본데이타!W$8),0))</f>
        <v/>
      </c>
      <c r="V53" s="596" t="str">
        <f>IF($A53="","",VLOOKUP($A53,기본데이타!$A$8:$BV$103,COLUMN(기본데이타!X$8),0))</f>
        <v/>
      </c>
      <c r="W53" s="596" t="str">
        <f>IF($A53="","",VLOOKUP($A53,기본데이타!$A$8:$BV$103,COLUMN(기본데이타!AA$8),0))</f>
        <v/>
      </c>
      <c r="X53" s="596" t="str">
        <f>IF($A53="","",VLOOKUP($A53,기본데이타!$A$8:$BV$103,COLUMN(기본데이타!AB$8),0))</f>
        <v/>
      </c>
      <c r="Y53" s="595" t="str">
        <f>IF($A53="","",VLOOKUP($A53,기본데이타!$A$8:$BV$103,COLUMN(기본데이타!AC$8),0))</f>
        <v/>
      </c>
      <c r="Z53" s="596" t="str">
        <f>IF($A53="","",VLOOKUP($A53,기본데이타!$A$8:$BV$103,COLUMN(기본데이타!AD$8),0))</f>
        <v/>
      </c>
      <c r="AA53" s="595" t="str">
        <f>IF($A53="","",VLOOKUP($A53,기본데이타!$A$8:$BV$103,COLUMN(기본데이타!AE$8),0))</f>
        <v/>
      </c>
      <c r="AB53" s="596" t="str">
        <f>IF($A53="","",VLOOKUP($A53,기본데이타!$A$8:$BV$103,COLUMN(기본데이타!AF$8),0))</f>
        <v/>
      </c>
      <c r="AC53" s="595" t="str">
        <f>IF($A53="","",VLOOKUP($A53,기본데이타!$A$8:$BV$103,COLUMN(기본데이타!AG$8),0))</f>
        <v/>
      </c>
      <c r="AD53" s="596" t="str">
        <f>IF($A53="","",VLOOKUP($A53,기본데이타!$A$8:$BV$103,COLUMN(기본데이타!AH$8),0))</f>
        <v/>
      </c>
      <c r="AE53" s="595" t="str">
        <f>IF($A53="","",VLOOKUP($A53,기본데이타!$A$8:$BV$103,COLUMN(기본데이타!AI$8),0))</f>
        <v/>
      </c>
      <c r="AF53" s="593" t="str">
        <f>IF($A53="","",VLOOKUP($A53,기본데이타!$A$8:$BV$103,COLUMN(기본데이타!AJ$8),0))</f>
        <v/>
      </c>
      <c r="AG53" s="580" t="str">
        <f>IF($A53="","",VLOOKUP($A53,기본데이타!$A$8:$BV$103,COLUMN(기본데이타!AK$8),0))</f>
        <v/>
      </c>
      <c r="AH53" s="580" t="str">
        <f>IF($A53="","",VLOOKUP($A53,기본데이타!$A$8:$BV$103,COLUMN(기본데이타!AL$8),0))</f>
        <v/>
      </c>
      <c r="AI53" s="580" t="str">
        <f>IF($A53="","",VLOOKUP($A53,기본데이타!$A$8:$BV$103,COLUMN(기본데이타!AM$8),0))</f>
        <v/>
      </c>
      <c r="AJ53" s="636" t="str">
        <f>IF($A53="","",VLOOKUP($A53,기본데이타!$A$8:$BV$103,COLUMN(기본데이타!AN$8),0))</f>
        <v/>
      </c>
      <c r="AK53" s="636" t="str">
        <f>IF($A53="","",VLOOKUP($A53,기본데이타!$A$8:$BV$103,COLUMN(기본데이타!AO$8),0))</f>
        <v/>
      </c>
      <c r="AL53" s="636" t="str">
        <f>IF($A53="","",VLOOKUP($A53,기본데이타!$A$8:$BV$103,COLUMN(기본데이타!AP$8),0))</f>
        <v/>
      </c>
      <c r="AM53" s="636" t="str">
        <f>IF($A53="","",VLOOKUP($A53,기본데이타!$A$8:$BV$103,COLUMN(기본데이타!AQ$8),0))</f>
        <v/>
      </c>
      <c r="AN53" s="636" t="str">
        <f>IF($A53="","",VLOOKUP($A53,기본데이타!$A$8:$BV$103,COLUMN(기본데이타!AR$8),0))</f>
        <v/>
      </c>
      <c r="AO53" s="636" t="str">
        <f>IF($A53="","",VLOOKUP($A53,기본데이타!$A$8:$BV$103,COLUMN(기본데이타!AS$8),0))</f>
        <v/>
      </c>
      <c r="AP53" s="636" t="str">
        <f>IF($A53="","",VLOOKUP($A53,기본데이타!$A$8:$BV$103,COLUMN(기본데이타!AT$8),0))</f>
        <v/>
      </c>
      <c r="AQ53" s="636" t="str">
        <f>IF($A53="","",VLOOKUP($A53,기본데이타!$A$8:$BV$103,COLUMN(기본데이타!AU$8),0))</f>
        <v/>
      </c>
      <c r="AR53" s="637" t="str">
        <f>IF($A53="","",VLOOKUP($A53,기본데이타!$A$8:$BV$103,COLUMN(기본데이타!AV$8),0))</f>
        <v/>
      </c>
      <c r="AS53" s="594" t="str">
        <f>IF($A53="","",VLOOKUP($A53,기본데이타!$A$8:$BV$103,COLUMN(기본데이타!AW$8),0))</f>
        <v/>
      </c>
      <c r="AT53" s="594" t="str">
        <f>IF($A53="","",VLOOKUP($A53,기본데이타!$A$8:$BV$103,COLUMN(기본데이타!AX$8),0))</f>
        <v/>
      </c>
      <c r="AU53" s="596" t="str">
        <f>IF($A53="","",VLOOKUP($A53,기본데이타!$A$8:$BV$103,COLUMN(기본데이타!AY$8),0))</f>
        <v/>
      </c>
      <c r="AV53" s="596" t="str">
        <f t="shared" si="2"/>
        <v/>
      </c>
      <c r="AW53" s="597" t="str">
        <f>IF($A53="","",VLOOKUP($A53,기본데이타!$A$8:$BV$103,COLUMN(기본데이타!BA$8),0))</f>
        <v/>
      </c>
      <c r="AX53" s="597" t="str">
        <f>IF($A53="","",VLOOKUP($A53,기본데이타!$A$8:$BV$103,COLUMN(기본데이타!BB$8),0))</f>
        <v/>
      </c>
      <c r="AY53" s="597" t="str">
        <f>IF($A53="","",VLOOKUP($A53,기본데이타!$A$8:$BV$103,COLUMN(기본데이타!BC$8),0))</f>
        <v/>
      </c>
      <c r="AZ53" s="597" t="str">
        <f>IF($A53="","",VLOOKUP($A53,기본데이타!$A$8:$BV$103,COLUMN(기본데이타!BD$8),0))</f>
        <v/>
      </c>
      <c r="BA53" s="597" t="str">
        <f>IF($A53="","",VLOOKUP($A53,기본데이타!$A$8:$BV$103,COLUMN(기본데이타!BE$8),0))</f>
        <v/>
      </c>
      <c r="BB53" s="597" t="str">
        <f>IF($A53="","",VLOOKUP($A53,기본데이타!$A$8:$BV$103,COLUMN(기본데이타!BF$8),0))</f>
        <v/>
      </c>
      <c r="BC53" s="597" t="str">
        <f>IF($A53="","",VLOOKUP($A53,기본데이타!$A$8:$BV$103,COLUMN(기본데이타!BG$8),0))</f>
        <v/>
      </c>
      <c r="BD53" s="597" t="str">
        <f>IF($A53="","",VLOOKUP($A53,기본데이타!$A$8:$BV$103,COLUMN(기본데이타!BH$8),0))</f>
        <v/>
      </c>
      <c r="BE53" s="597" t="str">
        <f>IF($A53="","",VLOOKUP($A53,기본데이타!$A$8:$BV$103,COLUMN(기본데이타!BI$8),0))</f>
        <v/>
      </c>
      <c r="BF53" s="597" t="str">
        <f>IF($A53="","",VLOOKUP($A53,기본데이타!$A$8:$BV$103,COLUMN(기본데이타!BJ$8),0))</f>
        <v/>
      </c>
      <c r="BG53" s="597" t="str">
        <f>IF($A53="","",VLOOKUP($A53,기본데이타!$A$8:$BV$103,COLUMN(기본데이타!BK$8),0))</f>
        <v/>
      </c>
      <c r="BH53" s="597" t="str">
        <f>IF($A53="","",VLOOKUP($A53,기본데이타!$A$8:$BV$103,COLUMN(기본데이타!BL$8),0))</f>
        <v/>
      </c>
      <c r="BI53" s="597" t="str">
        <f>IF($A53="","",VLOOKUP($A53,기본데이타!$A$8:$BV$103,COLUMN(기본데이타!BM$8),0))</f>
        <v/>
      </c>
      <c r="BJ53" s="597" t="str">
        <f>IF($A53="","",VLOOKUP($A53,기본데이타!$A$8:$BV$103,COLUMN(기본데이타!BN$8),0))</f>
        <v/>
      </c>
      <c r="BK53" s="597" t="str">
        <f>IF($A53="","",VLOOKUP($A53,기본데이타!$A$8:$BV$103,COLUMN(기본데이타!BO$8),0))</f>
        <v/>
      </c>
      <c r="BL53" s="597" t="str">
        <f>IF($A53="","",VLOOKUP($A53,기본데이타!$A$8:$BV$103,COLUMN(기본데이타!BP$8),0))</f>
        <v/>
      </c>
      <c r="BM53" s="597" t="str">
        <f>IF($A53="","",VLOOKUP($A53,기본데이타!$A$8:$BV$103,COLUMN(기본데이타!BQ$8),0))</f>
        <v/>
      </c>
      <c r="BN53" s="599" t="str">
        <f>IF($A53="","",VLOOKUP($A53,기본데이타!$A$8:$BV$103,COLUMN(기본데이타!BR$8),0))</f>
        <v/>
      </c>
      <c r="BO53" s="600" t="str">
        <f>IF($A53="","",VLOOKUP($A53,기본데이타!$A$8:$BV$103,COLUMN(기본데이타!BS$8),0))</f>
        <v/>
      </c>
      <c r="BP53" s="623" t="str">
        <f>IF($A53="","",VLOOKUP($A53,기본데이타!$A$8:$BV$103,COLUMN(기본데이타!BT$8),0))</f>
        <v/>
      </c>
      <c r="BQ53" s="602" t="str">
        <f>IF($A53="","",VLOOKUP($A53,기본데이타!$A$8:$BV$103,COLUMN(기본데이타!BU$8),0))</f>
        <v/>
      </c>
      <c r="BR53" s="603" t="str">
        <f t="shared" si="3"/>
        <v/>
      </c>
    </row>
    <row r="54" spans="1:73" s="571" customFormat="1" ht="61.5" hidden="1" customHeight="1" outlineLevel="1">
      <c r="A54" s="578"/>
      <c r="B54" s="1642"/>
      <c r="C54" s="590"/>
      <c r="D54" s="591" t="str">
        <f>IF($A54="","",VLOOKUP($A54,기본데이타!$A$8:$BV$103,COLUMN(기본데이타!F$8),0))</f>
        <v/>
      </c>
      <c r="E54" s="592" t="str">
        <f>IF($A54="","",VLOOKUP($A54,기본데이타!$A$8:$BV$103,COLUMN(기본데이타!G$8),0))</f>
        <v/>
      </c>
      <c r="F54" s="593" t="str">
        <f>IF($A54="","",VLOOKUP($A54,기본데이타!$A$8:$BV$103,COLUMN(기본데이타!H$8),0))</f>
        <v/>
      </c>
      <c r="G54" s="594" t="str">
        <f>IF($A54="","",VLOOKUP($A54,기본데이타!$A$8:$BV$103,COLUMN(기본데이타!I$8),0))</f>
        <v/>
      </c>
      <c r="H54" s="594" t="str">
        <f>IF($A54="","",VLOOKUP($A54,기본데이타!$A$8:$BV$103,COLUMN(기본데이타!J$8),0))</f>
        <v/>
      </c>
      <c r="I54" s="595" t="str">
        <f>IF($A54="","",VLOOKUP($A54,기본데이타!$A$8:$BV$103,COLUMN(기본데이타!K$8),0))</f>
        <v/>
      </c>
      <c r="J54" s="595" t="str">
        <f>IF($A54="","",VLOOKUP($A54,기본데이타!$A$8:$BV$103,COLUMN(기본데이타!L$8),0))</f>
        <v/>
      </c>
      <c r="K54" s="595" t="str">
        <f>IF($A54="","",VLOOKUP($A54,기본데이타!$A$8:$BV$103,COLUMN(기본데이타!M$8),0))</f>
        <v/>
      </c>
      <c r="L54" s="596" t="str">
        <f>IF($A54="","",VLOOKUP($A54,기본데이타!$A$8:$BV$103,COLUMN(기본데이타!N$8),0))</f>
        <v/>
      </c>
      <c r="M54" s="595" t="str">
        <f>IF($A54="","",VLOOKUP($A54,기본데이타!$A$8:$BV$103,COLUMN(기본데이타!O$8),0))</f>
        <v/>
      </c>
      <c r="N54" s="596" t="str">
        <f>IF($A54="","",VLOOKUP($A54,기본데이타!$A$8:$BV$103,COLUMN(기본데이타!P$8),0))</f>
        <v/>
      </c>
      <c r="O54" s="596" t="str">
        <f>IF($A54="","",VLOOKUP($A54,기본데이타!$A$8:$BV$103,COLUMN(기본데이타!Q$8),0))</f>
        <v/>
      </c>
      <c r="P54" s="596" t="str">
        <f>IF($A54="","",VLOOKUP($A54,기본데이타!$A$8:$BV$103,COLUMN(기본데이타!R$8),0))</f>
        <v/>
      </c>
      <c r="Q54" s="596" t="str">
        <f>IF($A54="","",VLOOKUP($A54,기본데이타!$A$8:$BV$103,COLUMN(기본데이타!S$8),0))</f>
        <v/>
      </c>
      <c r="R54" s="596" t="str">
        <f>IF($A54="","",VLOOKUP($A54,기본데이타!$A$8:$BV$103,COLUMN(기본데이타!T$8),0))</f>
        <v/>
      </c>
      <c r="S54" s="596" t="str">
        <f>IF($A54="","",VLOOKUP($A54,기본데이타!$A$8:$BV$103,COLUMN(기본데이타!U$8),0))</f>
        <v/>
      </c>
      <c r="T54" s="596" t="str">
        <f>IF($A54="","",VLOOKUP($A54,기본데이타!$A$8:$BV$103,COLUMN(기본데이타!V$8),0))</f>
        <v/>
      </c>
      <c r="U54" s="596" t="str">
        <f>IF($A54="","",VLOOKUP($A54,기본데이타!$A$8:$BV$103,COLUMN(기본데이타!W$8),0))</f>
        <v/>
      </c>
      <c r="V54" s="596" t="str">
        <f>IF($A54="","",VLOOKUP($A54,기본데이타!$A$8:$BV$103,COLUMN(기본데이타!X$8),0))</f>
        <v/>
      </c>
      <c r="W54" s="596" t="str">
        <f>IF($A54="","",VLOOKUP($A54,기본데이타!$A$8:$BV$103,COLUMN(기본데이타!AA$8),0))</f>
        <v/>
      </c>
      <c r="X54" s="596" t="str">
        <f>IF($A54="","",VLOOKUP($A54,기본데이타!$A$8:$BV$103,COLUMN(기본데이타!AB$8),0))</f>
        <v/>
      </c>
      <c r="Y54" s="595" t="str">
        <f>IF($A54="","",VLOOKUP($A54,기본데이타!$A$8:$BV$103,COLUMN(기본데이타!AC$8),0))</f>
        <v/>
      </c>
      <c r="Z54" s="596" t="str">
        <f>IF($A54="","",VLOOKUP($A54,기본데이타!$A$8:$BV$103,COLUMN(기본데이타!AD$8),0))</f>
        <v/>
      </c>
      <c r="AA54" s="595" t="str">
        <f>IF($A54="","",VLOOKUP($A54,기본데이타!$A$8:$BV$103,COLUMN(기본데이타!AE$8),0))</f>
        <v/>
      </c>
      <c r="AB54" s="596" t="str">
        <f>IF($A54="","",VLOOKUP($A54,기본데이타!$A$8:$BV$103,COLUMN(기본데이타!AF$8),0))</f>
        <v/>
      </c>
      <c r="AC54" s="595" t="str">
        <f>IF($A54="","",VLOOKUP($A54,기본데이타!$A$8:$BV$103,COLUMN(기본데이타!AG$8),0))</f>
        <v/>
      </c>
      <c r="AD54" s="596" t="str">
        <f>IF($A54="","",VLOOKUP($A54,기본데이타!$A$8:$BV$103,COLUMN(기본데이타!AH$8),0))</f>
        <v/>
      </c>
      <c r="AE54" s="595" t="str">
        <f>IF($A54="","",VLOOKUP($A54,기본데이타!$A$8:$BV$103,COLUMN(기본데이타!AI$8),0))</f>
        <v/>
      </c>
      <c r="AF54" s="597" t="str">
        <f>IF($A54="","",VLOOKUP($A54,기본데이타!$A$8:$BV$103,COLUMN(기본데이타!AJ$8),0))</f>
        <v/>
      </c>
      <c r="AG54" s="580" t="str">
        <f>IF($A54="","",VLOOKUP($A54,기본데이타!$A$8:$BV$103,COLUMN(기본데이타!AK$8),0))</f>
        <v/>
      </c>
      <c r="AH54" s="580" t="str">
        <f>IF($A54="","",VLOOKUP($A54,기본데이타!$A$8:$BV$103,COLUMN(기본데이타!AL$8),0))</f>
        <v/>
      </c>
      <c r="AI54" s="580" t="str">
        <f>IF($A54="","",VLOOKUP($A54,기본데이타!$A$8:$BV$103,COLUMN(기본데이타!AM$8),0))</f>
        <v/>
      </c>
      <c r="AJ54" s="636" t="str">
        <f>IF($A54="","",VLOOKUP($A54,기본데이타!$A$8:$BV$103,COLUMN(기본데이타!AN$8),0))</f>
        <v/>
      </c>
      <c r="AK54" s="636" t="str">
        <f>IF($A54="","",VLOOKUP($A54,기본데이타!$A$8:$BV$103,COLUMN(기본데이타!AO$8),0))</f>
        <v/>
      </c>
      <c r="AL54" s="636" t="str">
        <f>IF($A54="","",VLOOKUP($A54,기본데이타!$A$8:$BV$103,COLUMN(기본데이타!AP$8),0))</f>
        <v/>
      </c>
      <c r="AM54" s="636" t="str">
        <f>IF($A54="","",VLOOKUP($A54,기본데이타!$A$8:$BV$103,COLUMN(기본데이타!AQ$8),0))</f>
        <v/>
      </c>
      <c r="AN54" s="636" t="str">
        <f>IF($A54="","",VLOOKUP($A54,기본데이타!$A$8:$BV$103,COLUMN(기본데이타!AR$8),0))</f>
        <v/>
      </c>
      <c r="AO54" s="636" t="str">
        <f>IF($A54="","",VLOOKUP($A54,기본데이타!$A$8:$BV$103,COLUMN(기본데이타!AS$8),0))</f>
        <v/>
      </c>
      <c r="AP54" s="636" t="str">
        <f>IF($A54="","",VLOOKUP($A54,기본데이타!$A$8:$BV$103,COLUMN(기본데이타!AT$8),0))</f>
        <v/>
      </c>
      <c r="AQ54" s="636" t="str">
        <f>IF($A54="","",VLOOKUP($A54,기본데이타!$A$8:$BV$103,COLUMN(기본데이타!AU$8),0))</f>
        <v/>
      </c>
      <c r="AR54" s="637" t="str">
        <f>IF($A54="","",VLOOKUP($A54,기본데이타!$A$8:$BV$103,COLUMN(기본데이타!AV$8),0))</f>
        <v/>
      </c>
      <c r="AS54" s="596" t="str">
        <f>IF($A54="","",VLOOKUP($A54,기본데이타!$A$8:$BV$103,COLUMN(기본데이타!AW$8),0))</f>
        <v/>
      </c>
      <c r="AT54" s="596" t="str">
        <f>IF($A54="","",VLOOKUP($A54,기본데이타!$A$8:$BV$103,COLUMN(기본데이타!AX$8),0))</f>
        <v/>
      </c>
      <c r="AU54" s="596" t="str">
        <f>IF($A54="","",VLOOKUP($A54,기본데이타!$A$8:$BV$103,COLUMN(기본데이타!AY$8),0))</f>
        <v/>
      </c>
      <c r="AV54" s="596" t="str">
        <f t="shared" si="2"/>
        <v/>
      </c>
      <c r="AW54" s="597" t="str">
        <f>IF($A54="","",VLOOKUP($A54,기본데이타!$A$8:$BV$103,COLUMN(기본데이타!BA$8),0))</f>
        <v/>
      </c>
      <c r="AX54" s="597" t="str">
        <f>IF($A54="","",VLOOKUP($A54,기본데이타!$A$8:$BV$103,COLUMN(기본데이타!BB$8),0))</f>
        <v/>
      </c>
      <c r="AY54" s="597" t="str">
        <f>IF($A54="","",VLOOKUP($A54,기본데이타!$A$8:$BV$103,COLUMN(기본데이타!BC$8),0))</f>
        <v/>
      </c>
      <c r="AZ54" s="597" t="str">
        <f>IF($A54="","",VLOOKUP($A54,기본데이타!$A$8:$BV$103,COLUMN(기본데이타!BD$8),0))</f>
        <v/>
      </c>
      <c r="BA54" s="597" t="str">
        <f>IF($A54="","",VLOOKUP($A54,기본데이타!$A$8:$BV$103,COLUMN(기본데이타!BE$8),0))</f>
        <v/>
      </c>
      <c r="BB54" s="597" t="str">
        <f>IF($A54="","",VLOOKUP($A54,기본데이타!$A$8:$BV$103,COLUMN(기본데이타!BF$8),0))</f>
        <v/>
      </c>
      <c r="BC54" s="597" t="str">
        <f>IF($A54="","",VLOOKUP($A54,기본데이타!$A$8:$BV$103,COLUMN(기본데이타!BG$8),0))</f>
        <v/>
      </c>
      <c r="BD54" s="597" t="str">
        <f>IF($A54="","",VLOOKUP($A54,기본데이타!$A$8:$BV$103,COLUMN(기본데이타!BH$8),0))</f>
        <v/>
      </c>
      <c r="BE54" s="597" t="str">
        <f>IF($A54="","",VLOOKUP($A54,기본데이타!$A$8:$BV$103,COLUMN(기본데이타!BI$8),0))</f>
        <v/>
      </c>
      <c r="BF54" s="597" t="str">
        <f>IF($A54="","",VLOOKUP($A54,기본데이타!$A$8:$BV$103,COLUMN(기본데이타!BJ$8),0))</f>
        <v/>
      </c>
      <c r="BG54" s="597" t="str">
        <f>IF($A54="","",VLOOKUP($A54,기본데이타!$A$8:$BV$103,COLUMN(기본데이타!BK$8),0))</f>
        <v/>
      </c>
      <c r="BH54" s="597" t="str">
        <f>IF($A54="","",VLOOKUP($A54,기본데이타!$A$8:$BV$103,COLUMN(기본데이타!BL$8),0))</f>
        <v/>
      </c>
      <c r="BI54" s="597" t="str">
        <f>IF($A54="","",VLOOKUP($A54,기본데이타!$A$8:$BV$103,COLUMN(기본데이타!BM$8),0))</f>
        <v/>
      </c>
      <c r="BJ54" s="597" t="str">
        <f>IF($A54="","",VLOOKUP($A54,기본데이타!$A$8:$BV$103,COLUMN(기본데이타!BN$8),0))</f>
        <v/>
      </c>
      <c r="BK54" s="597" t="str">
        <f>IF($A54="","",VLOOKUP($A54,기본데이타!$A$8:$BV$103,COLUMN(기본데이타!BO$8),0))</f>
        <v/>
      </c>
      <c r="BL54" s="597" t="str">
        <f>IF($A54="","",VLOOKUP($A54,기본데이타!$A$8:$BV$103,COLUMN(기본데이타!BP$8),0))</f>
        <v/>
      </c>
      <c r="BM54" s="597" t="str">
        <f>IF($A54="","",VLOOKUP($A54,기본데이타!$A$8:$BV$103,COLUMN(기본데이타!BQ$8),0))</f>
        <v/>
      </c>
      <c r="BN54" s="599" t="str">
        <f>IF($A54="","",VLOOKUP($A54,기본데이타!$A$8:$BV$103,COLUMN(기본데이타!BR$8),0))</f>
        <v/>
      </c>
      <c r="BO54" s="600" t="str">
        <f>IF($A54="","",VLOOKUP($A54,기본데이타!$A$8:$BV$103,COLUMN(기본데이타!BS$8),0))</f>
        <v/>
      </c>
      <c r="BP54" s="623" t="str">
        <f>IF($A54="","",VLOOKUP($A54,기본데이타!$A$8:$BV$103,COLUMN(기본데이타!BT$8),0))</f>
        <v/>
      </c>
      <c r="BQ54" s="602" t="str">
        <f>IF($A54="","",VLOOKUP($A54,기본데이타!$A$8:$BV$103,COLUMN(기본데이타!BU$8),0))</f>
        <v/>
      </c>
      <c r="BR54" s="603" t="str">
        <f t="shared" si="3"/>
        <v/>
      </c>
    </row>
    <row r="55" spans="1:73" s="571" customFormat="1" ht="61.5" hidden="1" customHeight="1" outlineLevel="1">
      <c r="A55" s="578"/>
      <c r="B55" s="1642"/>
      <c r="C55" s="590"/>
      <c r="D55" s="591" t="str">
        <f>IF($A55="","",VLOOKUP($A55,기본데이타!$A$8:$BV$103,COLUMN(기본데이타!F$8),0))</f>
        <v/>
      </c>
      <c r="E55" s="592" t="str">
        <f>IF($A55="","",VLOOKUP($A55,기본데이타!$A$8:$BV$103,COLUMN(기본데이타!G$8),0))</f>
        <v/>
      </c>
      <c r="F55" s="593" t="str">
        <f>IF($A55="","",VLOOKUP($A55,기본데이타!$A$8:$BV$103,COLUMN(기본데이타!H$8),0))</f>
        <v/>
      </c>
      <c r="G55" s="594" t="str">
        <f>IF($A55="","",VLOOKUP($A55,기본데이타!$A$8:$BV$103,COLUMN(기본데이타!I$8),0))</f>
        <v/>
      </c>
      <c r="H55" s="594" t="str">
        <f>IF($A55="","",VLOOKUP($A55,기본데이타!$A$8:$BV$103,COLUMN(기본데이타!J$8),0))</f>
        <v/>
      </c>
      <c r="I55" s="595" t="str">
        <f>IF($A55="","",VLOOKUP($A55,기본데이타!$A$8:$BV$103,COLUMN(기본데이타!K$8),0))</f>
        <v/>
      </c>
      <c r="J55" s="595" t="str">
        <f>IF($A55="","",VLOOKUP($A55,기본데이타!$A$8:$BV$103,COLUMN(기본데이타!L$8),0))</f>
        <v/>
      </c>
      <c r="K55" s="595" t="str">
        <f>IF($A55="","",VLOOKUP($A55,기본데이타!$A$8:$BV$103,COLUMN(기본데이타!M$8),0))</f>
        <v/>
      </c>
      <c r="L55" s="596" t="str">
        <f>IF($A55="","",VLOOKUP($A55,기본데이타!$A$8:$BV$103,COLUMN(기본데이타!N$8),0))</f>
        <v/>
      </c>
      <c r="M55" s="595" t="str">
        <f>IF($A55="","",VLOOKUP($A55,기본데이타!$A$8:$BV$103,COLUMN(기본데이타!O$8),0))</f>
        <v/>
      </c>
      <c r="N55" s="596" t="str">
        <f>IF($A55="","",VLOOKUP($A55,기본데이타!$A$8:$BV$103,COLUMN(기본데이타!P$8),0))</f>
        <v/>
      </c>
      <c r="O55" s="596" t="str">
        <f>IF($A55="","",VLOOKUP($A55,기본데이타!$A$8:$BV$103,COLUMN(기본데이타!Q$8),0))</f>
        <v/>
      </c>
      <c r="P55" s="596" t="str">
        <f>IF($A55="","",VLOOKUP($A55,기본데이타!$A$8:$BV$103,COLUMN(기본데이타!R$8),0))</f>
        <v/>
      </c>
      <c r="Q55" s="596" t="str">
        <f>IF($A55="","",VLOOKUP($A55,기본데이타!$A$8:$BV$103,COLUMN(기본데이타!S$8),0))</f>
        <v/>
      </c>
      <c r="R55" s="596" t="str">
        <f>IF($A55="","",VLOOKUP($A55,기본데이타!$A$8:$BV$103,COLUMN(기본데이타!T$8),0))</f>
        <v/>
      </c>
      <c r="S55" s="596" t="str">
        <f>IF($A55="","",VLOOKUP($A55,기본데이타!$A$8:$BV$103,COLUMN(기본데이타!U$8),0))</f>
        <v/>
      </c>
      <c r="T55" s="596" t="str">
        <f>IF($A55="","",VLOOKUP($A55,기본데이타!$A$8:$BV$103,COLUMN(기본데이타!V$8),0))</f>
        <v/>
      </c>
      <c r="U55" s="596" t="str">
        <f>IF($A55="","",VLOOKUP($A55,기본데이타!$A$8:$BV$103,COLUMN(기본데이타!W$8),0))</f>
        <v/>
      </c>
      <c r="V55" s="596" t="str">
        <f>IF($A55="","",VLOOKUP($A55,기본데이타!$A$8:$BV$103,COLUMN(기본데이타!X$8),0))</f>
        <v/>
      </c>
      <c r="W55" s="596" t="str">
        <f>IF($A55="","",VLOOKUP($A55,기본데이타!$A$8:$BV$103,COLUMN(기본데이타!AA$8),0))</f>
        <v/>
      </c>
      <c r="X55" s="596" t="str">
        <f>IF($A55="","",VLOOKUP($A55,기본데이타!$A$8:$BV$103,COLUMN(기본데이타!AB$8),0))</f>
        <v/>
      </c>
      <c r="Y55" s="595" t="str">
        <f>IF($A55="","",VLOOKUP($A55,기본데이타!$A$8:$BV$103,COLUMN(기본데이타!AC$8),0))</f>
        <v/>
      </c>
      <c r="Z55" s="596" t="str">
        <f>IF($A55="","",VLOOKUP($A55,기본데이타!$A$8:$BV$103,COLUMN(기본데이타!AD$8),0))</f>
        <v/>
      </c>
      <c r="AA55" s="595" t="str">
        <f>IF($A55="","",VLOOKUP($A55,기본데이타!$A$8:$BV$103,COLUMN(기본데이타!AE$8),0))</f>
        <v/>
      </c>
      <c r="AB55" s="596" t="str">
        <f>IF($A55="","",VLOOKUP($A55,기본데이타!$A$8:$BV$103,COLUMN(기본데이타!AF$8),0))</f>
        <v/>
      </c>
      <c r="AC55" s="595" t="str">
        <f>IF($A55="","",VLOOKUP($A55,기본데이타!$A$8:$BV$103,COLUMN(기본데이타!AG$8),0))</f>
        <v/>
      </c>
      <c r="AD55" s="596" t="str">
        <f>IF($A55="","",VLOOKUP($A55,기본데이타!$A$8:$BV$103,COLUMN(기본데이타!AH$8),0))</f>
        <v/>
      </c>
      <c r="AE55" s="595" t="str">
        <f>IF($A55="","",VLOOKUP($A55,기본데이타!$A$8:$BV$103,COLUMN(기본데이타!AI$8),0))</f>
        <v/>
      </c>
      <c r="AF55" s="597" t="str">
        <f>IF($A55="","",VLOOKUP($A55,기본데이타!$A$8:$BV$103,COLUMN(기본데이타!AJ$8),0))</f>
        <v/>
      </c>
      <c r="AG55" s="580" t="str">
        <f>IF($A55="","",VLOOKUP($A55,기본데이타!$A$8:$BV$103,COLUMN(기본데이타!AK$8),0))</f>
        <v/>
      </c>
      <c r="AH55" s="580" t="str">
        <f>IF($A55="","",VLOOKUP($A55,기본데이타!$A$8:$BV$103,COLUMN(기본데이타!AL$8),0))</f>
        <v/>
      </c>
      <c r="AI55" s="580" t="str">
        <f>IF($A55="","",VLOOKUP($A55,기본데이타!$A$8:$BV$103,COLUMN(기본데이타!AM$8),0))</f>
        <v/>
      </c>
      <c r="AJ55" s="636" t="str">
        <f>IF($A55="","",VLOOKUP($A55,기본데이타!$A$8:$BV$103,COLUMN(기본데이타!AN$8),0))</f>
        <v/>
      </c>
      <c r="AK55" s="636" t="str">
        <f>IF($A55="","",VLOOKUP($A55,기본데이타!$A$8:$BV$103,COLUMN(기본데이타!AO$8),0))</f>
        <v/>
      </c>
      <c r="AL55" s="636" t="str">
        <f>IF($A55="","",VLOOKUP($A55,기본데이타!$A$8:$BV$103,COLUMN(기본데이타!AP$8),0))</f>
        <v/>
      </c>
      <c r="AM55" s="636" t="str">
        <f>IF($A55="","",VLOOKUP($A55,기본데이타!$A$8:$BV$103,COLUMN(기본데이타!AQ$8),0))</f>
        <v/>
      </c>
      <c r="AN55" s="636" t="str">
        <f>IF($A55="","",VLOOKUP($A55,기본데이타!$A$8:$BV$103,COLUMN(기본데이타!AR$8),0))</f>
        <v/>
      </c>
      <c r="AO55" s="636" t="str">
        <f>IF($A55="","",VLOOKUP($A55,기본데이타!$A$8:$BV$103,COLUMN(기본데이타!AS$8),0))</f>
        <v/>
      </c>
      <c r="AP55" s="636" t="str">
        <f>IF($A55="","",VLOOKUP($A55,기본데이타!$A$8:$BV$103,COLUMN(기본데이타!AT$8),0))</f>
        <v/>
      </c>
      <c r="AQ55" s="636" t="str">
        <f>IF($A55="","",VLOOKUP($A55,기본데이타!$A$8:$BV$103,COLUMN(기본데이타!AU$8),0))</f>
        <v/>
      </c>
      <c r="AR55" s="637" t="str">
        <f>IF($A55="","",VLOOKUP($A55,기본데이타!$A$8:$BV$103,COLUMN(기본데이타!AV$8),0))</f>
        <v/>
      </c>
      <c r="AS55" s="596" t="str">
        <f>IF($A55="","",VLOOKUP($A55,기본데이타!$A$8:$BV$103,COLUMN(기본데이타!AW$8),0))</f>
        <v/>
      </c>
      <c r="AT55" s="596" t="str">
        <f>IF($A55="","",VLOOKUP($A55,기본데이타!$A$8:$BV$103,COLUMN(기본데이타!AX$8),0))</f>
        <v/>
      </c>
      <c r="AU55" s="596" t="str">
        <f>IF($A55="","",VLOOKUP($A55,기본데이타!$A$8:$BV$103,COLUMN(기본데이타!AY$8),0))</f>
        <v/>
      </c>
      <c r="AV55" s="596" t="str">
        <f t="shared" si="2"/>
        <v/>
      </c>
      <c r="AW55" s="597" t="str">
        <f>IF($A55="","",VLOOKUP($A55,기본데이타!$A$8:$BV$103,COLUMN(기본데이타!BA$8),0))</f>
        <v/>
      </c>
      <c r="AX55" s="597" t="str">
        <f>IF($A55="","",VLOOKUP($A55,기본데이타!$A$8:$BV$103,COLUMN(기본데이타!BB$8),0))</f>
        <v/>
      </c>
      <c r="AY55" s="597" t="str">
        <f>IF($A55="","",VLOOKUP($A55,기본데이타!$A$8:$BV$103,COLUMN(기본데이타!BC$8),0))</f>
        <v/>
      </c>
      <c r="AZ55" s="597" t="str">
        <f>IF($A55="","",VLOOKUP($A55,기본데이타!$A$8:$BV$103,COLUMN(기본데이타!BD$8),0))</f>
        <v/>
      </c>
      <c r="BA55" s="597" t="str">
        <f>IF($A55="","",VLOOKUP($A55,기본데이타!$A$8:$BV$103,COLUMN(기본데이타!BE$8),0))</f>
        <v/>
      </c>
      <c r="BB55" s="597" t="str">
        <f>IF($A55="","",VLOOKUP($A55,기본데이타!$A$8:$BV$103,COLUMN(기본데이타!BF$8),0))</f>
        <v/>
      </c>
      <c r="BC55" s="597" t="str">
        <f>IF($A55="","",VLOOKUP($A55,기본데이타!$A$8:$BV$103,COLUMN(기본데이타!BG$8),0))</f>
        <v/>
      </c>
      <c r="BD55" s="597" t="str">
        <f>IF($A55="","",VLOOKUP($A55,기본데이타!$A$8:$BV$103,COLUMN(기본데이타!BH$8),0))</f>
        <v/>
      </c>
      <c r="BE55" s="597" t="str">
        <f>IF($A55="","",VLOOKUP($A55,기본데이타!$A$8:$BV$103,COLUMN(기본데이타!BI$8),0))</f>
        <v/>
      </c>
      <c r="BF55" s="597" t="str">
        <f>IF($A55="","",VLOOKUP($A55,기본데이타!$A$8:$BV$103,COLUMN(기본데이타!BJ$8),0))</f>
        <v/>
      </c>
      <c r="BG55" s="597" t="str">
        <f>IF($A55="","",VLOOKUP($A55,기본데이타!$A$8:$BV$103,COLUMN(기본데이타!BK$8),0))</f>
        <v/>
      </c>
      <c r="BH55" s="597" t="str">
        <f>IF($A55="","",VLOOKUP($A55,기본데이타!$A$8:$BV$103,COLUMN(기본데이타!BL$8),0))</f>
        <v/>
      </c>
      <c r="BI55" s="597" t="str">
        <f>IF($A55="","",VLOOKUP($A55,기본데이타!$A$8:$BV$103,COLUMN(기본데이타!BM$8),0))</f>
        <v/>
      </c>
      <c r="BJ55" s="597" t="str">
        <f>IF($A55="","",VLOOKUP($A55,기본데이타!$A$8:$BV$103,COLUMN(기본데이타!BN$8),0))</f>
        <v/>
      </c>
      <c r="BK55" s="597" t="str">
        <f>IF($A55="","",VLOOKUP($A55,기본데이타!$A$8:$BV$103,COLUMN(기본데이타!BO$8),0))</f>
        <v/>
      </c>
      <c r="BL55" s="597" t="str">
        <f>IF($A55="","",VLOOKUP($A55,기본데이타!$A$8:$BV$103,COLUMN(기본데이타!BP$8),0))</f>
        <v/>
      </c>
      <c r="BM55" s="597" t="str">
        <f>IF($A55="","",VLOOKUP($A55,기본데이타!$A$8:$BV$103,COLUMN(기본데이타!BQ$8),0))</f>
        <v/>
      </c>
      <c r="BN55" s="599" t="str">
        <f>IF($A55="","",VLOOKUP($A55,기본데이타!$A$8:$BV$103,COLUMN(기본데이타!BR$8),0))</f>
        <v/>
      </c>
      <c r="BO55" s="600" t="str">
        <f>IF($A55="","",VLOOKUP($A55,기본데이타!$A$8:$BV$103,COLUMN(기본데이타!BS$8),0))</f>
        <v/>
      </c>
      <c r="BP55" s="623" t="str">
        <f>IF($A55="","",VLOOKUP($A55,기본데이타!$A$8:$BV$103,COLUMN(기본데이타!BT$8),0))</f>
        <v/>
      </c>
      <c r="BQ55" s="602" t="str">
        <f>IF($A55="","",VLOOKUP($A55,기본데이타!$A$8:$BV$103,COLUMN(기본데이타!BU$8),0))</f>
        <v/>
      </c>
      <c r="BR55" s="603" t="str">
        <f t="shared" si="3"/>
        <v/>
      </c>
    </row>
    <row r="56" spans="1:73" s="571" customFormat="1" ht="61.5" hidden="1" customHeight="1" outlineLevel="1">
      <c r="A56" s="578"/>
      <c r="B56" s="1642"/>
      <c r="C56" s="590"/>
      <c r="D56" s="591" t="str">
        <f>IF($A56="","",VLOOKUP($A56,기본데이타!$A$8:$BV$103,COLUMN(기본데이타!F$8),0))</f>
        <v/>
      </c>
      <c r="E56" s="592" t="str">
        <f>IF($A56="","",VLOOKUP($A56,기본데이타!$A$8:$BV$103,COLUMN(기본데이타!G$8),0))</f>
        <v/>
      </c>
      <c r="F56" s="593" t="str">
        <f>IF($A56="","",VLOOKUP($A56,기본데이타!$A$8:$BV$103,COLUMN(기본데이타!H$8),0))</f>
        <v/>
      </c>
      <c r="G56" s="594" t="str">
        <f>IF($A56="","",VLOOKUP($A56,기본데이타!$A$8:$BV$103,COLUMN(기본데이타!I$8),0))</f>
        <v/>
      </c>
      <c r="H56" s="594" t="str">
        <f>IF($A56="","",VLOOKUP($A56,기본데이타!$A$8:$BV$103,COLUMN(기본데이타!J$8),0))</f>
        <v/>
      </c>
      <c r="I56" s="595" t="str">
        <f>IF($A56="","",VLOOKUP($A56,기본데이타!$A$8:$BV$103,COLUMN(기본데이타!K$8),0))</f>
        <v/>
      </c>
      <c r="J56" s="595" t="str">
        <f>IF($A56="","",VLOOKUP($A56,기본데이타!$A$8:$BV$103,COLUMN(기본데이타!L$8),0))</f>
        <v/>
      </c>
      <c r="K56" s="595" t="str">
        <f>IF($A56="","",VLOOKUP($A56,기본데이타!$A$8:$BV$103,COLUMN(기본데이타!M$8),0))</f>
        <v/>
      </c>
      <c r="L56" s="596" t="str">
        <f>IF($A56="","",VLOOKUP($A56,기본데이타!$A$8:$BV$103,COLUMN(기본데이타!N$8),0))</f>
        <v/>
      </c>
      <c r="M56" s="595" t="str">
        <f>IF($A56="","",VLOOKUP($A56,기본데이타!$A$8:$BV$103,COLUMN(기본데이타!O$8),0))</f>
        <v/>
      </c>
      <c r="N56" s="596" t="str">
        <f>IF($A56="","",VLOOKUP($A56,기본데이타!$A$8:$BV$103,COLUMN(기본데이타!P$8),0))</f>
        <v/>
      </c>
      <c r="O56" s="596" t="str">
        <f>IF($A56="","",VLOOKUP($A56,기본데이타!$A$8:$BV$103,COLUMN(기본데이타!Q$8),0))</f>
        <v/>
      </c>
      <c r="P56" s="596" t="str">
        <f>IF($A56="","",VLOOKUP($A56,기본데이타!$A$8:$BV$103,COLUMN(기본데이타!R$8),0))</f>
        <v/>
      </c>
      <c r="Q56" s="596" t="str">
        <f>IF($A56="","",VLOOKUP($A56,기본데이타!$A$8:$BV$103,COLUMN(기본데이타!S$8),0))</f>
        <v/>
      </c>
      <c r="R56" s="596" t="str">
        <f>IF($A56="","",VLOOKUP($A56,기본데이타!$A$8:$BV$103,COLUMN(기본데이타!T$8),0))</f>
        <v/>
      </c>
      <c r="S56" s="596" t="str">
        <f>IF($A56="","",VLOOKUP($A56,기본데이타!$A$8:$BV$103,COLUMN(기본데이타!U$8),0))</f>
        <v/>
      </c>
      <c r="T56" s="596" t="str">
        <f>IF($A56="","",VLOOKUP($A56,기본데이타!$A$8:$BV$103,COLUMN(기본데이타!V$8),0))</f>
        <v/>
      </c>
      <c r="U56" s="596" t="str">
        <f>IF($A56="","",VLOOKUP($A56,기본데이타!$A$8:$BV$103,COLUMN(기본데이타!W$8),0))</f>
        <v/>
      </c>
      <c r="V56" s="596" t="str">
        <f>IF($A56="","",VLOOKUP($A56,기본데이타!$A$8:$BV$103,COLUMN(기본데이타!X$8),0))</f>
        <v/>
      </c>
      <c r="W56" s="596" t="str">
        <f>IF($A56="","",VLOOKUP($A56,기본데이타!$A$8:$BV$103,COLUMN(기본데이타!AA$8),0))</f>
        <v/>
      </c>
      <c r="X56" s="596" t="str">
        <f>IF($A56="","",VLOOKUP($A56,기본데이타!$A$8:$BV$103,COLUMN(기본데이타!AB$8),0))</f>
        <v/>
      </c>
      <c r="Y56" s="595" t="str">
        <f>IF($A56="","",VLOOKUP($A56,기본데이타!$A$8:$BV$103,COLUMN(기본데이타!AC$8),0))</f>
        <v/>
      </c>
      <c r="Z56" s="596" t="str">
        <f>IF($A56="","",VLOOKUP($A56,기본데이타!$A$8:$BV$103,COLUMN(기본데이타!AD$8),0))</f>
        <v/>
      </c>
      <c r="AA56" s="595" t="str">
        <f>IF($A56="","",VLOOKUP($A56,기본데이타!$A$8:$BV$103,COLUMN(기본데이타!AE$8),0))</f>
        <v/>
      </c>
      <c r="AB56" s="596" t="str">
        <f>IF($A56="","",VLOOKUP($A56,기본데이타!$A$8:$BV$103,COLUMN(기본데이타!AF$8),0))</f>
        <v/>
      </c>
      <c r="AC56" s="595" t="str">
        <f>IF($A56="","",VLOOKUP($A56,기본데이타!$A$8:$BV$103,COLUMN(기본데이타!AG$8),0))</f>
        <v/>
      </c>
      <c r="AD56" s="596" t="str">
        <f>IF($A56="","",VLOOKUP($A56,기본데이타!$A$8:$BV$103,COLUMN(기본데이타!AH$8),0))</f>
        <v/>
      </c>
      <c r="AE56" s="595" t="str">
        <f>IF($A56="","",VLOOKUP($A56,기본데이타!$A$8:$BV$103,COLUMN(기본데이타!AI$8),0))</f>
        <v/>
      </c>
      <c r="AF56" s="597" t="str">
        <f>IF($A56="","",VLOOKUP($A56,기본데이타!$A$8:$BV$103,COLUMN(기본데이타!AJ$8),0))</f>
        <v/>
      </c>
      <c r="AG56" s="580" t="str">
        <f>IF($A56="","",VLOOKUP($A56,기본데이타!$A$8:$BV$103,COLUMN(기본데이타!AK$8),0))</f>
        <v/>
      </c>
      <c r="AH56" s="580" t="str">
        <f>IF($A56="","",VLOOKUP($A56,기본데이타!$A$8:$BV$103,COLUMN(기본데이타!AL$8),0))</f>
        <v/>
      </c>
      <c r="AI56" s="580" t="str">
        <f>IF($A56="","",VLOOKUP($A56,기본데이타!$A$8:$BV$103,COLUMN(기본데이타!AM$8),0))</f>
        <v/>
      </c>
      <c r="AJ56" s="636" t="str">
        <f>IF($A56="","",VLOOKUP($A56,기본데이타!$A$8:$BV$103,COLUMN(기본데이타!AN$8),0))</f>
        <v/>
      </c>
      <c r="AK56" s="636" t="str">
        <f>IF($A56="","",VLOOKUP($A56,기본데이타!$A$8:$BV$103,COLUMN(기본데이타!AO$8),0))</f>
        <v/>
      </c>
      <c r="AL56" s="636" t="str">
        <f>IF($A56="","",VLOOKUP($A56,기본데이타!$A$8:$BV$103,COLUMN(기본데이타!AP$8),0))</f>
        <v/>
      </c>
      <c r="AM56" s="636" t="str">
        <f>IF($A56="","",VLOOKUP($A56,기본데이타!$A$8:$BV$103,COLUMN(기본데이타!AQ$8),0))</f>
        <v/>
      </c>
      <c r="AN56" s="636" t="str">
        <f>IF($A56="","",VLOOKUP($A56,기본데이타!$A$8:$BV$103,COLUMN(기본데이타!AR$8),0))</f>
        <v/>
      </c>
      <c r="AO56" s="636" t="str">
        <f>IF($A56="","",VLOOKUP($A56,기본데이타!$A$8:$BV$103,COLUMN(기본데이타!AS$8),0))</f>
        <v/>
      </c>
      <c r="AP56" s="636" t="str">
        <f>IF($A56="","",VLOOKUP($A56,기본데이타!$A$8:$BV$103,COLUMN(기본데이타!AT$8),0))</f>
        <v/>
      </c>
      <c r="AQ56" s="636" t="str">
        <f>IF($A56="","",VLOOKUP($A56,기본데이타!$A$8:$BV$103,COLUMN(기본데이타!AU$8),0))</f>
        <v/>
      </c>
      <c r="AR56" s="637" t="str">
        <f>IF($A56="","",VLOOKUP($A56,기본데이타!$A$8:$BV$103,COLUMN(기본데이타!AV$8),0))</f>
        <v/>
      </c>
      <c r="AS56" s="596" t="str">
        <f>IF($A56="","",VLOOKUP($A56,기본데이타!$A$8:$BV$103,COLUMN(기본데이타!AW$8),0))</f>
        <v/>
      </c>
      <c r="AT56" s="596" t="str">
        <f>IF($A56="","",VLOOKUP($A56,기본데이타!$A$8:$BV$103,COLUMN(기본데이타!AX$8),0))</f>
        <v/>
      </c>
      <c r="AU56" s="596" t="str">
        <f>IF($A56="","",VLOOKUP($A56,기본데이타!$A$8:$BV$103,COLUMN(기본데이타!AY$8),0))</f>
        <v/>
      </c>
      <c r="AV56" s="596" t="str">
        <f t="shared" si="2"/>
        <v/>
      </c>
      <c r="AW56" s="597" t="str">
        <f>IF($A56="","",VLOOKUP($A56,기본데이타!$A$8:$BV$103,COLUMN(기본데이타!BA$8),0))</f>
        <v/>
      </c>
      <c r="AX56" s="597" t="str">
        <f>IF($A56="","",VLOOKUP($A56,기본데이타!$A$8:$BV$103,COLUMN(기본데이타!BB$8),0))</f>
        <v/>
      </c>
      <c r="AY56" s="597" t="str">
        <f>IF($A56="","",VLOOKUP($A56,기본데이타!$A$8:$BV$103,COLUMN(기본데이타!BC$8),0))</f>
        <v/>
      </c>
      <c r="AZ56" s="597" t="str">
        <f>IF($A56="","",VLOOKUP($A56,기본데이타!$A$8:$BV$103,COLUMN(기본데이타!BD$8),0))</f>
        <v/>
      </c>
      <c r="BA56" s="597" t="str">
        <f>IF($A56="","",VLOOKUP($A56,기본데이타!$A$8:$BV$103,COLUMN(기본데이타!BE$8),0))</f>
        <v/>
      </c>
      <c r="BB56" s="597" t="str">
        <f>IF($A56="","",VLOOKUP($A56,기본데이타!$A$8:$BV$103,COLUMN(기본데이타!BF$8),0))</f>
        <v/>
      </c>
      <c r="BC56" s="597" t="str">
        <f>IF($A56="","",VLOOKUP($A56,기본데이타!$A$8:$BV$103,COLUMN(기본데이타!BG$8),0))</f>
        <v/>
      </c>
      <c r="BD56" s="1496" t="str">
        <f>IF($A56="","",VLOOKUP($A56,기본데이타!$A$8:$BV$103,COLUMN(기본데이타!BH$8),0))</f>
        <v/>
      </c>
      <c r="BE56" s="597" t="str">
        <f>IF($A56="","",VLOOKUP($A56,기본데이타!$A$8:$BV$103,COLUMN(기본데이타!BI$8),0))</f>
        <v/>
      </c>
      <c r="BF56" s="597" t="str">
        <f>IF($A56="","",VLOOKUP($A56,기본데이타!$A$8:$BV$103,COLUMN(기본데이타!BJ$8),0))</f>
        <v/>
      </c>
      <c r="BG56" s="597" t="str">
        <f>IF($A56="","",VLOOKUP($A56,기본데이타!$A$8:$BV$103,COLUMN(기본데이타!BK$8),0))</f>
        <v/>
      </c>
      <c r="BH56" s="597" t="str">
        <f>IF($A56="","",VLOOKUP($A56,기본데이타!$A$8:$BV$103,COLUMN(기본데이타!BL$8),0))</f>
        <v/>
      </c>
      <c r="BI56" s="597" t="str">
        <f>IF($A56="","",VLOOKUP($A56,기본데이타!$A$8:$BV$103,COLUMN(기본데이타!BM$8),0))</f>
        <v/>
      </c>
      <c r="BJ56" s="597" t="str">
        <f>IF($A56="","",VLOOKUP($A56,기본데이타!$A$8:$BV$103,COLUMN(기본데이타!BN$8),0))</f>
        <v/>
      </c>
      <c r="BK56" s="597" t="str">
        <f>IF($A56="","",VLOOKUP($A56,기본데이타!$A$8:$BV$103,COLUMN(기본데이타!BO$8),0))</f>
        <v/>
      </c>
      <c r="BL56" s="597" t="str">
        <f>IF($A56="","",VLOOKUP($A56,기본데이타!$A$8:$BV$103,COLUMN(기본데이타!BP$8),0))</f>
        <v/>
      </c>
      <c r="BM56" s="597" t="str">
        <f>IF($A56="","",VLOOKUP($A56,기본데이타!$A$8:$BV$103,COLUMN(기본데이타!BQ$8),0))</f>
        <v/>
      </c>
      <c r="BN56" s="599" t="str">
        <f>IF($A56="","",VLOOKUP($A56,기본데이타!$A$8:$BV$103,COLUMN(기본데이타!BR$8),0))</f>
        <v/>
      </c>
      <c r="BO56" s="600" t="str">
        <f>IF($A56="","",VLOOKUP($A56,기본데이타!$A$8:$BV$103,COLUMN(기본데이타!BS$8),0))</f>
        <v/>
      </c>
      <c r="BP56" s="623" t="str">
        <f>IF($A56="","",VLOOKUP($A56,기본데이타!$A$8:$BV$103,COLUMN(기본데이타!BT$8),0))</f>
        <v/>
      </c>
      <c r="BQ56" s="602" t="str">
        <f>IF($A56="","",VLOOKUP($A56,기본데이타!$A$8:$BV$103,COLUMN(기본데이타!BU$8),0))</f>
        <v/>
      </c>
      <c r="BR56" s="603" t="str">
        <f t="shared" si="3"/>
        <v/>
      </c>
    </row>
    <row r="57" spans="1:73" s="571" customFormat="1" ht="61.5" hidden="1" customHeight="1" outlineLevel="1">
      <c r="A57" s="578"/>
      <c r="B57" s="1642"/>
      <c r="C57" s="590"/>
      <c r="D57" s="591" t="str">
        <f>IF($A57="","",VLOOKUP($A57,기본데이타!$A$8:$BV$103,COLUMN(기본데이타!F$8),0))</f>
        <v/>
      </c>
      <c r="E57" s="592" t="str">
        <f>IF($A57="","",VLOOKUP($A57,기본데이타!$A$8:$BV$103,COLUMN(기본데이타!G$8),0))</f>
        <v/>
      </c>
      <c r="F57" s="593" t="str">
        <f>IF($A57="","",VLOOKUP($A57,기본데이타!$A$8:$BV$103,COLUMN(기본데이타!H$8),0))</f>
        <v/>
      </c>
      <c r="G57" s="594" t="str">
        <f>IF($A57="","",VLOOKUP($A57,기본데이타!$A$8:$BV$103,COLUMN(기본데이타!I$8),0))</f>
        <v/>
      </c>
      <c r="H57" s="594" t="str">
        <f>IF($A57="","",VLOOKUP($A57,기본데이타!$A$8:$BV$103,COLUMN(기본데이타!J$8),0))</f>
        <v/>
      </c>
      <c r="I57" s="595" t="str">
        <f>IF($A57="","",VLOOKUP($A57,기본데이타!$A$8:$BV$103,COLUMN(기본데이타!K$8),0))</f>
        <v/>
      </c>
      <c r="J57" s="595" t="str">
        <f>IF($A57="","",VLOOKUP($A57,기본데이타!$A$8:$BV$103,COLUMN(기본데이타!L$8),0))</f>
        <v/>
      </c>
      <c r="K57" s="595" t="str">
        <f>IF($A57="","",VLOOKUP($A57,기본데이타!$A$8:$BV$103,COLUMN(기본데이타!M$8),0))</f>
        <v/>
      </c>
      <c r="L57" s="596" t="str">
        <f>IF($A57="","",VLOOKUP($A57,기본데이타!$A$8:$BV$103,COLUMN(기본데이타!N$8),0))</f>
        <v/>
      </c>
      <c r="M57" s="595" t="str">
        <f>IF($A57="","",VLOOKUP($A57,기본데이타!$A$8:$BV$103,COLUMN(기본데이타!O$8),0))</f>
        <v/>
      </c>
      <c r="N57" s="596" t="str">
        <f>IF($A57="","",VLOOKUP($A57,기본데이타!$A$8:$BV$103,COLUMN(기본데이타!P$8),0))</f>
        <v/>
      </c>
      <c r="O57" s="596" t="str">
        <f>IF($A57="","",VLOOKUP($A57,기본데이타!$A$8:$BV$103,COLUMN(기본데이타!Q$8),0))</f>
        <v/>
      </c>
      <c r="P57" s="596" t="str">
        <f>IF($A57="","",VLOOKUP($A57,기본데이타!$A$8:$BV$103,COLUMN(기본데이타!R$8),0))</f>
        <v/>
      </c>
      <c r="Q57" s="596" t="str">
        <f>IF($A57="","",VLOOKUP($A57,기본데이타!$A$8:$BV$103,COLUMN(기본데이타!S$8),0))</f>
        <v/>
      </c>
      <c r="R57" s="596" t="str">
        <f>IF($A57="","",VLOOKUP($A57,기본데이타!$A$8:$BV$103,COLUMN(기본데이타!T$8),0))</f>
        <v/>
      </c>
      <c r="S57" s="596" t="str">
        <f>IF($A57="","",VLOOKUP($A57,기본데이타!$A$8:$BV$103,COLUMN(기본데이타!U$8),0))</f>
        <v/>
      </c>
      <c r="T57" s="596" t="str">
        <f>IF($A57="","",VLOOKUP($A57,기본데이타!$A$8:$BV$103,COLUMN(기본데이타!V$8),0))</f>
        <v/>
      </c>
      <c r="U57" s="596" t="str">
        <f>IF($A57="","",VLOOKUP($A57,기본데이타!$A$8:$BV$103,COLUMN(기본데이타!W$8),0))</f>
        <v/>
      </c>
      <c r="V57" s="596" t="str">
        <f>IF($A57="","",VLOOKUP($A57,기본데이타!$A$8:$BV$103,COLUMN(기본데이타!X$8),0))</f>
        <v/>
      </c>
      <c r="W57" s="596" t="str">
        <f>IF($A57="","",VLOOKUP($A57,기본데이타!$A$8:$BV$103,COLUMN(기본데이타!AA$8),0))</f>
        <v/>
      </c>
      <c r="X57" s="596" t="str">
        <f>IF($A57="","",VLOOKUP($A57,기본데이타!$A$8:$BV$103,COLUMN(기본데이타!AB$8),0))</f>
        <v/>
      </c>
      <c r="Y57" s="595" t="str">
        <f>IF($A57="","",VLOOKUP($A57,기본데이타!$A$8:$BV$103,COLUMN(기본데이타!AC$8),0))</f>
        <v/>
      </c>
      <c r="Z57" s="596" t="str">
        <f>IF($A57="","",VLOOKUP($A57,기본데이타!$A$8:$BV$103,COLUMN(기본데이타!AD$8),0))</f>
        <v/>
      </c>
      <c r="AA57" s="595" t="str">
        <f>IF($A57="","",VLOOKUP($A57,기본데이타!$A$8:$BV$103,COLUMN(기본데이타!AE$8),0))</f>
        <v/>
      </c>
      <c r="AB57" s="596" t="str">
        <f>IF($A57="","",VLOOKUP($A57,기본데이타!$A$8:$BV$103,COLUMN(기본데이타!AF$8),0))</f>
        <v/>
      </c>
      <c r="AC57" s="595" t="str">
        <f>IF($A57="","",VLOOKUP($A57,기본데이타!$A$8:$BV$103,COLUMN(기본데이타!AG$8),0))</f>
        <v/>
      </c>
      <c r="AD57" s="596" t="str">
        <f>IF($A57="","",VLOOKUP($A57,기본데이타!$A$8:$BV$103,COLUMN(기본데이타!AH$8),0))</f>
        <v/>
      </c>
      <c r="AE57" s="595" t="str">
        <f>IF($A57="","",VLOOKUP($A57,기본데이타!$A$8:$BV$103,COLUMN(기본데이타!AI$8),0))</f>
        <v/>
      </c>
      <c r="AF57" s="597" t="str">
        <f>IF($A57="","",VLOOKUP($A57,기본데이타!$A$8:$BV$103,COLUMN(기본데이타!AJ$8),0))</f>
        <v/>
      </c>
      <c r="AG57" s="580" t="str">
        <f>IF($A57="","",VLOOKUP($A57,기본데이타!$A$8:$BV$103,COLUMN(기본데이타!AK$8),0))</f>
        <v/>
      </c>
      <c r="AH57" s="580" t="str">
        <f>IF($A57="","",VLOOKUP($A57,기본데이타!$A$8:$BV$103,COLUMN(기본데이타!AL$8),0))</f>
        <v/>
      </c>
      <c r="AI57" s="580" t="str">
        <f>IF($A57="","",VLOOKUP($A57,기본데이타!$A$8:$BV$103,COLUMN(기본데이타!AM$8),0))</f>
        <v/>
      </c>
      <c r="AJ57" s="636" t="str">
        <f>IF($A57="","",VLOOKUP($A57,기본데이타!$A$8:$BV$103,COLUMN(기본데이타!AN$8),0))</f>
        <v/>
      </c>
      <c r="AK57" s="636" t="str">
        <f>IF($A57="","",VLOOKUP($A57,기본데이타!$A$8:$BV$103,COLUMN(기본데이타!AO$8),0))</f>
        <v/>
      </c>
      <c r="AL57" s="636" t="str">
        <f>IF($A57="","",VLOOKUP($A57,기본데이타!$A$8:$BV$103,COLUMN(기본데이타!AP$8),0))</f>
        <v/>
      </c>
      <c r="AM57" s="636" t="str">
        <f>IF($A57="","",VLOOKUP($A57,기본데이타!$A$8:$BV$103,COLUMN(기본데이타!AQ$8),0))</f>
        <v/>
      </c>
      <c r="AN57" s="636" t="str">
        <f>IF($A57="","",VLOOKUP($A57,기본데이타!$A$8:$BV$103,COLUMN(기본데이타!AR$8),0))</f>
        <v/>
      </c>
      <c r="AO57" s="636" t="str">
        <f>IF($A57="","",VLOOKUP($A57,기본데이타!$A$8:$BV$103,COLUMN(기본데이타!AS$8),0))</f>
        <v/>
      </c>
      <c r="AP57" s="636" t="str">
        <f>IF($A57="","",VLOOKUP($A57,기본데이타!$A$8:$BV$103,COLUMN(기본데이타!AT$8),0))</f>
        <v/>
      </c>
      <c r="AQ57" s="636" t="str">
        <f>IF($A57="","",VLOOKUP($A57,기본데이타!$A$8:$BV$103,COLUMN(기본데이타!AU$8),0))</f>
        <v/>
      </c>
      <c r="AR57" s="637" t="str">
        <f>IF($A57="","",VLOOKUP($A57,기본데이타!$A$8:$BV$103,COLUMN(기본데이타!AV$8),0))</f>
        <v/>
      </c>
      <c r="AS57" s="596" t="str">
        <f>IF($A57="","",VLOOKUP($A57,기본데이타!$A$8:$BV$103,COLUMN(기본데이타!AW$8),0))</f>
        <v/>
      </c>
      <c r="AT57" s="596" t="str">
        <f>IF($A57="","",VLOOKUP($A57,기본데이타!$A$8:$BV$103,COLUMN(기본데이타!AX$8),0))</f>
        <v/>
      </c>
      <c r="AU57" s="596" t="str">
        <f>IF($A57="","",VLOOKUP($A57,기본데이타!$A$8:$BV$103,COLUMN(기본데이타!AY$8),0))</f>
        <v/>
      </c>
      <c r="AV57" s="596" t="str">
        <f t="shared" si="2"/>
        <v/>
      </c>
      <c r="AW57" s="597" t="str">
        <f>IF($A57="","",VLOOKUP($A57,기본데이타!$A$8:$BV$103,COLUMN(기본데이타!BA$8),0))</f>
        <v/>
      </c>
      <c r="AX57" s="597" t="str">
        <f>IF($A57="","",VLOOKUP($A57,기본데이타!$A$8:$BV$103,COLUMN(기본데이타!BB$8),0))</f>
        <v/>
      </c>
      <c r="AY57" s="597" t="str">
        <f>IF($A57="","",VLOOKUP($A57,기본데이타!$A$8:$BV$103,COLUMN(기본데이타!BC$8),0))</f>
        <v/>
      </c>
      <c r="AZ57" s="597" t="str">
        <f>IF($A57="","",VLOOKUP($A57,기본데이타!$A$8:$BV$103,COLUMN(기본데이타!BD$8),0))</f>
        <v/>
      </c>
      <c r="BA57" s="597" t="str">
        <f>IF($A57="","",VLOOKUP($A57,기본데이타!$A$8:$BV$103,COLUMN(기본데이타!BE$8),0))</f>
        <v/>
      </c>
      <c r="BB57" s="597" t="str">
        <f>IF($A57="","",VLOOKUP($A57,기본데이타!$A$8:$BV$103,COLUMN(기본데이타!BF$8),0))</f>
        <v/>
      </c>
      <c r="BC57" s="597" t="str">
        <f>IF($A57="","",VLOOKUP($A57,기본데이타!$A$8:$BV$103,COLUMN(기본데이타!BG$8),0))</f>
        <v/>
      </c>
      <c r="BD57" s="597" t="str">
        <f>IF($A57="","",VLOOKUP($A57,기본데이타!$A$8:$BV$103,COLUMN(기본데이타!BH$8),0))</f>
        <v/>
      </c>
      <c r="BE57" s="597" t="str">
        <f>IF($A57="","",VLOOKUP($A57,기본데이타!$A$8:$BV$103,COLUMN(기본데이타!BI$8),0))</f>
        <v/>
      </c>
      <c r="BF57" s="597" t="str">
        <f>IF($A57="","",VLOOKUP($A57,기본데이타!$A$8:$BV$103,COLUMN(기본데이타!BJ$8),0))</f>
        <v/>
      </c>
      <c r="BG57" s="597" t="str">
        <f>IF($A57="","",VLOOKUP($A57,기본데이타!$A$8:$BV$103,COLUMN(기본데이타!BK$8),0))</f>
        <v/>
      </c>
      <c r="BH57" s="597" t="str">
        <f>IF($A57="","",VLOOKUP($A57,기본데이타!$A$8:$BV$103,COLUMN(기본데이타!BL$8),0))</f>
        <v/>
      </c>
      <c r="BI57" s="597" t="str">
        <f>IF($A57="","",VLOOKUP($A57,기본데이타!$A$8:$BV$103,COLUMN(기본데이타!BM$8),0))</f>
        <v/>
      </c>
      <c r="BJ57" s="597" t="str">
        <f>IF($A57="","",VLOOKUP($A57,기본데이타!$A$8:$BV$103,COLUMN(기본데이타!BN$8),0))</f>
        <v/>
      </c>
      <c r="BK57" s="597" t="str">
        <f>IF($A57="","",VLOOKUP($A57,기본데이타!$A$8:$BV$103,COLUMN(기본데이타!BO$8),0))</f>
        <v/>
      </c>
      <c r="BL57" s="597" t="str">
        <f>IF($A57="","",VLOOKUP($A57,기본데이타!$A$8:$BV$103,COLUMN(기본데이타!BP$8),0))</f>
        <v/>
      </c>
      <c r="BM57" s="597" t="str">
        <f>IF($A57="","",VLOOKUP($A57,기본데이타!$A$8:$BV$103,COLUMN(기본데이타!BQ$8),0))</f>
        <v/>
      </c>
      <c r="BN57" s="599" t="str">
        <f>IF($A57="","",VLOOKUP($A57,기본데이타!$A$8:$BV$103,COLUMN(기본데이타!BR$8),0))</f>
        <v/>
      </c>
      <c r="BO57" s="600" t="str">
        <f>IF($A57="","",VLOOKUP($A57,기본데이타!$A$8:$BV$103,COLUMN(기본데이타!BS$8),0))</f>
        <v/>
      </c>
      <c r="BP57" s="623" t="str">
        <f>IF($A57="","",VLOOKUP($A57,기본데이타!$A$8:$BV$103,COLUMN(기본데이타!BT$8),0))</f>
        <v/>
      </c>
      <c r="BQ57" s="602" t="str">
        <f>IF($A57="","",VLOOKUP($A57,기본데이타!$A$8:$BV$103,COLUMN(기본데이타!BU$8),0))</f>
        <v/>
      </c>
      <c r="BR57" s="603" t="str">
        <f t="shared" si="3"/>
        <v/>
      </c>
    </row>
    <row r="58" spans="1:73" s="571" customFormat="1" ht="61.5" hidden="1" customHeight="1" outlineLevel="1">
      <c r="A58" s="578"/>
      <c r="B58" s="1642"/>
      <c r="C58" s="590"/>
      <c r="D58" s="591" t="str">
        <f>IF($A58="","",VLOOKUP($A58,기본데이타!$A$8:$BV$103,COLUMN(기본데이타!F$8),0))</f>
        <v/>
      </c>
      <c r="E58" s="592" t="str">
        <f>IF($A58="","",VLOOKUP($A58,기본데이타!$A$8:$BV$103,COLUMN(기본데이타!G$8),0))</f>
        <v/>
      </c>
      <c r="F58" s="593" t="str">
        <f>IF($A58="","",VLOOKUP($A58,기본데이타!$A$8:$BV$103,COLUMN(기본데이타!H$8),0))</f>
        <v/>
      </c>
      <c r="G58" s="594" t="str">
        <f>IF($A58="","",VLOOKUP($A58,기본데이타!$A$8:$BV$103,COLUMN(기본데이타!I$8),0))</f>
        <v/>
      </c>
      <c r="H58" s="594" t="str">
        <f>IF($A58="","",VLOOKUP($A58,기본데이타!$A$8:$BV$103,COLUMN(기본데이타!J$8),0))</f>
        <v/>
      </c>
      <c r="I58" s="595" t="str">
        <f>IF($A58="","",VLOOKUP($A58,기본데이타!$A$8:$BV$103,COLUMN(기본데이타!K$8),0))</f>
        <v/>
      </c>
      <c r="J58" s="595" t="str">
        <f>IF($A58="","",VLOOKUP($A58,기본데이타!$A$8:$BV$103,COLUMN(기본데이타!L$8),0))</f>
        <v/>
      </c>
      <c r="K58" s="595" t="str">
        <f>IF($A58="","",VLOOKUP($A58,기본데이타!$A$8:$BV$103,COLUMN(기본데이타!M$8),0))</f>
        <v/>
      </c>
      <c r="L58" s="596" t="str">
        <f>IF($A58="","",VLOOKUP($A58,기본데이타!$A$8:$BV$103,COLUMN(기본데이타!N$8),0))</f>
        <v/>
      </c>
      <c r="M58" s="595" t="str">
        <f>IF($A58="","",VLOOKUP($A58,기본데이타!$A$8:$BV$103,COLUMN(기본데이타!O$8),0))</f>
        <v/>
      </c>
      <c r="N58" s="596" t="str">
        <f>IF($A58="","",VLOOKUP($A58,기본데이타!$A$8:$BV$103,COLUMN(기본데이타!P$8),0))</f>
        <v/>
      </c>
      <c r="O58" s="596" t="str">
        <f>IF($A58="","",VLOOKUP($A58,기본데이타!$A$8:$BV$103,COLUMN(기본데이타!Q$8),0))</f>
        <v/>
      </c>
      <c r="P58" s="596" t="str">
        <f>IF($A58="","",VLOOKUP($A58,기본데이타!$A$8:$BV$103,COLUMN(기본데이타!R$8),0))</f>
        <v/>
      </c>
      <c r="Q58" s="596" t="str">
        <f>IF($A58="","",VLOOKUP($A58,기본데이타!$A$8:$BV$103,COLUMN(기본데이타!S$8),0))</f>
        <v/>
      </c>
      <c r="R58" s="596" t="str">
        <f>IF($A58="","",VLOOKUP($A58,기본데이타!$A$8:$BV$103,COLUMN(기본데이타!T$8),0))</f>
        <v/>
      </c>
      <c r="S58" s="596" t="str">
        <f>IF($A58="","",VLOOKUP($A58,기본데이타!$A$8:$BV$103,COLUMN(기본데이타!U$8),0))</f>
        <v/>
      </c>
      <c r="T58" s="596" t="str">
        <f>IF($A58="","",VLOOKUP($A58,기본데이타!$A$8:$BV$103,COLUMN(기본데이타!V$8),0))</f>
        <v/>
      </c>
      <c r="U58" s="596" t="str">
        <f>IF($A58="","",VLOOKUP($A58,기본데이타!$A$8:$BV$103,COLUMN(기본데이타!W$8),0))</f>
        <v/>
      </c>
      <c r="V58" s="596" t="str">
        <f>IF($A58="","",VLOOKUP($A58,기본데이타!$A$8:$BV$103,COLUMN(기본데이타!X$8),0))</f>
        <v/>
      </c>
      <c r="W58" s="596" t="str">
        <f>IF($A58="","",VLOOKUP($A58,기본데이타!$A$8:$BV$103,COLUMN(기본데이타!AA$8),0))</f>
        <v/>
      </c>
      <c r="X58" s="596" t="str">
        <f>IF($A58="","",VLOOKUP($A58,기본데이타!$A$8:$BV$103,COLUMN(기본데이타!AB$8),0))</f>
        <v/>
      </c>
      <c r="Y58" s="595" t="str">
        <f>IF($A58="","",VLOOKUP($A58,기본데이타!$A$8:$BV$103,COLUMN(기본데이타!AC$8),0))</f>
        <v/>
      </c>
      <c r="Z58" s="596" t="str">
        <f>IF($A58="","",VLOOKUP($A58,기본데이타!$A$8:$BV$103,COLUMN(기본데이타!AD$8),0))</f>
        <v/>
      </c>
      <c r="AA58" s="595" t="str">
        <f>IF($A58="","",VLOOKUP($A58,기본데이타!$A$8:$BV$103,COLUMN(기본데이타!AE$8),0))</f>
        <v/>
      </c>
      <c r="AB58" s="596" t="str">
        <f>IF($A58="","",VLOOKUP($A58,기본데이타!$A$8:$BV$103,COLUMN(기본데이타!AF$8),0))</f>
        <v/>
      </c>
      <c r="AC58" s="595" t="str">
        <f>IF($A58="","",VLOOKUP($A58,기본데이타!$A$8:$BV$103,COLUMN(기본데이타!AG$8),0))</f>
        <v/>
      </c>
      <c r="AD58" s="596" t="str">
        <f>IF($A58="","",VLOOKUP($A58,기본데이타!$A$8:$BV$103,COLUMN(기본데이타!AH$8),0))</f>
        <v/>
      </c>
      <c r="AE58" s="595" t="str">
        <f>IF($A58="","",VLOOKUP($A58,기본데이타!$A$8:$BV$103,COLUMN(기본데이타!AI$8),0))</f>
        <v/>
      </c>
      <c r="AF58" s="597" t="str">
        <f>IF($A58="","",VLOOKUP($A58,기본데이타!$A$8:$BV$103,COLUMN(기본데이타!AJ$8),0))</f>
        <v/>
      </c>
      <c r="AG58" s="580" t="str">
        <f>IF($A58="","",VLOOKUP($A58,기본데이타!$A$8:$BV$103,COLUMN(기본데이타!AK$8),0))</f>
        <v/>
      </c>
      <c r="AH58" s="580" t="str">
        <f>IF($A58="","",VLOOKUP($A58,기본데이타!$A$8:$BV$103,COLUMN(기본데이타!AL$8),0))</f>
        <v/>
      </c>
      <c r="AI58" s="580" t="str">
        <f>IF($A58="","",VLOOKUP($A58,기본데이타!$A$8:$BV$103,COLUMN(기본데이타!AM$8),0))</f>
        <v/>
      </c>
      <c r="AJ58" s="636" t="str">
        <f>IF($A58="","",VLOOKUP($A58,기본데이타!$A$8:$BV$103,COLUMN(기본데이타!AN$8),0))</f>
        <v/>
      </c>
      <c r="AK58" s="636" t="str">
        <f>IF($A58="","",VLOOKUP($A58,기본데이타!$A$8:$BV$103,COLUMN(기본데이타!AO$8),0))</f>
        <v/>
      </c>
      <c r="AL58" s="636" t="str">
        <f>IF($A58="","",VLOOKUP($A58,기본데이타!$A$8:$BV$103,COLUMN(기본데이타!AP$8),0))</f>
        <v/>
      </c>
      <c r="AM58" s="636" t="str">
        <f>IF($A58="","",VLOOKUP($A58,기본데이타!$A$8:$BV$103,COLUMN(기본데이타!AQ$8),0))</f>
        <v/>
      </c>
      <c r="AN58" s="636" t="str">
        <f>IF($A58="","",VLOOKUP($A58,기본데이타!$A$8:$BV$103,COLUMN(기본데이타!AR$8),0))</f>
        <v/>
      </c>
      <c r="AO58" s="636" t="str">
        <f>IF($A58="","",VLOOKUP($A58,기본데이타!$A$8:$BV$103,COLUMN(기본데이타!AS$8),0))</f>
        <v/>
      </c>
      <c r="AP58" s="636" t="str">
        <f>IF($A58="","",VLOOKUP($A58,기본데이타!$A$8:$BV$103,COLUMN(기본데이타!AT$8),0))</f>
        <v/>
      </c>
      <c r="AQ58" s="636" t="str">
        <f>IF($A58="","",VLOOKUP($A58,기본데이타!$A$8:$BV$103,COLUMN(기본데이타!AU$8),0))</f>
        <v/>
      </c>
      <c r="AR58" s="637" t="str">
        <f>IF($A58="","",VLOOKUP($A58,기본데이타!$A$8:$BV$103,COLUMN(기본데이타!AV$8),0))</f>
        <v/>
      </c>
      <c r="AS58" s="596" t="str">
        <f>IF($A58="","",VLOOKUP($A58,기본데이타!$A$8:$BV$103,COLUMN(기본데이타!AW$8),0))</f>
        <v/>
      </c>
      <c r="AT58" s="596" t="str">
        <f>IF($A58="","",VLOOKUP($A58,기본데이타!$A$8:$BV$103,COLUMN(기본데이타!AX$8),0))</f>
        <v/>
      </c>
      <c r="AU58" s="596" t="str">
        <f>IF($A58="","",VLOOKUP($A58,기본데이타!$A$8:$BV$103,COLUMN(기본데이타!AY$8),0))</f>
        <v/>
      </c>
      <c r="AV58" s="596" t="str">
        <f t="shared" si="2"/>
        <v/>
      </c>
      <c r="AW58" s="597" t="str">
        <f>IF($A58="","",VLOOKUP($A58,기본데이타!$A$8:$BV$103,COLUMN(기본데이타!BA$8),0))</f>
        <v/>
      </c>
      <c r="AX58" s="597" t="str">
        <f>IF($A58="","",VLOOKUP($A58,기본데이타!$A$8:$BV$103,COLUMN(기본데이타!BB$8),0))</f>
        <v/>
      </c>
      <c r="AY58" s="597" t="str">
        <f>IF($A58="","",VLOOKUP($A58,기본데이타!$A$8:$BV$103,COLUMN(기본데이타!BC$8),0))</f>
        <v/>
      </c>
      <c r="AZ58" s="597" t="str">
        <f>IF($A58="","",VLOOKUP($A58,기본데이타!$A$8:$BV$103,COLUMN(기본데이타!BD$8),0))</f>
        <v/>
      </c>
      <c r="BA58" s="597" t="str">
        <f>IF($A58="","",VLOOKUP($A58,기본데이타!$A$8:$BV$103,COLUMN(기본데이타!BE$8),0))</f>
        <v/>
      </c>
      <c r="BB58" s="597" t="str">
        <f>IF($A58="","",VLOOKUP($A58,기본데이타!$A$8:$BV$103,COLUMN(기본데이타!BF$8),0))</f>
        <v/>
      </c>
      <c r="BC58" s="597" t="str">
        <f>IF($A58="","",VLOOKUP($A58,기본데이타!$A$8:$BV$103,COLUMN(기본데이타!BG$8),0))</f>
        <v/>
      </c>
      <c r="BD58" s="597" t="str">
        <f>IF($A58="","",VLOOKUP($A58,기본데이타!$A$8:$BV$103,COLUMN(기본데이타!BH$8),0))</f>
        <v/>
      </c>
      <c r="BE58" s="597" t="str">
        <f>IF($A58="","",VLOOKUP($A58,기본데이타!$A$8:$BV$103,COLUMN(기본데이타!BI$8),0))</f>
        <v/>
      </c>
      <c r="BF58" s="597" t="str">
        <f>IF($A58="","",VLOOKUP($A58,기본데이타!$A$8:$BV$103,COLUMN(기본데이타!BJ$8),0))</f>
        <v/>
      </c>
      <c r="BG58" s="597" t="str">
        <f>IF($A58="","",VLOOKUP($A58,기본데이타!$A$8:$BV$103,COLUMN(기본데이타!BK$8),0))</f>
        <v/>
      </c>
      <c r="BH58" s="597" t="str">
        <f>IF($A58="","",VLOOKUP($A58,기본데이타!$A$8:$BV$103,COLUMN(기본데이타!BL$8),0))</f>
        <v/>
      </c>
      <c r="BI58" s="597" t="str">
        <f>IF($A58="","",VLOOKUP($A58,기본데이타!$A$8:$BV$103,COLUMN(기본데이타!BM$8),0))</f>
        <v/>
      </c>
      <c r="BJ58" s="597" t="str">
        <f>IF($A58="","",VLOOKUP($A58,기본데이타!$A$8:$BV$103,COLUMN(기본데이타!BN$8),0))</f>
        <v/>
      </c>
      <c r="BK58" s="597" t="str">
        <f>IF($A58="","",VLOOKUP($A58,기본데이타!$A$8:$BV$103,COLUMN(기본데이타!BO$8),0))</f>
        <v/>
      </c>
      <c r="BL58" s="597" t="str">
        <f>IF($A58="","",VLOOKUP($A58,기본데이타!$A$8:$BV$103,COLUMN(기본데이타!BP$8),0))</f>
        <v/>
      </c>
      <c r="BM58" s="597" t="str">
        <f>IF($A58="","",VLOOKUP($A58,기본데이타!$A$8:$BV$103,COLUMN(기본데이타!BQ$8),0))</f>
        <v/>
      </c>
      <c r="BN58" s="599" t="str">
        <f>IF($A58="","",VLOOKUP($A58,기본데이타!$A$8:$BV$103,COLUMN(기본데이타!BR$8),0))</f>
        <v/>
      </c>
      <c r="BO58" s="600" t="str">
        <f>IF($A58="","",VLOOKUP($A58,기본데이타!$A$8:$BV$103,COLUMN(기본데이타!BS$8),0))</f>
        <v/>
      </c>
      <c r="BP58" s="623" t="str">
        <f>IF($A58="","",VLOOKUP($A58,기본데이타!$A$8:$BV$103,COLUMN(기본데이타!BT$8),0))</f>
        <v/>
      </c>
      <c r="BQ58" s="602" t="str">
        <f>IF($A58="","",VLOOKUP($A58,기본데이타!$A$8:$BV$103,COLUMN(기본데이타!BU$8),0))</f>
        <v/>
      </c>
      <c r="BR58" s="603" t="str">
        <f t="shared" si="3"/>
        <v/>
      </c>
    </row>
    <row r="59" spans="1:73" s="571" customFormat="1" ht="61.5" hidden="1" customHeight="1" outlineLevel="1">
      <c r="A59" s="578"/>
      <c r="B59" s="1642"/>
      <c r="C59" s="590"/>
      <c r="D59" s="591" t="str">
        <f>IF($A59="","",VLOOKUP($A59,기본데이타!$A$8:$BV$103,COLUMN(기본데이타!F$8),0))</f>
        <v/>
      </c>
      <c r="E59" s="592" t="str">
        <f>IF($A59="","",VLOOKUP($A59,기본데이타!$A$8:$BV$103,COLUMN(기본데이타!G$8),0))</f>
        <v/>
      </c>
      <c r="F59" s="593" t="str">
        <f>IF($A59="","",VLOOKUP($A59,기본데이타!$A$8:$BV$103,COLUMN(기본데이타!H$8),0))</f>
        <v/>
      </c>
      <c r="G59" s="594" t="str">
        <f>IF($A59="","",VLOOKUP($A59,기본데이타!$A$8:$BV$103,COLUMN(기본데이타!I$8),0))</f>
        <v/>
      </c>
      <c r="H59" s="594" t="str">
        <f>IF($A59="","",VLOOKUP($A59,기본데이타!$A$8:$BV$103,COLUMN(기본데이타!J$8),0))</f>
        <v/>
      </c>
      <c r="I59" s="595" t="str">
        <f>IF($A59="","",VLOOKUP($A59,기본데이타!$A$8:$BV$103,COLUMN(기본데이타!K$8),0))</f>
        <v/>
      </c>
      <c r="J59" s="595" t="str">
        <f>IF($A59="","",VLOOKUP($A59,기본데이타!$A$8:$BV$103,COLUMN(기본데이타!L$8),0))</f>
        <v/>
      </c>
      <c r="K59" s="595" t="str">
        <f>IF($A59="","",VLOOKUP($A59,기본데이타!$A$8:$BV$103,COLUMN(기본데이타!M$8),0))</f>
        <v/>
      </c>
      <c r="L59" s="596" t="str">
        <f>IF($A59="","",VLOOKUP($A59,기본데이타!$A$8:$BV$103,COLUMN(기본데이타!N$8),0))</f>
        <v/>
      </c>
      <c r="M59" s="595" t="str">
        <f>IF($A59="","",VLOOKUP($A59,기본데이타!$A$8:$BV$103,COLUMN(기본데이타!O$8),0))</f>
        <v/>
      </c>
      <c r="N59" s="596" t="str">
        <f>IF($A59="","",VLOOKUP($A59,기본데이타!$A$8:$BV$103,COLUMN(기본데이타!P$8),0))</f>
        <v/>
      </c>
      <c r="O59" s="596" t="str">
        <f>IF($A59="","",VLOOKUP($A59,기본데이타!$A$8:$BV$103,COLUMN(기본데이타!Q$8),0))</f>
        <v/>
      </c>
      <c r="P59" s="596" t="str">
        <f>IF($A59="","",VLOOKUP($A59,기본데이타!$A$8:$BV$103,COLUMN(기본데이타!R$8),0))</f>
        <v/>
      </c>
      <c r="Q59" s="596" t="str">
        <f>IF($A59="","",VLOOKUP($A59,기본데이타!$A$8:$BV$103,COLUMN(기본데이타!S$8),0))</f>
        <v/>
      </c>
      <c r="R59" s="596" t="str">
        <f>IF($A59="","",VLOOKUP($A59,기본데이타!$A$8:$BV$103,COLUMN(기본데이타!T$8),0))</f>
        <v/>
      </c>
      <c r="S59" s="596" t="str">
        <f>IF($A59="","",VLOOKUP($A59,기본데이타!$A$8:$BV$103,COLUMN(기본데이타!U$8),0))</f>
        <v/>
      </c>
      <c r="T59" s="596" t="str">
        <f>IF($A59="","",VLOOKUP($A59,기본데이타!$A$8:$BV$103,COLUMN(기본데이타!V$8),0))</f>
        <v/>
      </c>
      <c r="U59" s="596" t="str">
        <f>IF($A59="","",VLOOKUP($A59,기본데이타!$A$8:$BV$103,COLUMN(기본데이타!W$8),0))</f>
        <v/>
      </c>
      <c r="V59" s="596" t="str">
        <f>IF($A59="","",VLOOKUP($A59,기본데이타!$A$8:$BV$103,COLUMN(기본데이타!X$8),0))</f>
        <v/>
      </c>
      <c r="W59" s="596" t="str">
        <f>IF($A59="","",VLOOKUP($A59,기본데이타!$A$8:$BV$103,COLUMN(기본데이타!AA$8),0))</f>
        <v/>
      </c>
      <c r="X59" s="596" t="str">
        <f>IF($A59="","",VLOOKUP($A59,기본데이타!$A$8:$BV$103,COLUMN(기본데이타!AB$8),0))</f>
        <v/>
      </c>
      <c r="Y59" s="595" t="str">
        <f>IF($A59="","",VLOOKUP($A59,기본데이타!$A$8:$BV$103,COLUMN(기본데이타!AC$8),0))</f>
        <v/>
      </c>
      <c r="Z59" s="596" t="str">
        <f>IF($A59="","",VLOOKUP($A59,기본데이타!$A$8:$BV$103,COLUMN(기본데이타!AD$8),0))</f>
        <v/>
      </c>
      <c r="AA59" s="595" t="str">
        <f>IF($A59="","",VLOOKUP($A59,기본데이타!$A$8:$BV$103,COLUMN(기본데이타!AE$8),0))</f>
        <v/>
      </c>
      <c r="AB59" s="596" t="str">
        <f>IF($A59="","",VLOOKUP($A59,기본데이타!$A$8:$BV$103,COLUMN(기본데이타!AF$8),0))</f>
        <v/>
      </c>
      <c r="AC59" s="595" t="str">
        <f>IF($A59="","",VLOOKUP($A59,기본데이타!$A$8:$BV$103,COLUMN(기본데이타!AG$8),0))</f>
        <v/>
      </c>
      <c r="AD59" s="596" t="str">
        <f>IF($A59="","",VLOOKUP($A59,기본데이타!$A$8:$BV$103,COLUMN(기본데이타!AH$8),0))</f>
        <v/>
      </c>
      <c r="AE59" s="595" t="str">
        <f>IF($A59="","",VLOOKUP($A59,기본데이타!$A$8:$BV$103,COLUMN(기본데이타!AI$8),0))</f>
        <v/>
      </c>
      <c r="AF59" s="597" t="str">
        <f>IF($A59="","",VLOOKUP($A59,기본데이타!$A$8:$BV$103,COLUMN(기본데이타!AJ$8),0))</f>
        <v/>
      </c>
      <c r="AG59" s="580" t="str">
        <f>IF($A59="","",VLOOKUP($A59,기본데이타!$A$8:$BV$103,COLUMN(기본데이타!AK$8),0))</f>
        <v/>
      </c>
      <c r="AH59" s="580" t="str">
        <f>IF($A59="","",VLOOKUP($A59,기본데이타!$A$8:$BV$103,COLUMN(기본데이타!AL$8),0))</f>
        <v/>
      </c>
      <c r="AI59" s="580" t="str">
        <f>IF($A59="","",VLOOKUP($A59,기본데이타!$A$8:$BV$103,COLUMN(기본데이타!AM$8),0))</f>
        <v/>
      </c>
      <c r="AJ59" s="636" t="str">
        <f>IF($A59="","",VLOOKUP($A59,기본데이타!$A$8:$BV$103,COLUMN(기본데이타!AN$8),0))</f>
        <v/>
      </c>
      <c r="AK59" s="636" t="str">
        <f>IF($A59="","",VLOOKUP($A59,기본데이타!$A$8:$BV$103,COLUMN(기본데이타!AO$8),0))</f>
        <v/>
      </c>
      <c r="AL59" s="636" t="str">
        <f>IF($A59="","",VLOOKUP($A59,기본데이타!$A$8:$BV$103,COLUMN(기본데이타!AP$8),0))</f>
        <v/>
      </c>
      <c r="AM59" s="636" t="str">
        <f>IF($A59="","",VLOOKUP($A59,기본데이타!$A$8:$BV$103,COLUMN(기본데이타!AQ$8),0))</f>
        <v/>
      </c>
      <c r="AN59" s="636" t="str">
        <f>IF($A59="","",VLOOKUP($A59,기본데이타!$A$8:$BV$103,COLUMN(기본데이타!AR$8),0))</f>
        <v/>
      </c>
      <c r="AO59" s="636" t="str">
        <f>IF($A59="","",VLOOKUP($A59,기본데이타!$A$8:$BV$103,COLUMN(기본데이타!AS$8),0))</f>
        <v/>
      </c>
      <c r="AP59" s="636" t="str">
        <f>IF($A59="","",VLOOKUP($A59,기본데이타!$A$8:$BV$103,COLUMN(기본데이타!AT$8),0))</f>
        <v/>
      </c>
      <c r="AQ59" s="636" t="str">
        <f>IF($A59="","",VLOOKUP($A59,기본데이타!$A$8:$BV$103,COLUMN(기본데이타!AU$8),0))</f>
        <v/>
      </c>
      <c r="AR59" s="637" t="str">
        <f>IF($A59="","",VLOOKUP($A59,기본데이타!$A$8:$BV$103,COLUMN(기본데이타!AV$8),0))</f>
        <v/>
      </c>
      <c r="AS59" s="596" t="str">
        <f>IF($A59="","",VLOOKUP($A59,기본데이타!$A$8:$BV$103,COLUMN(기본데이타!AW$8),0))</f>
        <v/>
      </c>
      <c r="AT59" s="596" t="str">
        <f>IF($A59="","",VLOOKUP($A59,기본데이타!$A$8:$BV$103,COLUMN(기본데이타!AX$8),0))</f>
        <v/>
      </c>
      <c r="AU59" s="596" t="str">
        <f>IF($A59="","",VLOOKUP($A59,기본데이타!$A$8:$BV$103,COLUMN(기본데이타!AY$8),0))</f>
        <v/>
      </c>
      <c r="AV59" s="596" t="str">
        <f>IF(AS59="","",SUM(AS59:AU59))</f>
        <v/>
      </c>
      <c r="AW59" s="597" t="str">
        <f>IF($A59="","",VLOOKUP($A59,기본데이타!$A$8:$BV$103,COLUMN(기본데이타!BA$8),0))</f>
        <v/>
      </c>
      <c r="AX59" s="597" t="str">
        <f>IF($A59="","",VLOOKUP($A59,기본데이타!$A$8:$BV$103,COLUMN(기본데이타!BB$8),0))</f>
        <v/>
      </c>
      <c r="AY59" s="597" t="str">
        <f>IF($A59="","",VLOOKUP($A59,기본데이타!$A$8:$BV$103,COLUMN(기본데이타!BC$8),0))</f>
        <v/>
      </c>
      <c r="AZ59" s="597" t="str">
        <f>IF($A59="","",VLOOKUP($A59,기본데이타!$A$8:$BV$103,COLUMN(기본데이타!BD$8),0))</f>
        <v/>
      </c>
      <c r="BA59" s="597" t="str">
        <f>IF($A59="","",VLOOKUP($A59,기본데이타!$A$8:$BV$103,COLUMN(기본데이타!BE$8),0))</f>
        <v/>
      </c>
      <c r="BB59" s="597" t="str">
        <f>IF($A59="","",VLOOKUP($A59,기본데이타!$A$8:$BV$103,COLUMN(기본데이타!BF$8),0))</f>
        <v/>
      </c>
      <c r="BC59" s="597" t="str">
        <f>IF($A59="","",VLOOKUP($A59,기본데이타!$A$8:$BV$103,COLUMN(기본데이타!BG$8),0))</f>
        <v/>
      </c>
      <c r="BD59" s="597" t="str">
        <f>IF($A59="","",VLOOKUP($A59,기본데이타!$A$8:$BV$103,COLUMN(기본데이타!BH$8),0))</f>
        <v/>
      </c>
      <c r="BE59" s="597" t="str">
        <f>IF($A59="","",VLOOKUP($A59,기본데이타!$A$8:$BV$103,COLUMN(기본데이타!BI$8),0))</f>
        <v/>
      </c>
      <c r="BF59" s="597" t="str">
        <f>IF($A59="","",VLOOKUP($A59,기본데이타!$A$8:$BV$103,COLUMN(기본데이타!BJ$8),0))</f>
        <v/>
      </c>
      <c r="BG59" s="597" t="str">
        <f>IF($A59="","",VLOOKUP($A59,기본데이타!$A$8:$BV$103,COLUMN(기본데이타!BK$8),0))</f>
        <v/>
      </c>
      <c r="BH59" s="597" t="str">
        <f>IF($A59="","",VLOOKUP($A59,기본데이타!$A$8:$BV$103,COLUMN(기본데이타!BL$8),0))</f>
        <v/>
      </c>
      <c r="BI59" s="597" t="str">
        <f>IF($A59="","",VLOOKUP($A59,기본데이타!$A$8:$BV$103,COLUMN(기본데이타!BM$8),0))</f>
        <v/>
      </c>
      <c r="BJ59" s="597" t="str">
        <f>IF($A59="","",VLOOKUP($A59,기본데이타!$A$8:$BV$103,COLUMN(기본데이타!BN$8),0))</f>
        <v/>
      </c>
      <c r="BK59" s="597" t="str">
        <f>IF($A59="","",VLOOKUP($A59,기본데이타!$A$8:$BV$103,COLUMN(기본데이타!BO$8),0))</f>
        <v/>
      </c>
      <c r="BL59" s="597" t="str">
        <f>IF($A59="","",VLOOKUP($A59,기본데이타!$A$8:$BV$103,COLUMN(기본데이타!BP$8),0))</f>
        <v/>
      </c>
      <c r="BM59" s="597" t="str">
        <f>IF($A59="","",VLOOKUP($A59,기본데이타!$A$8:$BV$103,COLUMN(기본데이타!BQ$8),0))</f>
        <v/>
      </c>
      <c r="BN59" s="599" t="str">
        <f>IF($A59="","",VLOOKUP($A59,기본데이타!$A$8:$BV$103,COLUMN(기본데이타!BR$8),0))</f>
        <v/>
      </c>
      <c r="BO59" s="600" t="str">
        <f>IF($A59="","",VLOOKUP($A59,기본데이타!$A$8:$BV$103,COLUMN(기본데이타!BS$8),0))</f>
        <v/>
      </c>
      <c r="BP59" s="623" t="str">
        <f>IF($A59="","",VLOOKUP($A59,기본데이타!$A$8:$BV$103,COLUMN(기본데이타!BT$8),0))</f>
        <v/>
      </c>
      <c r="BQ59" s="602" t="str">
        <f>IF($A59="","",VLOOKUP($A59,기본데이타!$A$8:$BV$103,COLUMN(기본데이타!BU$8),0))</f>
        <v/>
      </c>
      <c r="BR59" s="603" t="str">
        <f>IF($A59="","",A59)</f>
        <v/>
      </c>
    </row>
    <row r="60" spans="1:73" s="571" customFormat="1" ht="61.5" hidden="1" customHeight="1" outlineLevel="1">
      <c r="A60" s="578"/>
      <c r="B60" s="1642"/>
      <c r="C60" s="590"/>
      <c r="D60" s="591" t="str">
        <f>IF($A60="","",VLOOKUP($A60,기본데이타!$A$8:$BV$103,COLUMN(기본데이타!F$8),0))</f>
        <v/>
      </c>
      <c r="E60" s="592" t="str">
        <f>IF($A60="","",VLOOKUP($A60,기본데이타!$A$8:$BV$103,COLUMN(기본데이타!G$8),0))</f>
        <v/>
      </c>
      <c r="F60" s="593" t="str">
        <f>IF($A60="","",VLOOKUP($A60,기본데이타!$A$8:$BV$103,COLUMN(기본데이타!H$8),0))</f>
        <v/>
      </c>
      <c r="G60" s="594" t="str">
        <f>IF($A60="","",VLOOKUP($A60,기본데이타!$A$8:$BV$103,COLUMN(기본데이타!I$8),0))</f>
        <v/>
      </c>
      <c r="H60" s="594" t="str">
        <f>IF($A60="","",VLOOKUP($A60,기본데이타!$A$8:$BV$103,COLUMN(기본데이타!J$8),0))</f>
        <v/>
      </c>
      <c r="I60" s="595" t="str">
        <f>IF($A60="","",VLOOKUP($A60,기본데이타!$A$8:$BV$103,COLUMN(기본데이타!K$8),0))</f>
        <v/>
      </c>
      <c r="J60" s="595" t="str">
        <f>IF($A60="","",VLOOKUP($A60,기본데이타!$A$8:$BV$103,COLUMN(기본데이타!L$8),0))</f>
        <v/>
      </c>
      <c r="K60" s="595" t="str">
        <f>IF($A60="","",VLOOKUP($A60,기본데이타!$A$8:$BV$103,COLUMN(기본데이타!M$8),0))</f>
        <v/>
      </c>
      <c r="L60" s="596" t="str">
        <f>IF($A60="","",VLOOKUP($A60,기본데이타!$A$8:$BV$103,COLUMN(기본데이타!N$8),0))</f>
        <v/>
      </c>
      <c r="M60" s="595" t="str">
        <f>IF($A60="","",VLOOKUP($A60,기본데이타!$A$8:$BV$103,COLUMN(기본데이타!O$8),0))</f>
        <v/>
      </c>
      <c r="N60" s="596" t="str">
        <f>IF($A60="","",VLOOKUP($A60,기본데이타!$A$8:$BV$103,COLUMN(기본데이타!P$8),0))</f>
        <v/>
      </c>
      <c r="O60" s="596" t="str">
        <f>IF($A60="","",VLOOKUP($A60,기본데이타!$A$8:$BV$103,COLUMN(기본데이타!Q$8),0))</f>
        <v/>
      </c>
      <c r="P60" s="596" t="str">
        <f>IF($A60="","",VLOOKUP($A60,기본데이타!$A$8:$BV$103,COLUMN(기본데이타!R$8),0))</f>
        <v/>
      </c>
      <c r="Q60" s="596" t="str">
        <f>IF($A60="","",VLOOKUP($A60,기본데이타!$A$8:$BV$103,COLUMN(기본데이타!S$8),0))</f>
        <v/>
      </c>
      <c r="R60" s="596" t="str">
        <f>IF($A60="","",VLOOKUP($A60,기본데이타!$A$8:$BV$103,COLUMN(기본데이타!T$8),0))</f>
        <v/>
      </c>
      <c r="S60" s="596" t="str">
        <f>IF($A60="","",VLOOKUP($A60,기본데이타!$A$8:$BV$103,COLUMN(기본데이타!U$8),0))</f>
        <v/>
      </c>
      <c r="T60" s="596" t="str">
        <f>IF($A60="","",VLOOKUP($A60,기본데이타!$A$8:$BV$103,COLUMN(기본데이타!V$8),0))</f>
        <v/>
      </c>
      <c r="U60" s="596" t="str">
        <f>IF($A60="","",VLOOKUP($A60,기본데이타!$A$8:$BV$103,COLUMN(기본데이타!W$8),0))</f>
        <v/>
      </c>
      <c r="V60" s="596" t="str">
        <f>IF($A60="","",VLOOKUP($A60,기본데이타!$A$8:$BV$103,COLUMN(기본데이타!X$8),0))</f>
        <v/>
      </c>
      <c r="W60" s="596" t="str">
        <f>IF($A60="","",VLOOKUP($A60,기본데이타!$A$8:$BV$103,COLUMN(기본데이타!AA$8),0))</f>
        <v/>
      </c>
      <c r="X60" s="596" t="str">
        <f>IF($A60="","",VLOOKUP($A60,기본데이타!$A$8:$BV$103,COLUMN(기본데이타!AB$8),0))</f>
        <v/>
      </c>
      <c r="Y60" s="595" t="str">
        <f>IF($A60="","",VLOOKUP($A60,기본데이타!$A$8:$BV$103,COLUMN(기본데이타!AC$8),0))</f>
        <v/>
      </c>
      <c r="Z60" s="596" t="str">
        <f>IF($A60="","",VLOOKUP($A60,기본데이타!$A$8:$BV$103,COLUMN(기본데이타!AD$8),0))</f>
        <v/>
      </c>
      <c r="AA60" s="595" t="str">
        <f>IF($A60="","",VLOOKUP($A60,기본데이타!$A$8:$BV$103,COLUMN(기본데이타!AE$8),0))</f>
        <v/>
      </c>
      <c r="AB60" s="596" t="str">
        <f>IF($A60="","",VLOOKUP($A60,기본데이타!$A$8:$BV$103,COLUMN(기본데이타!AF$8),0))</f>
        <v/>
      </c>
      <c r="AC60" s="595" t="str">
        <f>IF($A60="","",VLOOKUP($A60,기본데이타!$A$8:$BV$103,COLUMN(기본데이타!AG$8),0))</f>
        <v/>
      </c>
      <c r="AD60" s="596" t="str">
        <f>IF($A60="","",VLOOKUP($A60,기본데이타!$A$8:$BV$103,COLUMN(기본데이타!AH$8),0))</f>
        <v/>
      </c>
      <c r="AE60" s="595" t="str">
        <f>IF($A60="","",VLOOKUP($A60,기본데이타!$A$8:$BV$103,COLUMN(기본데이타!AI$8),0))</f>
        <v/>
      </c>
      <c r="AF60" s="597" t="str">
        <f>IF($A60="","",VLOOKUP($A60,기본데이타!$A$8:$BV$103,COLUMN(기본데이타!AJ$8),0))</f>
        <v/>
      </c>
      <c r="AG60" s="580" t="str">
        <f>IF($A60="","",VLOOKUP($A60,기본데이타!$A$8:$BV$103,COLUMN(기본데이타!AK$8),0))</f>
        <v/>
      </c>
      <c r="AH60" s="580" t="str">
        <f>IF($A60="","",VLOOKUP($A60,기본데이타!$A$8:$BV$103,COLUMN(기본데이타!AL$8),0))</f>
        <v/>
      </c>
      <c r="AI60" s="580" t="str">
        <f>IF($A60="","",VLOOKUP($A60,기본데이타!$A$8:$BV$103,COLUMN(기본데이타!AM$8),0))</f>
        <v/>
      </c>
      <c r="AJ60" s="636" t="str">
        <f>IF($A60="","",VLOOKUP($A60,기본데이타!$A$8:$BV$103,COLUMN(기본데이타!AN$8),0))</f>
        <v/>
      </c>
      <c r="AK60" s="636" t="str">
        <f>IF($A60="","",VLOOKUP($A60,기본데이타!$A$8:$BV$103,COLUMN(기본데이타!AO$8),0))</f>
        <v/>
      </c>
      <c r="AL60" s="636" t="str">
        <f>IF($A60="","",VLOOKUP($A60,기본데이타!$A$8:$BV$103,COLUMN(기본데이타!AP$8),0))</f>
        <v/>
      </c>
      <c r="AM60" s="636" t="str">
        <f>IF($A60="","",VLOOKUP($A60,기본데이타!$A$8:$BV$103,COLUMN(기본데이타!AQ$8),0))</f>
        <v/>
      </c>
      <c r="AN60" s="636" t="str">
        <f>IF($A60="","",VLOOKUP($A60,기본데이타!$A$8:$BV$103,COLUMN(기본데이타!AR$8),0))</f>
        <v/>
      </c>
      <c r="AO60" s="636" t="str">
        <f>IF($A60="","",VLOOKUP($A60,기본데이타!$A$8:$BV$103,COLUMN(기본데이타!AS$8),0))</f>
        <v/>
      </c>
      <c r="AP60" s="636" t="str">
        <f>IF($A60="","",VLOOKUP($A60,기본데이타!$A$8:$BV$103,COLUMN(기본데이타!AT$8),0))</f>
        <v/>
      </c>
      <c r="AQ60" s="636" t="str">
        <f>IF($A60="","",VLOOKUP($A60,기본데이타!$A$8:$BV$103,COLUMN(기본데이타!AU$8),0))</f>
        <v/>
      </c>
      <c r="AR60" s="637" t="str">
        <f>IF($A60="","",VLOOKUP($A60,기본데이타!$A$8:$BV$103,COLUMN(기본데이타!AV$8),0))</f>
        <v/>
      </c>
      <c r="AS60" s="596" t="str">
        <f>IF($A60="","",VLOOKUP($A60,기본데이타!$A$8:$BV$103,COLUMN(기본데이타!AW$8),0))</f>
        <v/>
      </c>
      <c r="AT60" s="596" t="str">
        <f>IF($A60="","",VLOOKUP($A60,기본데이타!$A$8:$BV$103,COLUMN(기본데이타!AX$8),0))</f>
        <v/>
      </c>
      <c r="AU60" s="596" t="str">
        <f>IF($A60="","",VLOOKUP($A60,기본데이타!$A$8:$BV$103,COLUMN(기본데이타!AY$8),0))</f>
        <v/>
      </c>
      <c r="AV60" s="596" t="str">
        <f>IF(AS60="","",SUM(AS60:AU60))</f>
        <v/>
      </c>
      <c r="AW60" s="597" t="str">
        <f>IF($A60="","",VLOOKUP($A60,기본데이타!$A$8:$BV$103,COLUMN(기본데이타!BA$8),0))</f>
        <v/>
      </c>
      <c r="AX60" s="597" t="str">
        <f>IF($A60="","",VLOOKUP($A60,기본데이타!$A$8:$BV$103,COLUMN(기본데이타!BB$8),0))</f>
        <v/>
      </c>
      <c r="AY60" s="597" t="str">
        <f>IF($A60="","",VLOOKUP($A60,기본데이타!$A$8:$BV$103,COLUMN(기본데이타!BC$8),0))</f>
        <v/>
      </c>
      <c r="AZ60" s="597" t="str">
        <f>IF($A60="","",VLOOKUP($A60,기본데이타!$A$8:$BV$103,COLUMN(기본데이타!BD$8),0))</f>
        <v/>
      </c>
      <c r="BA60" s="597" t="str">
        <f>IF($A60="","",VLOOKUP($A60,기본데이타!$A$8:$BV$103,COLUMN(기본데이타!BE$8),0))</f>
        <v/>
      </c>
      <c r="BB60" s="597" t="str">
        <f>IF($A60="","",VLOOKUP($A60,기본데이타!$A$8:$BV$103,COLUMN(기본데이타!BF$8),0))</f>
        <v/>
      </c>
      <c r="BC60" s="597" t="str">
        <f>IF($A60="","",VLOOKUP($A60,기본데이타!$A$8:$BV$103,COLUMN(기본데이타!BG$8),0))</f>
        <v/>
      </c>
      <c r="BD60" s="597" t="str">
        <f>IF($A60="","",VLOOKUP($A60,기본데이타!$A$8:$BV$103,COLUMN(기본데이타!BH$8),0))</f>
        <v/>
      </c>
      <c r="BE60" s="597" t="str">
        <f>IF($A60="","",VLOOKUP($A60,기본데이타!$A$8:$BV$103,COLUMN(기본데이타!BI$8),0))</f>
        <v/>
      </c>
      <c r="BF60" s="597" t="str">
        <f>IF($A60="","",VLOOKUP($A60,기본데이타!$A$8:$BV$103,COLUMN(기본데이타!BJ$8),0))</f>
        <v/>
      </c>
      <c r="BG60" s="597" t="str">
        <f>IF($A60="","",VLOOKUP($A60,기본데이타!$A$8:$BV$103,COLUMN(기본데이타!BK$8),0))</f>
        <v/>
      </c>
      <c r="BH60" s="597" t="str">
        <f>IF($A60="","",VLOOKUP($A60,기본데이타!$A$8:$BV$103,COLUMN(기본데이타!BL$8),0))</f>
        <v/>
      </c>
      <c r="BI60" s="597" t="str">
        <f>IF($A60="","",VLOOKUP($A60,기본데이타!$A$8:$BV$103,COLUMN(기본데이타!BM$8),0))</f>
        <v/>
      </c>
      <c r="BJ60" s="597" t="str">
        <f>IF($A60="","",VLOOKUP($A60,기본데이타!$A$8:$BV$103,COLUMN(기본데이타!BN$8),0))</f>
        <v/>
      </c>
      <c r="BK60" s="597" t="str">
        <f>IF($A60="","",VLOOKUP($A60,기본데이타!$A$8:$BV$103,COLUMN(기본데이타!BO$8),0))</f>
        <v/>
      </c>
      <c r="BL60" s="597" t="str">
        <f>IF($A60="","",VLOOKUP($A60,기본데이타!$A$8:$BV$103,COLUMN(기본데이타!BP$8),0))</f>
        <v/>
      </c>
      <c r="BM60" s="597" t="str">
        <f>IF($A60="","",VLOOKUP($A60,기본데이타!$A$8:$BV$103,COLUMN(기본데이타!BQ$8),0))</f>
        <v/>
      </c>
      <c r="BN60" s="599" t="str">
        <f>IF($A60="","",VLOOKUP($A60,기본데이타!$A$8:$BV$103,COLUMN(기본데이타!BR$8),0))</f>
        <v/>
      </c>
      <c r="BO60" s="600" t="str">
        <f>IF($A60="","",VLOOKUP($A60,기본데이타!$A$8:$BV$103,COLUMN(기본데이타!BS$8),0))</f>
        <v/>
      </c>
      <c r="BP60" s="623" t="str">
        <f>IF($A60="","",VLOOKUP($A60,기본데이타!$A$8:$BV$103,COLUMN(기본데이타!BT$8),0))</f>
        <v/>
      </c>
      <c r="BQ60" s="602" t="str">
        <f>IF($A60="","",VLOOKUP($A60,기본데이타!$A$8:$BV$103,COLUMN(기본데이타!BU$8),0))</f>
        <v/>
      </c>
      <c r="BR60" s="603" t="str">
        <f>IF($A60="","",A60)</f>
        <v/>
      </c>
    </row>
    <row r="61" spans="1:73" s="571" customFormat="1" ht="61.5" hidden="1" customHeight="1" outlineLevel="1">
      <c r="A61" s="578"/>
      <c r="B61" s="1642"/>
      <c r="C61" s="644"/>
      <c r="D61" s="645" t="str">
        <f>IF($A61="","",VLOOKUP($A61,기본데이타!$A$8:$BV$103,COLUMN(기본데이타!F$8),0))</f>
        <v/>
      </c>
      <c r="E61" s="646" t="str">
        <f>IF($A61="","",VLOOKUP($A61,기본데이타!$A$8:$BV$103,COLUMN(기본데이타!G$8),0))</f>
        <v/>
      </c>
      <c r="F61" s="647" t="str">
        <f>IF($A61="","",VLOOKUP($A61,기본데이타!$A$8:$BV$103,COLUMN(기본데이타!H$8),0))</f>
        <v/>
      </c>
      <c r="G61" s="648" t="str">
        <f>IF($A61="","",VLOOKUP($A61,기본데이타!$A$8:$BV$103,COLUMN(기본데이타!I$8),0))</f>
        <v/>
      </c>
      <c r="H61" s="648" t="str">
        <f>IF($A61="","",VLOOKUP($A61,기본데이타!$A$8:$BV$103,COLUMN(기본데이타!J$8),0))</f>
        <v/>
      </c>
      <c r="I61" s="649" t="str">
        <f>IF($A61="","",VLOOKUP($A61,기본데이타!$A$8:$BV$103,COLUMN(기본데이타!K$8),0))</f>
        <v/>
      </c>
      <c r="J61" s="649" t="str">
        <f>IF($A61="","",VLOOKUP($A61,기본데이타!$A$8:$BV$103,COLUMN(기본데이타!L$8),0))</f>
        <v/>
      </c>
      <c r="K61" s="649" t="str">
        <f>IF($A61="","",VLOOKUP($A61,기본데이타!$A$8:$BV$103,COLUMN(기본데이타!M$8),0))</f>
        <v/>
      </c>
      <c r="L61" s="650" t="str">
        <f>IF($A61="","",VLOOKUP($A61,기본데이타!$A$8:$BV$103,COLUMN(기본데이타!N$8),0))</f>
        <v/>
      </c>
      <c r="M61" s="649" t="str">
        <f>IF($A61="","",VLOOKUP($A61,기본데이타!$A$8:$BV$103,COLUMN(기본데이타!O$8),0))</f>
        <v/>
      </c>
      <c r="N61" s="650" t="str">
        <f>IF($A61="","",VLOOKUP($A61,기본데이타!$A$8:$BV$103,COLUMN(기본데이타!P$8),0))</f>
        <v/>
      </c>
      <c r="O61" s="650" t="str">
        <f>IF($A61="","",VLOOKUP($A61,기본데이타!$A$8:$BV$103,COLUMN(기본데이타!Q$8),0))</f>
        <v/>
      </c>
      <c r="P61" s="650" t="str">
        <f>IF($A61="","",VLOOKUP($A61,기본데이타!$A$8:$BV$103,COLUMN(기본데이타!R$8),0))</f>
        <v/>
      </c>
      <c r="Q61" s="650" t="str">
        <f>IF($A61="","",VLOOKUP($A61,기본데이타!$A$8:$BV$103,COLUMN(기본데이타!S$8),0))</f>
        <v/>
      </c>
      <c r="R61" s="650" t="str">
        <f>IF($A61="","",VLOOKUP($A61,기본데이타!$A$8:$BV$103,COLUMN(기본데이타!T$8),0))</f>
        <v/>
      </c>
      <c r="S61" s="650" t="str">
        <f>IF($A61="","",VLOOKUP($A61,기본데이타!$A$8:$BV$103,COLUMN(기본데이타!U$8),0))</f>
        <v/>
      </c>
      <c r="T61" s="650" t="str">
        <f>IF($A61="","",VLOOKUP($A61,기본데이타!$A$8:$BV$103,COLUMN(기본데이타!V$8),0))</f>
        <v/>
      </c>
      <c r="U61" s="650" t="str">
        <f>IF($A61="","",VLOOKUP($A61,기본데이타!$A$8:$BV$103,COLUMN(기본데이타!W$8),0))</f>
        <v/>
      </c>
      <c r="V61" s="650" t="str">
        <f>IF($A61="","",VLOOKUP($A61,기본데이타!$A$8:$BV$103,COLUMN(기본데이타!X$8),0))</f>
        <v/>
      </c>
      <c r="W61" s="650" t="str">
        <f>IF($A61="","",VLOOKUP($A61,기본데이타!$A$8:$BV$103,COLUMN(기본데이타!AA$8),0))</f>
        <v/>
      </c>
      <c r="X61" s="650" t="str">
        <f>IF($A61="","",VLOOKUP($A61,기본데이타!$A$8:$BV$103,COLUMN(기본데이타!AB$8),0))</f>
        <v/>
      </c>
      <c r="Y61" s="649" t="str">
        <f>IF($A61="","",VLOOKUP($A61,기본데이타!$A$8:$BV$103,COLUMN(기본데이타!AC$8),0))</f>
        <v/>
      </c>
      <c r="Z61" s="650" t="str">
        <f>IF($A61="","",VLOOKUP($A61,기본데이타!$A$8:$BV$103,COLUMN(기본데이타!AD$8),0))</f>
        <v/>
      </c>
      <c r="AA61" s="649" t="str">
        <f>IF($A61="","",VLOOKUP($A61,기본데이타!$A$8:$BV$103,COLUMN(기본데이타!AE$8),0))</f>
        <v/>
      </c>
      <c r="AB61" s="650" t="str">
        <f>IF($A61="","",VLOOKUP($A61,기본데이타!$A$8:$BV$103,COLUMN(기본데이타!AF$8),0))</f>
        <v/>
      </c>
      <c r="AC61" s="649" t="str">
        <f>IF($A61="","",VLOOKUP($A61,기본데이타!$A$8:$BV$103,COLUMN(기본데이타!AG$8),0))</f>
        <v/>
      </c>
      <c r="AD61" s="650" t="str">
        <f>IF($A61="","",VLOOKUP($A61,기본데이타!$A$8:$BV$103,COLUMN(기본데이타!AH$8),0))</f>
        <v/>
      </c>
      <c r="AE61" s="649" t="str">
        <f>IF($A61="","",VLOOKUP($A61,기본데이타!$A$8:$BV$103,COLUMN(기본데이타!AI$8),0))</f>
        <v/>
      </c>
      <c r="AF61" s="651" t="str">
        <f>IF($A61="","",VLOOKUP($A61,기본데이타!$A$8:$BV$103,COLUMN(기본데이타!AJ$8),0))</f>
        <v/>
      </c>
      <c r="AG61" s="624" t="str">
        <f>IF($A61="","",VLOOKUP($A61,기본데이타!$A$8:$BV$103,COLUMN(기본데이타!AK$8),0))</f>
        <v/>
      </c>
      <c r="AH61" s="624" t="str">
        <f>IF($A61="","",VLOOKUP($A61,기본데이타!$A$8:$BV$103,COLUMN(기본데이타!AL$8),0))</f>
        <v/>
      </c>
      <c r="AI61" s="624" t="str">
        <f>IF($A61="","",VLOOKUP($A61,기본데이타!$A$8:$BV$103,COLUMN(기본데이타!AM$8),0))</f>
        <v/>
      </c>
      <c r="AJ61" s="626" t="str">
        <f>IF($A61="","",VLOOKUP($A61,기본데이타!$A$8:$BV$103,COLUMN(기본데이타!AN$8),0))</f>
        <v/>
      </c>
      <c r="AK61" s="626" t="str">
        <f>IF($A61="","",VLOOKUP($A61,기본데이타!$A$8:$BV$103,COLUMN(기본데이타!AO$8),0))</f>
        <v/>
      </c>
      <c r="AL61" s="626" t="str">
        <f>IF($A61="","",VLOOKUP($A61,기본데이타!$A$8:$BV$103,COLUMN(기본데이타!AP$8),0))</f>
        <v/>
      </c>
      <c r="AM61" s="626" t="str">
        <f>IF($A61="","",VLOOKUP($A61,기본데이타!$A$8:$BV$103,COLUMN(기본데이타!AQ$8),0))</f>
        <v/>
      </c>
      <c r="AN61" s="626" t="str">
        <f>IF($A61="","",VLOOKUP($A61,기본데이타!$A$8:$BV$103,COLUMN(기본데이타!AR$8),0))</f>
        <v/>
      </c>
      <c r="AO61" s="626" t="str">
        <f>IF($A61="","",VLOOKUP($A61,기본데이타!$A$8:$BV$103,COLUMN(기본데이타!AS$8),0))</f>
        <v/>
      </c>
      <c r="AP61" s="626" t="str">
        <f>IF($A61="","",VLOOKUP($A61,기본데이타!$A$8:$BV$103,COLUMN(기본데이타!AT$8),0))</f>
        <v/>
      </c>
      <c r="AQ61" s="626" t="str">
        <f>IF($A61="","",VLOOKUP($A61,기본데이타!$A$8:$BV$103,COLUMN(기본데이타!AU$8),0))</f>
        <v/>
      </c>
      <c r="AR61" s="627" t="str">
        <f>IF($A61="","",VLOOKUP($A61,기본데이타!$A$8:$BV$103,COLUMN(기본데이타!AV$8),0))</f>
        <v/>
      </c>
      <c r="AS61" s="650" t="str">
        <f>IF($A61="","",VLOOKUP($A61,기본데이타!$A$8:$BV$103,COLUMN(기본데이타!AW$8),0))</f>
        <v/>
      </c>
      <c r="AT61" s="650" t="str">
        <f>IF($A61="","",VLOOKUP($A61,기본데이타!$A$8:$BV$103,COLUMN(기본데이타!AX$8),0))</f>
        <v/>
      </c>
      <c r="AU61" s="650" t="str">
        <f>IF($A61="","",VLOOKUP($A61,기본데이타!$A$8:$BV$103,COLUMN(기본데이타!AY$8),0))</f>
        <v/>
      </c>
      <c r="AV61" s="650" t="str">
        <f t="shared" si="2"/>
        <v/>
      </c>
      <c r="AW61" s="651" t="str">
        <f>IF($A61="","",VLOOKUP($A61,기본데이타!$A$8:$BV$103,COLUMN(기본데이타!BA$8),0))</f>
        <v/>
      </c>
      <c r="AX61" s="651" t="str">
        <f>IF($A61="","",VLOOKUP($A61,기본데이타!$A$8:$BV$103,COLUMN(기본데이타!BB$8),0))</f>
        <v/>
      </c>
      <c r="AY61" s="651" t="str">
        <f>IF($A61="","",VLOOKUP($A61,기본데이타!$A$8:$BV$103,COLUMN(기본데이타!BC$8),0))</f>
        <v/>
      </c>
      <c r="AZ61" s="651" t="str">
        <f>IF($A61="","",VLOOKUP($A61,기본데이타!$A$8:$BV$103,COLUMN(기본데이타!BD$8),0))</f>
        <v/>
      </c>
      <c r="BA61" s="651" t="str">
        <f>IF($A61="","",VLOOKUP($A61,기본데이타!$A$8:$BV$103,COLUMN(기본데이타!BE$8),0))</f>
        <v/>
      </c>
      <c r="BB61" s="651" t="str">
        <f>IF($A61="","",VLOOKUP($A61,기본데이타!$A$8:$BV$103,COLUMN(기본데이타!BF$8),0))</f>
        <v/>
      </c>
      <c r="BC61" s="651" t="str">
        <f>IF($A61="","",VLOOKUP($A61,기본데이타!$A$8:$BV$103,COLUMN(기본데이타!BG$8),0))</f>
        <v/>
      </c>
      <c r="BD61" s="651" t="str">
        <f>IF($A61="","",VLOOKUP($A61,기본데이타!$A$8:$BV$103,COLUMN(기본데이타!BH$8),0))</f>
        <v/>
      </c>
      <c r="BE61" s="651" t="str">
        <f>IF($A61="","",VLOOKUP($A61,기본데이타!$A$8:$BV$103,COLUMN(기본데이타!BI$8),0))</f>
        <v/>
      </c>
      <c r="BF61" s="651" t="str">
        <f>IF($A61="","",VLOOKUP($A61,기본데이타!$A$8:$BV$103,COLUMN(기본데이타!BJ$8),0))</f>
        <v/>
      </c>
      <c r="BG61" s="651" t="str">
        <f>IF($A61="","",VLOOKUP($A61,기본데이타!$A$8:$BV$103,COLUMN(기본데이타!BK$8),0))</f>
        <v/>
      </c>
      <c r="BH61" s="651" t="str">
        <f>IF($A61="","",VLOOKUP($A61,기본데이타!$A$8:$BV$103,COLUMN(기본데이타!BL$8),0))</f>
        <v/>
      </c>
      <c r="BI61" s="651" t="str">
        <f>IF($A61="","",VLOOKUP($A61,기본데이타!$A$8:$BV$103,COLUMN(기본데이타!BM$8),0))</f>
        <v/>
      </c>
      <c r="BJ61" s="651" t="str">
        <f>IF($A61="","",VLOOKUP($A61,기본데이타!$A$8:$BV$103,COLUMN(기본데이타!BN$8),0))</f>
        <v/>
      </c>
      <c r="BK61" s="651" t="str">
        <f>IF($A61="","",VLOOKUP($A61,기본데이타!$A$8:$BV$103,COLUMN(기본데이타!BO$8),0))</f>
        <v/>
      </c>
      <c r="BL61" s="651" t="str">
        <f>IF($A61="","",VLOOKUP($A61,기본데이타!$A$8:$BV$103,COLUMN(기본데이타!BP$8),0))</f>
        <v/>
      </c>
      <c r="BM61" s="651" t="str">
        <f>IF($A61="","",VLOOKUP($A61,기본데이타!$A$8:$BV$103,COLUMN(기본데이타!BQ$8),0))</f>
        <v/>
      </c>
      <c r="BN61" s="652" t="str">
        <f>IF($A61="","",VLOOKUP($A61,기본데이타!$A$8:$BV$103,COLUMN(기본데이타!BR$8),0))</f>
        <v/>
      </c>
      <c r="BO61" s="653" t="str">
        <f>IF($A61="","",VLOOKUP($A61,기본데이타!$A$8:$BV$103,COLUMN(기본데이타!BS$8),0))</f>
        <v/>
      </c>
      <c r="BP61" s="654" t="str">
        <f>IF($A61="","",VLOOKUP($A61,기본데이타!$A$8:$BV$103,COLUMN(기본데이타!BT$8),0))</f>
        <v/>
      </c>
      <c r="BQ61" s="655" t="str">
        <f>IF($A61="","",VLOOKUP($A61,기본데이타!$A$8:$BV$103,COLUMN(기본데이타!BU$8),0))</f>
        <v/>
      </c>
      <c r="BR61" s="656" t="str">
        <f t="shared" si="3"/>
        <v/>
      </c>
    </row>
    <row r="62" spans="1:73" s="571" customFormat="1" ht="61.5" hidden="1" customHeight="1" outlineLevel="1">
      <c r="A62" s="578"/>
      <c r="B62" s="1642"/>
      <c r="C62" s="1524" t="s">
        <v>401</v>
      </c>
      <c r="D62" s="1490" t="str">
        <f>IF($A62="","",VLOOKUP($A62,기본데이타!$A$8:$BV$103,COLUMN(기본데이타!F$8),0))</f>
        <v/>
      </c>
      <c r="E62" s="1491" t="str">
        <f>IF($A62="","",VLOOKUP($A62,기본데이타!$A$8:$BV$103,COLUMN(기본데이타!G$8),0))</f>
        <v/>
      </c>
      <c r="F62" s="1492" t="str">
        <f>IF($A62="","",VLOOKUP($A62,기본데이타!$A$8:$BV$103,COLUMN(기본데이타!H$8),0))</f>
        <v/>
      </c>
      <c r="G62" s="1493" t="str">
        <f>IF($A62="","",VLOOKUP($A62,기본데이타!$A$8:$BV$103,COLUMN(기본데이타!I$8),0))</f>
        <v/>
      </c>
      <c r="H62" s="1493" t="str">
        <f>IF($A62="","",VLOOKUP($A62,기본데이타!$A$8:$BV$103,COLUMN(기본데이타!J$8),0))</f>
        <v/>
      </c>
      <c r="I62" s="1494" t="str">
        <f>IF($A62="","",VLOOKUP($A62,기본데이타!$A$8:$BV$103,COLUMN(기본데이타!K$8),0))</f>
        <v/>
      </c>
      <c r="J62" s="1494" t="str">
        <f>IF($A62="","",VLOOKUP($A62,기본데이타!$A$8:$BV$103,COLUMN(기본데이타!L$8),0))</f>
        <v/>
      </c>
      <c r="K62" s="1494" t="str">
        <f>IF($A62="","",VLOOKUP($A62,기본데이타!$A$8:$BV$103,COLUMN(기본데이타!M$8),0))</f>
        <v/>
      </c>
      <c r="L62" s="1495" t="str">
        <f>IF($A62="","",VLOOKUP($A62,기본데이타!$A$8:$BV$103,COLUMN(기본데이타!N$8),0))</f>
        <v/>
      </c>
      <c r="M62" s="1494" t="str">
        <f>IF($A62="","",VLOOKUP($A62,기본데이타!$A$8:$BV$103,COLUMN(기본데이타!O$8),0))</f>
        <v/>
      </c>
      <c r="N62" s="1495" t="str">
        <f>IF($A62="","",VLOOKUP($A62,기본데이타!$A$8:$BV$103,COLUMN(기본데이타!P$8),0))</f>
        <v/>
      </c>
      <c r="O62" s="1495" t="str">
        <f>IF($A62="","",VLOOKUP($A62,기본데이타!$A$8:$BV$103,COLUMN(기본데이타!Q$8),0))</f>
        <v/>
      </c>
      <c r="P62" s="1495" t="str">
        <f>IF($A62="","",VLOOKUP($A62,기본데이타!$A$8:$BV$103,COLUMN(기본데이타!R$8),0))</f>
        <v/>
      </c>
      <c r="Q62" s="1495" t="str">
        <f>IF($A62="","",VLOOKUP($A62,기본데이타!$A$8:$BV$103,COLUMN(기본데이타!S$8),0))</f>
        <v/>
      </c>
      <c r="R62" s="1495" t="str">
        <f>IF($A62="","",VLOOKUP($A62,기본데이타!$A$8:$BV$103,COLUMN(기본데이타!T$8),0))</f>
        <v/>
      </c>
      <c r="S62" s="1495" t="str">
        <f>IF($A62="","",VLOOKUP($A62,기본데이타!$A$8:$BV$103,COLUMN(기본데이타!U$8),0))</f>
        <v/>
      </c>
      <c r="T62" s="1495" t="str">
        <f>IF($A62="","",VLOOKUP($A62,기본데이타!$A$8:$BV$103,COLUMN(기본데이타!V$8),0))</f>
        <v/>
      </c>
      <c r="U62" s="1495" t="str">
        <f>IF($A62="","",VLOOKUP($A62,기본데이타!$A$8:$BV$103,COLUMN(기본데이타!W$8),0))</f>
        <v/>
      </c>
      <c r="V62" s="1495" t="str">
        <f>IF($A62="","",VLOOKUP($A62,기본데이타!$A$8:$BV$103,COLUMN(기본데이타!X$8),0))</f>
        <v/>
      </c>
      <c r="W62" s="1495" t="str">
        <f>IF($A62="","",VLOOKUP($A62,기본데이타!$A$8:$BV$103,COLUMN(기본데이타!AA$8),0))</f>
        <v/>
      </c>
      <c r="X62" s="1495" t="str">
        <f>IF($A62="","",VLOOKUP($A62,기본데이타!$A$8:$BV$103,COLUMN(기본데이타!AB$8),0))</f>
        <v/>
      </c>
      <c r="Y62" s="1494" t="str">
        <f>IF($A62="","",VLOOKUP($A62,기본데이타!$A$8:$BV$103,COLUMN(기본데이타!AC$8),0))</f>
        <v/>
      </c>
      <c r="Z62" s="1495" t="str">
        <f>IF($A62="","",VLOOKUP($A62,기본데이타!$A$8:$BV$103,COLUMN(기본데이타!AD$8),0))</f>
        <v/>
      </c>
      <c r="AA62" s="1494" t="str">
        <f>IF($A62="","",VLOOKUP($A62,기본데이타!$A$8:$BV$103,COLUMN(기본데이타!AE$8),0))</f>
        <v/>
      </c>
      <c r="AB62" s="1495" t="str">
        <f>IF($A62="","",VLOOKUP($A62,기본데이타!$A$8:$BV$103,COLUMN(기본데이타!AF$8),0))</f>
        <v/>
      </c>
      <c r="AC62" s="1494" t="str">
        <f>IF($A62="","",VLOOKUP($A62,기본데이타!$A$8:$BV$103,COLUMN(기본데이타!AG$8),0))</f>
        <v/>
      </c>
      <c r="AD62" s="1495" t="str">
        <f>IF($A62="","",VLOOKUP($A62,기본데이타!$A$8:$BV$103,COLUMN(기본데이타!AH$8),0))</f>
        <v/>
      </c>
      <c r="AE62" s="1494" t="str">
        <f>IF($A62="","",VLOOKUP($A62,기본데이타!$A$8:$BV$103,COLUMN(기본데이타!AI$8),0))</f>
        <v/>
      </c>
      <c r="AF62" s="1496" t="str">
        <f>IF($A62="","",VLOOKUP($A62,기본데이타!$A$8:$BV$103,COLUMN(기본데이타!AJ$8),0))</f>
        <v/>
      </c>
      <c r="AG62" s="597" t="str">
        <f>IF($A62="","",VLOOKUP($A62,기본데이타!$A$8:$BV$103,COLUMN(기본데이타!AK$8),0))</f>
        <v/>
      </c>
      <c r="AH62" s="597" t="str">
        <f>IF($A62="","",VLOOKUP($A62,기본데이타!$A$8:$BV$103,COLUMN(기본데이타!AL$8),0))</f>
        <v/>
      </c>
      <c r="AI62" s="597" t="str">
        <f>IF($A62="","",VLOOKUP($A62,기본데이타!$A$8:$BV$103,COLUMN(기본데이타!AM$8),0))</f>
        <v/>
      </c>
      <c r="AJ62" s="1497" t="str">
        <f>IF($A62="","",VLOOKUP($A62,기본데이타!$A$8:$BV$103,COLUMN(기본데이타!AN$8),0))</f>
        <v/>
      </c>
      <c r="AK62" s="1497" t="str">
        <f>IF($A62="","",VLOOKUP($A62,기본데이타!$A$8:$BV$103,COLUMN(기본데이타!AO$8),0))</f>
        <v/>
      </c>
      <c r="AL62" s="1497" t="str">
        <f>IF($A62="","",VLOOKUP($A62,기본데이타!$A$8:$BV$103,COLUMN(기본데이타!AP$8),0))</f>
        <v/>
      </c>
      <c r="AM62" s="1497" t="str">
        <f>IF($A62="","",VLOOKUP($A62,기본데이타!$A$8:$BV$103,COLUMN(기본데이타!AQ$8),0))</f>
        <v/>
      </c>
      <c r="AN62" s="1497" t="str">
        <f>IF($A62="","",VLOOKUP($A62,기본데이타!$A$8:$BV$103,COLUMN(기본데이타!AR$8),0))</f>
        <v/>
      </c>
      <c r="AO62" s="1497" t="str">
        <f>IF($A62="","",VLOOKUP($A62,기본데이타!$A$8:$BV$103,COLUMN(기본데이타!AS$8),0))</f>
        <v/>
      </c>
      <c r="AP62" s="1497" t="str">
        <f>IF($A62="","",VLOOKUP($A62,기본데이타!$A$8:$BV$103,COLUMN(기본데이타!AT$8),0))</f>
        <v/>
      </c>
      <c r="AQ62" s="1497" t="str">
        <f>IF($A62="","",VLOOKUP($A62,기본데이타!$A$8:$BV$103,COLUMN(기본데이타!AU$8),0))</f>
        <v/>
      </c>
      <c r="AR62" s="1498" t="str">
        <f>IF($A62="","",VLOOKUP($A62,기본데이타!$A$8:$BV$103,COLUMN(기본데이타!AV$8),0))</f>
        <v/>
      </c>
      <c r="AS62" s="1495" t="str">
        <f>IF($A62="","",VLOOKUP($A62,기본데이타!$A$8:$BV$103,COLUMN(기본데이타!AW$8),0))</f>
        <v/>
      </c>
      <c r="AT62" s="1495" t="str">
        <f>IF($A62="","",VLOOKUP($A62,기본데이타!$A$8:$BV$103,COLUMN(기본데이타!AX$8),0))</f>
        <v/>
      </c>
      <c r="AU62" s="1495" t="str">
        <f>IF($A62="","",VLOOKUP($A62,기본데이타!$A$8:$BV$103,COLUMN(기본데이타!AY$8),0))</f>
        <v/>
      </c>
      <c r="AV62" s="1495" t="str">
        <f t="shared" ref="AV62:AV72" si="4">IF(AS62="","",SUM(AS62:AU62))</f>
        <v/>
      </c>
      <c r="AW62" s="1496" t="str">
        <f>IF($A62="","",VLOOKUP($A62,기본데이타!$A$8:$BV$103,COLUMN(기본데이타!BA$8),0))</f>
        <v/>
      </c>
      <c r="AX62" s="1496" t="str">
        <f>IF($A62="","",VLOOKUP($A62,기본데이타!$A$8:$BV$103,COLUMN(기본데이타!BB$8),0))</f>
        <v/>
      </c>
      <c r="AY62" s="1496" t="str">
        <f>IF($A62="","",VLOOKUP($A62,기본데이타!$A$8:$BV$103,COLUMN(기본데이타!BC$8),0))</f>
        <v/>
      </c>
      <c r="AZ62" s="1496" t="str">
        <f>IF($A62="","",VLOOKUP($A62,기본데이타!$A$8:$BV$103,COLUMN(기본데이타!BD$8),0))</f>
        <v/>
      </c>
      <c r="BA62" s="1496" t="str">
        <f>IF($A62="","",VLOOKUP($A62,기본데이타!$A$8:$BV$103,COLUMN(기본데이타!BE$8),0))</f>
        <v/>
      </c>
      <c r="BB62" s="1496" t="str">
        <f>IF($A62="","",VLOOKUP($A62,기본데이타!$A$8:$BV$103,COLUMN(기본데이타!BF$8),0))</f>
        <v/>
      </c>
      <c r="BC62" s="1496" t="str">
        <f>IF($A62="","",VLOOKUP($A62,기본데이타!$A$8:$BV$103,COLUMN(기본데이타!BG$8),0))</f>
        <v/>
      </c>
      <c r="BD62" s="1496" t="str">
        <f>IF($A62="","",VLOOKUP($A62,기본데이타!$A$8:$BV$103,COLUMN(기본데이타!BH$8),0))</f>
        <v/>
      </c>
      <c r="BE62" s="1496" t="str">
        <f>IF($A62="","",VLOOKUP($A62,기본데이타!$A$8:$BV$103,COLUMN(기본데이타!BI$8),0))</f>
        <v/>
      </c>
      <c r="BF62" s="1496" t="str">
        <f>IF($A62="","",VLOOKUP($A62,기본데이타!$A$8:$BV$103,COLUMN(기본데이타!BJ$8),0))</f>
        <v/>
      </c>
      <c r="BG62" s="1496" t="str">
        <f>IF($A62="","",VLOOKUP($A62,기본데이타!$A$8:$BV$103,COLUMN(기본데이타!BK$8),0))</f>
        <v/>
      </c>
      <c r="BH62" s="1496" t="str">
        <f>IF($A62="","",VLOOKUP($A62,기본데이타!$A$8:$BV$103,COLUMN(기본데이타!BL$8),0))</f>
        <v/>
      </c>
      <c r="BI62" s="1496" t="str">
        <f>IF($A62="","",VLOOKUP($A62,기본데이타!$A$8:$BV$103,COLUMN(기본데이타!BM$8),0))</f>
        <v/>
      </c>
      <c r="BJ62" s="1496" t="str">
        <f>IF($A62="","",VLOOKUP($A62,기본데이타!$A$8:$BV$103,COLUMN(기본데이타!BN$8),0))</f>
        <v/>
      </c>
      <c r="BK62" s="1496" t="str">
        <f>IF($A62="","",VLOOKUP($A62,기본데이타!$A$8:$BV$103,COLUMN(기본데이타!BO$8),0))</f>
        <v/>
      </c>
      <c r="BL62" s="1496" t="str">
        <f>IF($A62="","",VLOOKUP($A62,기본데이타!$A$8:$BV$103,COLUMN(기본데이타!BP$8),0))</f>
        <v/>
      </c>
      <c r="BM62" s="1496" t="str">
        <f>IF($A62="","",VLOOKUP($A62,기본데이타!$A$8:$BV$103,COLUMN(기본데이타!BQ$8),0))</f>
        <v/>
      </c>
      <c r="BN62" s="1499" t="str">
        <f>IF($A62="","",VLOOKUP($A62,기본데이타!$A$8:$BV$103,COLUMN(기본데이타!BR$8),0))</f>
        <v/>
      </c>
      <c r="BO62" s="1500" t="str">
        <f>IF($A62="","",VLOOKUP($A62,기본데이타!$A$8:$BV$103,COLUMN(기본데이타!BS$8),0))</f>
        <v/>
      </c>
      <c r="BP62" s="1501" t="str">
        <f>IF($A62="","",VLOOKUP($A62,기본데이타!$A$8:$BV$103,COLUMN(기본데이타!BT$8),0))</f>
        <v/>
      </c>
      <c r="BQ62" s="1502" t="str">
        <f>IF($A62="","",VLOOKUP($A62,기본데이타!$A$8:$BV$103,COLUMN(기본데이타!BU$8),0))</f>
        <v/>
      </c>
      <c r="BR62" s="1503" t="str">
        <f t="shared" ref="BR62:BR72" si="5">IF($A62="","",A62)</f>
        <v/>
      </c>
    </row>
    <row r="63" spans="1:73" s="571" customFormat="1" ht="61.5" hidden="1" customHeight="1" outlineLevel="1">
      <c r="A63" s="578"/>
      <c r="B63" s="1642"/>
      <c r="C63" s="590"/>
      <c r="D63" s="629" t="str">
        <f>IF($A63="","",VLOOKUP($A63,기본데이타!$A$8:$BV$103,COLUMN(기본데이타!F$8),0))</f>
        <v/>
      </c>
      <c r="E63" s="630" t="str">
        <f>IF($A63="","",VLOOKUP($A63,기본데이타!$A$8:$BV$103,COLUMN(기본데이타!G$8),0))</f>
        <v/>
      </c>
      <c r="F63" s="631" t="str">
        <f>IF($A63="","",VLOOKUP($A63,기본데이타!$A$8:$BV$103,COLUMN(기본데이타!H$8),0))</f>
        <v/>
      </c>
      <c r="G63" s="632" t="str">
        <f>IF($A63="","",VLOOKUP($A63,기본데이타!$A$8:$BV$103,COLUMN(기본데이타!I$8),0))</f>
        <v/>
      </c>
      <c r="H63" s="632" t="str">
        <f>IF($A63="","",VLOOKUP($A63,기본데이타!$A$8:$BV$103,COLUMN(기본데이타!J$8),0))</f>
        <v/>
      </c>
      <c r="I63" s="633" t="str">
        <f>IF($A63="","",VLOOKUP($A63,기본데이타!$A$8:$BV$103,COLUMN(기본데이타!K$8),0))</f>
        <v/>
      </c>
      <c r="J63" s="633" t="str">
        <f>IF($A63="","",VLOOKUP($A63,기본데이타!$A$8:$BV$103,COLUMN(기본데이타!L$8),0))</f>
        <v/>
      </c>
      <c r="K63" s="633" t="str">
        <f>IF($A63="","",VLOOKUP($A63,기본데이타!$A$8:$BV$103,COLUMN(기본데이타!M$8),0))</f>
        <v/>
      </c>
      <c r="L63" s="634" t="str">
        <f>IF($A63="","",VLOOKUP($A63,기본데이타!$A$8:$BV$103,COLUMN(기본데이타!N$8),0))</f>
        <v/>
      </c>
      <c r="M63" s="633" t="str">
        <f>IF($A63="","",VLOOKUP($A63,기본데이타!$A$8:$BV$103,COLUMN(기본데이타!O$8),0))</f>
        <v/>
      </c>
      <c r="N63" s="634" t="str">
        <f>IF($A63="","",VLOOKUP($A63,기본데이타!$A$8:$BV$103,COLUMN(기본데이타!P$8),0))</f>
        <v/>
      </c>
      <c r="O63" s="634" t="str">
        <f>IF($A63="","",VLOOKUP($A63,기본데이타!$A$8:$BV$103,COLUMN(기본데이타!Q$8),0))</f>
        <v/>
      </c>
      <c r="P63" s="634" t="str">
        <f>IF($A63="","",VLOOKUP($A63,기본데이타!$A$8:$BV$103,COLUMN(기본데이타!R$8),0))</f>
        <v/>
      </c>
      <c r="Q63" s="634" t="str">
        <f>IF($A63="","",VLOOKUP($A63,기본데이타!$A$8:$BV$103,COLUMN(기본데이타!S$8),0))</f>
        <v/>
      </c>
      <c r="R63" s="634" t="str">
        <f>IF($A63="","",VLOOKUP($A63,기본데이타!$A$8:$BV$103,COLUMN(기본데이타!T$8),0))</f>
        <v/>
      </c>
      <c r="S63" s="634" t="str">
        <f>IF($A63="","",VLOOKUP($A63,기본데이타!$A$8:$BV$103,COLUMN(기본데이타!U$8),0))</f>
        <v/>
      </c>
      <c r="T63" s="634" t="str">
        <f>IF($A63="","",VLOOKUP($A63,기본데이타!$A$8:$BV$103,COLUMN(기본데이타!V$8),0))</f>
        <v/>
      </c>
      <c r="U63" s="634" t="str">
        <f>IF($A63="","",VLOOKUP($A63,기본데이타!$A$8:$BV$103,COLUMN(기본데이타!W$8),0))</f>
        <v/>
      </c>
      <c r="V63" s="634" t="str">
        <f>IF($A63="","",VLOOKUP($A63,기본데이타!$A$8:$BV$103,COLUMN(기본데이타!X$8),0))</f>
        <v/>
      </c>
      <c r="W63" s="634" t="str">
        <f>IF($A63="","",VLOOKUP($A63,기본데이타!$A$8:$BV$103,COLUMN(기본데이타!AA$8),0))</f>
        <v/>
      </c>
      <c r="X63" s="634" t="str">
        <f>IF($A63="","",VLOOKUP($A63,기본데이타!$A$8:$BV$103,COLUMN(기본데이타!AB$8),0))</f>
        <v/>
      </c>
      <c r="Y63" s="633" t="str">
        <f>IF($A63="","",VLOOKUP($A63,기본데이타!$A$8:$BV$103,COLUMN(기본데이타!AC$8),0))</f>
        <v/>
      </c>
      <c r="Z63" s="634" t="str">
        <f>IF($A63="","",VLOOKUP($A63,기본데이타!$A$8:$BV$103,COLUMN(기본데이타!AD$8),0))</f>
        <v/>
      </c>
      <c r="AA63" s="633" t="str">
        <f>IF($A63="","",VLOOKUP($A63,기본데이타!$A$8:$BV$103,COLUMN(기본데이타!AE$8),0))</f>
        <v/>
      </c>
      <c r="AB63" s="634" t="str">
        <f>IF($A63="","",VLOOKUP($A63,기본데이타!$A$8:$BV$103,COLUMN(기본데이타!AF$8),0))</f>
        <v/>
      </c>
      <c r="AC63" s="633" t="str">
        <f>IF($A63="","",VLOOKUP($A63,기본데이타!$A$8:$BV$103,COLUMN(기본데이타!AG$8),0))</f>
        <v/>
      </c>
      <c r="AD63" s="634" t="str">
        <f>IF($A63="","",VLOOKUP($A63,기본데이타!$A$8:$BV$103,COLUMN(기본데이타!AH$8),0))</f>
        <v/>
      </c>
      <c r="AE63" s="633" t="str">
        <f>IF($A63="","",VLOOKUP($A63,기본데이타!$A$8:$BV$103,COLUMN(기본데이타!AI$8),0))</f>
        <v/>
      </c>
      <c r="AF63" s="635" t="str">
        <f>IF($A63="","",VLOOKUP($A63,기본데이타!$A$8:$BV$103,COLUMN(기본데이타!AJ$8),0))</f>
        <v/>
      </c>
      <c r="AG63" s="580" t="str">
        <f>IF($A63="","",VLOOKUP($A63,기본데이타!$A$8:$BV$103,COLUMN(기본데이타!AK$8),0))</f>
        <v/>
      </c>
      <c r="AH63" s="580" t="str">
        <f>IF($A63="","",VLOOKUP($A63,기본데이타!$A$8:$BV$103,COLUMN(기본데이타!AL$8),0))</f>
        <v/>
      </c>
      <c r="AI63" s="580" t="str">
        <f>IF($A63="","",VLOOKUP($A63,기본데이타!$A$8:$BV$103,COLUMN(기본데이타!AM$8),0))</f>
        <v/>
      </c>
      <c r="AJ63" s="636" t="str">
        <f>IF($A63="","",VLOOKUP($A63,기본데이타!$A$8:$BV$103,COLUMN(기본데이타!AN$8),0))</f>
        <v/>
      </c>
      <c r="AK63" s="636" t="str">
        <f>IF($A63="","",VLOOKUP($A63,기본데이타!$A$8:$BV$103,COLUMN(기본데이타!AO$8),0))</f>
        <v/>
      </c>
      <c r="AL63" s="636" t="str">
        <f>IF($A63="","",VLOOKUP($A63,기본데이타!$A$8:$BV$103,COLUMN(기본데이타!AP$8),0))</f>
        <v/>
      </c>
      <c r="AM63" s="636" t="str">
        <f>IF($A63="","",VLOOKUP($A63,기본데이타!$A$8:$BV$103,COLUMN(기본데이타!AQ$8),0))</f>
        <v/>
      </c>
      <c r="AN63" s="636" t="str">
        <f>IF($A63="","",VLOOKUP($A63,기본데이타!$A$8:$BV$103,COLUMN(기본데이타!AR$8),0))</f>
        <v/>
      </c>
      <c r="AO63" s="636" t="str">
        <f>IF($A63="","",VLOOKUP($A63,기본데이타!$A$8:$BV$103,COLUMN(기본데이타!AS$8),0))</f>
        <v/>
      </c>
      <c r="AP63" s="636" t="str">
        <f>IF($A63="","",VLOOKUP($A63,기본데이타!$A$8:$BV$103,COLUMN(기본데이타!AT$8),0))</f>
        <v/>
      </c>
      <c r="AQ63" s="636" t="str">
        <f>IF($A63="","",VLOOKUP($A63,기본데이타!$A$8:$BV$103,COLUMN(기본데이타!AU$8),0))</f>
        <v/>
      </c>
      <c r="AR63" s="637" t="str">
        <f>IF($A63="","",VLOOKUP($A63,기본데이타!$A$8:$BV$103,COLUMN(기본데이타!AV$8),0))</f>
        <v/>
      </c>
      <c r="AS63" s="634" t="str">
        <f>IF($A63="","",VLOOKUP($A63,기본데이타!$A$8:$BV$103,COLUMN(기본데이타!AW$8),0))</f>
        <v/>
      </c>
      <c r="AT63" s="634" t="str">
        <f>IF($A63="","",VLOOKUP($A63,기본데이타!$A$8:$BV$103,COLUMN(기본데이타!AX$8),0))</f>
        <v/>
      </c>
      <c r="AU63" s="634" t="str">
        <f>IF($A63="","",VLOOKUP($A63,기본데이타!$A$8:$BV$103,COLUMN(기본데이타!AY$8),0))</f>
        <v/>
      </c>
      <c r="AV63" s="634" t="str">
        <f t="shared" si="4"/>
        <v/>
      </c>
      <c r="AW63" s="635" t="str">
        <f>IF($A63="","",VLOOKUP($A63,기본데이타!$A$8:$BV$103,COLUMN(기본데이타!BA$8),0))</f>
        <v/>
      </c>
      <c r="AX63" s="635" t="str">
        <f>IF($A63="","",VLOOKUP($A63,기본데이타!$A$8:$BV$103,COLUMN(기본데이타!BB$8),0))</f>
        <v/>
      </c>
      <c r="AY63" s="635" t="str">
        <f>IF($A63="","",VLOOKUP($A63,기본데이타!$A$8:$BV$103,COLUMN(기본데이타!BC$8),0))</f>
        <v/>
      </c>
      <c r="AZ63" s="635" t="str">
        <f>IF($A63="","",VLOOKUP($A63,기본데이타!$A$8:$BV$103,COLUMN(기본데이타!BD$8),0))</f>
        <v/>
      </c>
      <c r="BA63" s="635" t="str">
        <f>IF($A63="","",VLOOKUP($A63,기본데이타!$A$8:$BV$103,COLUMN(기본데이타!BE$8),0))</f>
        <v/>
      </c>
      <c r="BB63" s="635" t="str">
        <f>IF($A63="","",VLOOKUP($A63,기본데이타!$A$8:$BV$103,COLUMN(기본데이타!BF$8),0))</f>
        <v/>
      </c>
      <c r="BC63" s="635" t="str">
        <f>IF($A63="","",VLOOKUP($A63,기본데이타!$A$8:$BV$103,COLUMN(기본데이타!BG$8),0))</f>
        <v/>
      </c>
      <c r="BD63" s="1496" t="str">
        <f>IF($A63="","",VLOOKUP($A63,기본데이타!$A$8:$BV$103,COLUMN(기본데이타!BH$8),0))</f>
        <v/>
      </c>
      <c r="BE63" s="635" t="str">
        <f>IF($A63="","",VLOOKUP($A63,기본데이타!$A$8:$BV$103,COLUMN(기본데이타!BI$8),0))</f>
        <v/>
      </c>
      <c r="BF63" s="635" t="str">
        <f>IF($A63="","",VLOOKUP($A63,기본데이타!$A$8:$BV$103,COLUMN(기본데이타!BJ$8),0))</f>
        <v/>
      </c>
      <c r="BG63" s="635" t="str">
        <f>IF($A63="","",VLOOKUP($A63,기본데이타!$A$8:$BV$103,COLUMN(기본데이타!BK$8),0))</f>
        <v/>
      </c>
      <c r="BH63" s="635" t="str">
        <f>IF($A63="","",VLOOKUP($A63,기본데이타!$A$8:$BV$103,COLUMN(기본데이타!BL$8),0))</f>
        <v/>
      </c>
      <c r="BI63" s="635" t="str">
        <f>IF($A63="","",VLOOKUP($A63,기본데이타!$A$8:$BV$103,COLUMN(기본데이타!BM$8),0))</f>
        <v/>
      </c>
      <c r="BJ63" s="635" t="str">
        <f>IF($A63="","",VLOOKUP($A63,기본데이타!$A$8:$BV$103,COLUMN(기본데이타!BN$8),0))</f>
        <v/>
      </c>
      <c r="BK63" s="635" t="str">
        <f>IF($A63="","",VLOOKUP($A63,기본데이타!$A$8:$BV$103,COLUMN(기본데이타!BO$8),0))</f>
        <v/>
      </c>
      <c r="BL63" s="635" t="str">
        <f>IF($A63="","",VLOOKUP($A63,기본데이타!$A$8:$BV$103,COLUMN(기본데이타!BP$8),0))</f>
        <v/>
      </c>
      <c r="BM63" s="635" t="str">
        <f>IF($A63="","",VLOOKUP($A63,기본데이타!$A$8:$BV$103,COLUMN(기본데이타!BQ$8),0))</f>
        <v/>
      </c>
      <c r="BN63" s="638" t="str">
        <f>IF($A63="","",VLOOKUP($A63,기본데이타!$A$8:$BV$103,COLUMN(기본데이타!BR$8),0))</f>
        <v/>
      </c>
      <c r="BO63" s="579" t="str">
        <f>IF($A63="","",VLOOKUP($A63,기본데이타!$A$8:$BV$103,COLUMN(기본데이타!BS$8),0))</f>
        <v/>
      </c>
      <c r="BP63" s="639" t="str">
        <f>IF($A63="","",VLOOKUP($A63,기본데이타!$A$8:$BV$103,COLUMN(기본데이타!BT$8),0))</f>
        <v/>
      </c>
      <c r="BQ63" s="640" t="str">
        <f>IF($A63="","",VLOOKUP($A63,기본데이타!$A$8:$BV$103,COLUMN(기본데이타!BU$8),0))</f>
        <v/>
      </c>
      <c r="BR63" s="625" t="str">
        <f t="shared" si="5"/>
        <v/>
      </c>
      <c r="BU63" s="641"/>
    </row>
    <row r="64" spans="1:73" s="571" customFormat="1" ht="61.5" hidden="1" customHeight="1" outlineLevel="1">
      <c r="A64" s="578"/>
      <c r="B64" s="1642"/>
      <c r="C64" s="590"/>
      <c r="D64" s="591" t="str">
        <f>IF($A64="","",VLOOKUP($A64,기본데이타!$A$8:$BV$103,COLUMN(기본데이타!F$8),0))</f>
        <v/>
      </c>
      <c r="E64" s="592" t="str">
        <f>IF($A64="","",VLOOKUP($A64,기본데이타!$A$8:$BV$103,COLUMN(기본데이타!G$8),0))</f>
        <v/>
      </c>
      <c r="F64" s="593" t="str">
        <f>IF($A64="","",VLOOKUP($A64,기본데이타!$A$8:$BV$103,COLUMN(기본데이타!H$8),0))</f>
        <v/>
      </c>
      <c r="G64" s="594" t="str">
        <f>IF($A64="","",VLOOKUP($A64,기본데이타!$A$8:$BV$103,COLUMN(기본데이타!I$8),0))</f>
        <v/>
      </c>
      <c r="H64" s="594" t="str">
        <f>IF($A64="","",VLOOKUP($A64,기본데이타!$A$8:$BV$103,COLUMN(기본데이타!J$8),0))</f>
        <v/>
      </c>
      <c r="I64" s="595" t="str">
        <f>IF($A64="","",VLOOKUP($A64,기본데이타!$A$8:$BV$103,COLUMN(기본데이타!K$8),0))</f>
        <v/>
      </c>
      <c r="J64" s="595" t="str">
        <f>IF($A64="","",VLOOKUP($A64,기본데이타!$A$8:$BV$103,COLUMN(기본데이타!L$8),0))</f>
        <v/>
      </c>
      <c r="K64" s="595" t="str">
        <f>IF($A64="","",VLOOKUP($A64,기본데이타!$A$8:$BV$103,COLUMN(기본데이타!M$8),0))</f>
        <v/>
      </c>
      <c r="L64" s="596" t="str">
        <f>IF($A64="","",VLOOKUP($A64,기본데이타!$A$8:$BV$103,COLUMN(기본데이타!N$8),0))</f>
        <v/>
      </c>
      <c r="M64" s="595" t="str">
        <f>IF($A64="","",VLOOKUP($A64,기본데이타!$A$8:$BV$103,COLUMN(기본데이타!O$8),0))</f>
        <v/>
      </c>
      <c r="N64" s="596" t="str">
        <f>IF($A64="","",VLOOKUP($A64,기본데이타!$A$8:$BV$103,COLUMN(기본데이타!P$8),0))</f>
        <v/>
      </c>
      <c r="O64" s="596" t="str">
        <f>IF($A64="","",VLOOKUP($A64,기본데이타!$A$8:$BV$103,COLUMN(기본데이타!Q$8),0))</f>
        <v/>
      </c>
      <c r="P64" s="596" t="str">
        <f>IF($A64="","",VLOOKUP($A64,기본데이타!$A$8:$BV$103,COLUMN(기본데이타!R$8),0))</f>
        <v/>
      </c>
      <c r="Q64" s="596" t="str">
        <f>IF($A64="","",VLOOKUP($A64,기본데이타!$A$8:$BV$103,COLUMN(기본데이타!S$8),0))</f>
        <v/>
      </c>
      <c r="R64" s="596" t="str">
        <f>IF($A64="","",VLOOKUP($A64,기본데이타!$A$8:$BV$103,COLUMN(기본데이타!T$8),0))</f>
        <v/>
      </c>
      <c r="S64" s="596" t="str">
        <f>IF($A64="","",VLOOKUP($A64,기본데이타!$A$8:$BV$103,COLUMN(기본데이타!U$8),0))</f>
        <v/>
      </c>
      <c r="T64" s="596" t="str">
        <f>IF($A64="","",VLOOKUP($A64,기본데이타!$A$8:$BV$103,COLUMN(기본데이타!V$8),0))</f>
        <v/>
      </c>
      <c r="U64" s="596" t="str">
        <f>IF($A64="","",VLOOKUP($A64,기본데이타!$A$8:$BV$103,COLUMN(기본데이타!W$8),0))</f>
        <v/>
      </c>
      <c r="V64" s="596" t="str">
        <f>IF($A64="","",VLOOKUP($A64,기본데이타!$A$8:$BV$103,COLUMN(기본데이타!X$8),0))</f>
        <v/>
      </c>
      <c r="W64" s="596" t="str">
        <f>IF($A64="","",VLOOKUP($A64,기본데이타!$A$8:$BV$103,COLUMN(기본데이타!AA$8),0))</f>
        <v/>
      </c>
      <c r="X64" s="596" t="str">
        <f>IF($A64="","",VLOOKUP($A64,기본데이타!$A$8:$BV$103,COLUMN(기본데이타!AB$8),0))</f>
        <v/>
      </c>
      <c r="Y64" s="595" t="str">
        <f>IF($A64="","",VLOOKUP($A64,기본데이타!$A$8:$BV$103,COLUMN(기본데이타!AC$8),0))</f>
        <v/>
      </c>
      <c r="Z64" s="596" t="str">
        <f>IF($A64="","",VLOOKUP($A64,기본데이타!$A$8:$BV$103,COLUMN(기본데이타!AD$8),0))</f>
        <v/>
      </c>
      <c r="AA64" s="595" t="str">
        <f>IF($A64="","",VLOOKUP($A64,기본데이타!$A$8:$BV$103,COLUMN(기본데이타!AE$8),0))</f>
        <v/>
      </c>
      <c r="AB64" s="596" t="str">
        <f>IF($A64="","",VLOOKUP($A64,기본데이타!$A$8:$BV$103,COLUMN(기본데이타!AF$8),0))</f>
        <v/>
      </c>
      <c r="AC64" s="595" t="str">
        <f>IF($A64="","",VLOOKUP($A64,기본데이타!$A$8:$BV$103,COLUMN(기본데이타!AG$8),0))</f>
        <v/>
      </c>
      <c r="AD64" s="596" t="str">
        <f>IF($A64="","",VLOOKUP($A64,기본데이타!$A$8:$BV$103,COLUMN(기본데이타!AH$8),0))</f>
        <v/>
      </c>
      <c r="AE64" s="595" t="str">
        <f>IF($A64="","",VLOOKUP($A64,기본데이타!$A$8:$BV$103,COLUMN(기본데이타!AI$8),0))</f>
        <v/>
      </c>
      <c r="AF64" s="597" t="str">
        <f>IF($A64="","",VLOOKUP($A64,기본데이타!$A$8:$BV$103,COLUMN(기본데이타!AJ$8),0))</f>
        <v/>
      </c>
      <c r="AG64" s="580" t="str">
        <f>IF($A64="","",VLOOKUP($A64,기본데이타!$A$8:$BV$103,COLUMN(기본데이타!AK$8),0))</f>
        <v/>
      </c>
      <c r="AH64" s="580" t="str">
        <f>IF($A64="","",VLOOKUP($A64,기본데이타!$A$8:$BV$103,COLUMN(기본데이타!AL$8),0))</f>
        <v/>
      </c>
      <c r="AI64" s="580" t="str">
        <f>IF($A64="","",VLOOKUP($A64,기본데이타!$A$8:$BV$103,COLUMN(기본데이타!AM$8),0))</f>
        <v/>
      </c>
      <c r="AJ64" s="642" t="str">
        <f>IF($A64="","",VLOOKUP($A64,기본데이타!$A$8:$BV$103,COLUMN(기본데이타!AN$8),0))</f>
        <v/>
      </c>
      <c r="AK64" s="642" t="str">
        <f>IF($A64="","",VLOOKUP($A64,기본데이타!$A$8:$BV$103,COLUMN(기본데이타!AO$8),0))</f>
        <v/>
      </c>
      <c r="AL64" s="642" t="str">
        <f>IF($A64="","",VLOOKUP($A64,기본데이타!$A$8:$BV$103,COLUMN(기본데이타!AP$8),0))</f>
        <v/>
      </c>
      <c r="AM64" s="642" t="str">
        <f>IF($A64="","",VLOOKUP($A64,기본데이타!$A$8:$BV$103,COLUMN(기본데이타!AQ$8),0))</f>
        <v/>
      </c>
      <c r="AN64" s="642" t="str">
        <f>IF($A64="","",VLOOKUP($A64,기본데이타!$A$8:$BV$103,COLUMN(기본데이타!AR$8),0))</f>
        <v/>
      </c>
      <c r="AO64" s="642" t="str">
        <f>IF($A64="","",VLOOKUP($A64,기본데이타!$A$8:$BV$103,COLUMN(기본데이타!AS$8),0))</f>
        <v/>
      </c>
      <c r="AP64" s="642" t="str">
        <f>IF($A64="","",VLOOKUP($A64,기본데이타!$A$8:$BV$103,COLUMN(기본데이타!AT$8),0))</f>
        <v/>
      </c>
      <c r="AQ64" s="642" t="str">
        <f>IF($A64="","",VLOOKUP($A64,기본데이타!$A$8:$BV$103,COLUMN(기본데이타!AU$8),0))</f>
        <v/>
      </c>
      <c r="AR64" s="643" t="str">
        <f>IF($A64="","",VLOOKUP($A64,기본데이타!$A$8:$BV$103,COLUMN(기본데이타!AV$8),0))</f>
        <v/>
      </c>
      <c r="AS64" s="596" t="str">
        <f>IF($A64="","",VLOOKUP($A64,기본데이타!$A$8:$BV$103,COLUMN(기본데이타!AW$8),0))</f>
        <v/>
      </c>
      <c r="AT64" s="596" t="str">
        <f>IF($A64="","",VLOOKUP($A64,기본데이타!$A$8:$BV$103,COLUMN(기본데이타!AX$8),0))</f>
        <v/>
      </c>
      <c r="AU64" s="596" t="str">
        <f>IF($A64="","",VLOOKUP($A64,기본데이타!$A$8:$BV$103,COLUMN(기본데이타!AY$8),0))</f>
        <v/>
      </c>
      <c r="AV64" s="596" t="str">
        <f t="shared" si="4"/>
        <v/>
      </c>
      <c r="AW64" s="597" t="str">
        <f>IF($A64="","",VLOOKUP($A64,기본데이타!$A$8:$BV$103,COLUMN(기본데이타!BA$8),0))</f>
        <v/>
      </c>
      <c r="AX64" s="597" t="str">
        <f>IF($A64="","",VLOOKUP($A64,기본데이타!$A$8:$BV$103,COLUMN(기본데이타!BB$8),0))</f>
        <v/>
      </c>
      <c r="AY64" s="597" t="str">
        <f>IF($A64="","",VLOOKUP($A64,기본데이타!$A$8:$BV$103,COLUMN(기본데이타!BC$8),0))</f>
        <v/>
      </c>
      <c r="AZ64" s="597" t="str">
        <f>IF($A64="","",VLOOKUP($A64,기본데이타!$A$8:$BV$103,COLUMN(기본데이타!BD$8),0))</f>
        <v/>
      </c>
      <c r="BA64" s="597" t="str">
        <f>IF($A64="","",VLOOKUP($A64,기본데이타!$A$8:$BV$103,COLUMN(기본데이타!BE$8),0))</f>
        <v/>
      </c>
      <c r="BB64" s="597" t="str">
        <f>IF($A64="","",VLOOKUP($A64,기본데이타!$A$8:$BV$103,COLUMN(기본데이타!BF$8),0))</f>
        <v/>
      </c>
      <c r="BC64" s="597" t="str">
        <f>IF($A64="","",VLOOKUP($A64,기본데이타!$A$8:$BV$103,COLUMN(기본데이타!BG$8),0))</f>
        <v/>
      </c>
      <c r="BD64" s="1496" t="str">
        <f>IF($A64="","",VLOOKUP($A64,기본데이타!$A$8:$BV$103,COLUMN(기본데이타!BH$8),0))</f>
        <v/>
      </c>
      <c r="BE64" s="597" t="str">
        <f>IF($A64="","",VLOOKUP($A64,기본데이타!$A$8:$BV$103,COLUMN(기본데이타!BI$8),0))</f>
        <v/>
      </c>
      <c r="BF64" s="597" t="str">
        <f>IF($A64="","",VLOOKUP($A64,기본데이타!$A$8:$BV$103,COLUMN(기본데이타!BJ$8),0))</f>
        <v/>
      </c>
      <c r="BG64" s="597" t="str">
        <f>IF($A64="","",VLOOKUP($A64,기본데이타!$A$8:$BV$103,COLUMN(기본데이타!BK$8),0))</f>
        <v/>
      </c>
      <c r="BH64" s="597" t="str">
        <f>IF($A64="","",VLOOKUP($A64,기본데이타!$A$8:$BV$103,COLUMN(기본데이타!BL$8),0))</f>
        <v/>
      </c>
      <c r="BI64" s="597" t="str">
        <f>IF($A64="","",VLOOKUP($A64,기본데이타!$A$8:$BV$103,COLUMN(기본데이타!BM$8),0))</f>
        <v/>
      </c>
      <c r="BJ64" s="597" t="str">
        <f>IF($A64="","",VLOOKUP($A64,기본데이타!$A$8:$BV$103,COLUMN(기본데이타!BN$8),0))</f>
        <v/>
      </c>
      <c r="BK64" s="597" t="str">
        <f>IF($A64="","",VLOOKUP($A64,기본데이타!$A$8:$BV$103,COLUMN(기본데이타!BO$8),0))</f>
        <v/>
      </c>
      <c r="BL64" s="597" t="str">
        <f>IF($A64="","",VLOOKUP($A64,기본데이타!$A$8:$BV$103,COLUMN(기본데이타!BP$8),0))</f>
        <v/>
      </c>
      <c r="BM64" s="597" t="str">
        <f>IF($A64="","",VLOOKUP($A64,기본데이타!$A$8:$BV$103,COLUMN(기본데이타!BQ$8),0))</f>
        <v/>
      </c>
      <c r="BN64" s="599" t="str">
        <f>IF($A64="","",VLOOKUP($A64,기본데이타!$A$8:$BV$103,COLUMN(기본데이타!BR$8),0))</f>
        <v/>
      </c>
      <c r="BO64" s="600" t="str">
        <f>IF($A64="","",VLOOKUP($A64,기본데이타!$A$8:$BV$103,COLUMN(기본데이타!BS$8),0))</f>
        <v/>
      </c>
      <c r="BP64" s="623" t="str">
        <f>IF($A64="","",VLOOKUP($A64,기본데이타!$A$8:$BV$103,COLUMN(기본데이타!BT$8),0))</f>
        <v/>
      </c>
      <c r="BQ64" s="602" t="str">
        <f>IF($A64="","",VLOOKUP($A64,기본데이타!$A$8:$BV$103,COLUMN(기본데이타!BU$8),0))</f>
        <v/>
      </c>
      <c r="BR64" s="603" t="str">
        <f t="shared" si="5"/>
        <v/>
      </c>
    </row>
    <row r="65" spans="1:73" s="571" customFormat="1" ht="61.5" hidden="1" customHeight="1" outlineLevel="1">
      <c r="A65" s="578"/>
      <c r="B65" s="1642"/>
      <c r="C65" s="590"/>
      <c r="D65" s="591" t="str">
        <f>IF($A65="","",VLOOKUP($A65,기본데이타!$A$8:$BV$103,COLUMN(기본데이타!F$8),0))</f>
        <v/>
      </c>
      <c r="E65" s="592" t="str">
        <f>IF($A65="","",VLOOKUP($A65,기본데이타!$A$8:$BV$103,COLUMN(기본데이타!G$8),0))</f>
        <v/>
      </c>
      <c r="F65" s="593" t="str">
        <f>IF($A65="","",VLOOKUP($A65,기본데이타!$A$8:$BV$103,COLUMN(기본데이타!H$8),0))</f>
        <v/>
      </c>
      <c r="G65" s="594" t="str">
        <f>IF($A65="","",VLOOKUP($A65,기본데이타!$A$8:$BV$103,COLUMN(기본데이타!I$8),0))</f>
        <v/>
      </c>
      <c r="H65" s="594" t="str">
        <f>IF($A65="","",VLOOKUP($A65,기본데이타!$A$8:$BV$103,COLUMN(기본데이타!J$8),0))</f>
        <v/>
      </c>
      <c r="I65" s="595" t="str">
        <f>IF($A65="","",VLOOKUP($A65,기본데이타!$A$8:$BV$103,COLUMN(기본데이타!K$8),0))</f>
        <v/>
      </c>
      <c r="J65" s="595" t="str">
        <f>IF($A65="","",VLOOKUP($A65,기본데이타!$A$8:$BV$103,COLUMN(기본데이타!L$8),0))</f>
        <v/>
      </c>
      <c r="K65" s="595" t="str">
        <f>IF($A65="","",VLOOKUP($A65,기본데이타!$A$8:$BV$103,COLUMN(기본데이타!M$8),0))</f>
        <v/>
      </c>
      <c r="L65" s="596" t="str">
        <f>IF($A65="","",VLOOKUP($A65,기본데이타!$A$8:$BV$103,COLUMN(기본데이타!N$8),0))</f>
        <v/>
      </c>
      <c r="M65" s="595" t="str">
        <f>IF($A65="","",VLOOKUP($A65,기본데이타!$A$8:$BV$103,COLUMN(기본데이타!O$8),0))</f>
        <v/>
      </c>
      <c r="N65" s="596" t="str">
        <f>IF($A65="","",VLOOKUP($A65,기본데이타!$A$8:$BV$103,COLUMN(기본데이타!P$8),0))</f>
        <v/>
      </c>
      <c r="O65" s="596" t="str">
        <f>IF($A65="","",VLOOKUP($A65,기본데이타!$A$8:$BV$103,COLUMN(기본데이타!Q$8),0))</f>
        <v/>
      </c>
      <c r="P65" s="596" t="str">
        <f>IF($A65="","",VLOOKUP($A65,기본데이타!$A$8:$BV$103,COLUMN(기본데이타!R$8),0))</f>
        <v/>
      </c>
      <c r="Q65" s="596" t="str">
        <f>IF($A65="","",VLOOKUP($A65,기본데이타!$A$8:$BV$103,COLUMN(기본데이타!S$8),0))</f>
        <v/>
      </c>
      <c r="R65" s="596" t="str">
        <f>IF($A65="","",VLOOKUP($A65,기본데이타!$A$8:$BV$103,COLUMN(기본데이타!T$8),0))</f>
        <v/>
      </c>
      <c r="S65" s="596" t="str">
        <f>IF($A65="","",VLOOKUP($A65,기본데이타!$A$8:$BV$103,COLUMN(기본데이타!U$8),0))</f>
        <v/>
      </c>
      <c r="T65" s="596" t="str">
        <f>IF($A65="","",VLOOKUP($A65,기본데이타!$A$8:$BV$103,COLUMN(기본데이타!V$8),0))</f>
        <v/>
      </c>
      <c r="U65" s="596" t="str">
        <f>IF($A65="","",VLOOKUP($A65,기본데이타!$A$8:$BV$103,COLUMN(기본데이타!W$8),0))</f>
        <v/>
      </c>
      <c r="V65" s="596" t="str">
        <f>IF($A65="","",VLOOKUP($A65,기본데이타!$A$8:$BV$103,COLUMN(기본데이타!X$8),0))</f>
        <v/>
      </c>
      <c r="W65" s="596" t="str">
        <f>IF($A65="","",VLOOKUP($A65,기본데이타!$A$8:$BV$103,COLUMN(기본데이타!AA$8),0))</f>
        <v/>
      </c>
      <c r="X65" s="596" t="str">
        <f>IF($A65="","",VLOOKUP($A65,기본데이타!$A$8:$BV$103,COLUMN(기본데이타!AB$8),0))</f>
        <v/>
      </c>
      <c r="Y65" s="595" t="str">
        <f>IF($A65="","",VLOOKUP($A65,기본데이타!$A$8:$BV$103,COLUMN(기본데이타!AC$8),0))</f>
        <v/>
      </c>
      <c r="Z65" s="596" t="str">
        <f>IF($A65="","",VLOOKUP($A65,기본데이타!$A$8:$BV$103,COLUMN(기본데이타!AD$8),0))</f>
        <v/>
      </c>
      <c r="AA65" s="595" t="str">
        <f>IF($A65="","",VLOOKUP($A65,기본데이타!$A$8:$BV$103,COLUMN(기본데이타!AE$8),0))</f>
        <v/>
      </c>
      <c r="AB65" s="596" t="str">
        <f>IF($A65="","",VLOOKUP($A65,기본데이타!$A$8:$BV$103,COLUMN(기본데이타!AF$8),0))</f>
        <v/>
      </c>
      <c r="AC65" s="595" t="str">
        <f>IF($A65="","",VLOOKUP($A65,기본데이타!$A$8:$BV$103,COLUMN(기본데이타!AG$8),0))</f>
        <v/>
      </c>
      <c r="AD65" s="596" t="str">
        <f>IF($A65="","",VLOOKUP($A65,기본데이타!$A$8:$BV$103,COLUMN(기본데이타!AH$8),0))</f>
        <v/>
      </c>
      <c r="AE65" s="595" t="str">
        <f>IF($A65="","",VLOOKUP($A65,기본데이타!$A$8:$BV$103,COLUMN(기본데이타!AI$8),0))</f>
        <v/>
      </c>
      <c r="AF65" s="597" t="str">
        <f>IF($A65="","",VLOOKUP($A65,기본데이타!$A$8:$BV$103,COLUMN(기본데이타!AJ$8),0))</f>
        <v/>
      </c>
      <c r="AG65" s="580" t="str">
        <f>IF($A65="","",VLOOKUP($A65,기본데이타!$A$8:$BV$103,COLUMN(기본데이타!AK$8),0))</f>
        <v/>
      </c>
      <c r="AH65" s="580" t="str">
        <f>IF($A65="","",VLOOKUP($A65,기본데이타!$A$8:$BV$103,COLUMN(기본데이타!AL$8),0))</f>
        <v/>
      </c>
      <c r="AI65" s="580" t="str">
        <f>IF($A65="","",VLOOKUP($A65,기본데이타!$A$8:$BV$103,COLUMN(기본데이타!AM$8),0))</f>
        <v/>
      </c>
      <c r="AJ65" s="636" t="str">
        <f>IF($A65="","",VLOOKUP($A65,기본데이타!$A$8:$BV$103,COLUMN(기본데이타!AN$8),0))</f>
        <v/>
      </c>
      <c r="AK65" s="636" t="str">
        <f>IF($A65="","",VLOOKUP($A65,기본데이타!$A$8:$BV$103,COLUMN(기본데이타!AO$8),0))</f>
        <v/>
      </c>
      <c r="AL65" s="636" t="str">
        <f>IF($A65="","",VLOOKUP($A65,기본데이타!$A$8:$BV$103,COLUMN(기본데이타!AP$8),0))</f>
        <v/>
      </c>
      <c r="AM65" s="636" t="str">
        <f>IF($A65="","",VLOOKUP($A65,기본데이타!$A$8:$BV$103,COLUMN(기본데이타!AQ$8),0))</f>
        <v/>
      </c>
      <c r="AN65" s="636" t="str">
        <f>IF($A65="","",VLOOKUP($A65,기본데이타!$A$8:$BV$103,COLUMN(기본데이타!AR$8),0))</f>
        <v/>
      </c>
      <c r="AO65" s="636" t="str">
        <f>IF($A65="","",VLOOKUP($A65,기본데이타!$A$8:$BV$103,COLUMN(기본데이타!AS$8),0))</f>
        <v/>
      </c>
      <c r="AP65" s="636" t="str">
        <f>IF($A65="","",VLOOKUP($A65,기본데이타!$A$8:$BV$103,COLUMN(기본데이타!AT$8),0))</f>
        <v/>
      </c>
      <c r="AQ65" s="636" t="str">
        <f>IF($A65="","",VLOOKUP($A65,기본데이타!$A$8:$BV$103,COLUMN(기본데이타!AU$8),0))</f>
        <v/>
      </c>
      <c r="AR65" s="637" t="str">
        <f>IF($A65="","",VLOOKUP($A65,기본데이타!$A$8:$BV$103,COLUMN(기본데이타!AV$8),0))</f>
        <v/>
      </c>
      <c r="AS65" s="596" t="str">
        <f>IF($A65="","",VLOOKUP($A65,기본데이타!$A$8:$BV$103,COLUMN(기본데이타!AW$8),0))</f>
        <v/>
      </c>
      <c r="AT65" s="596" t="str">
        <f>IF($A65="","",VLOOKUP($A65,기본데이타!$A$8:$BV$103,COLUMN(기본데이타!AX$8),0))</f>
        <v/>
      </c>
      <c r="AU65" s="596" t="str">
        <f>IF($A65="","",VLOOKUP($A65,기본데이타!$A$8:$BV$103,COLUMN(기본데이타!AY$8),0))</f>
        <v/>
      </c>
      <c r="AV65" s="596" t="str">
        <f t="shared" si="4"/>
        <v/>
      </c>
      <c r="AW65" s="597" t="str">
        <f>IF($A65="","",VLOOKUP($A65,기본데이타!$A$8:$BV$103,COLUMN(기본데이타!BA$8),0))</f>
        <v/>
      </c>
      <c r="AX65" s="597" t="str">
        <f>IF($A65="","",VLOOKUP($A65,기본데이타!$A$8:$BV$103,COLUMN(기본데이타!BB$8),0))</f>
        <v/>
      </c>
      <c r="AY65" s="597" t="str">
        <f>IF($A65="","",VLOOKUP($A65,기본데이타!$A$8:$BV$103,COLUMN(기본데이타!BC$8),0))</f>
        <v/>
      </c>
      <c r="AZ65" s="597" t="str">
        <f>IF($A65="","",VLOOKUP($A65,기본데이타!$A$8:$BV$103,COLUMN(기본데이타!BD$8),0))</f>
        <v/>
      </c>
      <c r="BA65" s="597" t="str">
        <f>IF($A65="","",VLOOKUP($A65,기본데이타!$A$8:$BV$103,COLUMN(기본데이타!BE$8),0))</f>
        <v/>
      </c>
      <c r="BB65" s="597" t="str">
        <f>IF($A65="","",VLOOKUP($A65,기본데이타!$A$8:$BV$103,COLUMN(기본데이타!BF$8),0))</f>
        <v/>
      </c>
      <c r="BC65" s="597" t="str">
        <f>IF($A65="","",VLOOKUP($A65,기본데이타!$A$8:$BV$103,COLUMN(기본데이타!BG$8),0))</f>
        <v/>
      </c>
      <c r="BD65" s="1496" t="str">
        <f>IF($A65="","",VLOOKUP($A65,기본데이타!$A$8:$BV$103,COLUMN(기본데이타!BH$8),0))</f>
        <v/>
      </c>
      <c r="BE65" s="597" t="str">
        <f>IF($A65="","",VLOOKUP($A65,기본데이타!$A$8:$BV$103,COLUMN(기본데이타!BI$8),0))</f>
        <v/>
      </c>
      <c r="BF65" s="597" t="str">
        <f>IF($A65="","",VLOOKUP($A65,기본데이타!$A$8:$BV$103,COLUMN(기본데이타!BJ$8),0))</f>
        <v/>
      </c>
      <c r="BG65" s="597" t="str">
        <f>IF($A65="","",VLOOKUP($A65,기본데이타!$A$8:$BV$103,COLUMN(기본데이타!BK$8),0))</f>
        <v/>
      </c>
      <c r="BH65" s="597" t="str">
        <f>IF($A65="","",VLOOKUP($A65,기본데이타!$A$8:$BV$103,COLUMN(기본데이타!BL$8),0))</f>
        <v/>
      </c>
      <c r="BI65" s="597" t="str">
        <f>IF($A65="","",VLOOKUP($A65,기본데이타!$A$8:$BV$103,COLUMN(기본데이타!BM$8),0))</f>
        <v/>
      </c>
      <c r="BJ65" s="597" t="str">
        <f>IF($A65="","",VLOOKUP($A65,기본데이타!$A$8:$BV$103,COLUMN(기본데이타!BN$8),0))</f>
        <v/>
      </c>
      <c r="BK65" s="597" t="str">
        <f>IF($A65="","",VLOOKUP($A65,기본데이타!$A$8:$BV$103,COLUMN(기본데이타!BO$8),0))</f>
        <v/>
      </c>
      <c r="BL65" s="597" t="str">
        <f>IF($A65="","",VLOOKUP($A65,기본데이타!$A$8:$BV$103,COLUMN(기본데이타!BP$8),0))</f>
        <v/>
      </c>
      <c r="BM65" s="597" t="str">
        <f>IF($A65="","",VLOOKUP($A65,기본데이타!$A$8:$BV$103,COLUMN(기본데이타!BQ$8),0))</f>
        <v/>
      </c>
      <c r="BN65" s="599" t="str">
        <f>IF($A65="","",VLOOKUP($A65,기본데이타!$A$8:$BV$103,COLUMN(기본데이타!BR$8),0))</f>
        <v/>
      </c>
      <c r="BO65" s="600" t="str">
        <f>IF($A65="","",VLOOKUP($A65,기본데이타!$A$8:$BV$103,COLUMN(기본데이타!BS$8),0))</f>
        <v/>
      </c>
      <c r="BP65" s="623" t="str">
        <f>IF($A65="","",VLOOKUP($A65,기본데이타!$A$8:$BV$103,COLUMN(기본데이타!BT$8),0))</f>
        <v/>
      </c>
      <c r="BQ65" s="602" t="str">
        <f>IF($A65="","",VLOOKUP($A65,기본데이타!$A$8:$BV$103,COLUMN(기본데이타!BU$8),0))</f>
        <v/>
      </c>
      <c r="BR65" s="603" t="str">
        <f t="shared" si="5"/>
        <v/>
      </c>
    </row>
    <row r="66" spans="1:73" s="571" customFormat="1" ht="61.5" hidden="1" customHeight="1" outlineLevel="1">
      <c r="A66" s="578"/>
      <c r="B66" s="1642"/>
      <c r="C66" s="590"/>
      <c r="D66" s="591" t="str">
        <f>IF($A66="","",VLOOKUP($A66,기본데이타!$A$8:$BV$103,COLUMN(기본데이타!F$8),0))</f>
        <v/>
      </c>
      <c r="E66" s="592" t="str">
        <f>IF($A66="","",VLOOKUP($A66,기본데이타!$A$8:$BV$103,COLUMN(기본데이타!G$8),0))</f>
        <v/>
      </c>
      <c r="F66" s="593" t="str">
        <f>IF($A66="","",VLOOKUP($A66,기본데이타!$A$8:$BV$103,COLUMN(기본데이타!H$8),0))</f>
        <v/>
      </c>
      <c r="G66" s="594" t="str">
        <f>IF($A66="","",VLOOKUP($A66,기본데이타!$A$8:$BV$103,COLUMN(기본데이타!I$8),0))</f>
        <v/>
      </c>
      <c r="H66" s="594" t="str">
        <f>IF($A66="","",VLOOKUP($A66,기본데이타!$A$8:$BV$103,COLUMN(기본데이타!J$8),0))</f>
        <v/>
      </c>
      <c r="I66" s="595" t="str">
        <f>IF($A66="","",VLOOKUP($A66,기본데이타!$A$8:$BV$103,COLUMN(기본데이타!K$8),0))</f>
        <v/>
      </c>
      <c r="J66" s="595" t="str">
        <f>IF($A66="","",VLOOKUP($A66,기본데이타!$A$8:$BV$103,COLUMN(기본데이타!L$8),0))</f>
        <v/>
      </c>
      <c r="K66" s="595" t="str">
        <f>IF($A66="","",VLOOKUP($A66,기본데이타!$A$8:$BV$103,COLUMN(기본데이타!M$8),0))</f>
        <v/>
      </c>
      <c r="L66" s="596" t="str">
        <f>IF($A66="","",VLOOKUP($A66,기본데이타!$A$8:$BV$103,COLUMN(기본데이타!N$8),0))</f>
        <v/>
      </c>
      <c r="M66" s="595" t="str">
        <f>IF($A66="","",VLOOKUP($A66,기본데이타!$A$8:$BV$103,COLUMN(기본데이타!O$8),0))</f>
        <v/>
      </c>
      <c r="N66" s="596" t="str">
        <f>IF($A66="","",VLOOKUP($A66,기본데이타!$A$8:$BV$103,COLUMN(기본데이타!P$8),0))</f>
        <v/>
      </c>
      <c r="O66" s="596" t="str">
        <f>IF($A66="","",VLOOKUP($A66,기본데이타!$A$8:$BV$103,COLUMN(기본데이타!Q$8),0))</f>
        <v/>
      </c>
      <c r="P66" s="596" t="str">
        <f>IF($A66="","",VLOOKUP($A66,기본데이타!$A$8:$BV$103,COLUMN(기본데이타!R$8),0))</f>
        <v/>
      </c>
      <c r="Q66" s="596" t="str">
        <f>IF($A66="","",VLOOKUP($A66,기본데이타!$A$8:$BV$103,COLUMN(기본데이타!S$8),0))</f>
        <v/>
      </c>
      <c r="R66" s="596" t="str">
        <f>IF($A66="","",VLOOKUP($A66,기본데이타!$A$8:$BV$103,COLUMN(기본데이타!T$8),0))</f>
        <v/>
      </c>
      <c r="S66" s="596" t="str">
        <f>IF($A66="","",VLOOKUP($A66,기본데이타!$A$8:$BV$103,COLUMN(기본데이타!U$8),0))</f>
        <v/>
      </c>
      <c r="T66" s="596" t="str">
        <f>IF($A66="","",VLOOKUP($A66,기본데이타!$A$8:$BV$103,COLUMN(기본데이타!V$8),0))</f>
        <v/>
      </c>
      <c r="U66" s="596" t="str">
        <f>IF($A66="","",VLOOKUP($A66,기본데이타!$A$8:$BV$103,COLUMN(기본데이타!W$8),0))</f>
        <v/>
      </c>
      <c r="V66" s="596" t="str">
        <f>IF($A66="","",VLOOKUP($A66,기본데이타!$A$8:$BV$103,COLUMN(기본데이타!X$8),0))</f>
        <v/>
      </c>
      <c r="W66" s="596" t="str">
        <f>IF($A66="","",VLOOKUP($A66,기본데이타!$A$8:$BV$103,COLUMN(기본데이타!AA$8),0))</f>
        <v/>
      </c>
      <c r="X66" s="596" t="str">
        <f>IF($A66="","",VLOOKUP($A66,기본데이타!$A$8:$BV$103,COLUMN(기본데이타!AB$8),0))</f>
        <v/>
      </c>
      <c r="Y66" s="595" t="str">
        <f>IF($A66="","",VLOOKUP($A66,기본데이타!$A$8:$BV$103,COLUMN(기본데이타!AC$8),0))</f>
        <v/>
      </c>
      <c r="Z66" s="596" t="str">
        <f>IF($A66="","",VLOOKUP($A66,기본데이타!$A$8:$BV$103,COLUMN(기본데이타!AD$8),0))</f>
        <v/>
      </c>
      <c r="AA66" s="595" t="str">
        <f>IF($A66="","",VLOOKUP($A66,기본데이타!$A$8:$BV$103,COLUMN(기본데이타!AE$8),0))</f>
        <v/>
      </c>
      <c r="AB66" s="596" t="str">
        <f>IF($A66="","",VLOOKUP($A66,기본데이타!$A$8:$BV$103,COLUMN(기본데이타!AF$8),0))</f>
        <v/>
      </c>
      <c r="AC66" s="595" t="str">
        <f>IF($A66="","",VLOOKUP($A66,기본데이타!$A$8:$BV$103,COLUMN(기본데이타!AG$8),0))</f>
        <v/>
      </c>
      <c r="AD66" s="596" t="str">
        <f>IF($A66="","",VLOOKUP($A66,기본데이타!$A$8:$BV$103,COLUMN(기본데이타!AH$8),0))</f>
        <v/>
      </c>
      <c r="AE66" s="595" t="str">
        <f>IF($A66="","",VLOOKUP($A66,기본데이타!$A$8:$BV$103,COLUMN(기본데이타!AI$8),0))</f>
        <v/>
      </c>
      <c r="AF66" s="597" t="str">
        <f>IF($A66="","",VLOOKUP($A66,기본데이타!$A$8:$BV$103,COLUMN(기본데이타!AJ$8),0))</f>
        <v/>
      </c>
      <c r="AG66" s="580" t="str">
        <f>IF($A66="","",VLOOKUP($A66,기본데이타!$A$8:$BV$103,COLUMN(기본데이타!AK$8),0))</f>
        <v/>
      </c>
      <c r="AH66" s="580" t="str">
        <f>IF($A66="","",VLOOKUP($A66,기본데이타!$A$8:$BV$103,COLUMN(기본데이타!AL$8),0))</f>
        <v/>
      </c>
      <c r="AI66" s="580" t="str">
        <f>IF($A66="","",VLOOKUP($A66,기본데이타!$A$8:$BV$103,COLUMN(기본데이타!AM$8),0))</f>
        <v/>
      </c>
      <c r="AJ66" s="636" t="str">
        <f>IF($A66="","",VLOOKUP($A66,기본데이타!$A$8:$BV$103,COLUMN(기본데이타!AN$8),0))</f>
        <v/>
      </c>
      <c r="AK66" s="636" t="str">
        <f>IF($A66="","",VLOOKUP($A66,기본데이타!$A$8:$BV$103,COLUMN(기본데이타!AO$8),0))</f>
        <v/>
      </c>
      <c r="AL66" s="636" t="str">
        <f>IF($A66="","",VLOOKUP($A66,기본데이타!$A$8:$BV$103,COLUMN(기본데이타!AP$8),0))</f>
        <v/>
      </c>
      <c r="AM66" s="636" t="str">
        <f>IF($A66="","",VLOOKUP($A66,기본데이타!$A$8:$BV$103,COLUMN(기본데이타!AQ$8),0))</f>
        <v/>
      </c>
      <c r="AN66" s="636" t="str">
        <f>IF($A66="","",VLOOKUP($A66,기본데이타!$A$8:$BV$103,COLUMN(기본데이타!AR$8),0))</f>
        <v/>
      </c>
      <c r="AO66" s="636" t="str">
        <f>IF($A66="","",VLOOKUP($A66,기본데이타!$A$8:$BV$103,COLUMN(기본데이타!AS$8),0))</f>
        <v/>
      </c>
      <c r="AP66" s="636" t="str">
        <f>IF($A66="","",VLOOKUP($A66,기본데이타!$A$8:$BV$103,COLUMN(기본데이타!AT$8),0))</f>
        <v/>
      </c>
      <c r="AQ66" s="636" t="str">
        <f>IF($A66="","",VLOOKUP($A66,기본데이타!$A$8:$BV$103,COLUMN(기본데이타!AU$8),0))</f>
        <v/>
      </c>
      <c r="AR66" s="637" t="str">
        <f>IF($A66="","",VLOOKUP($A66,기본데이타!$A$8:$BV$103,COLUMN(기본데이타!AV$8),0))</f>
        <v/>
      </c>
      <c r="AS66" s="596" t="str">
        <f>IF($A66="","",VLOOKUP($A66,기본데이타!$A$8:$BV$103,COLUMN(기본데이타!AW$8),0))</f>
        <v/>
      </c>
      <c r="AT66" s="596" t="str">
        <f>IF($A66="","",VLOOKUP($A66,기본데이타!$A$8:$BV$103,COLUMN(기본데이타!AX$8),0))</f>
        <v/>
      </c>
      <c r="AU66" s="596" t="str">
        <f>IF($A66="","",VLOOKUP($A66,기본데이타!$A$8:$BV$103,COLUMN(기본데이타!AY$8),0))</f>
        <v/>
      </c>
      <c r="AV66" s="596" t="str">
        <f t="shared" si="4"/>
        <v/>
      </c>
      <c r="AW66" s="597" t="str">
        <f>IF($A66="","",VLOOKUP($A66,기본데이타!$A$8:$BV$103,COLUMN(기본데이타!BA$8),0))</f>
        <v/>
      </c>
      <c r="AX66" s="597" t="str">
        <f>IF($A66="","",VLOOKUP($A66,기본데이타!$A$8:$BV$103,COLUMN(기본데이타!BB$8),0))</f>
        <v/>
      </c>
      <c r="AY66" s="597" t="str">
        <f>IF($A66="","",VLOOKUP($A66,기본데이타!$A$8:$BV$103,COLUMN(기본데이타!BC$8),0))</f>
        <v/>
      </c>
      <c r="AZ66" s="597" t="str">
        <f>IF($A66="","",VLOOKUP($A66,기본데이타!$A$8:$BV$103,COLUMN(기본데이타!BD$8),0))</f>
        <v/>
      </c>
      <c r="BA66" s="597" t="str">
        <f>IF($A66="","",VLOOKUP($A66,기본데이타!$A$8:$BV$103,COLUMN(기본데이타!BE$8),0))</f>
        <v/>
      </c>
      <c r="BB66" s="597" t="str">
        <f>IF($A66="","",VLOOKUP($A66,기본데이타!$A$8:$BV$103,COLUMN(기본데이타!BF$8),0))</f>
        <v/>
      </c>
      <c r="BC66" s="597" t="str">
        <f>IF($A66="","",VLOOKUP($A66,기본데이타!$A$8:$BV$103,COLUMN(기본데이타!BG$8),0))</f>
        <v/>
      </c>
      <c r="BD66" s="1496" t="str">
        <f>IF($A66="","",VLOOKUP($A66,기본데이타!$A$8:$BV$103,COLUMN(기본데이타!BH$8),0))</f>
        <v/>
      </c>
      <c r="BE66" s="597" t="str">
        <f>IF($A66="","",VLOOKUP($A66,기본데이타!$A$8:$BV$103,COLUMN(기본데이타!BI$8),0))</f>
        <v/>
      </c>
      <c r="BF66" s="597" t="str">
        <f>IF($A66="","",VLOOKUP($A66,기본데이타!$A$8:$BV$103,COLUMN(기본데이타!BJ$8),0))</f>
        <v/>
      </c>
      <c r="BG66" s="597" t="str">
        <f>IF($A66="","",VLOOKUP($A66,기본데이타!$A$8:$BV$103,COLUMN(기본데이타!BK$8),0))</f>
        <v/>
      </c>
      <c r="BH66" s="597" t="str">
        <f>IF($A66="","",VLOOKUP($A66,기본데이타!$A$8:$BV$103,COLUMN(기본데이타!BL$8),0))</f>
        <v/>
      </c>
      <c r="BI66" s="597" t="str">
        <f>IF($A66="","",VLOOKUP($A66,기본데이타!$A$8:$BV$103,COLUMN(기본데이타!BM$8),0))</f>
        <v/>
      </c>
      <c r="BJ66" s="597" t="str">
        <f>IF($A66="","",VLOOKUP($A66,기본데이타!$A$8:$BV$103,COLUMN(기본데이타!BN$8),0))</f>
        <v/>
      </c>
      <c r="BK66" s="597" t="str">
        <f>IF($A66="","",VLOOKUP($A66,기본데이타!$A$8:$BV$103,COLUMN(기본데이타!BO$8),0))</f>
        <v/>
      </c>
      <c r="BL66" s="597" t="str">
        <f>IF($A66="","",VLOOKUP($A66,기본데이타!$A$8:$BV$103,COLUMN(기본데이타!BP$8),0))</f>
        <v/>
      </c>
      <c r="BM66" s="597" t="str">
        <f>IF($A66="","",VLOOKUP($A66,기본데이타!$A$8:$BV$103,COLUMN(기본데이타!BQ$8),0))</f>
        <v/>
      </c>
      <c r="BN66" s="599" t="str">
        <f>IF($A66="","",VLOOKUP($A66,기본데이타!$A$8:$BV$103,COLUMN(기본데이타!BR$8),0))</f>
        <v/>
      </c>
      <c r="BO66" s="600" t="str">
        <f>IF($A66="","",VLOOKUP($A66,기본데이타!$A$8:$BV$103,COLUMN(기본데이타!BS$8),0))</f>
        <v/>
      </c>
      <c r="BP66" s="623" t="str">
        <f>IF($A66="","",VLOOKUP($A66,기본데이타!$A$8:$BV$103,COLUMN(기본데이타!BT$8),0))</f>
        <v/>
      </c>
      <c r="BQ66" s="602" t="str">
        <f>IF($A66="","",VLOOKUP($A66,기본데이타!$A$8:$BV$103,COLUMN(기본데이타!BU$8),0))</f>
        <v/>
      </c>
      <c r="BR66" s="603" t="str">
        <f t="shared" si="5"/>
        <v/>
      </c>
    </row>
    <row r="67" spans="1:73" s="571" customFormat="1" ht="61.5" hidden="1" customHeight="1" outlineLevel="1">
      <c r="A67" s="578"/>
      <c r="B67" s="1642"/>
      <c r="C67" s="590"/>
      <c r="D67" s="591" t="str">
        <f>IF($A67="","",VLOOKUP($A67,기본데이타!$A$8:$BV$103,COLUMN(기본데이타!F$8),0))</f>
        <v/>
      </c>
      <c r="E67" s="592" t="str">
        <f>IF($A67="","",VLOOKUP($A67,기본데이타!$A$8:$BV$103,COLUMN(기본데이타!G$8),0))</f>
        <v/>
      </c>
      <c r="F67" s="593" t="str">
        <f>IF($A67="","",VLOOKUP($A67,기본데이타!$A$8:$BV$103,COLUMN(기본데이타!H$8),0))</f>
        <v/>
      </c>
      <c r="G67" s="594" t="str">
        <f>IF($A67="","",VLOOKUP($A67,기본데이타!$A$8:$BV$103,COLUMN(기본데이타!I$8),0))</f>
        <v/>
      </c>
      <c r="H67" s="594" t="str">
        <f>IF($A67="","",VLOOKUP($A67,기본데이타!$A$8:$BV$103,COLUMN(기본데이타!J$8),0))</f>
        <v/>
      </c>
      <c r="I67" s="595" t="str">
        <f>IF($A67="","",VLOOKUP($A67,기본데이타!$A$8:$BV$103,COLUMN(기본데이타!K$8),0))</f>
        <v/>
      </c>
      <c r="J67" s="595" t="str">
        <f>IF($A67="","",VLOOKUP($A67,기본데이타!$A$8:$BV$103,COLUMN(기본데이타!L$8),0))</f>
        <v/>
      </c>
      <c r="K67" s="595" t="str">
        <f>IF($A67="","",VLOOKUP($A67,기본데이타!$A$8:$BV$103,COLUMN(기본데이타!M$8),0))</f>
        <v/>
      </c>
      <c r="L67" s="596" t="str">
        <f>IF($A67="","",VLOOKUP($A67,기본데이타!$A$8:$BV$103,COLUMN(기본데이타!N$8),0))</f>
        <v/>
      </c>
      <c r="M67" s="595" t="str">
        <f>IF($A67="","",VLOOKUP($A67,기본데이타!$A$8:$BV$103,COLUMN(기본데이타!O$8),0))</f>
        <v/>
      </c>
      <c r="N67" s="596" t="str">
        <f>IF($A67="","",VLOOKUP($A67,기본데이타!$A$8:$BV$103,COLUMN(기본데이타!P$8),0))</f>
        <v/>
      </c>
      <c r="O67" s="596" t="str">
        <f>IF($A67="","",VLOOKUP($A67,기본데이타!$A$8:$BV$103,COLUMN(기본데이타!Q$8),0))</f>
        <v/>
      </c>
      <c r="P67" s="596" t="str">
        <f>IF($A67="","",VLOOKUP($A67,기본데이타!$A$8:$BV$103,COLUMN(기본데이타!R$8),0))</f>
        <v/>
      </c>
      <c r="Q67" s="596" t="str">
        <f>IF($A67="","",VLOOKUP($A67,기본데이타!$A$8:$BV$103,COLUMN(기본데이타!S$8),0))</f>
        <v/>
      </c>
      <c r="R67" s="596" t="str">
        <f>IF($A67="","",VLOOKUP($A67,기본데이타!$A$8:$BV$103,COLUMN(기본데이타!T$8),0))</f>
        <v/>
      </c>
      <c r="S67" s="596" t="str">
        <f>IF($A67="","",VLOOKUP($A67,기본데이타!$A$8:$BV$103,COLUMN(기본데이타!U$8),0))</f>
        <v/>
      </c>
      <c r="T67" s="596" t="str">
        <f>IF($A67="","",VLOOKUP($A67,기본데이타!$A$8:$BV$103,COLUMN(기본데이타!V$8),0))</f>
        <v/>
      </c>
      <c r="U67" s="596" t="str">
        <f>IF($A67="","",VLOOKUP($A67,기본데이타!$A$8:$BV$103,COLUMN(기본데이타!W$8),0))</f>
        <v/>
      </c>
      <c r="V67" s="596" t="str">
        <f>IF($A67="","",VLOOKUP($A67,기본데이타!$A$8:$BV$103,COLUMN(기본데이타!X$8),0))</f>
        <v/>
      </c>
      <c r="W67" s="596" t="str">
        <f>IF($A67="","",VLOOKUP($A67,기본데이타!$A$8:$BV$103,COLUMN(기본데이타!AA$8),0))</f>
        <v/>
      </c>
      <c r="X67" s="596" t="str">
        <f>IF($A67="","",VLOOKUP($A67,기본데이타!$A$8:$BV$103,COLUMN(기본데이타!AB$8),0))</f>
        <v/>
      </c>
      <c r="Y67" s="595" t="str">
        <f>IF($A67="","",VLOOKUP($A67,기본데이타!$A$8:$BV$103,COLUMN(기본데이타!AC$8),0))</f>
        <v/>
      </c>
      <c r="Z67" s="596" t="str">
        <f>IF($A67="","",VLOOKUP($A67,기본데이타!$A$8:$BV$103,COLUMN(기본데이타!AD$8),0))</f>
        <v/>
      </c>
      <c r="AA67" s="595" t="str">
        <f>IF($A67="","",VLOOKUP($A67,기본데이타!$A$8:$BV$103,COLUMN(기본데이타!AE$8),0))</f>
        <v/>
      </c>
      <c r="AB67" s="596" t="str">
        <f>IF($A67="","",VLOOKUP($A67,기본데이타!$A$8:$BV$103,COLUMN(기본데이타!AF$8),0))</f>
        <v/>
      </c>
      <c r="AC67" s="595" t="str">
        <f>IF($A67="","",VLOOKUP($A67,기본데이타!$A$8:$BV$103,COLUMN(기본데이타!AG$8),0))</f>
        <v/>
      </c>
      <c r="AD67" s="596" t="str">
        <f>IF($A67="","",VLOOKUP($A67,기본데이타!$A$8:$BV$103,COLUMN(기본데이타!AH$8),0))</f>
        <v/>
      </c>
      <c r="AE67" s="595" t="str">
        <f>IF($A67="","",VLOOKUP($A67,기본데이타!$A$8:$BV$103,COLUMN(기본데이타!AI$8),0))</f>
        <v/>
      </c>
      <c r="AF67" s="593" t="str">
        <f>IF($A67="","",VLOOKUP($A67,기본데이타!$A$8:$BV$103,COLUMN(기본데이타!AJ$8),0))</f>
        <v/>
      </c>
      <c r="AG67" s="580" t="str">
        <f>IF($A67="","",VLOOKUP($A67,기본데이타!$A$8:$BV$103,COLUMN(기본데이타!AK$8),0))</f>
        <v/>
      </c>
      <c r="AH67" s="580" t="str">
        <f>IF($A67="","",VLOOKUP($A67,기본데이타!$A$8:$BV$103,COLUMN(기본데이타!AL$8),0))</f>
        <v/>
      </c>
      <c r="AI67" s="580" t="str">
        <f>IF($A67="","",VLOOKUP($A67,기본데이타!$A$8:$BV$103,COLUMN(기본데이타!AM$8),0))</f>
        <v/>
      </c>
      <c r="AJ67" s="636" t="str">
        <f>IF($A67="","",VLOOKUP($A67,기본데이타!$A$8:$BV$103,COLUMN(기본데이타!AN$8),0))</f>
        <v/>
      </c>
      <c r="AK67" s="636" t="str">
        <f>IF($A67="","",VLOOKUP($A67,기본데이타!$A$8:$BV$103,COLUMN(기본데이타!AO$8),0))</f>
        <v/>
      </c>
      <c r="AL67" s="636" t="str">
        <f>IF($A67="","",VLOOKUP($A67,기본데이타!$A$8:$BV$103,COLUMN(기본데이타!AP$8),0))</f>
        <v/>
      </c>
      <c r="AM67" s="636" t="str">
        <f>IF($A67="","",VLOOKUP($A67,기본데이타!$A$8:$BV$103,COLUMN(기본데이타!AQ$8),0))</f>
        <v/>
      </c>
      <c r="AN67" s="636" t="str">
        <f>IF($A67="","",VLOOKUP($A67,기본데이타!$A$8:$BV$103,COLUMN(기본데이타!AR$8),0))</f>
        <v/>
      </c>
      <c r="AO67" s="636" t="str">
        <f>IF($A67="","",VLOOKUP($A67,기본데이타!$A$8:$BV$103,COLUMN(기본데이타!AS$8),0))</f>
        <v/>
      </c>
      <c r="AP67" s="636" t="str">
        <f>IF($A67="","",VLOOKUP($A67,기본데이타!$A$8:$BV$103,COLUMN(기본데이타!AT$8),0))</f>
        <v/>
      </c>
      <c r="AQ67" s="636" t="str">
        <f>IF($A67="","",VLOOKUP($A67,기본데이타!$A$8:$BV$103,COLUMN(기본데이타!AU$8),0))</f>
        <v/>
      </c>
      <c r="AR67" s="637" t="str">
        <f>IF($A67="","",VLOOKUP($A67,기본데이타!$A$8:$BV$103,COLUMN(기본데이타!AV$8),0))</f>
        <v/>
      </c>
      <c r="AS67" s="594" t="str">
        <f>IF($A67="","",VLOOKUP($A67,기본데이타!$A$8:$BV$103,COLUMN(기본데이타!AW$8),0))</f>
        <v/>
      </c>
      <c r="AT67" s="594" t="str">
        <f>IF($A67="","",VLOOKUP($A67,기본데이타!$A$8:$BV$103,COLUMN(기본데이타!AX$8),0))</f>
        <v/>
      </c>
      <c r="AU67" s="596" t="str">
        <f>IF($A67="","",VLOOKUP($A67,기본데이타!$A$8:$BV$103,COLUMN(기본데이타!AY$8),0))</f>
        <v/>
      </c>
      <c r="AV67" s="596" t="str">
        <f t="shared" si="4"/>
        <v/>
      </c>
      <c r="AW67" s="597" t="str">
        <f>IF($A67="","",VLOOKUP($A67,기본데이타!$A$8:$BV$103,COLUMN(기본데이타!BA$8),0))</f>
        <v/>
      </c>
      <c r="AX67" s="597" t="str">
        <f>IF($A67="","",VLOOKUP($A67,기본데이타!$A$8:$BV$103,COLUMN(기본데이타!BB$8),0))</f>
        <v/>
      </c>
      <c r="AY67" s="597" t="str">
        <f>IF($A67="","",VLOOKUP($A67,기본데이타!$A$8:$BV$103,COLUMN(기본데이타!BC$8),0))</f>
        <v/>
      </c>
      <c r="AZ67" s="597" t="str">
        <f>IF($A67="","",VLOOKUP($A67,기본데이타!$A$8:$BV$103,COLUMN(기본데이타!BD$8),0))</f>
        <v/>
      </c>
      <c r="BA67" s="597" t="str">
        <f>IF($A67="","",VLOOKUP($A67,기본데이타!$A$8:$BV$103,COLUMN(기본데이타!BE$8),0))</f>
        <v/>
      </c>
      <c r="BB67" s="597" t="str">
        <f>IF($A67="","",VLOOKUP($A67,기본데이타!$A$8:$BV$103,COLUMN(기본데이타!BF$8),0))</f>
        <v/>
      </c>
      <c r="BC67" s="597" t="str">
        <f>IF($A67="","",VLOOKUP($A67,기본데이타!$A$8:$BV$103,COLUMN(기본데이타!BG$8),0))</f>
        <v/>
      </c>
      <c r="BD67" s="597" t="str">
        <f>IF($A67="","",VLOOKUP($A67,기본데이타!$A$8:$BV$103,COLUMN(기본데이타!BH$8),0))</f>
        <v/>
      </c>
      <c r="BE67" s="597" t="str">
        <f>IF($A67="","",VLOOKUP($A67,기본데이타!$A$8:$BV$103,COLUMN(기본데이타!BI$8),0))</f>
        <v/>
      </c>
      <c r="BF67" s="597" t="str">
        <f>IF($A67="","",VLOOKUP($A67,기본데이타!$A$8:$BV$103,COLUMN(기본데이타!BJ$8),0))</f>
        <v/>
      </c>
      <c r="BG67" s="597" t="str">
        <f>IF($A67="","",VLOOKUP($A67,기본데이타!$A$8:$BV$103,COLUMN(기본데이타!BK$8),0))</f>
        <v/>
      </c>
      <c r="BH67" s="597" t="str">
        <f>IF($A67="","",VLOOKUP($A67,기본데이타!$A$8:$BV$103,COLUMN(기본데이타!BL$8),0))</f>
        <v/>
      </c>
      <c r="BI67" s="597" t="str">
        <f>IF($A67="","",VLOOKUP($A67,기본데이타!$A$8:$BV$103,COLUMN(기본데이타!BM$8),0))</f>
        <v/>
      </c>
      <c r="BJ67" s="597" t="str">
        <f>IF($A67="","",VLOOKUP($A67,기본데이타!$A$8:$BV$103,COLUMN(기본데이타!BN$8),0))</f>
        <v/>
      </c>
      <c r="BK67" s="597" t="str">
        <f>IF($A67="","",VLOOKUP($A67,기본데이타!$A$8:$BV$103,COLUMN(기본데이타!BO$8),0))</f>
        <v/>
      </c>
      <c r="BL67" s="597" t="str">
        <f>IF($A67="","",VLOOKUP($A67,기본데이타!$A$8:$BV$103,COLUMN(기본데이타!BP$8),0))</f>
        <v/>
      </c>
      <c r="BM67" s="597" t="str">
        <f>IF($A67="","",VLOOKUP($A67,기본데이타!$A$8:$BV$103,COLUMN(기본데이타!BQ$8),0))</f>
        <v/>
      </c>
      <c r="BN67" s="599" t="str">
        <f>IF($A67="","",VLOOKUP($A67,기본데이타!$A$8:$BV$103,COLUMN(기본데이타!BR$8),0))</f>
        <v/>
      </c>
      <c r="BO67" s="600" t="str">
        <f>IF($A67="","",VLOOKUP($A67,기본데이타!$A$8:$BV$103,COLUMN(기본데이타!BS$8),0))</f>
        <v/>
      </c>
      <c r="BP67" s="623" t="str">
        <f>IF($A67="","",VLOOKUP($A67,기본데이타!$A$8:$BV$103,COLUMN(기본데이타!BT$8),0))</f>
        <v/>
      </c>
      <c r="BQ67" s="602" t="str">
        <f>IF($A67="","",VLOOKUP($A67,기본데이타!$A$8:$BV$103,COLUMN(기본데이타!BU$8),0))</f>
        <v/>
      </c>
      <c r="BR67" s="603" t="str">
        <f t="shared" si="5"/>
        <v/>
      </c>
    </row>
    <row r="68" spans="1:73" s="571" customFormat="1" ht="61.5" hidden="1" customHeight="1" outlineLevel="1">
      <c r="A68" s="578"/>
      <c r="B68" s="1642"/>
      <c r="C68" s="590"/>
      <c r="D68" s="591" t="str">
        <f>IF($A68="","",VLOOKUP($A68,기본데이타!$A$8:$BV$103,COLUMN(기본데이타!F$8),0))</f>
        <v/>
      </c>
      <c r="E68" s="592" t="str">
        <f>IF($A68="","",VLOOKUP($A68,기본데이타!$A$8:$BV$103,COLUMN(기본데이타!G$8),0))</f>
        <v/>
      </c>
      <c r="F68" s="593" t="str">
        <f>IF($A68="","",VLOOKUP($A68,기본데이타!$A$8:$BV$103,COLUMN(기본데이타!H$8),0))</f>
        <v/>
      </c>
      <c r="G68" s="594" t="str">
        <f>IF($A68="","",VLOOKUP($A68,기본데이타!$A$8:$BV$103,COLUMN(기본데이타!I$8),0))</f>
        <v/>
      </c>
      <c r="H68" s="594" t="str">
        <f>IF($A68="","",VLOOKUP($A68,기본데이타!$A$8:$BV$103,COLUMN(기본데이타!J$8),0))</f>
        <v/>
      </c>
      <c r="I68" s="595" t="str">
        <f>IF($A68="","",VLOOKUP($A68,기본데이타!$A$8:$BV$103,COLUMN(기본데이타!K$8),0))</f>
        <v/>
      </c>
      <c r="J68" s="595" t="str">
        <f>IF($A68="","",VLOOKUP($A68,기본데이타!$A$8:$BV$103,COLUMN(기본데이타!L$8),0))</f>
        <v/>
      </c>
      <c r="K68" s="595" t="str">
        <f>IF($A68="","",VLOOKUP($A68,기본데이타!$A$8:$BV$103,COLUMN(기본데이타!M$8),0))</f>
        <v/>
      </c>
      <c r="L68" s="596" t="str">
        <f>IF($A68="","",VLOOKUP($A68,기본데이타!$A$8:$BV$103,COLUMN(기본데이타!N$8),0))</f>
        <v/>
      </c>
      <c r="M68" s="595" t="str">
        <f>IF($A68="","",VLOOKUP($A68,기본데이타!$A$8:$BV$103,COLUMN(기본데이타!O$8),0))</f>
        <v/>
      </c>
      <c r="N68" s="596" t="str">
        <f>IF($A68="","",VLOOKUP($A68,기본데이타!$A$8:$BV$103,COLUMN(기본데이타!P$8),0))</f>
        <v/>
      </c>
      <c r="O68" s="596" t="str">
        <f>IF($A68="","",VLOOKUP($A68,기본데이타!$A$8:$BV$103,COLUMN(기본데이타!Q$8),0))</f>
        <v/>
      </c>
      <c r="P68" s="596" t="str">
        <f>IF($A68="","",VLOOKUP($A68,기본데이타!$A$8:$BV$103,COLUMN(기본데이타!R$8),0))</f>
        <v/>
      </c>
      <c r="Q68" s="596" t="str">
        <f>IF($A68="","",VLOOKUP($A68,기본데이타!$A$8:$BV$103,COLUMN(기본데이타!S$8),0))</f>
        <v/>
      </c>
      <c r="R68" s="596" t="str">
        <f>IF($A68="","",VLOOKUP($A68,기본데이타!$A$8:$BV$103,COLUMN(기본데이타!T$8),0))</f>
        <v/>
      </c>
      <c r="S68" s="596" t="str">
        <f>IF($A68="","",VLOOKUP($A68,기본데이타!$A$8:$BV$103,COLUMN(기본데이타!U$8),0))</f>
        <v/>
      </c>
      <c r="T68" s="596" t="str">
        <f>IF($A68="","",VLOOKUP($A68,기본데이타!$A$8:$BV$103,COLUMN(기본데이타!V$8),0))</f>
        <v/>
      </c>
      <c r="U68" s="596" t="str">
        <f>IF($A68="","",VLOOKUP($A68,기본데이타!$A$8:$BV$103,COLUMN(기본데이타!W$8),0))</f>
        <v/>
      </c>
      <c r="V68" s="596" t="str">
        <f>IF($A68="","",VLOOKUP($A68,기본데이타!$A$8:$BV$103,COLUMN(기본데이타!X$8),0))</f>
        <v/>
      </c>
      <c r="W68" s="596" t="str">
        <f>IF($A68="","",VLOOKUP($A68,기본데이타!$A$8:$BV$103,COLUMN(기본데이타!AA$8),0))</f>
        <v/>
      </c>
      <c r="X68" s="596" t="str">
        <f>IF($A68="","",VLOOKUP($A68,기본데이타!$A$8:$BV$103,COLUMN(기본데이타!AB$8),0))</f>
        <v/>
      </c>
      <c r="Y68" s="595" t="str">
        <f>IF($A68="","",VLOOKUP($A68,기본데이타!$A$8:$BV$103,COLUMN(기본데이타!AC$8),0))</f>
        <v/>
      </c>
      <c r="Z68" s="596" t="str">
        <f>IF($A68="","",VLOOKUP($A68,기본데이타!$A$8:$BV$103,COLUMN(기본데이타!AD$8),0))</f>
        <v/>
      </c>
      <c r="AA68" s="595" t="str">
        <f>IF($A68="","",VLOOKUP($A68,기본데이타!$A$8:$BV$103,COLUMN(기본데이타!AE$8),0))</f>
        <v/>
      </c>
      <c r="AB68" s="596" t="str">
        <f>IF($A68="","",VLOOKUP($A68,기본데이타!$A$8:$BV$103,COLUMN(기본데이타!AF$8),0))</f>
        <v/>
      </c>
      <c r="AC68" s="595" t="str">
        <f>IF($A68="","",VLOOKUP($A68,기본데이타!$A$8:$BV$103,COLUMN(기본데이타!AG$8),0))</f>
        <v/>
      </c>
      <c r="AD68" s="596" t="str">
        <f>IF($A68="","",VLOOKUP($A68,기본데이타!$A$8:$BV$103,COLUMN(기본데이타!AH$8),0))</f>
        <v/>
      </c>
      <c r="AE68" s="595" t="str">
        <f>IF($A68="","",VLOOKUP($A68,기본데이타!$A$8:$BV$103,COLUMN(기본데이타!AI$8),0))</f>
        <v/>
      </c>
      <c r="AF68" s="597" t="str">
        <f>IF($A68="","",VLOOKUP($A68,기본데이타!$A$8:$BV$103,COLUMN(기본데이타!AJ$8),0))</f>
        <v/>
      </c>
      <c r="AG68" s="580" t="str">
        <f>IF($A68="","",VLOOKUP($A68,기본데이타!$A$8:$BV$103,COLUMN(기본데이타!AK$8),0))</f>
        <v/>
      </c>
      <c r="AH68" s="580" t="str">
        <f>IF($A68="","",VLOOKUP($A68,기본데이타!$A$8:$BV$103,COLUMN(기본데이타!AL$8),0))</f>
        <v/>
      </c>
      <c r="AI68" s="580" t="str">
        <f>IF($A68="","",VLOOKUP($A68,기본데이타!$A$8:$BV$103,COLUMN(기본데이타!AM$8),0))</f>
        <v/>
      </c>
      <c r="AJ68" s="636" t="str">
        <f>IF($A68="","",VLOOKUP($A68,기본데이타!$A$8:$BV$103,COLUMN(기본데이타!AN$8),0))</f>
        <v/>
      </c>
      <c r="AK68" s="636" t="str">
        <f>IF($A68="","",VLOOKUP($A68,기본데이타!$A$8:$BV$103,COLUMN(기본데이타!AO$8),0))</f>
        <v/>
      </c>
      <c r="AL68" s="636" t="str">
        <f>IF($A68="","",VLOOKUP($A68,기본데이타!$A$8:$BV$103,COLUMN(기본데이타!AP$8),0))</f>
        <v/>
      </c>
      <c r="AM68" s="636" t="str">
        <f>IF($A68="","",VLOOKUP($A68,기본데이타!$A$8:$BV$103,COLUMN(기본데이타!AQ$8),0))</f>
        <v/>
      </c>
      <c r="AN68" s="636" t="str">
        <f>IF($A68="","",VLOOKUP($A68,기본데이타!$A$8:$BV$103,COLUMN(기본데이타!AR$8),0))</f>
        <v/>
      </c>
      <c r="AO68" s="636" t="str">
        <f>IF($A68="","",VLOOKUP($A68,기본데이타!$A$8:$BV$103,COLUMN(기본데이타!AS$8),0))</f>
        <v/>
      </c>
      <c r="AP68" s="636" t="str">
        <f>IF($A68="","",VLOOKUP($A68,기본데이타!$A$8:$BV$103,COLUMN(기본데이타!AT$8),0))</f>
        <v/>
      </c>
      <c r="AQ68" s="636" t="str">
        <f>IF($A68="","",VLOOKUP($A68,기본데이타!$A$8:$BV$103,COLUMN(기본데이타!AU$8),0))</f>
        <v/>
      </c>
      <c r="AR68" s="637" t="str">
        <f>IF($A68="","",VLOOKUP($A68,기본데이타!$A$8:$BV$103,COLUMN(기본데이타!AV$8),0))</f>
        <v/>
      </c>
      <c r="AS68" s="596" t="str">
        <f>IF($A68="","",VLOOKUP($A68,기본데이타!$A$8:$BV$103,COLUMN(기본데이타!AW$8),0))</f>
        <v/>
      </c>
      <c r="AT68" s="596" t="str">
        <f>IF($A68="","",VLOOKUP($A68,기본데이타!$A$8:$BV$103,COLUMN(기본데이타!AX$8),0))</f>
        <v/>
      </c>
      <c r="AU68" s="596" t="str">
        <f>IF($A68="","",VLOOKUP($A68,기본데이타!$A$8:$BV$103,COLUMN(기본데이타!AY$8),0))</f>
        <v/>
      </c>
      <c r="AV68" s="596" t="str">
        <f t="shared" si="4"/>
        <v/>
      </c>
      <c r="AW68" s="597" t="str">
        <f>IF($A68="","",VLOOKUP($A68,기본데이타!$A$8:$BV$103,COLUMN(기본데이타!BA$8),0))</f>
        <v/>
      </c>
      <c r="AX68" s="597" t="str">
        <f>IF($A68="","",VLOOKUP($A68,기본데이타!$A$8:$BV$103,COLUMN(기본데이타!BB$8),0))</f>
        <v/>
      </c>
      <c r="AY68" s="597" t="str">
        <f>IF($A68="","",VLOOKUP($A68,기본데이타!$A$8:$BV$103,COLUMN(기본데이타!BC$8),0))</f>
        <v/>
      </c>
      <c r="AZ68" s="597" t="str">
        <f>IF($A68="","",VLOOKUP($A68,기본데이타!$A$8:$BV$103,COLUMN(기본데이타!BD$8),0))</f>
        <v/>
      </c>
      <c r="BA68" s="597" t="str">
        <f>IF($A68="","",VLOOKUP($A68,기본데이타!$A$8:$BV$103,COLUMN(기본데이타!BE$8),0))</f>
        <v/>
      </c>
      <c r="BB68" s="597" t="str">
        <f>IF($A68="","",VLOOKUP($A68,기본데이타!$A$8:$BV$103,COLUMN(기본데이타!BF$8),0))</f>
        <v/>
      </c>
      <c r="BC68" s="597" t="str">
        <f>IF($A68="","",VLOOKUP($A68,기본데이타!$A$8:$BV$103,COLUMN(기본데이타!BG$8),0))</f>
        <v/>
      </c>
      <c r="BD68" s="597" t="str">
        <f>IF($A68="","",VLOOKUP($A68,기본데이타!$A$8:$BV$103,COLUMN(기본데이타!BH$8),0))</f>
        <v/>
      </c>
      <c r="BE68" s="597" t="str">
        <f>IF($A68="","",VLOOKUP($A68,기본데이타!$A$8:$BV$103,COLUMN(기본데이타!BI$8),0))</f>
        <v/>
      </c>
      <c r="BF68" s="597" t="str">
        <f>IF($A68="","",VLOOKUP($A68,기본데이타!$A$8:$BV$103,COLUMN(기본데이타!BJ$8),0))</f>
        <v/>
      </c>
      <c r="BG68" s="597" t="str">
        <f>IF($A68="","",VLOOKUP($A68,기본데이타!$A$8:$BV$103,COLUMN(기본데이타!BK$8),0))</f>
        <v/>
      </c>
      <c r="BH68" s="597" t="str">
        <f>IF($A68="","",VLOOKUP($A68,기본데이타!$A$8:$BV$103,COLUMN(기본데이타!BL$8),0))</f>
        <v/>
      </c>
      <c r="BI68" s="597" t="str">
        <f>IF($A68="","",VLOOKUP($A68,기본데이타!$A$8:$BV$103,COLUMN(기본데이타!BM$8),0))</f>
        <v/>
      </c>
      <c r="BJ68" s="597" t="str">
        <f>IF($A68="","",VLOOKUP($A68,기본데이타!$A$8:$BV$103,COLUMN(기본데이타!BN$8),0))</f>
        <v/>
      </c>
      <c r="BK68" s="597" t="str">
        <f>IF($A68="","",VLOOKUP($A68,기본데이타!$A$8:$BV$103,COLUMN(기본데이타!BO$8),0))</f>
        <v/>
      </c>
      <c r="BL68" s="597" t="str">
        <f>IF($A68="","",VLOOKUP($A68,기본데이타!$A$8:$BV$103,COLUMN(기본데이타!BP$8),0))</f>
        <v/>
      </c>
      <c r="BM68" s="597" t="str">
        <f>IF($A68="","",VLOOKUP($A68,기본데이타!$A$8:$BV$103,COLUMN(기본데이타!BQ$8),0))</f>
        <v/>
      </c>
      <c r="BN68" s="599" t="str">
        <f>IF($A68="","",VLOOKUP($A68,기본데이타!$A$8:$BV$103,COLUMN(기본데이타!BR$8),0))</f>
        <v/>
      </c>
      <c r="BO68" s="600" t="str">
        <f>IF($A68="","",VLOOKUP($A68,기본데이타!$A$8:$BV$103,COLUMN(기본데이타!BS$8),0))</f>
        <v/>
      </c>
      <c r="BP68" s="623" t="str">
        <f>IF($A68="","",VLOOKUP($A68,기본데이타!$A$8:$BV$103,COLUMN(기본데이타!BT$8),0))</f>
        <v/>
      </c>
      <c r="BQ68" s="602" t="str">
        <f>IF($A68="","",VLOOKUP($A68,기본데이타!$A$8:$BV$103,COLUMN(기본데이타!BU$8),0))</f>
        <v/>
      </c>
      <c r="BR68" s="603" t="str">
        <f t="shared" si="5"/>
        <v/>
      </c>
    </row>
    <row r="69" spans="1:73" s="571" customFormat="1" ht="61.5" hidden="1" customHeight="1" outlineLevel="1">
      <c r="A69" s="578"/>
      <c r="B69" s="1642"/>
      <c r="C69" s="590"/>
      <c r="D69" s="591" t="str">
        <f>IF($A69="","",VLOOKUP($A69,기본데이타!$A$8:$BV$103,COLUMN(기본데이타!F$8),0))</f>
        <v/>
      </c>
      <c r="E69" s="592" t="str">
        <f>IF($A69="","",VLOOKUP($A69,기본데이타!$A$8:$BV$103,COLUMN(기본데이타!G$8),0))</f>
        <v/>
      </c>
      <c r="F69" s="593" t="str">
        <f>IF($A69="","",VLOOKUP($A69,기본데이타!$A$8:$BV$103,COLUMN(기본데이타!H$8),0))</f>
        <v/>
      </c>
      <c r="G69" s="594" t="str">
        <f>IF($A69="","",VLOOKUP($A69,기본데이타!$A$8:$BV$103,COLUMN(기본데이타!I$8),0))</f>
        <v/>
      </c>
      <c r="H69" s="594" t="str">
        <f>IF($A69="","",VLOOKUP($A69,기본데이타!$A$8:$BV$103,COLUMN(기본데이타!J$8),0))</f>
        <v/>
      </c>
      <c r="I69" s="595" t="str">
        <f>IF($A69="","",VLOOKUP($A69,기본데이타!$A$8:$BV$103,COLUMN(기본데이타!K$8),0))</f>
        <v/>
      </c>
      <c r="J69" s="595" t="str">
        <f>IF($A69="","",VLOOKUP($A69,기본데이타!$A$8:$BV$103,COLUMN(기본데이타!L$8),0))</f>
        <v/>
      </c>
      <c r="K69" s="595" t="str">
        <f>IF($A69="","",VLOOKUP($A69,기본데이타!$A$8:$BV$103,COLUMN(기본데이타!M$8),0))</f>
        <v/>
      </c>
      <c r="L69" s="596" t="str">
        <f>IF($A69="","",VLOOKUP($A69,기본데이타!$A$8:$BV$103,COLUMN(기본데이타!N$8),0))</f>
        <v/>
      </c>
      <c r="M69" s="595" t="str">
        <f>IF($A69="","",VLOOKUP($A69,기본데이타!$A$8:$BV$103,COLUMN(기본데이타!O$8),0))</f>
        <v/>
      </c>
      <c r="N69" s="596" t="str">
        <f>IF($A69="","",VLOOKUP($A69,기본데이타!$A$8:$BV$103,COLUMN(기본데이타!P$8),0))</f>
        <v/>
      </c>
      <c r="O69" s="596" t="str">
        <f>IF($A69="","",VLOOKUP($A69,기본데이타!$A$8:$BV$103,COLUMN(기본데이타!Q$8),0))</f>
        <v/>
      </c>
      <c r="P69" s="596" t="str">
        <f>IF($A69="","",VLOOKUP($A69,기본데이타!$A$8:$BV$103,COLUMN(기본데이타!R$8),0))</f>
        <v/>
      </c>
      <c r="Q69" s="596" t="str">
        <f>IF($A69="","",VLOOKUP($A69,기본데이타!$A$8:$BV$103,COLUMN(기본데이타!S$8),0))</f>
        <v/>
      </c>
      <c r="R69" s="596" t="str">
        <f>IF($A69="","",VLOOKUP($A69,기본데이타!$A$8:$BV$103,COLUMN(기본데이타!T$8),0))</f>
        <v/>
      </c>
      <c r="S69" s="596" t="str">
        <f>IF($A69="","",VLOOKUP($A69,기본데이타!$A$8:$BV$103,COLUMN(기본데이타!U$8),0))</f>
        <v/>
      </c>
      <c r="T69" s="596" t="str">
        <f>IF($A69="","",VLOOKUP($A69,기본데이타!$A$8:$BV$103,COLUMN(기본데이타!V$8),0))</f>
        <v/>
      </c>
      <c r="U69" s="596" t="str">
        <f>IF($A69="","",VLOOKUP($A69,기본데이타!$A$8:$BV$103,COLUMN(기본데이타!W$8),0))</f>
        <v/>
      </c>
      <c r="V69" s="596" t="str">
        <f>IF($A69="","",VLOOKUP($A69,기본데이타!$A$8:$BV$103,COLUMN(기본데이타!X$8),0))</f>
        <v/>
      </c>
      <c r="W69" s="596" t="str">
        <f>IF($A69="","",VLOOKUP($A69,기본데이타!$A$8:$BV$103,COLUMN(기본데이타!AA$8),0))</f>
        <v/>
      </c>
      <c r="X69" s="596" t="str">
        <f>IF($A69="","",VLOOKUP($A69,기본데이타!$A$8:$BV$103,COLUMN(기본데이타!AB$8),0))</f>
        <v/>
      </c>
      <c r="Y69" s="595" t="str">
        <f>IF($A69="","",VLOOKUP($A69,기본데이타!$A$8:$BV$103,COLUMN(기본데이타!AC$8),0))</f>
        <v/>
      </c>
      <c r="Z69" s="596" t="str">
        <f>IF($A69="","",VLOOKUP($A69,기본데이타!$A$8:$BV$103,COLUMN(기본데이타!AD$8),0))</f>
        <v/>
      </c>
      <c r="AA69" s="595" t="str">
        <f>IF($A69="","",VLOOKUP($A69,기본데이타!$A$8:$BV$103,COLUMN(기본데이타!AE$8),0))</f>
        <v/>
      </c>
      <c r="AB69" s="596" t="str">
        <f>IF($A69="","",VLOOKUP($A69,기본데이타!$A$8:$BV$103,COLUMN(기본데이타!AF$8),0))</f>
        <v/>
      </c>
      <c r="AC69" s="595" t="str">
        <f>IF($A69="","",VLOOKUP($A69,기본데이타!$A$8:$BV$103,COLUMN(기본데이타!AG$8),0))</f>
        <v/>
      </c>
      <c r="AD69" s="596" t="str">
        <f>IF($A69="","",VLOOKUP($A69,기본데이타!$A$8:$BV$103,COLUMN(기본데이타!AH$8),0))</f>
        <v/>
      </c>
      <c r="AE69" s="595" t="str">
        <f>IF($A69="","",VLOOKUP($A69,기본데이타!$A$8:$BV$103,COLUMN(기본데이타!AI$8),0))</f>
        <v/>
      </c>
      <c r="AF69" s="597" t="str">
        <f>IF($A69="","",VLOOKUP($A69,기본데이타!$A$8:$BV$103,COLUMN(기본데이타!AJ$8),0))</f>
        <v/>
      </c>
      <c r="AG69" s="580" t="str">
        <f>IF($A69="","",VLOOKUP($A69,기본데이타!$A$8:$BV$103,COLUMN(기본데이타!AK$8),0))</f>
        <v/>
      </c>
      <c r="AH69" s="580" t="str">
        <f>IF($A69="","",VLOOKUP($A69,기본데이타!$A$8:$BV$103,COLUMN(기본데이타!AL$8),0))</f>
        <v/>
      </c>
      <c r="AI69" s="580" t="str">
        <f>IF($A69="","",VLOOKUP($A69,기본데이타!$A$8:$BV$103,COLUMN(기본데이타!AM$8),0))</f>
        <v/>
      </c>
      <c r="AJ69" s="636" t="str">
        <f>IF($A69="","",VLOOKUP($A69,기본데이타!$A$8:$BV$103,COLUMN(기본데이타!AN$8),0))</f>
        <v/>
      </c>
      <c r="AK69" s="636" t="str">
        <f>IF($A69="","",VLOOKUP($A69,기본데이타!$A$8:$BV$103,COLUMN(기본데이타!AO$8),0))</f>
        <v/>
      </c>
      <c r="AL69" s="636" t="str">
        <f>IF($A69="","",VLOOKUP($A69,기본데이타!$A$8:$BV$103,COLUMN(기본데이타!AP$8),0))</f>
        <v/>
      </c>
      <c r="AM69" s="636" t="str">
        <f>IF($A69="","",VLOOKUP($A69,기본데이타!$A$8:$BV$103,COLUMN(기본데이타!AQ$8),0))</f>
        <v/>
      </c>
      <c r="AN69" s="636" t="str">
        <f>IF($A69="","",VLOOKUP($A69,기본데이타!$A$8:$BV$103,COLUMN(기본데이타!AR$8),0))</f>
        <v/>
      </c>
      <c r="AO69" s="636" t="str">
        <f>IF($A69="","",VLOOKUP($A69,기본데이타!$A$8:$BV$103,COLUMN(기본데이타!AS$8),0))</f>
        <v/>
      </c>
      <c r="AP69" s="636" t="str">
        <f>IF($A69="","",VLOOKUP($A69,기본데이타!$A$8:$BV$103,COLUMN(기본데이타!AT$8),0))</f>
        <v/>
      </c>
      <c r="AQ69" s="636" t="str">
        <f>IF($A69="","",VLOOKUP($A69,기본데이타!$A$8:$BV$103,COLUMN(기본데이타!AU$8),0))</f>
        <v/>
      </c>
      <c r="AR69" s="637" t="str">
        <f>IF($A69="","",VLOOKUP($A69,기본데이타!$A$8:$BV$103,COLUMN(기본데이타!AV$8),0))</f>
        <v/>
      </c>
      <c r="AS69" s="596" t="str">
        <f>IF($A69="","",VLOOKUP($A69,기본데이타!$A$8:$BV$103,COLUMN(기본데이타!AW$8),0))</f>
        <v/>
      </c>
      <c r="AT69" s="596" t="str">
        <f>IF($A69="","",VLOOKUP($A69,기본데이타!$A$8:$BV$103,COLUMN(기본데이타!AX$8),0))</f>
        <v/>
      </c>
      <c r="AU69" s="596" t="str">
        <f>IF($A69="","",VLOOKUP($A69,기본데이타!$A$8:$BV$103,COLUMN(기본데이타!AY$8),0))</f>
        <v/>
      </c>
      <c r="AV69" s="596" t="str">
        <f t="shared" si="4"/>
        <v/>
      </c>
      <c r="AW69" s="597" t="str">
        <f>IF($A69="","",VLOOKUP($A69,기본데이타!$A$8:$BV$103,COLUMN(기본데이타!BA$8),0))</f>
        <v/>
      </c>
      <c r="AX69" s="597" t="str">
        <f>IF($A69="","",VLOOKUP($A69,기본데이타!$A$8:$BV$103,COLUMN(기본데이타!BB$8),0))</f>
        <v/>
      </c>
      <c r="AY69" s="597" t="str">
        <f>IF($A69="","",VLOOKUP($A69,기본데이타!$A$8:$BV$103,COLUMN(기본데이타!BC$8),0))</f>
        <v/>
      </c>
      <c r="AZ69" s="597" t="str">
        <f>IF($A69="","",VLOOKUP($A69,기본데이타!$A$8:$BV$103,COLUMN(기본데이타!BD$8),0))</f>
        <v/>
      </c>
      <c r="BA69" s="597" t="str">
        <f>IF($A69="","",VLOOKUP($A69,기본데이타!$A$8:$BV$103,COLUMN(기본데이타!BE$8),0))</f>
        <v/>
      </c>
      <c r="BB69" s="597" t="str">
        <f>IF($A69="","",VLOOKUP($A69,기본데이타!$A$8:$BV$103,COLUMN(기본데이타!BF$8),0))</f>
        <v/>
      </c>
      <c r="BC69" s="597" t="str">
        <f>IF($A69="","",VLOOKUP($A69,기본데이타!$A$8:$BV$103,COLUMN(기본데이타!BG$8),0))</f>
        <v/>
      </c>
      <c r="BD69" s="597" t="str">
        <f>IF($A69="","",VLOOKUP($A69,기본데이타!$A$8:$BV$103,COLUMN(기본데이타!BH$8),0))</f>
        <v/>
      </c>
      <c r="BE69" s="597" t="str">
        <f>IF($A69="","",VLOOKUP($A69,기본데이타!$A$8:$BV$103,COLUMN(기본데이타!BI$8),0))</f>
        <v/>
      </c>
      <c r="BF69" s="597" t="str">
        <f>IF($A69="","",VLOOKUP($A69,기본데이타!$A$8:$BV$103,COLUMN(기본데이타!BJ$8),0))</f>
        <v/>
      </c>
      <c r="BG69" s="597" t="str">
        <f>IF($A69="","",VLOOKUP($A69,기본데이타!$A$8:$BV$103,COLUMN(기본데이타!BK$8),0))</f>
        <v/>
      </c>
      <c r="BH69" s="597" t="str">
        <f>IF($A69="","",VLOOKUP($A69,기본데이타!$A$8:$BV$103,COLUMN(기본데이타!BL$8),0))</f>
        <v/>
      </c>
      <c r="BI69" s="597" t="str">
        <f>IF($A69="","",VLOOKUP($A69,기본데이타!$A$8:$BV$103,COLUMN(기본데이타!BM$8),0))</f>
        <v/>
      </c>
      <c r="BJ69" s="597" t="str">
        <f>IF($A69="","",VLOOKUP($A69,기본데이타!$A$8:$BV$103,COLUMN(기본데이타!BN$8),0))</f>
        <v/>
      </c>
      <c r="BK69" s="597" t="str">
        <f>IF($A69="","",VLOOKUP($A69,기본데이타!$A$8:$BV$103,COLUMN(기본데이타!BO$8),0))</f>
        <v/>
      </c>
      <c r="BL69" s="597" t="str">
        <f>IF($A69="","",VLOOKUP($A69,기본데이타!$A$8:$BV$103,COLUMN(기본데이타!BP$8),0))</f>
        <v/>
      </c>
      <c r="BM69" s="597" t="str">
        <f>IF($A69="","",VLOOKUP($A69,기본데이타!$A$8:$BV$103,COLUMN(기본데이타!BQ$8),0))</f>
        <v/>
      </c>
      <c r="BN69" s="599" t="str">
        <f>IF($A69="","",VLOOKUP($A69,기본데이타!$A$8:$BV$103,COLUMN(기본데이타!BR$8),0))</f>
        <v/>
      </c>
      <c r="BO69" s="600" t="str">
        <f>IF($A69="","",VLOOKUP($A69,기본데이타!$A$8:$BV$103,COLUMN(기본데이타!BS$8),0))</f>
        <v/>
      </c>
      <c r="BP69" s="623" t="str">
        <f>IF($A69="","",VLOOKUP($A69,기본데이타!$A$8:$BV$103,COLUMN(기본데이타!BT$8),0))</f>
        <v/>
      </c>
      <c r="BQ69" s="602" t="str">
        <f>IF($A69="","",VLOOKUP($A69,기본데이타!$A$8:$BV$103,COLUMN(기본데이타!BU$8),0))</f>
        <v/>
      </c>
      <c r="BR69" s="603" t="str">
        <f t="shared" si="5"/>
        <v/>
      </c>
    </row>
    <row r="70" spans="1:73" s="571" customFormat="1" ht="61.5" hidden="1" customHeight="1" outlineLevel="1">
      <c r="A70" s="578"/>
      <c r="B70" s="1642"/>
      <c r="C70" s="590"/>
      <c r="D70" s="591" t="str">
        <f>IF($A70="","",VLOOKUP($A70,기본데이타!$A$8:$BV$103,COLUMN(기본데이타!F$8),0))</f>
        <v/>
      </c>
      <c r="E70" s="592" t="str">
        <f>IF($A70="","",VLOOKUP($A70,기본데이타!$A$8:$BV$103,COLUMN(기본데이타!G$8),0))</f>
        <v/>
      </c>
      <c r="F70" s="593" t="str">
        <f>IF($A70="","",VLOOKUP($A70,기본데이타!$A$8:$BV$103,COLUMN(기본데이타!H$8),0))</f>
        <v/>
      </c>
      <c r="G70" s="594" t="str">
        <f>IF($A70="","",VLOOKUP($A70,기본데이타!$A$8:$BV$103,COLUMN(기본데이타!I$8),0))</f>
        <v/>
      </c>
      <c r="H70" s="594" t="str">
        <f>IF($A70="","",VLOOKUP($A70,기본데이타!$A$8:$BV$103,COLUMN(기본데이타!J$8),0))</f>
        <v/>
      </c>
      <c r="I70" s="595" t="str">
        <f>IF($A70="","",VLOOKUP($A70,기본데이타!$A$8:$BV$103,COLUMN(기본데이타!K$8),0))</f>
        <v/>
      </c>
      <c r="J70" s="595" t="str">
        <f>IF($A70="","",VLOOKUP($A70,기본데이타!$A$8:$BV$103,COLUMN(기본데이타!L$8),0))</f>
        <v/>
      </c>
      <c r="K70" s="595" t="str">
        <f>IF($A70="","",VLOOKUP($A70,기본데이타!$A$8:$BV$103,COLUMN(기본데이타!M$8),0))</f>
        <v/>
      </c>
      <c r="L70" s="596" t="str">
        <f>IF($A70="","",VLOOKUP($A70,기본데이타!$A$8:$BV$103,COLUMN(기본데이타!N$8),0))</f>
        <v/>
      </c>
      <c r="M70" s="595" t="str">
        <f>IF($A70="","",VLOOKUP($A70,기본데이타!$A$8:$BV$103,COLUMN(기본데이타!O$8),0))</f>
        <v/>
      </c>
      <c r="N70" s="596" t="str">
        <f>IF($A70="","",VLOOKUP($A70,기본데이타!$A$8:$BV$103,COLUMN(기본데이타!P$8),0))</f>
        <v/>
      </c>
      <c r="O70" s="596" t="str">
        <f>IF($A70="","",VLOOKUP($A70,기본데이타!$A$8:$BV$103,COLUMN(기본데이타!Q$8),0))</f>
        <v/>
      </c>
      <c r="P70" s="596" t="str">
        <f>IF($A70="","",VLOOKUP($A70,기본데이타!$A$8:$BV$103,COLUMN(기본데이타!R$8),0))</f>
        <v/>
      </c>
      <c r="Q70" s="596" t="str">
        <f>IF($A70="","",VLOOKUP($A70,기본데이타!$A$8:$BV$103,COLUMN(기본데이타!S$8),0))</f>
        <v/>
      </c>
      <c r="R70" s="596" t="str">
        <f>IF($A70="","",VLOOKUP($A70,기본데이타!$A$8:$BV$103,COLUMN(기본데이타!T$8),0))</f>
        <v/>
      </c>
      <c r="S70" s="596" t="str">
        <f>IF($A70="","",VLOOKUP($A70,기본데이타!$A$8:$BV$103,COLUMN(기본데이타!U$8),0))</f>
        <v/>
      </c>
      <c r="T70" s="596" t="str">
        <f>IF($A70="","",VLOOKUP($A70,기본데이타!$A$8:$BV$103,COLUMN(기본데이타!V$8),0))</f>
        <v/>
      </c>
      <c r="U70" s="596" t="str">
        <f>IF($A70="","",VLOOKUP($A70,기본데이타!$A$8:$BV$103,COLUMN(기본데이타!W$8),0))</f>
        <v/>
      </c>
      <c r="V70" s="596" t="str">
        <f>IF($A70="","",VLOOKUP($A70,기본데이타!$A$8:$BV$103,COLUMN(기본데이타!X$8),0))</f>
        <v/>
      </c>
      <c r="W70" s="596" t="str">
        <f>IF($A70="","",VLOOKUP($A70,기본데이타!$A$8:$BV$103,COLUMN(기본데이타!AA$8),0))</f>
        <v/>
      </c>
      <c r="X70" s="596" t="str">
        <f>IF($A70="","",VLOOKUP($A70,기본데이타!$A$8:$BV$103,COLUMN(기본데이타!AB$8),0))</f>
        <v/>
      </c>
      <c r="Y70" s="595" t="str">
        <f>IF($A70="","",VLOOKUP($A70,기본데이타!$A$8:$BV$103,COLUMN(기본데이타!AC$8),0))</f>
        <v/>
      </c>
      <c r="Z70" s="596" t="str">
        <f>IF($A70="","",VLOOKUP($A70,기본데이타!$A$8:$BV$103,COLUMN(기본데이타!AD$8),0))</f>
        <v/>
      </c>
      <c r="AA70" s="595" t="str">
        <f>IF($A70="","",VLOOKUP($A70,기본데이타!$A$8:$BV$103,COLUMN(기본데이타!AE$8),0))</f>
        <v/>
      </c>
      <c r="AB70" s="596" t="str">
        <f>IF($A70="","",VLOOKUP($A70,기본데이타!$A$8:$BV$103,COLUMN(기본데이타!AF$8),0))</f>
        <v/>
      </c>
      <c r="AC70" s="595" t="str">
        <f>IF($A70="","",VLOOKUP($A70,기본데이타!$A$8:$BV$103,COLUMN(기본데이타!AG$8),0))</f>
        <v/>
      </c>
      <c r="AD70" s="596" t="str">
        <f>IF($A70="","",VLOOKUP($A70,기본데이타!$A$8:$BV$103,COLUMN(기본데이타!AH$8),0))</f>
        <v/>
      </c>
      <c r="AE70" s="595" t="str">
        <f>IF($A70="","",VLOOKUP($A70,기본데이타!$A$8:$BV$103,COLUMN(기본데이타!AI$8),0))</f>
        <v/>
      </c>
      <c r="AF70" s="597" t="str">
        <f>IF($A70="","",VLOOKUP($A70,기본데이타!$A$8:$BV$103,COLUMN(기본데이타!AJ$8),0))</f>
        <v/>
      </c>
      <c r="AG70" s="580" t="str">
        <f>IF($A70="","",VLOOKUP($A70,기본데이타!$A$8:$BV$103,COLUMN(기본데이타!AK$8),0))</f>
        <v/>
      </c>
      <c r="AH70" s="580" t="str">
        <f>IF($A70="","",VLOOKUP($A70,기본데이타!$A$8:$BV$103,COLUMN(기본데이타!AL$8),0))</f>
        <v/>
      </c>
      <c r="AI70" s="580" t="str">
        <f>IF($A70="","",VLOOKUP($A70,기본데이타!$A$8:$BV$103,COLUMN(기본데이타!AM$8),0))</f>
        <v/>
      </c>
      <c r="AJ70" s="636" t="str">
        <f>IF($A70="","",VLOOKUP($A70,기본데이타!$A$8:$BV$103,COLUMN(기본데이타!AN$8),0))</f>
        <v/>
      </c>
      <c r="AK70" s="636" t="str">
        <f>IF($A70="","",VLOOKUP($A70,기본데이타!$A$8:$BV$103,COLUMN(기본데이타!AO$8),0))</f>
        <v/>
      </c>
      <c r="AL70" s="636" t="str">
        <f>IF($A70="","",VLOOKUP($A70,기본데이타!$A$8:$BV$103,COLUMN(기본데이타!AP$8),0))</f>
        <v/>
      </c>
      <c r="AM70" s="636" t="str">
        <f>IF($A70="","",VLOOKUP($A70,기본데이타!$A$8:$BV$103,COLUMN(기본데이타!AQ$8),0))</f>
        <v/>
      </c>
      <c r="AN70" s="636" t="str">
        <f>IF($A70="","",VLOOKUP($A70,기본데이타!$A$8:$BV$103,COLUMN(기본데이타!AR$8),0))</f>
        <v/>
      </c>
      <c r="AO70" s="636" t="str">
        <f>IF($A70="","",VLOOKUP($A70,기본데이타!$A$8:$BV$103,COLUMN(기본데이타!AS$8),0))</f>
        <v/>
      </c>
      <c r="AP70" s="636" t="str">
        <f>IF($A70="","",VLOOKUP($A70,기본데이타!$A$8:$BV$103,COLUMN(기본데이타!AT$8),0))</f>
        <v/>
      </c>
      <c r="AQ70" s="636" t="str">
        <f>IF($A70="","",VLOOKUP($A70,기본데이타!$A$8:$BV$103,COLUMN(기본데이타!AU$8),0))</f>
        <v/>
      </c>
      <c r="AR70" s="637" t="str">
        <f>IF($A70="","",VLOOKUP($A70,기본데이타!$A$8:$BV$103,COLUMN(기본데이타!AV$8),0))</f>
        <v/>
      </c>
      <c r="AS70" s="596" t="str">
        <f>IF($A70="","",VLOOKUP($A70,기본데이타!$A$8:$BV$103,COLUMN(기본데이타!AW$8),0))</f>
        <v/>
      </c>
      <c r="AT70" s="596" t="str">
        <f>IF($A70="","",VLOOKUP($A70,기본데이타!$A$8:$BV$103,COLUMN(기본데이타!AX$8),0))</f>
        <v/>
      </c>
      <c r="AU70" s="596" t="str">
        <f>IF($A70="","",VLOOKUP($A70,기본데이타!$A$8:$BV$103,COLUMN(기본데이타!AY$8),0))</f>
        <v/>
      </c>
      <c r="AV70" s="596" t="str">
        <f t="shared" si="4"/>
        <v/>
      </c>
      <c r="AW70" s="597" t="str">
        <f>IF($A70="","",VLOOKUP($A70,기본데이타!$A$8:$BV$103,COLUMN(기본데이타!BA$8),0))</f>
        <v/>
      </c>
      <c r="AX70" s="597" t="str">
        <f>IF($A70="","",VLOOKUP($A70,기본데이타!$A$8:$BV$103,COLUMN(기본데이타!BB$8),0))</f>
        <v/>
      </c>
      <c r="AY70" s="597" t="str">
        <f>IF($A70="","",VLOOKUP($A70,기본데이타!$A$8:$BV$103,COLUMN(기본데이타!BC$8),0))</f>
        <v/>
      </c>
      <c r="AZ70" s="597" t="str">
        <f>IF($A70="","",VLOOKUP($A70,기본데이타!$A$8:$BV$103,COLUMN(기본데이타!BD$8),0))</f>
        <v/>
      </c>
      <c r="BA70" s="597" t="str">
        <f>IF($A70="","",VLOOKUP($A70,기본데이타!$A$8:$BV$103,COLUMN(기본데이타!BE$8),0))</f>
        <v/>
      </c>
      <c r="BB70" s="597" t="str">
        <f>IF($A70="","",VLOOKUP($A70,기본데이타!$A$8:$BV$103,COLUMN(기본데이타!BF$8),0))</f>
        <v/>
      </c>
      <c r="BC70" s="597" t="str">
        <f>IF($A70="","",VLOOKUP($A70,기본데이타!$A$8:$BV$103,COLUMN(기본데이타!BG$8),0))</f>
        <v/>
      </c>
      <c r="BD70" s="597" t="str">
        <f>IF($A70="","",VLOOKUP($A70,기본데이타!$A$8:$BV$103,COLUMN(기본데이타!BH$8),0))</f>
        <v/>
      </c>
      <c r="BE70" s="597" t="str">
        <f>IF($A70="","",VLOOKUP($A70,기본데이타!$A$8:$BV$103,COLUMN(기본데이타!BI$8),0))</f>
        <v/>
      </c>
      <c r="BF70" s="597" t="str">
        <f>IF($A70="","",VLOOKUP($A70,기본데이타!$A$8:$BV$103,COLUMN(기본데이타!BJ$8),0))</f>
        <v/>
      </c>
      <c r="BG70" s="597" t="str">
        <f>IF($A70="","",VLOOKUP($A70,기본데이타!$A$8:$BV$103,COLUMN(기본데이타!BK$8),0))</f>
        <v/>
      </c>
      <c r="BH70" s="597" t="str">
        <f>IF($A70="","",VLOOKUP($A70,기본데이타!$A$8:$BV$103,COLUMN(기본데이타!BL$8),0))</f>
        <v/>
      </c>
      <c r="BI70" s="597" t="str">
        <f>IF($A70="","",VLOOKUP($A70,기본데이타!$A$8:$BV$103,COLUMN(기본데이타!BM$8),0))</f>
        <v/>
      </c>
      <c r="BJ70" s="597" t="str">
        <f>IF($A70="","",VLOOKUP($A70,기본데이타!$A$8:$BV$103,COLUMN(기본데이타!BN$8),0))</f>
        <v/>
      </c>
      <c r="BK70" s="597" t="str">
        <f>IF($A70="","",VLOOKUP($A70,기본데이타!$A$8:$BV$103,COLUMN(기본데이타!BO$8),0))</f>
        <v/>
      </c>
      <c r="BL70" s="597" t="str">
        <f>IF($A70="","",VLOOKUP($A70,기본데이타!$A$8:$BV$103,COLUMN(기본데이타!BP$8),0))</f>
        <v/>
      </c>
      <c r="BM70" s="597" t="str">
        <f>IF($A70="","",VLOOKUP($A70,기본데이타!$A$8:$BV$103,COLUMN(기본데이타!BQ$8),0))</f>
        <v/>
      </c>
      <c r="BN70" s="599" t="str">
        <f>IF($A70="","",VLOOKUP($A70,기본데이타!$A$8:$BV$103,COLUMN(기본데이타!BR$8),0))</f>
        <v/>
      </c>
      <c r="BO70" s="600" t="str">
        <f>IF($A70="","",VLOOKUP($A70,기본데이타!$A$8:$BV$103,COLUMN(기본데이타!BS$8),0))</f>
        <v/>
      </c>
      <c r="BP70" s="623" t="str">
        <f>IF($A70="","",VLOOKUP($A70,기본데이타!$A$8:$BV$103,COLUMN(기본데이타!BT$8),0))</f>
        <v/>
      </c>
      <c r="BQ70" s="602" t="str">
        <f>IF($A70="","",VLOOKUP($A70,기본데이타!$A$8:$BV$103,COLUMN(기본데이타!BU$8),0))</f>
        <v/>
      </c>
      <c r="BR70" s="603" t="str">
        <f t="shared" si="5"/>
        <v/>
      </c>
    </row>
    <row r="71" spans="1:73" s="571" customFormat="1" ht="61.5" hidden="1" customHeight="1" outlineLevel="1">
      <c r="A71" s="578"/>
      <c r="B71" s="1642"/>
      <c r="C71" s="590"/>
      <c r="D71" s="591" t="str">
        <f>IF($A71="","",VLOOKUP($A71,기본데이타!$A$8:$BV$103,COLUMN(기본데이타!F$8),0))</f>
        <v/>
      </c>
      <c r="E71" s="592" t="str">
        <f>IF($A71="","",VLOOKUP($A71,기본데이타!$A$8:$BV$103,COLUMN(기본데이타!G$8),0))</f>
        <v/>
      </c>
      <c r="F71" s="593" t="str">
        <f>IF($A71="","",VLOOKUP($A71,기본데이타!$A$8:$BV$103,COLUMN(기본데이타!H$8),0))</f>
        <v/>
      </c>
      <c r="G71" s="594" t="str">
        <f>IF($A71="","",VLOOKUP($A71,기본데이타!$A$8:$BV$103,COLUMN(기본데이타!I$8),0))</f>
        <v/>
      </c>
      <c r="H71" s="594" t="str">
        <f>IF($A71="","",VLOOKUP($A71,기본데이타!$A$8:$BV$103,COLUMN(기본데이타!J$8),0))</f>
        <v/>
      </c>
      <c r="I71" s="595" t="str">
        <f>IF($A71="","",VLOOKUP($A71,기본데이타!$A$8:$BV$103,COLUMN(기본데이타!K$8),0))</f>
        <v/>
      </c>
      <c r="J71" s="595" t="str">
        <f>IF($A71="","",VLOOKUP($A71,기본데이타!$A$8:$BV$103,COLUMN(기본데이타!L$8),0))</f>
        <v/>
      </c>
      <c r="K71" s="595" t="str">
        <f>IF($A71="","",VLOOKUP($A71,기본데이타!$A$8:$BV$103,COLUMN(기본데이타!M$8),0))</f>
        <v/>
      </c>
      <c r="L71" s="596" t="str">
        <f>IF($A71="","",VLOOKUP($A71,기본데이타!$A$8:$BV$103,COLUMN(기본데이타!N$8),0))</f>
        <v/>
      </c>
      <c r="M71" s="595" t="str">
        <f>IF($A71="","",VLOOKUP($A71,기본데이타!$A$8:$BV$103,COLUMN(기본데이타!O$8),0))</f>
        <v/>
      </c>
      <c r="N71" s="596" t="str">
        <f>IF($A71="","",VLOOKUP($A71,기본데이타!$A$8:$BV$103,COLUMN(기본데이타!P$8),0))</f>
        <v/>
      </c>
      <c r="O71" s="596" t="str">
        <f>IF($A71="","",VLOOKUP($A71,기본데이타!$A$8:$BV$103,COLUMN(기본데이타!Q$8),0))</f>
        <v/>
      </c>
      <c r="P71" s="596" t="str">
        <f>IF($A71="","",VLOOKUP($A71,기본데이타!$A$8:$BV$103,COLUMN(기본데이타!R$8),0))</f>
        <v/>
      </c>
      <c r="Q71" s="596" t="str">
        <f>IF($A71="","",VLOOKUP($A71,기본데이타!$A$8:$BV$103,COLUMN(기본데이타!S$8),0))</f>
        <v/>
      </c>
      <c r="R71" s="596" t="str">
        <f>IF($A71="","",VLOOKUP($A71,기본데이타!$A$8:$BV$103,COLUMN(기본데이타!T$8),0))</f>
        <v/>
      </c>
      <c r="S71" s="596" t="str">
        <f>IF($A71="","",VLOOKUP($A71,기본데이타!$A$8:$BV$103,COLUMN(기본데이타!U$8),0))</f>
        <v/>
      </c>
      <c r="T71" s="596" t="str">
        <f>IF($A71="","",VLOOKUP($A71,기본데이타!$A$8:$BV$103,COLUMN(기본데이타!V$8),0))</f>
        <v/>
      </c>
      <c r="U71" s="596" t="str">
        <f>IF($A71="","",VLOOKUP($A71,기본데이타!$A$8:$BV$103,COLUMN(기본데이타!W$8),0))</f>
        <v/>
      </c>
      <c r="V71" s="596" t="str">
        <f>IF($A71="","",VLOOKUP($A71,기본데이타!$A$8:$BV$103,COLUMN(기본데이타!X$8),0))</f>
        <v/>
      </c>
      <c r="W71" s="596" t="str">
        <f>IF($A71="","",VLOOKUP($A71,기본데이타!$A$8:$BV$103,COLUMN(기본데이타!AA$8),0))</f>
        <v/>
      </c>
      <c r="X71" s="596" t="str">
        <f>IF($A71="","",VLOOKUP($A71,기본데이타!$A$8:$BV$103,COLUMN(기본데이타!AB$8),0))</f>
        <v/>
      </c>
      <c r="Y71" s="595" t="str">
        <f>IF($A71="","",VLOOKUP($A71,기본데이타!$A$8:$BV$103,COLUMN(기본데이타!AC$8),0))</f>
        <v/>
      </c>
      <c r="Z71" s="596" t="str">
        <f>IF($A71="","",VLOOKUP($A71,기본데이타!$A$8:$BV$103,COLUMN(기본데이타!AD$8),0))</f>
        <v/>
      </c>
      <c r="AA71" s="595" t="str">
        <f>IF($A71="","",VLOOKUP($A71,기본데이타!$A$8:$BV$103,COLUMN(기본데이타!AE$8),0))</f>
        <v/>
      </c>
      <c r="AB71" s="596" t="str">
        <f>IF($A71="","",VLOOKUP($A71,기본데이타!$A$8:$BV$103,COLUMN(기본데이타!AF$8),0))</f>
        <v/>
      </c>
      <c r="AC71" s="595" t="str">
        <f>IF($A71="","",VLOOKUP($A71,기본데이타!$A$8:$BV$103,COLUMN(기본데이타!AG$8),0))</f>
        <v/>
      </c>
      <c r="AD71" s="596" t="str">
        <f>IF($A71="","",VLOOKUP($A71,기본데이타!$A$8:$BV$103,COLUMN(기본데이타!AH$8),0))</f>
        <v/>
      </c>
      <c r="AE71" s="595" t="str">
        <f>IF($A71="","",VLOOKUP($A71,기본데이타!$A$8:$BV$103,COLUMN(기본데이타!AI$8),0))</f>
        <v/>
      </c>
      <c r="AF71" s="597" t="str">
        <f>IF($A71="","",VLOOKUP($A71,기본데이타!$A$8:$BV$103,COLUMN(기본데이타!AJ$8),0))</f>
        <v/>
      </c>
      <c r="AG71" s="580" t="str">
        <f>IF($A71="","",VLOOKUP($A71,기본데이타!$A$8:$BV$103,COLUMN(기본데이타!AK$8),0))</f>
        <v/>
      </c>
      <c r="AH71" s="580" t="str">
        <f>IF($A71="","",VLOOKUP($A71,기본데이타!$A$8:$BV$103,COLUMN(기본데이타!AL$8),0))</f>
        <v/>
      </c>
      <c r="AI71" s="580" t="str">
        <f>IF($A71="","",VLOOKUP($A71,기본데이타!$A$8:$BV$103,COLUMN(기본데이타!AM$8),0))</f>
        <v/>
      </c>
      <c r="AJ71" s="636" t="str">
        <f>IF($A71="","",VLOOKUP($A71,기본데이타!$A$8:$BV$103,COLUMN(기본데이타!AN$8),0))</f>
        <v/>
      </c>
      <c r="AK71" s="636" t="str">
        <f>IF($A71="","",VLOOKUP($A71,기본데이타!$A$8:$BV$103,COLUMN(기본데이타!AO$8),0))</f>
        <v/>
      </c>
      <c r="AL71" s="636" t="str">
        <f>IF($A71="","",VLOOKUP($A71,기본데이타!$A$8:$BV$103,COLUMN(기본데이타!AP$8),0))</f>
        <v/>
      </c>
      <c r="AM71" s="636" t="str">
        <f>IF($A71="","",VLOOKUP($A71,기본데이타!$A$8:$BV$103,COLUMN(기본데이타!AQ$8),0))</f>
        <v/>
      </c>
      <c r="AN71" s="636" t="str">
        <f>IF($A71="","",VLOOKUP($A71,기본데이타!$A$8:$BV$103,COLUMN(기본데이타!AR$8),0))</f>
        <v/>
      </c>
      <c r="AO71" s="636" t="str">
        <f>IF($A71="","",VLOOKUP($A71,기본데이타!$A$8:$BV$103,COLUMN(기본데이타!AS$8),0))</f>
        <v/>
      </c>
      <c r="AP71" s="636" t="str">
        <f>IF($A71="","",VLOOKUP($A71,기본데이타!$A$8:$BV$103,COLUMN(기본데이타!AT$8),0))</f>
        <v/>
      </c>
      <c r="AQ71" s="636" t="str">
        <f>IF($A71="","",VLOOKUP($A71,기본데이타!$A$8:$BV$103,COLUMN(기본데이타!AU$8),0))</f>
        <v/>
      </c>
      <c r="AR71" s="637" t="str">
        <f>IF($A71="","",VLOOKUP($A71,기본데이타!$A$8:$BV$103,COLUMN(기본데이타!AV$8),0))</f>
        <v/>
      </c>
      <c r="AS71" s="596" t="str">
        <f>IF($A71="","",VLOOKUP($A71,기본데이타!$A$8:$BV$103,COLUMN(기본데이타!AW$8),0))</f>
        <v/>
      </c>
      <c r="AT71" s="596" t="str">
        <f>IF($A71="","",VLOOKUP($A71,기본데이타!$A$8:$BV$103,COLUMN(기본데이타!AX$8),0))</f>
        <v/>
      </c>
      <c r="AU71" s="596" t="str">
        <f>IF($A71="","",VLOOKUP($A71,기본데이타!$A$8:$BV$103,COLUMN(기본데이타!AY$8),0))</f>
        <v/>
      </c>
      <c r="AV71" s="596" t="str">
        <f t="shared" si="4"/>
        <v/>
      </c>
      <c r="AW71" s="597" t="str">
        <f>IF($A71="","",VLOOKUP($A71,기본데이타!$A$8:$BV$103,COLUMN(기본데이타!BA$8),0))</f>
        <v/>
      </c>
      <c r="AX71" s="597" t="str">
        <f>IF($A71="","",VLOOKUP($A71,기본데이타!$A$8:$BV$103,COLUMN(기본데이타!BB$8),0))</f>
        <v/>
      </c>
      <c r="AY71" s="597" t="str">
        <f>IF($A71="","",VLOOKUP($A71,기본데이타!$A$8:$BV$103,COLUMN(기본데이타!BC$8),0))</f>
        <v/>
      </c>
      <c r="AZ71" s="597" t="str">
        <f>IF($A71="","",VLOOKUP($A71,기본데이타!$A$8:$BV$103,COLUMN(기본데이타!BD$8),0))</f>
        <v/>
      </c>
      <c r="BA71" s="597" t="str">
        <f>IF($A71="","",VLOOKUP($A71,기본데이타!$A$8:$BV$103,COLUMN(기본데이타!BE$8),0))</f>
        <v/>
      </c>
      <c r="BB71" s="597" t="str">
        <f>IF($A71="","",VLOOKUP($A71,기본데이타!$A$8:$BV$103,COLUMN(기본데이타!BF$8),0))</f>
        <v/>
      </c>
      <c r="BC71" s="597" t="str">
        <f>IF($A71="","",VLOOKUP($A71,기본데이타!$A$8:$BV$103,COLUMN(기본데이타!BG$8),0))</f>
        <v/>
      </c>
      <c r="BD71" s="597" t="str">
        <f>IF($A71="","",VLOOKUP($A71,기본데이타!$A$8:$BV$103,COLUMN(기본데이타!BH$8),0))</f>
        <v/>
      </c>
      <c r="BE71" s="597" t="str">
        <f>IF($A71="","",VLOOKUP($A71,기본데이타!$A$8:$BV$103,COLUMN(기본데이타!BI$8),0))</f>
        <v/>
      </c>
      <c r="BF71" s="597" t="str">
        <f>IF($A71="","",VLOOKUP($A71,기본데이타!$A$8:$BV$103,COLUMN(기본데이타!BJ$8),0))</f>
        <v/>
      </c>
      <c r="BG71" s="597" t="str">
        <f>IF($A71="","",VLOOKUP($A71,기본데이타!$A$8:$BV$103,COLUMN(기본데이타!BK$8),0))</f>
        <v/>
      </c>
      <c r="BH71" s="597" t="str">
        <f>IF($A71="","",VLOOKUP($A71,기본데이타!$A$8:$BV$103,COLUMN(기본데이타!BL$8),0))</f>
        <v/>
      </c>
      <c r="BI71" s="597" t="str">
        <f>IF($A71="","",VLOOKUP($A71,기본데이타!$A$8:$BV$103,COLUMN(기본데이타!BM$8),0))</f>
        <v/>
      </c>
      <c r="BJ71" s="597" t="str">
        <f>IF($A71="","",VLOOKUP($A71,기본데이타!$A$8:$BV$103,COLUMN(기본데이타!BN$8),0))</f>
        <v/>
      </c>
      <c r="BK71" s="597" t="str">
        <f>IF($A71="","",VLOOKUP($A71,기본데이타!$A$8:$BV$103,COLUMN(기본데이타!BO$8),0))</f>
        <v/>
      </c>
      <c r="BL71" s="597" t="str">
        <f>IF($A71="","",VLOOKUP($A71,기본데이타!$A$8:$BV$103,COLUMN(기본데이타!BP$8),0))</f>
        <v/>
      </c>
      <c r="BM71" s="597" t="str">
        <f>IF($A71="","",VLOOKUP($A71,기본데이타!$A$8:$BV$103,COLUMN(기본데이타!BQ$8),0))</f>
        <v/>
      </c>
      <c r="BN71" s="599" t="str">
        <f>IF($A71="","",VLOOKUP($A71,기본데이타!$A$8:$BV$103,COLUMN(기본데이타!BR$8),0))</f>
        <v/>
      </c>
      <c r="BO71" s="600" t="str">
        <f>IF($A71="","",VLOOKUP($A71,기본데이타!$A$8:$BV$103,COLUMN(기본데이타!BS$8),0))</f>
        <v/>
      </c>
      <c r="BP71" s="623" t="str">
        <f>IF($A71="","",VLOOKUP($A71,기본데이타!$A$8:$BV$103,COLUMN(기본데이타!BT$8),0))</f>
        <v/>
      </c>
      <c r="BQ71" s="602" t="str">
        <f>IF($A71="","",VLOOKUP($A71,기본데이타!$A$8:$BV$103,COLUMN(기본데이타!BU$8),0))</f>
        <v/>
      </c>
      <c r="BR71" s="603" t="str">
        <f t="shared" si="5"/>
        <v/>
      </c>
    </row>
    <row r="72" spans="1:73" s="571" customFormat="1" ht="61.5" hidden="1" customHeight="1" outlineLevel="1">
      <c r="A72" s="578"/>
      <c r="B72" s="1642"/>
      <c r="C72" s="590"/>
      <c r="D72" s="591" t="str">
        <f>IF($A72="","",VLOOKUP($A72,기본데이타!$A$8:$BV$103,COLUMN(기본데이타!F$8),0))</f>
        <v/>
      </c>
      <c r="E72" s="592" t="str">
        <f>IF($A72="","",VLOOKUP($A72,기본데이타!$A$8:$BV$103,COLUMN(기본데이타!G$8),0))</f>
        <v/>
      </c>
      <c r="F72" s="593" t="str">
        <f>IF($A72="","",VLOOKUP($A72,기본데이타!$A$8:$BV$103,COLUMN(기본데이타!H$8),0))</f>
        <v/>
      </c>
      <c r="G72" s="594" t="str">
        <f>IF($A72="","",VLOOKUP($A72,기본데이타!$A$8:$BV$103,COLUMN(기본데이타!I$8),0))</f>
        <v/>
      </c>
      <c r="H72" s="594" t="str">
        <f>IF($A72="","",VLOOKUP($A72,기본데이타!$A$8:$BV$103,COLUMN(기본데이타!J$8),0))</f>
        <v/>
      </c>
      <c r="I72" s="595" t="str">
        <f>IF($A72="","",VLOOKUP($A72,기본데이타!$A$8:$BV$103,COLUMN(기본데이타!K$8),0))</f>
        <v/>
      </c>
      <c r="J72" s="595" t="str">
        <f>IF($A72="","",VLOOKUP($A72,기본데이타!$A$8:$BV$103,COLUMN(기본데이타!L$8),0))</f>
        <v/>
      </c>
      <c r="K72" s="595" t="str">
        <f>IF($A72="","",VLOOKUP($A72,기본데이타!$A$8:$BV$103,COLUMN(기본데이타!M$8),0))</f>
        <v/>
      </c>
      <c r="L72" s="596" t="str">
        <f>IF($A72="","",VLOOKUP($A72,기본데이타!$A$8:$BV$103,COLUMN(기본데이타!N$8),0))</f>
        <v/>
      </c>
      <c r="M72" s="595" t="str">
        <f>IF($A72="","",VLOOKUP($A72,기본데이타!$A$8:$BV$103,COLUMN(기본데이타!O$8),0))</f>
        <v/>
      </c>
      <c r="N72" s="596" t="str">
        <f>IF($A72="","",VLOOKUP($A72,기본데이타!$A$8:$BV$103,COLUMN(기본데이타!P$8),0))</f>
        <v/>
      </c>
      <c r="O72" s="596" t="str">
        <f>IF($A72="","",VLOOKUP($A72,기본데이타!$A$8:$BV$103,COLUMN(기본데이타!Q$8),0))</f>
        <v/>
      </c>
      <c r="P72" s="596" t="str">
        <f>IF($A72="","",VLOOKUP($A72,기본데이타!$A$8:$BV$103,COLUMN(기본데이타!R$8),0))</f>
        <v/>
      </c>
      <c r="Q72" s="596" t="str">
        <f>IF($A72="","",VLOOKUP($A72,기본데이타!$A$8:$BV$103,COLUMN(기본데이타!S$8),0))</f>
        <v/>
      </c>
      <c r="R72" s="596" t="str">
        <f>IF($A72="","",VLOOKUP($A72,기본데이타!$A$8:$BV$103,COLUMN(기본데이타!T$8),0))</f>
        <v/>
      </c>
      <c r="S72" s="596" t="str">
        <f>IF($A72="","",VLOOKUP($A72,기본데이타!$A$8:$BV$103,COLUMN(기본데이타!U$8),0))</f>
        <v/>
      </c>
      <c r="T72" s="596" t="str">
        <f>IF($A72="","",VLOOKUP($A72,기본데이타!$A$8:$BV$103,COLUMN(기본데이타!V$8),0))</f>
        <v/>
      </c>
      <c r="U72" s="596" t="str">
        <f>IF($A72="","",VLOOKUP($A72,기본데이타!$A$8:$BV$103,COLUMN(기본데이타!W$8),0))</f>
        <v/>
      </c>
      <c r="V72" s="596" t="str">
        <f>IF($A72="","",VLOOKUP($A72,기본데이타!$A$8:$BV$103,COLUMN(기본데이타!X$8),0))</f>
        <v/>
      </c>
      <c r="W72" s="596" t="str">
        <f>IF($A72="","",VLOOKUP($A72,기본데이타!$A$8:$BV$103,COLUMN(기본데이타!AA$8),0))</f>
        <v/>
      </c>
      <c r="X72" s="596" t="str">
        <f>IF($A72="","",VLOOKUP($A72,기본데이타!$A$8:$BV$103,COLUMN(기본데이타!AB$8),0))</f>
        <v/>
      </c>
      <c r="Y72" s="595" t="str">
        <f>IF($A72="","",VLOOKUP($A72,기본데이타!$A$8:$BV$103,COLUMN(기본데이타!AC$8),0))</f>
        <v/>
      </c>
      <c r="Z72" s="596" t="str">
        <f>IF($A72="","",VLOOKUP($A72,기본데이타!$A$8:$BV$103,COLUMN(기본데이타!AD$8),0))</f>
        <v/>
      </c>
      <c r="AA72" s="595" t="str">
        <f>IF($A72="","",VLOOKUP($A72,기본데이타!$A$8:$BV$103,COLUMN(기본데이타!AE$8),0))</f>
        <v/>
      </c>
      <c r="AB72" s="596" t="str">
        <f>IF($A72="","",VLOOKUP($A72,기본데이타!$A$8:$BV$103,COLUMN(기본데이타!AF$8),0))</f>
        <v/>
      </c>
      <c r="AC72" s="595" t="str">
        <f>IF($A72="","",VLOOKUP($A72,기본데이타!$A$8:$BV$103,COLUMN(기본데이타!AG$8),0))</f>
        <v/>
      </c>
      <c r="AD72" s="596" t="str">
        <f>IF($A72="","",VLOOKUP($A72,기본데이타!$A$8:$BV$103,COLUMN(기본데이타!AH$8),0))</f>
        <v/>
      </c>
      <c r="AE72" s="595" t="str">
        <f>IF($A72="","",VLOOKUP($A72,기본데이타!$A$8:$BV$103,COLUMN(기본데이타!AI$8),0))</f>
        <v/>
      </c>
      <c r="AF72" s="597" t="str">
        <f>IF($A72="","",VLOOKUP($A72,기본데이타!$A$8:$BV$103,COLUMN(기본데이타!AJ$8),0))</f>
        <v/>
      </c>
      <c r="AG72" s="580" t="str">
        <f>IF($A72="","",VLOOKUP($A72,기본데이타!$A$8:$BV$103,COLUMN(기본데이타!AK$8),0))</f>
        <v/>
      </c>
      <c r="AH72" s="580" t="str">
        <f>IF($A72="","",VLOOKUP($A72,기본데이타!$A$8:$BV$103,COLUMN(기본데이타!AL$8),0))</f>
        <v/>
      </c>
      <c r="AI72" s="580" t="str">
        <f>IF($A72="","",VLOOKUP($A72,기본데이타!$A$8:$BV$103,COLUMN(기본데이타!AM$8),0))</f>
        <v/>
      </c>
      <c r="AJ72" s="636" t="str">
        <f>IF($A72="","",VLOOKUP($A72,기본데이타!$A$8:$BV$103,COLUMN(기본데이타!AN$8),0))</f>
        <v/>
      </c>
      <c r="AK72" s="636" t="str">
        <f>IF($A72="","",VLOOKUP($A72,기본데이타!$A$8:$BV$103,COLUMN(기본데이타!AO$8),0))</f>
        <v/>
      </c>
      <c r="AL72" s="636" t="str">
        <f>IF($A72="","",VLOOKUP($A72,기본데이타!$A$8:$BV$103,COLUMN(기본데이타!AP$8),0))</f>
        <v/>
      </c>
      <c r="AM72" s="636" t="str">
        <f>IF($A72="","",VLOOKUP($A72,기본데이타!$A$8:$BV$103,COLUMN(기본데이타!AQ$8),0))</f>
        <v/>
      </c>
      <c r="AN72" s="636" t="str">
        <f>IF($A72="","",VLOOKUP($A72,기본데이타!$A$8:$BV$103,COLUMN(기본데이타!AR$8),0))</f>
        <v/>
      </c>
      <c r="AO72" s="636" t="str">
        <f>IF($A72="","",VLOOKUP($A72,기본데이타!$A$8:$BV$103,COLUMN(기본데이타!AS$8),0))</f>
        <v/>
      </c>
      <c r="AP72" s="636" t="str">
        <f>IF($A72="","",VLOOKUP($A72,기본데이타!$A$8:$BV$103,COLUMN(기본데이타!AT$8),0))</f>
        <v/>
      </c>
      <c r="AQ72" s="636" t="str">
        <f>IF($A72="","",VLOOKUP($A72,기본데이타!$A$8:$BV$103,COLUMN(기본데이타!AU$8),0))</f>
        <v/>
      </c>
      <c r="AR72" s="637" t="str">
        <f>IF($A72="","",VLOOKUP($A72,기본데이타!$A$8:$BV$103,COLUMN(기본데이타!AV$8),0))</f>
        <v/>
      </c>
      <c r="AS72" s="596" t="str">
        <f>IF($A72="","",VLOOKUP($A72,기본데이타!$A$8:$BV$103,COLUMN(기본데이타!AW$8),0))</f>
        <v/>
      </c>
      <c r="AT72" s="596" t="str">
        <f>IF($A72="","",VLOOKUP($A72,기본데이타!$A$8:$BV$103,COLUMN(기본데이타!AX$8),0))</f>
        <v/>
      </c>
      <c r="AU72" s="596" t="str">
        <f>IF($A72="","",VLOOKUP($A72,기본데이타!$A$8:$BV$103,COLUMN(기본데이타!AY$8),0))</f>
        <v/>
      </c>
      <c r="AV72" s="596" t="str">
        <f t="shared" si="4"/>
        <v/>
      </c>
      <c r="AW72" s="597" t="str">
        <f>IF($A72="","",VLOOKUP($A72,기본데이타!$A$8:$BV$103,COLUMN(기본데이타!BA$8),0))</f>
        <v/>
      </c>
      <c r="AX72" s="597" t="str">
        <f>IF($A72="","",VLOOKUP($A72,기본데이타!$A$8:$BV$103,COLUMN(기본데이타!BB$8),0))</f>
        <v/>
      </c>
      <c r="AY72" s="597" t="str">
        <f>IF($A72="","",VLOOKUP($A72,기본데이타!$A$8:$BV$103,COLUMN(기본데이타!BC$8),0))</f>
        <v/>
      </c>
      <c r="AZ72" s="597" t="str">
        <f>IF($A72="","",VLOOKUP($A72,기본데이타!$A$8:$BV$103,COLUMN(기본데이타!BD$8),0))</f>
        <v/>
      </c>
      <c r="BA72" s="597" t="str">
        <f>IF($A72="","",VLOOKUP($A72,기본데이타!$A$8:$BV$103,COLUMN(기본데이타!BE$8),0))</f>
        <v/>
      </c>
      <c r="BB72" s="597" t="str">
        <f>IF($A72="","",VLOOKUP($A72,기본데이타!$A$8:$BV$103,COLUMN(기본데이타!BF$8),0))</f>
        <v/>
      </c>
      <c r="BC72" s="597" t="str">
        <f>IF($A72="","",VLOOKUP($A72,기본데이타!$A$8:$BV$103,COLUMN(기본데이타!BG$8),0))</f>
        <v/>
      </c>
      <c r="BD72" s="597" t="str">
        <f>IF($A72="","",VLOOKUP($A72,기본데이타!$A$8:$BV$103,COLUMN(기본데이타!BH$8),0))</f>
        <v/>
      </c>
      <c r="BE72" s="597" t="str">
        <f>IF($A72="","",VLOOKUP($A72,기본데이타!$A$8:$BV$103,COLUMN(기본데이타!BI$8),0))</f>
        <v/>
      </c>
      <c r="BF72" s="597" t="str">
        <f>IF($A72="","",VLOOKUP($A72,기본데이타!$A$8:$BV$103,COLUMN(기본데이타!BJ$8),0))</f>
        <v/>
      </c>
      <c r="BG72" s="597" t="str">
        <f>IF($A72="","",VLOOKUP($A72,기본데이타!$A$8:$BV$103,COLUMN(기본데이타!BK$8),0))</f>
        <v/>
      </c>
      <c r="BH72" s="597" t="str">
        <f>IF($A72="","",VLOOKUP($A72,기본데이타!$A$8:$BV$103,COLUMN(기본데이타!BL$8),0))</f>
        <v/>
      </c>
      <c r="BI72" s="597" t="str">
        <f>IF($A72="","",VLOOKUP($A72,기본데이타!$A$8:$BV$103,COLUMN(기본데이타!BM$8),0))</f>
        <v/>
      </c>
      <c r="BJ72" s="597" t="str">
        <f>IF($A72="","",VLOOKUP($A72,기본데이타!$A$8:$BV$103,COLUMN(기본데이타!BN$8),0))</f>
        <v/>
      </c>
      <c r="BK72" s="597" t="str">
        <f>IF($A72="","",VLOOKUP($A72,기본데이타!$A$8:$BV$103,COLUMN(기본데이타!BO$8),0))</f>
        <v/>
      </c>
      <c r="BL72" s="597" t="str">
        <f>IF($A72="","",VLOOKUP($A72,기본데이타!$A$8:$BV$103,COLUMN(기본데이타!BP$8),0))</f>
        <v/>
      </c>
      <c r="BM72" s="597" t="str">
        <f>IF($A72="","",VLOOKUP($A72,기본데이타!$A$8:$BV$103,COLUMN(기본데이타!BQ$8),0))</f>
        <v/>
      </c>
      <c r="BN72" s="599" t="str">
        <f>IF($A72="","",VLOOKUP($A72,기본데이타!$A$8:$BV$103,COLUMN(기본데이타!BR$8),0))</f>
        <v/>
      </c>
      <c r="BO72" s="600" t="str">
        <f>IF($A72="","",VLOOKUP($A72,기본데이타!$A$8:$BV$103,COLUMN(기본데이타!BS$8),0))</f>
        <v/>
      </c>
      <c r="BP72" s="623" t="str">
        <f>IF($A72="","",VLOOKUP($A72,기본데이타!$A$8:$BV$103,COLUMN(기본데이타!BT$8),0))</f>
        <v/>
      </c>
      <c r="BQ72" s="602" t="str">
        <f>IF($A72="","",VLOOKUP($A72,기본데이타!$A$8:$BV$103,COLUMN(기본데이타!BU$8),0))</f>
        <v/>
      </c>
      <c r="BR72" s="603" t="str">
        <f t="shared" si="5"/>
        <v/>
      </c>
    </row>
    <row r="73" spans="1:73" s="571" customFormat="1" ht="61.5" hidden="1" customHeight="1" outlineLevel="1">
      <c r="A73" s="578"/>
      <c r="B73" s="1642"/>
      <c r="C73" s="590"/>
      <c r="D73" s="591" t="str">
        <f>IF($A73="","",VLOOKUP($A73,기본데이타!$A$8:$BV$103,COLUMN(기본데이타!F$8),0))</f>
        <v/>
      </c>
      <c r="E73" s="592" t="str">
        <f>IF($A73="","",VLOOKUP($A73,기본데이타!$A$8:$BV$103,COLUMN(기본데이타!G$8),0))</f>
        <v/>
      </c>
      <c r="F73" s="593" t="str">
        <f>IF($A73="","",VLOOKUP($A73,기본데이타!$A$8:$BV$103,COLUMN(기본데이타!H$8),0))</f>
        <v/>
      </c>
      <c r="G73" s="594" t="str">
        <f>IF($A73="","",VLOOKUP($A73,기본데이타!$A$8:$BV$103,COLUMN(기본데이타!I$8),0))</f>
        <v/>
      </c>
      <c r="H73" s="594" t="str">
        <f>IF($A73="","",VLOOKUP($A73,기본데이타!$A$8:$BV$103,COLUMN(기본데이타!J$8),0))</f>
        <v/>
      </c>
      <c r="I73" s="595" t="str">
        <f>IF($A73="","",VLOOKUP($A73,기본데이타!$A$8:$BV$103,COLUMN(기본데이타!K$8),0))</f>
        <v/>
      </c>
      <c r="J73" s="595" t="str">
        <f>IF($A73="","",VLOOKUP($A73,기본데이타!$A$8:$BV$103,COLUMN(기본데이타!L$8),0))</f>
        <v/>
      </c>
      <c r="K73" s="595" t="str">
        <f>IF($A73="","",VLOOKUP($A73,기본데이타!$A$8:$BV$103,COLUMN(기본데이타!M$8),0))</f>
        <v/>
      </c>
      <c r="L73" s="596" t="str">
        <f>IF($A73="","",VLOOKUP($A73,기본데이타!$A$8:$BV$103,COLUMN(기본데이타!N$8),0))</f>
        <v/>
      </c>
      <c r="M73" s="595" t="str">
        <f>IF($A73="","",VLOOKUP($A73,기본데이타!$A$8:$BV$103,COLUMN(기본데이타!O$8),0))</f>
        <v/>
      </c>
      <c r="N73" s="596" t="str">
        <f>IF($A73="","",VLOOKUP($A73,기본데이타!$A$8:$BV$103,COLUMN(기본데이타!P$8),0))</f>
        <v/>
      </c>
      <c r="O73" s="596" t="str">
        <f>IF($A73="","",VLOOKUP($A73,기본데이타!$A$8:$BV$103,COLUMN(기본데이타!Q$8),0))</f>
        <v/>
      </c>
      <c r="P73" s="596" t="str">
        <f>IF($A73="","",VLOOKUP($A73,기본데이타!$A$8:$BV$103,COLUMN(기본데이타!R$8),0))</f>
        <v/>
      </c>
      <c r="Q73" s="596" t="str">
        <f>IF($A73="","",VLOOKUP($A73,기본데이타!$A$8:$BV$103,COLUMN(기본데이타!S$8),0))</f>
        <v/>
      </c>
      <c r="R73" s="596" t="str">
        <f>IF($A73="","",VLOOKUP($A73,기본데이타!$A$8:$BV$103,COLUMN(기본데이타!T$8),0))</f>
        <v/>
      </c>
      <c r="S73" s="596" t="str">
        <f>IF($A73="","",VLOOKUP($A73,기본데이타!$A$8:$BV$103,COLUMN(기본데이타!U$8),0))</f>
        <v/>
      </c>
      <c r="T73" s="596" t="str">
        <f>IF($A73="","",VLOOKUP($A73,기본데이타!$A$8:$BV$103,COLUMN(기본데이타!V$8),0))</f>
        <v/>
      </c>
      <c r="U73" s="596" t="str">
        <f>IF($A73="","",VLOOKUP($A73,기본데이타!$A$8:$BV$103,COLUMN(기본데이타!W$8),0))</f>
        <v/>
      </c>
      <c r="V73" s="596" t="str">
        <f>IF($A73="","",VLOOKUP($A73,기본데이타!$A$8:$BV$103,COLUMN(기본데이타!X$8),0))</f>
        <v/>
      </c>
      <c r="W73" s="596" t="str">
        <f>IF($A73="","",VLOOKUP($A73,기본데이타!$A$8:$BV$103,COLUMN(기본데이타!AA$8),0))</f>
        <v/>
      </c>
      <c r="X73" s="596" t="str">
        <f>IF($A73="","",VLOOKUP($A73,기본데이타!$A$8:$BV$103,COLUMN(기본데이타!AB$8),0))</f>
        <v/>
      </c>
      <c r="Y73" s="595" t="str">
        <f>IF($A73="","",VLOOKUP($A73,기본데이타!$A$8:$BV$103,COLUMN(기본데이타!AC$8),0))</f>
        <v/>
      </c>
      <c r="Z73" s="596" t="str">
        <f>IF($A73="","",VLOOKUP($A73,기본데이타!$A$8:$BV$103,COLUMN(기본데이타!AD$8),0))</f>
        <v/>
      </c>
      <c r="AA73" s="595" t="str">
        <f>IF($A73="","",VLOOKUP($A73,기본데이타!$A$8:$BV$103,COLUMN(기본데이타!AE$8),0))</f>
        <v/>
      </c>
      <c r="AB73" s="596" t="str">
        <f>IF($A73="","",VLOOKUP($A73,기본데이타!$A$8:$BV$103,COLUMN(기본데이타!AF$8),0))</f>
        <v/>
      </c>
      <c r="AC73" s="595" t="str">
        <f>IF($A73="","",VLOOKUP($A73,기본데이타!$A$8:$BV$103,COLUMN(기본데이타!AG$8),0))</f>
        <v/>
      </c>
      <c r="AD73" s="596" t="str">
        <f>IF($A73="","",VLOOKUP($A73,기본데이타!$A$8:$BV$103,COLUMN(기본데이타!AH$8),0))</f>
        <v/>
      </c>
      <c r="AE73" s="595" t="str">
        <f>IF($A73="","",VLOOKUP($A73,기본데이타!$A$8:$BV$103,COLUMN(기본데이타!AI$8),0))</f>
        <v/>
      </c>
      <c r="AF73" s="597" t="str">
        <f>IF($A73="","",VLOOKUP($A73,기본데이타!$A$8:$BV$103,COLUMN(기본데이타!AJ$8),0))</f>
        <v/>
      </c>
      <c r="AG73" s="580" t="str">
        <f>IF($A73="","",VLOOKUP($A73,기본데이타!$A$8:$BV$103,COLUMN(기본데이타!AK$8),0))</f>
        <v/>
      </c>
      <c r="AH73" s="580" t="str">
        <f>IF($A73="","",VLOOKUP($A73,기본데이타!$A$8:$BV$103,COLUMN(기본데이타!AL$8),0))</f>
        <v/>
      </c>
      <c r="AI73" s="580" t="str">
        <f>IF($A73="","",VLOOKUP($A73,기본데이타!$A$8:$BV$103,COLUMN(기본데이타!AM$8),0))</f>
        <v/>
      </c>
      <c r="AJ73" s="636" t="str">
        <f>IF($A73="","",VLOOKUP($A73,기본데이타!$A$8:$BV$103,COLUMN(기본데이타!AN$8),0))</f>
        <v/>
      </c>
      <c r="AK73" s="636" t="str">
        <f>IF($A73="","",VLOOKUP($A73,기본데이타!$A$8:$BV$103,COLUMN(기본데이타!AO$8),0))</f>
        <v/>
      </c>
      <c r="AL73" s="636" t="str">
        <f>IF($A73="","",VLOOKUP($A73,기본데이타!$A$8:$BV$103,COLUMN(기본데이타!AP$8),0))</f>
        <v/>
      </c>
      <c r="AM73" s="636" t="str">
        <f>IF($A73="","",VLOOKUP($A73,기본데이타!$A$8:$BV$103,COLUMN(기본데이타!AQ$8),0))</f>
        <v/>
      </c>
      <c r="AN73" s="636" t="str">
        <f>IF($A73="","",VLOOKUP($A73,기본데이타!$A$8:$BV$103,COLUMN(기본데이타!AR$8),0))</f>
        <v/>
      </c>
      <c r="AO73" s="636" t="str">
        <f>IF($A73="","",VLOOKUP($A73,기본데이타!$A$8:$BV$103,COLUMN(기본데이타!AS$8),0))</f>
        <v/>
      </c>
      <c r="AP73" s="636" t="str">
        <f>IF($A73="","",VLOOKUP($A73,기본데이타!$A$8:$BV$103,COLUMN(기본데이타!AT$8),0))</f>
        <v/>
      </c>
      <c r="AQ73" s="636" t="str">
        <f>IF($A73="","",VLOOKUP($A73,기본데이타!$A$8:$BV$103,COLUMN(기본데이타!AU$8),0))</f>
        <v/>
      </c>
      <c r="AR73" s="637" t="str">
        <f>IF($A73="","",VLOOKUP($A73,기본데이타!$A$8:$BV$103,COLUMN(기본데이타!AV$8),0))</f>
        <v/>
      </c>
      <c r="AS73" s="596" t="str">
        <f>IF($A73="","",VLOOKUP($A73,기본데이타!$A$8:$BV$103,COLUMN(기본데이타!AW$8),0))</f>
        <v/>
      </c>
      <c r="AT73" s="596" t="str">
        <f>IF($A73="","",VLOOKUP($A73,기본데이타!$A$8:$BV$103,COLUMN(기본데이타!AX$8),0))</f>
        <v/>
      </c>
      <c r="AU73" s="596" t="str">
        <f>IF($A73="","",VLOOKUP($A73,기본데이타!$A$8:$BV$103,COLUMN(기본데이타!AY$8),0))</f>
        <v/>
      </c>
      <c r="AV73" s="596" t="str">
        <f>IF(AS73="","",SUM(AS73:AU73))</f>
        <v/>
      </c>
      <c r="AW73" s="597" t="str">
        <f>IF($A73="","",VLOOKUP($A73,기본데이타!$A$8:$BV$103,COLUMN(기본데이타!BA$8),0))</f>
        <v/>
      </c>
      <c r="AX73" s="597" t="str">
        <f>IF($A73="","",VLOOKUP($A73,기본데이타!$A$8:$BV$103,COLUMN(기본데이타!BB$8),0))</f>
        <v/>
      </c>
      <c r="AY73" s="597" t="str">
        <f>IF($A73="","",VLOOKUP($A73,기본데이타!$A$8:$BV$103,COLUMN(기본데이타!BC$8),0))</f>
        <v/>
      </c>
      <c r="AZ73" s="597" t="str">
        <f>IF($A73="","",VLOOKUP($A73,기본데이타!$A$8:$BV$103,COLUMN(기본데이타!BD$8),0))</f>
        <v/>
      </c>
      <c r="BA73" s="597" t="str">
        <f>IF($A73="","",VLOOKUP($A73,기본데이타!$A$8:$BV$103,COLUMN(기본데이타!BE$8),0))</f>
        <v/>
      </c>
      <c r="BB73" s="597" t="str">
        <f>IF($A73="","",VLOOKUP($A73,기본데이타!$A$8:$BV$103,COLUMN(기본데이타!BF$8),0))</f>
        <v/>
      </c>
      <c r="BC73" s="597" t="str">
        <f>IF($A73="","",VLOOKUP($A73,기본데이타!$A$8:$BV$103,COLUMN(기본데이타!BG$8),0))</f>
        <v/>
      </c>
      <c r="BD73" s="597" t="str">
        <f>IF($A73="","",VLOOKUP($A73,기본데이타!$A$8:$BV$103,COLUMN(기본데이타!BH$8),0))</f>
        <v/>
      </c>
      <c r="BE73" s="597" t="str">
        <f>IF($A73="","",VLOOKUP($A73,기본데이타!$A$8:$BV$103,COLUMN(기본데이타!BI$8),0))</f>
        <v/>
      </c>
      <c r="BF73" s="597" t="str">
        <f>IF($A73="","",VLOOKUP($A73,기본데이타!$A$8:$BV$103,COLUMN(기본데이타!BJ$8),0))</f>
        <v/>
      </c>
      <c r="BG73" s="597" t="str">
        <f>IF($A73="","",VLOOKUP($A73,기본데이타!$A$8:$BV$103,COLUMN(기본데이타!BK$8),0))</f>
        <v/>
      </c>
      <c r="BH73" s="597" t="str">
        <f>IF($A73="","",VLOOKUP($A73,기본데이타!$A$8:$BV$103,COLUMN(기본데이타!BL$8),0))</f>
        <v/>
      </c>
      <c r="BI73" s="597" t="str">
        <f>IF($A73="","",VLOOKUP($A73,기본데이타!$A$8:$BV$103,COLUMN(기본데이타!BM$8),0))</f>
        <v/>
      </c>
      <c r="BJ73" s="597" t="str">
        <f>IF($A73="","",VLOOKUP($A73,기본데이타!$A$8:$BV$103,COLUMN(기본데이타!BN$8),0))</f>
        <v/>
      </c>
      <c r="BK73" s="597" t="str">
        <f>IF($A73="","",VLOOKUP($A73,기본데이타!$A$8:$BV$103,COLUMN(기본데이타!BO$8),0))</f>
        <v/>
      </c>
      <c r="BL73" s="597" t="str">
        <f>IF($A73="","",VLOOKUP($A73,기본데이타!$A$8:$BV$103,COLUMN(기본데이타!BP$8),0))</f>
        <v/>
      </c>
      <c r="BM73" s="597" t="str">
        <f>IF($A73="","",VLOOKUP($A73,기본데이타!$A$8:$BV$103,COLUMN(기본데이타!BQ$8),0))</f>
        <v/>
      </c>
      <c r="BN73" s="599" t="str">
        <f>IF($A73="","",VLOOKUP($A73,기본데이타!$A$8:$BV$103,COLUMN(기본데이타!BR$8),0))</f>
        <v/>
      </c>
      <c r="BO73" s="600" t="str">
        <f>IF($A73="","",VLOOKUP($A73,기본데이타!$A$8:$BV$103,COLUMN(기본데이타!BS$8),0))</f>
        <v/>
      </c>
      <c r="BP73" s="623" t="str">
        <f>IF($A73="","",VLOOKUP($A73,기본데이타!$A$8:$BV$103,COLUMN(기본데이타!BT$8),0))</f>
        <v/>
      </c>
      <c r="BQ73" s="602" t="str">
        <f>IF($A73="","",VLOOKUP($A73,기본데이타!$A$8:$BV$103,COLUMN(기본데이타!BU$8),0))</f>
        <v/>
      </c>
      <c r="BR73" s="603" t="str">
        <f>IF($A73="","",A73)</f>
        <v/>
      </c>
    </row>
    <row r="74" spans="1:73" s="571" customFormat="1" ht="61.5" hidden="1" customHeight="1" outlineLevel="1">
      <c r="A74" s="578"/>
      <c r="B74" s="1642"/>
      <c r="C74" s="590"/>
      <c r="D74" s="591" t="str">
        <f>IF($A74="","",VLOOKUP($A74,기본데이타!$A$8:$BV$103,COLUMN(기본데이타!F$8),0))</f>
        <v/>
      </c>
      <c r="E74" s="592" t="str">
        <f>IF($A74="","",VLOOKUP($A74,기본데이타!$A$8:$BV$103,COLUMN(기본데이타!G$8),0))</f>
        <v/>
      </c>
      <c r="F74" s="593" t="str">
        <f>IF($A74="","",VLOOKUP($A74,기본데이타!$A$8:$BV$103,COLUMN(기본데이타!H$8),0))</f>
        <v/>
      </c>
      <c r="G74" s="594" t="str">
        <f>IF($A74="","",VLOOKUP($A74,기본데이타!$A$8:$BV$103,COLUMN(기본데이타!I$8),0))</f>
        <v/>
      </c>
      <c r="H74" s="594" t="str">
        <f>IF($A74="","",VLOOKUP($A74,기본데이타!$A$8:$BV$103,COLUMN(기본데이타!J$8),0))</f>
        <v/>
      </c>
      <c r="I74" s="595" t="str">
        <f>IF($A74="","",VLOOKUP($A74,기본데이타!$A$8:$BV$103,COLUMN(기본데이타!K$8),0))</f>
        <v/>
      </c>
      <c r="J74" s="595" t="str">
        <f>IF($A74="","",VLOOKUP($A74,기본데이타!$A$8:$BV$103,COLUMN(기본데이타!L$8),0))</f>
        <v/>
      </c>
      <c r="K74" s="595" t="str">
        <f>IF($A74="","",VLOOKUP($A74,기본데이타!$A$8:$BV$103,COLUMN(기본데이타!M$8),0))</f>
        <v/>
      </c>
      <c r="L74" s="596" t="str">
        <f>IF($A74="","",VLOOKUP($A74,기본데이타!$A$8:$BV$103,COLUMN(기본데이타!N$8),0))</f>
        <v/>
      </c>
      <c r="M74" s="595" t="str">
        <f>IF($A74="","",VLOOKUP($A74,기본데이타!$A$8:$BV$103,COLUMN(기본데이타!O$8),0))</f>
        <v/>
      </c>
      <c r="N74" s="596" t="str">
        <f>IF($A74="","",VLOOKUP($A74,기본데이타!$A$8:$BV$103,COLUMN(기본데이타!P$8),0))</f>
        <v/>
      </c>
      <c r="O74" s="596" t="str">
        <f>IF($A74="","",VLOOKUP($A74,기본데이타!$A$8:$BV$103,COLUMN(기본데이타!Q$8),0))</f>
        <v/>
      </c>
      <c r="P74" s="596" t="str">
        <f>IF($A74="","",VLOOKUP($A74,기본데이타!$A$8:$BV$103,COLUMN(기본데이타!R$8),0))</f>
        <v/>
      </c>
      <c r="Q74" s="596" t="str">
        <f>IF($A74="","",VLOOKUP($A74,기본데이타!$A$8:$BV$103,COLUMN(기본데이타!S$8),0))</f>
        <v/>
      </c>
      <c r="R74" s="596" t="str">
        <f>IF($A74="","",VLOOKUP($A74,기본데이타!$A$8:$BV$103,COLUMN(기본데이타!T$8),0))</f>
        <v/>
      </c>
      <c r="S74" s="596" t="str">
        <f>IF($A74="","",VLOOKUP($A74,기본데이타!$A$8:$BV$103,COLUMN(기본데이타!U$8),0))</f>
        <v/>
      </c>
      <c r="T74" s="596" t="str">
        <f>IF($A74="","",VLOOKUP($A74,기본데이타!$A$8:$BV$103,COLUMN(기본데이타!V$8),0))</f>
        <v/>
      </c>
      <c r="U74" s="596" t="str">
        <f>IF($A74="","",VLOOKUP($A74,기본데이타!$A$8:$BV$103,COLUMN(기본데이타!W$8),0))</f>
        <v/>
      </c>
      <c r="V74" s="596" t="str">
        <f>IF($A74="","",VLOOKUP($A74,기본데이타!$A$8:$BV$103,COLUMN(기본데이타!X$8),0))</f>
        <v/>
      </c>
      <c r="W74" s="596" t="str">
        <f>IF($A74="","",VLOOKUP($A74,기본데이타!$A$8:$BV$103,COLUMN(기본데이타!AA$8),0))</f>
        <v/>
      </c>
      <c r="X74" s="596" t="str">
        <f>IF($A74="","",VLOOKUP($A74,기본데이타!$A$8:$BV$103,COLUMN(기본데이타!AB$8),0))</f>
        <v/>
      </c>
      <c r="Y74" s="595" t="str">
        <f>IF($A74="","",VLOOKUP($A74,기본데이타!$A$8:$BV$103,COLUMN(기본데이타!AC$8),0))</f>
        <v/>
      </c>
      <c r="Z74" s="596" t="str">
        <f>IF($A74="","",VLOOKUP($A74,기본데이타!$A$8:$BV$103,COLUMN(기본데이타!AD$8),0))</f>
        <v/>
      </c>
      <c r="AA74" s="595" t="str">
        <f>IF($A74="","",VLOOKUP($A74,기본데이타!$A$8:$BV$103,COLUMN(기본데이타!AE$8),0))</f>
        <v/>
      </c>
      <c r="AB74" s="596" t="str">
        <f>IF($A74="","",VLOOKUP($A74,기본데이타!$A$8:$BV$103,COLUMN(기본데이타!AF$8),0))</f>
        <v/>
      </c>
      <c r="AC74" s="595" t="str">
        <f>IF($A74="","",VLOOKUP($A74,기본데이타!$A$8:$BV$103,COLUMN(기본데이타!AG$8),0))</f>
        <v/>
      </c>
      <c r="AD74" s="596" t="str">
        <f>IF($A74="","",VLOOKUP($A74,기본데이타!$A$8:$BV$103,COLUMN(기본데이타!AH$8),0))</f>
        <v/>
      </c>
      <c r="AE74" s="595" t="str">
        <f>IF($A74="","",VLOOKUP($A74,기본데이타!$A$8:$BV$103,COLUMN(기본데이타!AI$8),0))</f>
        <v/>
      </c>
      <c r="AF74" s="597" t="str">
        <f>IF($A74="","",VLOOKUP($A74,기본데이타!$A$8:$BV$103,COLUMN(기본데이타!AJ$8),0))</f>
        <v/>
      </c>
      <c r="AG74" s="580" t="str">
        <f>IF($A74="","",VLOOKUP($A74,기본데이타!$A$8:$BV$103,COLUMN(기본데이타!AK$8),0))</f>
        <v/>
      </c>
      <c r="AH74" s="580" t="str">
        <f>IF($A74="","",VLOOKUP($A74,기본데이타!$A$8:$BV$103,COLUMN(기본데이타!AL$8),0))</f>
        <v/>
      </c>
      <c r="AI74" s="580" t="str">
        <f>IF($A74="","",VLOOKUP($A74,기본데이타!$A$8:$BV$103,COLUMN(기본데이타!AM$8),0))</f>
        <v/>
      </c>
      <c r="AJ74" s="636" t="str">
        <f>IF($A74="","",VLOOKUP($A74,기본데이타!$A$8:$BV$103,COLUMN(기본데이타!AN$8),0))</f>
        <v/>
      </c>
      <c r="AK74" s="636" t="str">
        <f>IF($A74="","",VLOOKUP($A74,기본데이타!$A$8:$BV$103,COLUMN(기본데이타!AO$8),0))</f>
        <v/>
      </c>
      <c r="AL74" s="636" t="str">
        <f>IF($A74="","",VLOOKUP($A74,기본데이타!$A$8:$BV$103,COLUMN(기본데이타!AP$8),0))</f>
        <v/>
      </c>
      <c r="AM74" s="636" t="str">
        <f>IF($A74="","",VLOOKUP($A74,기본데이타!$A$8:$BV$103,COLUMN(기본데이타!AQ$8),0))</f>
        <v/>
      </c>
      <c r="AN74" s="636" t="str">
        <f>IF($A74="","",VLOOKUP($A74,기본데이타!$A$8:$BV$103,COLUMN(기본데이타!AR$8),0))</f>
        <v/>
      </c>
      <c r="AO74" s="636" t="str">
        <f>IF($A74="","",VLOOKUP($A74,기본데이타!$A$8:$BV$103,COLUMN(기본데이타!AS$8),0))</f>
        <v/>
      </c>
      <c r="AP74" s="636" t="str">
        <f>IF($A74="","",VLOOKUP($A74,기본데이타!$A$8:$BV$103,COLUMN(기본데이타!AT$8),0))</f>
        <v/>
      </c>
      <c r="AQ74" s="636" t="str">
        <f>IF($A74="","",VLOOKUP($A74,기본데이타!$A$8:$BV$103,COLUMN(기본데이타!AU$8),0))</f>
        <v/>
      </c>
      <c r="AR74" s="637" t="str">
        <f>IF($A74="","",VLOOKUP($A74,기본데이타!$A$8:$BV$103,COLUMN(기본데이타!AV$8),0))</f>
        <v/>
      </c>
      <c r="AS74" s="596" t="str">
        <f>IF($A74="","",VLOOKUP($A74,기본데이타!$A$8:$BV$103,COLUMN(기본데이타!AW$8),0))</f>
        <v/>
      </c>
      <c r="AT74" s="596" t="str">
        <f>IF($A74="","",VLOOKUP($A74,기본데이타!$A$8:$BV$103,COLUMN(기본데이타!AX$8),0))</f>
        <v/>
      </c>
      <c r="AU74" s="596" t="str">
        <f>IF($A74="","",VLOOKUP($A74,기본데이타!$A$8:$BV$103,COLUMN(기본데이타!AY$8),0))</f>
        <v/>
      </c>
      <c r="AV74" s="596" t="str">
        <f>IF(AS74="","",SUM(AS74:AU74))</f>
        <v/>
      </c>
      <c r="AW74" s="597" t="str">
        <f>IF($A74="","",VLOOKUP($A74,기본데이타!$A$8:$BV$103,COLUMN(기본데이타!BA$8),0))</f>
        <v/>
      </c>
      <c r="AX74" s="597" t="str">
        <f>IF($A74="","",VLOOKUP($A74,기본데이타!$A$8:$BV$103,COLUMN(기본데이타!BB$8),0))</f>
        <v/>
      </c>
      <c r="AY74" s="597" t="str">
        <f>IF($A74="","",VLOOKUP($A74,기본데이타!$A$8:$BV$103,COLUMN(기본데이타!BC$8),0))</f>
        <v/>
      </c>
      <c r="AZ74" s="597" t="str">
        <f>IF($A74="","",VLOOKUP($A74,기본데이타!$A$8:$BV$103,COLUMN(기본데이타!BD$8),0))</f>
        <v/>
      </c>
      <c r="BA74" s="597" t="str">
        <f>IF($A74="","",VLOOKUP($A74,기본데이타!$A$8:$BV$103,COLUMN(기본데이타!BE$8),0))</f>
        <v/>
      </c>
      <c r="BB74" s="597" t="str">
        <f>IF($A74="","",VLOOKUP($A74,기본데이타!$A$8:$BV$103,COLUMN(기본데이타!BF$8),0))</f>
        <v/>
      </c>
      <c r="BC74" s="597" t="str">
        <f>IF($A74="","",VLOOKUP($A74,기본데이타!$A$8:$BV$103,COLUMN(기본데이타!BG$8),0))</f>
        <v/>
      </c>
      <c r="BD74" s="597" t="str">
        <f>IF($A74="","",VLOOKUP($A74,기본데이타!$A$8:$BV$103,COLUMN(기본데이타!BH$8),0))</f>
        <v/>
      </c>
      <c r="BE74" s="597" t="str">
        <f>IF($A74="","",VLOOKUP($A74,기본데이타!$A$8:$BV$103,COLUMN(기본데이타!BI$8),0))</f>
        <v/>
      </c>
      <c r="BF74" s="597" t="str">
        <f>IF($A74="","",VLOOKUP($A74,기본데이타!$A$8:$BV$103,COLUMN(기본데이타!BJ$8),0))</f>
        <v/>
      </c>
      <c r="BG74" s="597" t="str">
        <f>IF($A74="","",VLOOKUP($A74,기본데이타!$A$8:$BV$103,COLUMN(기본데이타!BK$8),0))</f>
        <v/>
      </c>
      <c r="BH74" s="597" t="str">
        <f>IF($A74="","",VLOOKUP($A74,기본데이타!$A$8:$BV$103,COLUMN(기본데이타!BL$8),0))</f>
        <v/>
      </c>
      <c r="BI74" s="597" t="str">
        <f>IF($A74="","",VLOOKUP($A74,기본데이타!$A$8:$BV$103,COLUMN(기본데이타!BM$8),0))</f>
        <v/>
      </c>
      <c r="BJ74" s="597" t="str">
        <f>IF($A74="","",VLOOKUP($A74,기본데이타!$A$8:$BV$103,COLUMN(기본데이타!BN$8),0))</f>
        <v/>
      </c>
      <c r="BK74" s="597" t="str">
        <f>IF($A74="","",VLOOKUP($A74,기본데이타!$A$8:$BV$103,COLUMN(기본데이타!BO$8),0))</f>
        <v/>
      </c>
      <c r="BL74" s="597" t="str">
        <f>IF($A74="","",VLOOKUP($A74,기본데이타!$A$8:$BV$103,COLUMN(기본데이타!BP$8),0))</f>
        <v/>
      </c>
      <c r="BM74" s="597" t="str">
        <f>IF($A74="","",VLOOKUP($A74,기본데이타!$A$8:$BV$103,COLUMN(기본데이타!BQ$8),0))</f>
        <v/>
      </c>
      <c r="BN74" s="599" t="str">
        <f>IF($A74="","",VLOOKUP($A74,기본데이타!$A$8:$BV$103,COLUMN(기본데이타!BR$8),0))</f>
        <v/>
      </c>
      <c r="BO74" s="600" t="str">
        <f>IF($A74="","",VLOOKUP($A74,기본데이타!$A$8:$BV$103,COLUMN(기본데이타!BS$8),0))</f>
        <v/>
      </c>
      <c r="BP74" s="623" t="str">
        <f>IF($A74="","",VLOOKUP($A74,기본데이타!$A$8:$BV$103,COLUMN(기본데이타!BT$8),0))</f>
        <v/>
      </c>
      <c r="BQ74" s="602" t="str">
        <f>IF($A74="","",VLOOKUP($A74,기본데이타!$A$8:$BV$103,COLUMN(기본데이타!BU$8),0))</f>
        <v/>
      </c>
      <c r="BR74" s="603" t="str">
        <f>IF($A74="","",A74)</f>
        <v/>
      </c>
    </row>
    <row r="75" spans="1:73" s="571" customFormat="1" ht="61.5" hidden="1" customHeight="1" outlineLevel="1" thickBot="1">
      <c r="A75" s="578"/>
      <c r="B75" s="1642"/>
      <c r="C75" s="657"/>
      <c r="D75" s="1536" t="str">
        <f>IF($A75="","",VLOOKUP($A75,기본데이타!$A$8:$BV$103,COLUMN(기본데이타!F$8),0))</f>
        <v/>
      </c>
      <c r="E75" s="1537" t="str">
        <f>IF($A75="","",VLOOKUP($A75,기본데이타!$A$8:$BV$103,COLUMN(기본데이타!G$8),0))</f>
        <v/>
      </c>
      <c r="F75" s="1538" t="str">
        <f>IF($A75="","",VLOOKUP($A75,기본데이타!$A$8:$BV$103,COLUMN(기본데이타!H$8),0))</f>
        <v/>
      </c>
      <c r="G75" s="1539" t="str">
        <f>IF($A75="","",VLOOKUP($A75,기본데이타!$A$8:$BV$103,COLUMN(기본데이타!I$8),0))</f>
        <v/>
      </c>
      <c r="H75" s="1539" t="str">
        <f>IF($A75="","",VLOOKUP($A75,기본데이타!$A$8:$BV$103,COLUMN(기본데이타!J$8),0))</f>
        <v/>
      </c>
      <c r="I75" s="1540" t="str">
        <f>IF($A75="","",VLOOKUP($A75,기본데이타!$A$8:$BV$103,COLUMN(기본데이타!K$8),0))</f>
        <v/>
      </c>
      <c r="J75" s="1540" t="str">
        <f>IF($A75="","",VLOOKUP($A75,기본데이타!$A$8:$BV$103,COLUMN(기본데이타!L$8),0))</f>
        <v/>
      </c>
      <c r="K75" s="1540" t="str">
        <f>IF($A75="","",VLOOKUP($A75,기본데이타!$A$8:$BV$103,COLUMN(기본데이타!M$8),0))</f>
        <v/>
      </c>
      <c r="L75" s="1541" t="str">
        <f>IF($A75="","",VLOOKUP($A75,기본데이타!$A$8:$BV$103,COLUMN(기본데이타!N$8),0))</f>
        <v/>
      </c>
      <c r="M75" s="1540" t="str">
        <f>IF($A75="","",VLOOKUP($A75,기본데이타!$A$8:$BV$103,COLUMN(기본데이타!O$8),0))</f>
        <v/>
      </c>
      <c r="N75" s="1541" t="str">
        <f>IF($A75="","",VLOOKUP($A75,기본데이타!$A$8:$BV$103,COLUMN(기본데이타!P$8),0))</f>
        <v/>
      </c>
      <c r="O75" s="1541" t="str">
        <f>IF($A75="","",VLOOKUP($A75,기본데이타!$A$8:$BV$103,COLUMN(기본데이타!Q$8),0))</f>
        <v/>
      </c>
      <c r="P75" s="1541" t="str">
        <f>IF($A75="","",VLOOKUP($A75,기본데이타!$A$8:$BV$103,COLUMN(기본데이타!R$8),0))</f>
        <v/>
      </c>
      <c r="Q75" s="1541" t="str">
        <f>IF($A75="","",VLOOKUP($A75,기본데이타!$A$8:$BV$103,COLUMN(기본데이타!S$8),0))</f>
        <v/>
      </c>
      <c r="R75" s="1541" t="str">
        <f>IF($A75="","",VLOOKUP($A75,기본데이타!$A$8:$BV$103,COLUMN(기본데이타!T$8),0))</f>
        <v/>
      </c>
      <c r="S75" s="1541" t="str">
        <f>IF($A75="","",VLOOKUP($A75,기본데이타!$A$8:$BV$103,COLUMN(기본데이타!U$8),0))</f>
        <v/>
      </c>
      <c r="T75" s="1541" t="str">
        <f>IF($A75="","",VLOOKUP($A75,기본데이타!$A$8:$BV$103,COLUMN(기본데이타!V$8),0))</f>
        <v/>
      </c>
      <c r="U75" s="1541" t="str">
        <f>IF($A75="","",VLOOKUP($A75,기본데이타!$A$8:$BV$103,COLUMN(기본데이타!W$8),0))</f>
        <v/>
      </c>
      <c r="V75" s="1541" t="str">
        <f>IF($A75="","",VLOOKUP($A75,기본데이타!$A$8:$BV$103,COLUMN(기본데이타!X$8),0))</f>
        <v/>
      </c>
      <c r="W75" s="1541" t="str">
        <f>IF($A75="","",VLOOKUP($A75,기본데이타!$A$8:$BV$103,COLUMN(기본데이타!AA$8),0))</f>
        <v/>
      </c>
      <c r="X75" s="1541" t="str">
        <f>IF($A75="","",VLOOKUP($A75,기본데이타!$A$8:$BV$103,COLUMN(기본데이타!AB$8),0))</f>
        <v/>
      </c>
      <c r="Y75" s="1540" t="str">
        <f>IF($A75="","",VLOOKUP($A75,기본데이타!$A$8:$BV$103,COLUMN(기본데이타!AC$8),0))</f>
        <v/>
      </c>
      <c r="Z75" s="1541" t="str">
        <f>IF($A75="","",VLOOKUP($A75,기본데이타!$A$8:$BV$103,COLUMN(기본데이타!AD$8),0))</f>
        <v/>
      </c>
      <c r="AA75" s="1540" t="str">
        <f>IF($A75="","",VLOOKUP($A75,기본데이타!$A$8:$BV$103,COLUMN(기본데이타!AE$8),0))</f>
        <v/>
      </c>
      <c r="AB75" s="1541" t="str">
        <f>IF($A75="","",VLOOKUP($A75,기본데이타!$A$8:$BV$103,COLUMN(기본데이타!AF$8),0))</f>
        <v/>
      </c>
      <c r="AC75" s="1540" t="str">
        <f>IF($A75="","",VLOOKUP($A75,기본데이타!$A$8:$BV$103,COLUMN(기본데이타!AG$8),0))</f>
        <v/>
      </c>
      <c r="AD75" s="1541" t="str">
        <f>IF($A75="","",VLOOKUP($A75,기본데이타!$A$8:$BV$103,COLUMN(기본데이타!AH$8),0))</f>
        <v/>
      </c>
      <c r="AE75" s="1540" t="str">
        <f>IF($A75="","",VLOOKUP($A75,기본데이타!$A$8:$BV$103,COLUMN(기본데이타!AI$8),0))</f>
        <v/>
      </c>
      <c r="AF75" s="1542" t="str">
        <f>IF($A75="","",VLOOKUP($A75,기본데이타!$A$8:$BV$103,COLUMN(기본데이타!AJ$8),0))</f>
        <v/>
      </c>
      <c r="AG75" s="1342" t="str">
        <f>IF($A75="","",VLOOKUP($A75,기본데이타!$A$8:$BV$103,COLUMN(기본데이타!AK$8),0))</f>
        <v/>
      </c>
      <c r="AH75" s="1342" t="str">
        <f>IF($A75="","",VLOOKUP($A75,기본데이타!$A$8:$BV$103,COLUMN(기본데이타!AL$8),0))</f>
        <v/>
      </c>
      <c r="AI75" s="1342" t="str">
        <f>IF($A75="","",VLOOKUP($A75,기본데이타!$A$8:$BV$103,COLUMN(기본데이타!AM$8),0))</f>
        <v/>
      </c>
      <c r="AJ75" s="1048" t="str">
        <f>IF($A75="","",VLOOKUP($A75,기본데이타!$A$8:$BV$103,COLUMN(기본데이타!AN$8),0))</f>
        <v/>
      </c>
      <c r="AK75" s="1048" t="str">
        <f>IF($A75="","",VLOOKUP($A75,기본데이타!$A$8:$BV$103,COLUMN(기본데이타!AO$8),0))</f>
        <v/>
      </c>
      <c r="AL75" s="1048" t="str">
        <f>IF($A75="","",VLOOKUP($A75,기본데이타!$A$8:$BV$103,COLUMN(기본데이타!AP$8),0))</f>
        <v/>
      </c>
      <c r="AM75" s="1048" t="str">
        <f>IF($A75="","",VLOOKUP($A75,기본데이타!$A$8:$BV$103,COLUMN(기본데이타!AQ$8),0))</f>
        <v/>
      </c>
      <c r="AN75" s="1048" t="str">
        <f>IF($A75="","",VLOOKUP($A75,기본데이타!$A$8:$BV$103,COLUMN(기본데이타!AR$8),0))</f>
        <v/>
      </c>
      <c r="AO75" s="1048" t="str">
        <f>IF($A75="","",VLOOKUP($A75,기본데이타!$A$8:$BV$103,COLUMN(기본데이타!AS$8),0))</f>
        <v/>
      </c>
      <c r="AP75" s="1048" t="str">
        <f>IF($A75="","",VLOOKUP($A75,기본데이타!$A$8:$BV$103,COLUMN(기본데이타!AT$8),0))</f>
        <v/>
      </c>
      <c r="AQ75" s="1048" t="str">
        <f>IF($A75="","",VLOOKUP($A75,기본데이타!$A$8:$BV$103,COLUMN(기본데이타!AU$8),0))</f>
        <v/>
      </c>
      <c r="AR75" s="1049" t="str">
        <f>IF($A75="","",VLOOKUP($A75,기본데이타!$A$8:$BV$103,COLUMN(기본데이타!AV$8),0))</f>
        <v/>
      </c>
      <c r="AS75" s="1541" t="str">
        <f>IF($A75="","",VLOOKUP($A75,기본데이타!$A$8:$BV$103,COLUMN(기본데이타!AW$8),0))</f>
        <v/>
      </c>
      <c r="AT75" s="1541" t="str">
        <f>IF($A75="","",VLOOKUP($A75,기본데이타!$A$8:$BV$103,COLUMN(기본데이타!AX$8),0))</f>
        <v/>
      </c>
      <c r="AU75" s="1541" t="str">
        <f>IF($A75="","",VLOOKUP($A75,기본데이타!$A$8:$BV$103,COLUMN(기본데이타!AY$8),0))</f>
        <v/>
      </c>
      <c r="AV75" s="1541" t="str">
        <f t="shared" ref="AV75:AV80" si="6">IF(AS75="","",SUM(AS75:AU75))</f>
        <v/>
      </c>
      <c r="AW75" s="1542" t="str">
        <f>IF($A75="","",VLOOKUP($A75,기본데이타!$A$8:$BV$103,COLUMN(기본데이타!BA$8),0))</f>
        <v/>
      </c>
      <c r="AX75" s="1542" t="str">
        <f>IF($A75="","",VLOOKUP($A75,기본데이타!$A$8:$BV$103,COLUMN(기본데이타!BB$8),0))</f>
        <v/>
      </c>
      <c r="AY75" s="1542" t="str">
        <f>IF($A75="","",VLOOKUP($A75,기본데이타!$A$8:$BV$103,COLUMN(기본데이타!BC$8),0))</f>
        <v/>
      </c>
      <c r="AZ75" s="1542" t="str">
        <f>IF($A75="","",VLOOKUP($A75,기본데이타!$A$8:$BV$103,COLUMN(기본데이타!BD$8),0))</f>
        <v/>
      </c>
      <c r="BA75" s="1542" t="str">
        <f>IF($A75="","",VLOOKUP($A75,기본데이타!$A$8:$BV$103,COLUMN(기본데이타!BE$8),0))</f>
        <v/>
      </c>
      <c r="BB75" s="1542" t="str">
        <f>IF($A75="","",VLOOKUP($A75,기본데이타!$A$8:$BV$103,COLUMN(기본데이타!BF$8),0))</f>
        <v/>
      </c>
      <c r="BC75" s="1542" t="str">
        <f>IF($A75="","",VLOOKUP($A75,기본데이타!$A$8:$BV$103,COLUMN(기본데이타!BG$8),0))</f>
        <v/>
      </c>
      <c r="BD75" s="1542" t="str">
        <f>IF($A75="","",VLOOKUP($A75,기본데이타!$A$8:$BV$103,COLUMN(기본데이타!BH$8),0))</f>
        <v/>
      </c>
      <c r="BE75" s="1542" t="str">
        <f>IF($A75="","",VLOOKUP($A75,기본데이타!$A$8:$BV$103,COLUMN(기본데이타!BI$8),0))</f>
        <v/>
      </c>
      <c r="BF75" s="1542" t="str">
        <f>IF($A75="","",VLOOKUP($A75,기본데이타!$A$8:$BV$103,COLUMN(기본데이타!BJ$8),0))</f>
        <v/>
      </c>
      <c r="BG75" s="1542" t="str">
        <f>IF($A75="","",VLOOKUP($A75,기본데이타!$A$8:$BV$103,COLUMN(기본데이타!BK$8),0))</f>
        <v/>
      </c>
      <c r="BH75" s="1542" t="str">
        <f>IF($A75="","",VLOOKUP($A75,기본데이타!$A$8:$BV$103,COLUMN(기본데이타!BL$8),0))</f>
        <v/>
      </c>
      <c r="BI75" s="1542" t="str">
        <f>IF($A75="","",VLOOKUP($A75,기본데이타!$A$8:$BV$103,COLUMN(기본데이타!BM$8),0))</f>
        <v/>
      </c>
      <c r="BJ75" s="1542" t="str">
        <f>IF($A75="","",VLOOKUP($A75,기본데이타!$A$8:$BV$103,COLUMN(기본데이타!BN$8),0))</f>
        <v/>
      </c>
      <c r="BK75" s="1542" t="str">
        <f>IF($A75="","",VLOOKUP($A75,기본데이타!$A$8:$BV$103,COLUMN(기본데이타!BO$8),0))</f>
        <v/>
      </c>
      <c r="BL75" s="1542" t="str">
        <f>IF($A75="","",VLOOKUP($A75,기본데이타!$A$8:$BV$103,COLUMN(기본데이타!BP$8),0))</f>
        <v/>
      </c>
      <c r="BM75" s="1542" t="str">
        <f>IF($A75="","",VLOOKUP($A75,기본데이타!$A$8:$BV$103,COLUMN(기본데이타!BQ$8),0))</f>
        <v/>
      </c>
      <c r="BN75" s="1545" t="str">
        <f>IF($A75="","",VLOOKUP($A75,기본데이타!$A$8:$BV$103,COLUMN(기본데이타!BR$8),0))</f>
        <v/>
      </c>
      <c r="BO75" s="1546" t="str">
        <f>IF($A75="","",VLOOKUP($A75,기본데이타!$A$8:$BV$103,COLUMN(기본데이타!BS$8),0))</f>
        <v/>
      </c>
      <c r="BP75" s="1547" t="str">
        <f>IF($A75="","",VLOOKUP($A75,기본데이타!$A$8:$BV$103,COLUMN(기본데이타!BT$8),0))</f>
        <v/>
      </c>
      <c r="BQ75" s="1548" t="str">
        <f>IF($A75="","",VLOOKUP($A75,기본데이타!$A$8:$BV$103,COLUMN(기본데이타!BU$8),0))</f>
        <v/>
      </c>
      <c r="BR75" s="1549" t="str">
        <f t="shared" ref="BR75:BR80" si="7">IF($A75="","",A75)</f>
        <v/>
      </c>
    </row>
    <row r="76" spans="1:73" s="571" customFormat="1" ht="61.5" hidden="1" customHeight="1" outlineLevel="1">
      <c r="A76" s="578"/>
      <c r="B76" s="1642"/>
      <c r="C76" s="590" t="s">
        <v>402</v>
      </c>
      <c r="D76" s="591" t="str">
        <f>IF($A76="","",VLOOKUP($A76,기본데이타!$A$8:$BV$103,COLUMN(기본데이타!F$8),0))</f>
        <v/>
      </c>
      <c r="E76" s="592" t="str">
        <f>IF($A76="","",VLOOKUP($A76,기본데이타!$A$8:$BV$103,COLUMN(기본데이타!G$8),0))</f>
        <v/>
      </c>
      <c r="F76" s="593" t="str">
        <f>IF($A76="","",VLOOKUP($A76,기본데이타!$A$8:$BV$103,COLUMN(기본데이타!H$8),0))</f>
        <v/>
      </c>
      <c r="G76" s="594" t="str">
        <f>IF($A76="","",VLOOKUP($A76,기본데이타!$A$8:$BV$103,COLUMN(기본데이타!I$8),0))</f>
        <v/>
      </c>
      <c r="H76" s="594" t="str">
        <f>IF($A76="","",VLOOKUP($A76,기본데이타!$A$8:$BV$103,COLUMN(기본데이타!J$8),0))</f>
        <v/>
      </c>
      <c r="I76" s="595" t="str">
        <f>IF($A76="","",VLOOKUP($A76,기본데이타!$A$8:$BV$103,COLUMN(기본데이타!K$8),0))</f>
        <v/>
      </c>
      <c r="J76" s="595" t="str">
        <f>IF($A76="","",VLOOKUP($A76,기본데이타!$A$8:$BV$103,COLUMN(기본데이타!L$8),0))</f>
        <v/>
      </c>
      <c r="K76" s="595" t="str">
        <f>IF($A76="","",VLOOKUP($A76,기본데이타!$A$8:$BV$103,COLUMN(기본데이타!M$8),0))</f>
        <v/>
      </c>
      <c r="L76" s="596" t="str">
        <f>IF($A76="","",VLOOKUP($A76,기본데이타!$A$8:$BV$103,COLUMN(기본데이타!N$8),0))</f>
        <v/>
      </c>
      <c r="M76" s="595" t="str">
        <f>IF($A76="","",VLOOKUP($A76,기본데이타!$A$8:$BV$103,COLUMN(기본데이타!O$8),0))</f>
        <v/>
      </c>
      <c r="N76" s="596" t="str">
        <f>IF($A76="","",VLOOKUP($A76,기본데이타!$A$8:$BV$103,COLUMN(기본데이타!P$8),0))</f>
        <v/>
      </c>
      <c r="O76" s="596" t="str">
        <f>IF($A76="","",VLOOKUP($A76,기본데이타!$A$8:$BV$103,COLUMN(기본데이타!Q$8),0))</f>
        <v/>
      </c>
      <c r="P76" s="596" t="str">
        <f>IF($A76="","",VLOOKUP($A76,기본데이타!$A$8:$BV$103,COLUMN(기본데이타!R$8),0))</f>
        <v/>
      </c>
      <c r="Q76" s="596" t="str">
        <f>IF($A76="","",VLOOKUP($A76,기본데이타!$A$8:$BV$103,COLUMN(기본데이타!S$8),0))</f>
        <v/>
      </c>
      <c r="R76" s="596" t="str">
        <f>IF($A76="","",VLOOKUP($A76,기본데이타!$A$8:$BV$103,COLUMN(기본데이타!T$8),0))</f>
        <v/>
      </c>
      <c r="S76" s="596" t="str">
        <f>IF($A76="","",VLOOKUP($A76,기본데이타!$A$8:$BV$103,COLUMN(기본데이타!U$8),0))</f>
        <v/>
      </c>
      <c r="T76" s="596" t="str">
        <f>IF($A76="","",VLOOKUP($A76,기본데이타!$A$8:$BV$103,COLUMN(기본데이타!V$8),0))</f>
        <v/>
      </c>
      <c r="U76" s="596" t="str">
        <f>IF($A76="","",VLOOKUP($A76,기본데이타!$A$8:$BV$103,COLUMN(기본데이타!W$8),0))</f>
        <v/>
      </c>
      <c r="V76" s="596" t="str">
        <f>IF($A76="","",VLOOKUP($A76,기본데이타!$A$8:$BV$103,COLUMN(기본데이타!X$8),0))</f>
        <v/>
      </c>
      <c r="W76" s="596" t="str">
        <f>IF($A76="","",VLOOKUP($A76,기본데이타!$A$8:$BV$103,COLUMN(기본데이타!AA$8),0))</f>
        <v/>
      </c>
      <c r="X76" s="596" t="str">
        <f>IF($A76="","",VLOOKUP($A76,기본데이타!$A$8:$BV$103,COLUMN(기본데이타!AB$8),0))</f>
        <v/>
      </c>
      <c r="Y76" s="595" t="str">
        <f>IF($A76="","",VLOOKUP($A76,기본데이타!$A$8:$BV$103,COLUMN(기본데이타!AC$8),0))</f>
        <v/>
      </c>
      <c r="Z76" s="596" t="str">
        <f>IF($A76="","",VLOOKUP($A76,기본데이타!$A$8:$BV$103,COLUMN(기본데이타!AD$8),0))</f>
        <v/>
      </c>
      <c r="AA76" s="595" t="str">
        <f>IF($A76="","",VLOOKUP($A76,기본데이타!$A$8:$BV$103,COLUMN(기본데이타!AE$8),0))</f>
        <v/>
      </c>
      <c r="AB76" s="596" t="str">
        <f>IF($A76="","",VLOOKUP($A76,기본데이타!$A$8:$BV$103,COLUMN(기본데이타!AF$8),0))</f>
        <v/>
      </c>
      <c r="AC76" s="595" t="str">
        <f>IF($A76="","",VLOOKUP($A76,기본데이타!$A$8:$BV$103,COLUMN(기본데이타!AG$8),0))</f>
        <v/>
      </c>
      <c r="AD76" s="596" t="str">
        <f>IF($A76="","",VLOOKUP($A76,기본데이타!$A$8:$BV$103,COLUMN(기본데이타!AH$8),0))</f>
        <v/>
      </c>
      <c r="AE76" s="595" t="str">
        <f>IF($A76="","",VLOOKUP($A76,기본데이타!$A$8:$BV$103,COLUMN(기본데이타!AI$8),0))</f>
        <v/>
      </c>
      <c r="AF76" s="597" t="str">
        <f>IF($A76="","",VLOOKUP($A76,기본데이타!$A$8:$BV$103,COLUMN(기본데이타!AJ$8),0))</f>
        <v/>
      </c>
      <c r="AG76" s="597" t="str">
        <f>IF($A76="","",VLOOKUP($A76,기본데이타!$A$8:$BV$103,COLUMN(기본데이타!AK$8),0))</f>
        <v/>
      </c>
      <c r="AH76" s="597" t="str">
        <f>IF($A76="","",VLOOKUP($A76,기본데이타!$A$8:$BV$103,COLUMN(기본데이타!AL$8),0))</f>
        <v/>
      </c>
      <c r="AI76" s="597" t="str">
        <f>IF($A76="","",VLOOKUP($A76,기본데이타!$A$8:$BV$103,COLUMN(기본데이타!AM$8),0))</f>
        <v/>
      </c>
      <c r="AJ76" s="642" t="str">
        <f>IF($A76="","",VLOOKUP($A76,기본데이타!$A$8:$BV$103,COLUMN(기본데이타!AN$8),0))</f>
        <v/>
      </c>
      <c r="AK76" s="642" t="str">
        <f>IF($A76="","",VLOOKUP($A76,기본데이타!$A$8:$BV$103,COLUMN(기본데이타!AO$8),0))</f>
        <v/>
      </c>
      <c r="AL76" s="642" t="str">
        <f>IF($A76="","",VLOOKUP($A76,기본데이타!$A$8:$BV$103,COLUMN(기본데이타!AP$8),0))</f>
        <v/>
      </c>
      <c r="AM76" s="642" t="str">
        <f>IF($A76="","",VLOOKUP($A76,기본데이타!$A$8:$BV$103,COLUMN(기본데이타!AQ$8),0))</f>
        <v/>
      </c>
      <c r="AN76" s="642" t="str">
        <f>IF($A76="","",VLOOKUP($A76,기본데이타!$A$8:$BV$103,COLUMN(기본데이타!AR$8),0))</f>
        <v/>
      </c>
      <c r="AO76" s="642" t="str">
        <f>IF($A76="","",VLOOKUP($A76,기본데이타!$A$8:$BV$103,COLUMN(기본데이타!AS$8),0))</f>
        <v/>
      </c>
      <c r="AP76" s="642" t="str">
        <f>IF($A76="","",VLOOKUP($A76,기본데이타!$A$8:$BV$103,COLUMN(기본데이타!AT$8),0))</f>
        <v/>
      </c>
      <c r="AQ76" s="642" t="str">
        <f>IF($A76="","",VLOOKUP($A76,기본데이타!$A$8:$BV$103,COLUMN(기본데이타!AU$8),0))</f>
        <v/>
      </c>
      <c r="AR76" s="643" t="str">
        <f>IF($A76="","",VLOOKUP($A76,기본데이타!$A$8:$BV$103,COLUMN(기본데이타!AV$8),0))</f>
        <v/>
      </c>
      <c r="AS76" s="596" t="str">
        <f>IF($A76="","",VLOOKUP($A76,기본데이타!$A$8:$BV$103,COLUMN(기본데이타!AW$8),0))</f>
        <v/>
      </c>
      <c r="AT76" s="596" t="str">
        <f>IF($A76="","",VLOOKUP($A76,기본데이타!$A$8:$BV$103,COLUMN(기본데이타!AX$8),0))</f>
        <v/>
      </c>
      <c r="AU76" s="596" t="str">
        <f>IF($A76="","",VLOOKUP($A76,기본데이타!$A$8:$BV$103,COLUMN(기본데이타!AY$8),0))</f>
        <v/>
      </c>
      <c r="AV76" s="596" t="str">
        <f t="shared" si="6"/>
        <v/>
      </c>
      <c r="AW76" s="597" t="str">
        <f>IF($A76="","",VLOOKUP($A76,기본데이타!$A$8:$BV$103,COLUMN(기본데이타!BA$8),0))</f>
        <v/>
      </c>
      <c r="AX76" s="597" t="str">
        <f>IF($A76="","",VLOOKUP($A76,기본데이타!$A$8:$BV$103,COLUMN(기본데이타!BB$8),0))</f>
        <v/>
      </c>
      <c r="AY76" s="597" t="str">
        <f>IF($A76="","",VLOOKUP($A76,기본데이타!$A$8:$BV$103,COLUMN(기본데이타!BC$8),0))</f>
        <v/>
      </c>
      <c r="AZ76" s="597" t="str">
        <f>IF($A76="","",VLOOKUP($A76,기본데이타!$A$8:$BV$103,COLUMN(기본데이타!BD$8),0))</f>
        <v/>
      </c>
      <c r="BA76" s="597" t="str">
        <f>IF($A76="","",VLOOKUP($A76,기본데이타!$A$8:$BV$103,COLUMN(기본데이타!BE$8),0))</f>
        <v/>
      </c>
      <c r="BB76" s="597" t="str">
        <f>IF($A76="","",VLOOKUP($A76,기본데이타!$A$8:$BV$103,COLUMN(기본데이타!BF$8),0))</f>
        <v/>
      </c>
      <c r="BC76" s="597" t="str">
        <f>IF($A76="","",VLOOKUP($A76,기본데이타!$A$8:$BV$103,COLUMN(기본데이타!BG$8),0))</f>
        <v/>
      </c>
      <c r="BD76" s="597" t="str">
        <f>IF($A76="","",VLOOKUP($A76,기본데이타!$A$8:$BV$103,COLUMN(기본데이타!BH$8),0))</f>
        <v/>
      </c>
      <c r="BE76" s="597" t="str">
        <f>IF($A76="","",VLOOKUP($A76,기본데이타!$A$8:$BV$103,COLUMN(기본데이타!BI$8),0))</f>
        <v/>
      </c>
      <c r="BF76" s="597" t="str">
        <f>IF($A76="","",VLOOKUP($A76,기본데이타!$A$8:$BV$103,COLUMN(기본데이타!BJ$8),0))</f>
        <v/>
      </c>
      <c r="BG76" s="597" t="str">
        <f>IF($A76="","",VLOOKUP($A76,기본데이타!$A$8:$BV$103,COLUMN(기본데이타!BK$8),0))</f>
        <v/>
      </c>
      <c r="BH76" s="597" t="str">
        <f>IF($A76="","",VLOOKUP($A76,기본데이타!$A$8:$BV$103,COLUMN(기본데이타!BL$8),0))</f>
        <v/>
      </c>
      <c r="BI76" s="597" t="str">
        <f>IF($A76="","",VLOOKUP($A76,기본데이타!$A$8:$BV$103,COLUMN(기본데이타!BM$8),0))</f>
        <v/>
      </c>
      <c r="BJ76" s="597" t="str">
        <f>IF($A76="","",VLOOKUP($A76,기본데이타!$A$8:$BV$103,COLUMN(기본데이타!BN$8),0))</f>
        <v/>
      </c>
      <c r="BK76" s="597" t="str">
        <f>IF($A76="","",VLOOKUP($A76,기본데이타!$A$8:$BV$103,COLUMN(기본데이타!BO$8),0))</f>
        <v/>
      </c>
      <c r="BL76" s="597" t="str">
        <f>IF($A76="","",VLOOKUP($A76,기본데이타!$A$8:$BV$103,COLUMN(기본데이타!BP$8),0))</f>
        <v/>
      </c>
      <c r="BM76" s="597" t="str">
        <f>IF($A76="","",VLOOKUP($A76,기본데이타!$A$8:$BV$103,COLUMN(기본데이타!BQ$8),0))</f>
        <v/>
      </c>
      <c r="BN76" s="599" t="str">
        <f>IF($A76="","",VLOOKUP($A76,기본데이타!$A$8:$BV$103,COLUMN(기본데이타!BR$8),0))</f>
        <v/>
      </c>
      <c r="BO76" s="600" t="str">
        <f>IF($A76="","",VLOOKUP($A76,기본데이타!$A$8:$BV$103,COLUMN(기본데이타!BS$8),0))</f>
        <v/>
      </c>
      <c r="BP76" s="623" t="str">
        <f>IF($A76="","",VLOOKUP($A76,기본데이타!$A$8:$BV$103,COLUMN(기본데이타!BT$8),0))</f>
        <v/>
      </c>
      <c r="BQ76" s="602" t="str">
        <f>IF($A76="","",VLOOKUP($A76,기본데이타!$A$8:$BV$103,COLUMN(기본데이타!BU$8),0))</f>
        <v/>
      </c>
      <c r="BR76" s="603" t="str">
        <f t="shared" si="7"/>
        <v/>
      </c>
    </row>
    <row r="77" spans="1:73" s="571" customFormat="1" ht="61.5" hidden="1" customHeight="1" outlineLevel="1">
      <c r="A77" s="578"/>
      <c r="B77" s="1642"/>
      <c r="C77" s="590"/>
      <c r="D77" s="629" t="str">
        <f>IF($A77="","",VLOOKUP($A77,기본데이타!$A$8:$BV$103,COLUMN(기본데이타!F$8),0))</f>
        <v/>
      </c>
      <c r="E77" s="630" t="str">
        <f>IF($A77="","",VLOOKUP($A77,기본데이타!$A$8:$BV$103,COLUMN(기본데이타!G$8),0))</f>
        <v/>
      </c>
      <c r="F77" s="631" t="str">
        <f>IF($A77="","",VLOOKUP($A77,기본데이타!$A$8:$BV$103,COLUMN(기본데이타!H$8),0))</f>
        <v/>
      </c>
      <c r="G77" s="632" t="str">
        <f>IF($A77="","",VLOOKUP($A77,기본데이타!$A$8:$BV$103,COLUMN(기본데이타!I$8),0))</f>
        <v/>
      </c>
      <c r="H77" s="632" t="str">
        <f>IF($A77="","",VLOOKUP($A77,기본데이타!$A$8:$BV$103,COLUMN(기본데이타!J$8),0))</f>
        <v/>
      </c>
      <c r="I77" s="633" t="str">
        <f>IF($A77="","",VLOOKUP($A77,기본데이타!$A$8:$BV$103,COLUMN(기본데이타!K$8),0))</f>
        <v/>
      </c>
      <c r="J77" s="633" t="str">
        <f>IF($A77="","",VLOOKUP($A77,기본데이타!$A$8:$BV$103,COLUMN(기본데이타!L$8),0))</f>
        <v/>
      </c>
      <c r="K77" s="633" t="str">
        <f>IF($A77="","",VLOOKUP($A77,기본데이타!$A$8:$BV$103,COLUMN(기본데이타!M$8),0))</f>
        <v/>
      </c>
      <c r="L77" s="634" t="str">
        <f>IF($A77="","",VLOOKUP($A77,기본데이타!$A$8:$BV$103,COLUMN(기본데이타!N$8),0))</f>
        <v/>
      </c>
      <c r="M77" s="633" t="str">
        <f>IF($A77="","",VLOOKUP($A77,기본데이타!$A$8:$BV$103,COLUMN(기본데이타!O$8),0))</f>
        <v/>
      </c>
      <c r="N77" s="634" t="str">
        <f>IF($A77="","",VLOOKUP($A77,기본데이타!$A$8:$BV$103,COLUMN(기본데이타!P$8),0))</f>
        <v/>
      </c>
      <c r="O77" s="634" t="str">
        <f>IF($A77="","",VLOOKUP($A77,기본데이타!$A$8:$BV$103,COLUMN(기본데이타!Q$8),0))</f>
        <v/>
      </c>
      <c r="P77" s="634" t="str">
        <f>IF($A77="","",VLOOKUP($A77,기본데이타!$A$8:$BV$103,COLUMN(기본데이타!R$8),0))</f>
        <v/>
      </c>
      <c r="Q77" s="634" t="str">
        <f>IF($A77="","",VLOOKUP($A77,기본데이타!$A$8:$BV$103,COLUMN(기본데이타!S$8),0))</f>
        <v/>
      </c>
      <c r="R77" s="634" t="str">
        <f>IF($A77="","",VLOOKUP($A77,기본데이타!$A$8:$BV$103,COLUMN(기본데이타!T$8),0))</f>
        <v/>
      </c>
      <c r="S77" s="634" t="str">
        <f>IF($A77="","",VLOOKUP($A77,기본데이타!$A$8:$BV$103,COLUMN(기본데이타!U$8),0))</f>
        <v/>
      </c>
      <c r="T77" s="634" t="str">
        <f>IF($A77="","",VLOOKUP($A77,기본데이타!$A$8:$BV$103,COLUMN(기본데이타!V$8),0))</f>
        <v/>
      </c>
      <c r="U77" s="634" t="str">
        <f>IF($A77="","",VLOOKUP($A77,기본데이타!$A$8:$BV$103,COLUMN(기본데이타!W$8),0))</f>
        <v/>
      </c>
      <c r="V77" s="634" t="str">
        <f>IF($A77="","",VLOOKUP($A77,기본데이타!$A$8:$BV$103,COLUMN(기본데이타!X$8),0))</f>
        <v/>
      </c>
      <c r="W77" s="634" t="str">
        <f>IF($A77="","",VLOOKUP($A77,기본데이타!$A$8:$BV$103,COLUMN(기본데이타!AA$8),0))</f>
        <v/>
      </c>
      <c r="X77" s="634" t="str">
        <f>IF($A77="","",VLOOKUP($A77,기본데이타!$A$8:$BV$103,COLUMN(기본데이타!AB$8),0))</f>
        <v/>
      </c>
      <c r="Y77" s="633" t="str">
        <f>IF($A77="","",VLOOKUP($A77,기본데이타!$A$8:$BV$103,COLUMN(기본데이타!AC$8),0))</f>
        <v/>
      </c>
      <c r="Z77" s="634" t="str">
        <f>IF($A77="","",VLOOKUP($A77,기본데이타!$A$8:$BV$103,COLUMN(기본데이타!AD$8),0))</f>
        <v/>
      </c>
      <c r="AA77" s="633" t="str">
        <f>IF($A77="","",VLOOKUP($A77,기본데이타!$A$8:$BV$103,COLUMN(기본데이타!AE$8),0))</f>
        <v/>
      </c>
      <c r="AB77" s="634" t="str">
        <f>IF($A77="","",VLOOKUP($A77,기본데이타!$A$8:$BV$103,COLUMN(기본데이타!AF$8),0))</f>
        <v/>
      </c>
      <c r="AC77" s="633" t="str">
        <f>IF($A77="","",VLOOKUP($A77,기본데이타!$A$8:$BV$103,COLUMN(기본데이타!AG$8),0))</f>
        <v/>
      </c>
      <c r="AD77" s="634" t="str">
        <f>IF($A77="","",VLOOKUP($A77,기본데이타!$A$8:$BV$103,COLUMN(기본데이타!AH$8),0))</f>
        <v/>
      </c>
      <c r="AE77" s="633" t="str">
        <f>IF($A77="","",VLOOKUP($A77,기본데이타!$A$8:$BV$103,COLUMN(기본데이타!AI$8),0))</f>
        <v/>
      </c>
      <c r="AF77" s="635" t="str">
        <f>IF($A77="","",VLOOKUP($A77,기본데이타!$A$8:$BV$103,COLUMN(기본데이타!AJ$8),0))</f>
        <v/>
      </c>
      <c r="AG77" s="580" t="str">
        <f>IF($A77="","",VLOOKUP($A77,기본데이타!$A$8:$BV$103,COLUMN(기본데이타!AK$8),0))</f>
        <v/>
      </c>
      <c r="AH77" s="580" t="str">
        <f>IF($A77="","",VLOOKUP($A77,기본데이타!$A$8:$BV$103,COLUMN(기본데이타!AL$8),0))</f>
        <v/>
      </c>
      <c r="AI77" s="580" t="str">
        <f>IF($A77="","",VLOOKUP($A77,기본데이타!$A$8:$BV$103,COLUMN(기본데이타!AM$8),0))</f>
        <v/>
      </c>
      <c r="AJ77" s="636" t="str">
        <f>IF($A77="","",VLOOKUP($A77,기본데이타!$A$8:$BV$103,COLUMN(기본데이타!AN$8),0))</f>
        <v/>
      </c>
      <c r="AK77" s="636" t="str">
        <f>IF($A77="","",VLOOKUP($A77,기본데이타!$A$8:$BV$103,COLUMN(기본데이타!AO$8),0))</f>
        <v/>
      </c>
      <c r="AL77" s="636" t="str">
        <f>IF($A77="","",VLOOKUP($A77,기본데이타!$A$8:$BV$103,COLUMN(기본데이타!AP$8),0))</f>
        <v/>
      </c>
      <c r="AM77" s="636" t="str">
        <f>IF($A77="","",VLOOKUP($A77,기본데이타!$A$8:$BV$103,COLUMN(기본데이타!AQ$8),0))</f>
        <v/>
      </c>
      <c r="AN77" s="636" t="str">
        <f>IF($A77="","",VLOOKUP($A77,기본데이타!$A$8:$BV$103,COLUMN(기본데이타!AR$8),0))</f>
        <v/>
      </c>
      <c r="AO77" s="636" t="str">
        <f>IF($A77="","",VLOOKUP($A77,기본데이타!$A$8:$BV$103,COLUMN(기본데이타!AS$8),0))</f>
        <v/>
      </c>
      <c r="AP77" s="636" t="str">
        <f>IF($A77="","",VLOOKUP($A77,기본데이타!$A$8:$BV$103,COLUMN(기본데이타!AT$8),0))</f>
        <v/>
      </c>
      <c r="AQ77" s="636" t="str">
        <f>IF($A77="","",VLOOKUP($A77,기본데이타!$A$8:$BV$103,COLUMN(기본데이타!AU$8),0))</f>
        <v/>
      </c>
      <c r="AR77" s="637" t="str">
        <f>IF($A77="","",VLOOKUP($A77,기본데이타!$A$8:$BV$103,COLUMN(기본데이타!AV$8),0))</f>
        <v/>
      </c>
      <c r="AS77" s="634" t="str">
        <f>IF($A77="","",VLOOKUP($A77,기본데이타!$A$8:$BV$103,COLUMN(기본데이타!AW$8),0))</f>
        <v/>
      </c>
      <c r="AT77" s="634" t="str">
        <f>IF($A77="","",VLOOKUP($A77,기본데이타!$A$8:$BV$103,COLUMN(기본데이타!AX$8),0))</f>
        <v/>
      </c>
      <c r="AU77" s="634" t="str">
        <f>IF($A77="","",VLOOKUP($A77,기본데이타!$A$8:$BV$103,COLUMN(기본데이타!AY$8),0))</f>
        <v/>
      </c>
      <c r="AV77" s="634" t="str">
        <f t="shared" si="6"/>
        <v/>
      </c>
      <c r="AW77" s="635" t="str">
        <f>IF($A77="","",VLOOKUP($A77,기본데이타!$A$8:$BV$103,COLUMN(기본데이타!BA$8),0))</f>
        <v/>
      </c>
      <c r="AX77" s="635" t="str">
        <f>IF($A77="","",VLOOKUP($A77,기본데이타!$A$8:$BV$103,COLUMN(기본데이타!BB$8),0))</f>
        <v/>
      </c>
      <c r="AY77" s="635" t="str">
        <f>IF($A77="","",VLOOKUP($A77,기본데이타!$A$8:$BV$103,COLUMN(기본데이타!BC$8),0))</f>
        <v/>
      </c>
      <c r="AZ77" s="635" t="str">
        <f>IF($A77="","",VLOOKUP($A77,기본데이타!$A$8:$BV$103,COLUMN(기본데이타!BD$8),0))</f>
        <v/>
      </c>
      <c r="BA77" s="635" t="str">
        <f>IF($A77="","",VLOOKUP($A77,기본데이타!$A$8:$BV$103,COLUMN(기본데이타!BE$8),0))</f>
        <v/>
      </c>
      <c r="BB77" s="635" t="str">
        <f>IF($A77="","",VLOOKUP($A77,기본데이타!$A$8:$BV$103,COLUMN(기본데이타!BF$8),0))</f>
        <v/>
      </c>
      <c r="BC77" s="635" t="str">
        <f>IF($A77="","",VLOOKUP($A77,기본데이타!$A$8:$BV$103,COLUMN(기본데이타!BG$8),0))</f>
        <v/>
      </c>
      <c r="BD77" s="1496" t="str">
        <f>IF($A77="","",VLOOKUP($A77,기본데이타!$A$8:$BV$103,COLUMN(기본데이타!BH$8),0))</f>
        <v/>
      </c>
      <c r="BE77" s="635" t="str">
        <f>IF($A77="","",VLOOKUP($A77,기본데이타!$A$8:$BV$103,COLUMN(기본데이타!BI$8),0))</f>
        <v/>
      </c>
      <c r="BF77" s="635" t="str">
        <f>IF($A77="","",VLOOKUP($A77,기본데이타!$A$8:$BV$103,COLUMN(기본데이타!BJ$8),0))</f>
        <v/>
      </c>
      <c r="BG77" s="635" t="str">
        <f>IF($A77="","",VLOOKUP($A77,기본데이타!$A$8:$BV$103,COLUMN(기본데이타!BK$8),0))</f>
        <v/>
      </c>
      <c r="BH77" s="635" t="str">
        <f>IF($A77="","",VLOOKUP($A77,기본데이타!$A$8:$BV$103,COLUMN(기본데이타!BL$8),0))</f>
        <v/>
      </c>
      <c r="BI77" s="635" t="str">
        <f>IF($A77="","",VLOOKUP($A77,기본데이타!$A$8:$BV$103,COLUMN(기본데이타!BM$8),0))</f>
        <v/>
      </c>
      <c r="BJ77" s="635" t="str">
        <f>IF($A77="","",VLOOKUP($A77,기본데이타!$A$8:$BV$103,COLUMN(기본데이타!BN$8),0))</f>
        <v/>
      </c>
      <c r="BK77" s="635" t="str">
        <f>IF($A77="","",VLOOKUP($A77,기본데이타!$A$8:$BV$103,COLUMN(기본데이타!BO$8),0))</f>
        <v/>
      </c>
      <c r="BL77" s="635" t="str">
        <f>IF($A77="","",VLOOKUP($A77,기본데이타!$A$8:$BV$103,COLUMN(기본데이타!BP$8),0))</f>
        <v/>
      </c>
      <c r="BM77" s="635" t="str">
        <f>IF($A77="","",VLOOKUP($A77,기본데이타!$A$8:$BV$103,COLUMN(기본데이타!BQ$8),0))</f>
        <v/>
      </c>
      <c r="BN77" s="638" t="str">
        <f>IF($A77="","",VLOOKUP($A77,기본데이타!$A$8:$BV$103,COLUMN(기본데이타!BR$8),0))</f>
        <v/>
      </c>
      <c r="BO77" s="579" t="str">
        <f>IF($A77="","",VLOOKUP($A77,기본데이타!$A$8:$BV$103,COLUMN(기본데이타!BS$8),0))</f>
        <v/>
      </c>
      <c r="BP77" s="639" t="str">
        <f>IF($A77="","",VLOOKUP($A77,기본데이타!$A$8:$BV$103,COLUMN(기본데이타!BT$8),0))</f>
        <v/>
      </c>
      <c r="BQ77" s="640" t="str">
        <f>IF($A77="","",VLOOKUP($A77,기본데이타!$A$8:$BV$103,COLUMN(기본데이타!BU$8),0))</f>
        <v/>
      </c>
      <c r="BR77" s="625" t="str">
        <f t="shared" si="7"/>
        <v/>
      </c>
      <c r="BU77" s="641"/>
    </row>
    <row r="78" spans="1:73" s="571" customFormat="1" ht="61.5" hidden="1" customHeight="1" outlineLevel="1">
      <c r="A78" s="578"/>
      <c r="B78" s="1642"/>
      <c r="C78" s="590"/>
      <c r="D78" s="591" t="str">
        <f>IF($A78="","",VLOOKUP($A78,기본데이타!$A$8:$BV$103,COLUMN(기본데이타!F$8),0))</f>
        <v/>
      </c>
      <c r="E78" s="592" t="str">
        <f>IF($A78="","",VLOOKUP($A78,기본데이타!$A$8:$BV$103,COLUMN(기본데이타!G$8),0))</f>
        <v/>
      </c>
      <c r="F78" s="593" t="str">
        <f>IF($A78="","",VLOOKUP($A78,기본데이타!$A$8:$BV$103,COLUMN(기본데이타!H$8),0))</f>
        <v/>
      </c>
      <c r="G78" s="594" t="str">
        <f>IF($A78="","",VLOOKUP($A78,기본데이타!$A$8:$BV$103,COLUMN(기본데이타!I$8),0))</f>
        <v/>
      </c>
      <c r="H78" s="594" t="str">
        <f>IF($A78="","",VLOOKUP($A78,기본데이타!$A$8:$BV$103,COLUMN(기본데이타!J$8),0))</f>
        <v/>
      </c>
      <c r="I78" s="595" t="str">
        <f>IF($A78="","",VLOOKUP($A78,기본데이타!$A$8:$BV$103,COLUMN(기본데이타!K$8),0))</f>
        <v/>
      </c>
      <c r="J78" s="595" t="str">
        <f>IF($A78="","",VLOOKUP($A78,기본데이타!$A$8:$BV$103,COLUMN(기본데이타!L$8),0))</f>
        <v/>
      </c>
      <c r="K78" s="595" t="str">
        <f>IF($A78="","",VLOOKUP($A78,기본데이타!$A$8:$BV$103,COLUMN(기본데이타!M$8),0))</f>
        <v/>
      </c>
      <c r="L78" s="596" t="str">
        <f>IF($A78="","",VLOOKUP($A78,기본데이타!$A$8:$BV$103,COLUMN(기본데이타!N$8),0))</f>
        <v/>
      </c>
      <c r="M78" s="595" t="str">
        <f>IF($A78="","",VLOOKUP($A78,기본데이타!$A$8:$BV$103,COLUMN(기본데이타!O$8),0))</f>
        <v/>
      </c>
      <c r="N78" s="596" t="str">
        <f>IF($A78="","",VLOOKUP($A78,기본데이타!$A$8:$BV$103,COLUMN(기본데이타!P$8),0))</f>
        <v/>
      </c>
      <c r="O78" s="596" t="str">
        <f>IF($A78="","",VLOOKUP($A78,기본데이타!$A$8:$BV$103,COLUMN(기본데이타!Q$8),0))</f>
        <v/>
      </c>
      <c r="P78" s="596" t="str">
        <f>IF($A78="","",VLOOKUP($A78,기본데이타!$A$8:$BV$103,COLUMN(기본데이타!R$8),0))</f>
        <v/>
      </c>
      <c r="Q78" s="596" t="str">
        <f>IF($A78="","",VLOOKUP($A78,기본데이타!$A$8:$BV$103,COLUMN(기본데이타!S$8),0))</f>
        <v/>
      </c>
      <c r="R78" s="596" t="str">
        <f>IF($A78="","",VLOOKUP($A78,기본데이타!$A$8:$BV$103,COLUMN(기본데이타!T$8),0))</f>
        <v/>
      </c>
      <c r="S78" s="596" t="str">
        <f>IF($A78="","",VLOOKUP($A78,기본데이타!$A$8:$BV$103,COLUMN(기본데이타!U$8),0))</f>
        <v/>
      </c>
      <c r="T78" s="596" t="str">
        <f>IF($A78="","",VLOOKUP($A78,기본데이타!$A$8:$BV$103,COLUMN(기본데이타!V$8),0))</f>
        <v/>
      </c>
      <c r="U78" s="596" t="str">
        <f>IF($A78="","",VLOOKUP($A78,기본데이타!$A$8:$BV$103,COLUMN(기본데이타!W$8),0))</f>
        <v/>
      </c>
      <c r="V78" s="596" t="str">
        <f>IF($A78="","",VLOOKUP($A78,기본데이타!$A$8:$BV$103,COLUMN(기본데이타!X$8),0))</f>
        <v/>
      </c>
      <c r="W78" s="596" t="str">
        <f>IF($A78="","",VLOOKUP($A78,기본데이타!$A$8:$BV$103,COLUMN(기본데이타!AA$8),0))</f>
        <v/>
      </c>
      <c r="X78" s="596" t="str">
        <f>IF($A78="","",VLOOKUP($A78,기본데이타!$A$8:$BV$103,COLUMN(기본데이타!AB$8),0))</f>
        <v/>
      </c>
      <c r="Y78" s="595" t="str">
        <f>IF($A78="","",VLOOKUP($A78,기본데이타!$A$8:$BV$103,COLUMN(기본데이타!AC$8),0))</f>
        <v/>
      </c>
      <c r="Z78" s="596" t="str">
        <f>IF($A78="","",VLOOKUP($A78,기본데이타!$A$8:$BV$103,COLUMN(기본데이타!AD$8),0))</f>
        <v/>
      </c>
      <c r="AA78" s="595" t="str">
        <f>IF($A78="","",VLOOKUP($A78,기본데이타!$A$8:$BV$103,COLUMN(기본데이타!AE$8),0))</f>
        <v/>
      </c>
      <c r="AB78" s="596" t="str">
        <f>IF($A78="","",VLOOKUP($A78,기본데이타!$A$8:$BV$103,COLUMN(기본데이타!AF$8),0))</f>
        <v/>
      </c>
      <c r="AC78" s="595" t="str">
        <f>IF($A78="","",VLOOKUP($A78,기본데이타!$A$8:$BV$103,COLUMN(기본데이타!AG$8),0))</f>
        <v/>
      </c>
      <c r="AD78" s="596" t="str">
        <f>IF($A78="","",VLOOKUP($A78,기본데이타!$A$8:$BV$103,COLUMN(기본데이타!AH$8),0))</f>
        <v/>
      </c>
      <c r="AE78" s="595" t="str">
        <f>IF($A78="","",VLOOKUP($A78,기본데이타!$A$8:$BV$103,COLUMN(기본데이타!AI$8),0))</f>
        <v/>
      </c>
      <c r="AF78" s="597" t="str">
        <f>IF($A78="","",VLOOKUP($A78,기본데이타!$A$8:$BV$103,COLUMN(기본데이타!AJ$8),0))</f>
        <v/>
      </c>
      <c r="AG78" s="580" t="str">
        <f>IF($A78="","",VLOOKUP($A78,기본데이타!$A$8:$BV$103,COLUMN(기본데이타!AK$8),0))</f>
        <v/>
      </c>
      <c r="AH78" s="580" t="str">
        <f>IF($A78="","",VLOOKUP($A78,기본데이타!$A$8:$BV$103,COLUMN(기본데이타!AL$8),0))</f>
        <v/>
      </c>
      <c r="AI78" s="580" t="str">
        <f>IF($A78="","",VLOOKUP($A78,기본데이타!$A$8:$BV$103,COLUMN(기본데이타!AM$8),0))</f>
        <v/>
      </c>
      <c r="AJ78" s="642" t="str">
        <f>IF($A78="","",VLOOKUP($A78,기본데이타!$A$8:$BV$103,COLUMN(기본데이타!AN$8),0))</f>
        <v/>
      </c>
      <c r="AK78" s="642" t="str">
        <f>IF($A78="","",VLOOKUP($A78,기본데이타!$A$8:$BV$103,COLUMN(기본데이타!AO$8),0))</f>
        <v/>
      </c>
      <c r="AL78" s="642" t="str">
        <f>IF($A78="","",VLOOKUP($A78,기본데이타!$A$8:$BV$103,COLUMN(기본데이타!AP$8),0))</f>
        <v/>
      </c>
      <c r="AM78" s="642" t="str">
        <f>IF($A78="","",VLOOKUP($A78,기본데이타!$A$8:$BV$103,COLUMN(기본데이타!AQ$8),0))</f>
        <v/>
      </c>
      <c r="AN78" s="642" t="str">
        <f>IF($A78="","",VLOOKUP($A78,기본데이타!$A$8:$BV$103,COLUMN(기본데이타!AR$8),0))</f>
        <v/>
      </c>
      <c r="AO78" s="642" t="str">
        <f>IF($A78="","",VLOOKUP($A78,기본데이타!$A$8:$BV$103,COLUMN(기본데이타!AS$8),0))</f>
        <v/>
      </c>
      <c r="AP78" s="642" t="str">
        <f>IF($A78="","",VLOOKUP($A78,기본데이타!$A$8:$BV$103,COLUMN(기본데이타!AT$8),0))</f>
        <v/>
      </c>
      <c r="AQ78" s="642" t="str">
        <f>IF($A78="","",VLOOKUP($A78,기본데이타!$A$8:$BV$103,COLUMN(기본데이타!AU$8),0))</f>
        <v/>
      </c>
      <c r="AR78" s="643" t="str">
        <f>IF($A78="","",VLOOKUP($A78,기본데이타!$A$8:$BV$103,COLUMN(기본데이타!AV$8),0))</f>
        <v/>
      </c>
      <c r="AS78" s="596" t="str">
        <f>IF($A78="","",VLOOKUP($A78,기본데이타!$A$8:$BV$103,COLUMN(기본데이타!AW$8),0))</f>
        <v/>
      </c>
      <c r="AT78" s="596" t="str">
        <f>IF($A78="","",VLOOKUP($A78,기본데이타!$A$8:$BV$103,COLUMN(기본데이타!AX$8),0))</f>
        <v/>
      </c>
      <c r="AU78" s="596" t="str">
        <f>IF($A78="","",VLOOKUP($A78,기본데이타!$A$8:$BV$103,COLUMN(기본데이타!AY$8),0))</f>
        <v/>
      </c>
      <c r="AV78" s="596" t="str">
        <f t="shared" si="6"/>
        <v/>
      </c>
      <c r="AW78" s="597" t="str">
        <f>IF($A78="","",VLOOKUP($A78,기본데이타!$A$8:$BV$103,COLUMN(기본데이타!BA$8),0))</f>
        <v/>
      </c>
      <c r="AX78" s="597" t="str">
        <f>IF($A78="","",VLOOKUP($A78,기본데이타!$A$8:$BV$103,COLUMN(기본데이타!BB$8),0))</f>
        <v/>
      </c>
      <c r="AY78" s="597" t="str">
        <f>IF($A78="","",VLOOKUP($A78,기본데이타!$A$8:$BV$103,COLUMN(기본데이타!BC$8),0))</f>
        <v/>
      </c>
      <c r="AZ78" s="597" t="str">
        <f>IF($A78="","",VLOOKUP($A78,기본데이타!$A$8:$BV$103,COLUMN(기본데이타!BD$8),0))</f>
        <v/>
      </c>
      <c r="BA78" s="597" t="str">
        <f>IF($A78="","",VLOOKUP($A78,기본데이타!$A$8:$BV$103,COLUMN(기본데이타!BE$8),0))</f>
        <v/>
      </c>
      <c r="BB78" s="597" t="str">
        <f>IF($A78="","",VLOOKUP($A78,기본데이타!$A$8:$BV$103,COLUMN(기본데이타!BF$8),0))</f>
        <v/>
      </c>
      <c r="BC78" s="597" t="str">
        <f>IF($A78="","",VLOOKUP($A78,기본데이타!$A$8:$BV$103,COLUMN(기본데이타!BG$8),0))</f>
        <v/>
      </c>
      <c r="BD78" s="1496" t="str">
        <f>IF($A78="","",VLOOKUP($A78,기본데이타!$A$8:$BV$103,COLUMN(기본데이타!BH$8),0))</f>
        <v/>
      </c>
      <c r="BE78" s="597" t="str">
        <f>IF($A78="","",VLOOKUP($A78,기본데이타!$A$8:$BV$103,COLUMN(기본데이타!BI$8),0))</f>
        <v/>
      </c>
      <c r="BF78" s="597" t="str">
        <f>IF($A78="","",VLOOKUP($A78,기본데이타!$A$8:$BV$103,COLUMN(기본데이타!BJ$8),0))</f>
        <v/>
      </c>
      <c r="BG78" s="597" t="str">
        <f>IF($A78="","",VLOOKUP($A78,기본데이타!$A$8:$BV$103,COLUMN(기본데이타!BK$8),0))</f>
        <v/>
      </c>
      <c r="BH78" s="597" t="str">
        <f>IF($A78="","",VLOOKUP($A78,기본데이타!$A$8:$BV$103,COLUMN(기본데이타!BL$8),0))</f>
        <v/>
      </c>
      <c r="BI78" s="597" t="str">
        <f>IF($A78="","",VLOOKUP($A78,기본데이타!$A$8:$BV$103,COLUMN(기본데이타!BM$8),0))</f>
        <v/>
      </c>
      <c r="BJ78" s="597" t="str">
        <f>IF($A78="","",VLOOKUP($A78,기본데이타!$A$8:$BV$103,COLUMN(기본데이타!BN$8),0))</f>
        <v/>
      </c>
      <c r="BK78" s="597" t="str">
        <f>IF($A78="","",VLOOKUP($A78,기본데이타!$A$8:$BV$103,COLUMN(기본데이타!BO$8),0))</f>
        <v/>
      </c>
      <c r="BL78" s="597" t="str">
        <f>IF($A78="","",VLOOKUP($A78,기본데이타!$A$8:$BV$103,COLUMN(기본데이타!BP$8),0))</f>
        <v/>
      </c>
      <c r="BM78" s="597" t="str">
        <f>IF($A78="","",VLOOKUP($A78,기본데이타!$A$8:$BV$103,COLUMN(기본데이타!BQ$8),0))</f>
        <v/>
      </c>
      <c r="BN78" s="599" t="str">
        <f>IF($A78="","",VLOOKUP($A78,기본데이타!$A$8:$BV$103,COLUMN(기본데이타!BR$8),0))</f>
        <v/>
      </c>
      <c r="BO78" s="600" t="str">
        <f>IF($A78="","",VLOOKUP($A78,기본데이타!$A$8:$BV$103,COLUMN(기본데이타!BS$8),0))</f>
        <v/>
      </c>
      <c r="BP78" s="623" t="str">
        <f>IF($A78="","",VLOOKUP($A78,기본데이타!$A$8:$BV$103,COLUMN(기본데이타!BT$8),0))</f>
        <v/>
      </c>
      <c r="BQ78" s="602" t="str">
        <f>IF($A78="","",VLOOKUP($A78,기본데이타!$A$8:$BV$103,COLUMN(기본데이타!BU$8),0))</f>
        <v/>
      </c>
      <c r="BR78" s="603" t="str">
        <f t="shared" si="7"/>
        <v/>
      </c>
    </row>
    <row r="79" spans="1:73" s="571" customFormat="1" ht="61.5" hidden="1" customHeight="1" outlineLevel="1">
      <c r="A79" s="578"/>
      <c r="B79" s="1642"/>
      <c r="C79" s="590"/>
      <c r="D79" s="591" t="str">
        <f>IF($A79="","",VLOOKUP($A79,기본데이타!$A$8:$BV$103,COLUMN(기본데이타!F$8),0))</f>
        <v/>
      </c>
      <c r="E79" s="592" t="str">
        <f>IF($A79="","",VLOOKUP($A79,기본데이타!$A$8:$BV$103,COLUMN(기본데이타!G$8),0))</f>
        <v/>
      </c>
      <c r="F79" s="593" t="str">
        <f>IF($A79="","",VLOOKUP($A79,기본데이타!$A$8:$BV$103,COLUMN(기본데이타!H$8),0))</f>
        <v/>
      </c>
      <c r="G79" s="594" t="str">
        <f>IF($A79="","",VLOOKUP($A79,기본데이타!$A$8:$BV$103,COLUMN(기본데이타!I$8),0))</f>
        <v/>
      </c>
      <c r="H79" s="594" t="str">
        <f>IF($A79="","",VLOOKUP($A79,기본데이타!$A$8:$BV$103,COLUMN(기본데이타!J$8),0))</f>
        <v/>
      </c>
      <c r="I79" s="595" t="str">
        <f>IF($A79="","",VLOOKUP($A79,기본데이타!$A$8:$BV$103,COLUMN(기본데이타!K$8),0))</f>
        <v/>
      </c>
      <c r="J79" s="595" t="str">
        <f>IF($A79="","",VLOOKUP($A79,기본데이타!$A$8:$BV$103,COLUMN(기본데이타!L$8),0))</f>
        <v/>
      </c>
      <c r="K79" s="595" t="str">
        <f>IF($A79="","",VLOOKUP($A79,기본데이타!$A$8:$BV$103,COLUMN(기본데이타!M$8),0))</f>
        <v/>
      </c>
      <c r="L79" s="596" t="str">
        <f>IF($A79="","",VLOOKUP($A79,기본데이타!$A$8:$BV$103,COLUMN(기본데이타!N$8),0))</f>
        <v/>
      </c>
      <c r="M79" s="595" t="str">
        <f>IF($A79="","",VLOOKUP($A79,기본데이타!$A$8:$BV$103,COLUMN(기본데이타!O$8),0))</f>
        <v/>
      </c>
      <c r="N79" s="596" t="str">
        <f>IF($A79="","",VLOOKUP($A79,기본데이타!$A$8:$BV$103,COLUMN(기본데이타!P$8),0))</f>
        <v/>
      </c>
      <c r="O79" s="596" t="str">
        <f>IF($A79="","",VLOOKUP($A79,기본데이타!$A$8:$BV$103,COLUMN(기본데이타!Q$8),0))</f>
        <v/>
      </c>
      <c r="P79" s="596" t="str">
        <f>IF($A79="","",VLOOKUP($A79,기본데이타!$A$8:$BV$103,COLUMN(기본데이타!R$8),0))</f>
        <v/>
      </c>
      <c r="Q79" s="596" t="str">
        <f>IF($A79="","",VLOOKUP($A79,기본데이타!$A$8:$BV$103,COLUMN(기본데이타!S$8),0))</f>
        <v/>
      </c>
      <c r="R79" s="596" t="str">
        <f>IF($A79="","",VLOOKUP($A79,기본데이타!$A$8:$BV$103,COLUMN(기본데이타!T$8),0))</f>
        <v/>
      </c>
      <c r="S79" s="596" t="str">
        <f>IF($A79="","",VLOOKUP($A79,기본데이타!$A$8:$BV$103,COLUMN(기본데이타!U$8),0))</f>
        <v/>
      </c>
      <c r="T79" s="596" t="str">
        <f>IF($A79="","",VLOOKUP($A79,기본데이타!$A$8:$BV$103,COLUMN(기본데이타!V$8),0))</f>
        <v/>
      </c>
      <c r="U79" s="596" t="str">
        <f>IF($A79="","",VLOOKUP($A79,기본데이타!$A$8:$BV$103,COLUMN(기본데이타!W$8),0))</f>
        <v/>
      </c>
      <c r="V79" s="596" t="str">
        <f>IF($A79="","",VLOOKUP($A79,기본데이타!$A$8:$BV$103,COLUMN(기본데이타!X$8),0))</f>
        <v/>
      </c>
      <c r="W79" s="596" t="str">
        <f>IF($A79="","",VLOOKUP($A79,기본데이타!$A$8:$BV$103,COLUMN(기본데이타!AA$8),0))</f>
        <v/>
      </c>
      <c r="X79" s="596" t="str">
        <f>IF($A79="","",VLOOKUP($A79,기본데이타!$A$8:$BV$103,COLUMN(기본데이타!AB$8),0))</f>
        <v/>
      </c>
      <c r="Y79" s="595" t="str">
        <f>IF($A79="","",VLOOKUP($A79,기본데이타!$A$8:$BV$103,COLUMN(기본데이타!AC$8),0))</f>
        <v/>
      </c>
      <c r="Z79" s="596" t="str">
        <f>IF($A79="","",VLOOKUP($A79,기본데이타!$A$8:$BV$103,COLUMN(기본데이타!AD$8),0))</f>
        <v/>
      </c>
      <c r="AA79" s="595" t="str">
        <f>IF($A79="","",VLOOKUP($A79,기본데이타!$A$8:$BV$103,COLUMN(기본데이타!AE$8),0))</f>
        <v/>
      </c>
      <c r="AB79" s="596" t="str">
        <f>IF($A79="","",VLOOKUP($A79,기본데이타!$A$8:$BV$103,COLUMN(기본데이타!AF$8),0))</f>
        <v/>
      </c>
      <c r="AC79" s="595" t="str">
        <f>IF($A79="","",VLOOKUP($A79,기본데이타!$A$8:$BV$103,COLUMN(기본데이타!AG$8),0))</f>
        <v/>
      </c>
      <c r="AD79" s="596" t="str">
        <f>IF($A79="","",VLOOKUP($A79,기본데이타!$A$8:$BV$103,COLUMN(기본데이타!AH$8),0))</f>
        <v/>
      </c>
      <c r="AE79" s="595" t="str">
        <f>IF($A79="","",VLOOKUP($A79,기본데이타!$A$8:$BV$103,COLUMN(기본데이타!AI$8),0))</f>
        <v/>
      </c>
      <c r="AF79" s="597" t="str">
        <f>IF($A79="","",VLOOKUP($A79,기본데이타!$A$8:$BV$103,COLUMN(기본데이타!AJ$8),0))</f>
        <v/>
      </c>
      <c r="AG79" s="580" t="str">
        <f>IF($A79="","",VLOOKUP($A79,기본데이타!$A$8:$BV$103,COLUMN(기본데이타!AK$8),0))</f>
        <v/>
      </c>
      <c r="AH79" s="580" t="str">
        <f>IF($A79="","",VLOOKUP($A79,기본데이타!$A$8:$BV$103,COLUMN(기본데이타!AL$8),0))</f>
        <v/>
      </c>
      <c r="AI79" s="580" t="str">
        <f>IF($A79="","",VLOOKUP($A79,기본데이타!$A$8:$BV$103,COLUMN(기본데이타!AM$8),0))</f>
        <v/>
      </c>
      <c r="AJ79" s="636" t="str">
        <f>IF($A79="","",VLOOKUP($A79,기본데이타!$A$8:$BV$103,COLUMN(기본데이타!AN$8),0))</f>
        <v/>
      </c>
      <c r="AK79" s="636" t="str">
        <f>IF($A79="","",VLOOKUP($A79,기본데이타!$A$8:$BV$103,COLUMN(기본데이타!AO$8),0))</f>
        <v/>
      </c>
      <c r="AL79" s="636" t="str">
        <f>IF($A79="","",VLOOKUP($A79,기본데이타!$A$8:$BV$103,COLUMN(기본데이타!AP$8),0))</f>
        <v/>
      </c>
      <c r="AM79" s="636" t="str">
        <f>IF($A79="","",VLOOKUP($A79,기본데이타!$A$8:$BV$103,COLUMN(기본데이타!AQ$8),0))</f>
        <v/>
      </c>
      <c r="AN79" s="636" t="str">
        <f>IF($A79="","",VLOOKUP($A79,기본데이타!$A$8:$BV$103,COLUMN(기본데이타!AR$8),0))</f>
        <v/>
      </c>
      <c r="AO79" s="636" t="str">
        <f>IF($A79="","",VLOOKUP($A79,기본데이타!$A$8:$BV$103,COLUMN(기본데이타!AS$8),0))</f>
        <v/>
      </c>
      <c r="AP79" s="636" t="str">
        <f>IF($A79="","",VLOOKUP($A79,기본데이타!$A$8:$BV$103,COLUMN(기본데이타!AT$8),0))</f>
        <v/>
      </c>
      <c r="AQ79" s="636" t="str">
        <f>IF($A79="","",VLOOKUP($A79,기본데이타!$A$8:$BV$103,COLUMN(기본데이타!AU$8),0))</f>
        <v/>
      </c>
      <c r="AR79" s="637" t="str">
        <f>IF($A79="","",VLOOKUP($A79,기본데이타!$A$8:$BV$103,COLUMN(기본데이타!AV$8),0))</f>
        <v/>
      </c>
      <c r="AS79" s="596" t="str">
        <f>IF($A79="","",VLOOKUP($A79,기본데이타!$A$8:$BV$103,COLUMN(기본데이타!AW$8),0))</f>
        <v/>
      </c>
      <c r="AT79" s="596" t="str">
        <f>IF($A79="","",VLOOKUP($A79,기본데이타!$A$8:$BV$103,COLUMN(기본데이타!AX$8),0))</f>
        <v/>
      </c>
      <c r="AU79" s="596" t="str">
        <f>IF($A79="","",VLOOKUP($A79,기본데이타!$A$8:$BV$103,COLUMN(기본데이타!AY$8),0))</f>
        <v/>
      </c>
      <c r="AV79" s="596" t="str">
        <f t="shared" si="6"/>
        <v/>
      </c>
      <c r="AW79" s="597" t="str">
        <f>IF($A79="","",VLOOKUP($A79,기본데이타!$A$8:$BV$103,COLUMN(기본데이타!BA$8),0))</f>
        <v/>
      </c>
      <c r="AX79" s="597" t="str">
        <f>IF($A79="","",VLOOKUP($A79,기본데이타!$A$8:$BV$103,COLUMN(기본데이타!BB$8),0))</f>
        <v/>
      </c>
      <c r="AY79" s="597" t="str">
        <f>IF($A79="","",VLOOKUP($A79,기본데이타!$A$8:$BV$103,COLUMN(기본데이타!BC$8),0))</f>
        <v/>
      </c>
      <c r="AZ79" s="597" t="str">
        <f>IF($A79="","",VLOOKUP($A79,기본데이타!$A$8:$BV$103,COLUMN(기본데이타!BD$8),0))</f>
        <v/>
      </c>
      <c r="BA79" s="597" t="str">
        <f>IF($A79="","",VLOOKUP($A79,기본데이타!$A$8:$BV$103,COLUMN(기본데이타!BE$8),0))</f>
        <v/>
      </c>
      <c r="BB79" s="597" t="str">
        <f>IF($A79="","",VLOOKUP($A79,기본데이타!$A$8:$BV$103,COLUMN(기본데이타!BF$8),0))</f>
        <v/>
      </c>
      <c r="BC79" s="597" t="str">
        <f>IF($A79="","",VLOOKUP($A79,기본데이타!$A$8:$BV$103,COLUMN(기본데이타!BG$8),0))</f>
        <v/>
      </c>
      <c r="BD79" s="1496" t="str">
        <f>IF($A79="","",VLOOKUP($A79,기본데이타!$A$8:$BV$103,COLUMN(기본데이타!BH$8),0))</f>
        <v/>
      </c>
      <c r="BE79" s="597" t="str">
        <f>IF($A79="","",VLOOKUP($A79,기본데이타!$A$8:$BV$103,COLUMN(기본데이타!BI$8),0))</f>
        <v/>
      </c>
      <c r="BF79" s="597" t="str">
        <f>IF($A79="","",VLOOKUP($A79,기본데이타!$A$8:$BV$103,COLUMN(기본데이타!BJ$8),0))</f>
        <v/>
      </c>
      <c r="BG79" s="597" t="str">
        <f>IF($A79="","",VLOOKUP($A79,기본데이타!$A$8:$BV$103,COLUMN(기본데이타!BK$8),0))</f>
        <v/>
      </c>
      <c r="BH79" s="597" t="str">
        <f>IF($A79="","",VLOOKUP($A79,기본데이타!$A$8:$BV$103,COLUMN(기본데이타!BL$8),0))</f>
        <v/>
      </c>
      <c r="BI79" s="597" t="str">
        <f>IF($A79="","",VLOOKUP($A79,기본데이타!$A$8:$BV$103,COLUMN(기본데이타!BM$8),0))</f>
        <v/>
      </c>
      <c r="BJ79" s="597" t="str">
        <f>IF($A79="","",VLOOKUP($A79,기본데이타!$A$8:$BV$103,COLUMN(기본데이타!BN$8),0))</f>
        <v/>
      </c>
      <c r="BK79" s="597" t="str">
        <f>IF($A79="","",VLOOKUP($A79,기본데이타!$A$8:$BV$103,COLUMN(기본데이타!BO$8),0))</f>
        <v/>
      </c>
      <c r="BL79" s="597" t="str">
        <f>IF($A79="","",VLOOKUP($A79,기본데이타!$A$8:$BV$103,COLUMN(기본데이타!BP$8),0))</f>
        <v/>
      </c>
      <c r="BM79" s="597" t="str">
        <f>IF($A79="","",VLOOKUP($A79,기본데이타!$A$8:$BV$103,COLUMN(기본데이타!BQ$8),0))</f>
        <v/>
      </c>
      <c r="BN79" s="599" t="str">
        <f>IF($A79="","",VLOOKUP($A79,기본데이타!$A$8:$BV$103,COLUMN(기본데이타!BR$8),0))</f>
        <v/>
      </c>
      <c r="BO79" s="600" t="str">
        <f>IF($A79="","",VLOOKUP($A79,기본데이타!$A$8:$BV$103,COLUMN(기본데이타!BS$8),0))</f>
        <v/>
      </c>
      <c r="BP79" s="623" t="str">
        <f>IF($A79="","",VLOOKUP($A79,기본데이타!$A$8:$BV$103,COLUMN(기본데이타!BT$8),0))</f>
        <v/>
      </c>
      <c r="BQ79" s="602" t="str">
        <f>IF($A79="","",VLOOKUP($A79,기본데이타!$A$8:$BV$103,COLUMN(기본데이타!BU$8),0))</f>
        <v/>
      </c>
      <c r="BR79" s="603" t="str">
        <f t="shared" si="7"/>
        <v/>
      </c>
    </row>
    <row r="80" spans="1:73" s="571" customFormat="1" ht="61.5" hidden="1" customHeight="1" outlineLevel="1">
      <c r="A80" s="578"/>
      <c r="B80" s="1642"/>
      <c r="C80" s="590"/>
      <c r="D80" s="591" t="str">
        <f>IF($A80="","",VLOOKUP($A80,기본데이타!$A$8:$BV$103,COLUMN(기본데이타!F$8),0))</f>
        <v/>
      </c>
      <c r="E80" s="592" t="str">
        <f>IF($A80="","",VLOOKUP($A80,기본데이타!$A$8:$BV$103,COLUMN(기본데이타!G$8),0))</f>
        <v/>
      </c>
      <c r="F80" s="593" t="str">
        <f>IF($A80="","",VLOOKUP($A80,기본데이타!$A$8:$BV$103,COLUMN(기본데이타!H$8),0))</f>
        <v/>
      </c>
      <c r="G80" s="594" t="str">
        <f>IF($A80="","",VLOOKUP($A80,기본데이타!$A$8:$BV$103,COLUMN(기본데이타!I$8),0))</f>
        <v/>
      </c>
      <c r="H80" s="594" t="str">
        <f>IF($A80="","",VLOOKUP($A80,기본데이타!$A$8:$BV$103,COLUMN(기본데이타!J$8),0))</f>
        <v/>
      </c>
      <c r="I80" s="595" t="str">
        <f>IF($A80="","",VLOOKUP($A80,기본데이타!$A$8:$BV$103,COLUMN(기본데이타!K$8),0))</f>
        <v/>
      </c>
      <c r="J80" s="595" t="str">
        <f>IF($A80="","",VLOOKUP($A80,기본데이타!$A$8:$BV$103,COLUMN(기본데이타!L$8),0))</f>
        <v/>
      </c>
      <c r="K80" s="595" t="str">
        <f>IF($A80="","",VLOOKUP($A80,기본데이타!$A$8:$BV$103,COLUMN(기본데이타!M$8),0))</f>
        <v/>
      </c>
      <c r="L80" s="596" t="str">
        <f>IF($A80="","",VLOOKUP($A80,기본데이타!$A$8:$BV$103,COLUMN(기본데이타!N$8),0))</f>
        <v/>
      </c>
      <c r="M80" s="595" t="str">
        <f>IF($A80="","",VLOOKUP($A80,기본데이타!$A$8:$BV$103,COLUMN(기본데이타!O$8),0))</f>
        <v/>
      </c>
      <c r="N80" s="596" t="str">
        <f>IF($A80="","",VLOOKUP($A80,기본데이타!$A$8:$BV$103,COLUMN(기본데이타!P$8),0))</f>
        <v/>
      </c>
      <c r="O80" s="596" t="str">
        <f>IF($A80="","",VLOOKUP($A80,기본데이타!$A$8:$BV$103,COLUMN(기본데이타!Q$8),0))</f>
        <v/>
      </c>
      <c r="P80" s="596" t="str">
        <f>IF($A80="","",VLOOKUP($A80,기본데이타!$A$8:$BV$103,COLUMN(기본데이타!R$8),0))</f>
        <v/>
      </c>
      <c r="Q80" s="596" t="str">
        <f>IF($A80="","",VLOOKUP($A80,기본데이타!$A$8:$BV$103,COLUMN(기본데이타!S$8),0))</f>
        <v/>
      </c>
      <c r="R80" s="596" t="str">
        <f>IF($A80="","",VLOOKUP($A80,기본데이타!$A$8:$BV$103,COLUMN(기본데이타!T$8),0))</f>
        <v/>
      </c>
      <c r="S80" s="596" t="str">
        <f>IF($A80="","",VLOOKUP($A80,기본데이타!$A$8:$BV$103,COLUMN(기본데이타!U$8),0))</f>
        <v/>
      </c>
      <c r="T80" s="596" t="str">
        <f>IF($A80="","",VLOOKUP($A80,기본데이타!$A$8:$BV$103,COLUMN(기본데이타!V$8),0))</f>
        <v/>
      </c>
      <c r="U80" s="596" t="str">
        <f>IF($A80="","",VLOOKUP($A80,기본데이타!$A$8:$BV$103,COLUMN(기본데이타!W$8),0))</f>
        <v/>
      </c>
      <c r="V80" s="596" t="str">
        <f>IF($A80="","",VLOOKUP($A80,기본데이타!$A$8:$BV$103,COLUMN(기본데이타!X$8),0))</f>
        <v/>
      </c>
      <c r="W80" s="596" t="str">
        <f>IF($A80="","",VLOOKUP($A80,기본데이타!$A$8:$BV$103,COLUMN(기본데이타!AA$8),0))</f>
        <v/>
      </c>
      <c r="X80" s="596" t="str">
        <f>IF($A80="","",VLOOKUP($A80,기본데이타!$A$8:$BV$103,COLUMN(기본데이타!AB$8),0))</f>
        <v/>
      </c>
      <c r="Y80" s="595" t="str">
        <f>IF($A80="","",VLOOKUP($A80,기본데이타!$A$8:$BV$103,COLUMN(기본데이타!AC$8),0))</f>
        <v/>
      </c>
      <c r="Z80" s="596" t="str">
        <f>IF($A80="","",VLOOKUP($A80,기본데이타!$A$8:$BV$103,COLUMN(기본데이타!AD$8),0))</f>
        <v/>
      </c>
      <c r="AA80" s="595" t="str">
        <f>IF($A80="","",VLOOKUP($A80,기본데이타!$A$8:$BV$103,COLUMN(기본데이타!AE$8),0))</f>
        <v/>
      </c>
      <c r="AB80" s="596" t="str">
        <f>IF($A80="","",VLOOKUP($A80,기본데이타!$A$8:$BV$103,COLUMN(기본데이타!AF$8),0))</f>
        <v/>
      </c>
      <c r="AC80" s="595" t="str">
        <f>IF($A80="","",VLOOKUP($A80,기본데이타!$A$8:$BV$103,COLUMN(기본데이타!AG$8),0))</f>
        <v/>
      </c>
      <c r="AD80" s="596" t="str">
        <f>IF($A80="","",VLOOKUP($A80,기본데이타!$A$8:$BV$103,COLUMN(기본데이타!AH$8),0))</f>
        <v/>
      </c>
      <c r="AE80" s="595" t="str">
        <f>IF($A80="","",VLOOKUP($A80,기본데이타!$A$8:$BV$103,COLUMN(기본데이타!AI$8),0))</f>
        <v/>
      </c>
      <c r="AF80" s="597" t="str">
        <f>IF($A80="","",VLOOKUP($A80,기본데이타!$A$8:$BV$103,COLUMN(기본데이타!AJ$8),0))</f>
        <v/>
      </c>
      <c r="AG80" s="624" t="str">
        <f>IF($A80="","",VLOOKUP($A80,기본데이타!$A$8:$BV$103,COLUMN(기본데이타!AK$8),0))</f>
        <v/>
      </c>
      <c r="AH80" s="624" t="str">
        <f>IF($A80="","",VLOOKUP($A80,기본데이타!$A$8:$BV$103,COLUMN(기본데이타!AL$8),0))</f>
        <v/>
      </c>
      <c r="AI80" s="624" t="str">
        <f>IF($A80="","",VLOOKUP($A80,기본데이타!$A$8:$BV$103,COLUMN(기본데이타!AM$8),0))</f>
        <v/>
      </c>
      <c r="AJ80" s="636" t="str">
        <f>IF($A80="","",VLOOKUP($A80,기본데이타!$A$8:$BV$103,COLUMN(기본데이타!AN$8),0))</f>
        <v/>
      </c>
      <c r="AK80" s="636" t="str">
        <f>IF($A80="","",VLOOKUP($A80,기본데이타!$A$8:$BV$103,COLUMN(기본데이타!AO$8),0))</f>
        <v/>
      </c>
      <c r="AL80" s="636" t="str">
        <f>IF($A80="","",VLOOKUP($A80,기본데이타!$A$8:$BV$103,COLUMN(기본데이타!AP$8),0))</f>
        <v/>
      </c>
      <c r="AM80" s="636" t="str">
        <f>IF($A80="","",VLOOKUP($A80,기본데이타!$A$8:$BV$103,COLUMN(기본데이타!AQ$8),0))</f>
        <v/>
      </c>
      <c r="AN80" s="636" t="str">
        <f>IF($A80="","",VLOOKUP($A80,기본데이타!$A$8:$BV$103,COLUMN(기본데이타!AR$8),0))</f>
        <v/>
      </c>
      <c r="AO80" s="636" t="str">
        <f>IF($A80="","",VLOOKUP($A80,기본데이타!$A$8:$BV$103,COLUMN(기본데이타!AS$8),0))</f>
        <v/>
      </c>
      <c r="AP80" s="636" t="str">
        <f>IF($A80="","",VLOOKUP($A80,기본데이타!$A$8:$BV$103,COLUMN(기본데이타!AT$8),0))</f>
        <v/>
      </c>
      <c r="AQ80" s="636" t="str">
        <f>IF($A80="","",VLOOKUP($A80,기본데이타!$A$8:$BV$103,COLUMN(기본데이타!AU$8),0))</f>
        <v/>
      </c>
      <c r="AR80" s="637" t="str">
        <f>IF($A80="","",VLOOKUP($A80,기본데이타!$A$8:$BV$103,COLUMN(기본데이타!AV$8),0))</f>
        <v/>
      </c>
      <c r="AS80" s="596" t="str">
        <f>IF($A80="","",VLOOKUP($A80,기본데이타!$A$8:$BV$103,COLUMN(기본데이타!AW$8),0))</f>
        <v/>
      </c>
      <c r="AT80" s="596" t="str">
        <f>IF($A80="","",VLOOKUP($A80,기본데이타!$A$8:$BV$103,COLUMN(기본데이타!AX$8),0))</f>
        <v/>
      </c>
      <c r="AU80" s="596" t="str">
        <f>IF($A80="","",VLOOKUP($A80,기본데이타!$A$8:$BV$103,COLUMN(기본데이타!AY$8),0))</f>
        <v/>
      </c>
      <c r="AV80" s="596" t="str">
        <f t="shared" si="6"/>
        <v/>
      </c>
      <c r="AW80" s="597" t="str">
        <f>IF($A80="","",VLOOKUP($A80,기본데이타!$A$8:$BV$103,COLUMN(기본데이타!BA$8),0))</f>
        <v/>
      </c>
      <c r="AX80" s="597" t="str">
        <f>IF($A80="","",VLOOKUP($A80,기본데이타!$A$8:$BV$103,COLUMN(기본데이타!BB$8),0))</f>
        <v/>
      </c>
      <c r="AY80" s="597" t="str">
        <f>IF($A80="","",VLOOKUP($A80,기본데이타!$A$8:$BV$103,COLUMN(기본데이타!BC$8),0))</f>
        <v/>
      </c>
      <c r="AZ80" s="597" t="str">
        <f>IF($A80="","",VLOOKUP($A80,기본데이타!$A$8:$BV$103,COLUMN(기본데이타!BD$8),0))</f>
        <v/>
      </c>
      <c r="BA80" s="597" t="str">
        <f>IF($A80="","",VLOOKUP($A80,기본데이타!$A$8:$BV$103,COLUMN(기본데이타!BE$8),0))</f>
        <v/>
      </c>
      <c r="BB80" s="597" t="str">
        <f>IF($A80="","",VLOOKUP($A80,기본데이타!$A$8:$BV$103,COLUMN(기본데이타!BF$8),0))</f>
        <v/>
      </c>
      <c r="BC80" s="597" t="str">
        <f>IF($A80="","",VLOOKUP($A80,기본데이타!$A$8:$BV$103,COLUMN(기본데이타!BG$8),0))</f>
        <v/>
      </c>
      <c r="BD80" s="1496" t="str">
        <f>IF($A80="","",VLOOKUP($A80,기본데이타!$A$8:$BV$103,COLUMN(기본데이타!BH$8),0))</f>
        <v/>
      </c>
      <c r="BE80" s="597" t="str">
        <f>IF($A80="","",VLOOKUP($A80,기본데이타!$A$8:$BV$103,COLUMN(기본데이타!BI$8),0))</f>
        <v/>
      </c>
      <c r="BF80" s="597" t="str">
        <f>IF($A80="","",VLOOKUP($A80,기본데이타!$A$8:$BV$103,COLUMN(기본데이타!BJ$8),0))</f>
        <v/>
      </c>
      <c r="BG80" s="597" t="str">
        <f>IF($A80="","",VLOOKUP($A80,기본데이타!$A$8:$BV$103,COLUMN(기본데이타!BK$8),0))</f>
        <v/>
      </c>
      <c r="BH80" s="597" t="str">
        <f>IF($A80="","",VLOOKUP($A80,기본데이타!$A$8:$BV$103,COLUMN(기본데이타!BL$8),0))</f>
        <v/>
      </c>
      <c r="BI80" s="597" t="str">
        <f>IF($A80="","",VLOOKUP($A80,기본데이타!$A$8:$BV$103,COLUMN(기본데이타!BM$8),0))</f>
        <v/>
      </c>
      <c r="BJ80" s="597" t="str">
        <f>IF($A80="","",VLOOKUP($A80,기본데이타!$A$8:$BV$103,COLUMN(기본데이타!BN$8),0))</f>
        <v/>
      </c>
      <c r="BK80" s="597" t="str">
        <f>IF($A80="","",VLOOKUP($A80,기본데이타!$A$8:$BV$103,COLUMN(기본데이타!BO$8),0))</f>
        <v/>
      </c>
      <c r="BL80" s="597" t="str">
        <f>IF($A80="","",VLOOKUP($A80,기본데이타!$A$8:$BV$103,COLUMN(기본데이타!BP$8),0))</f>
        <v/>
      </c>
      <c r="BM80" s="597" t="str">
        <f>IF($A80="","",VLOOKUP($A80,기본데이타!$A$8:$BV$103,COLUMN(기본데이타!BQ$8),0))</f>
        <v/>
      </c>
      <c r="BN80" s="599" t="str">
        <f>IF($A80="","",VLOOKUP($A80,기본데이타!$A$8:$BV$103,COLUMN(기본데이타!BR$8),0))</f>
        <v/>
      </c>
      <c r="BO80" s="600" t="str">
        <f>IF($A80="","",VLOOKUP($A80,기본데이타!$A$8:$BV$103,COLUMN(기본데이타!BS$8),0))</f>
        <v/>
      </c>
      <c r="BP80" s="623" t="str">
        <f>IF($A80="","",VLOOKUP($A80,기본데이타!$A$8:$BV$103,COLUMN(기본데이타!BT$8),0))</f>
        <v/>
      </c>
      <c r="BQ80" s="602" t="str">
        <f>IF($A80="","",VLOOKUP($A80,기본데이타!$A$8:$BV$103,COLUMN(기본데이타!BU$8),0))</f>
        <v/>
      </c>
      <c r="BR80" s="603" t="str">
        <f t="shared" si="7"/>
        <v/>
      </c>
    </row>
    <row r="81" spans="1:73" s="571" customFormat="1" ht="61.5" hidden="1" customHeight="1" outlineLevel="1">
      <c r="A81" s="578"/>
      <c r="B81" s="1642"/>
      <c r="C81" s="1524" t="s">
        <v>403</v>
      </c>
      <c r="D81" s="1490" t="str">
        <f>IF($A81="","",VLOOKUP($A81,기본데이타!$A$8:$BV$103,COLUMN(기본데이타!F$8),0))</f>
        <v/>
      </c>
      <c r="E81" s="1491" t="str">
        <f>IF($A81="","",VLOOKUP($A81,기본데이타!$A$8:$BV$103,COLUMN(기본데이타!G$8),0))</f>
        <v/>
      </c>
      <c r="F81" s="1492" t="str">
        <f>IF($A81="","",VLOOKUP($A81,기본데이타!$A$8:$BV$103,COLUMN(기본데이타!H$8),0))</f>
        <v/>
      </c>
      <c r="G81" s="1493" t="str">
        <f>IF($A81="","",VLOOKUP($A81,기본데이타!$A$8:$BV$103,COLUMN(기본데이타!I$8),0))</f>
        <v/>
      </c>
      <c r="H81" s="1493" t="str">
        <f>IF($A81="","",VLOOKUP($A81,기본데이타!$A$8:$BV$103,COLUMN(기본데이타!J$8),0))</f>
        <v/>
      </c>
      <c r="I81" s="1494" t="str">
        <f>IF($A81="","",VLOOKUP($A81,기본데이타!$A$8:$BV$103,COLUMN(기본데이타!K$8),0))</f>
        <v/>
      </c>
      <c r="J81" s="1494" t="str">
        <f>IF($A81="","",VLOOKUP($A81,기본데이타!$A$8:$BV$103,COLUMN(기본데이타!L$8),0))</f>
        <v/>
      </c>
      <c r="K81" s="1494" t="str">
        <f>IF($A81="","",VLOOKUP($A81,기본데이타!$A$8:$BV$103,COLUMN(기본데이타!M$8),0))</f>
        <v/>
      </c>
      <c r="L81" s="1495" t="str">
        <f>IF($A81="","",VLOOKUP($A81,기본데이타!$A$8:$BV$103,COLUMN(기본데이타!N$8),0))</f>
        <v/>
      </c>
      <c r="M81" s="1494" t="str">
        <f>IF($A81="","",VLOOKUP($A81,기본데이타!$A$8:$BV$103,COLUMN(기본데이타!O$8),0))</f>
        <v/>
      </c>
      <c r="N81" s="1495" t="str">
        <f>IF($A81="","",VLOOKUP($A81,기본데이타!$A$8:$BV$103,COLUMN(기본데이타!P$8),0))</f>
        <v/>
      </c>
      <c r="O81" s="1495" t="str">
        <f>IF($A81="","",VLOOKUP($A81,기본데이타!$A$8:$BV$103,COLUMN(기본데이타!Q$8),0))</f>
        <v/>
      </c>
      <c r="P81" s="1495" t="str">
        <f>IF($A81="","",VLOOKUP($A81,기본데이타!$A$8:$BV$103,COLUMN(기본데이타!R$8),0))</f>
        <v/>
      </c>
      <c r="Q81" s="1495" t="str">
        <f>IF($A81="","",VLOOKUP($A81,기본데이타!$A$8:$BV$103,COLUMN(기본데이타!S$8),0))</f>
        <v/>
      </c>
      <c r="R81" s="1495" t="str">
        <f>IF($A81="","",VLOOKUP($A81,기본데이타!$A$8:$BV$103,COLUMN(기본데이타!T$8),0))</f>
        <v/>
      </c>
      <c r="S81" s="1495" t="str">
        <f>IF($A81="","",VLOOKUP($A81,기본데이타!$A$8:$BV$103,COLUMN(기본데이타!U$8),0))</f>
        <v/>
      </c>
      <c r="T81" s="1495" t="str">
        <f>IF($A81="","",VLOOKUP($A81,기본데이타!$A$8:$BV$103,COLUMN(기본데이타!V$8),0))</f>
        <v/>
      </c>
      <c r="U81" s="1495" t="str">
        <f>IF($A81="","",VLOOKUP($A81,기본데이타!$A$8:$BV$103,COLUMN(기본데이타!W$8),0))</f>
        <v/>
      </c>
      <c r="V81" s="1495" t="str">
        <f>IF($A81="","",VLOOKUP($A81,기본데이타!$A$8:$BV$103,COLUMN(기본데이타!X$8),0))</f>
        <v/>
      </c>
      <c r="W81" s="1495" t="str">
        <f>IF($A81="","",VLOOKUP($A81,기본데이타!$A$8:$BV$103,COLUMN(기본데이타!AA$8),0))</f>
        <v/>
      </c>
      <c r="X81" s="1495" t="str">
        <f>IF($A81="","",VLOOKUP($A81,기본데이타!$A$8:$BV$103,COLUMN(기본데이타!AB$8),0))</f>
        <v/>
      </c>
      <c r="Y81" s="1494" t="str">
        <f>IF($A81="","",VLOOKUP($A81,기본데이타!$A$8:$BV$103,COLUMN(기본데이타!AC$8),0))</f>
        <v/>
      </c>
      <c r="Z81" s="1495" t="str">
        <f>IF($A81="","",VLOOKUP($A81,기본데이타!$A$8:$BV$103,COLUMN(기본데이타!AD$8),0))</f>
        <v/>
      </c>
      <c r="AA81" s="1494" t="str">
        <f>IF($A81="","",VLOOKUP($A81,기본데이타!$A$8:$BV$103,COLUMN(기본데이타!AE$8),0))</f>
        <v/>
      </c>
      <c r="AB81" s="1495" t="str">
        <f>IF($A81="","",VLOOKUP($A81,기본데이타!$A$8:$BV$103,COLUMN(기본데이타!AF$8),0))</f>
        <v/>
      </c>
      <c r="AC81" s="1494" t="str">
        <f>IF($A81="","",VLOOKUP($A81,기본데이타!$A$8:$BV$103,COLUMN(기본데이타!AG$8),0))</f>
        <v/>
      </c>
      <c r="AD81" s="1495" t="str">
        <f>IF($A81="","",VLOOKUP($A81,기본데이타!$A$8:$BV$103,COLUMN(기본데이타!AH$8),0))</f>
        <v/>
      </c>
      <c r="AE81" s="1494" t="str">
        <f>IF($A81="","",VLOOKUP($A81,기본데이타!$A$8:$BV$103,COLUMN(기본데이타!AI$8),0))</f>
        <v/>
      </c>
      <c r="AF81" s="1496" t="str">
        <f>IF($A81="","",VLOOKUP($A81,기본데이타!$A$8:$BV$103,COLUMN(기본데이타!AJ$8),0))</f>
        <v/>
      </c>
      <c r="AG81" s="597" t="str">
        <f>IF($A81="","",VLOOKUP($A81,기본데이타!$A$8:$BV$103,COLUMN(기본데이타!AK$8),0))</f>
        <v/>
      </c>
      <c r="AH81" s="597" t="str">
        <f>IF($A81="","",VLOOKUP($A81,기본데이타!$A$8:$BV$103,COLUMN(기본데이타!AL$8),0))</f>
        <v/>
      </c>
      <c r="AI81" s="597" t="str">
        <f>IF($A81="","",VLOOKUP($A81,기본데이타!$A$8:$BV$103,COLUMN(기본데이타!AM$8),0))</f>
        <v/>
      </c>
      <c r="AJ81" s="1497" t="str">
        <f>IF($A81="","",VLOOKUP($A81,기본데이타!$A$8:$BV$103,COLUMN(기본데이타!AN$8),0))</f>
        <v/>
      </c>
      <c r="AK81" s="1497" t="str">
        <f>IF($A81="","",VLOOKUP($A81,기본데이타!$A$8:$BV$103,COLUMN(기본데이타!AO$8),0))</f>
        <v/>
      </c>
      <c r="AL81" s="1497" t="str">
        <f>IF($A81="","",VLOOKUP($A81,기본데이타!$A$8:$BV$103,COLUMN(기본데이타!AP$8),0))</f>
        <v/>
      </c>
      <c r="AM81" s="1497" t="str">
        <f>IF($A81="","",VLOOKUP($A81,기본데이타!$A$8:$BV$103,COLUMN(기본데이타!AQ$8),0))</f>
        <v/>
      </c>
      <c r="AN81" s="1497" t="str">
        <f>IF($A81="","",VLOOKUP($A81,기본데이타!$A$8:$BV$103,COLUMN(기본데이타!AR$8),0))</f>
        <v/>
      </c>
      <c r="AO81" s="1497" t="str">
        <f>IF($A81="","",VLOOKUP($A81,기본데이타!$A$8:$BV$103,COLUMN(기본데이타!AS$8),0))</f>
        <v/>
      </c>
      <c r="AP81" s="1497" t="str">
        <f>IF($A81="","",VLOOKUP($A81,기본데이타!$A$8:$BV$103,COLUMN(기본데이타!AT$8),0))</f>
        <v/>
      </c>
      <c r="AQ81" s="1497" t="str">
        <f>IF($A81="","",VLOOKUP($A81,기본데이타!$A$8:$BV$103,COLUMN(기본데이타!AU$8),0))</f>
        <v/>
      </c>
      <c r="AR81" s="1498" t="str">
        <f>IF($A81="","",VLOOKUP($A81,기본데이타!$A$8:$BV$103,COLUMN(기본데이타!AV$8),0))</f>
        <v/>
      </c>
      <c r="AS81" s="1495" t="str">
        <f>IF($A81="","",VLOOKUP($A81,기본데이타!$A$8:$BV$103,COLUMN(기본데이타!AW$8),0))</f>
        <v/>
      </c>
      <c r="AT81" s="1495" t="str">
        <f>IF($A81="","",VLOOKUP($A81,기본데이타!$A$8:$BV$103,COLUMN(기본데이타!AX$8),0))</f>
        <v/>
      </c>
      <c r="AU81" s="1495" t="str">
        <f>IF($A81="","",VLOOKUP($A81,기본데이타!$A$8:$BV$103,COLUMN(기본데이타!AY$8),0))</f>
        <v/>
      </c>
      <c r="AV81" s="1495" t="str">
        <f t="shared" ref="AV81:AV85" si="8">IF(AS81="","",SUM(AS81:AU81))</f>
        <v/>
      </c>
      <c r="AW81" s="1496" t="str">
        <f>IF($A81="","",VLOOKUP($A81,기본데이타!$A$8:$BV$103,COLUMN(기본데이타!BA$8),0))</f>
        <v/>
      </c>
      <c r="AX81" s="1496" t="str">
        <f>IF($A81="","",VLOOKUP($A81,기본데이타!$A$8:$BV$103,COLUMN(기본데이타!BB$8),0))</f>
        <v/>
      </c>
      <c r="AY81" s="1496" t="str">
        <f>IF($A81="","",VLOOKUP($A81,기본데이타!$A$8:$BV$103,COLUMN(기본데이타!BC$8),0))</f>
        <v/>
      </c>
      <c r="AZ81" s="1496" t="str">
        <f>IF($A81="","",VLOOKUP($A81,기본데이타!$A$8:$BV$103,COLUMN(기본데이타!BD$8),0))</f>
        <v/>
      </c>
      <c r="BA81" s="1496" t="str">
        <f>IF($A81="","",VLOOKUP($A81,기본데이타!$A$8:$BV$103,COLUMN(기본데이타!BE$8),0))</f>
        <v/>
      </c>
      <c r="BB81" s="1496" t="str">
        <f>IF($A81="","",VLOOKUP($A81,기본데이타!$A$8:$BV$103,COLUMN(기본데이타!BF$8),0))</f>
        <v/>
      </c>
      <c r="BC81" s="1496" t="str">
        <f>IF($A81="","",VLOOKUP($A81,기본데이타!$A$8:$BV$103,COLUMN(기본데이타!BG$8),0))</f>
        <v/>
      </c>
      <c r="BD81" s="1496" t="str">
        <f>IF($A81="","",VLOOKUP($A81,기본데이타!$A$8:$BV$103,COLUMN(기본데이타!BH$8),0))</f>
        <v/>
      </c>
      <c r="BE81" s="1496" t="str">
        <f>IF($A81="","",VLOOKUP($A81,기본데이타!$A$8:$BV$103,COLUMN(기본데이타!BI$8),0))</f>
        <v/>
      </c>
      <c r="BF81" s="1496" t="str">
        <f>IF($A81="","",VLOOKUP($A81,기본데이타!$A$8:$BV$103,COLUMN(기본데이타!BJ$8),0))</f>
        <v/>
      </c>
      <c r="BG81" s="1496" t="str">
        <f>IF($A81="","",VLOOKUP($A81,기본데이타!$A$8:$BV$103,COLUMN(기본데이타!BK$8),0))</f>
        <v/>
      </c>
      <c r="BH81" s="1496" t="str">
        <f>IF($A81="","",VLOOKUP($A81,기본데이타!$A$8:$BV$103,COLUMN(기본데이타!BL$8),0))</f>
        <v/>
      </c>
      <c r="BI81" s="1496" t="str">
        <f>IF($A81="","",VLOOKUP($A81,기본데이타!$A$8:$BV$103,COLUMN(기본데이타!BM$8),0))</f>
        <v/>
      </c>
      <c r="BJ81" s="1496" t="str">
        <f>IF($A81="","",VLOOKUP($A81,기본데이타!$A$8:$BV$103,COLUMN(기본데이타!BN$8),0))</f>
        <v/>
      </c>
      <c r="BK81" s="1496" t="str">
        <f>IF($A81="","",VLOOKUP($A81,기본데이타!$A$8:$BV$103,COLUMN(기본데이타!BO$8),0))</f>
        <v/>
      </c>
      <c r="BL81" s="1496" t="str">
        <f>IF($A81="","",VLOOKUP($A81,기본데이타!$A$8:$BV$103,COLUMN(기본데이타!BP$8),0))</f>
        <v/>
      </c>
      <c r="BM81" s="1496" t="str">
        <f>IF($A81="","",VLOOKUP($A81,기본데이타!$A$8:$BV$103,COLUMN(기본데이타!BQ$8),0))</f>
        <v/>
      </c>
      <c r="BN81" s="1499" t="str">
        <f>IF($A81="","",VLOOKUP($A81,기본데이타!$A$8:$BV$103,COLUMN(기본데이타!BR$8),0))</f>
        <v/>
      </c>
      <c r="BO81" s="1500" t="str">
        <f>IF($A81="","",VLOOKUP($A81,기본데이타!$A$8:$BV$103,COLUMN(기본데이타!BS$8),0))</f>
        <v/>
      </c>
      <c r="BP81" s="1501" t="str">
        <f>IF($A81="","",VLOOKUP($A81,기본데이타!$A$8:$BV$103,COLUMN(기본데이타!BT$8),0))</f>
        <v/>
      </c>
      <c r="BQ81" s="1502" t="str">
        <f>IF($A81="","",VLOOKUP($A81,기본데이타!$A$8:$BV$103,COLUMN(기본데이타!BU$8),0))</f>
        <v/>
      </c>
      <c r="BR81" s="1503" t="str">
        <f t="shared" ref="BR81:BR85" si="9">IF($A81="","",A81)</f>
        <v/>
      </c>
    </row>
    <row r="82" spans="1:73" s="571" customFormat="1" ht="61.5" hidden="1" customHeight="1" outlineLevel="1">
      <c r="A82" s="578"/>
      <c r="B82" s="1642"/>
      <c r="C82" s="590"/>
      <c r="D82" s="629" t="str">
        <f>IF($A82="","",VLOOKUP($A82,기본데이타!$A$8:$BV$103,COLUMN(기본데이타!F$8),0))</f>
        <v/>
      </c>
      <c r="E82" s="630" t="str">
        <f>IF($A82="","",VLOOKUP($A82,기본데이타!$A$8:$BV$103,COLUMN(기본데이타!G$8),0))</f>
        <v/>
      </c>
      <c r="F82" s="631" t="str">
        <f>IF($A82="","",VLOOKUP($A82,기본데이타!$A$8:$BV$103,COLUMN(기본데이타!H$8),0))</f>
        <v/>
      </c>
      <c r="G82" s="632" t="str">
        <f>IF($A82="","",VLOOKUP($A82,기본데이타!$A$8:$BV$103,COLUMN(기본데이타!I$8),0))</f>
        <v/>
      </c>
      <c r="H82" s="632" t="str">
        <f>IF($A82="","",VLOOKUP($A82,기본데이타!$A$8:$BV$103,COLUMN(기본데이타!J$8),0))</f>
        <v/>
      </c>
      <c r="I82" s="633" t="str">
        <f>IF($A82="","",VLOOKUP($A82,기본데이타!$A$8:$BV$103,COLUMN(기본데이타!K$8),0))</f>
        <v/>
      </c>
      <c r="J82" s="633" t="str">
        <f>IF($A82="","",VLOOKUP($A82,기본데이타!$A$8:$BV$103,COLUMN(기본데이타!L$8),0))</f>
        <v/>
      </c>
      <c r="K82" s="633" t="str">
        <f>IF($A82="","",VLOOKUP($A82,기본데이타!$A$8:$BV$103,COLUMN(기본데이타!M$8),0))</f>
        <v/>
      </c>
      <c r="L82" s="634" t="str">
        <f>IF($A82="","",VLOOKUP($A82,기본데이타!$A$8:$BV$103,COLUMN(기본데이타!N$8),0))</f>
        <v/>
      </c>
      <c r="M82" s="633" t="str">
        <f>IF($A82="","",VLOOKUP($A82,기본데이타!$A$8:$BV$103,COLUMN(기본데이타!O$8),0))</f>
        <v/>
      </c>
      <c r="N82" s="634" t="str">
        <f>IF($A82="","",VLOOKUP($A82,기본데이타!$A$8:$BV$103,COLUMN(기본데이타!P$8),0))</f>
        <v/>
      </c>
      <c r="O82" s="634" t="str">
        <f>IF($A82="","",VLOOKUP($A82,기본데이타!$A$8:$BV$103,COLUMN(기본데이타!Q$8),0))</f>
        <v/>
      </c>
      <c r="P82" s="634" t="str">
        <f>IF($A82="","",VLOOKUP($A82,기본데이타!$A$8:$BV$103,COLUMN(기본데이타!R$8),0))</f>
        <v/>
      </c>
      <c r="Q82" s="634" t="str">
        <f>IF($A82="","",VLOOKUP($A82,기본데이타!$A$8:$BV$103,COLUMN(기본데이타!S$8),0))</f>
        <v/>
      </c>
      <c r="R82" s="634" t="str">
        <f>IF($A82="","",VLOOKUP($A82,기본데이타!$A$8:$BV$103,COLUMN(기본데이타!T$8),0))</f>
        <v/>
      </c>
      <c r="S82" s="634" t="str">
        <f>IF($A82="","",VLOOKUP($A82,기본데이타!$A$8:$BV$103,COLUMN(기본데이타!U$8),0))</f>
        <v/>
      </c>
      <c r="T82" s="634" t="str">
        <f>IF($A82="","",VLOOKUP($A82,기본데이타!$A$8:$BV$103,COLUMN(기본데이타!V$8),0))</f>
        <v/>
      </c>
      <c r="U82" s="634" t="str">
        <f>IF($A82="","",VLOOKUP($A82,기본데이타!$A$8:$BV$103,COLUMN(기본데이타!W$8),0))</f>
        <v/>
      </c>
      <c r="V82" s="634" t="str">
        <f>IF($A82="","",VLOOKUP($A82,기본데이타!$A$8:$BV$103,COLUMN(기본데이타!X$8),0))</f>
        <v/>
      </c>
      <c r="W82" s="634" t="str">
        <f>IF($A82="","",VLOOKUP($A82,기본데이타!$A$8:$BV$103,COLUMN(기본데이타!AA$8),0))</f>
        <v/>
      </c>
      <c r="X82" s="634" t="str">
        <f>IF($A82="","",VLOOKUP($A82,기본데이타!$A$8:$BV$103,COLUMN(기본데이타!AB$8),0))</f>
        <v/>
      </c>
      <c r="Y82" s="633" t="str">
        <f>IF($A82="","",VLOOKUP($A82,기본데이타!$A$8:$BV$103,COLUMN(기본데이타!AC$8),0))</f>
        <v/>
      </c>
      <c r="Z82" s="634" t="str">
        <f>IF($A82="","",VLOOKUP($A82,기본데이타!$A$8:$BV$103,COLUMN(기본데이타!AD$8),0))</f>
        <v/>
      </c>
      <c r="AA82" s="633" t="str">
        <f>IF($A82="","",VLOOKUP($A82,기본데이타!$A$8:$BV$103,COLUMN(기본데이타!AE$8),0))</f>
        <v/>
      </c>
      <c r="AB82" s="634" t="str">
        <f>IF($A82="","",VLOOKUP($A82,기본데이타!$A$8:$BV$103,COLUMN(기본데이타!AF$8),0))</f>
        <v/>
      </c>
      <c r="AC82" s="633" t="str">
        <f>IF($A82="","",VLOOKUP($A82,기본데이타!$A$8:$BV$103,COLUMN(기본데이타!AG$8),0))</f>
        <v/>
      </c>
      <c r="AD82" s="634" t="str">
        <f>IF($A82="","",VLOOKUP($A82,기본데이타!$A$8:$BV$103,COLUMN(기본데이타!AH$8),0))</f>
        <v/>
      </c>
      <c r="AE82" s="633" t="str">
        <f>IF($A82="","",VLOOKUP($A82,기본데이타!$A$8:$BV$103,COLUMN(기본데이타!AI$8),0))</f>
        <v/>
      </c>
      <c r="AF82" s="635" t="str">
        <f>IF($A82="","",VLOOKUP($A82,기본데이타!$A$8:$BV$103,COLUMN(기본데이타!AJ$8),0))</f>
        <v/>
      </c>
      <c r="AG82" s="580" t="str">
        <f>IF($A82="","",VLOOKUP($A82,기본데이타!$A$8:$BV$103,COLUMN(기본데이타!AK$8),0))</f>
        <v/>
      </c>
      <c r="AH82" s="580" t="str">
        <f>IF($A82="","",VLOOKUP($A82,기본데이타!$A$8:$BV$103,COLUMN(기본데이타!AL$8),0))</f>
        <v/>
      </c>
      <c r="AI82" s="580" t="str">
        <f>IF($A82="","",VLOOKUP($A82,기본데이타!$A$8:$BV$103,COLUMN(기본데이타!AM$8),0))</f>
        <v/>
      </c>
      <c r="AJ82" s="636" t="str">
        <f>IF($A82="","",VLOOKUP($A82,기본데이타!$A$8:$BV$103,COLUMN(기본데이타!AN$8),0))</f>
        <v/>
      </c>
      <c r="AK82" s="636" t="str">
        <f>IF($A82="","",VLOOKUP($A82,기본데이타!$A$8:$BV$103,COLUMN(기본데이타!AO$8),0))</f>
        <v/>
      </c>
      <c r="AL82" s="636" t="str">
        <f>IF($A82="","",VLOOKUP($A82,기본데이타!$A$8:$BV$103,COLUMN(기본데이타!AP$8),0))</f>
        <v/>
      </c>
      <c r="AM82" s="636" t="str">
        <f>IF($A82="","",VLOOKUP($A82,기본데이타!$A$8:$BV$103,COLUMN(기본데이타!AQ$8),0))</f>
        <v/>
      </c>
      <c r="AN82" s="636" t="str">
        <f>IF($A82="","",VLOOKUP($A82,기본데이타!$A$8:$BV$103,COLUMN(기본데이타!AR$8),0))</f>
        <v/>
      </c>
      <c r="AO82" s="636" t="str">
        <f>IF($A82="","",VLOOKUP($A82,기본데이타!$A$8:$BV$103,COLUMN(기본데이타!AS$8),0))</f>
        <v/>
      </c>
      <c r="AP82" s="636" t="str">
        <f>IF($A82="","",VLOOKUP($A82,기본데이타!$A$8:$BV$103,COLUMN(기본데이타!AT$8),0))</f>
        <v/>
      </c>
      <c r="AQ82" s="636" t="str">
        <f>IF($A82="","",VLOOKUP($A82,기본데이타!$A$8:$BV$103,COLUMN(기본데이타!AU$8),0))</f>
        <v/>
      </c>
      <c r="AR82" s="637" t="str">
        <f>IF($A82="","",VLOOKUP($A82,기본데이타!$A$8:$BV$103,COLUMN(기본데이타!AV$8),0))</f>
        <v/>
      </c>
      <c r="AS82" s="634" t="str">
        <f>IF($A82="","",VLOOKUP($A82,기본데이타!$A$8:$BV$103,COLUMN(기본데이타!AW$8),0))</f>
        <v/>
      </c>
      <c r="AT82" s="634" t="str">
        <f>IF($A82="","",VLOOKUP($A82,기본데이타!$A$8:$BV$103,COLUMN(기본데이타!AX$8),0))</f>
        <v/>
      </c>
      <c r="AU82" s="634" t="str">
        <f>IF($A82="","",VLOOKUP($A82,기본데이타!$A$8:$BV$103,COLUMN(기본데이타!AY$8),0))</f>
        <v/>
      </c>
      <c r="AV82" s="634" t="str">
        <f t="shared" si="8"/>
        <v/>
      </c>
      <c r="AW82" s="635" t="str">
        <f>IF($A82="","",VLOOKUP($A82,기본데이타!$A$8:$BV$103,COLUMN(기본데이타!BA$8),0))</f>
        <v/>
      </c>
      <c r="AX82" s="635" t="str">
        <f>IF($A82="","",VLOOKUP($A82,기본데이타!$A$8:$BV$103,COLUMN(기본데이타!BB$8),0))</f>
        <v/>
      </c>
      <c r="AY82" s="635" t="str">
        <f>IF($A82="","",VLOOKUP($A82,기본데이타!$A$8:$BV$103,COLUMN(기본데이타!BC$8),0))</f>
        <v/>
      </c>
      <c r="AZ82" s="635" t="str">
        <f>IF($A82="","",VLOOKUP($A82,기본데이타!$A$8:$BV$103,COLUMN(기본데이타!BD$8),0))</f>
        <v/>
      </c>
      <c r="BA82" s="635" t="str">
        <f>IF($A82="","",VLOOKUP($A82,기본데이타!$A$8:$BV$103,COLUMN(기본데이타!BE$8),0))</f>
        <v/>
      </c>
      <c r="BB82" s="635" t="str">
        <f>IF($A82="","",VLOOKUP($A82,기본데이타!$A$8:$BV$103,COLUMN(기본데이타!BF$8),0))</f>
        <v/>
      </c>
      <c r="BC82" s="635" t="str">
        <f>IF($A82="","",VLOOKUP($A82,기본데이타!$A$8:$BV$103,COLUMN(기본데이타!BG$8),0))</f>
        <v/>
      </c>
      <c r="BD82" s="1496" t="str">
        <f>IF($A82="","",VLOOKUP($A82,기본데이타!$A$8:$BV$103,COLUMN(기본데이타!BH$8),0))</f>
        <v/>
      </c>
      <c r="BE82" s="635" t="str">
        <f>IF($A82="","",VLOOKUP($A82,기본데이타!$A$8:$BV$103,COLUMN(기본데이타!BI$8),0))</f>
        <v/>
      </c>
      <c r="BF82" s="635" t="str">
        <f>IF($A82="","",VLOOKUP($A82,기본데이타!$A$8:$BV$103,COLUMN(기본데이타!BJ$8),0))</f>
        <v/>
      </c>
      <c r="BG82" s="635" t="str">
        <f>IF($A82="","",VLOOKUP($A82,기본데이타!$A$8:$BV$103,COLUMN(기본데이타!BK$8),0))</f>
        <v/>
      </c>
      <c r="BH82" s="635" t="str">
        <f>IF($A82="","",VLOOKUP($A82,기본데이타!$A$8:$BV$103,COLUMN(기본데이타!BL$8),0))</f>
        <v/>
      </c>
      <c r="BI82" s="635" t="str">
        <f>IF($A82="","",VLOOKUP($A82,기본데이타!$A$8:$BV$103,COLUMN(기본데이타!BM$8),0))</f>
        <v/>
      </c>
      <c r="BJ82" s="635" t="str">
        <f>IF($A82="","",VLOOKUP($A82,기본데이타!$A$8:$BV$103,COLUMN(기본데이타!BN$8),0))</f>
        <v/>
      </c>
      <c r="BK82" s="635" t="str">
        <f>IF($A82="","",VLOOKUP($A82,기본데이타!$A$8:$BV$103,COLUMN(기본데이타!BO$8),0))</f>
        <v/>
      </c>
      <c r="BL82" s="635" t="str">
        <f>IF($A82="","",VLOOKUP($A82,기본데이타!$A$8:$BV$103,COLUMN(기본데이타!BP$8),0))</f>
        <v/>
      </c>
      <c r="BM82" s="635" t="str">
        <f>IF($A82="","",VLOOKUP($A82,기본데이타!$A$8:$BV$103,COLUMN(기본데이타!BQ$8),0))</f>
        <v/>
      </c>
      <c r="BN82" s="638" t="str">
        <f>IF($A82="","",VLOOKUP($A82,기본데이타!$A$8:$BV$103,COLUMN(기본데이타!BR$8),0))</f>
        <v/>
      </c>
      <c r="BO82" s="579" t="str">
        <f>IF($A82="","",VLOOKUP($A82,기본데이타!$A$8:$BV$103,COLUMN(기본데이타!BS$8),0))</f>
        <v/>
      </c>
      <c r="BP82" s="639" t="str">
        <f>IF($A82="","",VLOOKUP($A82,기본데이타!$A$8:$BV$103,COLUMN(기본데이타!BT$8),0))</f>
        <v/>
      </c>
      <c r="BQ82" s="640" t="str">
        <f>IF($A82="","",VLOOKUP($A82,기본데이타!$A$8:$BV$103,COLUMN(기본데이타!BU$8),0))</f>
        <v/>
      </c>
      <c r="BR82" s="625" t="str">
        <f t="shared" si="9"/>
        <v/>
      </c>
      <c r="BU82" s="641"/>
    </row>
    <row r="83" spans="1:73" s="571" customFormat="1" ht="61.5" hidden="1" customHeight="1" outlineLevel="1">
      <c r="A83" s="578"/>
      <c r="B83" s="1642"/>
      <c r="C83" s="590"/>
      <c r="D83" s="591" t="str">
        <f>IF($A83="","",VLOOKUP($A83,기본데이타!$A$8:$BV$103,COLUMN(기본데이타!F$8),0))</f>
        <v/>
      </c>
      <c r="E83" s="592" t="str">
        <f>IF($A83="","",VLOOKUP($A83,기본데이타!$A$8:$BV$103,COLUMN(기본데이타!G$8),0))</f>
        <v/>
      </c>
      <c r="F83" s="593" t="str">
        <f>IF($A83="","",VLOOKUP($A83,기본데이타!$A$8:$BV$103,COLUMN(기본데이타!H$8),0))</f>
        <v/>
      </c>
      <c r="G83" s="594" t="str">
        <f>IF($A83="","",VLOOKUP($A83,기본데이타!$A$8:$BV$103,COLUMN(기본데이타!I$8),0))</f>
        <v/>
      </c>
      <c r="H83" s="594" t="str">
        <f>IF($A83="","",VLOOKUP($A83,기본데이타!$A$8:$BV$103,COLUMN(기본데이타!J$8),0))</f>
        <v/>
      </c>
      <c r="I83" s="595" t="str">
        <f>IF($A83="","",VLOOKUP($A83,기본데이타!$A$8:$BV$103,COLUMN(기본데이타!K$8),0))</f>
        <v/>
      </c>
      <c r="J83" s="595" t="str">
        <f>IF($A83="","",VLOOKUP($A83,기본데이타!$A$8:$BV$103,COLUMN(기본데이타!L$8),0))</f>
        <v/>
      </c>
      <c r="K83" s="595" t="str">
        <f>IF($A83="","",VLOOKUP($A83,기본데이타!$A$8:$BV$103,COLUMN(기본데이타!M$8),0))</f>
        <v/>
      </c>
      <c r="L83" s="596" t="str">
        <f>IF($A83="","",VLOOKUP($A83,기본데이타!$A$8:$BV$103,COLUMN(기본데이타!N$8),0))</f>
        <v/>
      </c>
      <c r="M83" s="595" t="str">
        <f>IF($A83="","",VLOOKUP($A83,기본데이타!$A$8:$BV$103,COLUMN(기본데이타!O$8),0))</f>
        <v/>
      </c>
      <c r="N83" s="596" t="str">
        <f>IF($A83="","",VLOOKUP($A83,기본데이타!$A$8:$BV$103,COLUMN(기본데이타!P$8),0))</f>
        <v/>
      </c>
      <c r="O83" s="596" t="str">
        <f>IF($A83="","",VLOOKUP($A83,기본데이타!$A$8:$BV$103,COLUMN(기본데이타!Q$8),0))</f>
        <v/>
      </c>
      <c r="P83" s="596" t="str">
        <f>IF($A83="","",VLOOKUP($A83,기본데이타!$A$8:$BV$103,COLUMN(기본데이타!R$8),0))</f>
        <v/>
      </c>
      <c r="Q83" s="596" t="str">
        <f>IF($A83="","",VLOOKUP($A83,기본데이타!$A$8:$BV$103,COLUMN(기본데이타!S$8),0))</f>
        <v/>
      </c>
      <c r="R83" s="596" t="str">
        <f>IF($A83="","",VLOOKUP($A83,기본데이타!$A$8:$BV$103,COLUMN(기본데이타!T$8),0))</f>
        <v/>
      </c>
      <c r="S83" s="596" t="str">
        <f>IF($A83="","",VLOOKUP($A83,기본데이타!$A$8:$BV$103,COLUMN(기본데이타!U$8),0))</f>
        <v/>
      </c>
      <c r="T83" s="596" t="str">
        <f>IF($A83="","",VLOOKUP($A83,기본데이타!$A$8:$BV$103,COLUMN(기본데이타!V$8),0))</f>
        <v/>
      </c>
      <c r="U83" s="596" t="str">
        <f>IF($A83="","",VLOOKUP($A83,기본데이타!$A$8:$BV$103,COLUMN(기본데이타!W$8),0))</f>
        <v/>
      </c>
      <c r="V83" s="596" t="str">
        <f>IF($A83="","",VLOOKUP($A83,기본데이타!$A$8:$BV$103,COLUMN(기본데이타!X$8),0))</f>
        <v/>
      </c>
      <c r="W83" s="596" t="str">
        <f>IF($A83="","",VLOOKUP($A83,기본데이타!$A$8:$BV$103,COLUMN(기본데이타!AA$8),0))</f>
        <v/>
      </c>
      <c r="X83" s="596" t="str">
        <f>IF($A83="","",VLOOKUP($A83,기본데이타!$A$8:$BV$103,COLUMN(기본데이타!AB$8),0))</f>
        <v/>
      </c>
      <c r="Y83" s="595" t="str">
        <f>IF($A83="","",VLOOKUP($A83,기본데이타!$A$8:$BV$103,COLUMN(기본데이타!AC$8),0))</f>
        <v/>
      </c>
      <c r="Z83" s="596" t="str">
        <f>IF($A83="","",VLOOKUP($A83,기본데이타!$A$8:$BV$103,COLUMN(기본데이타!AD$8),0))</f>
        <v/>
      </c>
      <c r="AA83" s="595" t="str">
        <f>IF($A83="","",VLOOKUP($A83,기본데이타!$A$8:$BV$103,COLUMN(기본데이타!AE$8),0))</f>
        <v/>
      </c>
      <c r="AB83" s="596" t="str">
        <f>IF($A83="","",VLOOKUP($A83,기본데이타!$A$8:$BV$103,COLUMN(기본데이타!AF$8),0))</f>
        <v/>
      </c>
      <c r="AC83" s="595" t="str">
        <f>IF($A83="","",VLOOKUP($A83,기본데이타!$A$8:$BV$103,COLUMN(기본데이타!AG$8),0))</f>
        <v/>
      </c>
      <c r="AD83" s="596" t="str">
        <f>IF($A83="","",VLOOKUP($A83,기본데이타!$A$8:$BV$103,COLUMN(기본데이타!AH$8),0))</f>
        <v/>
      </c>
      <c r="AE83" s="595" t="str">
        <f>IF($A83="","",VLOOKUP($A83,기본데이타!$A$8:$BV$103,COLUMN(기본데이타!AI$8),0))</f>
        <v/>
      </c>
      <c r="AF83" s="597" t="str">
        <f>IF($A83="","",VLOOKUP($A83,기본데이타!$A$8:$BV$103,COLUMN(기본데이타!AJ$8),0))</f>
        <v/>
      </c>
      <c r="AG83" s="580" t="str">
        <f>IF($A83="","",VLOOKUP($A83,기본데이타!$A$8:$BV$103,COLUMN(기본데이타!AK$8),0))</f>
        <v/>
      </c>
      <c r="AH83" s="580" t="str">
        <f>IF($A83="","",VLOOKUP($A83,기본데이타!$A$8:$BV$103,COLUMN(기본데이타!AL$8),0))</f>
        <v/>
      </c>
      <c r="AI83" s="580" t="str">
        <f>IF($A83="","",VLOOKUP($A83,기본데이타!$A$8:$BV$103,COLUMN(기본데이타!AM$8),0))</f>
        <v/>
      </c>
      <c r="AJ83" s="642" t="str">
        <f>IF($A83="","",VLOOKUP($A83,기본데이타!$A$8:$BV$103,COLUMN(기본데이타!AN$8),0))</f>
        <v/>
      </c>
      <c r="AK83" s="642" t="str">
        <f>IF($A83="","",VLOOKUP($A83,기본데이타!$A$8:$BV$103,COLUMN(기본데이타!AO$8),0))</f>
        <v/>
      </c>
      <c r="AL83" s="642" t="str">
        <f>IF($A83="","",VLOOKUP($A83,기본데이타!$A$8:$BV$103,COLUMN(기본데이타!AP$8),0))</f>
        <v/>
      </c>
      <c r="AM83" s="642" t="str">
        <f>IF($A83="","",VLOOKUP($A83,기본데이타!$A$8:$BV$103,COLUMN(기본데이타!AQ$8),0))</f>
        <v/>
      </c>
      <c r="AN83" s="642" t="str">
        <f>IF($A83="","",VLOOKUP($A83,기본데이타!$A$8:$BV$103,COLUMN(기본데이타!AR$8),0))</f>
        <v/>
      </c>
      <c r="AO83" s="642" t="str">
        <f>IF($A83="","",VLOOKUP($A83,기본데이타!$A$8:$BV$103,COLUMN(기본데이타!AS$8),0))</f>
        <v/>
      </c>
      <c r="AP83" s="642" t="str">
        <f>IF($A83="","",VLOOKUP($A83,기본데이타!$A$8:$BV$103,COLUMN(기본데이타!AT$8),0))</f>
        <v/>
      </c>
      <c r="AQ83" s="642" t="str">
        <f>IF($A83="","",VLOOKUP($A83,기본데이타!$A$8:$BV$103,COLUMN(기본데이타!AU$8),0))</f>
        <v/>
      </c>
      <c r="AR83" s="643" t="str">
        <f>IF($A83="","",VLOOKUP($A83,기본데이타!$A$8:$BV$103,COLUMN(기본데이타!AV$8),0))</f>
        <v/>
      </c>
      <c r="AS83" s="596" t="str">
        <f>IF($A83="","",VLOOKUP($A83,기본데이타!$A$8:$BV$103,COLUMN(기본데이타!AW$8),0))</f>
        <v/>
      </c>
      <c r="AT83" s="596" t="str">
        <f>IF($A83="","",VLOOKUP($A83,기본데이타!$A$8:$BV$103,COLUMN(기본데이타!AX$8),0))</f>
        <v/>
      </c>
      <c r="AU83" s="596" t="str">
        <f>IF($A83="","",VLOOKUP($A83,기본데이타!$A$8:$BV$103,COLUMN(기본데이타!AY$8),0))</f>
        <v/>
      </c>
      <c r="AV83" s="596" t="str">
        <f t="shared" si="8"/>
        <v/>
      </c>
      <c r="AW83" s="597" t="str">
        <f>IF($A83="","",VLOOKUP($A83,기본데이타!$A$8:$BV$103,COLUMN(기본데이타!BA$8),0))</f>
        <v/>
      </c>
      <c r="AX83" s="597" t="str">
        <f>IF($A83="","",VLOOKUP($A83,기본데이타!$A$8:$BV$103,COLUMN(기본데이타!BB$8),0))</f>
        <v/>
      </c>
      <c r="AY83" s="597" t="str">
        <f>IF($A83="","",VLOOKUP($A83,기본데이타!$A$8:$BV$103,COLUMN(기본데이타!BC$8),0))</f>
        <v/>
      </c>
      <c r="AZ83" s="597" t="str">
        <f>IF($A83="","",VLOOKUP($A83,기본데이타!$A$8:$BV$103,COLUMN(기본데이타!BD$8),0))</f>
        <v/>
      </c>
      <c r="BA83" s="597" t="str">
        <f>IF($A83="","",VLOOKUP($A83,기본데이타!$A$8:$BV$103,COLUMN(기본데이타!BE$8),0))</f>
        <v/>
      </c>
      <c r="BB83" s="597" t="str">
        <f>IF($A83="","",VLOOKUP($A83,기본데이타!$A$8:$BV$103,COLUMN(기본데이타!BF$8),0))</f>
        <v/>
      </c>
      <c r="BC83" s="597" t="str">
        <f>IF($A83="","",VLOOKUP($A83,기본데이타!$A$8:$BV$103,COLUMN(기본데이타!BG$8),0))</f>
        <v/>
      </c>
      <c r="BD83" s="1496" t="str">
        <f>IF($A83="","",VLOOKUP($A83,기본데이타!$A$8:$BV$103,COLUMN(기본데이타!BH$8),0))</f>
        <v/>
      </c>
      <c r="BE83" s="597" t="str">
        <f>IF($A83="","",VLOOKUP($A83,기본데이타!$A$8:$BV$103,COLUMN(기본데이타!BI$8),0))</f>
        <v/>
      </c>
      <c r="BF83" s="597" t="str">
        <f>IF($A83="","",VLOOKUP($A83,기본데이타!$A$8:$BV$103,COLUMN(기본데이타!BJ$8),0))</f>
        <v/>
      </c>
      <c r="BG83" s="597" t="str">
        <f>IF($A83="","",VLOOKUP($A83,기본데이타!$A$8:$BV$103,COLUMN(기본데이타!BK$8),0))</f>
        <v/>
      </c>
      <c r="BH83" s="597" t="str">
        <f>IF($A83="","",VLOOKUP($A83,기본데이타!$A$8:$BV$103,COLUMN(기본데이타!BL$8),0))</f>
        <v/>
      </c>
      <c r="BI83" s="597" t="str">
        <f>IF($A83="","",VLOOKUP($A83,기본데이타!$A$8:$BV$103,COLUMN(기본데이타!BM$8),0))</f>
        <v/>
      </c>
      <c r="BJ83" s="597" t="str">
        <f>IF($A83="","",VLOOKUP($A83,기본데이타!$A$8:$BV$103,COLUMN(기본데이타!BN$8),0))</f>
        <v/>
      </c>
      <c r="BK83" s="597" t="str">
        <f>IF($A83="","",VLOOKUP($A83,기본데이타!$A$8:$BV$103,COLUMN(기본데이타!BO$8),0))</f>
        <v/>
      </c>
      <c r="BL83" s="597" t="str">
        <f>IF($A83="","",VLOOKUP($A83,기본데이타!$A$8:$BV$103,COLUMN(기본데이타!BP$8),0))</f>
        <v/>
      </c>
      <c r="BM83" s="597" t="str">
        <f>IF($A83="","",VLOOKUP($A83,기본데이타!$A$8:$BV$103,COLUMN(기본데이타!BQ$8),0))</f>
        <v/>
      </c>
      <c r="BN83" s="599" t="str">
        <f>IF($A83="","",VLOOKUP($A83,기본데이타!$A$8:$BV$103,COLUMN(기본데이타!BR$8),0))</f>
        <v/>
      </c>
      <c r="BO83" s="600" t="str">
        <f>IF($A83="","",VLOOKUP($A83,기본데이타!$A$8:$BV$103,COLUMN(기본데이타!BS$8),0))</f>
        <v/>
      </c>
      <c r="BP83" s="623" t="str">
        <f>IF($A83="","",VLOOKUP($A83,기본데이타!$A$8:$BV$103,COLUMN(기본데이타!BT$8),0))</f>
        <v/>
      </c>
      <c r="BQ83" s="602" t="str">
        <f>IF($A83="","",VLOOKUP($A83,기본데이타!$A$8:$BV$103,COLUMN(기본데이타!BU$8),0))</f>
        <v/>
      </c>
      <c r="BR83" s="603" t="str">
        <f t="shared" si="9"/>
        <v/>
      </c>
    </row>
    <row r="84" spans="1:73" s="571" customFormat="1" ht="61.5" hidden="1" customHeight="1" outlineLevel="1">
      <c r="A84" s="578"/>
      <c r="B84" s="1642"/>
      <c r="C84" s="590"/>
      <c r="D84" s="591" t="str">
        <f>IF($A84="","",VLOOKUP($A84,기본데이타!$A$8:$BV$103,COLUMN(기본데이타!F$8),0))</f>
        <v/>
      </c>
      <c r="E84" s="592" t="str">
        <f>IF($A84="","",VLOOKUP($A84,기본데이타!$A$8:$BV$103,COLUMN(기본데이타!G$8),0))</f>
        <v/>
      </c>
      <c r="F84" s="593" t="str">
        <f>IF($A84="","",VLOOKUP($A84,기본데이타!$A$8:$BV$103,COLUMN(기본데이타!H$8),0))</f>
        <v/>
      </c>
      <c r="G84" s="594" t="str">
        <f>IF($A84="","",VLOOKUP($A84,기본데이타!$A$8:$BV$103,COLUMN(기본데이타!I$8),0))</f>
        <v/>
      </c>
      <c r="H84" s="594" t="str">
        <f>IF($A84="","",VLOOKUP($A84,기본데이타!$A$8:$BV$103,COLUMN(기본데이타!J$8),0))</f>
        <v/>
      </c>
      <c r="I84" s="595" t="str">
        <f>IF($A84="","",VLOOKUP($A84,기본데이타!$A$8:$BV$103,COLUMN(기본데이타!K$8),0))</f>
        <v/>
      </c>
      <c r="J84" s="595" t="str">
        <f>IF($A84="","",VLOOKUP($A84,기본데이타!$A$8:$BV$103,COLUMN(기본데이타!L$8),0))</f>
        <v/>
      </c>
      <c r="K84" s="595" t="str">
        <f>IF($A84="","",VLOOKUP($A84,기본데이타!$A$8:$BV$103,COLUMN(기본데이타!M$8),0))</f>
        <v/>
      </c>
      <c r="L84" s="596" t="str">
        <f>IF($A84="","",VLOOKUP($A84,기본데이타!$A$8:$BV$103,COLUMN(기본데이타!N$8),0))</f>
        <v/>
      </c>
      <c r="M84" s="595" t="str">
        <f>IF($A84="","",VLOOKUP($A84,기본데이타!$A$8:$BV$103,COLUMN(기본데이타!O$8),0))</f>
        <v/>
      </c>
      <c r="N84" s="596" t="str">
        <f>IF($A84="","",VLOOKUP($A84,기본데이타!$A$8:$BV$103,COLUMN(기본데이타!P$8),0))</f>
        <v/>
      </c>
      <c r="O84" s="596" t="str">
        <f>IF($A84="","",VLOOKUP($A84,기본데이타!$A$8:$BV$103,COLUMN(기본데이타!Q$8),0))</f>
        <v/>
      </c>
      <c r="P84" s="596" t="str">
        <f>IF($A84="","",VLOOKUP($A84,기본데이타!$A$8:$BV$103,COLUMN(기본데이타!R$8),0))</f>
        <v/>
      </c>
      <c r="Q84" s="596" t="str">
        <f>IF($A84="","",VLOOKUP($A84,기본데이타!$A$8:$BV$103,COLUMN(기본데이타!S$8),0))</f>
        <v/>
      </c>
      <c r="R84" s="596" t="str">
        <f>IF($A84="","",VLOOKUP($A84,기본데이타!$A$8:$BV$103,COLUMN(기본데이타!T$8),0))</f>
        <v/>
      </c>
      <c r="S84" s="596" t="str">
        <f>IF($A84="","",VLOOKUP($A84,기본데이타!$A$8:$BV$103,COLUMN(기본데이타!U$8),0))</f>
        <v/>
      </c>
      <c r="T84" s="596" t="str">
        <f>IF($A84="","",VLOOKUP($A84,기본데이타!$A$8:$BV$103,COLUMN(기본데이타!V$8),0))</f>
        <v/>
      </c>
      <c r="U84" s="596" t="str">
        <f>IF($A84="","",VLOOKUP($A84,기본데이타!$A$8:$BV$103,COLUMN(기본데이타!W$8),0))</f>
        <v/>
      </c>
      <c r="V84" s="596" t="str">
        <f>IF($A84="","",VLOOKUP($A84,기본데이타!$A$8:$BV$103,COLUMN(기본데이타!X$8),0))</f>
        <v/>
      </c>
      <c r="W84" s="596" t="str">
        <f>IF($A84="","",VLOOKUP($A84,기본데이타!$A$8:$BV$103,COLUMN(기본데이타!AA$8),0))</f>
        <v/>
      </c>
      <c r="X84" s="596" t="str">
        <f>IF($A84="","",VLOOKUP($A84,기본데이타!$A$8:$BV$103,COLUMN(기본데이타!AB$8),0))</f>
        <v/>
      </c>
      <c r="Y84" s="595" t="str">
        <f>IF($A84="","",VLOOKUP($A84,기본데이타!$A$8:$BV$103,COLUMN(기본데이타!AC$8),0))</f>
        <v/>
      </c>
      <c r="Z84" s="596" t="str">
        <f>IF($A84="","",VLOOKUP($A84,기본데이타!$A$8:$BV$103,COLUMN(기본데이타!AD$8),0))</f>
        <v/>
      </c>
      <c r="AA84" s="595" t="str">
        <f>IF($A84="","",VLOOKUP($A84,기본데이타!$A$8:$BV$103,COLUMN(기본데이타!AE$8),0))</f>
        <v/>
      </c>
      <c r="AB84" s="596" t="str">
        <f>IF($A84="","",VLOOKUP($A84,기본데이타!$A$8:$BV$103,COLUMN(기본데이타!AF$8),0))</f>
        <v/>
      </c>
      <c r="AC84" s="595" t="str">
        <f>IF($A84="","",VLOOKUP($A84,기본데이타!$A$8:$BV$103,COLUMN(기본데이타!AG$8),0))</f>
        <v/>
      </c>
      <c r="AD84" s="596" t="str">
        <f>IF($A84="","",VLOOKUP($A84,기본데이타!$A$8:$BV$103,COLUMN(기본데이타!AH$8),0))</f>
        <v/>
      </c>
      <c r="AE84" s="595" t="str">
        <f>IF($A84="","",VLOOKUP($A84,기본데이타!$A$8:$BV$103,COLUMN(기본데이타!AI$8),0))</f>
        <v/>
      </c>
      <c r="AF84" s="597" t="str">
        <f>IF($A84="","",VLOOKUP($A84,기본데이타!$A$8:$BV$103,COLUMN(기본데이타!AJ$8),0))</f>
        <v/>
      </c>
      <c r="AG84" s="580" t="str">
        <f>IF($A84="","",VLOOKUP($A84,기본데이타!$A$8:$BV$103,COLUMN(기본데이타!AK$8),0))</f>
        <v/>
      </c>
      <c r="AH84" s="580" t="str">
        <f>IF($A84="","",VLOOKUP($A84,기본데이타!$A$8:$BV$103,COLUMN(기본데이타!AL$8),0))</f>
        <v/>
      </c>
      <c r="AI84" s="580" t="str">
        <f>IF($A84="","",VLOOKUP($A84,기본데이타!$A$8:$BV$103,COLUMN(기본데이타!AM$8),0))</f>
        <v/>
      </c>
      <c r="AJ84" s="636" t="str">
        <f>IF($A84="","",VLOOKUP($A84,기본데이타!$A$8:$BV$103,COLUMN(기본데이타!AN$8),0))</f>
        <v/>
      </c>
      <c r="AK84" s="636" t="str">
        <f>IF($A84="","",VLOOKUP($A84,기본데이타!$A$8:$BV$103,COLUMN(기본데이타!AO$8),0))</f>
        <v/>
      </c>
      <c r="AL84" s="636" t="str">
        <f>IF($A84="","",VLOOKUP($A84,기본데이타!$A$8:$BV$103,COLUMN(기본데이타!AP$8),0))</f>
        <v/>
      </c>
      <c r="AM84" s="636" t="str">
        <f>IF($A84="","",VLOOKUP($A84,기본데이타!$A$8:$BV$103,COLUMN(기본데이타!AQ$8),0))</f>
        <v/>
      </c>
      <c r="AN84" s="636" t="str">
        <f>IF($A84="","",VLOOKUP($A84,기본데이타!$A$8:$BV$103,COLUMN(기본데이타!AR$8),0))</f>
        <v/>
      </c>
      <c r="AO84" s="636" t="str">
        <f>IF($A84="","",VLOOKUP($A84,기본데이타!$A$8:$BV$103,COLUMN(기본데이타!AS$8),0))</f>
        <v/>
      </c>
      <c r="AP84" s="636" t="str">
        <f>IF($A84="","",VLOOKUP($A84,기본데이타!$A$8:$BV$103,COLUMN(기본데이타!AT$8),0))</f>
        <v/>
      </c>
      <c r="AQ84" s="636" t="str">
        <f>IF($A84="","",VLOOKUP($A84,기본데이타!$A$8:$BV$103,COLUMN(기본데이타!AU$8),0))</f>
        <v/>
      </c>
      <c r="AR84" s="637" t="str">
        <f>IF($A84="","",VLOOKUP($A84,기본데이타!$A$8:$BV$103,COLUMN(기본데이타!AV$8),0))</f>
        <v/>
      </c>
      <c r="AS84" s="596" t="str">
        <f>IF($A84="","",VLOOKUP($A84,기본데이타!$A$8:$BV$103,COLUMN(기본데이타!AW$8),0))</f>
        <v/>
      </c>
      <c r="AT84" s="596" t="str">
        <f>IF($A84="","",VLOOKUP($A84,기본데이타!$A$8:$BV$103,COLUMN(기본데이타!AX$8),0))</f>
        <v/>
      </c>
      <c r="AU84" s="596" t="str">
        <f>IF($A84="","",VLOOKUP($A84,기본데이타!$A$8:$BV$103,COLUMN(기본데이타!AY$8),0))</f>
        <v/>
      </c>
      <c r="AV84" s="596" t="str">
        <f t="shared" si="8"/>
        <v/>
      </c>
      <c r="AW84" s="597" t="str">
        <f>IF($A84="","",VLOOKUP($A84,기본데이타!$A$8:$BV$103,COLUMN(기본데이타!BA$8),0))</f>
        <v/>
      </c>
      <c r="AX84" s="597" t="str">
        <f>IF($A84="","",VLOOKUP($A84,기본데이타!$A$8:$BV$103,COLUMN(기본데이타!BB$8),0))</f>
        <v/>
      </c>
      <c r="AY84" s="597" t="str">
        <f>IF($A84="","",VLOOKUP($A84,기본데이타!$A$8:$BV$103,COLUMN(기본데이타!BC$8),0))</f>
        <v/>
      </c>
      <c r="AZ84" s="597" t="str">
        <f>IF($A84="","",VLOOKUP($A84,기본데이타!$A$8:$BV$103,COLUMN(기본데이타!BD$8),0))</f>
        <v/>
      </c>
      <c r="BA84" s="597" t="str">
        <f>IF($A84="","",VLOOKUP($A84,기본데이타!$A$8:$BV$103,COLUMN(기본데이타!BE$8),0))</f>
        <v/>
      </c>
      <c r="BB84" s="597" t="str">
        <f>IF($A84="","",VLOOKUP($A84,기본데이타!$A$8:$BV$103,COLUMN(기본데이타!BF$8),0))</f>
        <v/>
      </c>
      <c r="BC84" s="597" t="str">
        <f>IF($A84="","",VLOOKUP($A84,기본데이타!$A$8:$BV$103,COLUMN(기본데이타!BG$8),0))</f>
        <v/>
      </c>
      <c r="BD84" s="1496" t="str">
        <f>IF($A84="","",VLOOKUP($A84,기본데이타!$A$8:$BV$103,COLUMN(기본데이타!BH$8),0))</f>
        <v/>
      </c>
      <c r="BE84" s="597" t="str">
        <f>IF($A84="","",VLOOKUP($A84,기본데이타!$A$8:$BV$103,COLUMN(기본데이타!BI$8),0))</f>
        <v/>
      </c>
      <c r="BF84" s="597" t="str">
        <f>IF($A84="","",VLOOKUP($A84,기본데이타!$A$8:$BV$103,COLUMN(기본데이타!BJ$8),0))</f>
        <v/>
      </c>
      <c r="BG84" s="597" t="str">
        <f>IF($A84="","",VLOOKUP($A84,기본데이타!$A$8:$BV$103,COLUMN(기본데이타!BK$8),0))</f>
        <v/>
      </c>
      <c r="BH84" s="597" t="str">
        <f>IF($A84="","",VLOOKUP($A84,기본데이타!$A$8:$BV$103,COLUMN(기본데이타!BL$8),0))</f>
        <v/>
      </c>
      <c r="BI84" s="597" t="str">
        <f>IF($A84="","",VLOOKUP($A84,기본데이타!$A$8:$BV$103,COLUMN(기본데이타!BM$8),0))</f>
        <v/>
      </c>
      <c r="BJ84" s="597" t="str">
        <f>IF($A84="","",VLOOKUP($A84,기본데이타!$A$8:$BV$103,COLUMN(기본데이타!BN$8),0))</f>
        <v/>
      </c>
      <c r="BK84" s="597" t="str">
        <f>IF($A84="","",VLOOKUP($A84,기본데이타!$A$8:$BV$103,COLUMN(기본데이타!BO$8),0))</f>
        <v/>
      </c>
      <c r="BL84" s="597" t="str">
        <f>IF($A84="","",VLOOKUP($A84,기본데이타!$A$8:$BV$103,COLUMN(기본데이타!BP$8),0))</f>
        <v/>
      </c>
      <c r="BM84" s="597" t="str">
        <f>IF($A84="","",VLOOKUP($A84,기본데이타!$A$8:$BV$103,COLUMN(기본데이타!BQ$8),0))</f>
        <v/>
      </c>
      <c r="BN84" s="599" t="str">
        <f>IF($A84="","",VLOOKUP($A84,기본데이타!$A$8:$BV$103,COLUMN(기본데이타!BR$8),0))</f>
        <v/>
      </c>
      <c r="BO84" s="600" t="str">
        <f>IF($A84="","",VLOOKUP($A84,기본데이타!$A$8:$BV$103,COLUMN(기본데이타!BS$8),0))</f>
        <v/>
      </c>
      <c r="BP84" s="623" t="str">
        <f>IF($A84="","",VLOOKUP($A84,기본데이타!$A$8:$BV$103,COLUMN(기본데이타!BT$8),0))</f>
        <v/>
      </c>
      <c r="BQ84" s="602" t="str">
        <f>IF($A84="","",VLOOKUP($A84,기본데이타!$A$8:$BV$103,COLUMN(기본데이타!BU$8),0))</f>
        <v/>
      </c>
      <c r="BR84" s="603" t="str">
        <f t="shared" si="9"/>
        <v/>
      </c>
    </row>
    <row r="85" spans="1:73" s="571" customFormat="1" ht="61.5" hidden="1" customHeight="1" outlineLevel="1" thickBot="1">
      <c r="A85" s="578"/>
      <c r="B85" s="1642"/>
      <c r="C85" s="590"/>
      <c r="D85" s="607" t="str">
        <f>IF($A85="","",VLOOKUP($A85,기본데이타!$A$8:$BV$103,COLUMN(기본데이타!F$8),0))</f>
        <v/>
      </c>
      <c r="E85" s="608" t="str">
        <f>IF($A85="","",VLOOKUP($A85,기본데이타!$A$8:$BV$103,COLUMN(기본데이타!G$8),0))</f>
        <v/>
      </c>
      <c r="F85" s="609" t="str">
        <f>IF($A85="","",VLOOKUP($A85,기본데이타!$A$8:$BV$103,COLUMN(기본데이타!H$8),0))</f>
        <v/>
      </c>
      <c r="G85" s="610" t="str">
        <f>IF($A85="","",VLOOKUP($A85,기본데이타!$A$8:$BV$103,COLUMN(기본데이타!I$8),0))</f>
        <v/>
      </c>
      <c r="H85" s="610" t="str">
        <f>IF($A85="","",VLOOKUP($A85,기본데이타!$A$8:$BV$103,COLUMN(기본데이타!J$8),0))</f>
        <v/>
      </c>
      <c r="I85" s="611" t="str">
        <f>IF($A85="","",VLOOKUP($A85,기본데이타!$A$8:$BV$103,COLUMN(기본데이타!K$8),0))</f>
        <v/>
      </c>
      <c r="J85" s="611" t="str">
        <f>IF($A85="","",VLOOKUP($A85,기본데이타!$A$8:$BV$103,COLUMN(기본데이타!L$8),0))</f>
        <v/>
      </c>
      <c r="K85" s="611" t="str">
        <f>IF($A85="","",VLOOKUP($A85,기본데이타!$A$8:$BV$103,COLUMN(기본데이타!M$8),0))</f>
        <v/>
      </c>
      <c r="L85" s="612" t="str">
        <f>IF($A85="","",VLOOKUP($A85,기본데이타!$A$8:$BV$103,COLUMN(기본데이타!N$8),0))</f>
        <v/>
      </c>
      <c r="M85" s="611" t="str">
        <f>IF($A85="","",VLOOKUP($A85,기본데이타!$A$8:$BV$103,COLUMN(기본데이타!O$8),0))</f>
        <v/>
      </c>
      <c r="N85" s="612" t="str">
        <f>IF($A85="","",VLOOKUP($A85,기본데이타!$A$8:$BV$103,COLUMN(기본데이타!P$8),0))</f>
        <v/>
      </c>
      <c r="O85" s="612" t="str">
        <f>IF($A85="","",VLOOKUP($A85,기본데이타!$A$8:$BV$103,COLUMN(기본데이타!Q$8),0))</f>
        <v/>
      </c>
      <c r="P85" s="612" t="str">
        <f>IF($A85="","",VLOOKUP($A85,기본데이타!$A$8:$BV$103,COLUMN(기본데이타!R$8),0))</f>
        <v/>
      </c>
      <c r="Q85" s="612" t="str">
        <f>IF($A85="","",VLOOKUP($A85,기본데이타!$A$8:$BV$103,COLUMN(기본데이타!S$8),0))</f>
        <v/>
      </c>
      <c r="R85" s="612" t="str">
        <f>IF($A85="","",VLOOKUP($A85,기본데이타!$A$8:$BV$103,COLUMN(기본데이타!T$8),0))</f>
        <v/>
      </c>
      <c r="S85" s="612" t="str">
        <f>IF($A85="","",VLOOKUP($A85,기본데이타!$A$8:$BV$103,COLUMN(기본데이타!U$8),0))</f>
        <v/>
      </c>
      <c r="T85" s="612" t="str">
        <f>IF($A85="","",VLOOKUP($A85,기본데이타!$A$8:$BV$103,COLUMN(기본데이타!V$8),0))</f>
        <v/>
      </c>
      <c r="U85" s="612" t="str">
        <f>IF($A85="","",VLOOKUP($A85,기본데이타!$A$8:$BV$103,COLUMN(기본데이타!W$8),0))</f>
        <v/>
      </c>
      <c r="V85" s="612" t="str">
        <f>IF($A85="","",VLOOKUP($A85,기본데이타!$A$8:$BV$103,COLUMN(기본데이타!X$8),0))</f>
        <v/>
      </c>
      <c r="W85" s="612" t="str">
        <f>IF($A85="","",VLOOKUP($A85,기본데이타!$A$8:$BV$103,COLUMN(기본데이타!AA$8),0))</f>
        <v/>
      </c>
      <c r="X85" s="612" t="str">
        <f>IF($A85="","",VLOOKUP($A85,기본데이타!$A$8:$BV$103,COLUMN(기본데이타!AB$8),0))</f>
        <v/>
      </c>
      <c r="Y85" s="611" t="str">
        <f>IF($A85="","",VLOOKUP($A85,기본데이타!$A$8:$BV$103,COLUMN(기본데이타!AC$8),0))</f>
        <v/>
      </c>
      <c r="Z85" s="612" t="str">
        <f>IF($A85="","",VLOOKUP($A85,기본데이타!$A$8:$BV$103,COLUMN(기본데이타!AD$8),0))</f>
        <v/>
      </c>
      <c r="AA85" s="611" t="str">
        <f>IF($A85="","",VLOOKUP($A85,기본데이타!$A$8:$BV$103,COLUMN(기본데이타!AE$8),0))</f>
        <v/>
      </c>
      <c r="AB85" s="612" t="str">
        <f>IF($A85="","",VLOOKUP($A85,기본데이타!$A$8:$BV$103,COLUMN(기본데이타!AF$8),0))</f>
        <v/>
      </c>
      <c r="AC85" s="611" t="str">
        <f>IF($A85="","",VLOOKUP($A85,기본데이타!$A$8:$BV$103,COLUMN(기본데이타!AG$8),0))</f>
        <v/>
      </c>
      <c r="AD85" s="612" t="str">
        <f>IF($A85="","",VLOOKUP($A85,기본데이타!$A$8:$BV$103,COLUMN(기본데이타!AH$8),0))</f>
        <v/>
      </c>
      <c r="AE85" s="611" t="str">
        <f>IF($A85="","",VLOOKUP($A85,기본데이타!$A$8:$BV$103,COLUMN(기본데이타!AI$8),0))</f>
        <v/>
      </c>
      <c r="AF85" s="613" t="str">
        <f>IF($A85="","",VLOOKUP($A85,기본데이타!$A$8:$BV$103,COLUMN(기본데이타!AJ$8),0))</f>
        <v/>
      </c>
      <c r="AG85" s="614" t="str">
        <f>IF($A85="","",VLOOKUP($A85,기본데이타!$A$8:$BV$103,COLUMN(기본데이타!AK$8),0))</f>
        <v/>
      </c>
      <c r="AH85" s="614" t="str">
        <f>IF($A85="","",VLOOKUP($A85,기본데이타!$A$8:$BV$103,COLUMN(기본데이타!AL$8),0))</f>
        <v/>
      </c>
      <c r="AI85" s="614" t="str">
        <f>IF($A85="","",VLOOKUP($A85,기본데이타!$A$8:$BV$103,COLUMN(기본데이타!AM$8),0))</f>
        <v/>
      </c>
      <c r="AJ85" s="670" t="str">
        <f>IF($A85="","",VLOOKUP($A85,기본데이타!$A$8:$BV$103,COLUMN(기본데이타!AN$8),0))</f>
        <v/>
      </c>
      <c r="AK85" s="670" t="str">
        <f>IF($A85="","",VLOOKUP($A85,기본데이타!$A$8:$BV$103,COLUMN(기본데이타!AO$8),0))</f>
        <v/>
      </c>
      <c r="AL85" s="670" t="str">
        <f>IF($A85="","",VLOOKUP($A85,기본데이타!$A$8:$BV$103,COLUMN(기본데이타!AP$8),0))</f>
        <v/>
      </c>
      <c r="AM85" s="670" t="str">
        <f>IF($A85="","",VLOOKUP($A85,기본데이타!$A$8:$BV$103,COLUMN(기본데이타!AQ$8),0))</f>
        <v/>
      </c>
      <c r="AN85" s="670" t="str">
        <f>IF($A85="","",VLOOKUP($A85,기본데이타!$A$8:$BV$103,COLUMN(기본데이타!AR$8),0))</f>
        <v/>
      </c>
      <c r="AO85" s="670" t="str">
        <f>IF($A85="","",VLOOKUP($A85,기본데이타!$A$8:$BV$103,COLUMN(기본데이타!AS$8),0))</f>
        <v/>
      </c>
      <c r="AP85" s="670" t="str">
        <f>IF($A85="","",VLOOKUP($A85,기본데이타!$A$8:$BV$103,COLUMN(기본데이타!AT$8),0))</f>
        <v/>
      </c>
      <c r="AQ85" s="670" t="str">
        <f>IF($A85="","",VLOOKUP($A85,기본데이타!$A$8:$BV$103,COLUMN(기본데이타!AU$8),0))</f>
        <v/>
      </c>
      <c r="AR85" s="671" t="str">
        <f>IF($A85="","",VLOOKUP($A85,기본데이타!$A$8:$BV$103,COLUMN(기본데이타!AV$8),0))</f>
        <v/>
      </c>
      <c r="AS85" s="612" t="str">
        <f>IF($A85="","",VLOOKUP($A85,기본데이타!$A$8:$BV$103,COLUMN(기본데이타!AW$8),0))</f>
        <v/>
      </c>
      <c r="AT85" s="612" t="str">
        <f>IF($A85="","",VLOOKUP($A85,기본데이타!$A$8:$BV$103,COLUMN(기본데이타!AX$8),0))</f>
        <v/>
      </c>
      <c r="AU85" s="612" t="str">
        <f>IF($A85="","",VLOOKUP($A85,기본데이타!$A$8:$BV$103,COLUMN(기본데이타!AY$8),0))</f>
        <v/>
      </c>
      <c r="AV85" s="612" t="str">
        <f t="shared" si="8"/>
        <v/>
      </c>
      <c r="AW85" s="613" t="str">
        <f>IF($A85="","",VLOOKUP($A85,기본데이타!$A$8:$BV$103,COLUMN(기본데이타!BA$8),0))</f>
        <v/>
      </c>
      <c r="AX85" s="613" t="str">
        <f>IF($A85="","",VLOOKUP($A85,기본데이타!$A$8:$BV$103,COLUMN(기본데이타!BB$8),0))</f>
        <v/>
      </c>
      <c r="AY85" s="613" t="str">
        <f>IF($A85="","",VLOOKUP($A85,기본데이타!$A$8:$BV$103,COLUMN(기본데이타!BC$8),0))</f>
        <v/>
      </c>
      <c r="AZ85" s="613" t="str">
        <f>IF($A85="","",VLOOKUP($A85,기본데이타!$A$8:$BV$103,COLUMN(기본데이타!BD$8),0))</f>
        <v/>
      </c>
      <c r="BA85" s="613" t="str">
        <f>IF($A85="","",VLOOKUP($A85,기본데이타!$A$8:$BV$103,COLUMN(기본데이타!BE$8),0))</f>
        <v/>
      </c>
      <c r="BB85" s="613" t="str">
        <f>IF($A85="","",VLOOKUP($A85,기본데이타!$A$8:$BV$103,COLUMN(기본데이타!BF$8),0))</f>
        <v/>
      </c>
      <c r="BC85" s="613" t="str">
        <f>IF($A85="","",VLOOKUP($A85,기본데이타!$A$8:$BV$103,COLUMN(기본데이타!BG$8),0))</f>
        <v/>
      </c>
      <c r="BD85" s="1787" t="str">
        <f>IF($A85="","",VLOOKUP($A85,기본데이타!$A$8:$BV$103,COLUMN(기본데이타!BH$8),0))</f>
        <v/>
      </c>
      <c r="BE85" s="613" t="str">
        <f>IF($A85="","",VLOOKUP($A85,기본데이타!$A$8:$BV$103,COLUMN(기본데이타!BI$8),0))</f>
        <v/>
      </c>
      <c r="BF85" s="613" t="str">
        <f>IF($A85="","",VLOOKUP($A85,기본데이타!$A$8:$BV$103,COLUMN(기본데이타!BJ$8),0))</f>
        <v/>
      </c>
      <c r="BG85" s="613" t="str">
        <f>IF($A85="","",VLOOKUP($A85,기본데이타!$A$8:$BV$103,COLUMN(기본데이타!BK$8),0))</f>
        <v/>
      </c>
      <c r="BH85" s="613" t="str">
        <f>IF($A85="","",VLOOKUP($A85,기본데이타!$A$8:$BV$103,COLUMN(기본데이타!BL$8),0))</f>
        <v/>
      </c>
      <c r="BI85" s="613" t="str">
        <f>IF($A85="","",VLOOKUP($A85,기본데이타!$A$8:$BV$103,COLUMN(기본데이타!BM$8),0))</f>
        <v/>
      </c>
      <c r="BJ85" s="613" t="str">
        <f>IF($A85="","",VLOOKUP($A85,기본데이타!$A$8:$BV$103,COLUMN(기본데이타!BN$8),0))</f>
        <v/>
      </c>
      <c r="BK85" s="613" t="str">
        <f>IF($A85="","",VLOOKUP($A85,기본데이타!$A$8:$BV$103,COLUMN(기본데이타!BO$8),0))</f>
        <v/>
      </c>
      <c r="BL85" s="613" t="str">
        <f>IF($A85="","",VLOOKUP($A85,기본데이타!$A$8:$BV$103,COLUMN(기본데이타!BP$8),0))</f>
        <v/>
      </c>
      <c r="BM85" s="613" t="str">
        <f>IF($A85="","",VLOOKUP($A85,기본데이타!$A$8:$BV$103,COLUMN(기본데이타!BQ$8),0))</f>
        <v/>
      </c>
      <c r="BN85" s="616" t="str">
        <f>IF($A85="","",VLOOKUP($A85,기본데이타!$A$8:$BV$103,COLUMN(기본데이타!BR$8),0))</f>
        <v/>
      </c>
      <c r="BO85" s="617" t="str">
        <f>IF($A85="","",VLOOKUP($A85,기본데이타!$A$8:$BV$103,COLUMN(기본데이타!BS$8),0))</f>
        <v/>
      </c>
      <c r="BP85" s="628" t="str">
        <f>IF($A85="","",VLOOKUP($A85,기본데이타!$A$8:$BV$103,COLUMN(기본데이타!BT$8),0))</f>
        <v/>
      </c>
      <c r="BQ85" s="619" t="str">
        <f>IF($A85="","",VLOOKUP($A85,기본데이타!$A$8:$BV$103,COLUMN(기본데이타!BU$8),0))</f>
        <v/>
      </c>
      <c r="BR85" s="620" t="str">
        <f t="shared" si="9"/>
        <v/>
      </c>
    </row>
    <row r="86" spans="1:73" s="571" customFormat="1" ht="61.5" hidden="1" customHeight="1" outlineLevel="1">
      <c r="A86" s="578"/>
      <c r="B86" s="1642"/>
      <c r="C86" s="1743" t="s">
        <v>200</v>
      </c>
      <c r="D86" s="1744" t="str">
        <f>IF($A86="","",VLOOKUP($A86,기본데이타!$A$8:$BV$103,COLUMN(기본데이타!F$8),0))</f>
        <v/>
      </c>
      <c r="E86" s="1745" t="str">
        <f>IF($A86="","",VLOOKUP($A86,기본데이타!$A$8:$BV$103,COLUMN(기본데이타!G$8),0))</f>
        <v/>
      </c>
      <c r="F86" s="1746" t="str">
        <f>IF($A86="","",VLOOKUP($A86,기본데이타!$A$8:$BV$103,COLUMN(기본데이타!H$8),0))</f>
        <v/>
      </c>
      <c r="G86" s="1747" t="str">
        <f>IF($A86="","",VLOOKUP($A86,기본데이타!$A$8:$BV$103,COLUMN(기본데이타!I$8),0))</f>
        <v/>
      </c>
      <c r="H86" s="1747" t="str">
        <f>IF($A86="","",VLOOKUP($A86,기본데이타!$A$8:$BV$103,COLUMN(기본데이타!J$8),0))</f>
        <v/>
      </c>
      <c r="I86" s="1748" t="str">
        <f>IF($A86="","",VLOOKUP($A86,기본데이타!$A$8:$BV$103,COLUMN(기본데이타!K$8),0))</f>
        <v/>
      </c>
      <c r="J86" s="1748" t="str">
        <f>IF($A86="","",VLOOKUP($A86,기본데이타!$A$8:$BV$103,COLUMN(기본데이타!L$8),0))</f>
        <v/>
      </c>
      <c r="K86" s="1748" t="str">
        <f>IF($A86="","",VLOOKUP($A86,기본데이타!$A$8:$BV$103,COLUMN(기본데이타!M$8),0))</f>
        <v/>
      </c>
      <c r="L86" s="1749" t="str">
        <f>IF($A86="","",VLOOKUP($A86,기본데이타!$A$8:$BV$103,COLUMN(기본데이타!N$8),0))</f>
        <v/>
      </c>
      <c r="M86" s="1748" t="str">
        <f>IF($A86="","",VLOOKUP($A86,기본데이타!$A$8:$BV$103,COLUMN(기본데이타!O$8),0))</f>
        <v/>
      </c>
      <c r="N86" s="1749" t="str">
        <f>IF($A86="","",VLOOKUP($A86,기본데이타!$A$8:$BV$103,COLUMN(기본데이타!P$8),0))</f>
        <v/>
      </c>
      <c r="O86" s="1749" t="str">
        <f>IF($A86="","",VLOOKUP($A86,기본데이타!$A$8:$BV$103,COLUMN(기본데이타!Q$8),0))</f>
        <v/>
      </c>
      <c r="P86" s="1749" t="str">
        <f>IF($A86="","",VLOOKUP($A86,기본데이타!$A$8:$BV$103,COLUMN(기본데이타!R$8),0))</f>
        <v/>
      </c>
      <c r="Q86" s="1749" t="str">
        <f>IF($A86="","",VLOOKUP($A86,기본데이타!$A$8:$BV$103,COLUMN(기본데이타!S$8),0))</f>
        <v/>
      </c>
      <c r="R86" s="1749" t="str">
        <f>IF($A86="","",VLOOKUP($A86,기본데이타!$A$8:$BV$103,COLUMN(기본데이타!T$8),0))</f>
        <v/>
      </c>
      <c r="S86" s="1749" t="str">
        <f>IF($A86="","",VLOOKUP($A86,기본데이타!$A$8:$BV$103,COLUMN(기본데이타!U$8),0))</f>
        <v/>
      </c>
      <c r="T86" s="1749" t="str">
        <f>IF($A86="","",VLOOKUP($A86,기본데이타!$A$8:$BV$103,COLUMN(기본데이타!V$8),0))</f>
        <v/>
      </c>
      <c r="U86" s="1749" t="str">
        <f>IF($A86="","",VLOOKUP($A86,기본데이타!$A$8:$BV$103,COLUMN(기본데이타!W$8),0))</f>
        <v/>
      </c>
      <c r="V86" s="1749" t="str">
        <f>IF($A86="","",VLOOKUP($A86,기본데이타!$A$8:$BV$103,COLUMN(기본데이타!X$8),0))</f>
        <v/>
      </c>
      <c r="W86" s="1749" t="str">
        <f>IF($A86="","",VLOOKUP($A86,기본데이타!$A$8:$BV$103,COLUMN(기본데이타!AA$8),0))</f>
        <v/>
      </c>
      <c r="X86" s="1749" t="str">
        <f>IF($A86="","",VLOOKUP($A86,기본데이타!$A$8:$BV$103,COLUMN(기본데이타!AB$8),0))</f>
        <v/>
      </c>
      <c r="Y86" s="1748" t="str">
        <f>IF($A86="","",VLOOKUP($A86,기본데이타!$A$8:$BV$103,COLUMN(기본데이타!AC$8),0))</f>
        <v/>
      </c>
      <c r="Z86" s="1749" t="str">
        <f>IF($A86="","",VLOOKUP($A86,기본데이타!$A$8:$BV$103,COLUMN(기본데이타!AD$8),0))</f>
        <v/>
      </c>
      <c r="AA86" s="1748" t="str">
        <f>IF($A86="","",VLOOKUP($A86,기본데이타!$A$8:$BV$103,COLUMN(기본데이타!AE$8),0))</f>
        <v/>
      </c>
      <c r="AB86" s="1749" t="str">
        <f>IF($A86="","",VLOOKUP($A86,기본데이타!$A$8:$BV$103,COLUMN(기본데이타!AF$8),0))</f>
        <v/>
      </c>
      <c r="AC86" s="1748" t="str">
        <f>IF($A86="","",VLOOKUP($A86,기본데이타!$A$8:$BV$103,COLUMN(기본데이타!AG$8),0))</f>
        <v/>
      </c>
      <c r="AD86" s="1749" t="str">
        <f>IF($A86="","",VLOOKUP($A86,기본데이타!$A$8:$BV$103,COLUMN(기본데이타!AH$8),0))</f>
        <v/>
      </c>
      <c r="AE86" s="1748" t="str">
        <f>IF($A86="","",VLOOKUP($A86,기본데이타!$A$8:$BV$103,COLUMN(기본데이타!AI$8),0))</f>
        <v/>
      </c>
      <c r="AF86" s="1750" t="str">
        <f>IF($A86="","",VLOOKUP($A86,기본데이타!$A$8:$BV$103,COLUMN(기본데이타!AJ$8),0))</f>
        <v/>
      </c>
      <c r="AG86" s="1750" t="str">
        <f>IF($A86="","",VLOOKUP($A86,기본데이타!$A$8:$BV$103,COLUMN(기본데이타!AK$8),0))</f>
        <v/>
      </c>
      <c r="AH86" s="1750" t="str">
        <f>IF($A86="","",VLOOKUP($A86,기본데이타!$A$8:$BV$103,COLUMN(기본데이타!AL$8),0))</f>
        <v/>
      </c>
      <c r="AI86" s="1750" t="str">
        <f>IF($A86="","",VLOOKUP($A86,기본데이타!$A$8:$BV$103,COLUMN(기본데이타!AM$8),0))</f>
        <v/>
      </c>
      <c r="AJ86" s="1751" t="str">
        <f>IF($A86="","",VLOOKUP($A86,기본데이타!$A$8:$BV$103,COLUMN(기본데이타!AN$8),0))</f>
        <v/>
      </c>
      <c r="AK86" s="1751" t="str">
        <f>IF($A86="","",VLOOKUP($A86,기본데이타!$A$8:$BV$103,COLUMN(기본데이타!AO$8),0))</f>
        <v/>
      </c>
      <c r="AL86" s="1751" t="str">
        <f>IF($A86="","",VLOOKUP($A86,기본데이타!$A$8:$BV$103,COLUMN(기본데이타!AP$8),0))</f>
        <v/>
      </c>
      <c r="AM86" s="1751" t="str">
        <f>IF($A86="","",VLOOKUP($A86,기본데이타!$A$8:$BV$103,COLUMN(기본데이타!AQ$8),0))</f>
        <v/>
      </c>
      <c r="AN86" s="1751" t="str">
        <f>IF($A86="","",VLOOKUP($A86,기본데이타!$A$8:$BV$103,COLUMN(기본데이타!AR$8),0))</f>
        <v/>
      </c>
      <c r="AO86" s="1751" t="str">
        <f>IF($A86="","",VLOOKUP($A86,기본데이타!$A$8:$BV$103,COLUMN(기본데이타!AS$8),0))</f>
        <v/>
      </c>
      <c r="AP86" s="1751" t="str">
        <f>IF($A86="","",VLOOKUP($A86,기본데이타!$A$8:$BV$103,COLUMN(기본데이타!AT$8),0))</f>
        <v/>
      </c>
      <c r="AQ86" s="1751" t="str">
        <f>IF($A86="","",VLOOKUP($A86,기본데이타!$A$8:$BV$103,COLUMN(기본데이타!AU$8),0))</f>
        <v/>
      </c>
      <c r="AR86" s="1752" t="str">
        <f>IF($A86="","",VLOOKUP($A86,기본데이타!$A$8:$BV$103,COLUMN(기본데이타!AV$8),0))</f>
        <v/>
      </c>
      <c r="AS86" s="1749" t="str">
        <f>IF($A86="","",VLOOKUP($A86,기본데이타!$A$8:$BV$103,COLUMN(기본데이타!AW$8),0))</f>
        <v/>
      </c>
      <c r="AT86" s="1749" t="str">
        <f>IF($A86="","",VLOOKUP($A86,기본데이타!$A$8:$BV$103,COLUMN(기본데이타!AX$8),0))</f>
        <v/>
      </c>
      <c r="AU86" s="1749" t="str">
        <f>IF($A86="","",VLOOKUP($A86,기본데이타!$A$8:$BV$103,COLUMN(기본데이타!AY$8),0))</f>
        <v/>
      </c>
      <c r="AV86" s="1749" t="str">
        <f t="shared" ref="AV86:AV107" si="10">IF(AS86="","",SUM(AS86:AU86))</f>
        <v/>
      </c>
      <c r="AW86" s="1750" t="str">
        <f>IF($A86="","",VLOOKUP($A86,기본데이타!$A$8:$BV$103,COLUMN(기본데이타!BA$8),0))</f>
        <v/>
      </c>
      <c r="AX86" s="1750" t="str">
        <f>IF($A86="","",VLOOKUP($A86,기본데이타!$A$8:$BV$103,COLUMN(기본데이타!BB$8),0))</f>
        <v/>
      </c>
      <c r="AY86" s="1750" t="str">
        <f>IF($A86="","",VLOOKUP($A86,기본데이타!$A$8:$BV$103,COLUMN(기본데이타!BC$8),0))</f>
        <v/>
      </c>
      <c r="AZ86" s="1750" t="str">
        <f>IF($A86="","",VLOOKUP($A86,기본데이타!$A$8:$BV$103,COLUMN(기본데이타!BD$8),0))</f>
        <v/>
      </c>
      <c r="BA86" s="1750" t="str">
        <f>IF($A86="","",VLOOKUP($A86,기본데이타!$A$8:$BV$103,COLUMN(기본데이타!BE$8),0))</f>
        <v/>
      </c>
      <c r="BB86" s="1750" t="str">
        <f>IF($A86="","",VLOOKUP($A86,기본데이타!$A$8:$BV$103,COLUMN(기본데이타!BF$8),0))</f>
        <v/>
      </c>
      <c r="BC86" s="1750" t="str">
        <f>IF($A86="","",VLOOKUP($A86,기본데이타!$A$8:$BV$103,COLUMN(기본데이타!BG$8),0))</f>
        <v/>
      </c>
      <c r="BD86" s="1750" t="str">
        <f>IF($A86="","",VLOOKUP($A86,기본데이타!$A$8:$BV$103,COLUMN(기본데이타!BH$8),0))</f>
        <v/>
      </c>
      <c r="BE86" s="1750" t="str">
        <f>IF($A86="","",VLOOKUP($A86,기본데이타!$A$8:$BV$103,COLUMN(기본데이타!BI$8),0))</f>
        <v/>
      </c>
      <c r="BF86" s="1750" t="str">
        <f>IF($A86="","",VLOOKUP($A86,기본데이타!$A$8:$BV$103,COLUMN(기본데이타!BJ$8),0))</f>
        <v/>
      </c>
      <c r="BG86" s="1750" t="str">
        <f>IF($A86="","",VLOOKUP($A86,기본데이타!$A$8:$BV$103,COLUMN(기본데이타!BK$8),0))</f>
        <v/>
      </c>
      <c r="BH86" s="1750" t="str">
        <f>IF($A86="","",VLOOKUP($A86,기본데이타!$A$8:$BV$103,COLUMN(기본데이타!BL$8),0))</f>
        <v/>
      </c>
      <c r="BI86" s="1750" t="str">
        <f>IF($A86="","",VLOOKUP($A86,기본데이타!$A$8:$BV$103,COLUMN(기본데이타!BM$8),0))</f>
        <v/>
      </c>
      <c r="BJ86" s="1750" t="str">
        <f>IF($A86="","",VLOOKUP($A86,기본데이타!$A$8:$BV$103,COLUMN(기본데이타!BN$8),0))</f>
        <v/>
      </c>
      <c r="BK86" s="1750" t="str">
        <f>IF($A86="","",VLOOKUP($A86,기본데이타!$A$8:$BV$103,COLUMN(기본데이타!BO$8),0))</f>
        <v/>
      </c>
      <c r="BL86" s="1750" t="str">
        <f>IF($A86="","",VLOOKUP($A86,기본데이타!$A$8:$BV$103,COLUMN(기본데이타!BP$8),0))</f>
        <v/>
      </c>
      <c r="BM86" s="1750" t="str">
        <f>IF($A86="","",VLOOKUP($A86,기본데이타!$A$8:$BV$103,COLUMN(기본데이타!BQ$8),0))</f>
        <v/>
      </c>
      <c r="BN86" s="1753" t="str">
        <f>IF($A86="","",VLOOKUP($A86,기본데이타!$A$8:$BV$103,COLUMN(기본데이타!BR$8),0))</f>
        <v/>
      </c>
      <c r="BO86" s="1754" t="str">
        <f>IF($A86="","",VLOOKUP($A86,기본데이타!$A$8:$BV$103,COLUMN(기본데이타!BS$8),0))</f>
        <v/>
      </c>
      <c r="BP86" s="1755" t="str">
        <f>IF($A86="","",VLOOKUP($A86,기본데이타!$A$8:$BV$103,COLUMN(기본데이타!BT$8),0))</f>
        <v/>
      </c>
      <c r="BQ86" s="1756" t="str">
        <f>IF($A86="","",VLOOKUP($A86,기본데이타!$A$8:$BV$103,COLUMN(기본데이타!BU$8),0))</f>
        <v/>
      </c>
      <c r="BR86" s="1757" t="str">
        <f t="shared" ref="BR86:BR107" si="11">IF($A86="","",A86)</f>
        <v/>
      </c>
    </row>
    <row r="87" spans="1:73" s="571" customFormat="1" ht="61.5" hidden="1" customHeight="1" outlineLevel="1">
      <c r="A87" s="578"/>
      <c r="B87" s="1642"/>
      <c r="C87" s="590"/>
      <c r="D87" s="591" t="str">
        <f>IF($A87="","",VLOOKUP($A87,기본데이타!$A$8:$BV$103,COLUMN(기본데이타!F$8),0))</f>
        <v/>
      </c>
      <c r="E87" s="592" t="str">
        <f>IF($A87="","",VLOOKUP($A87,기본데이타!$A$8:$BV$103,COLUMN(기본데이타!G$8),0))</f>
        <v/>
      </c>
      <c r="F87" s="593" t="str">
        <f>IF($A87="","",VLOOKUP($A87,기본데이타!$A$8:$BV$103,COLUMN(기본데이타!H$8),0))</f>
        <v/>
      </c>
      <c r="G87" s="594" t="str">
        <f>IF($A87="","",VLOOKUP($A87,기본데이타!$A$8:$BV$103,COLUMN(기본데이타!I$8),0))</f>
        <v/>
      </c>
      <c r="H87" s="594" t="str">
        <f>IF($A87="","",VLOOKUP($A87,기본데이타!$A$8:$BV$103,COLUMN(기본데이타!J$8),0))</f>
        <v/>
      </c>
      <c r="I87" s="595" t="str">
        <f>IF($A87="","",VLOOKUP($A87,기본데이타!$A$8:$BV$103,COLUMN(기본데이타!K$8),0))</f>
        <v/>
      </c>
      <c r="J87" s="595" t="str">
        <f>IF($A87="","",VLOOKUP($A87,기본데이타!$A$8:$BV$103,COLUMN(기본데이타!L$8),0))</f>
        <v/>
      </c>
      <c r="K87" s="595" t="str">
        <f>IF($A87="","",VLOOKUP($A87,기본데이타!$A$8:$BV$103,COLUMN(기본데이타!M$8),0))</f>
        <v/>
      </c>
      <c r="L87" s="596" t="str">
        <f>IF($A87="","",VLOOKUP($A87,기본데이타!$A$8:$BV$103,COLUMN(기본데이타!N$8),0))</f>
        <v/>
      </c>
      <c r="M87" s="595" t="str">
        <f>IF($A87="","",VLOOKUP($A87,기본데이타!$A$8:$BV$103,COLUMN(기본데이타!O$8),0))</f>
        <v/>
      </c>
      <c r="N87" s="596" t="str">
        <f>IF($A87="","",VLOOKUP($A87,기본데이타!$A$8:$BV$103,COLUMN(기본데이타!P$8),0))</f>
        <v/>
      </c>
      <c r="O87" s="596" t="str">
        <f>IF($A87="","",VLOOKUP($A87,기본데이타!$A$8:$BV$103,COLUMN(기본데이타!Q$8),0))</f>
        <v/>
      </c>
      <c r="P87" s="596" t="str">
        <f>IF($A87="","",VLOOKUP($A87,기본데이타!$A$8:$BV$103,COLUMN(기본데이타!R$8),0))</f>
        <v/>
      </c>
      <c r="Q87" s="596" t="str">
        <f>IF($A87="","",VLOOKUP($A87,기본데이타!$A$8:$BV$103,COLUMN(기본데이타!S$8),0))</f>
        <v/>
      </c>
      <c r="R87" s="596" t="str">
        <f>IF($A87="","",VLOOKUP($A87,기본데이타!$A$8:$BV$103,COLUMN(기본데이타!T$8),0))</f>
        <v/>
      </c>
      <c r="S87" s="596" t="str">
        <f>IF($A87="","",VLOOKUP($A87,기본데이타!$A$8:$BV$103,COLUMN(기본데이타!U$8),0))</f>
        <v/>
      </c>
      <c r="T87" s="596" t="str">
        <f>IF($A87="","",VLOOKUP($A87,기본데이타!$A$8:$BV$103,COLUMN(기본데이타!V$8),0))</f>
        <v/>
      </c>
      <c r="U87" s="596" t="str">
        <f>IF($A87="","",VLOOKUP($A87,기본데이타!$A$8:$BV$103,COLUMN(기본데이타!W$8),0))</f>
        <v/>
      </c>
      <c r="V87" s="596" t="str">
        <f>IF($A87="","",VLOOKUP($A87,기본데이타!$A$8:$BV$103,COLUMN(기본데이타!X$8),0))</f>
        <v/>
      </c>
      <c r="W87" s="596" t="str">
        <f>IF($A87="","",VLOOKUP($A87,기본데이타!$A$8:$BV$103,COLUMN(기본데이타!AA$8),0))</f>
        <v/>
      </c>
      <c r="X87" s="596" t="str">
        <f>IF($A87="","",VLOOKUP($A87,기본데이타!$A$8:$BV$103,COLUMN(기본데이타!AB$8),0))</f>
        <v/>
      </c>
      <c r="Y87" s="595" t="str">
        <f>IF($A87="","",VLOOKUP($A87,기본데이타!$A$8:$BV$103,COLUMN(기본데이타!AC$8),0))</f>
        <v/>
      </c>
      <c r="Z87" s="596" t="str">
        <f>IF($A87="","",VLOOKUP($A87,기본데이타!$A$8:$BV$103,COLUMN(기본데이타!AD$8),0))</f>
        <v/>
      </c>
      <c r="AA87" s="595" t="str">
        <f>IF($A87="","",VLOOKUP($A87,기본데이타!$A$8:$BV$103,COLUMN(기본데이타!AE$8),0))</f>
        <v/>
      </c>
      <c r="AB87" s="596" t="str">
        <f>IF($A87="","",VLOOKUP($A87,기본데이타!$A$8:$BV$103,COLUMN(기본데이타!AF$8),0))</f>
        <v/>
      </c>
      <c r="AC87" s="595" t="str">
        <f>IF($A87="","",VLOOKUP($A87,기본데이타!$A$8:$BV$103,COLUMN(기본데이타!AG$8),0))</f>
        <v/>
      </c>
      <c r="AD87" s="596" t="str">
        <f>IF($A87="","",VLOOKUP($A87,기본데이타!$A$8:$BV$103,COLUMN(기본데이타!AH$8),0))</f>
        <v/>
      </c>
      <c r="AE87" s="595" t="str">
        <f>IF($A87="","",VLOOKUP($A87,기본데이타!$A$8:$BV$103,COLUMN(기본데이타!AI$8),0))</f>
        <v/>
      </c>
      <c r="AF87" s="597" t="str">
        <f>IF($A87="","",VLOOKUP($A87,기본데이타!$A$8:$BV$103,COLUMN(기본데이타!AJ$8),0))</f>
        <v/>
      </c>
      <c r="AG87" s="597" t="str">
        <f>IF($A87="","",VLOOKUP($A87,기본데이타!$A$8:$BV$103,COLUMN(기본데이타!AK$8),0))</f>
        <v/>
      </c>
      <c r="AH87" s="597" t="str">
        <f>IF($A87="","",VLOOKUP($A87,기본데이타!$A$8:$BV$103,COLUMN(기본데이타!AL$8),0))</f>
        <v/>
      </c>
      <c r="AI87" s="597" t="str">
        <f>IF($A87="","",VLOOKUP($A87,기본데이타!$A$8:$BV$103,COLUMN(기본데이타!AM$8),0))</f>
        <v/>
      </c>
      <c r="AJ87" s="642" t="str">
        <f>IF($A87="","",VLOOKUP($A87,기본데이타!$A$8:$BV$103,COLUMN(기본데이타!AN$8),0))</f>
        <v/>
      </c>
      <c r="AK87" s="642" t="str">
        <f>IF($A87="","",VLOOKUP($A87,기본데이타!$A$8:$BV$103,COLUMN(기본데이타!AO$8),0))</f>
        <v/>
      </c>
      <c r="AL87" s="642" t="str">
        <f>IF($A87="","",VLOOKUP($A87,기본데이타!$A$8:$BV$103,COLUMN(기본데이타!AP$8),0))</f>
        <v/>
      </c>
      <c r="AM87" s="642" t="str">
        <f>IF($A87="","",VLOOKUP($A87,기본데이타!$A$8:$BV$103,COLUMN(기본데이타!AQ$8),0))</f>
        <v/>
      </c>
      <c r="AN87" s="642" t="str">
        <f>IF($A87="","",VLOOKUP($A87,기본데이타!$A$8:$BV$103,COLUMN(기본데이타!AR$8),0))</f>
        <v/>
      </c>
      <c r="AO87" s="642" t="str">
        <f>IF($A87="","",VLOOKUP($A87,기본데이타!$A$8:$BV$103,COLUMN(기본데이타!AS$8),0))</f>
        <v/>
      </c>
      <c r="AP87" s="642" t="str">
        <f>IF($A87="","",VLOOKUP($A87,기본데이타!$A$8:$BV$103,COLUMN(기본데이타!AT$8),0))</f>
        <v/>
      </c>
      <c r="AQ87" s="642" t="str">
        <f>IF($A87="","",VLOOKUP($A87,기본데이타!$A$8:$BV$103,COLUMN(기본데이타!AU$8),0))</f>
        <v/>
      </c>
      <c r="AR87" s="643" t="str">
        <f>IF($A87="","",VLOOKUP($A87,기본데이타!$A$8:$BV$103,COLUMN(기본데이타!AV$8),0))</f>
        <v/>
      </c>
      <c r="AS87" s="596" t="str">
        <f>IF($A87="","",VLOOKUP($A87,기본데이타!$A$8:$BV$103,COLUMN(기본데이타!AW$8),0))</f>
        <v/>
      </c>
      <c r="AT87" s="596" t="str">
        <f>IF($A87="","",VLOOKUP($A87,기본데이타!$A$8:$BV$103,COLUMN(기본데이타!AX$8),0))</f>
        <v/>
      </c>
      <c r="AU87" s="596" t="str">
        <f>IF($A87="","",VLOOKUP($A87,기본데이타!$A$8:$BV$103,COLUMN(기본데이타!AY$8),0))</f>
        <v/>
      </c>
      <c r="AV87" s="596" t="str">
        <f t="shared" si="10"/>
        <v/>
      </c>
      <c r="AW87" s="597" t="str">
        <f>IF($A87="","",VLOOKUP($A87,기본데이타!$A$8:$BV$103,COLUMN(기본데이타!BA$8),0))</f>
        <v/>
      </c>
      <c r="AX87" s="597" t="str">
        <f>IF($A87="","",VLOOKUP($A87,기본데이타!$A$8:$BV$103,COLUMN(기본데이타!BB$8),0))</f>
        <v/>
      </c>
      <c r="AY87" s="597" t="str">
        <f>IF($A87="","",VLOOKUP($A87,기본데이타!$A$8:$BV$103,COLUMN(기본데이타!BC$8),0))</f>
        <v/>
      </c>
      <c r="AZ87" s="597" t="str">
        <f>IF($A87="","",VLOOKUP($A87,기본데이타!$A$8:$BV$103,COLUMN(기본데이타!BD$8),0))</f>
        <v/>
      </c>
      <c r="BA87" s="597" t="str">
        <f>IF($A87="","",VLOOKUP($A87,기본데이타!$A$8:$BV$103,COLUMN(기본데이타!BE$8),0))</f>
        <v/>
      </c>
      <c r="BB87" s="597" t="str">
        <f>IF($A87="","",VLOOKUP($A87,기본데이타!$A$8:$BV$103,COLUMN(기본데이타!BF$8),0))</f>
        <v/>
      </c>
      <c r="BC87" s="597" t="str">
        <f>IF($A87="","",VLOOKUP($A87,기본데이타!$A$8:$BV$103,COLUMN(기본데이타!BG$8),0))</f>
        <v/>
      </c>
      <c r="BD87" s="597" t="str">
        <f>IF($A87="","",VLOOKUP($A87,기본데이타!$A$8:$BV$103,COLUMN(기본데이타!BH$8),0))</f>
        <v/>
      </c>
      <c r="BE87" s="597" t="str">
        <f>IF($A87="","",VLOOKUP($A87,기본데이타!$A$8:$BV$103,COLUMN(기본데이타!BI$8),0))</f>
        <v/>
      </c>
      <c r="BF87" s="597" t="str">
        <f>IF($A87="","",VLOOKUP($A87,기본데이타!$A$8:$BV$103,COLUMN(기본데이타!BJ$8),0))</f>
        <v/>
      </c>
      <c r="BG87" s="597" t="str">
        <f>IF($A87="","",VLOOKUP($A87,기본데이타!$A$8:$BV$103,COLUMN(기본데이타!BK$8),0))</f>
        <v/>
      </c>
      <c r="BH87" s="597" t="str">
        <f>IF($A87="","",VLOOKUP($A87,기본데이타!$A$8:$BV$103,COLUMN(기본데이타!BL$8),0))</f>
        <v/>
      </c>
      <c r="BI87" s="597" t="str">
        <f>IF($A87="","",VLOOKUP($A87,기본데이타!$A$8:$BV$103,COLUMN(기본데이타!BM$8),0))</f>
        <v/>
      </c>
      <c r="BJ87" s="597" t="str">
        <f>IF($A87="","",VLOOKUP($A87,기본데이타!$A$8:$BV$103,COLUMN(기본데이타!BN$8),0))</f>
        <v/>
      </c>
      <c r="BK87" s="597" t="str">
        <f>IF($A87="","",VLOOKUP($A87,기본데이타!$A$8:$BV$103,COLUMN(기본데이타!BO$8),0))</f>
        <v/>
      </c>
      <c r="BL87" s="597" t="str">
        <f>IF($A87="","",VLOOKUP($A87,기본데이타!$A$8:$BV$103,COLUMN(기본데이타!BP$8),0))</f>
        <v/>
      </c>
      <c r="BM87" s="597" t="str">
        <f>IF($A87="","",VLOOKUP($A87,기본데이타!$A$8:$BV$103,COLUMN(기본데이타!BQ$8),0))</f>
        <v/>
      </c>
      <c r="BN87" s="599" t="str">
        <f>IF($A87="","",VLOOKUP($A87,기본데이타!$A$8:$BV$103,COLUMN(기본데이타!BR$8),0))</f>
        <v/>
      </c>
      <c r="BO87" s="600" t="str">
        <f>IF($A87="","",VLOOKUP($A87,기본데이타!$A$8:$BV$103,COLUMN(기본데이타!BS$8),0))</f>
        <v/>
      </c>
      <c r="BP87" s="623" t="str">
        <f>IF($A87="","",VLOOKUP($A87,기본데이타!$A$8:$BV$103,COLUMN(기본데이타!BT$8),0))</f>
        <v/>
      </c>
      <c r="BQ87" s="602" t="str">
        <f>IF($A87="","",VLOOKUP($A87,기본데이타!$A$8:$BV$103,COLUMN(기본데이타!BU$8),0))</f>
        <v/>
      </c>
      <c r="BR87" s="603" t="str">
        <f t="shared" si="11"/>
        <v/>
      </c>
    </row>
    <row r="88" spans="1:73" s="571" customFormat="1" ht="61.5" hidden="1" customHeight="1" outlineLevel="1">
      <c r="A88" s="578"/>
      <c r="B88" s="1642"/>
      <c r="C88" s="590"/>
      <c r="D88" s="591" t="str">
        <f>IF($A88="","",VLOOKUP($A88,기본데이타!$A$8:$BV$103,COLUMN(기본데이타!F$8),0))</f>
        <v/>
      </c>
      <c r="E88" s="592" t="str">
        <f>IF($A88="","",VLOOKUP($A88,기본데이타!$A$8:$BV$103,COLUMN(기본데이타!G$8),0))</f>
        <v/>
      </c>
      <c r="F88" s="593" t="str">
        <f>IF($A88="","",VLOOKUP($A88,기본데이타!$A$8:$BV$103,COLUMN(기본데이타!H$8),0))</f>
        <v/>
      </c>
      <c r="G88" s="594" t="str">
        <f>IF($A88="","",VLOOKUP($A88,기본데이타!$A$8:$BV$103,COLUMN(기본데이타!I$8),0))</f>
        <v/>
      </c>
      <c r="H88" s="594" t="str">
        <f>IF($A88="","",VLOOKUP($A88,기본데이타!$A$8:$BV$103,COLUMN(기본데이타!J$8),0))</f>
        <v/>
      </c>
      <c r="I88" s="595" t="str">
        <f>IF($A88="","",VLOOKUP($A88,기본데이타!$A$8:$BV$103,COLUMN(기본데이타!K$8),0))</f>
        <v/>
      </c>
      <c r="J88" s="595" t="str">
        <f>IF($A88="","",VLOOKUP($A88,기본데이타!$A$8:$BV$103,COLUMN(기본데이타!L$8),0))</f>
        <v/>
      </c>
      <c r="K88" s="595" t="str">
        <f>IF($A88="","",VLOOKUP($A88,기본데이타!$A$8:$BV$103,COLUMN(기본데이타!M$8),0))</f>
        <v/>
      </c>
      <c r="L88" s="596" t="str">
        <f>IF($A88="","",VLOOKUP($A88,기본데이타!$A$8:$BV$103,COLUMN(기본데이타!N$8),0))</f>
        <v/>
      </c>
      <c r="M88" s="595" t="str">
        <f>IF($A88="","",VLOOKUP($A88,기본데이타!$A$8:$BV$103,COLUMN(기본데이타!O$8),0))</f>
        <v/>
      </c>
      <c r="N88" s="596" t="str">
        <f>IF($A88="","",VLOOKUP($A88,기본데이타!$A$8:$BV$103,COLUMN(기본데이타!P$8),0))</f>
        <v/>
      </c>
      <c r="O88" s="596" t="str">
        <f>IF($A88="","",VLOOKUP($A88,기본데이타!$A$8:$BV$103,COLUMN(기본데이타!Q$8),0))</f>
        <v/>
      </c>
      <c r="P88" s="596" t="str">
        <f>IF($A88="","",VLOOKUP($A88,기본데이타!$A$8:$BV$103,COLUMN(기본데이타!R$8),0))</f>
        <v/>
      </c>
      <c r="Q88" s="596" t="str">
        <f>IF($A88="","",VLOOKUP($A88,기본데이타!$A$8:$BV$103,COLUMN(기본데이타!S$8),0))</f>
        <v/>
      </c>
      <c r="R88" s="596" t="str">
        <f>IF($A88="","",VLOOKUP($A88,기본데이타!$A$8:$BV$103,COLUMN(기본데이타!T$8),0))</f>
        <v/>
      </c>
      <c r="S88" s="596" t="str">
        <f>IF($A88="","",VLOOKUP($A88,기본데이타!$A$8:$BV$103,COLUMN(기본데이타!U$8),0))</f>
        <v/>
      </c>
      <c r="T88" s="596" t="str">
        <f>IF($A88="","",VLOOKUP($A88,기본데이타!$A$8:$BV$103,COLUMN(기본데이타!V$8),0))</f>
        <v/>
      </c>
      <c r="U88" s="596" t="str">
        <f>IF($A88="","",VLOOKUP($A88,기본데이타!$A$8:$BV$103,COLUMN(기본데이타!W$8),0))</f>
        <v/>
      </c>
      <c r="V88" s="596" t="str">
        <f>IF($A88="","",VLOOKUP($A88,기본데이타!$A$8:$BV$103,COLUMN(기본데이타!X$8),0))</f>
        <v/>
      </c>
      <c r="W88" s="596" t="str">
        <f>IF($A88="","",VLOOKUP($A88,기본데이타!$A$8:$BV$103,COLUMN(기본데이타!AA$8),0))</f>
        <v/>
      </c>
      <c r="X88" s="596" t="str">
        <f>IF($A88="","",VLOOKUP($A88,기본데이타!$A$8:$BV$103,COLUMN(기본데이타!AB$8),0))</f>
        <v/>
      </c>
      <c r="Y88" s="595" t="str">
        <f>IF($A88="","",VLOOKUP($A88,기본데이타!$A$8:$BV$103,COLUMN(기본데이타!AC$8),0))</f>
        <v/>
      </c>
      <c r="Z88" s="596" t="str">
        <f>IF($A88="","",VLOOKUP($A88,기본데이타!$A$8:$BV$103,COLUMN(기본데이타!AD$8),0))</f>
        <v/>
      </c>
      <c r="AA88" s="595" t="str">
        <f>IF($A88="","",VLOOKUP($A88,기본데이타!$A$8:$BV$103,COLUMN(기본데이타!AE$8),0))</f>
        <v/>
      </c>
      <c r="AB88" s="596" t="str">
        <f>IF($A88="","",VLOOKUP($A88,기본데이타!$A$8:$BV$103,COLUMN(기본데이타!AF$8),0))</f>
        <v/>
      </c>
      <c r="AC88" s="595" t="str">
        <f>IF($A88="","",VLOOKUP($A88,기본데이타!$A$8:$BV$103,COLUMN(기본데이타!AG$8),0))</f>
        <v/>
      </c>
      <c r="AD88" s="596" t="str">
        <f>IF($A88="","",VLOOKUP($A88,기본데이타!$A$8:$BV$103,COLUMN(기본데이타!AH$8),0))</f>
        <v/>
      </c>
      <c r="AE88" s="595" t="str">
        <f>IF($A88="","",VLOOKUP($A88,기본데이타!$A$8:$BV$103,COLUMN(기본데이타!AI$8),0))</f>
        <v/>
      </c>
      <c r="AF88" s="597" t="str">
        <f>IF($A88="","",VLOOKUP($A88,기본데이타!$A$8:$BV$103,COLUMN(기본데이타!AJ$8),0))</f>
        <v/>
      </c>
      <c r="AG88" s="597" t="str">
        <f>IF($A88="","",VLOOKUP($A88,기본데이타!$A$8:$BV$103,COLUMN(기본데이타!AK$8),0))</f>
        <v/>
      </c>
      <c r="AH88" s="597" t="str">
        <f>IF($A88="","",VLOOKUP($A88,기본데이타!$A$8:$BV$103,COLUMN(기본데이타!AL$8),0))</f>
        <v/>
      </c>
      <c r="AI88" s="597" t="str">
        <f>IF($A88="","",VLOOKUP($A88,기본데이타!$A$8:$BV$103,COLUMN(기본데이타!AM$8),0))</f>
        <v/>
      </c>
      <c r="AJ88" s="642" t="str">
        <f>IF($A88="","",VLOOKUP($A88,기본데이타!$A$8:$BV$103,COLUMN(기본데이타!AN$8),0))</f>
        <v/>
      </c>
      <c r="AK88" s="642" t="str">
        <f>IF($A88="","",VLOOKUP($A88,기본데이타!$A$8:$BV$103,COLUMN(기본데이타!AO$8),0))</f>
        <v/>
      </c>
      <c r="AL88" s="642" t="str">
        <f>IF($A88="","",VLOOKUP($A88,기본데이타!$A$8:$BV$103,COLUMN(기본데이타!AP$8),0))</f>
        <v/>
      </c>
      <c r="AM88" s="642" t="str">
        <f>IF($A88="","",VLOOKUP($A88,기본데이타!$A$8:$BV$103,COLUMN(기본데이타!AQ$8),0))</f>
        <v/>
      </c>
      <c r="AN88" s="642" t="str">
        <f>IF($A88="","",VLOOKUP($A88,기본데이타!$A$8:$BV$103,COLUMN(기본데이타!AR$8),0))</f>
        <v/>
      </c>
      <c r="AO88" s="642" t="str">
        <f>IF($A88="","",VLOOKUP($A88,기본데이타!$A$8:$BV$103,COLUMN(기본데이타!AS$8),0))</f>
        <v/>
      </c>
      <c r="AP88" s="642" t="str">
        <f>IF($A88="","",VLOOKUP($A88,기본데이타!$A$8:$BV$103,COLUMN(기본데이타!AT$8),0))</f>
        <v/>
      </c>
      <c r="AQ88" s="642" t="str">
        <f>IF($A88="","",VLOOKUP($A88,기본데이타!$A$8:$BV$103,COLUMN(기본데이타!AU$8),0))</f>
        <v/>
      </c>
      <c r="AR88" s="643" t="str">
        <f>IF($A88="","",VLOOKUP($A88,기본데이타!$A$8:$BV$103,COLUMN(기본데이타!AV$8),0))</f>
        <v/>
      </c>
      <c r="AS88" s="596" t="str">
        <f>IF($A88="","",VLOOKUP($A88,기본데이타!$A$8:$BV$103,COLUMN(기본데이타!AW$8),0))</f>
        <v/>
      </c>
      <c r="AT88" s="596" t="str">
        <f>IF($A88="","",VLOOKUP($A88,기본데이타!$A$8:$BV$103,COLUMN(기본데이타!AX$8),0))</f>
        <v/>
      </c>
      <c r="AU88" s="596" t="str">
        <f>IF($A88="","",VLOOKUP($A88,기본데이타!$A$8:$BV$103,COLUMN(기본데이타!AY$8),0))</f>
        <v/>
      </c>
      <c r="AV88" s="596" t="str">
        <f t="shared" si="10"/>
        <v/>
      </c>
      <c r="AW88" s="597" t="str">
        <f>IF($A88="","",VLOOKUP($A88,기본데이타!$A$8:$BV$103,COLUMN(기본데이타!BA$8),0))</f>
        <v/>
      </c>
      <c r="AX88" s="597" t="str">
        <f>IF($A88="","",VLOOKUP($A88,기본데이타!$A$8:$BV$103,COLUMN(기본데이타!BB$8),0))</f>
        <v/>
      </c>
      <c r="AY88" s="597" t="str">
        <f>IF($A88="","",VLOOKUP($A88,기본데이타!$A$8:$BV$103,COLUMN(기본데이타!BC$8),0))</f>
        <v/>
      </c>
      <c r="AZ88" s="597" t="str">
        <f>IF($A88="","",VLOOKUP($A88,기본데이타!$A$8:$BV$103,COLUMN(기본데이타!BD$8),0))</f>
        <v/>
      </c>
      <c r="BA88" s="597" t="str">
        <f>IF($A88="","",VLOOKUP($A88,기본데이타!$A$8:$BV$103,COLUMN(기본데이타!BE$8),0))</f>
        <v/>
      </c>
      <c r="BB88" s="597" t="str">
        <f>IF($A88="","",VLOOKUP($A88,기본데이타!$A$8:$BV$103,COLUMN(기본데이타!BF$8),0))</f>
        <v/>
      </c>
      <c r="BC88" s="597" t="str">
        <f>IF($A88="","",VLOOKUP($A88,기본데이타!$A$8:$BV$103,COLUMN(기본데이타!BG$8),0))</f>
        <v/>
      </c>
      <c r="BD88" s="597" t="str">
        <f>IF($A88="","",VLOOKUP($A88,기본데이타!$A$8:$BV$103,COLUMN(기본데이타!BH$8),0))</f>
        <v/>
      </c>
      <c r="BE88" s="597" t="str">
        <f>IF($A88="","",VLOOKUP($A88,기본데이타!$A$8:$BV$103,COLUMN(기본데이타!BI$8),0))</f>
        <v/>
      </c>
      <c r="BF88" s="597" t="str">
        <f>IF($A88="","",VLOOKUP($A88,기본데이타!$A$8:$BV$103,COLUMN(기본데이타!BJ$8),0))</f>
        <v/>
      </c>
      <c r="BG88" s="597" t="str">
        <f>IF($A88="","",VLOOKUP($A88,기본데이타!$A$8:$BV$103,COLUMN(기본데이타!BK$8),0))</f>
        <v/>
      </c>
      <c r="BH88" s="597" t="str">
        <f>IF($A88="","",VLOOKUP($A88,기본데이타!$A$8:$BV$103,COLUMN(기본데이타!BL$8),0))</f>
        <v/>
      </c>
      <c r="BI88" s="597" t="str">
        <f>IF($A88="","",VLOOKUP($A88,기본데이타!$A$8:$BV$103,COLUMN(기본데이타!BM$8),0))</f>
        <v/>
      </c>
      <c r="BJ88" s="597" t="str">
        <f>IF($A88="","",VLOOKUP($A88,기본데이타!$A$8:$BV$103,COLUMN(기본데이타!BN$8),0))</f>
        <v/>
      </c>
      <c r="BK88" s="597" t="str">
        <f>IF($A88="","",VLOOKUP($A88,기본데이타!$A$8:$BV$103,COLUMN(기본데이타!BO$8),0))</f>
        <v/>
      </c>
      <c r="BL88" s="597" t="str">
        <f>IF($A88="","",VLOOKUP($A88,기본데이타!$A$8:$BV$103,COLUMN(기본데이타!BP$8),0))</f>
        <v/>
      </c>
      <c r="BM88" s="597" t="str">
        <f>IF($A88="","",VLOOKUP($A88,기본데이타!$A$8:$BV$103,COLUMN(기본데이타!BQ$8),0))</f>
        <v/>
      </c>
      <c r="BN88" s="599" t="str">
        <f>IF($A88="","",VLOOKUP($A88,기본데이타!$A$8:$BV$103,COLUMN(기본데이타!BR$8),0))</f>
        <v/>
      </c>
      <c r="BO88" s="600" t="str">
        <f>IF($A88="","",VLOOKUP($A88,기본데이타!$A$8:$BV$103,COLUMN(기본데이타!BS$8),0))</f>
        <v/>
      </c>
      <c r="BP88" s="623" t="str">
        <f>IF($A88="","",VLOOKUP($A88,기본데이타!$A$8:$BV$103,COLUMN(기본데이타!BT$8),0))</f>
        <v/>
      </c>
      <c r="BQ88" s="602" t="str">
        <f>IF($A88="","",VLOOKUP($A88,기본데이타!$A$8:$BV$103,COLUMN(기본데이타!BU$8),0))</f>
        <v/>
      </c>
      <c r="BR88" s="603" t="str">
        <f t="shared" si="11"/>
        <v/>
      </c>
    </row>
    <row r="89" spans="1:73" s="571" customFormat="1" ht="61.5" hidden="1" customHeight="1" outlineLevel="1">
      <c r="A89" s="578"/>
      <c r="B89" s="1642"/>
      <c r="C89" s="590"/>
      <c r="D89" s="591" t="str">
        <f>IF($A89="","",VLOOKUP($A89,기본데이타!$A$8:$BV$103,COLUMN(기본데이타!F$8),0))</f>
        <v/>
      </c>
      <c r="E89" s="592" t="str">
        <f>IF($A89="","",VLOOKUP($A89,기본데이타!$A$8:$BV$103,COLUMN(기본데이타!G$8),0))</f>
        <v/>
      </c>
      <c r="F89" s="593" t="str">
        <f>IF($A89="","",VLOOKUP($A89,기본데이타!$A$8:$BV$103,COLUMN(기본데이타!H$8),0))</f>
        <v/>
      </c>
      <c r="G89" s="594" t="str">
        <f>IF($A89="","",VLOOKUP($A89,기본데이타!$A$8:$BV$103,COLUMN(기본데이타!I$8),0))</f>
        <v/>
      </c>
      <c r="H89" s="594" t="str">
        <f>IF($A89="","",VLOOKUP($A89,기본데이타!$A$8:$BV$103,COLUMN(기본데이타!J$8),0))</f>
        <v/>
      </c>
      <c r="I89" s="595" t="str">
        <f>IF($A89="","",VLOOKUP($A89,기본데이타!$A$8:$BV$103,COLUMN(기본데이타!K$8),0))</f>
        <v/>
      </c>
      <c r="J89" s="595" t="str">
        <f>IF($A89="","",VLOOKUP($A89,기본데이타!$A$8:$BV$103,COLUMN(기본데이타!L$8),0))</f>
        <v/>
      </c>
      <c r="K89" s="595" t="str">
        <f>IF($A89="","",VLOOKUP($A89,기본데이타!$A$8:$BV$103,COLUMN(기본데이타!M$8),0))</f>
        <v/>
      </c>
      <c r="L89" s="596" t="str">
        <f>IF($A89="","",VLOOKUP($A89,기본데이타!$A$8:$BV$103,COLUMN(기본데이타!N$8),0))</f>
        <v/>
      </c>
      <c r="M89" s="595" t="str">
        <f>IF($A89="","",VLOOKUP($A89,기본데이타!$A$8:$BV$103,COLUMN(기본데이타!O$8),0))</f>
        <v/>
      </c>
      <c r="N89" s="596" t="str">
        <f>IF($A89="","",VLOOKUP($A89,기본데이타!$A$8:$BV$103,COLUMN(기본데이타!P$8),0))</f>
        <v/>
      </c>
      <c r="O89" s="596" t="str">
        <f>IF($A89="","",VLOOKUP($A89,기본데이타!$A$8:$BV$103,COLUMN(기본데이타!Q$8),0))</f>
        <v/>
      </c>
      <c r="P89" s="596" t="str">
        <f>IF($A89="","",VLOOKUP($A89,기본데이타!$A$8:$BV$103,COLUMN(기본데이타!R$8),0))</f>
        <v/>
      </c>
      <c r="Q89" s="596" t="str">
        <f>IF($A89="","",VLOOKUP($A89,기본데이타!$A$8:$BV$103,COLUMN(기본데이타!S$8),0))</f>
        <v/>
      </c>
      <c r="R89" s="596" t="str">
        <f>IF($A89="","",VLOOKUP($A89,기본데이타!$A$8:$BV$103,COLUMN(기본데이타!T$8),0))</f>
        <v/>
      </c>
      <c r="S89" s="596" t="str">
        <f>IF($A89="","",VLOOKUP($A89,기본데이타!$A$8:$BV$103,COLUMN(기본데이타!U$8),0))</f>
        <v/>
      </c>
      <c r="T89" s="596" t="str">
        <f>IF($A89="","",VLOOKUP($A89,기본데이타!$A$8:$BV$103,COLUMN(기본데이타!V$8),0))</f>
        <v/>
      </c>
      <c r="U89" s="596" t="str">
        <f>IF($A89="","",VLOOKUP($A89,기본데이타!$A$8:$BV$103,COLUMN(기본데이타!W$8),0))</f>
        <v/>
      </c>
      <c r="V89" s="596" t="str">
        <f>IF($A89="","",VLOOKUP($A89,기본데이타!$A$8:$BV$103,COLUMN(기본데이타!X$8),0))</f>
        <v/>
      </c>
      <c r="W89" s="596" t="str">
        <f>IF($A89="","",VLOOKUP($A89,기본데이타!$A$8:$BV$103,COLUMN(기본데이타!AA$8),0))</f>
        <v/>
      </c>
      <c r="X89" s="596" t="str">
        <f>IF($A89="","",VLOOKUP($A89,기본데이타!$A$8:$BV$103,COLUMN(기본데이타!AB$8),0))</f>
        <v/>
      </c>
      <c r="Y89" s="595" t="str">
        <f>IF($A89="","",VLOOKUP($A89,기본데이타!$A$8:$BV$103,COLUMN(기본데이타!AC$8),0))</f>
        <v/>
      </c>
      <c r="Z89" s="596" t="str">
        <f>IF($A89="","",VLOOKUP($A89,기본데이타!$A$8:$BV$103,COLUMN(기본데이타!AD$8),0))</f>
        <v/>
      </c>
      <c r="AA89" s="595" t="str">
        <f>IF($A89="","",VLOOKUP($A89,기본데이타!$A$8:$BV$103,COLUMN(기본데이타!AE$8),0))</f>
        <v/>
      </c>
      <c r="AB89" s="596" t="str">
        <f>IF($A89="","",VLOOKUP($A89,기본데이타!$A$8:$BV$103,COLUMN(기본데이타!AF$8),0))</f>
        <v/>
      </c>
      <c r="AC89" s="595" t="str">
        <f>IF($A89="","",VLOOKUP($A89,기본데이타!$A$8:$BV$103,COLUMN(기본데이타!AG$8),0))</f>
        <v/>
      </c>
      <c r="AD89" s="596" t="str">
        <f>IF($A89="","",VLOOKUP($A89,기본데이타!$A$8:$BV$103,COLUMN(기본데이타!AH$8),0))</f>
        <v/>
      </c>
      <c r="AE89" s="595" t="str">
        <f>IF($A89="","",VLOOKUP($A89,기본데이타!$A$8:$BV$103,COLUMN(기본데이타!AI$8),0))</f>
        <v/>
      </c>
      <c r="AF89" s="597" t="str">
        <f>IF($A89="","",VLOOKUP($A89,기본데이타!$A$8:$BV$103,COLUMN(기본데이타!AJ$8),0))</f>
        <v/>
      </c>
      <c r="AG89" s="635" t="str">
        <f>IF($A89="","",VLOOKUP($A89,기본데이타!$A$8:$BV$103,COLUMN(기본데이타!AK$8),0))</f>
        <v/>
      </c>
      <c r="AH89" s="635" t="str">
        <f>IF($A89="","",VLOOKUP($A89,기본데이타!$A$8:$BV$103,COLUMN(기본데이타!AL$8),0))</f>
        <v/>
      </c>
      <c r="AI89" s="635" t="str">
        <f>IF($A89="","",VLOOKUP($A89,기본데이타!$A$8:$BV$103,COLUMN(기본데이타!AM$8),0))</f>
        <v/>
      </c>
      <c r="AJ89" s="642" t="str">
        <f>IF($A89="","",VLOOKUP($A89,기본데이타!$A$8:$BV$103,COLUMN(기본데이타!AN$8),0))</f>
        <v/>
      </c>
      <c r="AK89" s="642" t="str">
        <f>IF($A89="","",VLOOKUP($A89,기본데이타!$A$8:$BV$103,COLUMN(기본데이타!AO$8),0))</f>
        <v/>
      </c>
      <c r="AL89" s="642" t="str">
        <f>IF($A89="","",VLOOKUP($A89,기본데이타!$A$8:$BV$103,COLUMN(기본데이타!AP$8),0))</f>
        <v/>
      </c>
      <c r="AM89" s="642" t="str">
        <f>IF($A89="","",VLOOKUP($A89,기본데이타!$A$8:$BV$103,COLUMN(기본데이타!AQ$8),0))</f>
        <v/>
      </c>
      <c r="AN89" s="642" t="str">
        <f>IF($A89="","",VLOOKUP($A89,기본데이타!$A$8:$BV$103,COLUMN(기본데이타!AR$8),0))</f>
        <v/>
      </c>
      <c r="AO89" s="642" t="str">
        <f>IF($A89="","",VLOOKUP($A89,기본데이타!$A$8:$BV$103,COLUMN(기본데이타!AS$8),0))</f>
        <v/>
      </c>
      <c r="AP89" s="642" t="str">
        <f>IF($A89="","",VLOOKUP($A89,기본데이타!$A$8:$BV$103,COLUMN(기본데이타!AT$8),0))</f>
        <v/>
      </c>
      <c r="AQ89" s="642" t="str">
        <f>IF($A89="","",VLOOKUP($A89,기본데이타!$A$8:$BV$103,COLUMN(기본데이타!AU$8),0))</f>
        <v/>
      </c>
      <c r="AR89" s="643" t="str">
        <f>IF($A89="","",VLOOKUP($A89,기본데이타!$A$8:$BV$103,COLUMN(기본데이타!AV$8),0))</f>
        <v/>
      </c>
      <c r="AS89" s="596" t="str">
        <f>IF($A89="","",VLOOKUP($A89,기본데이타!$A$8:$BV$103,COLUMN(기본데이타!AW$8),0))</f>
        <v/>
      </c>
      <c r="AT89" s="596" t="str">
        <f>IF($A89="","",VLOOKUP($A89,기본데이타!$A$8:$BV$103,COLUMN(기본데이타!AX$8),0))</f>
        <v/>
      </c>
      <c r="AU89" s="596" t="str">
        <f>IF($A89="","",VLOOKUP($A89,기본데이타!$A$8:$BV$103,COLUMN(기본데이타!AY$8),0))</f>
        <v/>
      </c>
      <c r="AV89" s="596" t="str">
        <f t="shared" si="10"/>
        <v/>
      </c>
      <c r="AW89" s="597" t="str">
        <f>IF($A89="","",VLOOKUP($A89,기본데이타!$A$8:$BV$103,COLUMN(기본데이타!BA$8),0))</f>
        <v/>
      </c>
      <c r="AX89" s="597" t="str">
        <f>IF($A89="","",VLOOKUP($A89,기본데이타!$A$8:$BV$103,COLUMN(기본데이타!BB$8),0))</f>
        <v/>
      </c>
      <c r="AY89" s="597" t="str">
        <f>IF($A89="","",VLOOKUP($A89,기본데이타!$A$8:$BV$103,COLUMN(기본데이타!BC$8),0))</f>
        <v/>
      </c>
      <c r="AZ89" s="597" t="str">
        <f>IF($A89="","",VLOOKUP($A89,기본데이타!$A$8:$BV$103,COLUMN(기본데이타!BD$8),0))</f>
        <v/>
      </c>
      <c r="BA89" s="597" t="str">
        <f>IF($A89="","",VLOOKUP($A89,기본데이타!$A$8:$BV$103,COLUMN(기본데이타!BE$8),0))</f>
        <v/>
      </c>
      <c r="BB89" s="597" t="str">
        <f>IF($A89="","",VLOOKUP($A89,기본데이타!$A$8:$BV$103,COLUMN(기본데이타!BF$8),0))</f>
        <v/>
      </c>
      <c r="BC89" s="597" t="str">
        <f>IF($A89="","",VLOOKUP($A89,기본데이타!$A$8:$BV$103,COLUMN(기본데이타!BG$8),0))</f>
        <v/>
      </c>
      <c r="BD89" s="597" t="str">
        <f>IF($A89="","",VLOOKUP($A89,기본데이타!$A$8:$BV$103,COLUMN(기본데이타!BH$8),0))</f>
        <v/>
      </c>
      <c r="BE89" s="597" t="str">
        <f>IF($A89="","",VLOOKUP($A89,기본데이타!$A$8:$BV$103,COLUMN(기본데이타!BI$8),0))</f>
        <v/>
      </c>
      <c r="BF89" s="597" t="str">
        <f>IF($A89="","",VLOOKUP($A89,기본데이타!$A$8:$BV$103,COLUMN(기본데이타!BJ$8),0))</f>
        <v/>
      </c>
      <c r="BG89" s="597" t="str">
        <f>IF($A89="","",VLOOKUP($A89,기본데이타!$A$8:$BV$103,COLUMN(기본데이타!BK$8),0))</f>
        <v/>
      </c>
      <c r="BH89" s="597" t="str">
        <f>IF($A89="","",VLOOKUP($A89,기본데이타!$A$8:$BV$103,COLUMN(기본데이타!BL$8),0))</f>
        <v/>
      </c>
      <c r="BI89" s="597" t="str">
        <f>IF($A89="","",VLOOKUP($A89,기본데이타!$A$8:$BV$103,COLUMN(기본데이타!BM$8),0))</f>
        <v/>
      </c>
      <c r="BJ89" s="597" t="str">
        <f>IF($A89="","",VLOOKUP($A89,기본데이타!$A$8:$BV$103,COLUMN(기본데이타!BN$8),0))</f>
        <v/>
      </c>
      <c r="BK89" s="597" t="str">
        <f>IF($A89="","",VLOOKUP($A89,기본데이타!$A$8:$BV$103,COLUMN(기본데이타!BO$8),0))</f>
        <v/>
      </c>
      <c r="BL89" s="597" t="str">
        <f>IF($A89="","",VLOOKUP($A89,기본데이타!$A$8:$BV$103,COLUMN(기본데이타!BP$8),0))</f>
        <v/>
      </c>
      <c r="BM89" s="597" t="str">
        <f>IF($A89="","",VLOOKUP($A89,기본데이타!$A$8:$BV$103,COLUMN(기본데이타!BQ$8),0))</f>
        <v/>
      </c>
      <c r="BN89" s="599" t="str">
        <f>IF($A89="","",VLOOKUP($A89,기본데이타!$A$8:$BV$103,COLUMN(기본데이타!BR$8),0))</f>
        <v/>
      </c>
      <c r="BO89" s="600" t="str">
        <f>IF($A89="","",VLOOKUP($A89,기본데이타!$A$8:$BV$103,COLUMN(기본데이타!BS$8),0))</f>
        <v/>
      </c>
      <c r="BP89" s="623" t="str">
        <f>IF($A89="","",VLOOKUP($A89,기본데이타!$A$8:$BV$103,COLUMN(기본데이타!BT$8),0))</f>
        <v/>
      </c>
      <c r="BQ89" s="602" t="str">
        <f>IF($A89="","",VLOOKUP($A89,기본데이타!$A$8:$BV$103,COLUMN(기본데이타!BU$8),0))</f>
        <v/>
      </c>
      <c r="BR89" s="603" t="str">
        <f t="shared" si="11"/>
        <v/>
      </c>
    </row>
    <row r="90" spans="1:73" s="571" customFormat="1" ht="61.5" hidden="1" customHeight="1" outlineLevel="1">
      <c r="A90" s="578"/>
      <c r="B90" s="1642"/>
      <c r="C90" s="590"/>
      <c r="D90" s="591" t="str">
        <f>IF($A90="","",VLOOKUP($A90,기본데이타!$A$8:$BV$103,COLUMN(기본데이타!F$8),0))</f>
        <v/>
      </c>
      <c r="E90" s="592" t="str">
        <f>IF($A90="","",VLOOKUP($A90,기본데이타!$A$8:$BV$103,COLUMN(기본데이타!G$8),0))</f>
        <v/>
      </c>
      <c r="F90" s="593" t="str">
        <f>IF($A90="","",VLOOKUP($A90,기본데이타!$A$8:$BV$103,COLUMN(기본데이타!H$8),0))</f>
        <v/>
      </c>
      <c r="G90" s="594" t="str">
        <f>IF($A90="","",VLOOKUP($A90,기본데이타!$A$8:$BV$103,COLUMN(기본데이타!I$8),0))</f>
        <v/>
      </c>
      <c r="H90" s="594" t="str">
        <f>IF($A90="","",VLOOKUP($A90,기본데이타!$A$8:$BV$103,COLUMN(기본데이타!J$8),0))</f>
        <v/>
      </c>
      <c r="I90" s="595" t="str">
        <f>IF($A90="","",VLOOKUP($A90,기본데이타!$A$8:$BV$103,COLUMN(기본데이타!K$8),0))</f>
        <v/>
      </c>
      <c r="J90" s="595" t="str">
        <f>IF($A90="","",VLOOKUP($A90,기본데이타!$A$8:$BV$103,COLUMN(기본데이타!L$8),0))</f>
        <v/>
      </c>
      <c r="K90" s="595" t="str">
        <f>IF($A90="","",VLOOKUP($A90,기본데이타!$A$8:$BV$103,COLUMN(기본데이타!M$8),0))</f>
        <v/>
      </c>
      <c r="L90" s="596" t="str">
        <f>IF($A90="","",VLOOKUP($A90,기본데이타!$A$8:$BV$103,COLUMN(기본데이타!N$8),0))</f>
        <v/>
      </c>
      <c r="M90" s="595" t="str">
        <f>IF($A90="","",VLOOKUP($A90,기본데이타!$A$8:$BV$103,COLUMN(기본데이타!O$8),0))</f>
        <v/>
      </c>
      <c r="N90" s="596" t="str">
        <f>IF($A90="","",VLOOKUP($A90,기본데이타!$A$8:$BV$103,COLUMN(기본데이타!P$8),0))</f>
        <v/>
      </c>
      <c r="O90" s="596" t="str">
        <f>IF($A90="","",VLOOKUP($A90,기본데이타!$A$8:$BV$103,COLUMN(기본데이타!Q$8),0))</f>
        <v/>
      </c>
      <c r="P90" s="596" t="str">
        <f>IF($A90="","",VLOOKUP($A90,기본데이타!$A$8:$BV$103,COLUMN(기본데이타!R$8),0))</f>
        <v/>
      </c>
      <c r="Q90" s="596" t="str">
        <f>IF($A90="","",VLOOKUP($A90,기본데이타!$A$8:$BV$103,COLUMN(기본데이타!S$8),0))</f>
        <v/>
      </c>
      <c r="R90" s="596" t="str">
        <f>IF($A90="","",VLOOKUP($A90,기본데이타!$A$8:$BV$103,COLUMN(기본데이타!T$8),0))</f>
        <v/>
      </c>
      <c r="S90" s="596" t="str">
        <f>IF($A90="","",VLOOKUP($A90,기본데이타!$A$8:$BV$103,COLUMN(기본데이타!U$8),0))</f>
        <v/>
      </c>
      <c r="T90" s="596" t="str">
        <f>IF($A90="","",VLOOKUP($A90,기본데이타!$A$8:$BV$103,COLUMN(기본데이타!V$8),0))</f>
        <v/>
      </c>
      <c r="U90" s="596" t="str">
        <f>IF($A90="","",VLOOKUP($A90,기본데이타!$A$8:$BV$103,COLUMN(기본데이타!W$8),0))</f>
        <v/>
      </c>
      <c r="V90" s="596" t="str">
        <f>IF($A90="","",VLOOKUP($A90,기본데이타!$A$8:$BV$103,COLUMN(기본데이타!X$8),0))</f>
        <v/>
      </c>
      <c r="W90" s="596" t="str">
        <f>IF($A90="","",VLOOKUP($A90,기본데이타!$A$8:$BV$103,COLUMN(기본데이타!AA$8),0))</f>
        <v/>
      </c>
      <c r="X90" s="596" t="str">
        <f>IF($A90="","",VLOOKUP($A90,기본데이타!$A$8:$BV$103,COLUMN(기본데이타!AB$8),0))</f>
        <v/>
      </c>
      <c r="Y90" s="595" t="str">
        <f>IF($A90="","",VLOOKUP($A90,기본데이타!$A$8:$BV$103,COLUMN(기본데이타!AC$8),0))</f>
        <v/>
      </c>
      <c r="Z90" s="596" t="str">
        <f>IF($A90="","",VLOOKUP($A90,기본데이타!$A$8:$BV$103,COLUMN(기본데이타!AD$8),0))</f>
        <v/>
      </c>
      <c r="AA90" s="595" t="str">
        <f>IF($A90="","",VLOOKUP($A90,기본데이타!$A$8:$BV$103,COLUMN(기본데이타!AE$8),0))</f>
        <v/>
      </c>
      <c r="AB90" s="596" t="str">
        <f>IF($A90="","",VLOOKUP($A90,기본데이타!$A$8:$BV$103,COLUMN(기본데이타!AF$8),0))</f>
        <v/>
      </c>
      <c r="AC90" s="595" t="str">
        <f>IF($A90="","",VLOOKUP($A90,기본데이타!$A$8:$BV$103,COLUMN(기본데이타!AG$8),0))</f>
        <v/>
      </c>
      <c r="AD90" s="596" t="str">
        <f>IF($A90="","",VLOOKUP($A90,기본데이타!$A$8:$BV$103,COLUMN(기본데이타!AH$8),0))</f>
        <v/>
      </c>
      <c r="AE90" s="595" t="str">
        <f>IF($A90="","",VLOOKUP($A90,기본데이타!$A$8:$BV$103,COLUMN(기본데이타!AI$8),0))</f>
        <v/>
      </c>
      <c r="AF90" s="597" t="str">
        <f>IF($A90="","",VLOOKUP($A90,기본데이타!$A$8:$BV$103,COLUMN(기본데이타!AJ$8),0))</f>
        <v/>
      </c>
      <c r="AG90" s="635" t="str">
        <f>IF($A90="","",VLOOKUP($A90,기본데이타!$A$8:$BV$103,COLUMN(기본데이타!AK$8),0))</f>
        <v/>
      </c>
      <c r="AH90" s="635" t="str">
        <f>IF($A90="","",VLOOKUP($A90,기본데이타!$A$8:$BV$103,COLUMN(기본데이타!AL$8),0))</f>
        <v/>
      </c>
      <c r="AI90" s="635" t="str">
        <f>IF($A90="","",VLOOKUP($A90,기본데이타!$A$8:$BV$103,COLUMN(기본데이타!AM$8),0))</f>
        <v/>
      </c>
      <c r="AJ90" s="636" t="str">
        <f>IF($A90="","",VLOOKUP($A90,기본데이타!$A$8:$BV$103,COLUMN(기본데이타!AN$8),0))</f>
        <v/>
      </c>
      <c r="AK90" s="636" t="str">
        <f>IF($A90="","",VLOOKUP($A90,기본데이타!$A$8:$BV$103,COLUMN(기본데이타!AO$8),0))</f>
        <v/>
      </c>
      <c r="AL90" s="636" t="str">
        <f>IF($A90="","",VLOOKUP($A90,기본데이타!$A$8:$BV$103,COLUMN(기본데이타!AP$8),0))</f>
        <v/>
      </c>
      <c r="AM90" s="636" t="str">
        <f>IF($A90="","",VLOOKUP($A90,기본데이타!$A$8:$BV$103,COLUMN(기본데이타!AQ$8),0))</f>
        <v/>
      </c>
      <c r="AN90" s="636" t="str">
        <f>IF($A90="","",VLOOKUP($A90,기본데이타!$A$8:$BV$103,COLUMN(기본데이타!AR$8),0))</f>
        <v/>
      </c>
      <c r="AO90" s="636" t="str">
        <f>IF($A90="","",VLOOKUP($A90,기본데이타!$A$8:$BV$103,COLUMN(기본데이타!AS$8),0))</f>
        <v/>
      </c>
      <c r="AP90" s="636" t="str">
        <f>IF($A90="","",VLOOKUP($A90,기본데이타!$A$8:$BV$103,COLUMN(기본데이타!AT$8),0))</f>
        <v/>
      </c>
      <c r="AQ90" s="636" t="str">
        <f>IF($A90="","",VLOOKUP($A90,기본데이타!$A$8:$BV$103,COLUMN(기본데이타!AU$8),0))</f>
        <v/>
      </c>
      <c r="AR90" s="637" t="str">
        <f>IF($A90="","",VLOOKUP($A90,기본데이타!$A$8:$BV$103,COLUMN(기본데이타!AV$8),0))</f>
        <v/>
      </c>
      <c r="AS90" s="596" t="str">
        <f>IF($A90="","",VLOOKUP($A90,기본데이타!$A$8:$BV$103,COLUMN(기본데이타!AW$8),0))</f>
        <v/>
      </c>
      <c r="AT90" s="596" t="str">
        <f>IF($A90="","",VLOOKUP($A90,기본데이타!$A$8:$BV$103,COLUMN(기본데이타!AX$8),0))</f>
        <v/>
      </c>
      <c r="AU90" s="596" t="str">
        <f>IF($A90="","",VLOOKUP($A90,기본데이타!$A$8:$BV$103,COLUMN(기본데이타!AY$8),0))</f>
        <v/>
      </c>
      <c r="AV90" s="596" t="str">
        <f t="shared" si="10"/>
        <v/>
      </c>
      <c r="AW90" s="597" t="str">
        <f>IF($A90="","",VLOOKUP($A90,기본데이타!$A$8:$BV$103,COLUMN(기본데이타!BA$8),0))</f>
        <v/>
      </c>
      <c r="AX90" s="597" t="str">
        <f>IF($A90="","",VLOOKUP($A90,기본데이타!$A$8:$BV$103,COLUMN(기본데이타!BB$8),0))</f>
        <v/>
      </c>
      <c r="AY90" s="597" t="str">
        <f>IF($A90="","",VLOOKUP($A90,기본데이타!$A$8:$BV$103,COLUMN(기본데이타!BC$8),0))</f>
        <v/>
      </c>
      <c r="AZ90" s="597" t="str">
        <f>IF($A90="","",VLOOKUP($A90,기본데이타!$A$8:$BV$103,COLUMN(기본데이타!BD$8),0))</f>
        <v/>
      </c>
      <c r="BA90" s="597" t="str">
        <f>IF($A90="","",VLOOKUP($A90,기본데이타!$A$8:$BV$103,COLUMN(기본데이타!BE$8),0))</f>
        <v/>
      </c>
      <c r="BB90" s="597" t="str">
        <f>IF($A90="","",VLOOKUP($A90,기본데이타!$A$8:$BV$103,COLUMN(기본데이타!BF$8),0))</f>
        <v/>
      </c>
      <c r="BC90" s="597" t="str">
        <f>IF($A90="","",VLOOKUP($A90,기본데이타!$A$8:$BV$103,COLUMN(기본데이타!BG$8),0))</f>
        <v/>
      </c>
      <c r="BD90" s="597" t="str">
        <f>IF($A90="","",VLOOKUP($A90,기본데이타!$A$8:$BV$103,COLUMN(기본데이타!BH$8),0))</f>
        <v/>
      </c>
      <c r="BE90" s="597" t="str">
        <f>IF($A90="","",VLOOKUP($A90,기본데이타!$A$8:$BV$103,COLUMN(기본데이타!BI$8),0))</f>
        <v/>
      </c>
      <c r="BF90" s="597" t="str">
        <f>IF($A90="","",VLOOKUP($A90,기본데이타!$A$8:$BV$103,COLUMN(기본데이타!BJ$8),0))</f>
        <v/>
      </c>
      <c r="BG90" s="597" t="str">
        <f>IF($A90="","",VLOOKUP($A90,기본데이타!$A$8:$BV$103,COLUMN(기본데이타!BK$8),0))</f>
        <v/>
      </c>
      <c r="BH90" s="597" t="str">
        <f>IF($A90="","",VLOOKUP($A90,기본데이타!$A$8:$BV$103,COLUMN(기본데이타!BL$8),0))</f>
        <v/>
      </c>
      <c r="BI90" s="597" t="str">
        <f>IF($A90="","",VLOOKUP($A90,기본데이타!$A$8:$BV$103,COLUMN(기본데이타!BM$8),0))</f>
        <v/>
      </c>
      <c r="BJ90" s="597" t="str">
        <f>IF($A90="","",VLOOKUP($A90,기본데이타!$A$8:$BV$103,COLUMN(기본데이타!BN$8),0))</f>
        <v/>
      </c>
      <c r="BK90" s="597" t="str">
        <f>IF($A90="","",VLOOKUP($A90,기본데이타!$A$8:$BV$103,COLUMN(기본데이타!BO$8),0))</f>
        <v/>
      </c>
      <c r="BL90" s="597" t="str">
        <f>IF($A90="","",VLOOKUP($A90,기본데이타!$A$8:$BV$103,COLUMN(기본데이타!BP$8),0))</f>
        <v/>
      </c>
      <c r="BM90" s="597" t="str">
        <f>IF($A90="","",VLOOKUP($A90,기본데이타!$A$8:$BV$103,COLUMN(기본데이타!BQ$8),0))</f>
        <v/>
      </c>
      <c r="BN90" s="599" t="str">
        <f>IF($A90="","",VLOOKUP($A90,기본데이타!$A$8:$BV$103,COLUMN(기본데이타!BR$8),0))</f>
        <v/>
      </c>
      <c r="BO90" s="600" t="str">
        <f>IF($A90="","",VLOOKUP($A90,기본데이타!$A$8:$BV$103,COLUMN(기본데이타!BS$8),0))</f>
        <v/>
      </c>
      <c r="BP90" s="623" t="str">
        <f>IF($A90="","",VLOOKUP($A90,기본데이타!$A$8:$BV$103,COLUMN(기본데이타!BT$8),0))</f>
        <v/>
      </c>
      <c r="BQ90" s="602" t="str">
        <f>IF($A90="","",VLOOKUP($A90,기본데이타!$A$8:$BV$103,COLUMN(기본데이타!BU$8),0))</f>
        <v/>
      </c>
      <c r="BR90" s="603" t="str">
        <f t="shared" si="11"/>
        <v/>
      </c>
    </row>
    <row r="91" spans="1:73" s="571" customFormat="1" ht="61.5" hidden="1" customHeight="1" outlineLevel="1">
      <c r="A91" s="578"/>
      <c r="B91" s="1642"/>
      <c r="C91" s="590"/>
      <c r="D91" s="591" t="str">
        <f>IF($A91="","",VLOOKUP($A91,기본데이타!$A$8:$BV$103,COLUMN(기본데이타!F$8),0))</f>
        <v/>
      </c>
      <c r="E91" s="592" t="str">
        <f>IF($A91="","",VLOOKUP($A91,기본데이타!$A$8:$BV$103,COLUMN(기본데이타!G$8),0))</f>
        <v/>
      </c>
      <c r="F91" s="593" t="str">
        <f>IF($A91="","",VLOOKUP($A91,기본데이타!$A$8:$BV$103,COLUMN(기본데이타!H$8),0))</f>
        <v/>
      </c>
      <c r="G91" s="594" t="str">
        <f>IF($A91="","",VLOOKUP($A91,기본데이타!$A$8:$BV$103,COLUMN(기본데이타!I$8),0))</f>
        <v/>
      </c>
      <c r="H91" s="594" t="str">
        <f>IF($A91="","",VLOOKUP($A91,기본데이타!$A$8:$BV$103,COLUMN(기본데이타!J$8),0))</f>
        <v/>
      </c>
      <c r="I91" s="595" t="str">
        <f>IF($A91="","",VLOOKUP($A91,기본데이타!$A$8:$BV$103,COLUMN(기본데이타!K$8),0))</f>
        <v/>
      </c>
      <c r="J91" s="595" t="str">
        <f>IF($A91="","",VLOOKUP($A91,기본데이타!$A$8:$BV$103,COLUMN(기본데이타!L$8),0))</f>
        <v/>
      </c>
      <c r="K91" s="595" t="str">
        <f>IF($A91="","",VLOOKUP($A91,기본데이타!$A$8:$BV$103,COLUMN(기본데이타!M$8),0))</f>
        <v/>
      </c>
      <c r="L91" s="596" t="str">
        <f>IF($A91="","",VLOOKUP($A91,기본데이타!$A$8:$BV$103,COLUMN(기본데이타!N$8),0))</f>
        <v/>
      </c>
      <c r="M91" s="595" t="str">
        <f>IF($A91="","",VLOOKUP($A91,기본데이타!$A$8:$BV$103,COLUMN(기본데이타!O$8),0))</f>
        <v/>
      </c>
      <c r="N91" s="596" t="str">
        <f>IF($A91="","",VLOOKUP($A91,기본데이타!$A$8:$BV$103,COLUMN(기본데이타!P$8),0))</f>
        <v/>
      </c>
      <c r="O91" s="596" t="str">
        <f>IF($A91="","",VLOOKUP($A91,기본데이타!$A$8:$BV$103,COLUMN(기본데이타!Q$8),0))</f>
        <v/>
      </c>
      <c r="P91" s="596" t="str">
        <f>IF($A91="","",VLOOKUP($A91,기본데이타!$A$8:$BV$103,COLUMN(기본데이타!R$8),0))</f>
        <v/>
      </c>
      <c r="Q91" s="596" t="str">
        <f>IF($A91="","",VLOOKUP($A91,기본데이타!$A$8:$BV$103,COLUMN(기본데이타!S$8),0))</f>
        <v/>
      </c>
      <c r="R91" s="596" t="str">
        <f>IF($A91="","",VLOOKUP($A91,기본데이타!$A$8:$BV$103,COLUMN(기본데이타!T$8),0))</f>
        <v/>
      </c>
      <c r="S91" s="596" t="str">
        <f>IF($A91="","",VLOOKUP($A91,기본데이타!$A$8:$BV$103,COLUMN(기본데이타!U$8),0))</f>
        <v/>
      </c>
      <c r="T91" s="596" t="str">
        <f>IF($A91="","",VLOOKUP($A91,기본데이타!$A$8:$BV$103,COLUMN(기본데이타!V$8),0))</f>
        <v/>
      </c>
      <c r="U91" s="596" t="str">
        <f>IF($A91="","",VLOOKUP($A91,기본데이타!$A$8:$BV$103,COLUMN(기본데이타!W$8),0))</f>
        <v/>
      </c>
      <c r="V91" s="596" t="str">
        <f>IF($A91="","",VLOOKUP($A91,기본데이타!$A$8:$BV$103,COLUMN(기본데이타!X$8),0))</f>
        <v/>
      </c>
      <c r="W91" s="596" t="str">
        <f>IF($A91="","",VLOOKUP($A91,기본데이타!$A$8:$BV$103,COLUMN(기본데이타!AA$8),0))</f>
        <v/>
      </c>
      <c r="X91" s="596" t="str">
        <f>IF($A91="","",VLOOKUP($A91,기본데이타!$A$8:$BV$103,COLUMN(기본데이타!AB$8),0))</f>
        <v/>
      </c>
      <c r="Y91" s="595" t="str">
        <f>IF($A91="","",VLOOKUP($A91,기본데이타!$A$8:$BV$103,COLUMN(기본데이타!AC$8),0))</f>
        <v/>
      </c>
      <c r="Z91" s="596" t="str">
        <f>IF($A91="","",VLOOKUP($A91,기본데이타!$A$8:$BV$103,COLUMN(기본데이타!AD$8),0))</f>
        <v/>
      </c>
      <c r="AA91" s="595" t="str">
        <f>IF($A91="","",VLOOKUP($A91,기본데이타!$A$8:$BV$103,COLUMN(기본데이타!AE$8),0))</f>
        <v/>
      </c>
      <c r="AB91" s="596" t="str">
        <f>IF($A91="","",VLOOKUP($A91,기본데이타!$A$8:$BV$103,COLUMN(기본데이타!AF$8),0))</f>
        <v/>
      </c>
      <c r="AC91" s="595" t="str">
        <f>IF($A91="","",VLOOKUP($A91,기본데이타!$A$8:$BV$103,COLUMN(기본데이타!AG$8),0))</f>
        <v/>
      </c>
      <c r="AD91" s="596" t="str">
        <f>IF($A91="","",VLOOKUP($A91,기본데이타!$A$8:$BV$103,COLUMN(기본데이타!AH$8),0))</f>
        <v/>
      </c>
      <c r="AE91" s="595" t="str">
        <f>IF($A91="","",VLOOKUP($A91,기본데이타!$A$8:$BV$103,COLUMN(기본데이타!AI$8),0))</f>
        <v/>
      </c>
      <c r="AF91" s="597" t="str">
        <f>IF($A91="","",VLOOKUP($A91,기본데이타!$A$8:$BV$103,COLUMN(기본데이타!AJ$8),0))</f>
        <v/>
      </c>
      <c r="AG91" s="635" t="str">
        <f>IF($A91="","",VLOOKUP($A91,기본데이타!$A$8:$BV$103,COLUMN(기본데이타!AK$8),0))</f>
        <v/>
      </c>
      <c r="AH91" s="635" t="str">
        <f>IF($A91="","",VLOOKUP($A91,기본데이타!$A$8:$BV$103,COLUMN(기본데이타!AL$8),0))</f>
        <v/>
      </c>
      <c r="AI91" s="635" t="str">
        <f>IF($A91="","",VLOOKUP($A91,기본데이타!$A$8:$BV$103,COLUMN(기본데이타!AM$8),0))</f>
        <v/>
      </c>
      <c r="AJ91" s="636" t="str">
        <f>IF($A91="","",VLOOKUP($A91,기본데이타!$A$8:$BV$103,COLUMN(기본데이타!AN$8),0))</f>
        <v/>
      </c>
      <c r="AK91" s="636" t="str">
        <f>IF($A91="","",VLOOKUP($A91,기본데이타!$A$8:$BV$103,COLUMN(기본데이타!AO$8),0))</f>
        <v/>
      </c>
      <c r="AL91" s="636" t="str">
        <f>IF($A91="","",VLOOKUP($A91,기본데이타!$A$8:$BV$103,COLUMN(기본데이타!AP$8),0))</f>
        <v/>
      </c>
      <c r="AM91" s="636" t="str">
        <f>IF($A91="","",VLOOKUP($A91,기본데이타!$A$8:$BV$103,COLUMN(기본데이타!AQ$8),0))</f>
        <v/>
      </c>
      <c r="AN91" s="636" t="str">
        <f>IF($A91="","",VLOOKUP($A91,기본데이타!$A$8:$BV$103,COLUMN(기본데이타!AR$8),0))</f>
        <v/>
      </c>
      <c r="AO91" s="636" t="str">
        <f>IF($A91="","",VLOOKUP($A91,기본데이타!$A$8:$BV$103,COLUMN(기본데이타!AS$8),0))</f>
        <v/>
      </c>
      <c r="AP91" s="636" t="str">
        <f>IF($A91="","",VLOOKUP($A91,기본데이타!$A$8:$BV$103,COLUMN(기본데이타!AT$8),0))</f>
        <v/>
      </c>
      <c r="AQ91" s="636" t="str">
        <f>IF($A91="","",VLOOKUP($A91,기본데이타!$A$8:$BV$103,COLUMN(기본데이타!AU$8),0))</f>
        <v/>
      </c>
      <c r="AR91" s="637" t="str">
        <f>IF($A91="","",VLOOKUP($A91,기본데이타!$A$8:$BV$103,COLUMN(기본데이타!AV$8),0))</f>
        <v/>
      </c>
      <c r="AS91" s="596" t="str">
        <f>IF($A91="","",VLOOKUP($A91,기본데이타!$A$8:$BV$103,COLUMN(기본데이타!AW$8),0))</f>
        <v/>
      </c>
      <c r="AT91" s="596" t="str">
        <f>IF($A91="","",VLOOKUP($A91,기본데이타!$A$8:$BV$103,COLUMN(기본데이타!AX$8),0))</f>
        <v/>
      </c>
      <c r="AU91" s="596" t="str">
        <f>IF($A91="","",VLOOKUP($A91,기본데이타!$A$8:$BV$103,COLUMN(기본데이타!AY$8),0))</f>
        <v/>
      </c>
      <c r="AV91" s="596" t="str">
        <f t="shared" si="10"/>
        <v/>
      </c>
      <c r="AW91" s="597" t="str">
        <f>IF($A91="","",VLOOKUP($A91,기본데이타!$A$8:$BV$103,COLUMN(기본데이타!BA$8),0))</f>
        <v/>
      </c>
      <c r="AX91" s="597" t="str">
        <f>IF($A91="","",VLOOKUP($A91,기본데이타!$A$8:$BV$103,COLUMN(기본데이타!BB$8),0))</f>
        <v/>
      </c>
      <c r="AY91" s="597" t="str">
        <f>IF($A91="","",VLOOKUP($A91,기본데이타!$A$8:$BV$103,COLUMN(기본데이타!BC$8),0))</f>
        <v/>
      </c>
      <c r="AZ91" s="597" t="str">
        <f>IF($A91="","",VLOOKUP($A91,기본데이타!$A$8:$BV$103,COLUMN(기본데이타!BD$8),0))</f>
        <v/>
      </c>
      <c r="BA91" s="597" t="str">
        <f>IF($A91="","",VLOOKUP($A91,기본데이타!$A$8:$BV$103,COLUMN(기본데이타!BE$8),0))</f>
        <v/>
      </c>
      <c r="BB91" s="597" t="str">
        <f>IF($A91="","",VLOOKUP($A91,기본데이타!$A$8:$BV$103,COLUMN(기본데이타!BF$8),0))</f>
        <v/>
      </c>
      <c r="BC91" s="597" t="str">
        <f>IF($A91="","",VLOOKUP($A91,기본데이타!$A$8:$BV$103,COLUMN(기본데이타!BG$8),0))</f>
        <v/>
      </c>
      <c r="BD91" s="597" t="str">
        <f>IF($A91="","",VLOOKUP($A91,기본데이타!$A$8:$BV$103,COLUMN(기본데이타!BH$8),0))</f>
        <v/>
      </c>
      <c r="BE91" s="597" t="str">
        <f>IF($A91="","",VLOOKUP($A91,기본데이타!$A$8:$BV$103,COLUMN(기본데이타!BI$8),0))</f>
        <v/>
      </c>
      <c r="BF91" s="597" t="str">
        <f>IF($A91="","",VLOOKUP($A91,기본데이타!$A$8:$BV$103,COLUMN(기본데이타!BJ$8),0))</f>
        <v/>
      </c>
      <c r="BG91" s="597" t="str">
        <f>IF($A91="","",VLOOKUP($A91,기본데이타!$A$8:$BV$103,COLUMN(기본데이타!BK$8),0))</f>
        <v/>
      </c>
      <c r="BH91" s="597" t="str">
        <f>IF($A91="","",VLOOKUP($A91,기본데이타!$A$8:$BV$103,COLUMN(기본데이타!BL$8),0))</f>
        <v/>
      </c>
      <c r="BI91" s="597" t="str">
        <f>IF($A91="","",VLOOKUP($A91,기본데이타!$A$8:$BV$103,COLUMN(기본데이타!BM$8),0))</f>
        <v/>
      </c>
      <c r="BJ91" s="597" t="str">
        <f>IF($A91="","",VLOOKUP($A91,기본데이타!$A$8:$BV$103,COLUMN(기본데이타!BN$8),0))</f>
        <v/>
      </c>
      <c r="BK91" s="597" t="str">
        <f>IF($A91="","",VLOOKUP($A91,기본데이타!$A$8:$BV$103,COLUMN(기본데이타!BO$8),0))</f>
        <v/>
      </c>
      <c r="BL91" s="597" t="str">
        <f>IF($A91="","",VLOOKUP($A91,기본데이타!$A$8:$BV$103,COLUMN(기본데이타!BP$8),0))</f>
        <v/>
      </c>
      <c r="BM91" s="597" t="str">
        <f>IF($A91="","",VLOOKUP($A91,기본데이타!$A$8:$BV$103,COLUMN(기본데이타!BQ$8),0))</f>
        <v/>
      </c>
      <c r="BN91" s="599" t="str">
        <f>IF($A91="","",VLOOKUP($A91,기본데이타!$A$8:$BV$103,COLUMN(기본데이타!BR$8),0))</f>
        <v/>
      </c>
      <c r="BO91" s="600" t="str">
        <f>IF($A91="","",VLOOKUP($A91,기본데이타!$A$8:$BV$103,COLUMN(기본데이타!BS$8),0))</f>
        <v/>
      </c>
      <c r="BP91" s="623" t="str">
        <f>IF($A91="","",VLOOKUP($A91,기본데이타!$A$8:$BV$103,COLUMN(기본데이타!BT$8),0))</f>
        <v/>
      </c>
      <c r="BQ91" s="602" t="str">
        <f>IF($A91="","",VLOOKUP($A91,기본데이타!$A$8:$BV$103,COLUMN(기본데이타!BU$8),0))</f>
        <v/>
      </c>
      <c r="BR91" s="603" t="str">
        <f t="shared" si="11"/>
        <v/>
      </c>
    </row>
    <row r="92" spans="1:73" s="571" customFormat="1" ht="61.5" hidden="1" customHeight="1" outlineLevel="1">
      <c r="A92" s="578"/>
      <c r="B92" s="1642"/>
      <c r="C92" s="590"/>
      <c r="D92" s="591" t="str">
        <f>IF($A92="","",VLOOKUP($A92,기본데이타!$A$8:$BV$103,COLUMN(기본데이타!F$8),0))</f>
        <v/>
      </c>
      <c r="E92" s="592" t="str">
        <f>IF($A92="","",VLOOKUP($A92,기본데이타!$A$8:$BV$103,COLUMN(기본데이타!G$8),0))</f>
        <v/>
      </c>
      <c r="F92" s="593" t="str">
        <f>IF($A92="","",VLOOKUP($A92,기본데이타!$A$8:$BV$103,COLUMN(기본데이타!H$8),0))</f>
        <v/>
      </c>
      <c r="G92" s="594" t="str">
        <f>IF($A92="","",VLOOKUP($A92,기본데이타!$A$8:$BV$103,COLUMN(기본데이타!I$8),0))</f>
        <v/>
      </c>
      <c r="H92" s="594" t="str">
        <f>IF($A92="","",VLOOKUP($A92,기본데이타!$A$8:$BV$103,COLUMN(기본데이타!J$8),0))</f>
        <v/>
      </c>
      <c r="I92" s="595" t="str">
        <f>IF($A92="","",VLOOKUP($A92,기본데이타!$A$8:$BV$103,COLUMN(기본데이타!K$8),0))</f>
        <v/>
      </c>
      <c r="J92" s="595" t="str">
        <f>IF($A92="","",VLOOKUP($A92,기본데이타!$A$8:$BV$103,COLUMN(기본데이타!L$8),0))</f>
        <v/>
      </c>
      <c r="K92" s="595" t="str">
        <f>IF($A92="","",VLOOKUP($A92,기본데이타!$A$8:$BV$103,COLUMN(기본데이타!M$8),0))</f>
        <v/>
      </c>
      <c r="L92" s="596" t="str">
        <f>IF($A92="","",VLOOKUP($A92,기본데이타!$A$8:$BV$103,COLUMN(기본데이타!N$8),0))</f>
        <v/>
      </c>
      <c r="M92" s="595" t="str">
        <f>IF($A92="","",VLOOKUP($A92,기본데이타!$A$8:$BV$103,COLUMN(기본데이타!O$8),0))</f>
        <v/>
      </c>
      <c r="N92" s="596" t="str">
        <f>IF($A92="","",VLOOKUP($A92,기본데이타!$A$8:$BV$103,COLUMN(기본데이타!P$8),0))</f>
        <v/>
      </c>
      <c r="O92" s="596" t="str">
        <f>IF($A92="","",VLOOKUP($A92,기본데이타!$A$8:$BV$103,COLUMN(기본데이타!Q$8),0))</f>
        <v/>
      </c>
      <c r="P92" s="596" t="str">
        <f>IF($A92="","",VLOOKUP($A92,기본데이타!$A$8:$BV$103,COLUMN(기본데이타!R$8),0))</f>
        <v/>
      </c>
      <c r="Q92" s="596" t="str">
        <f>IF($A92="","",VLOOKUP($A92,기본데이타!$A$8:$BV$103,COLUMN(기본데이타!S$8),0))</f>
        <v/>
      </c>
      <c r="R92" s="596" t="str">
        <f>IF($A92="","",VLOOKUP($A92,기본데이타!$A$8:$BV$103,COLUMN(기본데이타!T$8),0))</f>
        <v/>
      </c>
      <c r="S92" s="596" t="str">
        <f>IF($A92="","",VLOOKUP($A92,기본데이타!$A$8:$BV$103,COLUMN(기본데이타!U$8),0))</f>
        <v/>
      </c>
      <c r="T92" s="596" t="str">
        <f>IF($A92="","",VLOOKUP($A92,기본데이타!$A$8:$BV$103,COLUMN(기본데이타!V$8),0))</f>
        <v/>
      </c>
      <c r="U92" s="596" t="str">
        <f>IF($A92="","",VLOOKUP($A92,기본데이타!$A$8:$BV$103,COLUMN(기본데이타!W$8),0))</f>
        <v/>
      </c>
      <c r="V92" s="596" t="str">
        <f>IF($A92="","",VLOOKUP($A92,기본데이타!$A$8:$BV$103,COLUMN(기본데이타!X$8),0))</f>
        <v/>
      </c>
      <c r="W92" s="596" t="str">
        <f>IF($A92="","",VLOOKUP($A92,기본데이타!$A$8:$BV$103,COLUMN(기본데이타!AA$8),0))</f>
        <v/>
      </c>
      <c r="X92" s="596" t="str">
        <f>IF($A92="","",VLOOKUP($A92,기본데이타!$A$8:$BV$103,COLUMN(기본데이타!AB$8),0))</f>
        <v/>
      </c>
      <c r="Y92" s="595" t="str">
        <f>IF($A92="","",VLOOKUP($A92,기본데이타!$A$8:$BV$103,COLUMN(기본데이타!AC$8),0))</f>
        <v/>
      </c>
      <c r="Z92" s="596" t="str">
        <f>IF($A92="","",VLOOKUP($A92,기본데이타!$A$8:$BV$103,COLUMN(기본데이타!AD$8),0))</f>
        <v/>
      </c>
      <c r="AA92" s="595" t="str">
        <f>IF($A92="","",VLOOKUP($A92,기본데이타!$A$8:$BV$103,COLUMN(기본데이타!AE$8),0))</f>
        <v/>
      </c>
      <c r="AB92" s="596" t="str">
        <f>IF($A92="","",VLOOKUP($A92,기본데이타!$A$8:$BV$103,COLUMN(기본데이타!AF$8),0))</f>
        <v/>
      </c>
      <c r="AC92" s="595" t="str">
        <f>IF($A92="","",VLOOKUP($A92,기본데이타!$A$8:$BV$103,COLUMN(기본데이타!AG$8),0))</f>
        <v/>
      </c>
      <c r="AD92" s="596" t="str">
        <f>IF($A92="","",VLOOKUP($A92,기본데이타!$A$8:$BV$103,COLUMN(기본데이타!AH$8),0))</f>
        <v/>
      </c>
      <c r="AE92" s="595" t="str">
        <f>IF($A92="","",VLOOKUP($A92,기본데이타!$A$8:$BV$103,COLUMN(기본데이타!AI$8),0))</f>
        <v/>
      </c>
      <c r="AF92" s="597" t="str">
        <f>IF($A92="","",VLOOKUP($A92,기본데이타!$A$8:$BV$103,COLUMN(기본데이타!AJ$8),0))</f>
        <v/>
      </c>
      <c r="AG92" s="635" t="str">
        <f>IF($A92="","",VLOOKUP($A92,기본데이타!$A$8:$BV$103,COLUMN(기본데이타!AK$8),0))</f>
        <v/>
      </c>
      <c r="AH92" s="635" t="str">
        <f>IF($A92="","",VLOOKUP($A92,기본데이타!$A$8:$BV$103,COLUMN(기본데이타!AL$8),0))</f>
        <v/>
      </c>
      <c r="AI92" s="635" t="str">
        <f>IF($A92="","",VLOOKUP($A92,기본데이타!$A$8:$BV$103,COLUMN(기본데이타!AM$8),0))</f>
        <v/>
      </c>
      <c r="AJ92" s="636" t="str">
        <f>IF($A92="","",VLOOKUP($A92,기본데이타!$A$8:$BV$103,COLUMN(기본데이타!AN$8),0))</f>
        <v/>
      </c>
      <c r="AK92" s="636" t="str">
        <f>IF($A92="","",VLOOKUP($A92,기본데이타!$A$8:$BV$103,COLUMN(기본데이타!AO$8),0))</f>
        <v/>
      </c>
      <c r="AL92" s="636" t="str">
        <f>IF($A92="","",VLOOKUP($A92,기본데이타!$A$8:$BV$103,COLUMN(기본데이타!AP$8),0))</f>
        <v/>
      </c>
      <c r="AM92" s="636" t="str">
        <f>IF($A92="","",VLOOKUP($A92,기본데이타!$A$8:$BV$103,COLUMN(기본데이타!AQ$8),0))</f>
        <v/>
      </c>
      <c r="AN92" s="636" t="str">
        <f>IF($A92="","",VLOOKUP($A92,기본데이타!$A$8:$BV$103,COLUMN(기본데이타!AR$8),0))</f>
        <v/>
      </c>
      <c r="AO92" s="636" t="str">
        <f>IF($A92="","",VLOOKUP($A92,기본데이타!$A$8:$BV$103,COLUMN(기본데이타!AS$8),0))</f>
        <v/>
      </c>
      <c r="AP92" s="636" t="str">
        <f>IF($A92="","",VLOOKUP($A92,기본데이타!$A$8:$BV$103,COLUMN(기본데이타!AT$8),0))</f>
        <v/>
      </c>
      <c r="AQ92" s="636" t="str">
        <f>IF($A92="","",VLOOKUP($A92,기본데이타!$A$8:$BV$103,COLUMN(기본데이타!AU$8),0))</f>
        <v/>
      </c>
      <c r="AR92" s="637" t="str">
        <f>IF($A92="","",VLOOKUP($A92,기본데이타!$A$8:$BV$103,COLUMN(기본데이타!AV$8),0))</f>
        <v/>
      </c>
      <c r="AS92" s="596" t="str">
        <f>IF($A92="","",VLOOKUP($A92,기본데이타!$A$8:$BV$103,COLUMN(기본데이타!AW$8),0))</f>
        <v/>
      </c>
      <c r="AT92" s="596" t="str">
        <f>IF($A92="","",VLOOKUP($A92,기본데이타!$A$8:$BV$103,COLUMN(기본데이타!AX$8),0))</f>
        <v/>
      </c>
      <c r="AU92" s="596" t="str">
        <f>IF($A92="","",VLOOKUP($A92,기본데이타!$A$8:$BV$103,COLUMN(기본데이타!AY$8),0))</f>
        <v/>
      </c>
      <c r="AV92" s="596" t="str">
        <f t="shared" si="10"/>
        <v/>
      </c>
      <c r="AW92" s="597" t="str">
        <f>IF($A92="","",VLOOKUP($A92,기본데이타!$A$8:$BV$103,COLUMN(기본데이타!BA$8),0))</f>
        <v/>
      </c>
      <c r="AX92" s="597" t="str">
        <f>IF($A92="","",VLOOKUP($A92,기본데이타!$A$8:$BV$103,COLUMN(기본데이타!BB$8),0))</f>
        <v/>
      </c>
      <c r="AY92" s="597" t="str">
        <f>IF($A92="","",VLOOKUP($A92,기본데이타!$A$8:$BV$103,COLUMN(기본데이타!BC$8),0))</f>
        <v/>
      </c>
      <c r="AZ92" s="597" t="str">
        <f>IF($A92="","",VLOOKUP($A92,기본데이타!$A$8:$BV$103,COLUMN(기본데이타!BD$8),0))</f>
        <v/>
      </c>
      <c r="BA92" s="597" t="str">
        <f>IF($A92="","",VLOOKUP($A92,기본데이타!$A$8:$BV$103,COLUMN(기본데이타!BE$8),0))</f>
        <v/>
      </c>
      <c r="BB92" s="597" t="str">
        <f>IF($A92="","",VLOOKUP($A92,기본데이타!$A$8:$BV$103,COLUMN(기본데이타!BF$8),0))</f>
        <v/>
      </c>
      <c r="BC92" s="597" t="str">
        <f>IF($A92="","",VLOOKUP($A92,기본데이타!$A$8:$BV$103,COLUMN(기본데이타!BG$8),0))</f>
        <v/>
      </c>
      <c r="BD92" s="597" t="str">
        <f>IF($A92="","",VLOOKUP($A92,기본데이타!$A$8:$BV$103,COLUMN(기본데이타!BH$8),0))</f>
        <v/>
      </c>
      <c r="BE92" s="597" t="str">
        <f>IF($A92="","",VLOOKUP($A92,기본데이타!$A$8:$BV$103,COLUMN(기본데이타!BI$8),0))</f>
        <v/>
      </c>
      <c r="BF92" s="597" t="str">
        <f>IF($A92="","",VLOOKUP($A92,기본데이타!$A$8:$BV$103,COLUMN(기본데이타!BJ$8),0))</f>
        <v/>
      </c>
      <c r="BG92" s="597" t="str">
        <f>IF($A92="","",VLOOKUP($A92,기본데이타!$A$8:$BV$103,COLUMN(기본데이타!BK$8),0))</f>
        <v/>
      </c>
      <c r="BH92" s="597" t="str">
        <f>IF($A92="","",VLOOKUP($A92,기본데이타!$A$8:$BV$103,COLUMN(기본데이타!BL$8),0))</f>
        <v/>
      </c>
      <c r="BI92" s="597" t="str">
        <f>IF($A92="","",VLOOKUP($A92,기본데이타!$A$8:$BV$103,COLUMN(기본데이타!BM$8),0))</f>
        <v/>
      </c>
      <c r="BJ92" s="597" t="str">
        <f>IF($A92="","",VLOOKUP($A92,기본데이타!$A$8:$BV$103,COLUMN(기본데이타!BN$8),0))</f>
        <v/>
      </c>
      <c r="BK92" s="597" t="str">
        <f>IF($A92="","",VLOOKUP($A92,기본데이타!$A$8:$BV$103,COLUMN(기본데이타!BO$8),0))</f>
        <v/>
      </c>
      <c r="BL92" s="597" t="str">
        <f>IF($A92="","",VLOOKUP($A92,기본데이타!$A$8:$BV$103,COLUMN(기본데이타!BP$8),0))</f>
        <v/>
      </c>
      <c r="BM92" s="597" t="str">
        <f>IF($A92="","",VLOOKUP($A92,기본데이타!$A$8:$BV$103,COLUMN(기본데이타!BQ$8),0))</f>
        <v/>
      </c>
      <c r="BN92" s="599" t="str">
        <f>IF($A92="","",VLOOKUP($A92,기본데이타!$A$8:$BV$103,COLUMN(기본데이타!BR$8),0))</f>
        <v/>
      </c>
      <c r="BO92" s="600" t="str">
        <f>IF($A92="","",VLOOKUP($A92,기본데이타!$A$8:$BV$103,COLUMN(기본데이타!BS$8),0))</f>
        <v/>
      </c>
      <c r="BP92" s="623" t="str">
        <f>IF($A92="","",VLOOKUP($A92,기본데이타!$A$8:$BV$103,COLUMN(기본데이타!BT$8),0))</f>
        <v/>
      </c>
      <c r="BQ92" s="602" t="str">
        <f>IF($A92="","",VLOOKUP($A92,기본데이타!$A$8:$BV$103,COLUMN(기본데이타!BU$8),0))</f>
        <v/>
      </c>
      <c r="BR92" s="603" t="str">
        <f t="shared" si="11"/>
        <v/>
      </c>
    </row>
    <row r="93" spans="1:73" s="571" customFormat="1" ht="61.5" hidden="1" customHeight="1" outlineLevel="1">
      <c r="A93" s="578"/>
      <c r="B93" s="1642"/>
      <c r="C93" s="590"/>
      <c r="D93" s="591" t="str">
        <f>IF($A93="","",VLOOKUP($A93,기본데이타!$A$8:$BV$103,COLUMN(기본데이타!F$8),0))</f>
        <v/>
      </c>
      <c r="E93" s="592" t="str">
        <f>IF($A93="","",VLOOKUP($A93,기본데이타!$A$8:$BV$103,COLUMN(기본데이타!G$8),0))</f>
        <v/>
      </c>
      <c r="F93" s="593" t="str">
        <f>IF($A93="","",VLOOKUP($A93,기본데이타!$A$8:$BV$103,COLUMN(기본데이타!H$8),0))</f>
        <v/>
      </c>
      <c r="G93" s="594" t="str">
        <f>IF($A93="","",VLOOKUP($A93,기본데이타!$A$8:$BV$103,COLUMN(기본데이타!I$8),0))</f>
        <v/>
      </c>
      <c r="H93" s="594" t="str">
        <f>IF($A93="","",VLOOKUP($A93,기본데이타!$A$8:$BV$103,COLUMN(기본데이타!J$8),0))</f>
        <v/>
      </c>
      <c r="I93" s="595" t="str">
        <f>IF($A93="","",VLOOKUP($A93,기본데이타!$A$8:$BV$103,COLUMN(기본데이타!K$8),0))</f>
        <v/>
      </c>
      <c r="J93" s="595" t="str">
        <f>IF($A93="","",VLOOKUP($A93,기본데이타!$A$8:$BV$103,COLUMN(기본데이타!L$8),0))</f>
        <v/>
      </c>
      <c r="K93" s="595" t="str">
        <f>IF($A93="","",VLOOKUP($A93,기본데이타!$A$8:$BV$103,COLUMN(기본데이타!M$8),0))</f>
        <v/>
      </c>
      <c r="L93" s="596" t="str">
        <f>IF($A93="","",VLOOKUP($A93,기본데이타!$A$8:$BV$103,COLUMN(기본데이타!N$8),0))</f>
        <v/>
      </c>
      <c r="M93" s="595" t="str">
        <f>IF($A93="","",VLOOKUP($A93,기본데이타!$A$8:$BV$103,COLUMN(기본데이타!O$8),0))</f>
        <v/>
      </c>
      <c r="N93" s="596" t="str">
        <f>IF($A93="","",VLOOKUP($A93,기본데이타!$A$8:$BV$103,COLUMN(기본데이타!P$8),0))</f>
        <v/>
      </c>
      <c r="O93" s="596" t="str">
        <f>IF($A93="","",VLOOKUP($A93,기본데이타!$A$8:$BV$103,COLUMN(기본데이타!Q$8),0))</f>
        <v/>
      </c>
      <c r="P93" s="596" t="str">
        <f>IF($A93="","",VLOOKUP($A93,기본데이타!$A$8:$BV$103,COLUMN(기본데이타!R$8),0))</f>
        <v/>
      </c>
      <c r="Q93" s="596" t="str">
        <f>IF($A93="","",VLOOKUP($A93,기본데이타!$A$8:$BV$103,COLUMN(기본데이타!S$8),0))</f>
        <v/>
      </c>
      <c r="R93" s="596" t="str">
        <f>IF($A93="","",VLOOKUP($A93,기본데이타!$A$8:$BV$103,COLUMN(기본데이타!T$8),0))</f>
        <v/>
      </c>
      <c r="S93" s="596" t="str">
        <f>IF($A93="","",VLOOKUP($A93,기본데이타!$A$8:$BV$103,COLUMN(기본데이타!U$8),0))</f>
        <v/>
      </c>
      <c r="T93" s="596" t="str">
        <f>IF($A93="","",VLOOKUP($A93,기본데이타!$A$8:$BV$103,COLUMN(기본데이타!V$8),0))</f>
        <v/>
      </c>
      <c r="U93" s="596" t="str">
        <f>IF($A93="","",VLOOKUP($A93,기본데이타!$A$8:$BV$103,COLUMN(기본데이타!W$8),0))</f>
        <v/>
      </c>
      <c r="V93" s="596" t="str">
        <f>IF($A93="","",VLOOKUP($A93,기본데이타!$A$8:$BV$103,COLUMN(기본데이타!X$8),0))</f>
        <v/>
      </c>
      <c r="W93" s="596" t="str">
        <f>IF($A93="","",VLOOKUP($A93,기본데이타!$A$8:$BV$103,COLUMN(기본데이타!AA$8),0))</f>
        <v/>
      </c>
      <c r="X93" s="596" t="str">
        <f>IF($A93="","",VLOOKUP($A93,기본데이타!$A$8:$BV$103,COLUMN(기본데이타!AB$8),0))</f>
        <v/>
      </c>
      <c r="Y93" s="595" t="str">
        <f>IF($A93="","",VLOOKUP($A93,기본데이타!$A$8:$BV$103,COLUMN(기본데이타!AC$8),0))</f>
        <v/>
      </c>
      <c r="Z93" s="596" t="str">
        <f>IF($A93="","",VLOOKUP($A93,기본데이타!$A$8:$BV$103,COLUMN(기본데이타!AD$8),0))</f>
        <v/>
      </c>
      <c r="AA93" s="595" t="str">
        <f>IF($A93="","",VLOOKUP($A93,기본데이타!$A$8:$BV$103,COLUMN(기본데이타!AE$8),0))</f>
        <v/>
      </c>
      <c r="AB93" s="596" t="str">
        <f>IF($A93="","",VLOOKUP($A93,기본데이타!$A$8:$BV$103,COLUMN(기본데이타!AF$8),0))</f>
        <v/>
      </c>
      <c r="AC93" s="595" t="str">
        <f>IF($A93="","",VLOOKUP($A93,기본데이타!$A$8:$BV$103,COLUMN(기본데이타!AG$8),0))</f>
        <v/>
      </c>
      <c r="AD93" s="596" t="str">
        <f>IF($A93="","",VLOOKUP($A93,기본데이타!$A$8:$BV$103,COLUMN(기본데이타!AH$8),0))</f>
        <v/>
      </c>
      <c r="AE93" s="595" t="str">
        <f>IF($A93="","",VLOOKUP($A93,기본데이타!$A$8:$BV$103,COLUMN(기본데이타!AI$8),0))</f>
        <v/>
      </c>
      <c r="AF93" s="597" t="str">
        <f>IF($A93="","",VLOOKUP($A93,기본데이타!$A$8:$BV$103,COLUMN(기본데이타!AJ$8),0))</f>
        <v/>
      </c>
      <c r="AG93" s="635" t="str">
        <f>IF($A93="","",VLOOKUP($A93,기본데이타!$A$8:$BV$103,COLUMN(기본데이타!AK$8),0))</f>
        <v/>
      </c>
      <c r="AH93" s="635" t="str">
        <f>IF($A93="","",VLOOKUP($A93,기본데이타!$A$8:$BV$103,COLUMN(기본데이타!AL$8),0))</f>
        <v/>
      </c>
      <c r="AI93" s="635" t="str">
        <f>IF($A93="","",VLOOKUP($A93,기본데이타!$A$8:$BV$103,COLUMN(기본데이타!AM$8),0))</f>
        <v/>
      </c>
      <c r="AJ93" s="636" t="str">
        <f>IF($A93="","",VLOOKUP($A93,기본데이타!$A$8:$BV$103,COLUMN(기본데이타!AN$8),0))</f>
        <v/>
      </c>
      <c r="AK93" s="636" t="str">
        <f>IF($A93="","",VLOOKUP($A93,기본데이타!$A$8:$BV$103,COLUMN(기본데이타!AO$8),0))</f>
        <v/>
      </c>
      <c r="AL93" s="636" t="str">
        <f>IF($A93="","",VLOOKUP($A93,기본데이타!$A$8:$BV$103,COLUMN(기본데이타!AP$8),0))</f>
        <v/>
      </c>
      <c r="AM93" s="636" t="str">
        <f>IF($A93="","",VLOOKUP($A93,기본데이타!$A$8:$BV$103,COLUMN(기본데이타!AQ$8),0))</f>
        <v/>
      </c>
      <c r="AN93" s="636" t="str">
        <f>IF($A93="","",VLOOKUP($A93,기본데이타!$A$8:$BV$103,COLUMN(기본데이타!AR$8),0))</f>
        <v/>
      </c>
      <c r="AO93" s="636" t="str">
        <f>IF($A93="","",VLOOKUP($A93,기본데이타!$A$8:$BV$103,COLUMN(기본데이타!AS$8),0))</f>
        <v/>
      </c>
      <c r="AP93" s="636" t="str">
        <f>IF($A93="","",VLOOKUP($A93,기본데이타!$A$8:$BV$103,COLUMN(기본데이타!AT$8),0))</f>
        <v/>
      </c>
      <c r="AQ93" s="636" t="str">
        <f>IF($A93="","",VLOOKUP($A93,기본데이타!$A$8:$BV$103,COLUMN(기본데이타!AU$8),0))</f>
        <v/>
      </c>
      <c r="AR93" s="637" t="str">
        <f>IF($A93="","",VLOOKUP($A93,기본데이타!$A$8:$BV$103,COLUMN(기본데이타!AV$8),0))</f>
        <v/>
      </c>
      <c r="AS93" s="596" t="str">
        <f>IF($A93="","",VLOOKUP($A93,기본데이타!$A$8:$BV$103,COLUMN(기본데이타!AW$8),0))</f>
        <v/>
      </c>
      <c r="AT93" s="596" t="str">
        <f>IF($A93="","",VLOOKUP($A93,기본데이타!$A$8:$BV$103,COLUMN(기본데이타!AX$8),0))</f>
        <v/>
      </c>
      <c r="AU93" s="596" t="str">
        <f>IF($A93="","",VLOOKUP($A93,기본데이타!$A$8:$BV$103,COLUMN(기본데이타!AY$8),0))</f>
        <v/>
      </c>
      <c r="AV93" s="596" t="str">
        <f t="shared" ref="AV93:AV95" si="12">IF(AS93="","",SUM(AS93:AU93))</f>
        <v/>
      </c>
      <c r="AW93" s="597" t="str">
        <f>IF($A93="","",VLOOKUP($A93,기본데이타!$A$8:$BV$103,COLUMN(기본데이타!BA$8),0))</f>
        <v/>
      </c>
      <c r="AX93" s="597" t="str">
        <f>IF($A93="","",VLOOKUP($A93,기본데이타!$A$8:$BV$103,COLUMN(기본데이타!BB$8),0))</f>
        <v/>
      </c>
      <c r="AY93" s="597" t="str">
        <f>IF($A93="","",VLOOKUP($A93,기본데이타!$A$8:$BV$103,COLUMN(기본데이타!BC$8),0))</f>
        <v/>
      </c>
      <c r="AZ93" s="597" t="str">
        <f>IF($A93="","",VLOOKUP($A93,기본데이타!$A$8:$BV$103,COLUMN(기본데이타!BD$8),0))</f>
        <v/>
      </c>
      <c r="BA93" s="597" t="str">
        <f>IF($A93="","",VLOOKUP($A93,기본데이타!$A$8:$BV$103,COLUMN(기본데이타!BE$8),0))</f>
        <v/>
      </c>
      <c r="BB93" s="597" t="str">
        <f>IF($A93="","",VLOOKUP($A93,기본데이타!$A$8:$BV$103,COLUMN(기본데이타!BF$8),0))</f>
        <v/>
      </c>
      <c r="BC93" s="597" t="str">
        <f>IF($A93="","",VLOOKUP($A93,기본데이타!$A$8:$BV$103,COLUMN(기본데이타!BG$8),0))</f>
        <v/>
      </c>
      <c r="BD93" s="597" t="str">
        <f>IF($A93="","",VLOOKUP($A93,기본데이타!$A$8:$BV$103,COLUMN(기본데이타!BH$8),0))</f>
        <v/>
      </c>
      <c r="BE93" s="597" t="str">
        <f>IF($A93="","",VLOOKUP($A93,기본데이타!$A$8:$BV$103,COLUMN(기본데이타!BI$8),0))</f>
        <v/>
      </c>
      <c r="BF93" s="597" t="str">
        <f>IF($A93="","",VLOOKUP($A93,기본데이타!$A$8:$BV$103,COLUMN(기본데이타!BJ$8),0))</f>
        <v/>
      </c>
      <c r="BG93" s="597" t="str">
        <f>IF($A93="","",VLOOKUP($A93,기본데이타!$A$8:$BV$103,COLUMN(기본데이타!BK$8),0))</f>
        <v/>
      </c>
      <c r="BH93" s="597" t="str">
        <f>IF($A93="","",VLOOKUP($A93,기본데이타!$A$8:$BV$103,COLUMN(기본데이타!BL$8),0))</f>
        <v/>
      </c>
      <c r="BI93" s="597" t="str">
        <f>IF($A93="","",VLOOKUP($A93,기본데이타!$A$8:$BV$103,COLUMN(기본데이타!BM$8),0))</f>
        <v/>
      </c>
      <c r="BJ93" s="597" t="str">
        <f>IF($A93="","",VLOOKUP($A93,기본데이타!$A$8:$BV$103,COLUMN(기본데이타!BN$8),0))</f>
        <v/>
      </c>
      <c r="BK93" s="597" t="str">
        <f>IF($A93="","",VLOOKUP($A93,기본데이타!$A$8:$BV$103,COLUMN(기본데이타!BO$8),0))</f>
        <v/>
      </c>
      <c r="BL93" s="597" t="str">
        <f>IF($A93="","",VLOOKUP($A93,기본데이타!$A$8:$BV$103,COLUMN(기본데이타!BP$8),0))</f>
        <v/>
      </c>
      <c r="BM93" s="597" t="str">
        <f>IF($A93="","",VLOOKUP($A93,기본데이타!$A$8:$BV$103,COLUMN(기본데이타!BQ$8),0))</f>
        <v/>
      </c>
      <c r="BN93" s="599" t="str">
        <f>IF($A93="","",VLOOKUP($A93,기본데이타!$A$8:$BV$103,COLUMN(기본데이타!BR$8),0))</f>
        <v/>
      </c>
      <c r="BO93" s="600" t="str">
        <f>IF($A93="","",VLOOKUP($A93,기본데이타!$A$8:$BV$103,COLUMN(기본데이타!BS$8),0))</f>
        <v/>
      </c>
      <c r="BP93" s="623" t="str">
        <f>IF($A93="","",VLOOKUP($A93,기본데이타!$A$8:$BV$103,COLUMN(기본데이타!BT$8),0))</f>
        <v/>
      </c>
      <c r="BQ93" s="602" t="str">
        <f>IF($A93="","",VLOOKUP($A93,기본데이타!$A$8:$BV$103,COLUMN(기본데이타!BU$8),0))</f>
        <v/>
      </c>
      <c r="BR93" s="603" t="str">
        <f t="shared" ref="BR93:BR95" si="13">IF($A93="","",A93)</f>
        <v/>
      </c>
    </row>
    <row r="94" spans="1:73" s="571" customFormat="1" ht="61.5" hidden="1" customHeight="1" outlineLevel="1">
      <c r="A94" s="578"/>
      <c r="B94" s="1642"/>
      <c r="C94" s="590"/>
      <c r="D94" s="591" t="str">
        <f>IF($A94="","",VLOOKUP($A94,기본데이타!$A$8:$BV$103,COLUMN(기본데이타!F$8),0))</f>
        <v/>
      </c>
      <c r="E94" s="592" t="str">
        <f>IF($A94="","",VLOOKUP($A94,기본데이타!$A$8:$BV$103,COLUMN(기본데이타!G$8),0))</f>
        <v/>
      </c>
      <c r="F94" s="593" t="str">
        <f>IF($A94="","",VLOOKUP($A94,기본데이타!$A$8:$BV$103,COLUMN(기본데이타!H$8),0))</f>
        <v/>
      </c>
      <c r="G94" s="594" t="str">
        <f>IF($A94="","",VLOOKUP($A94,기본데이타!$A$8:$BV$103,COLUMN(기본데이타!I$8),0))</f>
        <v/>
      </c>
      <c r="H94" s="594" t="str">
        <f>IF($A94="","",VLOOKUP($A94,기본데이타!$A$8:$BV$103,COLUMN(기본데이타!J$8),0))</f>
        <v/>
      </c>
      <c r="I94" s="595" t="str">
        <f>IF($A94="","",VLOOKUP($A94,기본데이타!$A$8:$BV$103,COLUMN(기본데이타!K$8),0))</f>
        <v/>
      </c>
      <c r="J94" s="595" t="str">
        <f>IF($A94="","",VLOOKUP($A94,기본데이타!$A$8:$BV$103,COLUMN(기본데이타!L$8),0))</f>
        <v/>
      </c>
      <c r="K94" s="595" t="str">
        <f>IF($A94="","",VLOOKUP($A94,기본데이타!$A$8:$BV$103,COLUMN(기본데이타!M$8),0))</f>
        <v/>
      </c>
      <c r="L94" s="596" t="str">
        <f>IF($A94="","",VLOOKUP($A94,기본데이타!$A$8:$BV$103,COLUMN(기본데이타!N$8),0))</f>
        <v/>
      </c>
      <c r="M94" s="595" t="str">
        <f>IF($A94="","",VLOOKUP($A94,기본데이타!$A$8:$BV$103,COLUMN(기본데이타!O$8),0))</f>
        <v/>
      </c>
      <c r="N94" s="596" t="str">
        <f>IF($A94="","",VLOOKUP($A94,기본데이타!$A$8:$BV$103,COLUMN(기본데이타!P$8),0))</f>
        <v/>
      </c>
      <c r="O94" s="596" t="str">
        <f>IF($A94="","",VLOOKUP($A94,기본데이타!$A$8:$BV$103,COLUMN(기본데이타!Q$8),0))</f>
        <v/>
      </c>
      <c r="P94" s="596" t="str">
        <f>IF($A94="","",VLOOKUP($A94,기본데이타!$A$8:$BV$103,COLUMN(기본데이타!R$8),0))</f>
        <v/>
      </c>
      <c r="Q94" s="596" t="str">
        <f>IF($A94="","",VLOOKUP($A94,기본데이타!$A$8:$BV$103,COLUMN(기본데이타!S$8),0))</f>
        <v/>
      </c>
      <c r="R94" s="596" t="str">
        <f>IF($A94="","",VLOOKUP($A94,기본데이타!$A$8:$BV$103,COLUMN(기본데이타!T$8),0))</f>
        <v/>
      </c>
      <c r="S94" s="596" t="str">
        <f>IF($A94="","",VLOOKUP($A94,기본데이타!$A$8:$BV$103,COLUMN(기본데이타!U$8),0))</f>
        <v/>
      </c>
      <c r="T94" s="596" t="str">
        <f>IF($A94="","",VLOOKUP($A94,기본데이타!$A$8:$BV$103,COLUMN(기본데이타!V$8),0))</f>
        <v/>
      </c>
      <c r="U94" s="596" t="str">
        <f>IF($A94="","",VLOOKUP($A94,기본데이타!$A$8:$BV$103,COLUMN(기본데이타!W$8),0))</f>
        <v/>
      </c>
      <c r="V94" s="596" t="str">
        <f>IF($A94="","",VLOOKUP($A94,기본데이타!$A$8:$BV$103,COLUMN(기본데이타!X$8),0))</f>
        <v/>
      </c>
      <c r="W94" s="596" t="str">
        <f>IF($A94="","",VLOOKUP($A94,기본데이타!$A$8:$BV$103,COLUMN(기본데이타!AA$8),0))</f>
        <v/>
      </c>
      <c r="X94" s="596" t="str">
        <f>IF($A94="","",VLOOKUP($A94,기본데이타!$A$8:$BV$103,COLUMN(기본데이타!AB$8),0))</f>
        <v/>
      </c>
      <c r="Y94" s="595" t="str">
        <f>IF($A94="","",VLOOKUP($A94,기본데이타!$A$8:$BV$103,COLUMN(기본데이타!AC$8),0))</f>
        <v/>
      </c>
      <c r="Z94" s="596" t="str">
        <f>IF($A94="","",VLOOKUP($A94,기본데이타!$A$8:$BV$103,COLUMN(기본데이타!AD$8),0))</f>
        <v/>
      </c>
      <c r="AA94" s="595" t="str">
        <f>IF($A94="","",VLOOKUP($A94,기본데이타!$A$8:$BV$103,COLUMN(기본데이타!AE$8),0))</f>
        <v/>
      </c>
      <c r="AB94" s="596" t="str">
        <f>IF($A94="","",VLOOKUP($A94,기본데이타!$A$8:$BV$103,COLUMN(기본데이타!AF$8),0))</f>
        <v/>
      </c>
      <c r="AC94" s="595" t="str">
        <f>IF($A94="","",VLOOKUP($A94,기본데이타!$A$8:$BV$103,COLUMN(기본데이타!AG$8),0))</f>
        <v/>
      </c>
      <c r="AD94" s="596" t="str">
        <f>IF($A94="","",VLOOKUP($A94,기본데이타!$A$8:$BV$103,COLUMN(기본데이타!AH$8),0))</f>
        <v/>
      </c>
      <c r="AE94" s="595" t="str">
        <f>IF($A94="","",VLOOKUP($A94,기본데이타!$A$8:$BV$103,COLUMN(기본데이타!AI$8),0))</f>
        <v/>
      </c>
      <c r="AF94" s="597" t="str">
        <f>IF($A94="","",VLOOKUP($A94,기본데이타!$A$8:$BV$103,COLUMN(기본데이타!AJ$8),0))</f>
        <v/>
      </c>
      <c r="AG94" s="635" t="str">
        <f>IF($A94="","",VLOOKUP($A94,기본데이타!$A$8:$BV$103,COLUMN(기본데이타!AK$8),0))</f>
        <v/>
      </c>
      <c r="AH94" s="635" t="str">
        <f>IF($A94="","",VLOOKUP($A94,기본데이타!$A$8:$BV$103,COLUMN(기본데이타!AL$8),0))</f>
        <v/>
      </c>
      <c r="AI94" s="635" t="str">
        <f>IF($A94="","",VLOOKUP($A94,기본데이타!$A$8:$BV$103,COLUMN(기본데이타!AM$8),0))</f>
        <v/>
      </c>
      <c r="AJ94" s="636" t="str">
        <f>IF($A94="","",VLOOKUP($A94,기본데이타!$A$8:$BV$103,COLUMN(기본데이타!AN$8),0))</f>
        <v/>
      </c>
      <c r="AK94" s="636" t="str">
        <f>IF($A94="","",VLOOKUP($A94,기본데이타!$A$8:$BV$103,COLUMN(기본데이타!AO$8),0))</f>
        <v/>
      </c>
      <c r="AL94" s="636" t="str">
        <f>IF($A94="","",VLOOKUP($A94,기본데이타!$A$8:$BV$103,COLUMN(기본데이타!AP$8),0))</f>
        <v/>
      </c>
      <c r="AM94" s="636" t="str">
        <f>IF($A94="","",VLOOKUP($A94,기본데이타!$A$8:$BV$103,COLUMN(기본데이타!AQ$8),0))</f>
        <v/>
      </c>
      <c r="AN94" s="636" t="str">
        <f>IF($A94="","",VLOOKUP($A94,기본데이타!$A$8:$BV$103,COLUMN(기본데이타!AR$8),0))</f>
        <v/>
      </c>
      <c r="AO94" s="636" t="str">
        <f>IF($A94="","",VLOOKUP($A94,기본데이타!$A$8:$BV$103,COLUMN(기본데이타!AS$8),0))</f>
        <v/>
      </c>
      <c r="AP94" s="636" t="str">
        <f>IF($A94="","",VLOOKUP($A94,기본데이타!$A$8:$BV$103,COLUMN(기본데이타!AT$8),0))</f>
        <v/>
      </c>
      <c r="AQ94" s="636" t="str">
        <f>IF($A94="","",VLOOKUP($A94,기본데이타!$A$8:$BV$103,COLUMN(기본데이타!AU$8),0))</f>
        <v/>
      </c>
      <c r="AR94" s="637" t="str">
        <f>IF($A94="","",VLOOKUP($A94,기본데이타!$A$8:$BV$103,COLUMN(기본데이타!AV$8),0))</f>
        <v/>
      </c>
      <c r="AS94" s="596" t="str">
        <f>IF($A94="","",VLOOKUP($A94,기본데이타!$A$8:$BV$103,COLUMN(기본데이타!AW$8),0))</f>
        <v/>
      </c>
      <c r="AT94" s="596" t="str">
        <f>IF($A94="","",VLOOKUP($A94,기본데이타!$A$8:$BV$103,COLUMN(기본데이타!AX$8),0))</f>
        <v/>
      </c>
      <c r="AU94" s="596" t="str">
        <f>IF($A94="","",VLOOKUP($A94,기본데이타!$A$8:$BV$103,COLUMN(기본데이타!AY$8),0))</f>
        <v/>
      </c>
      <c r="AV94" s="596" t="str">
        <f t="shared" si="12"/>
        <v/>
      </c>
      <c r="AW94" s="597" t="str">
        <f>IF($A94="","",VLOOKUP($A94,기본데이타!$A$8:$BV$103,COLUMN(기본데이타!BA$8),0))</f>
        <v/>
      </c>
      <c r="AX94" s="597" t="str">
        <f>IF($A94="","",VLOOKUP($A94,기본데이타!$A$8:$BV$103,COLUMN(기본데이타!BB$8),0))</f>
        <v/>
      </c>
      <c r="AY94" s="597" t="str">
        <f>IF($A94="","",VLOOKUP($A94,기본데이타!$A$8:$BV$103,COLUMN(기본데이타!BC$8),0))</f>
        <v/>
      </c>
      <c r="AZ94" s="597" t="str">
        <f>IF($A94="","",VLOOKUP($A94,기본데이타!$A$8:$BV$103,COLUMN(기본데이타!BD$8),0))</f>
        <v/>
      </c>
      <c r="BA94" s="597" t="str">
        <f>IF($A94="","",VLOOKUP($A94,기본데이타!$A$8:$BV$103,COLUMN(기본데이타!BE$8),0))</f>
        <v/>
      </c>
      <c r="BB94" s="597" t="str">
        <f>IF($A94="","",VLOOKUP($A94,기본데이타!$A$8:$BV$103,COLUMN(기본데이타!BF$8),0))</f>
        <v/>
      </c>
      <c r="BC94" s="597" t="str">
        <f>IF($A94="","",VLOOKUP($A94,기본데이타!$A$8:$BV$103,COLUMN(기본데이타!BG$8),0))</f>
        <v/>
      </c>
      <c r="BD94" s="597" t="str">
        <f>IF($A94="","",VLOOKUP($A94,기본데이타!$A$8:$BV$103,COLUMN(기본데이타!BH$8),0))</f>
        <v/>
      </c>
      <c r="BE94" s="597" t="str">
        <f>IF($A94="","",VLOOKUP($A94,기본데이타!$A$8:$BV$103,COLUMN(기본데이타!BI$8),0))</f>
        <v/>
      </c>
      <c r="BF94" s="597" t="str">
        <f>IF($A94="","",VLOOKUP($A94,기본데이타!$A$8:$BV$103,COLUMN(기본데이타!BJ$8),0))</f>
        <v/>
      </c>
      <c r="BG94" s="597" t="str">
        <f>IF($A94="","",VLOOKUP($A94,기본데이타!$A$8:$BV$103,COLUMN(기본데이타!BK$8),0))</f>
        <v/>
      </c>
      <c r="BH94" s="597" t="str">
        <f>IF($A94="","",VLOOKUP($A94,기본데이타!$A$8:$BV$103,COLUMN(기본데이타!BL$8),0))</f>
        <v/>
      </c>
      <c r="BI94" s="597" t="str">
        <f>IF($A94="","",VLOOKUP($A94,기본데이타!$A$8:$BV$103,COLUMN(기본데이타!BM$8),0))</f>
        <v/>
      </c>
      <c r="BJ94" s="597" t="str">
        <f>IF($A94="","",VLOOKUP($A94,기본데이타!$A$8:$BV$103,COLUMN(기본데이타!BN$8),0))</f>
        <v/>
      </c>
      <c r="BK94" s="597" t="str">
        <f>IF($A94="","",VLOOKUP($A94,기본데이타!$A$8:$BV$103,COLUMN(기본데이타!BO$8),0))</f>
        <v/>
      </c>
      <c r="BL94" s="597" t="str">
        <f>IF($A94="","",VLOOKUP($A94,기본데이타!$A$8:$BV$103,COLUMN(기본데이타!BP$8),0))</f>
        <v/>
      </c>
      <c r="BM94" s="597" t="str">
        <f>IF($A94="","",VLOOKUP($A94,기본데이타!$A$8:$BV$103,COLUMN(기본데이타!BQ$8),0))</f>
        <v/>
      </c>
      <c r="BN94" s="599" t="str">
        <f>IF($A94="","",VLOOKUP($A94,기본데이타!$A$8:$BV$103,COLUMN(기본데이타!BR$8),0))</f>
        <v/>
      </c>
      <c r="BO94" s="600" t="str">
        <f>IF($A94="","",VLOOKUP($A94,기본데이타!$A$8:$BV$103,COLUMN(기본데이타!BS$8),0))</f>
        <v/>
      </c>
      <c r="BP94" s="623" t="str">
        <f>IF($A94="","",VLOOKUP($A94,기본데이타!$A$8:$BV$103,COLUMN(기본데이타!BT$8),0))</f>
        <v/>
      </c>
      <c r="BQ94" s="602" t="str">
        <f>IF($A94="","",VLOOKUP($A94,기본데이타!$A$8:$BV$103,COLUMN(기본데이타!BU$8),0))</f>
        <v/>
      </c>
      <c r="BR94" s="603" t="str">
        <f t="shared" si="13"/>
        <v/>
      </c>
    </row>
    <row r="95" spans="1:73" s="571" customFormat="1" ht="61.5" hidden="1" customHeight="1" outlineLevel="1">
      <c r="A95" s="578"/>
      <c r="B95" s="1642"/>
      <c r="C95" s="590"/>
      <c r="D95" s="591" t="str">
        <f>IF($A95="","",VLOOKUP($A95,기본데이타!$A$8:$BV$103,COLUMN(기본데이타!F$8),0))</f>
        <v/>
      </c>
      <c r="E95" s="592" t="str">
        <f>IF($A95="","",VLOOKUP($A95,기본데이타!$A$8:$BV$103,COLUMN(기본데이타!G$8),0))</f>
        <v/>
      </c>
      <c r="F95" s="593" t="str">
        <f>IF($A95="","",VLOOKUP($A95,기본데이타!$A$8:$BV$103,COLUMN(기본데이타!H$8),0))</f>
        <v/>
      </c>
      <c r="G95" s="594" t="str">
        <f>IF($A95="","",VLOOKUP($A95,기본데이타!$A$8:$BV$103,COLUMN(기본데이타!I$8),0))</f>
        <v/>
      </c>
      <c r="H95" s="594" t="str">
        <f>IF($A95="","",VLOOKUP($A95,기본데이타!$A$8:$BV$103,COLUMN(기본데이타!J$8),0))</f>
        <v/>
      </c>
      <c r="I95" s="595" t="str">
        <f>IF($A95="","",VLOOKUP($A95,기본데이타!$A$8:$BV$103,COLUMN(기본데이타!K$8),0))</f>
        <v/>
      </c>
      <c r="J95" s="595" t="str">
        <f>IF($A95="","",VLOOKUP($A95,기본데이타!$A$8:$BV$103,COLUMN(기본데이타!L$8),0))</f>
        <v/>
      </c>
      <c r="K95" s="595" t="str">
        <f>IF($A95="","",VLOOKUP($A95,기본데이타!$A$8:$BV$103,COLUMN(기본데이타!M$8),0))</f>
        <v/>
      </c>
      <c r="L95" s="596" t="str">
        <f>IF($A95="","",VLOOKUP($A95,기본데이타!$A$8:$BV$103,COLUMN(기본데이타!N$8),0))</f>
        <v/>
      </c>
      <c r="M95" s="595" t="str">
        <f>IF($A95="","",VLOOKUP($A95,기본데이타!$A$8:$BV$103,COLUMN(기본데이타!O$8),0))</f>
        <v/>
      </c>
      <c r="N95" s="596" t="str">
        <f>IF($A95="","",VLOOKUP($A95,기본데이타!$A$8:$BV$103,COLUMN(기본데이타!P$8),0))</f>
        <v/>
      </c>
      <c r="O95" s="596" t="str">
        <f>IF($A95="","",VLOOKUP($A95,기본데이타!$A$8:$BV$103,COLUMN(기본데이타!Q$8),0))</f>
        <v/>
      </c>
      <c r="P95" s="596" t="str">
        <f>IF($A95="","",VLOOKUP($A95,기본데이타!$A$8:$BV$103,COLUMN(기본데이타!R$8),0))</f>
        <v/>
      </c>
      <c r="Q95" s="596" t="str">
        <f>IF($A95="","",VLOOKUP($A95,기본데이타!$A$8:$BV$103,COLUMN(기본데이타!S$8),0))</f>
        <v/>
      </c>
      <c r="R95" s="596" t="str">
        <f>IF($A95="","",VLOOKUP($A95,기본데이타!$A$8:$BV$103,COLUMN(기본데이타!T$8),0))</f>
        <v/>
      </c>
      <c r="S95" s="596" t="str">
        <f>IF($A95="","",VLOOKUP($A95,기본데이타!$A$8:$BV$103,COLUMN(기본데이타!U$8),0))</f>
        <v/>
      </c>
      <c r="T95" s="596" t="str">
        <f>IF($A95="","",VLOOKUP($A95,기본데이타!$A$8:$BV$103,COLUMN(기본데이타!V$8),0))</f>
        <v/>
      </c>
      <c r="U95" s="596" t="str">
        <f>IF($A95="","",VLOOKUP($A95,기본데이타!$A$8:$BV$103,COLUMN(기본데이타!W$8),0))</f>
        <v/>
      </c>
      <c r="V95" s="596" t="str">
        <f>IF($A95="","",VLOOKUP($A95,기본데이타!$A$8:$BV$103,COLUMN(기본데이타!X$8),0))</f>
        <v/>
      </c>
      <c r="W95" s="596" t="str">
        <f>IF($A95="","",VLOOKUP($A95,기본데이타!$A$8:$BV$103,COLUMN(기본데이타!AA$8),0))</f>
        <v/>
      </c>
      <c r="X95" s="596" t="str">
        <f>IF($A95="","",VLOOKUP($A95,기본데이타!$A$8:$BV$103,COLUMN(기본데이타!AB$8),0))</f>
        <v/>
      </c>
      <c r="Y95" s="595" t="str">
        <f>IF($A95="","",VLOOKUP($A95,기본데이타!$A$8:$BV$103,COLUMN(기본데이타!AC$8),0))</f>
        <v/>
      </c>
      <c r="Z95" s="596" t="str">
        <f>IF($A95="","",VLOOKUP($A95,기본데이타!$A$8:$BV$103,COLUMN(기본데이타!AD$8),0))</f>
        <v/>
      </c>
      <c r="AA95" s="595" t="str">
        <f>IF($A95="","",VLOOKUP($A95,기본데이타!$A$8:$BV$103,COLUMN(기본데이타!AE$8),0))</f>
        <v/>
      </c>
      <c r="AB95" s="596" t="str">
        <f>IF($A95="","",VLOOKUP($A95,기본데이타!$A$8:$BV$103,COLUMN(기본데이타!AF$8),0))</f>
        <v/>
      </c>
      <c r="AC95" s="595" t="str">
        <f>IF($A95="","",VLOOKUP($A95,기본데이타!$A$8:$BV$103,COLUMN(기본데이타!AG$8),0))</f>
        <v/>
      </c>
      <c r="AD95" s="596" t="str">
        <f>IF($A95="","",VLOOKUP($A95,기본데이타!$A$8:$BV$103,COLUMN(기본데이타!AH$8),0))</f>
        <v/>
      </c>
      <c r="AE95" s="595" t="str">
        <f>IF($A95="","",VLOOKUP($A95,기본데이타!$A$8:$BV$103,COLUMN(기본데이타!AI$8),0))</f>
        <v/>
      </c>
      <c r="AF95" s="597" t="str">
        <f>IF($A95="","",VLOOKUP($A95,기본데이타!$A$8:$BV$103,COLUMN(기본데이타!AJ$8),0))</f>
        <v/>
      </c>
      <c r="AG95" s="635" t="str">
        <f>IF($A95="","",VLOOKUP($A95,기본데이타!$A$8:$BV$103,COLUMN(기본데이타!AK$8),0))</f>
        <v/>
      </c>
      <c r="AH95" s="635" t="str">
        <f>IF($A95="","",VLOOKUP($A95,기본데이타!$A$8:$BV$103,COLUMN(기본데이타!AL$8),0))</f>
        <v/>
      </c>
      <c r="AI95" s="635" t="str">
        <f>IF($A95="","",VLOOKUP($A95,기본데이타!$A$8:$BV$103,COLUMN(기본데이타!AM$8),0))</f>
        <v/>
      </c>
      <c r="AJ95" s="636" t="str">
        <f>IF($A95="","",VLOOKUP($A95,기본데이타!$A$8:$BV$103,COLUMN(기본데이타!AN$8),0))</f>
        <v/>
      </c>
      <c r="AK95" s="636" t="str">
        <f>IF($A95="","",VLOOKUP($A95,기본데이타!$A$8:$BV$103,COLUMN(기본데이타!AO$8),0))</f>
        <v/>
      </c>
      <c r="AL95" s="636" t="str">
        <f>IF($A95="","",VLOOKUP($A95,기본데이타!$A$8:$BV$103,COLUMN(기본데이타!AP$8),0))</f>
        <v/>
      </c>
      <c r="AM95" s="636" t="str">
        <f>IF($A95="","",VLOOKUP($A95,기본데이타!$A$8:$BV$103,COLUMN(기본데이타!AQ$8),0))</f>
        <v/>
      </c>
      <c r="AN95" s="636" t="str">
        <f>IF($A95="","",VLOOKUP($A95,기본데이타!$A$8:$BV$103,COLUMN(기본데이타!AR$8),0))</f>
        <v/>
      </c>
      <c r="AO95" s="636" t="str">
        <f>IF($A95="","",VLOOKUP($A95,기본데이타!$A$8:$BV$103,COLUMN(기본데이타!AS$8),0))</f>
        <v/>
      </c>
      <c r="AP95" s="636" t="str">
        <f>IF($A95="","",VLOOKUP($A95,기본데이타!$A$8:$BV$103,COLUMN(기본데이타!AT$8),0))</f>
        <v/>
      </c>
      <c r="AQ95" s="636" t="str">
        <f>IF($A95="","",VLOOKUP($A95,기본데이타!$A$8:$BV$103,COLUMN(기본데이타!AU$8),0))</f>
        <v/>
      </c>
      <c r="AR95" s="637" t="str">
        <f>IF($A95="","",VLOOKUP($A95,기본데이타!$A$8:$BV$103,COLUMN(기본데이타!AV$8),0))</f>
        <v/>
      </c>
      <c r="AS95" s="596" t="str">
        <f>IF($A95="","",VLOOKUP($A95,기본데이타!$A$8:$BV$103,COLUMN(기본데이타!AW$8),0))</f>
        <v/>
      </c>
      <c r="AT95" s="596" t="str">
        <f>IF($A95="","",VLOOKUP($A95,기본데이타!$A$8:$BV$103,COLUMN(기본데이타!AX$8),0))</f>
        <v/>
      </c>
      <c r="AU95" s="596" t="str">
        <f>IF($A95="","",VLOOKUP($A95,기본데이타!$A$8:$BV$103,COLUMN(기본데이타!AY$8),0))</f>
        <v/>
      </c>
      <c r="AV95" s="596" t="str">
        <f t="shared" si="12"/>
        <v/>
      </c>
      <c r="AW95" s="597" t="str">
        <f>IF($A95="","",VLOOKUP($A95,기본데이타!$A$8:$BV$103,COLUMN(기본데이타!BA$8),0))</f>
        <v/>
      </c>
      <c r="AX95" s="597" t="str">
        <f>IF($A95="","",VLOOKUP($A95,기본데이타!$A$8:$BV$103,COLUMN(기본데이타!BB$8),0))</f>
        <v/>
      </c>
      <c r="AY95" s="597" t="str">
        <f>IF($A95="","",VLOOKUP($A95,기본데이타!$A$8:$BV$103,COLUMN(기본데이타!BC$8),0))</f>
        <v/>
      </c>
      <c r="AZ95" s="597" t="str">
        <f>IF($A95="","",VLOOKUP($A95,기본데이타!$A$8:$BV$103,COLUMN(기본데이타!BD$8),0))</f>
        <v/>
      </c>
      <c r="BA95" s="597" t="str">
        <f>IF($A95="","",VLOOKUP($A95,기본데이타!$A$8:$BV$103,COLUMN(기본데이타!BE$8),0))</f>
        <v/>
      </c>
      <c r="BB95" s="597" t="str">
        <f>IF($A95="","",VLOOKUP($A95,기본데이타!$A$8:$BV$103,COLUMN(기본데이타!BF$8),0))</f>
        <v/>
      </c>
      <c r="BC95" s="597" t="str">
        <f>IF($A95="","",VLOOKUP($A95,기본데이타!$A$8:$BV$103,COLUMN(기본데이타!BG$8),0))</f>
        <v/>
      </c>
      <c r="BD95" s="597" t="str">
        <f>IF($A95="","",VLOOKUP($A95,기본데이타!$A$8:$BV$103,COLUMN(기본데이타!BH$8),0))</f>
        <v/>
      </c>
      <c r="BE95" s="597" t="str">
        <f>IF($A95="","",VLOOKUP($A95,기본데이타!$A$8:$BV$103,COLUMN(기본데이타!BI$8),0))</f>
        <v/>
      </c>
      <c r="BF95" s="597" t="str">
        <f>IF($A95="","",VLOOKUP($A95,기본데이타!$A$8:$BV$103,COLUMN(기본데이타!BJ$8),0))</f>
        <v/>
      </c>
      <c r="BG95" s="597" t="str">
        <f>IF($A95="","",VLOOKUP($A95,기본데이타!$A$8:$BV$103,COLUMN(기본데이타!BK$8),0))</f>
        <v/>
      </c>
      <c r="BH95" s="597" t="str">
        <f>IF($A95="","",VLOOKUP($A95,기본데이타!$A$8:$BV$103,COLUMN(기본데이타!BL$8),0))</f>
        <v/>
      </c>
      <c r="BI95" s="597" t="str">
        <f>IF($A95="","",VLOOKUP($A95,기본데이타!$A$8:$BV$103,COLUMN(기본데이타!BM$8),0))</f>
        <v/>
      </c>
      <c r="BJ95" s="597" t="str">
        <f>IF($A95="","",VLOOKUP($A95,기본데이타!$A$8:$BV$103,COLUMN(기본데이타!BN$8),0))</f>
        <v/>
      </c>
      <c r="BK95" s="597" t="str">
        <f>IF($A95="","",VLOOKUP($A95,기본데이타!$A$8:$BV$103,COLUMN(기본데이타!BO$8),0))</f>
        <v/>
      </c>
      <c r="BL95" s="597" t="str">
        <f>IF($A95="","",VLOOKUP($A95,기본데이타!$A$8:$BV$103,COLUMN(기본데이타!BP$8),0))</f>
        <v/>
      </c>
      <c r="BM95" s="597" t="str">
        <f>IF($A95="","",VLOOKUP($A95,기본데이타!$A$8:$BV$103,COLUMN(기본데이타!BQ$8),0))</f>
        <v/>
      </c>
      <c r="BN95" s="599" t="str">
        <f>IF($A95="","",VLOOKUP($A95,기본데이타!$A$8:$BV$103,COLUMN(기본데이타!BR$8),0))</f>
        <v/>
      </c>
      <c r="BO95" s="600" t="str">
        <f>IF($A95="","",VLOOKUP($A95,기본데이타!$A$8:$BV$103,COLUMN(기본데이타!BS$8),0))</f>
        <v/>
      </c>
      <c r="BP95" s="623" t="str">
        <f>IF($A95="","",VLOOKUP($A95,기본데이타!$A$8:$BV$103,COLUMN(기본데이타!BT$8),0))</f>
        <v/>
      </c>
      <c r="BQ95" s="602" t="str">
        <f>IF($A95="","",VLOOKUP($A95,기본데이타!$A$8:$BV$103,COLUMN(기본데이타!BU$8),0))</f>
        <v/>
      </c>
      <c r="BR95" s="603" t="str">
        <f t="shared" si="13"/>
        <v/>
      </c>
    </row>
    <row r="96" spans="1:73" s="571" customFormat="1" ht="61.5" hidden="1" customHeight="1" outlineLevel="1">
      <c r="A96" s="578"/>
      <c r="B96" s="1642"/>
      <c r="C96" s="590"/>
      <c r="D96" s="591" t="str">
        <f>IF($A96="","",VLOOKUP($A96,기본데이타!$A$8:$BV$103,COLUMN(기본데이타!F$8),0))</f>
        <v/>
      </c>
      <c r="E96" s="592" t="str">
        <f>IF($A96="","",VLOOKUP($A96,기본데이타!$A$8:$BV$103,COLUMN(기본데이타!G$8),0))</f>
        <v/>
      </c>
      <c r="F96" s="593" t="str">
        <f>IF($A96="","",VLOOKUP($A96,기본데이타!$A$8:$BV$103,COLUMN(기본데이타!H$8),0))</f>
        <v/>
      </c>
      <c r="G96" s="594" t="str">
        <f>IF($A96="","",VLOOKUP($A96,기본데이타!$A$8:$BV$103,COLUMN(기본데이타!I$8),0))</f>
        <v/>
      </c>
      <c r="H96" s="594" t="str">
        <f>IF($A96="","",VLOOKUP($A96,기본데이타!$A$8:$BV$103,COLUMN(기본데이타!J$8),0))</f>
        <v/>
      </c>
      <c r="I96" s="595" t="str">
        <f>IF($A96="","",VLOOKUP($A96,기본데이타!$A$8:$BV$103,COLUMN(기본데이타!K$8),0))</f>
        <v/>
      </c>
      <c r="J96" s="595" t="str">
        <f>IF($A96="","",VLOOKUP($A96,기본데이타!$A$8:$BV$103,COLUMN(기본데이타!L$8),0))</f>
        <v/>
      </c>
      <c r="K96" s="595" t="str">
        <f>IF($A96="","",VLOOKUP($A96,기본데이타!$A$8:$BV$103,COLUMN(기본데이타!M$8),0))</f>
        <v/>
      </c>
      <c r="L96" s="596" t="str">
        <f>IF($A96="","",VLOOKUP($A96,기본데이타!$A$8:$BV$103,COLUMN(기본데이타!N$8),0))</f>
        <v/>
      </c>
      <c r="M96" s="595" t="str">
        <f>IF($A96="","",VLOOKUP($A96,기본데이타!$A$8:$BV$103,COLUMN(기본데이타!O$8),0))</f>
        <v/>
      </c>
      <c r="N96" s="596" t="str">
        <f>IF($A96="","",VLOOKUP($A96,기본데이타!$A$8:$BV$103,COLUMN(기본데이타!P$8),0))</f>
        <v/>
      </c>
      <c r="O96" s="596" t="str">
        <f>IF($A96="","",VLOOKUP($A96,기본데이타!$A$8:$BV$103,COLUMN(기본데이타!Q$8),0))</f>
        <v/>
      </c>
      <c r="P96" s="596" t="str">
        <f>IF($A96="","",VLOOKUP($A96,기본데이타!$A$8:$BV$103,COLUMN(기본데이타!R$8),0))</f>
        <v/>
      </c>
      <c r="Q96" s="596" t="str">
        <f>IF($A96="","",VLOOKUP($A96,기본데이타!$A$8:$BV$103,COLUMN(기본데이타!S$8),0))</f>
        <v/>
      </c>
      <c r="R96" s="596" t="str">
        <f>IF($A96="","",VLOOKUP($A96,기본데이타!$A$8:$BV$103,COLUMN(기본데이타!T$8),0))</f>
        <v/>
      </c>
      <c r="S96" s="596" t="str">
        <f>IF($A96="","",VLOOKUP($A96,기본데이타!$A$8:$BV$103,COLUMN(기본데이타!U$8),0))</f>
        <v/>
      </c>
      <c r="T96" s="596" t="str">
        <f>IF($A96="","",VLOOKUP($A96,기본데이타!$A$8:$BV$103,COLUMN(기본데이타!V$8),0))</f>
        <v/>
      </c>
      <c r="U96" s="596" t="str">
        <f>IF($A96="","",VLOOKUP($A96,기본데이타!$A$8:$BV$103,COLUMN(기본데이타!W$8),0))</f>
        <v/>
      </c>
      <c r="V96" s="596" t="str">
        <f>IF($A96="","",VLOOKUP($A96,기본데이타!$A$8:$BV$103,COLUMN(기본데이타!X$8),0))</f>
        <v/>
      </c>
      <c r="W96" s="596" t="str">
        <f>IF($A96="","",VLOOKUP($A96,기본데이타!$A$8:$BV$103,COLUMN(기본데이타!AA$8),0))</f>
        <v/>
      </c>
      <c r="X96" s="596" t="str">
        <f>IF($A96="","",VLOOKUP($A96,기본데이타!$A$8:$BV$103,COLUMN(기본데이타!AB$8),0))</f>
        <v/>
      </c>
      <c r="Y96" s="595" t="str">
        <f>IF($A96="","",VLOOKUP($A96,기본데이타!$A$8:$BV$103,COLUMN(기본데이타!AC$8),0))</f>
        <v/>
      </c>
      <c r="Z96" s="596" t="str">
        <f>IF($A96="","",VLOOKUP($A96,기본데이타!$A$8:$BV$103,COLUMN(기본데이타!AD$8),0))</f>
        <v/>
      </c>
      <c r="AA96" s="595" t="str">
        <f>IF($A96="","",VLOOKUP($A96,기본데이타!$A$8:$BV$103,COLUMN(기본데이타!AE$8),0))</f>
        <v/>
      </c>
      <c r="AB96" s="596" t="str">
        <f>IF($A96="","",VLOOKUP($A96,기본데이타!$A$8:$BV$103,COLUMN(기본데이타!AF$8),0))</f>
        <v/>
      </c>
      <c r="AC96" s="595" t="str">
        <f>IF($A96="","",VLOOKUP($A96,기본데이타!$A$8:$BV$103,COLUMN(기본데이타!AG$8),0))</f>
        <v/>
      </c>
      <c r="AD96" s="596" t="str">
        <f>IF($A96="","",VLOOKUP($A96,기본데이타!$A$8:$BV$103,COLUMN(기본데이타!AH$8),0))</f>
        <v/>
      </c>
      <c r="AE96" s="595" t="str">
        <f>IF($A96="","",VLOOKUP($A96,기본데이타!$A$8:$BV$103,COLUMN(기본데이타!AI$8),0))</f>
        <v/>
      </c>
      <c r="AF96" s="597" t="str">
        <f>IF($A96="","",VLOOKUP($A96,기본데이타!$A$8:$BV$103,COLUMN(기본데이타!AJ$8),0))</f>
        <v/>
      </c>
      <c r="AG96" s="635" t="str">
        <f>IF($A96="","",VLOOKUP($A96,기본데이타!$A$8:$BV$103,COLUMN(기본데이타!AK$8),0))</f>
        <v/>
      </c>
      <c r="AH96" s="635" t="str">
        <f>IF($A96="","",VLOOKUP($A96,기본데이타!$A$8:$BV$103,COLUMN(기본데이타!AL$8),0))</f>
        <v/>
      </c>
      <c r="AI96" s="635" t="str">
        <f>IF($A96="","",VLOOKUP($A96,기본데이타!$A$8:$BV$103,COLUMN(기본데이타!AM$8),0))</f>
        <v/>
      </c>
      <c r="AJ96" s="636" t="str">
        <f>IF($A96="","",VLOOKUP($A96,기본데이타!$A$8:$BV$103,COLUMN(기본데이타!AN$8),0))</f>
        <v/>
      </c>
      <c r="AK96" s="636" t="str">
        <f>IF($A96="","",VLOOKUP($A96,기본데이타!$A$8:$BV$103,COLUMN(기본데이타!AO$8),0))</f>
        <v/>
      </c>
      <c r="AL96" s="636" t="str">
        <f>IF($A96="","",VLOOKUP($A96,기본데이타!$A$8:$BV$103,COLUMN(기본데이타!AP$8),0))</f>
        <v/>
      </c>
      <c r="AM96" s="636" t="str">
        <f>IF($A96="","",VLOOKUP($A96,기본데이타!$A$8:$BV$103,COLUMN(기본데이타!AQ$8),0))</f>
        <v/>
      </c>
      <c r="AN96" s="636" t="str">
        <f>IF($A96="","",VLOOKUP($A96,기본데이타!$A$8:$BV$103,COLUMN(기본데이타!AR$8),0))</f>
        <v/>
      </c>
      <c r="AO96" s="636" t="str">
        <f>IF($A96="","",VLOOKUP($A96,기본데이타!$A$8:$BV$103,COLUMN(기본데이타!AS$8),0))</f>
        <v/>
      </c>
      <c r="AP96" s="636" t="str">
        <f>IF($A96="","",VLOOKUP($A96,기본데이타!$A$8:$BV$103,COLUMN(기본데이타!AT$8),0))</f>
        <v/>
      </c>
      <c r="AQ96" s="636" t="str">
        <f>IF($A96="","",VLOOKUP($A96,기본데이타!$A$8:$BV$103,COLUMN(기본데이타!AU$8),0))</f>
        <v/>
      </c>
      <c r="AR96" s="637" t="str">
        <f>IF($A96="","",VLOOKUP($A96,기본데이타!$A$8:$BV$103,COLUMN(기본데이타!AV$8),0))</f>
        <v/>
      </c>
      <c r="AS96" s="596" t="str">
        <f>IF($A96="","",VLOOKUP($A96,기본데이타!$A$8:$BV$103,COLUMN(기본데이타!AW$8),0))</f>
        <v/>
      </c>
      <c r="AT96" s="596" t="str">
        <f>IF($A96="","",VLOOKUP($A96,기본데이타!$A$8:$BV$103,COLUMN(기본데이타!AX$8),0))</f>
        <v/>
      </c>
      <c r="AU96" s="596" t="str">
        <f>IF($A96="","",VLOOKUP($A96,기본데이타!$A$8:$BV$103,COLUMN(기본데이타!AY$8),0))</f>
        <v/>
      </c>
      <c r="AV96" s="596" t="str">
        <f t="shared" si="10"/>
        <v/>
      </c>
      <c r="AW96" s="597" t="str">
        <f>IF($A96="","",VLOOKUP($A96,기본데이타!$A$8:$BV$103,COLUMN(기본데이타!BA$8),0))</f>
        <v/>
      </c>
      <c r="AX96" s="597" t="str">
        <f>IF($A96="","",VLOOKUP($A96,기본데이타!$A$8:$BV$103,COLUMN(기본데이타!BB$8),0))</f>
        <v/>
      </c>
      <c r="AY96" s="597" t="str">
        <f>IF($A96="","",VLOOKUP($A96,기본데이타!$A$8:$BV$103,COLUMN(기본데이타!BC$8),0))</f>
        <v/>
      </c>
      <c r="AZ96" s="597" t="str">
        <f>IF($A96="","",VLOOKUP($A96,기본데이타!$A$8:$BV$103,COLUMN(기본데이타!BD$8),0))</f>
        <v/>
      </c>
      <c r="BA96" s="597" t="str">
        <f>IF($A96="","",VLOOKUP($A96,기본데이타!$A$8:$BV$103,COLUMN(기본데이타!BE$8),0))</f>
        <v/>
      </c>
      <c r="BB96" s="597" t="str">
        <f>IF($A96="","",VLOOKUP($A96,기본데이타!$A$8:$BV$103,COLUMN(기본데이타!BF$8),0))</f>
        <v/>
      </c>
      <c r="BC96" s="597" t="str">
        <f>IF($A96="","",VLOOKUP($A96,기본데이타!$A$8:$BV$103,COLUMN(기본데이타!BG$8),0))</f>
        <v/>
      </c>
      <c r="BD96" s="597" t="str">
        <f>IF($A96="","",VLOOKUP($A96,기본데이타!$A$8:$BV$103,COLUMN(기본데이타!BH$8),0))</f>
        <v/>
      </c>
      <c r="BE96" s="597" t="str">
        <f>IF($A96="","",VLOOKUP($A96,기본데이타!$A$8:$BV$103,COLUMN(기본데이타!BI$8),0))</f>
        <v/>
      </c>
      <c r="BF96" s="597" t="str">
        <f>IF($A96="","",VLOOKUP($A96,기본데이타!$A$8:$BV$103,COLUMN(기본데이타!BJ$8),0))</f>
        <v/>
      </c>
      <c r="BG96" s="597" t="str">
        <f>IF($A96="","",VLOOKUP($A96,기본데이타!$A$8:$BV$103,COLUMN(기본데이타!BK$8),0))</f>
        <v/>
      </c>
      <c r="BH96" s="597" t="str">
        <f>IF($A96="","",VLOOKUP($A96,기본데이타!$A$8:$BV$103,COLUMN(기본데이타!BL$8),0))</f>
        <v/>
      </c>
      <c r="BI96" s="597" t="str">
        <f>IF($A96="","",VLOOKUP($A96,기본데이타!$A$8:$BV$103,COLUMN(기본데이타!BM$8),0))</f>
        <v/>
      </c>
      <c r="BJ96" s="597" t="str">
        <f>IF($A96="","",VLOOKUP($A96,기본데이타!$A$8:$BV$103,COLUMN(기본데이타!BN$8),0))</f>
        <v/>
      </c>
      <c r="BK96" s="597" t="str">
        <f>IF($A96="","",VLOOKUP($A96,기본데이타!$A$8:$BV$103,COLUMN(기본데이타!BO$8),0))</f>
        <v/>
      </c>
      <c r="BL96" s="597" t="str">
        <f>IF($A96="","",VLOOKUP($A96,기본데이타!$A$8:$BV$103,COLUMN(기본데이타!BP$8),0))</f>
        <v/>
      </c>
      <c r="BM96" s="597" t="str">
        <f>IF($A96="","",VLOOKUP($A96,기본데이타!$A$8:$BV$103,COLUMN(기본데이타!BQ$8),0))</f>
        <v/>
      </c>
      <c r="BN96" s="599" t="str">
        <f>IF($A96="","",VLOOKUP($A96,기본데이타!$A$8:$BV$103,COLUMN(기본데이타!BR$8),0))</f>
        <v/>
      </c>
      <c r="BO96" s="600" t="str">
        <f>IF($A96="","",VLOOKUP($A96,기본데이타!$A$8:$BV$103,COLUMN(기본데이타!BS$8),0))</f>
        <v/>
      </c>
      <c r="BP96" s="623" t="str">
        <f>IF($A96="","",VLOOKUP($A96,기본데이타!$A$8:$BV$103,COLUMN(기본데이타!BT$8),0))</f>
        <v/>
      </c>
      <c r="BQ96" s="602" t="str">
        <f>IF($A96="","",VLOOKUP($A96,기본데이타!$A$8:$BV$103,COLUMN(기본데이타!BU$8),0))</f>
        <v/>
      </c>
      <c r="BR96" s="603" t="str">
        <f t="shared" si="11"/>
        <v/>
      </c>
    </row>
    <row r="97" spans="1:70" s="571" customFormat="1" ht="61.5" hidden="1" customHeight="1" collapsed="1" thickBot="1">
      <c r="A97" s="578"/>
      <c r="B97" s="1642"/>
      <c r="C97" s="657"/>
      <c r="D97" s="1041" t="str">
        <f>IF($A97="","",VLOOKUP($A97,기본데이타!$A$8:$BV$103,COLUMN(기본데이타!F$8),0))</f>
        <v/>
      </c>
      <c r="E97" s="1042" t="str">
        <f>IF($A97="","",VLOOKUP($A97,기본데이타!$A$8:$BV$103,COLUMN(기본데이타!G$8),0))</f>
        <v/>
      </c>
      <c r="F97" s="1043" t="str">
        <f>IF($A97="","",VLOOKUP($A97,기본데이타!$A$8:$BV$103,COLUMN(기본데이타!H$8),0))</f>
        <v/>
      </c>
      <c r="G97" s="1044" t="str">
        <f>IF($A97="","",VLOOKUP($A97,기본데이타!$A$8:$BV$103,COLUMN(기본데이타!I$8),0))</f>
        <v/>
      </c>
      <c r="H97" s="1044" t="str">
        <f>IF($A97="","",VLOOKUP($A97,기본데이타!$A$8:$BV$103,COLUMN(기본데이타!J$8),0))</f>
        <v/>
      </c>
      <c r="I97" s="1045" t="str">
        <f>IF($A97="","",VLOOKUP($A97,기본데이타!$A$8:$BV$103,COLUMN(기본데이타!K$8),0))</f>
        <v/>
      </c>
      <c r="J97" s="1045" t="str">
        <f>IF($A97="","",VLOOKUP($A97,기본데이타!$A$8:$BV$103,COLUMN(기본데이타!L$8),0))</f>
        <v/>
      </c>
      <c r="K97" s="1045" t="str">
        <f>IF($A97="","",VLOOKUP($A97,기본데이타!$A$8:$BV$103,COLUMN(기본데이타!M$8),0))</f>
        <v/>
      </c>
      <c r="L97" s="1046" t="str">
        <f>IF($A97="","",VLOOKUP($A97,기본데이타!$A$8:$BV$103,COLUMN(기본데이타!N$8),0))</f>
        <v/>
      </c>
      <c r="M97" s="1045" t="str">
        <f>IF($A97="","",VLOOKUP($A97,기본데이타!$A$8:$BV$103,COLUMN(기본데이타!O$8),0))</f>
        <v/>
      </c>
      <c r="N97" s="1046" t="str">
        <f>IF($A97="","",VLOOKUP($A97,기본데이타!$A$8:$BV$103,COLUMN(기본데이타!P$8),0))</f>
        <v/>
      </c>
      <c r="O97" s="1046" t="str">
        <f>IF($A97="","",VLOOKUP($A97,기본데이타!$A$8:$BV$103,COLUMN(기본데이타!Q$8),0))</f>
        <v/>
      </c>
      <c r="P97" s="1046" t="str">
        <f>IF($A97="","",VLOOKUP($A97,기본데이타!$A$8:$BV$103,COLUMN(기본데이타!R$8),0))</f>
        <v/>
      </c>
      <c r="Q97" s="1046" t="str">
        <f>IF($A97="","",VLOOKUP($A97,기본데이타!$A$8:$BV$103,COLUMN(기본데이타!S$8),0))</f>
        <v/>
      </c>
      <c r="R97" s="1046" t="str">
        <f>IF($A97="","",VLOOKUP($A97,기본데이타!$A$8:$BV$103,COLUMN(기본데이타!T$8),0))</f>
        <v/>
      </c>
      <c r="S97" s="1046" t="str">
        <f>IF($A97="","",VLOOKUP($A97,기본데이타!$A$8:$BV$103,COLUMN(기본데이타!U$8),0))</f>
        <v/>
      </c>
      <c r="T97" s="1046" t="str">
        <f>IF($A97="","",VLOOKUP($A97,기본데이타!$A$8:$BV$103,COLUMN(기본데이타!V$8),0))</f>
        <v/>
      </c>
      <c r="U97" s="1046" t="str">
        <f>IF($A97="","",VLOOKUP($A97,기본데이타!$A$8:$BV$103,COLUMN(기본데이타!W$8),0))</f>
        <v/>
      </c>
      <c r="V97" s="1046" t="str">
        <f>IF($A97="","",VLOOKUP($A97,기본데이타!$A$8:$BV$103,COLUMN(기본데이타!X$8),0))</f>
        <v/>
      </c>
      <c r="W97" s="1046" t="str">
        <f>IF($A97="","",VLOOKUP($A97,기본데이타!$A$8:$BV$103,COLUMN(기본데이타!AA$8),0))</f>
        <v/>
      </c>
      <c r="X97" s="1046" t="str">
        <f>IF($A97="","",VLOOKUP($A97,기본데이타!$A$8:$BV$103,COLUMN(기본데이타!AB$8),0))</f>
        <v/>
      </c>
      <c r="Y97" s="1045" t="str">
        <f>IF($A97="","",VLOOKUP($A97,기본데이타!$A$8:$BV$103,COLUMN(기본데이타!AC$8),0))</f>
        <v/>
      </c>
      <c r="Z97" s="1046" t="str">
        <f>IF($A97="","",VLOOKUP($A97,기본데이타!$A$8:$BV$103,COLUMN(기본데이타!AD$8),0))</f>
        <v/>
      </c>
      <c r="AA97" s="1045" t="str">
        <f>IF($A97="","",VLOOKUP($A97,기본데이타!$A$8:$BV$103,COLUMN(기본데이타!AE$8),0))</f>
        <v/>
      </c>
      <c r="AB97" s="1046" t="str">
        <f>IF($A97="","",VLOOKUP($A97,기본데이타!$A$8:$BV$103,COLUMN(기본데이타!AF$8),0))</f>
        <v/>
      </c>
      <c r="AC97" s="1045" t="str">
        <f>IF($A97="","",VLOOKUP($A97,기본데이타!$A$8:$BV$103,COLUMN(기본데이타!AG$8),0))</f>
        <v/>
      </c>
      <c r="AD97" s="1046" t="str">
        <f>IF($A97="","",VLOOKUP($A97,기본데이타!$A$8:$BV$103,COLUMN(기본데이타!AH$8),0))</f>
        <v/>
      </c>
      <c r="AE97" s="1045" t="str">
        <f>IF($A97="","",VLOOKUP($A97,기본데이타!$A$8:$BV$103,COLUMN(기본데이타!AI$8),0))</f>
        <v/>
      </c>
      <c r="AF97" s="1047" t="str">
        <f>IF($A97="","",VLOOKUP($A97,기본데이타!$A$8:$BV$103,COLUMN(기본데이타!AJ$8),0))</f>
        <v/>
      </c>
      <c r="AG97" s="1047" t="str">
        <f>IF($A97="","",VLOOKUP($A97,기본데이타!$A$8:$BV$103,COLUMN(기본데이타!AK$8),0))</f>
        <v/>
      </c>
      <c r="AH97" s="1047" t="str">
        <f>IF($A97="","",VLOOKUP($A97,기본데이타!$A$8:$BV$103,COLUMN(기본데이타!AL$8),0))</f>
        <v/>
      </c>
      <c r="AI97" s="1047" t="str">
        <f>IF($A97="","",VLOOKUP($A97,기본데이타!$A$8:$BV$103,COLUMN(기본데이타!AM$8),0))</f>
        <v/>
      </c>
      <c r="AJ97" s="1048" t="str">
        <f>IF($A97="","",VLOOKUP($A97,기본데이타!$A$8:$BV$103,COLUMN(기본데이타!AN$8),0))</f>
        <v/>
      </c>
      <c r="AK97" s="1048" t="str">
        <f>IF($A97="","",VLOOKUP($A97,기본데이타!$A$8:$BV$103,COLUMN(기본데이타!AO$8),0))</f>
        <v/>
      </c>
      <c r="AL97" s="1048" t="str">
        <f>IF($A97="","",VLOOKUP($A97,기본데이타!$A$8:$BV$103,COLUMN(기본데이타!AP$8),0))</f>
        <v/>
      </c>
      <c r="AM97" s="1048" t="str">
        <f>IF($A97="","",VLOOKUP($A97,기본데이타!$A$8:$BV$103,COLUMN(기본데이타!AQ$8),0))</f>
        <v/>
      </c>
      <c r="AN97" s="1048" t="str">
        <f>IF($A97="","",VLOOKUP($A97,기본데이타!$A$8:$BV$103,COLUMN(기본데이타!AR$8),0))</f>
        <v/>
      </c>
      <c r="AO97" s="1048" t="str">
        <f>IF($A97="","",VLOOKUP($A97,기본데이타!$A$8:$BV$103,COLUMN(기본데이타!AS$8),0))</f>
        <v/>
      </c>
      <c r="AP97" s="1048" t="str">
        <f>IF($A97="","",VLOOKUP($A97,기본데이타!$A$8:$BV$103,COLUMN(기본데이타!AT$8),0))</f>
        <v/>
      </c>
      <c r="AQ97" s="1048" t="str">
        <f>IF($A97="","",VLOOKUP($A97,기본데이타!$A$8:$BV$103,COLUMN(기본데이타!AU$8),0))</f>
        <v/>
      </c>
      <c r="AR97" s="1049" t="str">
        <f>IF($A97="","",VLOOKUP($A97,기본데이타!$A$8:$BV$103,COLUMN(기본데이타!AV$8),0))</f>
        <v/>
      </c>
      <c r="AS97" s="1046" t="str">
        <f>IF($A97="","",VLOOKUP($A97,기본데이타!$A$8:$BV$103,COLUMN(기본데이타!AW$8),0))</f>
        <v/>
      </c>
      <c r="AT97" s="1046" t="str">
        <f>IF($A97="","",VLOOKUP($A97,기본데이타!$A$8:$BV$103,COLUMN(기본데이타!AX$8),0))</f>
        <v/>
      </c>
      <c r="AU97" s="1046" t="str">
        <f>IF($A97="","",VLOOKUP($A97,기본데이타!$A$8:$BV$103,COLUMN(기본데이타!AY$8),0))</f>
        <v/>
      </c>
      <c r="AV97" s="1046" t="str">
        <f t="shared" si="10"/>
        <v/>
      </c>
      <c r="AW97" s="1047" t="str">
        <f>IF($A97="","",VLOOKUP($A97,기본데이타!$A$8:$BV$103,COLUMN(기본데이타!BA$8),0))</f>
        <v/>
      </c>
      <c r="AX97" s="1047" t="str">
        <f>IF($A97="","",VLOOKUP($A97,기본데이타!$A$8:$BV$103,COLUMN(기본데이타!BB$8),0))</f>
        <v/>
      </c>
      <c r="AY97" s="1047" t="str">
        <f>IF($A97="","",VLOOKUP($A97,기본데이타!$A$8:$BV$103,COLUMN(기본데이타!BC$8),0))</f>
        <v/>
      </c>
      <c r="AZ97" s="1047" t="str">
        <f>IF($A97="","",VLOOKUP($A97,기본데이타!$A$8:$BV$103,COLUMN(기본데이타!BD$8),0))</f>
        <v/>
      </c>
      <c r="BA97" s="1047" t="str">
        <f>IF($A97="","",VLOOKUP($A97,기본데이타!$A$8:$BV$103,COLUMN(기본데이타!BE$8),0))</f>
        <v/>
      </c>
      <c r="BB97" s="1047" t="str">
        <f>IF($A97="","",VLOOKUP($A97,기본데이타!$A$8:$BV$103,COLUMN(기본데이타!BF$8),0))</f>
        <v/>
      </c>
      <c r="BC97" s="1047" t="str">
        <f>IF($A97="","",VLOOKUP($A97,기본데이타!$A$8:$BV$103,COLUMN(기본데이타!BG$8),0))</f>
        <v/>
      </c>
      <c r="BD97" s="1047" t="str">
        <f>IF($A97="","",VLOOKUP($A97,기본데이타!$A$8:$BV$103,COLUMN(기본데이타!BH$8),0))</f>
        <v/>
      </c>
      <c r="BE97" s="1047" t="str">
        <f>IF($A97="","",VLOOKUP($A97,기본데이타!$A$8:$BV$103,COLUMN(기본데이타!BI$8),0))</f>
        <v/>
      </c>
      <c r="BF97" s="1047" t="str">
        <f>IF($A97="","",VLOOKUP($A97,기본데이타!$A$8:$BV$103,COLUMN(기본데이타!BJ$8),0))</f>
        <v/>
      </c>
      <c r="BG97" s="1047" t="str">
        <f>IF($A97="","",VLOOKUP($A97,기본데이타!$A$8:$BV$103,COLUMN(기본데이타!BK$8),0))</f>
        <v/>
      </c>
      <c r="BH97" s="1047" t="str">
        <f>IF($A97="","",VLOOKUP($A97,기본데이타!$A$8:$BV$103,COLUMN(기본데이타!BL$8),0))</f>
        <v/>
      </c>
      <c r="BI97" s="1047" t="str">
        <f>IF($A97="","",VLOOKUP($A97,기본데이타!$A$8:$BV$103,COLUMN(기본데이타!BM$8),0))</f>
        <v/>
      </c>
      <c r="BJ97" s="1047" t="str">
        <f>IF($A97="","",VLOOKUP($A97,기본데이타!$A$8:$BV$103,COLUMN(기본데이타!BN$8),0))</f>
        <v/>
      </c>
      <c r="BK97" s="1047" t="str">
        <f>IF($A97="","",VLOOKUP($A97,기본데이타!$A$8:$BV$103,COLUMN(기본데이타!BO$8),0))</f>
        <v/>
      </c>
      <c r="BL97" s="1047" t="str">
        <f>IF($A97="","",VLOOKUP($A97,기본데이타!$A$8:$BV$103,COLUMN(기본데이타!BP$8),0))</f>
        <v/>
      </c>
      <c r="BM97" s="1047" t="str">
        <f>IF($A97="","",VLOOKUP($A97,기본데이타!$A$8:$BV$103,COLUMN(기본데이타!BQ$8),0))</f>
        <v/>
      </c>
      <c r="BN97" s="1050" t="str">
        <f>IF($A97="","",VLOOKUP($A97,기본데이타!$A$8:$BV$103,COLUMN(기본데이타!BR$8),0))</f>
        <v/>
      </c>
      <c r="BO97" s="1051" t="str">
        <f>IF($A97="","",VLOOKUP($A97,기본데이타!$A$8:$BV$103,COLUMN(기본데이타!BS$8),0))</f>
        <v/>
      </c>
      <c r="BP97" s="1052" t="str">
        <f>IF($A97="","",VLOOKUP($A97,기본데이타!$A$8:$BV$103,COLUMN(기본데이타!BT$8),0))</f>
        <v/>
      </c>
      <c r="BQ97" s="1343" t="str">
        <f>IF($A97="","",VLOOKUP($A97,기본데이타!$A$8:$BV$103,COLUMN(기본데이타!BU$8),0))</f>
        <v/>
      </c>
      <c r="BR97" s="1053" t="str">
        <f t="shared" si="11"/>
        <v/>
      </c>
    </row>
    <row r="98" spans="1:70" s="571" customFormat="1" ht="61.5" hidden="1" customHeight="1">
      <c r="A98" s="578"/>
      <c r="B98" s="1642"/>
      <c r="C98" s="1743" t="s">
        <v>134</v>
      </c>
      <c r="D98" s="1744" t="str">
        <f>IF($A98="","",VLOOKUP($A98,기본데이타!$A$8:$BV$103,COLUMN(기본데이타!F$8),0))</f>
        <v/>
      </c>
      <c r="E98" s="1745" t="str">
        <f>IF($A98="","",VLOOKUP($A98,기본데이타!$A$8:$BV$103,COLUMN(기본데이타!G$8),0))</f>
        <v/>
      </c>
      <c r="F98" s="1746" t="str">
        <f>IF($A98="","",VLOOKUP($A98,기본데이타!$A$8:$BV$103,COLUMN(기본데이타!H$8),0))</f>
        <v/>
      </c>
      <c r="G98" s="1747" t="str">
        <f>IF($A98="","",VLOOKUP($A98,기본데이타!$A$8:$BV$103,COLUMN(기본데이타!I$8),0))</f>
        <v/>
      </c>
      <c r="H98" s="1747" t="str">
        <f>IF($A98="","",VLOOKUP($A98,기본데이타!$A$8:$BV$103,COLUMN(기본데이타!J$8),0))</f>
        <v/>
      </c>
      <c r="I98" s="1748" t="str">
        <f>IF($A98="","",VLOOKUP($A98,기본데이타!$A$8:$BV$103,COLUMN(기본데이타!K$8),0))</f>
        <v/>
      </c>
      <c r="J98" s="1748" t="str">
        <f>IF($A98="","",VLOOKUP($A98,기본데이타!$A$8:$BV$103,COLUMN(기본데이타!L$8),0))</f>
        <v/>
      </c>
      <c r="K98" s="1748" t="str">
        <f>IF($A98="","",VLOOKUP($A98,기본데이타!$A$8:$BV$103,COLUMN(기본데이타!M$8),0))</f>
        <v/>
      </c>
      <c r="L98" s="1749" t="str">
        <f>IF($A98="","",VLOOKUP($A98,기본데이타!$A$8:$BV$103,COLUMN(기본데이타!N$8),0))</f>
        <v/>
      </c>
      <c r="M98" s="1748" t="str">
        <f>IF($A98="","",VLOOKUP($A98,기본데이타!$A$8:$BV$103,COLUMN(기본데이타!O$8),0))</f>
        <v/>
      </c>
      <c r="N98" s="1749" t="str">
        <f>IF($A98="","",VLOOKUP($A98,기본데이타!$A$8:$BV$103,COLUMN(기본데이타!P$8),0))</f>
        <v/>
      </c>
      <c r="O98" s="1749" t="str">
        <f>IF($A98="","",VLOOKUP($A98,기본데이타!$A$8:$BV$103,COLUMN(기본데이타!Q$8),0))</f>
        <v/>
      </c>
      <c r="P98" s="1749" t="str">
        <f>IF($A98="","",VLOOKUP($A98,기본데이타!$A$8:$BV$103,COLUMN(기본데이타!R$8),0))</f>
        <v/>
      </c>
      <c r="Q98" s="1749" t="str">
        <f>IF($A98="","",VLOOKUP($A98,기본데이타!$A$8:$BV$103,COLUMN(기본데이타!S$8),0))</f>
        <v/>
      </c>
      <c r="R98" s="1749" t="str">
        <f>IF($A98="","",VLOOKUP($A98,기본데이타!$A$8:$BV$103,COLUMN(기본데이타!T$8),0))</f>
        <v/>
      </c>
      <c r="S98" s="1749" t="str">
        <f>IF($A98="","",VLOOKUP($A98,기본데이타!$A$8:$BV$103,COLUMN(기본데이타!U$8),0))</f>
        <v/>
      </c>
      <c r="T98" s="1749" t="str">
        <f>IF($A98="","",VLOOKUP($A98,기본데이타!$A$8:$BV$103,COLUMN(기본데이타!V$8),0))</f>
        <v/>
      </c>
      <c r="U98" s="1749" t="str">
        <f>IF($A98="","",VLOOKUP($A98,기본데이타!$A$8:$BV$103,COLUMN(기본데이타!W$8),0))</f>
        <v/>
      </c>
      <c r="V98" s="1749" t="str">
        <f>IF($A98="","",VLOOKUP($A98,기본데이타!$A$8:$BV$103,COLUMN(기본데이타!X$8),0))</f>
        <v/>
      </c>
      <c r="W98" s="1749" t="str">
        <f>IF($A98="","",VLOOKUP($A98,기본데이타!$A$8:$BV$103,COLUMN(기본데이타!AA$8),0))</f>
        <v/>
      </c>
      <c r="X98" s="1749" t="str">
        <f>IF($A98="","",VLOOKUP($A98,기본데이타!$A$8:$BV$103,COLUMN(기본데이타!AB$8),0))</f>
        <v/>
      </c>
      <c r="Y98" s="1748" t="str">
        <f>IF($A98="","",VLOOKUP($A98,기본데이타!$A$8:$BV$103,COLUMN(기본데이타!AC$8),0))</f>
        <v/>
      </c>
      <c r="Z98" s="1749" t="str">
        <f>IF($A98="","",VLOOKUP($A98,기본데이타!$A$8:$BV$103,COLUMN(기본데이타!AD$8),0))</f>
        <v/>
      </c>
      <c r="AA98" s="1748" t="str">
        <f>IF($A98="","",VLOOKUP($A98,기본데이타!$A$8:$BV$103,COLUMN(기본데이타!AE$8),0))</f>
        <v/>
      </c>
      <c r="AB98" s="1749" t="str">
        <f>IF($A98="","",VLOOKUP($A98,기본데이타!$A$8:$BV$103,COLUMN(기본데이타!AF$8),0))</f>
        <v/>
      </c>
      <c r="AC98" s="1748" t="str">
        <f>IF($A98="","",VLOOKUP($A98,기본데이타!$A$8:$BV$103,COLUMN(기본데이타!AG$8),0))</f>
        <v/>
      </c>
      <c r="AD98" s="1749" t="str">
        <f>IF($A98="","",VLOOKUP($A98,기본데이타!$A$8:$BV$103,COLUMN(기본데이타!AH$8),0))</f>
        <v/>
      </c>
      <c r="AE98" s="1748" t="str">
        <f>IF($A98="","",VLOOKUP($A98,기본데이타!$A$8:$BV$103,COLUMN(기본데이타!AI$8),0))</f>
        <v/>
      </c>
      <c r="AF98" s="1750" t="str">
        <f>IF($A98="","",VLOOKUP($A98,기본데이타!$A$8:$BV$103,COLUMN(기본데이타!AJ$8),0))</f>
        <v/>
      </c>
      <c r="AG98" s="1750" t="str">
        <f>IF($A98="","",VLOOKUP($A98,기본데이타!$A$8:$BV$103,COLUMN(기본데이타!AK$8),0))</f>
        <v/>
      </c>
      <c r="AH98" s="1750" t="str">
        <f>IF($A98="","",VLOOKUP($A98,기본데이타!$A$8:$BV$103,COLUMN(기본데이타!AL$8),0))</f>
        <v/>
      </c>
      <c r="AI98" s="1750" t="str">
        <f>IF($A98="","",VLOOKUP($A98,기본데이타!$A$8:$BV$103,COLUMN(기본데이타!AM$8),0))</f>
        <v/>
      </c>
      <c r="AJ98" s="1751" t="str">
        <f>IF($A98="","",VLOOKUP($A98,기본데이타!$A$8:$BV$103,COLUMN(기본데이타!AN$8),0))</f>
        <v/>
      </c>
      <c r="AK98" s="1751" t="str">
        <f>IF($A98="","",VLOOKUP($A98,기본데이타!$A$8:$BV$103,COLUMN(기본데이타!AO$8),0))</f>
        <v/>
      </c>
      <c r="AL98" s="1751" t="str">
        <f>IF($A98="","",VLOOKUP($A98,기본데이타!$A$8:$BV$103,COLUMN(기본데이타!AP$8),0))</f>
        <v/>
      </c>
      <c r="AM98" s="1751" t="str">
        <f>IF($A98="","",VLOOKUP($A98,기본데이타!$A$8:$BV$103,COLUMN(기본데이타!AQ$8),0))</f>
        <v/>
      </c>
      <c r="AN98" s="1751" t="str">
        <f>IF($A98="","",VLOOKUP($A98,기본데이타!$A$8:$BV$103,COLUMN(기본데이타!AR$8),0))</f>
        <v/>
      </c>
      <c r="AO98" s="1751" t="str">
        <f>IF($A98="","",VLOOKUP($A98,기본데이타!$A$8:$BV$103,COLUMN(기본데이타!AS$8),0))</f>
        <v/>
      </c>
      <c r="AP98" s="1751" t="str">
        <f>IF($A98="","",VLOOKUP($A98,기본데이타!$A$8:$BV$103,COLUMN(기본데이타!AT$8),0))</f>
        <v/>
      </c>
      <c r="AQ98" s="1751" t="str">
        <f>IF($A98="","",VLOOKUP($A98,기본데이타!$A$8:$BV$103,COLUMN(기본데이타!AU$8),0))</f>
        <v/>
      </c>
      <c r="AR98" s="1752" t="str">
        <f>IF($A98="","",VLOOKUP($A98,기본데이타!$A$8:$BV$103,COLUMN(기본데이타!AV$8),0))</f>
        <v/>
      </c>
      <c r="AS98" s="1749" t="str">
        <f>IF($A98="","",VLOOKUP($A98,기본데이타!$A$8:$BV$103,COLUMN(기본데이타!AW$8),0))</f>
        <v/>
      </c>
      <c r="AT98" s="1749" t="str">
        <f>IF($A98="","",VLOOKUP($A98,기본데이타!$A$8:$BV$103,COLUMN(기본데이타!AX$8),0))</f>
        <v/>
      </c>
      <c r="AU98" s="1749" t="str">
        <f>IF($A98="","",VLOOKUP($A98,기본데이타!$A$8:$BV$103,COLUMN(기본데이타!AY$8),0))</f>
        <v/>
      </c>
      <c r="AV98" s="1749" t="str">
        <f t="shared" si="10"/>
        <v/>
      </c>
      <c r="AW98" s="1750" t="str">
        <f>IF($A98="","",VLOOKUP($A98,기본데이타!$A$8:$BV$103,COLUMN(기본데이타!BA$8),0))</f>
        <v/>
      </c>
      <c r="AX98" s="1750" t="str">
        <f>IF($A98="","",VLOOKUP($A98,기본데이타!$A$8:$BV$103,COLUMN(기본데이타!BB$8),0))</f>
        <v/>
      </c>
      <c r="AY98" s="1750" t="str">
        <f>IF($A98="","",VLOOKUP($A98,기본데이타!$A$8:$BV$103,COLUMN(기본데이타!BC$8),0))</f>
        <v/>
      </c>
      <c r="AZ98" s="1750" t="str">
        <f>IF($A98="","",VLOOKUP($A98,기본데이타!$A$8:$BV$103,COLUMN(기본데이타!BD$8),0))</f>
        <v/>
      </c>
      <c r="BA98" s="1750" t="str">
        <f>IF($A98="","",VLOOKUP($A98,기본데이타!$A$8:$BV$103,COLUMN(기본데이타!BE$8),0))</f>
        <v/>
      </c>
      <c r="BB98" s="1750" t="str">
        <f>IF($A98="","",VLOOKUP($A98,기본데이타!$A$8:$BV$103,COLUMN(기본데이타!BF$8),0))</f>
        <v/>
      </c>
      <c r="BC98" s="1750" t="str">
        <f>IF($A98="","",VLOOKUP($A98,기본데이타!$A$8:$BV$103,COLUMN(기본데이타!BG$8),0))</f>
        <v/>
      </c>
      <c r="BD98" s="1750" t="str">
        <f>IF($A98="","",VLOOKUP($A98,기본데이타!$A$8:$BV$103,COLUMN(기본데이타!BH$8),0))</f>
        <v/>
      </c>
      <c r="BE98" s="1750" t="str">
        <f>IF($A98="","",VLOOKUP($A98,기본데이타!$A$8:$BV$103,COLUMN(기본데이타!BI$8),0))</f>
        <v/>
      </c>
      <c r="BF98" s="1750" t="str">
        <f>IF($A98="","",VLOOKUP($A98,기본데이타!$A$8:$BV$103,COLUMN(기본데이타!BJ$8),0))</f>
        <v/>
      </c>
      <c r="BG98" s="1750" t="str">
        <f>IF($A98="","",VLOOKUP($A98,기본데이타!$A$8:$BV$103,COLUMN(기본데이타!BK$8),0))</f>
        <v/>
      </c>
      <c r="BH98" s="1750" t="str">
        <f>IF($A98="","",VLOOKUP($A98,기본데이타!$A$8:$BV$103,COLUMN(기본데이타!BL$8),0))</f>
        <v/>
      </c>
      <c r="BI98" s="1750" t="str">
        <f>IF($A98="","",VLOOKUP($A98,기본데이타!$A$8:$BV$103,COLUMN(기본데이타!BM$8),0))</f>
        <v/>
      </c>
      <c r="BJ98" s="1750" t="str">
        <f>IF($A98="","",VLOOKUP($A98,기본데이타!$A$8:$BV$103,COLUMN(기본데이타!BN$8),0))</f>
        <v/>
      </c>
      <c r="BK98" s="1750" t="str">
        <f>IF($A98="","",VLOOKUP($A98,기본데이타!$A$8:$BV$103,COLUMN(기본데이타!BO$8),0))</f>
        <v/>
      </c>
      <c r="BL98" s="1750" t="str">
        <f>IF($A98="","",VLOOKUP($A98,기본데이타!$A$8:$BV$103,COLUMN(기본데이타!BP$8),0))</f>
        <v/>
      </c>
      <c r="BM98" s="1750" t="str">
        <f>IF($A98="","",VLOOKUP($A98,기본데이타!$A$8:$BV$103,COLUMN(기본데이타!BQ$8),0))</f>
        <v/>
      </c>
      <c r="BN98" s="1753" t="str">
        <f>IF($A98="","",VLOOKUP($A98,기본데이타!$A$8:$BV$103,COLUMN(기본데이타!BR$8),0))</f>
        <v/>
      </c>
      <c r="BO98" s="1754" t="str">
        <f>IF($A98="","",VLOOKUP($A98,기본데이타!$A$8:$BV$103,COLUMN(기본데이타!BS$8),0))</f>
        <v/>
      </c>
      <c r="BP98" s="1755"/>
      <c r="BQ98" s="1756" t="str">
        <f>IF($A98="","",VLOOKUP($A98,기본데이타!$A$8:$BV$103,COLUMN(기본데이타!BU$8),0))</f>
        <v/>
      </c>
      <c r="BR98" s="1757" t="str">
        <f t="shared" si="11"/>
        <v/>
      </c>
    </row>
    <row r="99" spans="1:70" s="571" customFormat="1" ht="61.5" hidden="1" customHeight="1">
      <c r="A99" s="578"/>
      <c r="B99" s="1642"/>
      <c r="C99" s="590"/>
      <c r="D99" s="629" t="str">
        <f>IF($A99="","",VLOOKUP($A99,기본데이타!$A$8:$BV$103,COLUMN(기본데이타!F$8),0))</f>
        <v/>
      </c>
      <c r="E99" s="630" t="str">
        <f>IF($A99="","",VLOOKUP($A99,기본데이타!$A$8:$BV$103,COLUMN(기본데이타!G$8),0))</f>
        <v/>
      </c>
      <c r="F99" s="631" t="str">
        <f>IF($A99="","",VLOOKUP($A99,기본데이타!$A$8:$BV$103,COLUMN(기본데이타!H$8),0))</f>
        <v/>
      </c>
      <c r="G99" s="632" t="str">
        <f>IF($A99="","",VLOOKUP($A99,기본데이타!$A$8:$BV$103,COLUMN(기본데이타!I$8),0))</f>
        <v/>
      </c>
      <c r="H99" s="632" t="str">
        <f>IF($A99="","",VLOOKUP($A99,기본데이타!$A$8:$BV$103,COLUMN(기본데이타!J$8),0))</f>
        <v/>
      </c>
      <c r="I99" s="633" t="str">
        <f>IF($A99="","",VLOOKUP($A99,기본데이타!$A$8:$BV$103,COLUMN(기본데이타!K$8),0))</f>
        <v/>
      </c>
      <c r="J99" s="633" t="str">
        <f>IF($A99="","",VLOOKUP($A99,기본데이타!$A$8:$BV$103,COLUMN(기본데이타!L$8),0))</f>
        <v/>
      </c>
      <c r="K99" s="633" t="str">
        <f>IF($A99="","",VLOOKUP($A99,기본데이타!$A$8:$BV$103,COLUMN(기본데이타!M$8),0))</f>
        <v/>
      </c>
      <c r="L99" s="634" t="str">
        <f>IF($A99="","",VLOOKUP($A99,기본데이타!$A$8:$BV$103,COLUMN(기본데이타!N$8),0))</f>
        <v/>
      </c>
      <c r="M99" s="633" t="str">
        <f>IF($A99="","",VLOOKUP($A99,기본데이타!$A$8:$BV$103,COLUMN(기본데이타!O$8),0))</f>
        <v/>
      </c>
      <c r="N99" s="634" t="str">
        <f>IF($A99="","",VLOOKUP($A99,기본데이타!$A$8:$BV$103,COLUMN(기본데이타!P$8),0))</f>
        <v/>
      </c>
      <c r="O99" s="634" t="str">
        <f>IF($A99="","",VLOOKUP($A99,기본데이타!$A$8:$BV$103,COLUMN(기본데이타!Q$8),0))</f>
        <v/>
      </c>
      <c r="P99" s="634" t="str">
        <f>IF($A99="","",VLOOKUP($A99,기본데이타!$A$8:$BV$103,COLUMN(기본데이타!R$8),0))</f>
        <v/>
      </c>
      <c r="Q99" s="634" t="str">
        <f>IF($A99="","",VLOOKUP($A99,기본데이타!$A$8:$BV$103,COLUMN(기본데이타!S$8),0))</f>
        <v/>
      </c>
      <c r="R99" s="634" t="str">
        <f>IF($A99="","",VLOOKUP($A99,기본데이타!$A$8:$BV$103,COLUMN(기본데이타!T$8),0))</f>
        <v/>
      </c>
      <c r="S99" s="634" t="str">
        <f>IF($A99="","",VLOOKUP($A99,기본데이타!$A$8:$BV$103,COLUMN(기본데이타!U$8),0))</f>
        <v/>
      </c>
      <c r="T99" s="634" t="str">
        <f>IF($A99="","",VLOOKUP($A99,기본데이타!$A$8:$BV$103,COLUMN(기본데이타!V$8),0))</f>
        <v/>
      </c>
      <c r="U99" s="634" t="str">
        <f>IF($A99="","",VLOOKUP($A99,기본데이타!$A$8:$BV$103,COLUMN(기본데이타!W$8),0))</f>
        <v/>
      </c>
      <c r="V99" s="634" t="str">
        <f>IF($A99="","",VLOOKUP($A99,기본데이타!$A$8:$BV$103,COLUMN(기본데이타!X$8),0))</f>
        <v/>
      </c>
      <c r="W99" s="634" t="str">
        <f>IF($A99="","",VLOOKUP($A99,기본데이타!$A$8:$BV$103,COLUMN(기본데이타!AA$8),0))</f>
        <v/>
      </c>
      <c r="X99" s="634" t="str">
        <f>IF($A99="","",VLOOKUP($A99,기본데이타!$A$8:$BV$103,COLUMN(기본데이타!AB$8),0))</f>
        <v/>
      </c>
      <c r="Y99" s="633" t="str">
        <f>IF($A99="","",VLOOKUP($A99,기본데이타!$A$8:$BV$103,COLUMN(기본데이타!AC$8),0))</f>
        <v/>
      </c>
      <c r="Z99" s="634" t="str">
        <f>IF($A99="","",VLOOKUP($A99,기본데이타!$A$8:$BV$103,COLUMN(기본데이타!AD$8),0))</f>
        <v/>
      </c>
      <c r="AA99" s="633" t="str">
        <f>IF($A99="","",VLOOKUP($A99,기본데이타!$A$8:$BV$103,COLUMN(기본데이타!AE$8),0))</f>
        <v/>
      </c>
      <c r="AB99" s="634" t="str">
        <f>IF($A99="","",VLOOKUP($A99,기본데이타!$A$8:$BV$103,COLUMN(기본데이타!AF$8),0))</f>
        <v/>
      </c>
      <c r="AC99" s="633" t="str">
        <f>IF($A99="","",VLOOKUP($A99,기본데이타!$A$8:$BV$103,COLUMN(기본데이타!AG$8),0))</f>
        <v/>
      </c>
      <c r="AD99" s="634" t="str">
        <f>IF($A99="","",VLOOKUP($A99,기본데이타!$A$8:$BV$103,COLUMN(기본데이타!AH$8),0))</f>
        <v/>
      </c>
      <c r="AE99" s="633" t="str">
        <f>IF($A99="","",VLOOKUP($A99,기본데이타!$A$8:$BV$103,COLUMN(기본데이타!AI$8),0))</f>
        <v/>
      </c>
      <c r="AF99" s="635" t="str">
        <f>IF($A99="","",VLOOKUP($A99,기본데이타!$A$8:$BV$103,COLUMN(기본데이타!AJ$8),0))</f>
        <v/>
      </c>
      <c r="AG99" s="635" t="str">
        <f>IF($A99="","",VLOOKUP($A99,기본데이타!$A$8:$BV$103,COLUMN(기본데이타!AK$8),0))</f>
        <v/>
      </c>
      <c r="AH99" s="635" t="str">
        <f>IF($A99="","",VLOOKUP($A99,기본데이타!$A$8:$BV$103,COLUMN(기본데이타!AL$8),0))</f>
        <v/>
      </c>
      <c r="AI99" s="635" t="str">
        <f>IF($A99="","",VLOOKUP($A99,기본데이타!$A$8:$BV$103,COLUMN(기본데이타!AM$8),0))</f>
        <v/>
      </c>
      <c r="AJ99" s="636" t="str">
        <f>IF($A99="","",VLOOKUP($A99,기본데이타!$A$8:$BV$103,COLUMN(기본데이타!AN$8),0))</f>
        <v/>
      </c>
      <c r="AK99" s="636" t="str">
        <f>IF($A99="","",VLOOKUP($A99,기본데이타!$A$8:$BV$103,COLUMN(기본데이타!AO$8),0))</f>
        <v/>
      </c>
      <c r="AL99" s="636" t="str">
        <f>IF($A99="","",VLOOKUP($A99,기본데이타!$A$8:$BV$103,COLUMN(기본데이타!AP$8),0))</f>
        <v/>
      </c>
      <c r="AM99" s="636" t="str">
        <f>IF($A99="","",VLOOKUP($A99,기본데이타!$A$8:$BV$103,COLUMN(기본데이타!AQ$8),0))</f>
        <v/>
      </c>
      <c r="AN99" s="636" t="str">
        <f>IF($A99="","",VLOOKUP($A99,기본데이타!$A$8:$BV$103,COLUMN(기본데이타!AR$8),0))</f>
        <v/>
      </c>
      <c r="AO99" s="636" t="str">
        <f>IF($A99="","",VLOOKUP($A99,기본데이타!$A$8:$BV$103,COLUMN(기본데이타!AS$8),0))</f>
        <v/>
      </c>
      <c r="AP99" s="636" t="str">
        <f>IF($A99="","",VLOOKUP($A99,기본데이타!$A$8:$BV$103,COLUMN(기본데이타!AT$8),0))</f>
        <v/>
      </c>
      <c r="AQ99" s="636" t="str">
        <f>IF($A99="","",VLOOKUP($A99,기본데이타!$A$8:$BV$103,COLUMN(기본데이타!AU$8),0))</f>
        <v/>
      </c>
      <c r="AR99" s="637" t="str">
        <f>IF($A99="","",VLOOKUP($A99,기본데이타!$A$8:$BV$103,COLUMN(기본데이타!AV$8),0))</f>
        <v/>
      </c>
      <c r="AS99" s="634" t="str">
        <f>IF($A99="","",VLOOKUP($A99,기본데이타!$A$8:$BV$103,COLUMN(기본데이타!AW$8),0))</f>
        <v/>
      </c>
      <c r="AT99" s="634" t="str">
        <f>IF($A99="","",VLOOKUP($A99,기본데이타!$A$8:$BV$103,COLUMN(기본데이타!AX$8),0))</f>
        <v/>
      </c>
      <c r="AU99" s="634" t="str">
        <f>IF($A99="","",VLOOKUP($A99,기본데이타!$A$8:$BV$103,COLUMN(기본데이타!AY$8),0))</f>
        <v/>
      </c>
      <c r="AV99" s="634" t="str">
        <f t="shared" ref="AV99:AV101" si="14">IF(AS99="","",SUM(AS99:AU99))</f>
        <v/>
      </c>
      <c r="AW99" s="635" t="str">
        <f>IF($A99="","",VLOOKUP($A99,기본데이타!$A$8:$BV$103,COLUMN(기본데이타!BA$8),0))</f>
        <v/>
      </c>
      <c r="AX99" s="635" t="str">
        <f>IF($A99="","",VLOOKUP($A99,기본데이타!$A$8:$BV$103,COLUMN(기본데이타!BB$8),0))</f>
        <v/>
      </c>
      <c r="AY99" s="635" t="str">
        <f>IF($A99="","",VLOOKUP($A99,기본데이타!$A$8:$BV$103,COLUMN(기본데이타!BC$8),0))</f>
        <v/>
      </c>
      <c r="AZ99" s="635" t="str">
        <f>IF($A99="","",VLOOKUP($A99,기본데이타!$A$8:$BV$103,COLUMN(기본데이타!BD$8),0))</f>
        <v/>
      </c>
      <c r="BA99" s="635" t="str">
        <f>IF($A99="","",VLOOKUP($A99,기본데이타!$A$8:$BV$103,COLUMN(기본데이타!BE$8),0))</f>
        <v/>
      </c>
      <c r="BB99" s="635" t="str">
        <f>IF($A99="","",VLOOKUP($A99,기본데이타!$A$8:$BV$103,COLUMN(기본데이타!BF$8),0))</f>
        <v/>
      </c>
      <c r="BC99" s="635" t="str">
        <f>IF($A99="","",VLOOKUP($A99,기본데이타!$A$8:$BV$103,COLUMN(기본데이타!BG$8),0))</f>
        <v/>
      </c>
      <c r="BD99" s="635" t="str">
        <f>IF($A99="","",VLOOKUP($A99,기본데이타!$A$8:$BV$103,COLUMN(기본데이타!BH$8),0))</f>
        <v/>
      </c>
      <c r="BE99" s="635" t="str">
        <f>IF($A99="","",VLOOKUP($A99,기본데이타!$A$8:$BV$103,COLUMN(기본데이타!BI$8),0))</f>
        <v/>
      </c>
      <c r="BF99" s="635" t="str">
        <f>IF($A99="","",VLOOKUP($A99,기본데이타!$A$8:$BV$103,COLUMN(기본데이타!BJ$8),0))</f>
        <v/>
      </c>
      <c r="BG99" s="635" t="str">
        <f>IF($A99="","",VLOOKUP($A99,기본데이타!$A$8:$BV$103,COLUMN(기본데이타!BK$8),0))</f>
        <v/>
      </c>
      <c r="BH99" s="635" t="str">
        <f>IF($A99="","",VLOOKUP($A99,기본데이타!$A$8:$BV$103,COLUMN(기본데이타!BL$8),0))</f>
        <v/>
      </c>
      <c r="BI99" s="635" t="str">
        <f>IF($A99="","",VLOOKUP($A99,기본데이타!$A$8:$BV$103,COLUMN(기본데이타!BM$8),0))</f>
        <v/>
      </c>
      <c r="BJ99" s="635" t="str">
        <f>IF($A99="","",VLOOKUP($A99,기본데이타!$A$8:$BV$103,COLUMN(기본데이타!BN$8),0))</f>
        <v/>
      </c>
      <c r="BK99" s="635" t="str">
        <f>IF($A99="","",VLOOKUP($A99,기본데이타!$A$8:$BV$103,COLUMN(기본데이타!BO$8),0))</f>
        <v/>
      </c>
      <c r="BL99" s="635" t="str">
        <f>IF($A99="","",VLOOKUP($A99,기본데이타!$A$8:$BV$103,COLUMN(기본데이타!BP$8),0))</f>
        <v/>
      </c>
      <c r="BM99" s="635" t="str">
        <f>IF($A99="","",VLOOKUP($A99,기본데이타!$A$8:$BV$103,COLUMN(기본데이타!BQ$8),0))</f>
        <v/>
      </c>
      <c r="BN99" s="638" t="str">
        <f>IF($A99="","",VLOOKUP($A99,기본데이타!$A$8:$BV$103,COLUMN(기본데이타!BR$8),0))</f>
        <v/>
      </c>
      <c r="BO99" s="579" t="str">
        <f>IF($A99="","",VLOOKUP($A99,기본데이타!$A$8:$BV$103,COLUMN(기본데이타!BS$8),0))</f>
        <v/>
      </c>
      <c r="BP99" s="639" t="str">
        <f>IF($A99="","",VLOOKUP($A99,기본데이타!$A$8:$BV$103,COLUMN(기본데이타!BT$8),0))</f>
        <v/>
      </c>
      <c r="BQ99" s="640" t="str">
        <f>IF($A99="","",VLOOKUP($A99,기본데이타!$A$8:$BV$103,COLUMN(기본데이타!BU$8),0))</f>
        <v/>
      </c>
      <c r="BR99" s="625" t="str">
        <f t="shared" ref="BR99:BR101" si="15">IF($A99="","",A99)</f>
        <v/>
      </c>
    </row>
    <row r="100" spans="1:70" s="571" customFormat="1" ht="61.5" hidden="1" customHeight="1">
      <c r="A100" s="578"/>
      <c r="B100" s="1642"/>
      <c r="C100" s="590"/>
      <c r="D100" s="629" t="str">
        <f>IF($A100="","",VLOOKUP($A100,기본데이타!$A$8:$BV$103,COLUMN(기본데이타!F$8),0))</f>
        <v/>
      </c>
      <c r="E100" s="630" t="str">
        <f>IF($A100="","",VLOOKUP($A100,기본데이타!$A$8:$BV$103,COLUMN(기본데이타!G$8),0))</f>
        <v/>
      </c>
      <c r="F100" s="631" t="str">
        <f>IF($A100="","",VLOOKUP($A100,기본데이타!$A$8:$BV$103,COLUMN(기본데이타!H$8),0))</f>
        <v/>
      </c>
      <c r="G100" s="632" t="str">
        <f>IF($A100="","",VLOOKUP($A100,기본데이타!$A$8:$BV$103,COLUMN(기본데이타!I$8),0))</f>
        <v/>
      </c>
      <c r="H100" s="632" t="str">
        <f>IF($A100="","",VLOOKUP($A100,기본데이타!$A$8:$BV$103,COLUMN(기본데이타!J$8),0))</f>
        <v/>
      </c>
      <c r="I100" s="633" t="str">
        <f>IF($A100="","",VLOOKUP($A100,기본데이타!$A$8:$BV$103,COLUMN(기본데이타!K$8),0))</f>
        <v/>
      </c>
      <c r="J100" s="633" t="str">
        <f>IF($A100="","",VLOOKUP($A100,기본데이타!$A$8:$BV$103,COLUMN(기본데이타!L$8),0))</f>
        <v/>
      </c>
      <c r="K100" s="633" t="str">
        <f>IF($A100="","",VLOOKUP($A100,기본데이타!$A$8:$BV$103,COLUMN(기본데이타!M$8),0))</f>
        <v/>
      </c>
      <c r="L100" s="634" t="str">
        <f>IF($A100="","",VLOOKUP($A100,기본데이타!$A$8:$BV$103,COLUMN(기본데이타!N$8),0))</f>
        <v/>
      </c>
      <c r="M100" s="633" t="str">
        <f>IF($A100="","",VLOOKUP($A100,기본데이타!$A$8:$BV$103,COLUMN(기본데이타!O$8),0))</f>
        <v/>
      </c>
      <c r="N100" s="634" t="str">
        <f>IF($A100="","",VLOOKUP($A100,기본데이타!$A$8:$BV$103,COLUMN(기본데이타!P$8),0))</f>
        <v/>
      </c>
      <c r="O100" s="634" t="str">
        <f>IF($A100="","",VLOOKUP($A100,기본데이타!$A$8:$BV$103,COLUMN(기본데이타!Q$8),0))</f>
        <v/>
      </c>
      <c r="P100" s="634" t="str">
        <f>IF($A100="","",VLOOKUP($A100,기본데이타!$A$8:$BV$103,COLUMN(기본데이타!R$8),0))</f>
        <v/>
      </c>
      <c r="Q100" s="634" t="str">
        <f>IF($A100="","",VLOOKUP($A100,기본데이타!$A$8:$BV$103,COLUMN(기본데이타!S$8),0))</f>
        <v/>
      </c>
      <c r="R100" s="634" t="str">
        <f>IF($A100="","",VLOOKUP($A100,기본데이타!$A$8:$BV$103,COLUMN(기본데이타!T$8),0))</f>
        <v/>
      </c>
      <c r="S100" s="634" t="str">
        <f>IF($A100="","",VLOOKUP($A100,기본데이타!$A$8:$BV$103,COLUMN(기본데이타!U$8),0))</f>
        <v/>
      </c>
      <c r="T100" s="634" t="str">
        <f>IF($A100="","",VLOOKUP($A100,기본데이타!$A$8:$BV$103,COLUMN(기본데이타!V$8),0))</f>
        <v/>
      </c>
      <c r="U100" s="634" t="str">
        <f>IF($A100="","",VLOOKUP($A100,기본데이타!$A$8:$BV$103,COLUMN(기본데이타!W$8),0))</f>
        <v/>
      </c>
      <c r="V100" s="634" t="str">
        <f>IF($A100="","",VLOOKUP($A100,기본데이타!$A$8:$BV$103,COLUMN(기본데이타!X$8),0))</f>
        <v/>
      </c>
      <c r="W100" s="634" t="str">
        <f>IF($A100="","",VLOOKUP($A100,기본데이타!$A$8:$BV$103,COLUMN(기본데이타!AA$8),0))</f>
        <v/>
      </c>
      <c r="X100" s="634" t="str">
        <f>IF($A100="","",VLOOKUP($A100,기본데이타!$A$8:$BV$103,COLUMN(기본데이타!AB$8),0))</f>
        <v/>
      </c>
      <c r="Y100" s="633" t="str">
        <f>IF($A100="","",VLOOKUP($A100,기본데이타!$A$8:$BV$103,COLUMN(기본데이타!AC$8),0))</f>
        <v/>
      </c>
      <c r="Z100" s="634" t="str">
        <f>IF($A100="","",VLOOKUP($A100,기본데이타!$A$8:$BV$103,COLUMN(기본데이타!AD$8),0))</f>
        <v/>
      </c>
      <c r="AA100" s="633" t="str">
        <f>IF($A100="","",VLOOKUP($A100,기본데이타!$A$8:$BV$103,COLUMN(기본데이타!AE$8),0))</f>
        <v/>
      </c>
      <c r="AB100" s="634" t="str">
        <f>IF($A100="","",VLOOKUP($A100,기본데이타!$A$8:$BV$103,COLUMN(기본데이타!AF$8),0))</f>
        <v/>
      </c>
      <c r="AC100" s="633" t="str">
        <f>IF($A100="","",VLOOKUP($A100,기본데이타!$A$8:$BV$103,COLUMN(기본데이타!AG$8),0))</f>
        <v/>
      </c>
      <c r="AD100" s="634" t="str">
        <f>IF($A100="","",VLOOKUP($A100,기본데이타!$A$8:$BV$103,COLUMN(기본데이타!AH$8),0))</f>
        <v/>
      </c>
      <c r="AE100" s="633" t="str">
        <f>IF($A100="","",VLOOKUP($A100,기본데이타!$A$8:$BV$103,COLUMN(기본데이타!AI$8),0))</f>
        <v/>
      </c>
      <c r="AF100" s="635" t="str">
        <f>IF($A100="","",VLOOKUP($A100,기본데이타!$A$8:$BV$103,COLUMN(기본데이타!AJ$8),0))</f>
        <v/>
      </c>
      <c r="AG100" s="635" t="str">
        <f>IF($A100="","",VLOOKUP($A100,기본데이타!$A$8:$BV$103,COLUMN(기본데이타!AK$8),0))</f>
        <v/>
      </c>
      <c r="AH100" s="635" t="str">
        <f>IF($A100="","",VLOOKUP($A100,기본데이타!$A$8:$BV$103,COLUMN(기본데이타!AL$8),0))</f>
        <v/>
      </c>
      <c r="AI100" s="635" t="str">
        <f>IF($A100="","",VLOOKUP($A100,기본데이타!$A$8:$BV$103,COLUMN(기본데이타!AM$8),0))</f>
        <v/>
      </c>
      <c r="AJ100" s="636" t="str">
        <f>IF($A100="","",VLOOKUP($A100,기본데이타!$A$8:$BV$103,COLUMN(기본데이타!AN$8),0))</f>
        <v/>
      </c>
      <c r="AK100" s="636" t="str">
        <f>IF($A100="","",VLOOKUP($A100,기본데이타!$A$8:$BV$103,COLUMN(기본데이타!AO$8),0))</f>
        <v/>
      </c>
      <c r="AL100" s="636" t="str">
        <f>IF($A100="","",VLOOKUP($A100,기본데이타!$A$8:$BV$103,COLUMN(기본데이타!AP$8),0))</f>
        <v/>
      </c>
      <c r="AM100" s="636" t="str">
        <f>IF($A100="","",VLOOKUP($A100,기본데이타!$A$8:$BV$103,COLUMN(기본데이타!AQ$8),0))</f>
        <v/>
      </c>
      <c r="AN100" s="636" t="str">
        <f>IF($A100="","",VLOOKUP($A100,기본데이타!$A$8:$BV$103,COLUMN(기본데이타!AR$8),0))</f>
        <v/>
      </c>
      <c r="AO100" s="636" t="str">
        <f>IF($A100="","",VLOOKUP($A100,기본데이타!$A$8:$BV$103,COLUMN(기본데이타!AS$8),0))</f>
        <v/>
      </c>
      <c r="AP100" s="636" t="str">
        <f>IF($A100="","",VLOOKUP($A100,기본데이타!$A$8:$BV$103,COLUMN(기본데이타!AT$8),0))</f>
        <v/>
      </c>
      <c r="AQ100" s="636" t="str">
        <f>IF($A100="","",VLOOKUP($A100,기본데이타!$A$8:$BV$103,COLUMN(기본데이타!AU$8),0))</f>
        <v/>
      </c>
      <c r="AR100" s="637" t="str">
        <f>IF($A100="","",VLOOKUP($A100,기본데이타!$A$8:$BV$103,COLUMN(기본데이타!AV$8),0))</f>
        <v/>
      </c>
      <c r="AS100" s="634" t="str">
        <f>IF($A100="","",VLOOKUP($A100,기본데이타!$A$8:$BV$103,COLUMN(기본데이타!AW$8),0))</f>
        <v/>
      </c>
      <c r="AT100" s="634" t="str">
        <f>IF($A100="","",VLOOKUP($A100,기본데이타!$A$8:$BV$103,COLUMN(기본데이타!AX$8),0))</f>
        <v/>
      </c>
      <c r="AU100" s="634" t="str">
        <f>IF($A100="","",VLOOKUP($A100,기본데이타!$A$8:$BV$103,COLUMN(기본데이타!AY$8),0))</f>
        <v/>
      </c>
      <c r="AV100" s="634" t="str">
        <f t="shared" si="14"/>
        <v/>
      </c>
      <c r="AW100" s="635" t="str">
        <f>IF($A100="","",VLOOKUP($A100,기본데이타!$A$8:$BV$103,COLUMN(기본데이타!BA$8),0))</f>
        <v/>
      </c>
      <c r="AX100" s="635" t="str">
        <f>IF($A100="","",VLOOKUP($A100,기본데이타!$A$8:$BV$103,COLUMN(기본데이타!BB$8),0))</f>
        <v/>
      </c>
      <c r="AY100" s="635" t="str">
        <f>IF($A100="","",VLOOKUP($A100,기본데이타!$A$8:$BV$103,COLUMN(기본데이타!BC$8),0))</f>
        <v/>
      </c>
      <c r="AZ100" s="635" t="str">
        <f>IF($A100="","",VLOOKUP($A100,기본데이타!$A$8:$BV$103,COLUMN(기본데이타!BD$8),0))</f>
        <v/>
      </c>
      <c r="BA100" s="635" t="str">
        <f>IF($A100="","",VLOOKUP($A100,기본데이타!$A$8:$BV$103,COLUMN(기본데이타!BE$8),0))</f>
        <v/>
      </c>
      <c r="BB100" s="635" t="str">
        <f>IF($A100="","",VLOOKUP($A100,기본데이타!$A$8:$BV$103,COLUMN(기본데이타!BF$8),0))</f>
        <v/>
      </c>
      <c r="BC100" s="635" t="str">
        <f>IF($A100="","",VLOOKUP($A100,기본데이타!$A$8:$BV$103,COLUMN(기본데이타!BG$8),0))</f>
        <v/>
      </c>
      <c r="BD100" s="635" t="str">
        <f>IF($A100="","",VLOOKUP($A100,기본데이타!$A$8:$BV$103,COLUMN(기본데이타!BH$8),0))</f>
        <v/>
      </c>
      <c r="BE100" s="635" t="str">
        <f>IF($A100="","",VLOOKUP($A100,기본데이타!$A$8:$BV$103,COLUMN(기본데이타!BI$8),0))</f>
        <v/>
      </c>
      <c r="BF100" s="635" t="str">
        <f>IF($A100="","",VLOOKUP($A100,기본데이타!$A$8:$BV$103,COLUMN(기본데이타!BJ$8),0))</f>
        <v/>
      </c>
      <c r="BG100" s="635" t="str">
        <f>IF($A100="","",VLOOKUP($A100,기본데이타!$A$8:$BV$103,COLUMN(기본데이타!BK$8),0))</f>
        <v/>
      </c>
      <c r="BH100" s="635" t="str">
        <f>IF($A100="","",VLOOKUP($A100,기본데이타!$A$8:$BV$103,COLUMN(기본데이타!BL$8),0))</f>
        <v/>
      </c>
      <c r="BI100" s="635" t="str">
        <f>IF($A100="","",VLOOKUP($A100,기본데이타!$A$8:$BV$103,COLUMN(기본데이타!BM$8),0))</f>
        <v/>
      </c>
      <c r="BJ100" s="635" t="str">
        <f>IF($A100="","",VLOOKUP($A100,기본데이타!$A$8:$BV$103,COLUMN(기본데이타!BN$8),0))</f>
        <v/>
      </c>
      <c r="BK100" s="635" t="str">
        <f>IF($A100="","",VLOOKUP($A100,기본데이타!$A$8:$BV$103,COLUMN(기본데이타!BO$8),0))</f>
        <v/>
      </c>
      <c r="BL100" s="635" t="str">
        <f>IF($A100="","",VLOOKUP($A100,기본데이타!$A$8:$BV$103,COLUMN(기본데이타!BP$8),0))</f>
        <v/>
      </c>
      <c r="BM100" s="635" t="str">
        <f>IF($A100="","",VLOOKUP($A100,기본데이타!$A$8:$BV$103,COLUMN(기본데이타!BQ$8),0))</f>
        <v/>
      </c>
      <c r="BN100" s="638" t="str">
        <f>IF($A100="","",VLOOKUP($A100,기본데이타!$A$8:$BV$103,COLUMN(기본데이타!BR$8),0))</f>
        <v/>
      </c>
      <c r="BO100" s="579" t="str">
        <f>IF($A100="","",VLOOKUP($A100,기본데이타!$A$8:$BV$103,COLUMN(기본데이타!BS$8),0))</f>
        <v/>
      </c>
      <c r="BP100" s="639" t="str">
        <f>IF($A100="","",VLOOKUP($A100,기본데이타!$A$8:$BV$103,COLUMN(기본데이타!BT$8),0))</f>
        <v/>
      </c>
      <c r="BQ100" s="640" t="str">
        <f>IF($A100="","",VLOOKUP($A100,기본데이타!$A$8:$BV$103,COLUMN(기본데이타!BU$8),0))</f>
        <v/>
      </c>
      <c r="BR100" s="625" t="str">
        <f t="shared" si="15"/>
        <v/>
      </c>
    </row>
    <row r="101" spans="1:70" s="571" customFormat="1" ht="61.5" hidden="1" customHeight="1" thickBot="1">
      <c r="A101" s="578"/>
      <c r="B101" s="1642"/>
      <c r="C101" s="657"/>
      <c r="D101" s="1041" t="str">
        <f>IF($A101="","",VLOOKUP($A101,기본데이타!$A$8:$BV$103,COLUMN(기본데이타!F$8),0))</f>
        <v/>
      </c>
      <c r="E101" s="1042" t="str">
        <f>IF($A101="","",VLOOKUP($A101,기본데이타!$A$8:$BV$103,COLUMN(기본데이타!G$8),0))</f>
        <v/>
      </c>
      <c r="F101" s="1043" t="str">
        <f>IF($A101="","",VLOOKUP($A101,기본데이타!$A$8:$BV$103,COLUMN(기본데이타!H$8),0))</f>
        <v/>
      </c>
      <c r="G101" s="1044" t="str">
        <f>IF($A101="","",VLOOKUP($A101,기본데이타!$A$8:$BV$103,COLUMN(기본데이타!I$8),0))</f>
        <v/>
      </c>
      <c r="H101" s="1044" t="str">
        <f>IF($A101="","",VLOOKUP($A101,기본데이타!$A$8:$BV$103,COLUMN(기본데이타!J$8),0))</f>
        <v/>
      </c>
      <c r="I101" s="1045" t="str">
        <f>IF($A101="","",VLOOKUP($A101,기본데이타!$A$8:$BV$103,COLUMN(기본데이타!K$8),0))</f>
        <v/>
      </c>
      <c r="J101" s="1045" t="str">
        <f>IF($A101="","",VLOOKUP($A101,기본데이타!$A$8:$BV$103,COLUMN(기본데이타!L$8),0))</f>
        <v/>
      </c>
      <c r="K101" s="1045" t="str">
        <f>IF($A101="","",VLOOKUP($A101,기본데이타!$A$8:$BV$103,COLUMN(기본데이타!M$8),0))</f>
        <v/>
      </c>
      <c r="L101" s="1046" t="str">
        <f>IF($A101="","",VLOOKUP($A101,기본데이타!$A$8:$BV$103,COLUMN(기본데이타!N$8),0))</f>
        <v/>
      </c>
      <c r="M101" s="1045" t="str">
        <f>IF($A101="","",VLOOKUP($A101,기본데이타!$A$8:$BV$103,COLUMN(기본데이타!O$8),0))</f>
        <v/>
      </c>
      <c r="N101" s="1046" t="str">
        <f>IF($A101="","",VLOOKUP($A101,기본데이타!$A$8:$BV$103,COLUMN(기본데이타!P$8),0))</f>
        <v/>
      </c>
      <c r="O101" s="1046" t="str">
        <f>IF($A101="","",VLOOKUP($A101,기본데이타!$A$8:$BV$103,COLUMN(기본데이타!Q$8),0))</f>
        <v/>
      </c>
      <c r="P101" s="1046" t="str">
        <f>IF($A101="","",VLOOKUP($A101,기본데이타!$A$8:$BV$103,COLUMN(기본데이타!R$8),0))</f>
        <v/>
      </c>
      <c r="Q101" s="1046" t="str">
        <f>IF($A101="","",VLOOKUP($A101,기본데이타!$A$8:$BV$103,COLUMN(기본데이타!S$8),0))</f>
        <v/>
      </c>
      <c r="R101" s="1046" t="str">
        <f>IF($A101="","",VLOOKUP($A101,기본데이타!$A$8:$BV$103,COLUMN(기본데이타!T$8),0))</f>
        <v/>
      </c>
      <c r="S101" s="1046" t="str">
        <f>IF($A101="","",VLOOKUP($A101,기본데이타!$A$8:$BV$103,COLUMN(기본데이타!U$8),0))</f>
        <v/>
      </c>
      <c r="T101" s="1046" t="str">
        <f>IF($A101="","",VLOOKUP($A101,기본데이타!$A$8:$BV$103,COLUMN(기본데이타!V$8),0))</f>
        <v/>
      </c>
      <c r="U101" s="1046" t="str">
        <f>IF($A101="","",VLOOKUP($A101,기본데이타!$A$8:$BV$103,COLUMN(기본데이타!W$8),0))</f>
        <v/>
      </c>
      <c r="V101" s="1046" t="str">
        <f>IF($A101="","",VLOOKUP($A101,기본데이타!$A$8:$BV$103,COLUMN(기본데이타!X$8),0))</f>
        <v/>
      </c>
      <c r="W101" s="1046" t="str">
        <f>IF($A101="","",VLOOKUP($A101,기본데이타!$A$8:$BV$103,COLUMN(기본데이타!AA$8),0))</f>
        <v/>
      </c>
      <c r="X101" s="1046" t="str">
        <f>IF($A101="","",VLOOKUP($A101,기본데이타!$A$8:$BV$103,COLUMN(기본데이타!AB$8),0))</f>
        <v/>
      </c>
      <c r="Y101" s="1045" t="str">
        <f>IF($A101="","",VLOOKUP($A101,기본데이타!$A$8:$BV$103,COLUMN(기본데이타!AC$8),0))</f>
        <v/>
      </c>
      <c r="Z101" s="1046" t="str">
        <f>IF($A101="","",VLOOKUP($A101,기본데이타!$A$8:$BV$103,COLUMN(기본데이타!AD$8),0))</f>
        <v/>
      </c>
      <c r="AA101" s="1045" t="str">
        <f>IF($A101="","",VLOOKUP($A101,기본데이타!$A$8:$BV$103,COLUMN(기본데이타!AE$8),0))</f>
        <v/>
      </c>
      <c r="AB101" s="1046" t="str">
        <f>IF($A101="","",VLOOKUP($A101,기본데이타!$A$8:$BV$103,COLUMN(기본데이타!AF$8),0))</f>
        <v/>
      </c>
      <c r="AC101" s="1045" t="str">
        <f>IF($A101="","",VLOOKUP($A101,기본데이타!$A$8:$BV$103,COLUMN(기본데이타!AG$8),0))</f>
        <v/>
      </c>
      <c r="AD101" s="1046" t="str">
        <f>IF($A101="","",VLOOKUP($A101,기본데이타!$A$8:$BV$103,COLUMN(기본데이타!AH$8),0))</f>
        <v/>
      </c>
      <c r="AE101" s="1045" t="str">
        <f>IF($A101="","",VLOOKUP($A101,기본데이타!$A$8:$BV$103,COLUMN(기본데이타!AI$8),0))</f>
        <v/>
      </c>
      <c r="AF101" s="1047" t="str">
        <f>IF($A101="","",VLOOKUP($A101,기본데이타!$A$8:$BV$103,COLUMN(기본데이타!AJ$8),0))</f>
        <v/>
      </c>
      <c r="AG101" s="1047" t="str">
        <f>IF($A101="","",VLOOKUP($A101,기본데이타!$A$8:$BV$103,COLUMN(기본데이타!AK$8),0))</f>
        <v/>
      </c>
      <c r="AH101" s="1047" t="str">
        <f>IF($A101="","",VLOOKUP($A101,기본데이타!$A$8:$BV$103,COLUMN(기본데이타!AL$8),0))</f>
        <v/>
      </c>
      <c r="AI101" s="1047" t="str">
        <f>IF($A101="","",VLOOKUP($A101,기본데이타!$A$8:$BV$103,COLUMN(기본데이타!AM$8),0))</f>
        <v/>
      </c>
      <c r="AJ101" s="1048" t="str">
        <f>IF($A101="","",VLOOKUP($A101,기본데이타!$A$8:$BV$103,COLUMN(기본데이타!AN$8),0))</f>
        <v/>
      </c>
      <c r="AK101" s="1048" t="str">
        <f>IF($A101="","",VLOOKUP($A101,기본데이타!$A$8:$BV$103,COLUMN(기본데이타!AO$8),0))</f>
        <v/>
      </c>
      <c r="AL101" s="1048" t="str">
        <f>IF($A101="","",VLOOKUP($A101,기본데이타!$A$8:$BV$103,COLUMN(기본데이타!AP$8),0))</f>
        <v/>
      </c>
      <c r="AM101" s="1048" t="str">
        <f>IF($A101="","",VLOOKUP($A101,기본데이타!$A$8:$BV$103,COLUMN(기본데이타!AQ$8),0))</f>
        <v/>
      </c>
      <c r="AN101" s="1048" t="str">
        <f>IF($A101="","",VLOOKUP($A101,기본데이타!$A$8:$BV$103,COLUMN(기본데이타!AR$8),0))</f>
        <v/>
      </c>
      <c r="AO101" s="1048" t="str">
        <f>IF($A101="","",VLOOKUP($A101,기본데이타!$A$8:$BV$103,COLUMN(기본데이타!AS$8),0))</f>
        <v/>
      </c>
      <c r="AP101" s="1048" t="str">
        <f>IF($A101="","",VLOOKUP($A101,기본데이타!$A$8:$BV$103,COLUMN(기본데이타!AT$8),0))</f>
        <v/>
      </c>
      <c r="AQ101" s="1048" t="str">
        <f>IF($A101="","",VLOOKUP($A101,기본데이타!$A$8:$BV$103,COLUMN(기본데이타!AU$8),0))</f>
        <v/>
      </c>
      <c r="AR101" s="1049" t="str">
        <f>IF($A101="","",VLOOKUP($A101,기본데이타!$A$8:$BV$103,COLUMN(기본데이타!AV$8),0))</f>
        <v/>
      </c>
      <c r="AS101" s="1046" t="str">
        <f>IF($A101="","",VLOOKUP($A101,기본데이타!$A$8:$BV$103,COLUMN(기본데이타!AW$8),0))</f>
        <v/>
      </c>
      <c r="AT101" s="1046" t="str">
        <f>IF($A101="","",VLOOKUP($A101,기본데이타!$A$8:$BV$103,COLUMN(기본데이타!AX$8),0))</f>
        <v/>
      </c>
      <c r="AU101" s="1046" t="str">
        <f>IF($A101="","",VLOOKUP($A101,기본데이타!$A$8:$BV$103,COLUMN(기본데이타!AY$8),0))</f>
        <v/>
      </c>
      <c r="AV101" s="1046" t="str">
        <f t="shared" si="14"/>
        <v/>
      </c>
      <c r="AW101" s="1047" t="str">
        <f>IF($A101="","",VLOOKUP($A101,기본데이타!$A$8:$BV$103,COLUMN(기본데이타!BA$8),0))</f>
        <v/>
      </c>
      <c r="AX101" s="1047" t="str">
        <f>IF($A101="","",VLOOKUP($A101,기본데이타!$A$8:$BV$103,COLUMN(기본데이타!BB$8),0))</f>
        <v/>
      </c>
      <c r="AY101" s="1047" t="str">
        <f>IF($A101="","",VLOOKUP($A101,기본데이타!$A$8:$BV$103,COLUMN(기본데이타!BC$8),0))</f>
        <v/>
      </c>
      <c r="AZ101" s="1047" t="str">
        <f>IF($A101="","",VLOOKUP($A101,기본데이타!$A$8:$BV$103,COLUMN(기본데이타!BD$8),0))</f>
        <v/>
      </c>
      <c r="BA101" s="1047" t="str">
        <f>IF($A101="","",VLOOKUP($A101,기본데이타!$A$8:$BV$103,COLUMN(기본데이타!BE$8),0))</f>
        <v/>
      </c>
      <c r="BB101" s="1047" t="str">
        <f>IF($A101="","",VLOOKUP($A101,기본데이타!$A$8:$BV$103,COLUMN(기본데이타!BF$8),0))</f>
        <v/>
      </c>
      <c r="BC101" s="1047" t="str">
        <f>IF($A101="","",VLOOKUP($A101,기본데이타!$A$8:$BV$103,COLUMN(기본데이타!BG$8),0))</f>
        <v/>
      </c>
      <c r="BD101" s="1047" t="str">
        <f>IF($A101="","",VLOOKUP($A101,기본데이타!$A$8:$BV$103,COLUMN(기본데이타!BH$8),0))</f>
        <v/>
      </c>
      <c r="BE101" s="1047" t="str">
        <f>IF($A101="","",VLOOKUP($A101,기본데이타!$A$8:$BV$103,COLUMN(기본데이타!BI$8),0))</f>
        <v/>
      </c>
      <c r="BF101" s="1047" t="str">
        <f>IF($A101="","",VLOOKUP($A101,기본데이타!$A$8:$BV$103,COLUMN(기본데이타!BJ$8),0))</f>
        <v/>
      </c>
      <c r="BG101" s="1047" t="str">
        <f>IF($A101="","",VLOOKUP($A101,기본데이타!$A$8:$BV$103,COLUMN(기본데이타!BK$8),0))</f>
        <v/>
      </c>
      <c r="BH101" s="1047" t="str">
        <f>IF($A101="","",VLOOKUP($A101,기본데이타!$A$8:$BV$103,COLUMN(기본데이타!BL$8),0))</f>
        <v/>
      </c>
      <c r="BI101" s="1047" t="str">
        <f>IF($A101="","",VLOOKUP($A101,기본데이타!$A$8:$BV$103,COLUMN(기본데이타!BM$8),0))</f>
        <v/>
      </c>
      <c r="BJ101" s="1047" t="str">
        <f>IF($A101="","",VLOOKUP($A101,기본데이타!$A$8:$BV$103,COLUMN(기본데이타!BN$8),0))</f>
        <v/>
      </c>
      <c r="BK101" s="1047" t="str">
        <f>IF($A101="","",VLOOKUP($A101,기본데이타!$A$8:$BV$103,COLUMN(기본데이타!BO$8),0))</f>
        <v/>
      </c>
      <c r="BL101" s="1047" t="str">
        <f>IF($A101="","",VLOOKUP($A101,기본데이타!$A$8:$BV$103,COLUMN(기본데이타!BP$8),0))</f>
        <v/>
      </c>
      <c r="BM101" s="1047" t="str">
        <f>IF($A101="","",VLOOKUP($A101,기본데이타!$A$8:$BV$103,COLUMN(기본데이타!BQ$8),0))</f>
        <v/>
      </c>
      <c r="BN101" s="1050" t="str">
        <f>IF($A101="","",VLOOKUP($A101,기본데이타!$A$8:$BV$103,COLUMN(기본데이타!BR$8),0))</f>
        <v/>
      </c>
      <c r="BO101" s="1051" t="str">
        <f>IF($A101="","",VLOOKUP($A101,기본데이타!$A$8:$BV$103,COLUMN(기본데이타!BS$8),0))</f>
        <v/>
      </c>
      <c r="BP101" s="1052" t="str">
        <f>IF($A101="","",VLOOKUP($A101,기본데이타!$A$8:$BV$103,COLUMN(기본데이타!BT$8),0))</f>
        <v/>
      </c>
      <c r="BQ101" s="1343" t="str">
        <f>IF($A101="","",VLOOKUP($A101,기본데이타!$A$8:$BV$103,COLUMN(기본데이타!BU$8),0))</f>
        <v/>
      </c>
      <c r="BR101" s="1053" t="str">
        <f t="shared" si="15"/>
        <v/>
      </c>
    </row>
    <row r="102" spans="1:70" s="571" customFormat="1" ht="61.5" hidden="1" customHeight="1">
      <c r="A102" s="578"/>
      <c r="B102" s="1642"/>
      <c r="C102" s="590"/>
      <c r="D102" s="591" t="str">
        <f>IF($A102="","",VLOOKUP($A102,기본데이타!$A$8:$BV$103,COLUMN(기본데이타!F$8),0))</f>
        <v/>
      </c>
      <c r="E102" s="592" t="str">
        <f>IF($A102="","",VLOOKUP($A102,기본데이타!$A$8:$BV$103,COLUMN(기본데이타!G$8),0))</f>
        <v/>
      </c>
      <c r="F102" s="593" t="str">
        <f>IF($A102="","",VLOOKUP($A102,기본데이타!$A$8:$BV$103,COLUMN(기본데이타!H$8),0))</f>
        <v/>
      </c>
      <c r="G102" s="594" t="str">
        <f>IF($A102="","",VLOOKUP($A102,기본데이타!$A$8:$BV$103,COLUMN(기본데이타!I$8),0))</f>
        <v/>
      </c>
      <c r="H102" s="594" t="str">
        <f>IF($A102="","",VLOOKUP($A102,기본데이타!$A$8:$BV$103,COLUMN(기본데이타!J$8),0))</f>
        <v/>
      </c>
      <c r="I102" s="595" t="str">
        <f>IF($A102="","",VLOOKUP($A102,기본데이타!$A$8:$BV$103,COLUMN(기본데이타!K$8),0))</f>
        <v/>
      </c>
      <c r="J102" s="595" t="str">
        <f>IF($A102="","",VLOOKUP($A102,기본데이타!$A$8:$BV$103,COLUMN(기본데이타!L$8),0))</f>
        <v/>
      </c>
      <c r="K102" s="595" t="str">
        <f>IF($A102="","",VLOOKUP($A102,기본데이타!$A$8:$BV$103,COLUMN(기본데이타!M$8),0))</f>
        <v/>
      </c>
      <c r="L102" s="596" t="str">
        <f>IF($A102="","",VLOOKUP($A102,기본데이타!$A$8:$BV$103,COLUMN(기본데이타!N$8),0))</f>
        <v/>
      </c>
      <c r="M102" s="595" t="str">
        <f>IF($A102="","",VLOOKUP($A102,기본데이타!$A$8:$BV$103,COLUMN(기본데이타!O$8),0))</f>
        <v/>
      </c>
      <c r="N102" s="596" t="str">
        <f>IF($A102="","",VLOOKUP($A102,기본데이타!$A$8:$BV$103,COLUMN(기본데이타!P$8),0))</f>
        <v/>
      </c>
      <c r="O102" s="596" t="str">
        <f>IF($A102="","",VLOOKUP($A102,기본데이타!$A$8:$BV$103,COLUMN(기본데이타!Q$8),0))</f>
        <v/>
      </c>
      <c r="P102" s="596" t="str">
        <f>IF($A102="","",VLOOKUP($A102,기본데이타!$A$8:$BV$103,COLUMN(기본데이타!R$8),0))</f>
        <v/>
      </c>
      <c r="Q102" s="596" t="str">
        <f>IF($A102="","",VLOOKUP($A102,기본데이타!$A$8:$BV$103,COLUMN(기본데이타!S$8),0))</f>
        <v/>
      </c>
      <c r="R102" s="596" t="str">
        <f>IF($A102="","",VLOOKUP($A102,기본데이타!$A$8:$BV$103,COLUMN(기본데이타!T$8),0))</f>
        <v/>
      </c>
      <c r="S102" s="596" t="str">
        <f>IF($A102="","",VLOOKUP($A102,기본데이타!$A$8:$BV$103,COLUMN(기본데이타!U$8),0))</f>
        <v/>
      </c>
      <c r="T102" s="596" t="str">
        <f>IF($A102="","",VLOOKUP($A102,기본데이타!$A$8:$BV$103,COLUMN(기본데이타!V$8),0))</f>
        <v/>
      </c>
      <c r="U102" s="596" t="str">
        <f>IF($A102="","",VLOOKUP($A102,기본데이타!$A$8:$BV$103,COLUMN(기본데이타!W$8),0))</f>
        <v/>
      </c>
      <c r="V102" s="596" t="str">
        <f>IF($A102="","",VLOOKUP($A102,기본데이타!$A$8:$BV$103,COLUMN(기본데이타!X$8),0))</f>
        <v/>
      </c>
      <c r="W102" s="596" t="str">
        <f>IF($A102="","",VLOOKUP($A102,기본데이타!$A$8:$BV$103,COLUMN(기본데이타!AA$8),0))</f>
        <v/>
      </c>
      <c r="X102" s="596" t="str">
        <f>IF($A102="","",VLOOKUP($A102,기본데이타!$A$8:$BV$103,COLUMN(기본데이타!AB$8),0))</f>
        <v/>
      </c>
      <c r="Y102" s="595" t="str">
        <f>IF($A102="","",VLOOKUP($A102,기본데이타!$A$8:$BV$103,COLUMN(기본데이타!AC$8),0))</f>
        <v/>
      </c>
      <c r="Z102" s="596" t="str">
        <f>IF($A102="","",VLOOKUP($A102,기본데이타!$A$8:$BV$103,COLUMN(기본데이타!AD$8),0))</f>
        <v/>
      </c>
      <c r="AA102" s="595" t="str">
        <f>IF($A102="","",VLOOKUP($A102,기본데이타!$A$8:$BV$103,COLUMN(기본데이타!AE$8),0))</f>
        <v/>
      </c>
      <c r="AB102" s="596" t="str">
        <f>IF($A102="","",VLOOKUP($A102,기본데이타!$A$8:$BV$103,COLUMN(기본데이타!AF$8),0))</f>
        <v/>
      </c>
      <c r="AC102" s="595" t="str">
        <f>IF($A102="","",VLOOKUP($A102,기본데이타!$A$8:$BV$103,COLUMN(기본데이타!AG$8),0))</f>
        <v/>
      </c>
      <c r="AD102" s="596" t="str">
        <f>IF($A102="","",VLOOKUP($A102,기본데이타!$A$8:$BV$103,COLUMN(기본데이타!AH$8),0))</f>
        <v/>
      </c>
      <c r="AE102" s="595" t="str">
        <f>IF($A102="","",VLOOKUP($A102,기본데이타!$A$8:$BV$103,COLUMN(기본데이타!AI$8),0))</f>
        <v/>
      </c>
      <c r="AF102" s="597" t="str">
        <f>IF($A102="","",VLOOKUP($A102,기본데이타!$A$8:$BV$103,COLUMN(기본데이타!AJ$8),0))</f>
        <v/>
      </c>
      <c r="AG102" s="597" t="str">
        <f>IF($A102="","",VLOOKUP($A102,기본데이타!$A$8:$BV$103,COLUMN(기본데이타!AK$8),0))</f>
        <v/>
      </c>
      <c r="AH102" s="597" t="str">
        <f>IF($A102="","",VLOOKUP($A102,기본데이타!$A$8:$BV$103,COLUMN(기본데이타!AL$8),0))</f>
        <v/>
      </c>
      <c r="AI102" s="597" t="str">
        <f>IF($A102="","",VLOOKUP($A102,기본데이타!$A$8:$BV$103,COLUMN(기본데이타!AM$8),0))</f>
        <v/>
      </c>
      <c r="AJ102" s="642" t="str">
        <f>IF($A102="","",VLOOKUP($A102,기본데이타!$A$8:$BV$103,COLUMN(기본데이타!AN$8),0))</f>
        <v/>
      </c>
      <c r="AK102" s="642" t="str">
        <f>IF($A102="","",VLOOKUP($A102,기본데이타!$A$8:$BV$103,COLUMN(기본데이타!AO$8),0))</f>
        <v/>
      </c>
      <c r="AL102" s="642" t="str">
        <f>IF($A102="","",VLOOKUP($A102,기본데이타!$A$8:$BV$103,COLUMN(기본데이타!AP$8),0))</f>
        <v/>
      </c>
      <c r="AM102" s="642" t="str">
        <f>IF($A102="","",VLOOKUP($A102,기본데이타!$A$8:$BV$103,COLUMN(기본데이타!AQ$8),0))</f>
        <v/>
      </c>
      <c r="AN102" s="642" t="str">
        <f>IF($A102="","",VLOOKUP($A102,기본데이타!$A$8:$BV$103,COLUMN(기본데이타!AR$8),0))</f>
        <v/>
      </c>
      <c r="AO102" s="642" t="str">
        <f>IF($A102="","",VLOOKUP($A102,기본데이타!$A$8:$BV$103,COLUMN(기본데이타!AS$8),0))</f>
        <v/>
      </c>
      <c r="AP102" s="642" t="str">
        <f>IF($A102="","",VLOOKUP($A102,기본데이타!$A$8:$BV$103,COLUMN(기본데이타!AT$8),0))</f>
        <v/>
      </c>
      <c r="AQ102" s="642" t="str">
        <f>IF($A102="","",VLOOKUP($A102,기본데이타!$A$8:$BV$103,COLUMN(기본데이타!AU$8),0))</f>
        <v/>
      </c>
      <c r="AR102" s="643" t="str">
        <f>IF($A102="","",VLOOKUP($A102,기본데이타!$A$8:$BV$103,COLUMN(기본데이타!AV$8),0))</f>
        <v/>
      </c>
      <c r="AS102" s="596" t="str">
        <f>IF($A102="","",VLOOKUP($A102,기본데이타!$A$8:$BV$103,COLUMN(기본데이타!AW$8),0))</f>
        <v/>
      </c>
      <c r="AT102" s="596" t="str">
        <f>IF($A102="","",VLOOKUP($A102,기본데이타!$A$8:$BV$103,COLUMN(기본데이타!AX$8),0))</f>
        <v/>
      </c>
      <c r="AU102" s="596" t="str">
        <f>IF($A102="","",VLOOKUP($A102,기본데이타!$A$8:$BV$103,COLUMN(기본데이타!AY$8),0))</f>
        <v/>
      </c>
      <c r="AV102" s="596" t="str">
        <f t="shared" si="10"/>
        <v/>
      </c>
      <c r="AW102" s="597" t="str">
        <f>IF($A102="","",VLOOKUP($A102,기본데이타!$A$8:$BV$103,COLUMN(기본데이타!BA$8),0))</f>
        <v/>
      </c>
      <c r="AX102" s="597" t="str">
        <f>IF($A102="","",VLOOKUP($A102,기본데이타!$A$8:$BV$103,COLUMN(기본데이타!BB$8),0))</f>
        <v/>
      </c>
      <c r="AY102" s="597" t="str">
        <f>IF($A102="","",VLOOKUP($A102,기본데이타!$A$8:$BV$103,COLUMN(기본데이타!BC$8),0))</f>
        <v/>
      </c>
      <c r="AZ102" s="597" t="str">
        <f>IF($A102="","",VLOOKUP($A102,기본데이타!$A$8:$BV$103,COLUMN(기본데이타!BD$8),0))</f>
        <v/>
      </c>
      <c r="BA102" s="597" t="str">
        <f>IF($A102="","",VLOOKUP($A102,기본데이타!$A$8:$BV$103,COLUMN(기본데이타!BE$8),0))</f>
        <v/>
      </c>
      <c r="BB102" s="597" t="str">
        <f>IF($A102="","",VLOOKUP($A102,기본데이타!$A$8:$BV$103,COLUMN(기본데이타!BF$8),0))</f>
        <v/>
      </c>
      <c r="BC102" s="597" t="str">
        <f>IF($A102="","",VLOOKUP($A102,기본데이타!$A$8:$BV$103,COLUMN(기본데이타!BG$8),0))</f>
        <v/>
      </c>
      <c r="BD102" s="597" t="str">
        <f>IF($A102="","",VLOOKUP($A102,기본데이타!$A$8:$BV$103,COLUMN(기본데이타!BH$8),0))</f>
        <v/>
      </c>
      <c r="BE102" s="597" t="str">
        <f>IF($A102="","",VLOOKUP($A102,기본데이타!$A$8:$BV$103,COLUMN(기본데이타!BI$8),0))</f>
        <v/>
      </c>
      <c r="BF102" s="597" t="str">
        <f>IF($A102="","",VLOOKUP($A102,기본데이타!$A$8:$BV$103,COLUMN(기본데이타!BJ$8),0))</f>
        <v/>
      </c>
      <c r="BG102" s="597" t="str">
        <f>IF($A102="","",VLOOKUP($A102,기본데이타!$A$8:$BV$103,COLUMN(기본데이타!BK$8),0))</f>
        <v/>
      </c>
      <c r="BH102" s="597" t="str">
        <f>IF($A102="","",VLOOKUP($A102,기본데이타!$A$8:$BV$103,COLUMN(기본데이타!BL$8),0))</f>
        <v/>
      </c>
      <c r="BI102" s="597" t="str">
        <f>IF($A102="","",VLOOKUP($A102,기본데이타!$A$8:$BV$103,COLUMN(기본데이타!BM$8),0))</f>
        <v/>
      </c>
      <c r="BJ102" s="597" t="str">
        <f>IF($A102="","",VLOOKUP($A102,기본데이타!$A$8:$BV$103,COLUMN(기본데이타!BN$8),0))</f>
        <v/>
      </c>
      <c r="BK102" s="597" t="str">
        <f>IF($A102="","",VLOOKUP($A102,기본데이타!$A$8:$BV$103,COLUMN(기본데이타!BO$8),0))</f>
        <v/>
      </c>
      <c r="BL102" s="597" t="str">
        <f>IF($A102="","",VLOOKUP($A102,기본데이타!$A$8:$BV$103,COLUMN(기본데이타!BP$8),0))</f>
        <v/>
      </c>
      <c r="BM102" s="597" t="str">
        <f>IF($A102="","",VLOOKUP($A102,기본데이타!$A$8:$BV$103,COLUMN(기본데이타!BQ$8),0))</f>
        <v/>
      </c>
      <c r="BN102" s="599" t="str">
        <f>IF($A102="","",VLOOKUP($A102,기본데이타!$A$8:$BV$103,COLUMN(기본데이타!BR$8),0))</f>
        <v/>
      </c>
      <c r="BO102" s="600" t="str">
        <f>IF($A102="","",VLOOKUP($A102,기본데이타!$A$8:$BV$103,COLUMN(기본데이타!BS$8),0))</f>
        <v/>
      </c>
      <c r="BP102" s="639" t="str">
        <f>IF($A102="","",VLOOKUP($A102,기본데이타!$A$8:$BV$103,COLUMN(기본데이타!BT$8),0))</f>
        <v/>
      </c>
      <c r="BQ102" s="602" t="str">
        <f>IF($A102="","",VLOOKUP($A102,기본데이타!$A$8:$BV$103,COLUMN(기본데이타!BU$8),0))</f>
        <v/>
      </c>
      <c r="BR102" s="603" t="str">
        <f t="shared" si="11"/>
        <v/>
      </c>
    </row>
    <row r="103" spans="1:70" s="571" customFormat="1" ht="61.5" hidden="1" customHeight="1">
      <c r="A103" s="578"/>
      <c r="B103" s="1642"/>
      <c r="C103" s="590"/>
      <c r="D103" s="629" t="str">
        <f>IF($A103="","",VLOOKUP($A103,기본데이타!$A$8:$BV$103,COLUMN(기본데이타!F$8),0))</f>
        <v/>
      </c>
      <c r="E103" s="630" t="str">
        <f>IF($A103="","",VLOOKUP($A103,기본데이타!$A$8:$BV$103,COLUMN(기본데이타!G$8),0))</f>
        <v/>
      </c>
      <c r="F103" s="631" t="str">
        <f>IF($A103="","",VLOOKUP($A103,기본데이타!$A$8:$BV$103,COLUMN(기본데이타!H$8),0))</f>
        <v/>
      </c>
      <c r="G103" s="632" t="str">
        <f>IF($A103="","",VLOOKUP($A103,기본데이타!$A$8:$BV$103,COLUMN(기본데이타!I$8),0))</f>
        <v/>
      </c>
      <c r="H103" s="632" t="str">
        <f>IF($A103="","",VLOOKUP($A103,기본데이타!$A$8:$BV$103,COLUMN(기본데이타!J$8),0))</f>
        <v/>
      </c>
      <c r="I103" s="633" t="str">
        <f>IF($A103="","",VLOOKUP($A103,기본데이타!$A$8:$BV$103,COLUMN(기본데이타!K$8),0))</f>
        <v/>
      </c>
      <c r="J103" s="633" t="str">
        <f>IF($A103="","",VLOOKUP($A103,기본데이타!$A$8:$BV$103,COLUMN(기본데이타!L$8),0))</f>
        <v/>
      </c>
      <c r="K103" s="633" t="str">
        <f>IF($A103="","",VLOOKUP($A103,기본데이타!$A$8:$BV$103,COLUMN(기본데이타!M$8),0))</f>
        <v/>
      </c>
      <c r="L103" s="634" t="str">
        <f>IF($A103="","",VLOOKUP($A103,기본데이타!$A$8:$BV$103,COLUMN(기본데이타!N$8),0))</f>
        <v/>
      </c>
      <c r="M103" s="633" t="str">
        <f>IF($A103="","",VLOOKUP($A103,기본데이타!$A$8:$BV$103,COLUMN(기본데이타!O$8),0))</f>
        <v/>
      </c>
      <c r="N103" s="634" t="str">
        <f>IF($A103="","",VLOOKUP($A103,기본데이타!$A$8:$BV$103,COLUMN(기본데이타!P$8),0))</f>
        <v/>
      </c>
      <c r="O103" s="634" t="str">
        <f>IF($A103="","",VLOOKUP($A103,기본데이타!$A$8:$BV$103,COLUMN(기본데이타!Q$8),0))</f>
        <v/>
      </c>
      <c r="P103" s="634" t="str">
        <f>IF($A103="","",VLOOKUP($A103,기본데이타!$A$8:$BV$103,COLUMN(기본데이타!R$8),0))</f>
        <v/>
      </c>
      <c r="Q103" s="634" t="str">
        <f>IF($A103="","",VLOOKUP($A103,기본데이타!$A$8:$BV$103,COLUMN(기본데이타!S$8),0))</f>
        <v/>
      </c>
      <c r="R103" s="634" t="str">
        <f>IF($A103="","",VLOOKUP($A103,기본데이타!$A$8:$BV$103,COLUMN(기본데이타!T$8),0))</f>
        <v/>
      </c>
      <c r="S103" s="634" t="str">
        <f>IF($A103="","",VLOOKUP($A103,기본데이타!$A$8:$BV$103,COLUMN(기본데이타!U$8),0))</f>
        <v/>
      </c>
      <c r="T103" s="634" t="str">
        <f>IF($A103="","",VLOOKUP($A103,기본데이타!$A$8:$BV$103,COLUMN(기본데이타!V$8),0))</f>
        <v/>
      </c>
      <c r="U103" s="634" t="str">
        <f>IF($A103="","",VLOOKUP($A103,기본데이타!$A$8:$BV$103,COLUMN(기본데이타!W$8),0))</f>
        <v/>
      </c>
      <c r="V103" s="634" t="str">
        <f>IF($A103="","",VLOOKUP($A103,기본데이타!$A$8:$BV$103,COLUMN(기본데이타!X$8),0))</f>
        <v/>
      </c>
      <c r="W103" s="634" t="str">
        <f>IF($A103="","",VLOOKUP($A103,기본데이타!$A$8:$BV$103,COLUMN(기본데이타!AA$8),0))</f>
        <v/>
      </c>
      <c r="X103" s="634" t="str">
        <f>IF($A103="","",VLOOKUP($A103,기본데이타!$A$8:$BV$103,COLUMN(기본데이타!AB$8),0))</f>
        <v/>
      </c>
      <c r="Y103" s="633" t="str">
        <f>IF($A103="","",VLOOKUP($A103,기본데이타!$A$8:$BV$103,COLUMN(기본데이타!AC$8),0))</f>
        <v/>
      </c>
      <c r="Z103" s="634" t="str">
        <f>IF($A103="","",VLOOKUP($A103,기본데이타!$A$8:$BV$103,COLUMN(기본데이타!AD$8),0))</f>
        <v/>
      </c>
      <c r="AA103" s="633" t="str">
        <f>IF($A103="","",VLOOKUP($A103,기본데이타!$A$8:$BV$103,COLUMN(기본데이타!AE$8),0))</f>
        <v/>
      </c>
      <c r="AB103" s="634" t="str">
        <f>IF($A103="","",VLOOKUP($A103,기본데이타!$A$8:$BV$103,COLUMN(기본데이타!AF$8),0))</f>
        <v/>
      </c>
      <c r="AC103" s="633" t="str">
        <f>IF($A103="","",VLOOKUP($A103,기본데이타!$A$8:$BV$103,COLUMN(기본데이타!AG$8),0))</f>
        <v/>
      </c>
      <c r="AD103" s="634" t="str">
        <f>IF($A103="","",VLOOKUP($A103,기본데이타!$A$8:$BV$103,COLUMN(기본데이타!AH$8),0))</f>
        <v/>
      </c>
      <c r="AE103" s="633" t="str">
        <f>IF($A103="","",VLOOKUP($A103,기본데이타!$A$8:$BV$103,COLUMN(기본데이타!AI$8),0))</f>
        <v/>
      </c>
      <c r="AF103" s="635" t="str">
        <f>IF($A103="","",VLOOKUP($A103,기본데이타!$A$8:$BV$103,COLUMN(기본데이타!AJ$8),0))</f>
        <v/>
      </c>
      <c r="AG103" s="635" t="str">
        <f>IF($A103="","",VLOOKUP($A103,기본데이타!$A$8:$BV$103,COLUMN(기본데이타!AK$8),0))</f>
        <v/>
      </c>
      <c r="AH103" s="635" t="str">
        <f>IF($A103="","",VLOOKUP($A103,기본데이타!$A$8:$BV$103,COLUMN(기본데이타!AL$8),0))</f>
        <v/>
      </c>
      <c r="AI103" s="635" t="str">
        <f>IF($A103="","",VLOOKUP($A103,기본데이타!$A$8:$BV$103,COLUMN(기본데이타!AM$8),0))</f>
        <v/>
      </c>
      <c r="AJ103" s="636" t="str">
        <f>IF($A103="","",VLOOKUP($A103,기본데이타!$A$8:$BV$103,COLUMN(기본데이타!AN$8),0))</f>
        <v/>
      </c>
      <c r="AK103" s="636" t="str">
        <f>IF($A103="","",VLOOKUP($A103,기본데이타!$A$8:$BV$103,COLUMN(기본데이타!AO$8),0))</f>
        <v/>
      </c>
      <c r="AL103" s="636" t="str">
        <f>IF($A103="","",VLOOKUP($A103,기본데이타!$A$8:$BV$103,COLUMN(기본데이타!AP$8),0))</f>
        <v/>
      </c>
      <c r="AM103" s="636" t="str">
        <f>IF($A103="","",VLOOKUP($A103,기본데이타!$A$8:$BV$103,COLUMN(기본데이타!AQ$8),0))</f>
        <v/>
      </c>
      <c r="AN103" s="636" t="str">
        <f>IF($A103="","",VLOOKUP($A103,기본데이타!$A$8:$BV$103,COLUMN(기본데이타!AR$8),0))</f>
        <v/>
      </c>
      <c r="AO103" s="636" t="str">
        <f>IF($A103="","",VLOOKUP($A103,기본데이타!$A$8:$BV$103,COLUMN(기본데이타!AS$8),0))</f>
        <v/>
      </c>
      <c r="AP103" s="636" t="str">
        <f>IF($A103="","",VLOOKUP($A103,기본데이타!$A$8:$BV$103,COLUMN(기본데이타!AT$8),0))</f>
        <v/>
      </c>
      <c r="AQ103" s="636" t="str">
        <f>IF($A103="","",VLOOKUP($A103,기본데이타!$A$8:$BV$103,COLUMN(기본데이타!AU$8),0))</f>
        <v/>
      </c>
      <c r="AR103" s="637" t="str">
        <f>IF($A103="","",VLOOKUP($A103,기본데이타!$A$8:$BV$103,COLUMN(기본데이타!AV$8),0))</f>
        <v/>
      </c>
      <c r="AS103" s="634" t="str">
        <f>IF($A103="","",VLOOKUP($A103,기본데이타!$A$8:$BV$103,COLUMN(기본데이타!AW$8),0))</f>
        <v/>
      </c>
      <c r="AT103" s="634" t="str">
        <f>IF($A103="","",VLOOKUP($A103,기본데이타!$A$8:$BV$103,COLUMN(기본데이타!AX$8),0))</f>
        <v/>
      </c>
      <c r="AU103" s="634" t="str">
        <f>IF($A103="","",VLOOKUP($A103,기본데이타!$A$8:$BV$103,COLUMN(기본데이타!AY$8),0))</f>
        <v/>
      </c>
      <c r="AV103" s="634" t="str">
        <f t="shared" si="10"/>
        <v/>
      </c>
      <c r="AW103" s="635" t="str">
        <f>IF($A103="","",VLOOKUP($A103,기본데이타!$A$8:$BV$103,COLUMN(기본데이타!BA$8),0))</f>
        <v/>
      </c>
      <c r="AX103" s="635" t="str">
        <f>IF($A103="","",VLOOKUP($A103,기본데이타!$A$8:$BV$103,COLUMN(기본데이타!BB$8),0))</f>
        <v/>
      </c>
      <c r="AY103" s="635" t="str">
        <f>IF($A103="","",VLOOKUP($A103,기본데이타!$A$8:$BV$103,COLUMN(기본데이타!BC$8),0))</f>
        <v/>
      </c>
      <c r="AZ103" s="635" t="str">
        <f>IF($A103="","",VLOOKUP($A103,기본데이타!$A$8:$BV$103,COLUMN(기본데이타!BD$8),0))</f>
        <v/>
      </c>
      <c r="BA103" s="635" t="str">
        <f>IF($A103="","",VLOOKUP($A103,기본데이타!$A$8:$BV$103,COLUMN(기본데이타!BE$8),0))</f>
        <v/>
      </c>
      <c r="BB103" s="635" t="str">
        <f>IF($A103="","",VLOOKUP($A103,기본데이타!$A$8:$BV$103,COLUMN(기본데이타!BF$8),0))</f>
        <v/>
      </c>
      <c r="BC103" s="635" t="str">
        <f>IF($A103="","",VLOOKUP($A103,기본데이타!$A$8:$BV$103,COLUMN(기본데이타!BG$8),0))</f>
        <v/>
      </c>
      <c r="BD103" s="635" t="str">
        <f>IF($A103="","",VLOOKUP($A103,기본데이타!$A$8:$BV$103,COLUMN(기본데이타!BH$8),0))</f>
        <v/>
      </c>
      <c r="BE103" s="635" t="str">
        <f>IF($A103="","",VLOOKUP($A103,기본데이타!$A$8:$BV$103,COLUMN(기본데이타!BI$8),0))</f>
        <v/>
      </c>
      <c r="BF103" s="635" t="str">
        <f>IF($A103="","",VLOOKUP($A103,기본데이타!$A$8:$BV$103,COLUMN(기본데이타!BJ$8),0))</f>
        <v/>
      </c>
      <c r="BG103" s="635" t="str">
        <f>IF($A103="","",VLOOKUP($A103,기본데이타!$A$8:$BV$103,COLUMN(기본데이타!BK$8),0))</f>
        <v/>
      </c>
      <c r="BH103" s="635" t="str">
        <f>IF($A103="","",VLOOKUP($A103,기본데이타!$A$8:$BV$103,COLUMN(기본데이타!BL$8),0))</f>
        <v/>
      </c>
      <c r="BI103" s="635" t="str">
        <f>IF($A103="","",VLOOKUP($A103,기본데이타!$A$8:$BV$103,COLUMN(기본데이타!BM$8),0))</f>
        <v/>
      </c>
      <c r="BJ103" s="635" t="str">
        <f>IF($A103="","",VLOOKUP($A103,기본데이타!$A$8:$BV$103,COLUMN(기본데이타!BN$8),0))</f>
        <v/>
      </c>
      <c r="BK103" s="635" t="str">
        <f>IF($A103="","",VLOOKUP($A103,기본데이타!$A$8:$BV$103,COLUMN(기본데이타!BO$8),0))</f>
        <v/>
      </c>
      <c r="BL103" s="635" t="str">
        <f>IF($A103="","",VLOOKUP($A103,기본데이타!$A$8:$BV$103,COLUMN(기본데이타!BP$8),0))</f>
        <v/>
      </c>
      <c r="BM103" s="635" t="str">
        <f>IF($A103="","",VLOOKUP($A103,기본데이타!$A$8:$BV$103,COLUMN(기본데이타!BQ$8),0))</f>
        <v/>
      </c>
      <c r="BN103" s="638" t="str">
        <f>IF($A103="","",VLOOKUP($A103,기본데이타!$A$8:$BV$103,COLUMN(기본데이타!BR$8),0))</f>
        <v/>
      </c>
      <c r="BO103" s="579" t="str">
        <f>IF($A103="","",VLOOKUP($A103,기본데이타!$A$8:$BV$103,COLUMN(기본데이타!BS$8),0))</f>
        <v/>
      </c>
      <c r="BP103" s="639" t="str">
        <f>IF($A103="","",VLOOKUP($A103,기본데이타!$A$8:$BV$103,COLUMN(기본데이타!BT$8),0))</f>
        <v/>
      </c>
      <c r="BQ103" s="640" t="str">
        <f>IF($A103="","",VLOOKUP($A103,기본데이타!$A$8:$BV$103,COLUMN(기본데이타!BU$8),0))</f>
        <v/>
      </c>
      <c r="BR103" s="625" t="str">
        <f t="shared" si="11"/>
        <v/>
      </c>
    </row>
    <row r="104" spans="1:70" s="571" customFormat="1" ht="61.5" hidden="1" customHeight="1">
      <c r="A104" s="578"/>
      <c r="B104" s="1642"/>
      <c r="C104" s="590"/>
      <c r="D104" s="591" t="str">
        <f>IF($A104="","",VLOOKUP($A104,기본데이타!$A$8:$BV$103,COLUMN(기본데이타!F$8),0))</f>
        <v/>
      </c>
      <c r="E104" s="592" t="str">
        <f>IF($A104="","",VLOOKUP($A104,기본데이타!$A$8:$BV$103,COLUMN(기본데이타!G$8),0))</f>
        <v/>
      </c>
      <c r="F104" s="593" t="str">
        <f>IF($A104="","",VLOOKUP($A104,기본데이타!$A$8:$BV$103,COLUMN(기본데이타!H$8),0))</f>
        <v/>
      </c>
      <c r="G104" s="594" t="str">
        <f>IF($A104="","",VLOOKUP($A104,기본데이타!$A$8:$BV$103,COLUMN(기본데이타!I$8),0))</f>
        <v/>
      </c>
      <c r="H104" s="594" t="str">
        <f>IF($A104="","",VLOOKUP($A104,기본데이타!$A$8:$BV$103,COLUMN(기본데이타!J$8),0))</f>
        <v/>
      </c>
      <c r="I104" s="595" t="str">
        <f>IF($A104="","",VLOOKUP($A104,기본데이타!$A$8:$BV$103,COLUMN(기본데이타!K$8),0))</f>
        <v/>
      </c>
      <c r="J104" s="595" t="str">
        <f>IF($A104="","",VLOOKUP($A104,기본데이타!$A$8:$BV$103,COLUMN(기본데이타!L$8),0))</f>
        <v/>
      </c>
      <c r="K104" s="595" t="str">
        <f>IF($A104="","",VLOOKUP($A104,기본데이타!$A$8:$BV$103,COLUMN(기본데이타!M$8),0))</f>
        <v/>
      </c>
      <c r="L104" s="596" t="str">
        <f>IF($A104="","",VLOOKUP($A104,기본데이타!$A$8:$BV$103,COLUMN(기본데이타!N$8),0))</f>
        <v/>
      </c>
      <c r="M104" s="595" t="str">
        <f>IF($A104="","",VLOOKUP($A104,기본데이타!$A$8:$BV$103,COLUMN(기본데이타!O$8),0))</f>
        <v/>
      </c>
      <c r="N104" s="596" t="str">
        <f>IF($A104="","",VLOOKUP($A104,기본데이타!$A$8:$BV$103,COLUMN(기본데이타!P$8),0))</f>
        <v/>
      </c>
      <c r="O104" s="596" t="str">
        <f>IF($A104="","",VLOOKUP($A104,기본데이타!$A$8:$BV$103,COLUMN(기본데이타!Q$8),0))</f>
        <v/>
      </c>
      <c r="P104" s="596" t="str">
        <f>IF($A104="","",VLOOKUP($A104,기본데이타!$A$8:$BV$103,COLUMN(기본데이타!R$8),0))</f>
        <v/>
      </c>
      <c r="Q104" s="596" t="str">
        <f>IF($A104="","",VLOOKUP($A104,기본데이타!$A$8:$BV$103,COLUMN(기본데이타!S$8),0))</f>
        <v/>
      </c>
      <c r="R104" s="596" t="str">
        <f>IF($A104="","",VLOOKUP($A104,기본데이타!$A$8:$BV$103,COLUMN(기본데이타!T$8),0))</f>
        <v/>
      </c>
      <c r="S104" s="596" t="str">
        <f>IF($A104="","",VLOOKUP($A104,기본데이타!$A$8:$BV$103,COLUMN(기본데이타!U$8),0))</f>
        <v/>
      </c>
      <c r="T104" s="596" t="str">
        <f>IF($A104="","",VLOOKUP($A104,기본데이타!$A$8:$BV$103,COLUMN(기본데이타!V$8),0))</f>
        <v/>
      </c>
      <c r="U104" s="596" t="str">
        <f>IF($A104="","",VLOOKUP($A104,기본데이타!$A$8:$BV$103,COLUMN(기본데이타!W$8),0))</f>
        <v/>
      </c>
      <c r="V104" s="596" t="str">
        <f>IF($A104="","",VLOOKUP($A104,기본데이타!$A$8:$BV$103,COLUMN(기본데이타!X$8),0))</f>
        <v/>
      </c>
      <c r="W104" s="596" t="str">
        <f>IF($A104="","",VLOOKUP($A104,기본데이타!$A$8:$BV$103,COLUMN(기본데이타!AA$8),0))</f>
        <v/>
      </c>
      <c r="X104" s="596" t="str">
        <f>IF($A104="","",VLOOKUP($A104,기본데이타!$A$8:$BV$103,COLUMN(기본데이타!AB$8),0))</f>
        <v/>
      </c>
      <c r="Y104" s="595" t="str">
        <f>IF($A104="","",VLOOKUP($A104,기본데이타!$A$8:$BV$103,COLUMN(기본데이타!AC$8),0))</f>
        <v/>
      </c>
      <c r="Z104" s="596" t="str">
        <f>IF($A104="","",VLOOKUP($A104,기본데이타!$A$8:$BV$103,COLUMN(기본데이타!AD$8),0))</f>
        <v/>
      </c>
      <c r="AA104" s="595" t="str">
        <f>IF($A104="","",VLOOKUP($A104,기본데이타!$A$8:$BV$103,COLUMN(기본데이타!AE$8),0))</f>
        <v/>
      </c>
      <c r="AB104" s="596" t="str">
        <f>IF($A104="","",VLOOKUP($A104,기본데이타!$A$8:$BV$103,COLUMN(기본데이타!AF$8),0))</f>
        <v/>
      </c>
      <c r="AC104" s="595" t="str">
        <f>IF($A104="","",VLOOKUP($A104,기본데이타!$A$8:$BV$103,COLUMN(기본데이타!AG$8),0))</f>
        <v/>
      </c>
      <c r="AD104" s="596" t="str">
        <f>IF($A104="","",VLOOKUP($A104,기본데이타!$A$8:$BV$103,COLUMN(기본데이타!AH$8),0))</f>
        <v/>
      </c>
      <c r="AE104" s="595" t="str">
        <f>IF($A104="","",VLOOKUP($A104,기본데이타!$A$8:$BV$103,COLUMN(기본데이타!AI$8),0))</f>
        <v/>
      </c>
      <c r="AF104" s="597" t="str">
        <f>IF($A104="","",VLOOKUP($A104,기본데이타!$A$8:$BV$103,COLUMN(기본데이타!AJ$8),0))</f>
        <v/>
      </c>
      <c r="AG104" s="597" t="str">
        <f>IF($A104="","",VLOOKUP($A104,기본데이타!$A$8:$BV$103,COLUMN(기본데이타!AK$8),0))</f>
        <v/>
      </c>
      <c r="AH104" s="597" t="str">
        <f>IF($A104="","",VLOOKUP($A104,기본데이타!$A$8:$BV$103,COLUMN(기본데이타!AL$8),0))</f>
        <v/>
      </c>
      <c r="AI104" s="597" t="str">
        <f>IF($A104="","",VLOOKUP($A104,기본데이타!$A$8:$BV$103,COLUMN(기본데이타!AM$8),0))</f>
        <v/>
      </c>
      <c r="AJ104" s="642" t="str">
        <f>IF($A104="","",VLOOKUP($A104,기본데이타!$A$8:$BV$103,COLUMN(기본데이타!AN$8),0))</f>
        <v/>
      </c>
      <c r="AK104" s="642" t="str">
        <f>IF($A104="","",VLOOKUP($A104,기본데이타!$A$8:$BV$103,COLUMN(기본데이타!AO$8),0))</f>
        <v/>
      </c>
      <c r="AL104" s="642" t="str">
        <f>IF($A104="","",VLOOKUP($A104,기본데이타!$A$8:$BV$103,COLUMN(기본데이타!AP$8),0))</f>
        <v/>
      </c>
      <c r="AM104" s="642" t="str">
        <f>IF($A104="","",VLOOKUP($A104,기본데이타!$A$8:$BV$103,COLUMN(기본데이타!AQ$8),0))</f>
        <v/>
      </c>
      <c r="AN104" s="642" t="str">
        <f>IF($A104="","",VLOOKUP($A104,기본데이타!$A$8:$BV$103,COLUMN(기본데이타!AR$8),0))</f>
        <v/>
      </c>
      <c r="AO104" s="642" t="str">
        <f>IF($A104="","",VLOOKUP($A104,기본데이타!$A$8:$BV$103,COLUMN(기본데이타!AS$8),0))</f>
        <v/>
      </c>
      <c r="AP104" s="642" t="str">
        <f>IF($A104="","",VLOOKUP($A104,기본데이타!$A$8:$BV$103,COLUMN(기본데이타!AT$8),0))</f>
        <v/>
      </c>
      <c r="AQ104" s="642" t="str">
        <f>IF($A104="","",VLOOKUP($A104,기본데이타!$A$8:$BV$103,COLUMN(기본데이타!AU$8),0))</f>
        <v/>
      </c>
      <c r="AR104" s="643" t="str">
        <f>IF($A104="","",VLOOKUP($A104,기본데이타!$A$8:$BV$103,COLUMN(기본데이타!AV$8),0))</f>
        <v/>
      </c>
      <c r="AS104" s="596" t="str">
        <f>IF($A104="","",VLOOKUP($A104,기본데이타!$A$8:$BV$103,COLUMN(기본데이타!AW$8),0))</f>
        <v/>
      </c>
      <c r="AT104" s="596" t="str">
        <f>IF($A104="","",VLOOKUP($A104,기본데이타!$A$8:$BV$103,COLUMN(기본데이타!AX$8),0))</f>
        <v/>
      </c>
      <c r="AU104" s="596" t="str">
        <f>IF($A104="","",VLOOKUP($A104,기본데이타!$A$8:$BV$103,COLUMN(기본데이타!AY$8),0))</f>
        <v/>
      </c>
      <c r="AV104" s="596" t="str">
        <f t="shared" si="10"/>
        <v/>
      </c>
      <c r="AW104" s="597" t="str">
        <f>IF($A104="","",VLOOKUP($A104,기본데이타!$A$8:$BV$103,COLUMN(기본데이타!BA$8),0))</f>
        <v/>
      </c>
      <c r="AX104" s="597" t="str">
        <f>IF($A104="","",VLOOKUP($A104,기본데이타!$A$8:$BV$103,COLUMN(기본데이타!BB$8),0))</f>
        <v/>
      </c>
      <c r="AY104" s="597" t="str">
        <f>IF($A104="","",VLOOKUP($A104,기본데이타!$A$8:$BV$103,COLUMN(기본데이타!BC$8),0))</f>
        <v/>
      </c>
      <c r="AZ104" s="597" t="str">
        <f>IF($A104="","",VLOOKUP($A104,기본데이타!$A$8:$BV$103,COLUMN(기본데이타!BD$8),0))</f>
        <v/>
      </c>
      <c r="BA104" s="597" t="str">
        <f>IF($A104="","",VLOOKUP($A104,기본데이타!$A$8:$BV$103,COLUMN(기본데이타!BE$8),0))</f>
        <v/>
      </c>
      <c r="BB104" s="597" t="str">
        <f>IF($A104="","",VLOOKUP($A104,기본데이타!$A$8:$BV$103,COLUMN(기본데이타!BF$8),0))</f>
        <v/>
      </c>
      <c r="BC104" s="597" t="str">
        <f>IF($A104="","",VLOOKUP($A104,기본데이타!$A$8:$BV$103,COLUMN(기본데이타!BG$8),0))</f>
        <v/>
      </c>
      <c r="BD104" s="597" t="str">
        <f>IF($A104="","",VLOOKUP($A104,기본데이타!$A$8:$BV$103,COLUMN(기본데이타!BH$8),0))</f>
        <v/>
      </c>
      <c r="BE104" s="597" t="str">
        <f>IF($A104="","",VLOOKUP($A104,기본데이타!$A$8:$BV$103,COLUMN(기본데이타!BI$8),0))</f>
        <v/>
      </c>
      <c r="BF104" s="597" t="str">
        <f>IF($A104="","",VLOOKUP($A104,기본데이타!$A$8:$BV$103,COLUMN(기본데이타!BJ$8),0))</f>
        <v/>
      </c>
      <c r="BG104" s="597" t="str">
        <f>IF($A104="","",VLOOKUP($A104,기본데이타!$A$8:$BV$103,COLUMN(기본데이타!BK$8),0))</f>
        <v/>
      </c>
      <c r="BH104" s="597" t="str">
        <f>IF($A104="","",VLOOKUP($A104,기본데이타!$A$8:$BV$103,COLUMN(기본데이타!BL$8),0))</f>
        <v/>
      </c>
      <c r="BI104" s="597" t="str">
        <f>IF($A104="","",VLOOKUP($A104,기본데이타!$A$8:$BV$103,COLUMN(기본데이타!BM$8),0))</f>
        <v/>
      </c>
      <c r="BJ104" s="597" t="str">
        <f>IF($A104="","",VLOOKUP($A104,기본데이타!$A$8:$BV$103,COLUMN(기본데이타!BN$8),0))</f>
        <v/>
      </c>
      <c r="BK104" s="597" t="str">
        <f>IF($A104="","",VLOOKUP($A104,기본데이타!$A$8:$BV$103,COLUMN(기본데이타!BO$8),0))</f>
        <v/>
      </c>
      <c r="BL104" s="597" t="str">
        <f>IF($A104="","",VLOOKUP($A104,기본데이타!$A$8:$BV$103,COLUMN(기본데이타!BP$8),0))</f>
        <v/>
      </c>
      <c r="BM104" s="597" t="str">
        <f>IF($A104="","",VLOOKUP($A104,기본데이타!$A$8:$BV$103,COLUMN(기본데이타!BQ$8),0))</f>
        <v/>
      </c>
      <c r="BN104" s="599" t="str">
        <f>IF($A104="","",VLOOKUP($A104,기본데이타!$A$8:$BV$103,COLUMN(기본데이타!BR$8),0))</f>
        <v/>
      </c>
      <c r="BO104" s="600" t="str">
        <f>IF($A104="","",VLOOKUP($A104,기본데이타!$A$8:$BV$103,COLUMN(기본데이타!BS$8),0))</f>
        <v/>
      </c>
      <c r="BP104" s="623" t="str">
        <f>IF($A104="","",VLOOKUP($A104,기본데이타!$A$8:$BV$103,COLUMN(기본데이타!BT$8),0))</f>
        <v/>
      </c>
      <c r="BQ104" s="602" t="str">
        <f>IF($A104="","",VLOOKUP($A104,기본데이타!$A$8:$BV$103,COLUMN(기본데이타!BU$8),0))</f>
        <v/>
      </c>
      <c r="BR104" s="603" t="str">
        <f t="shared" si="11"/>
        <v/>
      </c>
    </row>
    <row r="105" spans="1:70" s="571" customFormat="1" ht="61.5" hidden="1" customHeight="1">
      <c r="A105" s="578"/>
      <c r="B105" s="1642"/>
      <c r="C105" s="590"/>
      <c r="D105" s="629" t="str">
        <f>IF($A105="","",VLOOKUP($A105,기본데이타!$A$8:$BV$103,COLUMN(기본데이타!F$8),0))</f>
        <v/>
      </c>
      <c r="E105" s="630" t="str">
        <f>IF($A105="","",VLOOKUP($A105,기본데이타!$A$8:$BV$103,COLUMN(기본데이타!G$8),0))</f>
        <v/>
      </c>
      <c r="F105" s="631" t="str">
        <f>IF($A105="","",VLOOKUP($A105,기본데이타!$A$8:$BV$103,COLUMN(기본데이타!H$8),0))</f>
        <v/>
      </c>
      <c r="G105" s="632" t="str">
        <f>IF($A105="","",VLOOKUP($A105,기본데이타!$A$8:$BV$103,COLUMN(기본데이타!I$8),0))</f>
        <v/>
      </c>
      <c r="H105" s="632" t="str">
        <f>IF($A105="","",VLOOKUP($A105,기본데이타!$A$8:$BV$103,COLUMN(기본데이타!J$8),0))</f>
        <v/>
      </c>
      <c r="I105" s="633" t="str">
        <f>IF($A105="","",VLOOKUP($A105,기본데이타!$A$8:$BV$103,COLUMN(기본데이타!K$8),0))</f>
        <v/>
      </c>
      <c r="J105" s="633" t="str">
        <f>IF($A105="","",VLOOKUP($A105,기본데이타!$A$8:$BV$103,COLUMN(기본데이타!L$8),0))</f>
        <v/>
      </c>
      <c r="K105" s="633" t="str">
        <f>IF($A105="","",VLOOKUP($A105,기본데이타!$A$8:$BV$103,COLUMN(기본데이타!M$8),0))</f>
        <v/>
      </c>
      <c r="L105" s="634" t="str">
        <f>IF($A105="","",VLOOKUP($A105,기본데이타!$A$8:$BV$103,COLUMN(기본데이타!N$8),0))</f>
        <v/>
      </c>
      <c r="M105" s="633" t="str">
        <f>IF($A105="","",VLOOKUP($A105,기본데이타!$A$8:$BV$103,COLUMN(기본데이타!O$8),0))</f>
        <v/>
      </c>
      <c r="N105" s="634" t="str">
        <f>IF($A105="","",VLOOKUP($A105,기본데이타!$A$8:$BV$103,COLUMN(기본데이타!P$8),0))</f>
        <v/>
      </c>
      <c r="O105" s="634" t="str">
        <f>IF($A105="","",VLOOKUP($A105,기본데이타!$A$8:$BV$103,COLUMN(기본데이타!Q$8),0))</f>
        <v/>
      </c>
      <c r="P105" s="634" t="str">
        <f>IF($A105="","",VLOOKUP($A105,기본데이타!$A$8:$BV$103,COLUMN(기본데이타!R$8),0))</f>
        <v/>
      </c>
      <c r="Q105" s="634" t="str">
        <f>IF($A105="","",VLOOKUP($A105,기본데이타!$A$8:$BV$103,COLUMN(기본데이타!S$8),0))</f>
        <v/>
      </c>
      <c r="R105" s="634" t="str">
        <f>IF($A105="","",VLOOKUP($A105,기본데이타!$A$8:$BV$103,COLUMN(기본데이타!T$8),0))</f>
        <v/>
      </c>
      <c r="S105" s="634" t="str">
        <f>IF($A105="","",VLOOKUP($A105,기본데이타!$A$8:$BV$103,COLUMN(기본데이타!U$8),0))</f>
        <v/>
      </c>
      <c r="T105" s="634" t="str">
        <f>IF($A105="","",VLOOKUP($A105,기본데이타!$A$8:$BV$103,COLUMN(기본데이타!V$8),0))</f>
        <v/>
      </c>
      <c r="U105" s="634" t="str">
        <f>IF($A105="","",VLOOKUP($A105,기본데이타!$A$8:$BV$103,COLUMN(기본데이타!W$8),0))</f>
        <v/>
      </c>
      <c r="V105" s="634" t="str">
        <f>IF($A105="","",VLOOKUP($A105,기본데이타!$A$8:$BV$103,COLUMN(기본데이타!X$8),0))</f>
        <v/>
      </c>
      <c r="W105" s="634" t="str">
        <f>IF($A105="","",VLOOKUP($A105,기본데이타!$A$8:$BV$103,COLUMN(기본데이타!AA$8),0))</f>
        <v/>
      </c>
      <c r="X105" s="634" t="str">
        <f>IF($A105="","",VLOOKUP($A105,기본데이타!$A$8:$BV$103,COLUMN(기본데이타!AB$8),0))</f>
        <v/>
      </c>
      <c r="Y105" s="633" t="str">
        <f>IF($A105="","",VLOOKUP($A105,기본데이타!$A$8:$BV$103,COLUMN(기본데이타!AC$8),0))</f>
        <v/>
      </c>
      <c r="Z105" s="634" t="str">
        <f>IF($A105="","",VLOOKUP($A105,기본데이타!$A$8:$BV$103,COLUMN(기본데이타!AD$8),0))</f>
        <v/>
      </c>
      <c r="AA105" s="633" t="str">
        <f>IF($A105="","",VLOOKUP($A105,기본데이타!$A$8:$BV$103,COLUMN(기본데이타!AE$8),0))</f>
        <v/>
      </c>
      <c r="AB105" s="634" t="str">
        <f>IF($A105="","",VLOOKUP($A105,기본데이타!$A$8:$BV$103,COLUMN(기본데이타!AF$8),0))</f>
        <v/>
      </c>
      <c r="AC105" s="633" t="str">
        <f>IF($A105="","",VLOOKUP($A105,기본데이타!$A$8:$BV$103,COLUMN(기본데이타!AG$8),0))</f>
        <v/>
      </c>
      <c r="AD105" s="634" t="str">
        <f>IF($A105="","",VLOOKUP($A105,기본데이타!$A$8:$BV$103,COLUMN(기본데이타!AH$8),0))</f>
        <v/>
      </c>
      <c r="AE105" s="633" t="str">
        <f>IF($A105="","",VLOOKUP($A105,기본데이타!$A$8:$BV$103,COLUMN(기본데이타!AI$8),0))</f>
        <v/>
      </c>
      <c r="AF105" s="635" t="str">
        <f>IF($A105="","",VLOOKUP($A105,기본데이타!$A$8:$BV$103,COLUMN(기본데이타!AJ$8),0))</f>
        <v/>
      </c>
      <c r="AG105" s="635" t="str">
        <f>IF($A105="","",VLOOKUP($A105,기본데이타!$A$8:$BV$103,COLUMN(기본데이타!AK$8),0))</f>
        <v/>
      </c>
      <c r="AH105" s="635" t="str">
        <f>IF($A105="","",VLOOKUP($A105,기본데이타!$A$8:$BV$103,COLUMN(기본데이타!AL$8),0))</f>
        <v/>
      </c>
      <c r="AI105" s="635" t="str">
        <f>IF($A105="","",VLOOKUP($A105,기본데이타!$A$8:$BV$103,COLUMN(기본데이타!AM$8),0))</f>
        <v/>
      </c>
      <c r="AJ105" s="636" t="str">
        <f>IF($A105="","",VLOOKUP($A105,기본데이타!$A$8:$BV$103,COLUMN(기본데이타!AN$8),0))</f>
        <v/>
      </c>
      <c r="AK105" s="636" t="str">
        <f>IF($A105="","",VLOOKUP($A105,기본데이타!$A$8:$BV$103,COLUMN(기본데이타!AO$8),0))</f>
        <v/>
      </c>
      <c r="AL105" s="636" t="str">
        <f>IF($A105="","",VLOOKUP($A105,기본데이타!$A$8:$BV$103,COLUMN(기본데이타!AP$8),0))</f>
        <v/>
      </c>
      <c r="AM105" s="636" t="str">
        <f>IF($A105="","",VLOOKUP($A105,기본데이타!$A$8:$BV$103,COLUMN(기본데이타!AQ$8),0))</f>
        <v/>
      </c>
      <c r="AN105" s="636" t="str">
        <f>IF($A105="","",VLOOKUP($A105,기본데이타!$A$8:$BV$103,COLUMN(기본데이타!AR$8),0))</f>
        <v/>
      </c>
      <c r="AO105" s="636" t="str">
        <f>IF($A105="","",VLOOKUP($A105,기본데이타!$A$8:$BV$103,COLUMN(기본데이타!AS$8),0))</f>
        <v/>
      </c>
      <c r="AP105" s="636" t="str">
        <f>IF($A105="","",VLOOKUP($A105,기본데이타!$A$8:$BV$103,COLUMN(기본데이타!AT$8),0))</f>
        <v/>
      </c>
      <c r="AQ105" s="636" t="str">
        <f>IF($A105="","",VLOOKUP($A105,기본데이타!$A$8:$BV$103,COLUMN(기본데이타!AU$8),0))</f>
        <v/>
      </c>
      <c r="AR105" s="637" t="str">
        <f>IF($A105="","",VLOOKUP($A105,기본데이타!$A$8:$BV$103,COLUMN(기본데이타!AV$8),0))</f>
        <v/>
      </c>
      <c r="AS105" s="634" t="str">
        <f>IF($A105="","",VLOOKUP($A105,기본데이타!$A$8:$BV$103,COLUMN(기본데이타!AW$8),0))</f>
        <v/>
      </c>
      <c r="AT105" s="634" t="str">
        <f>IF($A105="","",VLOOKUP($A105,기본데이타!$A$8:$BV$103,COLUMN(기본데이타!AX$8),0))</f>
        <v/>
      </c>
      <c r="AU105" s="634" t="str">
        <f>IF($A105="","",VLOOKUP($A105,기본데이타!$A$8:$BV$103,COLUMN(기본데이타!AY$8),0))</f>
        <v/>
      </c>
      <c r="AV105" s="634" t="str">
        <f t="shared" si="10"/>
        <v/>
      </c>
      <c r="AW105" s="635" t="str">
        <f>IF($A105="","",VLOOKUP($A105,기본데이타!$A$8:$BV$103,COLUMN(기본데이타!BA$8),0))</f>
        <v/>
      </c>
      <c r="AX105" s="635" t="str">
        <f>IF($A105="","",VLOOKUP($A105,기본데이타!$A$8:$BV$103,COLUMN(기본데이타!BB$8),0))</f>
        <v/>
      </c>
      <c r="AY105" s="635" t="str">
        <f>IF($A105="","",VLOOKUP($A105,기본데이타!$A$8:$BV$103,COLUMN(기본데이타!BC$8),0))</f>
        <v/>
      </c>
      <c r="AZ105" s="635" t="str">
        <f>IF($A105="","",VLOOKUP($A105,기본데이타!$A$8:$BV$103,COLUMN(기본데이타!BD$8),0))</f>
        <v/>
      </c>
      <c r="BA105" s="635" t="str">
        <f>IF($A105="","",VLOOKUP($A105,기본데이타!$A$8:$BV$103,COLUMN(기본데이타!BE$8),0))</f>
        <v/>
      </c>
      <c r="BB105" s="635" t="str">
        <f>IF($A105="","",VLOOKUP($A105,기본데이타!$A$8:$BV$103,COLUMN(기본데이타!BF$8),0))</f>
        <v/>
      </c>
      <c r="BC105" s="635" t="str">
        <f>IF($A105="","",VLOOKUP($A105,기본데이타!$A$8:$BV$103,COLUMN(기본데이타!BG$8),0))</f>
        <v/>
      </c>
      <c r="BD105" s="635" t="str">
        <f>IF($A105="","",VLOOKUP($A105,기본데이타!$A$8:$BV$103,COLUMN(기본데이타!BH$8),0))</f>
        <v/>
      </c>
      <c r="BE105" s="635" t="str">
        <f>IF($A105="","",VLOOKUP($A105,기본데이타!$A$8:$BV$103,COLUMN(기본데이타!BI$8),0))</f>
        <v/>
      </c>
      <c r="BF105" s="635" t="str">
        <f>IF($A105="","",VLOOKUP($A105,기본데이타!$A$8:$BV$103,COLUMN(기본데이타!BJ$8),0))</f>
        <v/>
      </c>
      <c r="BG105" s="635" t="str">
        <f>IF($A105="","",VLOOKUP($A105,기본데이타!$A$8:$BV$103,COLUMN(기본데이타!BK$8),0))</f>
        <v/>
      </c>
      <c r="BH105" s="635" t="str">
        <f>IF($A105="","",VLOOKUP($A105,기본데이타!$A$8:$BV$103,COLUMN(기본데이타!BL$8),0))</f>
        <v/>
      </c>
      <c r="BI105" s="635" t="str">
        <f>IF($A105="","",VLOOKUP($A105,기본데이타!$A$8:$BV$103,COLUMN(기본데이타!BM$8),0))</f>
        <v/>
      </c>
      <c r="BJ105" s="635" t="str">
        <f>IF($A105="","",VLOOKUP($A105,기본데이타!$A$8:$BV$103,COLUMN(기본데이타!BN$8),0))</f>
        <v/>
      </c>
      <c r="BK105" s="635" t="str">
        <f>IF($A105="","",VLOOKUP($A105,기본데이타!$A$8:$BV$103,COLUMN(기본데이타!BO$8),0))</f>
        <v/>
      </c>
      <c r="BL105" s="635" t="str">
        <f>IF($A105="","",VLOOKUP($A105,기본데이타!$A$8:$BV$103,COLUMN(기본데이타!BP$8),0))</f>
        <v/>
      </c>
      <c r="BM105" s="635" t="str">
        <f>IF($A105="","",VLOOKUP($A105,기본데이타!$A$8:$BV$103,COLUMN(기본데이타!BQ$8),0))</f>
        <v/>
      </c>
      <c r="BN105" s="638" t="str">
        <f>IF($A105="","",VLOOKUP($A105,기본데이타!$A$8:$BV$103,COLUMN(기본데이타!BR$8),0))</f>
        <v/>
      </c>
      <c r="BO105" s="579" t="str">
        <f>IF($A105="","",VLOOKUP($A105,기본데이타!$A$8:$BV$103,COLUMN(기본데이타!BS$8),0))</f>
        <v/>
      </c>
      <c r="BP105" s="639" t="str">
        <f>IF($A105="","",VLOOKUP($A105,기본데이타!$A$8:$BV$103,COLUMN(기본데이타!BT$8),0))</f>
        <v/>
      </c>
      <c r="BQ105" s="640" t="str">
        <f>IF($A105="","",VLOOKUP($A105,기본데이타!$A$8:$BV$103,COLUMN(기본데이타!BU$8),0))</f>
        <v/>
      </c>
      <c r="BR105" s="625" t="str">
        <f t="shared" si="11"/>
        <v/>
      </c>
    </row>
    <row r="106" spans="1:70" s="571" customFormat="1" ht="61.5" hidden="1" customHeight="1">
      <c r="A106" s="578"/>
      <c r="B106" s="1642"/>
      <c r="C106" s="590"/>
      <c r="D106" s="629" t="str">
        <f>IF($A106="","",VLOOKUP($A106,기본데이타!$A$8:$BV$103,COLUMN(기본데이타!F$8),0))</f>
        <v/>
      </c>
      <c r="E106" s="630" t="str">
        <f>IF($A106="","",VLOOKUP($A106,기본데이타!$A$8:$BV$103,COLUMN(기본데이타!G$8),0))</f>
        <v/>
      </c>
      <c r="F106" s="631" t="str">
        <f>IF($A106="","",VLOOKUP($A106,기본데이타!$A$8:$BV$103,COLUMN(기본데이타!H$8),0))</f>
        <v/>
      </c>
      <c r="G106" s="632" t="str">
        <f>IF($A106="","",VLOOKUP($A106,기본데이타!$A$8:$BV$103,COLUMN(기본데이타!I$8),0))</f>
        <v/>
      </c>
      <c r="H106" s="632" t="str">
        <f>IF($A106="","",VLOOKUP($A106,기본데이타!$A$8:$BV$103,COLUMN(기본데이타!J$8),0))</f>
        <v/>
      </c>
      <c r="I106" s="633" t="str">
        <f>IF($A106="","",VLOOKUP($A106,기본데이타!$A$8:$BV$103,COLUMN(기본데이타!K$8),0))</f>
        <v/>
      </c>
      <c r="J106" s="633" t="str">
        <f>IF($A106="","",VLOOKUP($A106,기본데이타!$A$8:$BV$103,COLUMN(기본데이타!L$8),0))</f>
        <v/>
      </c>
      <c r="K106" s="633" t="str">
        <f>IF($A106="","",VLOOKUP($A106,기본데이타!$A$8:$BV$103,COLUMN(기본데이타!M$8),0))</f>
        <v/>
      </c>
      <c r="L106" s="634" t="str">
        <f>IF($A106="","",VLOOKUP($A106,기본데이타!$A$8:$BV$103,COLUMN(기본데이타!N$8),0))</f>
        <v/>
      </c>
      <c r="M106" s="633" t="str">
        <f>IF($A106="","",VLOOKUP($A106,기본데이타!$A$8:$BV$103,COLUMN(기본데이타!O$8),0))</f>
        <v/>
      </c>
      <c r="N106" s="634" t="str">
        <f>IF($A106="","",VLOOKUP($A106,기본데이타!$A$8:$BV$103,COLUMN(기본데이타!P$8),0))</f>
        <v/>
      </c>
      <c r="O106" s="634" t="str">
        <f>IF($A106="","",VLOOKUP($A106,기본데이타!$A$8:$BV$103,COLUMN(기본데이타!Q$8),0))</f>
        <v/>
      </c>
      <c r="P106" s="634" t="str">
        <f>IF($A106="","",VLOOKUP($A106,기본데이타!$A$8:$BV$103,COLUMN(기본데이타!R$8),0))</f>
        <v/>
      </c>
      <c r="Q106" s="634" t="str">
        <f>IF($A106="","",VLOOKUP($A106,기본데이타!$A$8:$BV$103,COLUMN(기본데이타!S$8),0))</f>
        <v/>
      </c>
      <c r="R106" s="634" t="str">
        <f>IF($A106="","",VLOOKUP($A106,기본데이타!$A$8:$BV$103,COLUMN(기본데이타!T$8),0))</f>
        <v/>
      </c>
      <c r="S106" s="634" t="str">
        <f>IF($A106="","",VLOOKUP($A106,기본데이타!$A$8:$BV$103,COLUMN(기본데이타!U$8),0))</f>
        <v/>
      </c>
      <c r="T106" s="634" t="str">
        <f>IF($A106="","",VLOOKUP($A106,기본데이타!$A$8:$BV$103,COLUMN(기본데이타!V$8),0))</f>
        <v/>
      </c>
      <c r="U106" s="634" t="str">
        <f>IF($A106="","",VLOOKUP($A106,기본데이타!$A$8:$BV$103,COLUMN(기본데이타!W$8),0))</f>
        <v/>
      </c>
      <c r="V106" s="634" t="str">
        <f>IF($A106="","",VLOOKUP($A106,기본데이타!$A$8:$BV$103,COLUMN(기본데이타!X$8),0))</f>
        <v/>
      </c>
      <c r="W106" s="634" t="str">
        <f>IF($A106="","",VLOOKUP($A106,기본데이타!$A$8:$BV$103,COLUMN(기본데이타!AA$8),0))</f>
        <v/>
      </c>
      <c r="X106" s="634" t="str">
        <f>IF($A106="","",VLOOKUP($A106,기본데이타!$A$8:$BV$103,COLUMN(기본데이타!AB$8),0))</f>
        <v/>
      </c>
      <c r="Y106" s="633" t="str">
        <f>IF($A106="","",VLOOKUP($A106,기본데이타!$A$8:$BV$103,COLUMN(기본데이타!AC$8),0))</f>
        <v/>
      </c>
      <c r="Z106" s="634" t="str">
        <f>IF($A106="","",VLOOKUP($A106,기본데이타!$A$8:$BV$103,COLUMN(기본데이타!AD$8),0))</f>
        <v/>
      </c>
      <c r="AA106" s="633" t="str">
        <f>IF($A106="","",VLOOKUP($A106,기본데이타!$A$8:$BV$103,COLUMN(기본데이타!AE$8),0))</f>
        <v/>
      </c>
      <c r="AB106" s="634" t="str">
        <f>IF($A106="","",VLOOKUP($A106,기본데이타!$A$8:$BV$103,COLUMN(기본데이타!AF$8),0))</f>
        <v/>
      </c>
      <c r="AC106" s="633" t="str">
        <f>IF($A106="","",VLOOKUP($A106,기본데이타!$A$8:$BV$103,COLUMN(기본데이타!AG$8),0))</f>
        <v/>
      </c>
      <c r="AD106" s="634" t="str">
        <f>IF($A106="","",VLOOKUP($A106,기본데이타!$A$8:$BV$103,COLUMN(기본데이타!AH$8),0))</f>
        <v/>
      </c>
      <c r="AE106" s="633" t="str">
        <f>IF($A106="","",VLOOKUP($A106,기본데이타!$A$8:$BV$103,COLUMN(기본데이타!AI$8),0))</f>
        <v/>
      </c>
      <c r="AF106" s="635" t="str">
        <f>IF($A106="","",VLOOKUP($A106,기본데이타!$A$8:$BV$103,COLUMN(기본데이타!AJ$8),0))</f>
        <v/>
      </c>
      <c r="AG106" s="635" t="str">
        <f>IF($A106="","",VLOOKUP($A106,기본데이타!$A$8:$BV$103,COLUMN(기본데이타!AK$8),0))</f>
        <v/>
      </c>
      <c r="AH106" s="635" t="str">
        <f>IF($A106="","",VLOOKUP($A106,기본데이타!$A$8:$BV$103,COLUMN(기본데이타!AL$8),0))</f>
        <v/>
      </c>
      <c r="AI106" s="635" t="str">
        <f>IF($A106="","",VLOOKUP($A106,기본데이타!$A$8:$BV$103,COLUMN(기본데이타!AM$8),0))</f>
        <v/>
      </c>
      <c r="AJ106" s="636" t="str">
        <f>IF($A106="","",VLOOKUP($A106,기본데이타!$A$8:$BV$103,COLUMN(기본데이타!AN$8),0))</f>
        <v/>
      </c>
      <c r="AK106" s="636" t="str">
        <f>IF($A106="","",VLOOKUP($A106,기본데이타!$A$8:$BV$103,COLUMN(기본데이타!AO$8),0))</f>
        <v/>
      </c>
      <c r="AL106" s="636" t="str">
        <f>IF($A106="","",VLOOKUP($A106,기본데이타!$A$8:$BV$103,COLUMN(기본데이타!AP$8),0))</f>
        <v/>
      </c>
      <c r="AM106" s="636" t="str">
        <f>IF($A106="","",VLOOKUP($A106,기본데이타!$A$8:$BV$103,COLUMN(기본데이타!AQ$8),0))</f>
        <v/>
      </c>
      <c r="AN106" s="636" t="str">
        <f>IF($A106="","",VLOOKUP($A106,기본데이타!$A$8:$BV$103,COLUMN(기본데이타!AR$8),0))</f>
        <v/>
      </c>
      <c r="AO106" s="636" t="str">
        <f>IF($A106="","",VLOOKUP($A106,기본데이타!$A$8:$BV$103,COLUMN(기본데이타!AS$8),0))</f>
        <v/>
      </c>
      <c r="AP106" s="636" t="str">
        <f>IF($A106="","",VLOOKUP($A106,기본데이타!$A$8:$BV$103,COLUMN(기본데이타!AT$8),0))</f>
        <v/>
      </c>
      <c r="AQ106" s="636" t="str">
        <f>IF($A106="","",VLOOKUP($A106,기본데이타!$A$8:$BV$103,COLUMN(기본데이타!AU$8),0))</f>
        <v/>
      </c>
      <c r="AR106" s="637" t="str">
        <f>IF($A106="","",VLOOKUP($A106,기본데이타!$A$8:$BV$103,COLUMN(기본데이타!AV$8),0))</f>
        <v/>
      </c>
      <c r="AS106" s="634" t="str">
        <f>IF($A106="","",VLOOKUP($A106,기본데이타!$A$8:$BV$103,COLUMN(기본데이타!AW$8),0))</f>
        <v/>
      </c>
      <c r="AT106" s="634" t="str">
        <f>IF($A106="","",VLOOKUP($A106,기본데이타!$A$8:$BV$103,COLUMN(기본데이타!AX$8),0))</f>
        <v/>
      </c>
      <c r="AU106" s="634" t="str">
        <f>IF($A106="","",VLOOKUP($A106,기본데이타!$A$8:$BV$103,COLUMN(기본데이타!AY$8),0))</f>
        <v/>
      </c>
      <c r="AV106" s="634" t="str">
        <f t="shared" si="10"/>
        <v/>
      </c>
      <c r="AW106" s="635" t="str">
        <f>IF($A106="","",VLOOKUP($A106,기본데이타!$A$8:$BV$103,COLUMN(기본데이타!BA$8),0))</f>
        <v/>
      </c>
      <c r="AX106" s="635" t="str">
        <f>IF($A106="","",VLOOKUP($A106,기본데이타!$A$8:$BV$103,COLUMN(기본데이타!BB$8),0))</f>
        <v/>
      </c>
      <c r="AY106" s="635" t="str">
        <f>IF($A106="","",VLOOKUP($A106,기본데이타!$A$8:$BV$103,COLUMN(기본데이타!BC$8),0))</f>
        <v/>
      </c>
      <c r="AZ106" s="635" t="str">
        <f>IF($A106="","",VLOOKUP($A106,기본데이타!$A$8:$BV$103,COLUMN(기본데이타!BD$8),0))</f>
        <v/>
      </c>
      <c r="BA106" s="635" t="str">
        <f>IF($A106="","",VLOOKUP($A106,기본데이타!$A$8:$BV$103,COLUMN(기본데이타!BE$8),0))</f>
        <v/>
      </c>
      <c r="BB106" s="635" t="str">
        <f>IF($A106="","",VLOOKUP($A106,기본데이타!$A$8:$BV$103,COLUMN(기본데이타!BF$8),0))</f>
        <v/>
      </c>
      <c r="BC106" s="635" t="str">
        <f>IF($A106="","",VLOOKUP($A106,기본데이타!$A$8:$BV$103,COLUMN(기본데이타!BG$8),0))</f>
        <v/>
      </c>
      <c r="BD106" s="635" t="str">
        <f>IF($A106="","",VLOOKUP($A106,기본데이타!$A$8:$BV$103,COLUMN(기본데이타!BH$8),0))</f>
        <v/>
      </c>
      <c r="BE106" s="635" t="str">
        <f>IF($A106="","",VLOOKUP($A106,기본데이타!$A$8:$BV$103,COLUMN(기본데이타!BI$8),0))</f>
        <v/>
      </c>
      <c r="BF106" s="635" t="str">
        <f>IF($A106="","",VLOOKUP($A106,기본데이타!$A$8:$BV$103,COLUMN(기본데이타!BJ$8),0))</f>
        <v/>
      </c>
      <c r="BG106" s="635" t="str">
        <f>IF($A106="","",VLOOKUP($A106,기본데이타!$A$8:$BV$103,COLUMN(기본데이타!BK$8),0))</f>
        <v/>
      </c>
      <c r="BH106" s="635" t="str">
        <f>IF($A106="","",VLOOKUP($A106,기본데이타!$A$8:$BV$103,COLUMN(기본데이타!BL$8),0))</f>
        <v/>
      </c>
      <c r="BI106" s="635" t="str">
        <f>IF($A106="","",VLOOKUP($A106,기본데이타!$A$8:$BV$103,COLUMN(기본데이타!BM$8),0))</f>
        <v/>
      </c>
      <c r="BJ106" s="635" t="str">
        <f>IF($A106="","",VLOOKUP($A106,기본데이타!$A$8:$BV$103,COLUMN(기본데이타!BN$8),0))</f>
        <v/>
      </c>
      <c r="BK106" s="635" t="str">
        <f>IF($A106="","",VLOOKUP($A106,기본데이타!$A$8:$BV$103,COLUMN(기본데이타!BO$8),0))</f>
        <v/>
      </c>
      <c r="BL106" s="635" t="str">
        <f>IF($A106="","",VLOOKUP($A106,기본데이타!$A$8:$BV$103,COLUMN(기본데이타!BP$8),0))</f>
        <v/>
      </c>
      <c r="BM106" s="635" t="str">
        <f>IF($A106="","",VLOOKUP($A106,기본데이타!$A$8:$BV$103,COLUMN(기본데이타!BQ$8),0))</f>
        <v/>
      </c>
      <c r="BN106" s="638" t="str">
        <f>IF($A106="","",VLOOKUP($A106,기본데이타!$A$8:$BV$103,COLUMN(기본데이타!BR$8),0))</f>
        <v/>
      </c>
      <c r="BO106" s="579" t="str">
        <f>IF($A106="","",VLOOKUP($A106,기본데이타!$A$8:$BV$103,COLUMN(기본데이타!BS$8),0))</f>
        <v/>
      </c>
      <c r="BP106" s="639" t="str">
        <f>IF($A106="","",VLOOKUP($A106,기본데이타!$A$8:$BV$103,COLUMN(기본데이타!BT$8),0))</f>
        <v/>
      </c>
      <c r="BQ106" s="640" t="str">
        <f>IF($A106="","",VLOOKUP($A106,기본데이타!$A$8:$BV$103,COLUMN(기본데이타!BU$8),0))</f>
        <v/>
      </c>
      <c r="BR106" s="625" t="str">
        <f t="shared" si="11"/>
        <v/>
      </c>
    </row>
    <row r="107" spans="1:70" s="571" customFormat="1" ht="61.5" hidden="1" customHeight="1">
      <c r="A107" s="578"/>
      <c r="B107" s="1642"/>
      <c r="C107" s="590"/>
      <c r="D107" s="629" t="str">
        <f>IF($A107="","",VLOOKUP($A107,기본데이타!$A$8:$BV$103,COLUMN(기본데이타!F$8),0))</f>
        <v/>
      </c>
      <c r="E107" s="630" t="str">
        <f>IF($A107="","",VLOOKUP($A107,기본데이타!$A$8:$BV$103,COLUMN(기본데이타!G$8),0))</f>
        <v/>
      </c>
      <c r="F107" s="631" t="str">
        <f>IF($A107="","",VLOOKUP($A107,기본데이타!$A$8:$BV$103,COLUMN(기본데이타!H$8),0))</f>
        <v/>
      </c>
      <c r="G107" s="632" t="str">
        <f>IF($A107="","",VLOOKUP($A107,기본데이타!$A$8:$BV$103,COLUMN(기본데이타!I$8),0))</f>
        <v/>
      </c>
      <c r="H107" s="632" t="str">
        <f>IF($A107="","",VLOOKUP($A107,기본데이타!$A$8:$BV$103,COLUMN(기본데이타!J$8),0))</f>
        <v/>
      </c>
      <c r="I107" s="633" t="str">
        <f>IF($A107="","",VLOOKUP($A107,기본데이타!$A$8:$BV$103,COLUMN(기본데이타!K$8),0))</f>
        <v/>
      </c>
      <c r="J107" s="633" t="str">
        <f>IF($A107="","",VLOOKUP($A107,기본데이타!$A$8:$BV$103,COLUMN(기본데이타!L$8),0))</f>
        <v/>
      </c>
      <c r="K107" s="633" t="str">
        <f>IF($A107="","",VLOOKUP($A107,기본데이타!$A$8:$BV$103,COLUMN(기본데이타!M$8),0))</f>
        <v/>
      </c>
      <c r="L107" s="634" t="str">
        <f>IF($A107="","",VLOOKUP($A107,기본데이타!$A$8:$BV$103,COLUMN(기본데이타!N$8),0))</f>
        <v/>
      </c>
      <c r="M107" s="633" t="str">
        <f>IF($A107="","",VLOOKUP($A107,기본데이타!$A$8:$BV$103,COLUMN(기본데이타!O$8),0))</f>
        <v/>
      </c>
      <c r="N107" s="634" t="str">
        <f>IF($A107="","",VLOOKUP($A107,기본데이타!$A$8:$BV$103,COLUMN(기본데이타!P$8),0))</f>
        <v/>
      </c>
      <c r="O107" s="634" t="str">
        <f>IF($A107="","",VLOOKUP($A107,기본데이타!$A$8:$BV$103,COLUMN(기본데이타!Q$8),0))</f>
        <v/>
      </c>
      <c r="P107" s="634" t="str">
        <f>IF($A107="","",VLOOKUP($A107,기본데이타!$A$8:$BV$103,COLUMN(기본데이타!R$8),0))</f>
        <v/>
      </c>
      <c r="Q107" s="634" t="str">
        <f>IF($A107="","",VLOOKUP($A107,기본데이타!$A$8:$BV$103,COLUMN(기본데이타!S$8),0))</f>
        <v/>
      </c>
      <c r="R107" s="634" t="str">
        <f>IF($A107="","",VLOOKUP($A107,기본데이타!$A$8:$BV$103,COLUMN(기본데이타!T$8),0))</f>
        <v/>
      </c>
      <c r="S107" s="634" t="str">
        <f>IF($A107="","",VLOOKUP($A107,기본데이타!$A$8:$BV$103,COLUMN(기본데이타!U$8),0))</f>
        <v/>
      </c>
      <c r="T107" s="634" t="str">
        <f>IF($A107="","",VLOOKUP($A107,기본데이타!$A$8:$BV$103,COLUMN(기본데이타!V$8),0))</f>
        <v/>
      </c>
      <c r="U107" s="634" t="str">
        <f>IF($A107="","",VLOOKUP($A107,기본데이타!$A$8:$BV$103,COLUMN(기본데이타!W$8),0))</f>
        <v/>
      </c>
      <c r="V107" s="634" t="str">
        <f>IF($A107="","",VLOOKUP($A107,기본데이타!$A$8:$BV$103,COLUMN(기본데이타!X$8),0))</f>
        <v/>
      </c>
      <c r="W107" s="634" t="str">
        <f>IF($A107="","",VLOOKUP($A107,기본데이타!$A$8:$BV$103,COLUMN(기본데이타!AA$8),0))</f>
        <v/>
      </c>
      <c r="X107" s="634" t="str">
        <f>IF($A107="","",VLOOKUP($A107,기본데이타!$A$8:$BV$103,COLUMN(기본데이타!AB$8),0))</f>
        <v/>
      </c>
      <c r="Y107" s="633" t="str">
        <f>IF($A107="","",VLOOKUP($A107,기본데이타!$A$8:$BV$103,COLUMN(기본데이타!AC$8),0))</f>
        <v/>
      </c>
      <c r="Z107" s="634" t="str">
        <f>IF($A107="","",VLOOKUP($A107,기본데이타!$A$8:$BV$103,COLUMN(기본데이타!AD$8),0))</f>
        <v/>
      </c>
      <c r="AA107" s="633" t="str">
        <f>IF($A107="","",VLOOKUP($A107,기본데이타!$A$8:$BV$103,COLUMN(기본데이타!AE$8),0))</f>
        <v/>
      </c>
      <c r="AB107" s="634" t="str">
        <f>IF($A107="","",VLOOKUP($A107,기본데이타!$A$8:$BV$103,COLUMN(기본데이타!AF$8),0))</f>
        <v/>
      </c>
      <c r="AC107" s="633" t="str">
        <f>IF($A107="","",VLOOKUP($A107,기본데이타!$A$8:$BV$103,COLUMN(기본데이타!AG$8),0))</f>
        <v/>
      </c>
      <c r="AD107" s="634" t="str">
        <f>IF($A107="","",VLOOKUP($A107,기본데이타!$A$8:$BV$103,COLUMN(기본데이타!AH$8),0))</f>
        <v/>
      </c>
      <c r="AE107" s="633" t="str">
        <f>IF($A107="","",VLOOKUP($A107,기본데이타!$A$8:$BV$103,COLUMN(기본데이타!AI$8),0))</f>
        <v/>
      </c>
      <c r="AF107" s="635" t="str">
        <f>IF($A107="","",VLOOKUP($A107,기본데이타!$A$8:$BV$103,COLUMN(기본데이타!AJ$8),0))</f>
        <v/>
      </c>
      <c r="AG107" s="635" t="str">
        <f>IF($A107="","",VLOOKUP($A107,기본데이타!$A$8:$BV$103,COLUMN(기본데이타!AK$8),0))</f>
        <v/>
      </c>
      <c r="AH107" s="635" t="str">
        <f>IF($A107="","",VLOOKUP($A107,기본데이타!$A$8:$BV$103,COLUMN(기본데이타!AL$8),0))</f>
        <v/>
      </c>
      <c r="AI107" s="635" t="str">
        <f>IF($A107="","",VLOOKUP($A107,기본데이타!$A$8:$BV$103,COLUMN(기본데이타!AM$8),0))</f>
        <v/>
      </c>
      <c r="AJ107" s="636" t="str">
        <f>IF($A107="","",VLOOKUP($A107,기본데이타!$A$8:$BV$103,COLUMN(기본데이타!AN$8),0))</f>
        <v/>
      </c>
      <c r="AK107" s="636" t="str">
        <f>IF($A107="","",VLOOKUP($A107,기본데이타!$A$8:$BV$103,COLUMN(기본데이타!AO$8),0))</f>
        <v/>
      </c>
      <c r="AL107" s="636" t="str">
        <f>IF($A107="","",VLOOKUP($A107,기본데이타!$A$8:$BV$103,COLUMN(기본데이타!AP$8),0))</f>
        <v/>
      </c>
      <c r="AM107" s="636" t="str">
        <f>IF($A107="","",VLOOKUP($A107,기본데이타!$A$8:$BV$103,COLUMN(기본데이타!AQ$8),0))</f>
        <v/>
      </c>
      <c r="AN107" s="636" t="str">
        <f>IF($A107="","",VLOOKUP($A107,기본데이타!$A$8:$BV$103,COLUMN(기본데이타!AR$8),0))</f>
        <v/>
      </c>
      <c r="AO107" s="636" t="str">
        <f>IF($A107="","",VLOOKUP($A107,기본데이타!$A$8:$BV$103,COLUMN(기본데이타!AS$8),0))</f>
        <v/>
      </c>
      <c r="AP107" s="636" t="str">
        <f>IF($A107="","",VLOOKUP($A107,기본데이타!$A$8:$BV$103,COLUMN(기본데이타!AT$8),0))</f>
        <v/>
      </c>
      <c r="AQ107" s="636" t="str">
        <f>IF($A107="","",VLOOKUP($A107,기본데이타!$A$8:$BV$103,COLUMN(기본데이타!AU$8),0))</f>
        <v/>
      </c>
      <c r="AR107" s="637" t="str">
        <f>IF($A107="","",VLOOKUP($A107,기본데이타!$A$8:$BV$103,COLUMN(기본데이타!AV$8),0))</f>
        <v/>
      </c>
      <c r="AS107" s="634" t="str">
        <f>IF($A107="","",VLOOKUP($A107,기본데이타!$A$8:$BV$103,COLUMN(기본데이타!AW$8),0))</f>
        <v/>
      </c>
      <c r="AT107" s="634" t="str">
        <f>IF($A107="","",VLOOKUP($A107,기본데이타!$A$8:$BV$103,COLUMN(기본데이타!AX$8),0))</f>
        <v/>
      </c>
      <c r="AU107" s="634" t="str">
        <f>IF($A107="","",VLOOKUP($A107,기본데이타!$A$8:$BV$103,COLUMN(기본데이타!AY$8),0))</f>
        <v/>
      </c>
      <c r="AV107" s="634" t="str">
        <f t="shared" si="10"/>
        <v/>
      </c>
      <c r="AW107" s="635" t="str">
        <f>IF($A107="","",VLOOKUP($A107,기본데이타!$A$8:$BV$103,COLUMN(기본데이타!BA$8),0))</f>
        <v/>
      </c>
      <c r="AX107" s="635" t="str">
        <f>IF($A107="","",VLOOKUP($A107,기본데이타!$A$8:$BV$103,COLUMN(기본데이타!BB$8),0))</f>
        <v/>
      </c>
      <c r="AY107" s="635" t="str">
        <f>IF($A107="","",VLOOKUP($A107,기본데이타!$A$8:$BV$103,COLUMN(기본데이타!BC$8),0))</f>
        <v/>
      </c>
      <c r="AZ107" s="635" t="str">
        <f>IF($A107="","",VLOOKUP($A107,기본데이타!$A$8:$BV$103,COLUMN(기본데이타!BD$8),0))</f>
        <v/>
      </c>
      <c r="BA107" s="635" t="str">
        <f>IF($A107="","",VLOOKUP($A107,기본데이타!$A$8:$BV$103,COLUMN(기본데이타!BE$8),0))</f>
        <v/>
      </c>
      <c r="BB107" s="635" t="str">
        <f>IF($A107="","",VLOOKUP($A107,기본데이타!$A$8:$BV$103,COLUMN(기본데이타!BF$8),0))</f>
        <v/>
      </c>
      <c r="BC107" s="635" t="str">
        <f>IF($A107="","",VLOOKUP($A107,기본데이타!$A$8:$BV$103,COLUMN(기본데이타!BG$8),0))</f>
        <v/>
      </c>
      <c r="BD107" s="635" t="str">
        <f>IF($A107="","",VLOOKUP($A107,기본데이타!$A$8:$BV$103,COLUMN(기본데이타!BH$8),0))</f>
        <v/>
      </c>
      <c r="BE107" s="635" t="str">
        <f>IF($A107="","",VLOOKUP($A107,기본데이타!$A$8:$BV$103,COLUMN(기본데이타!BI$8),0))</f>
        <v/>
      </c>
      <c r="BF107" s="635" t="str">
        <f>IF($A107="","",VLOOKUP($A107,기본데이타!$A$8:$BV$103,COLUMN(기본데이타!BJ$8),0))</f>
        <v/>
      </c>
      <c r="BG107" s="635" t="str">
        <f>IF($A107="","",VLOOKUP($A107,기본데이타!$A$8:$BV$103,COLUMN(기본데이타!BK$8),0))</f>
        <v/>
      </c>
      <c r="BH107" s="635" t="str">
        <f>IF($A107="","",VLOOKUP($A107,기본데이타!$A$8:$BV$103,COLUMN(기본데이타!BL$8),0))</f>
        <v/>
      </c>
      <c r="BI107" s="635" t="str">
        <f>IF($A107="","",VLOOKUP($A107,기본데이타!$A$8:$BV$103,COLUMN(기본데이타!BM$8),0))</f>
        <v/>
      </c>
      <c r="BJ107" s="635" t="str">
        <f>IF($A107="","",VLOOKUP($A107,기본데이타!$A$8:$BV$103,COLUMN(기본데이타!BN$8),0))</f>
        <v/>
      </c>
      <c r="BK107" s="635" t="str">
        <f>IF($A107="","",VLOOKUP($A107,기본데이타!$A$8:$BV$103,COLUMN(기본데이타!BO$8),0))</f>
        <v/>
      </c>
      <c r="BL107" s="635" t="str">
        <f>IF($A107="","",VLOOKUP($A107,기본데이타!$A$8:$BV$103,COLUMN(기본데이타!BP$8),0))</f>
        <v/>
      </c>
      <c r="BM107" s="635" t="str">
        <f>IF($A107="","",VLOOKUP($A107,기본데이타!$A$8:$BV$103,COLUMN(기본데이타!BQ$8),0))</f>
        <v/>
      </c>
      <c r="BN107" s="638" t="str">
        <f>IF($A107="","",VLOOKUP($A107,기본데이타!$A$8:$BV$103,COLUMN(기본데이타!BR$8),0))</f>
        <v/>
      </c>
      <c r="BO107" s="579" t="str">
        <f>IF($A107="","",VLOOKUP($A107,기본데이타!$A$8:$BV$103,COLUMN(기본데이타!BS$8),0))</f>
        <v/>
      </c>
      <c r="BP107" s="639" t="str">
        <f>IF($A107="","",VLOOKUP($A107,기본데이타!$A$8:$BV$103,COLUMN(기본데이타!BT$8),0))</f>
        <v/>
      </c>
      <c r="BQ107" s="640" t="str">
        <f>IF($A107="","",VLOOKUP($A107,기본데이타!$A$8:$BV$103,COLUMN(기본데이타!BU$8),0))</f>
        <v/>
      </c>
      <c r="BR107" s="625" t="str">
        <f t="shared" si="11"/>
        <v/>
      </c>
    </row>
    <row r="108" spans="1:70" s="571" customFormat="1" ht="61.5" hidden="1" customHeight="1">
      <c r="A108" s="578"/>
      <c r="B108" s="1642"/>
      <c r="C108" s="590"/>
      <c r="D108" s="629" t="str">
        <f>IF($A108="","",VLOOKUP($A108,기본데이타!$A$8:$BV$103,COLUMN(기본데이타!F$8),0))</f>
        <v/>
      </c>
      <c r="E108" s="630" t="str">
        <f>IF($A108="","",VLOOKUP($A108,기본데이타!$A$8:$BV$103,COLUMN(기본데이타!G$8),0))</f>
        <v/>
      </c>
      <c r="F108" s="631" t="str">
        <f>IF($A108="","",VLOOKUP($A108,기본데이타!$A$8:$BV$103,COLUMN(기본데이타!H$8),0))</f>
        <v/>
      </c>
      <c r="G108" s="632" t="str">
        <f>IF($A108="","",VLOOKUP($A108,기본데이타!$A$8:$BV$103,COLUMN(기본데이타!I$8),0))</f>
        <v/>
      </c>
      <c r="H108" s="632" t="str">
        <f>IF($A108="","",VLOOKUP($A108,기본데이타!$A$8:$BV$103,COLUMN(기본데이타!J$8),0))</f>
        <v/>
      </c>
      <c r="I108" s="633" t="str">
        <f>IF($A108="","",VLOOKUP($A108,기본데이타!$A$8:$BV$103,COLUMN(기본데이타!K$8),0))</f>
        <v/>
      </c>
      <c r="J108" s="633" t="str">
        <f>IF($A108="","",VLOOKUP($A108,기본데이타!$A$8:$BV$103,COLUMN(기본데이타!L$8),0))</f>
        <v/>
      </c>
      <c r="K108" s="633" t="str">
        <f>IF($A108="","",VLOOKUP($A108,기본데이타!$A$8:$BV$103,COLUMN(기본데이타!M$8),0))</f>
        <v/>
      </c>
      <c r="L108" s="634" t="str">
        <f>IF($A108="","",VLOOKUP($A108,기본데이타!$A$8:$BV$103,COLUMN(기본데이타!N$8),0))</f>
        <v/>
      </c>
      <c r="M108" s="633" t="str">
        <f>IF($A108="","",VLOOKUP($A108,기본데이타!$A$8:$BV$103,COLUMN(기본데이타!O$8),0))</f>
        <v/>
      </c>
      <c r="N108" s="634" t="str">
        <f>IF($A108="","",VLOOKUP($A108,기본데이타!$A$8:$BV$103,COLUMN(기본데이타!P$8),0))</f>
        <v/>
      </c>
      <c r="O108" s="634" t="str">
        <f>IF($A108="","",VLOOKUP($A108,기본데이타!$A$8:$BV$103,COLUMN(기본데이타!Q$8),0))</f>
        <v/>
      </c>
      <c r="P108" s="634" t="str">
        <f>IF($A108="","",VLOOKUP($A108,기본데이타!$A$8:$BV$103,COLUMN(기본데이타!R$8),0))</f>
        <v/>
      </c>
      <c r="Q108" s="634" t="str">
        <f>IF($A108="","",VLOOKUP($A108,기본데이타!$A$8:$BV$103,COLUMN(기본데이타!S$8),0))</f>
        <v/>
      </c>
      <c r="R108" s="634" t="str">
        <f>IF($A108="","",VLOOKUP($A108,기본데이타!$A$8:$BV$103,COLUMN(기본데이타!T$8),0))</f>
        <v/>
      </c>
      <c r="S108" s="634" t="str">
        <f>IF($A108="","",VLOOKUP($A108,기본데이타!$A$8:$BV$103,COLUMN(기본데이타!U$8),0))</f>
        <v/>
      </c>
      <c r="T108" s="634" t="str">
        <f>IF($A108="","",VLOOKUP($A108,기본데이타!$A$8:$BV$103,COLUMN(기본데이타!V$8),0))</f>
        <v/>
      </c>
      <c r="U108" s="634" t="str">
        <f>IF($A108="","",VLOOKUP($A108,기본데이타!$A$8:$BV$103,COLUMN(기본데이타!W$8),0))</f>
        <v/>
      </c>
      <c r="V108" s="634" t="str">
        <f>IF($A108="","",VLOOKUP($A108,기본데이타!$A$8:$BV$103,COLUMN(기본데이타!X$8),0))</f>
        <v/>
      </c>
      <c r="W108" s="634" t="str">
        <f>IF($A108="","",VLOOKUP($A108,기본데이타!$A$8:$BV$103,COLUMN(기본데이타!AA$8),0))</f>
        <v/>
      </c>
      <c r="X108" s="634" t="str">
        <f>IF($A108="","",VLOOKUP($A108,기본데이타!$A$8:$BV$103,COLUMN(기본데이타!AB$8),0))</f>
        <v/>
      </c>
      <c r="Y108" s="633" t="str">
        <f>IF($A108="","",VLOOKUP($A108,기본데이타!$A$8:$BV$103,COLUMN(기본데이타!AC$8),0))</f>
        <v/>
      </c>
      <c r="Z108" s="634" t="str">
        <f>IF($A108="","",VLOOKUP($A108,기본데이타!$A$8:$BV$103,COLUMN(기본데이타!AD$8),0))</f>
        <v/>
      </c>
      <c r="AA108" s="633" t="str">
        <f>IF($A108="","",VLOOKUP($A108,기본데이타!$A$8:$BV$103,COLUMN(기본데이타!AE$8),0))</f>
        <v/>
      </c>
      <c r="AB108" s="634" t="str">
        <f>IF($A108="","",VLOOKUP($A108,기본데이타!$A$8:$BV$103,COLUMN(기본데이타!AF$8),0))</f>
        <v/>
      </c>
      <c r="AC108" s="633" t="str">
        <f>IF($A108="","",VLOOKUP($A108,기본데이타!$A$8:$BV$103,COLUMN(기본데이타!AG$8),0))</f>
        <v/>
      </c>
      <c r="AD108" s="634" t="str">
        <f>IF($A108="","",VLOOKUP($A108,기본데이타!$A$8:$BV$103,COLUMN(기본데이타!AH$8),0))</f>
        <v/>
      </c>
      <c r="AE108" s="633" t="str">
        <f>IF($A108="","",VLOOKUP($A108,기본데이타!$A$8:$BV$103,COLUMN(기본데이타!AI$8),0))</f>
        <v/>
      </c>
      <c r="AF108" s="635" t="str">
        <f>IF($A108="","",VLOOKUP($A108,기본데이타!$A$8:$BV$103,COLUMN(기본데이타!AJ$8),0))</f>
        <v/>
      </c>
      <c r="AG108" s="635" t="str">
        <f>IF($A108="","",VLOOKUP($A108,기본데이타!$A$8:$BV$103,COLUMN(기본데이타!AK$8),0))</f>
        <v/>
      </c>
      <c r="AH108" s="635" t="str">
        <f>IF($A108="","",VLOOKUP($A108,기본데이타!$A$8:$BV$103,COLUMN(기본데이타!AL$8),0))</f>
        <v/>
      </c>
      <c r="AI108" s="635" t="str">
        <f>IF($A108="","",VLOOKUP($A108,기본데이타!$A$8:$BV$103,COLUMN(기본데이타!AM$8),0))</f>
        <v/>
      </c>
      <c r="AJ108" s="636" t="str">
        <f>IF($A108="","",VLOOKUP($A108,기본데이타!$A$8:$BV$103,COLUMN(기본데이타!AN$8),0))</f>
        <v/>
      </c>
      <c r="AK108" s="636" t="str">
        <f>IF($A108="","",VLOOKUP($A108,기본데이타!$A$8:$BV$103,COLUMN(기본데이타!AO$8),0))</f>
        <v/>
      </c>
      <c r="AL108" s="636" t="str">
        <f>IF($A108="","",VLOOKUP($A108,기본데이타!$A$8:$BV$103,COLUMN(기본데이타!AP$8),0))</f>
        <v/>
      </c>
      <c r="AM108" s="636" t="str">
        <f>IF($A108="","",VLOOKUP($A108,기본데이타!$A$8:$BV$103,COLUMN(기본데이타!AQ$8),0))</f>
        <v/>
      </c>
      <c r="AN108" s="636" t="str">
        <f>IF($A108="","",VLOOKUP($A108,기본데이타!$A$8:$BV$103,COLUMN(기본데이타!AR$8),0))</f>
        <v/>
      </c>
      <c r="AO108" s="636" t="str">
        <f>IF($A108="","",VLOOKUP($A108,기본데이타!$A$8:$BV$103,COLUMN(기본데이타!AS$8),0))</f>
        <v/>
      </c>
      <c r="AP108" s="636" t="str">
        <f>IF($A108="","",VLOOKUP($A108,기본데이타!$A$8:$BV$103,COLUMN(기본데이타!AT$8),0))</f>
        <v/>
      </c>
      <c r="AQ108" s="636" t="str">
        <f>IF($A108="","",VLOOKUP($A108,기본데이타!$A$8:$BV$103,COLUMN(기본데이타!AU$8),0))</f>
        <v/>
      </c>
      <c r="AR108" s="637" t="str">
        <f>IF($A108="","",VLOOKUP($A108,기본데이타!$A$8:$BV$103,COLUMN(기본데이타!AV$8),0))</f>
        <v/>
      </c>
      <c r="AS108" s="634" t="str">
        <f>IF($A108="","",VLOOKUP($A108,기본데이타!$A$8:$BV$103,COLUMN(기본데이타!AW$8),0))</f>
        <v/>
      </c>
      <c r="AT108" s="634" t="str">
        <f>IF($A108="","",VLOOKUP($A108,기본데이타!$A$8:$BV$103,COLUMN(기본데이타!AX$8),0))</f>
        <v/>
      </c>
      <c r="AU108" s="634" t="str">
        <f>IF($A108="","",VLOOKUP($A108,기본데이타!$A$8:$BV$103,COLUMN(기본데이타!AY$8),0))</f>
        <v/>
      </c>
      <c r="AV108" s="634" t="str">
        <f t="shared" ref="AV108:AV117" si="16">IF(AS108="","",SUM(AS108:AU108))</f>
        <v/>
      </c>
      <c r="AW108" s="635" t="str">
        <f>IF($A108="","",VLOOKUP($A108,기본데이타!$A$8:$BV$103,COLUMN(기본데이타!BA$8),0))</f>
        <v/>
      </c>
      <c r="AX108" s="635" t="str">
        <f>IF($A108="","",VLOOKUP($A108,기본데이타!$A$8:$BV$103,COLUMN(기본데이타!BB$8),0))</f>
        <v/>
      </c>
      <c r="AY108" s="635" t="str">
        <f>IF($A108="","",VLOOKUP($A108,기본데이타!$A$8:$BV$103,COLUMN(기본데이타!BC$8),0))</f>
        <v/>
      </c>
      <c r="AZ108" s="635" t="str">
        <f>IF($A108="","",VLOOKUP($A108,기본데이타!$A$8:$BV$103,COLUMN(기본데이타!BD$8),0))</f>
        <v/>
      </c>
      <c r="BA108" s="635" t="str">
        <f>IF($A108="","",VLOOKUP($A108,기본데이타!$A$8:$BV$103,COLUMN(기본데이타!BE$8),0))</f>
        <v/>
      </c>
      <c r="BB108" s="635" t="str">
        <f>IF($A108="","",VLOOKUP($A108,기본데이타!$A$8:$BV$103,COLUMN(기본데이타!BF$8),0))</f>
        <v/>
      </c>
      <c r="BC108" s="635" t="str">
        <f>IF($A108="","",VLOOKUP($A108,기본데이타!$A$8:$BV$103,COLUMN(기본데이타!BG$8),0))</f>
        <v/>
      </c>
      <c r="BD108" s="635" t="str">
        <f>IF($A108="","",VLOOKUP($A108,기본데이타!$A$8:$BV$103,COLUMN(기본데이타!BH$8),0))</f>
        <v/>
      </c>
      <c r="BE108" s="635" t="str">
        <f>IF($A108="","",VLOOKUP($A108,기본데이타!$A$8:$BV$103,COLUMN(기본데이타!BI$8),0))</f>
        <v/>
      </c>
      <c r="BF108" s="635" t="str">
        <f>IF($A108="","",VLOOKUP($A108,기본데이타!$A$8:$BV$103,COLUMN(기본데이타!BJ$8),0))</f>
        <v/>
      </c>
      <c r="BG108" s="635" t="str">
        <f>IF($A108="","",VLOOKUP($A108,기본데이타!$A$8:$BV$103,COLUMN(기본데이타!BK$8),0))</f>
        <v/>
      </c>
      <c r="BH108" s="635" t="str">
        <f>IF($A108="","",VLOOKUP($A108,기본데이타!$A$8:$BV$103,COLUMN(기본데이타!BL$8),0))</f>
        <v/>
      </c>
      <c r="BI108" s="635" t="str">
        <f>IF($A108="","",VLOOKUP($A108,기본데이타!$A$8:$BV$103,COLUMN(기본데이타!BM$8),0))</f>
        <v/>
      </c>
      <c r="BJ108" s="635" t="str">
        <f>IF($A108="","",VLOOKUP($A108,기본데이타!$A$8:$BV$103,COLUMN(기본데이타!BN$8),0))</f>
        <v/>
      </c>
      <c r="BK108" s="635" t="str">
        <f>IF($A108="","",VLOOKUP($A108,기본데이타!$A$8:$BV$103,COLUMN(기본데이타!BO$8),0))</f>
        <v/>
      </c>
      <c r="BL108" s="635" t="str">
        <f>IF($A108="","",VLOOKUP($A108,기본데이타!$A$8:$BV$103,COLUMN(기본데이타!BP$8),0))</f>
        <v/>
      </c>
      <c r="BM108" s="635" t="str">
        <f>IF($A108="","",VLOOKUP($A108,기본데이타!$A$8:$BV$103,COLUMN(기본데이타!BQ$8),0))</f>
        <v/>
      </c>
      <c r="BN108" s="638" t="str">
        <f>IF($A108="","",VLOOKUP($A108,기본데이타!$A$8:$BV$103,COLUMN(기본데이타!BR$8),0))</f>
        <v/>
      </c>
      <c r="BO108" s="579" t="str">
        <f>IF($A108="","",VLOOKUP($A108,기본데이타!$A$8:$BV$103,COLUMN(기본데이타!BS$8),0))</f>
        <v/>
      </c>
      <c r="BP108" s="639" t="str">
        <f>IF($A108="","",VLOOKUP($A108,기본데이타!$A$8:$BV$103,COLUMN(기본데이타!BT$8),0))</f>
        <v/>
      </c>
      <c r="BQ108" s="640" t="str">
        <f>IF($A108="","",VLOOKUP($A108,기본데이타!$A$8:$BV$103,COLUMN(기본데이타!BU$8),0))</f>
        <v/>
      </c>
      <c r="BR108" s="625" t="str">
        <f t="shared" ref="BR108:BR117" si="17">IF($A108="","",A108)</f>
        <v/>
      </c>
    </row>
    <row r="109" spans="1:70" s="571" customFormat="1" ht="61.5" hidden="1" customHeight="1">
      <c r="A109" s="578"/>
      <c r="B109" s="1642"/>
      <c r="C109" s="590"/>
      <c r="D109" s="629" t="str">
        <f>IF($A109="","",VLOOKUP($A109,기본데이타!$A$8:$BV$103,COLUMN(기본데이타!F$8),0))</f>
        <v/>
      </c>
      <c r="E109" s="630" t="str">
        <f>IF($A109="","",VLOOKUP($A109,기본데이타!$A$8:$BV$103,COLUMN(기본데이타!G$8),0))</f>
        <v/>
      </c>
      <c r="F109" s="631" t="str">
        <f>IF($A109="","",VLOOKUP($A109,기본데이타!$A$8:$BV$103,COLUMN(기본데이타!H$8),0))</f>
        <v/>
      </c>
      <c r="G109" s="632" t="str">
        <f>IF($A109="","",VLOOKUP($A109,기본데이타!$A$8:$BV$103,COLUMN(기본데이타!I$8),0))</f>
        <v/>
      </c>
      <c r="H109" s="632" t="str">
        <f>IF($A109="","",VLOOKUP($A109,기본데이타!$A$8:$BV$103,COLUMN(기본데이타!J$8),0))</f>
        <v/>
      </c>
      <c r="I109" s="633" t="str">
        <f>IF($A109="","",VLOOKUP($A109,기본데이타!$A$8:$BV$103,COLUMN(기본데이타!K$8),0))</f>
        <v/>
      </c>
      <c r="J109" s="633" t="str">
        <f>IF($A109="","",VLOOKUP($A109,기본데이타!$A$8:$BV$103,COLUMN(기본데이타!L$8),0))</f>
        <v/>
      </c>
      <c r="K109" s="633" t="str">
        <f>IF($A109="","",VLOOKUP($A109,기본데이타!$A$8:$BV$103,COLUMN(기본데이타!M$8),0))</f>
        <v/>
      </c>
      <c r="L109" s="634" t="str">
        <f>IF($A109="","",VLOOKUP($A109,기본데이타!$A$8:$BV$103,COLUMN(기본데이타!N$8),0))</f>
        <v/>
      </c>
      <c r="M109" s="633" t="str">
        <f>IF($A109="","",VLOOKUP($A109,기본데이타!$A$8:$BV$103,COLUMN(기본데이타!O$8),0))</f>
        <v/>
      </c>
      <c r="N109" s="634" t="str">
        <f>IF($A109="","",VLOOKUP($A109,기본데이타!$A$8:$BV$103,COLUMN(기본데이타!P$8),0))</f>
        <v/>
      </c>
      <c r="O109" s="634" t="str">
        <f>IF($A109="","",VLOOKUP($A109,기본데이타!$A$8:$BV$103,COLUMN(기본데이타!Q$8),0))</f>
        <v/>
      </c>
      <c r="P109" s="634" t="str">
        <f>IF($A109="","",VLOOKUP($A109,기본데이타!$A$8:$BV$103,COLUMN(기본데이타!R$8),0))</f>
        <v/>
      </c>
      <c r="Q109" s="634" t="str">
        <f>IF($A109="","",VLOOKUP($A109,기본데이타!$A$8:$BV$103,COLUMN(기본데이타!S$8),0))</f>
        <v/>
      </c>
      <c r="R109" s="634" t="str">
        <f>IF($A109="","",VLOOKUP($A109,기본데이타!$A$8:$BV$103,COLUMN(기본데이타!T$8),0))</f>
        <v/>
      </c>
      <c r="S109" s="634" t="str">
        <f>IF($A109="","",VLOOKUP($A109,기본데이타!$A$8:$BV$103,COLUMN(기본데이타!U$8),0))</f>
        <v/>
      </c>
      <c r="T109" s="634" t="str">
        <f>IF($A109="","",VLOOKUP($A109,기본데이타!$A$8:$BV$103,COLUMN(기본데이타!V$8),0))</f>
        <v/>
      </c>
      <c r="U109" s="634" t="str">
        <f>IF($A109="","",VLOOKUP($A109,기본데이타!$A$8:$BV$103,COLUMN(기본데이타!W$8),0))</f>
        <v/>
      </c>
      <c r="V109" s="634" t="str">
        <f>IF($A109="","",VLOOKUP($A109,기본데이타!$A$8:$BV$103,COLUMN(기본데이타!X$8),0))</f>
        <v/>
      </c>
      <c r="W109" s="634" t="str">
        <f>IF($A109="","",VLOOKUP($A109,기본데이타!$A$8:$BV$103,COLUMN(기본데이타!AA$8),0))</f>
        <v/>
      </c>
      <c r="X109" s="634" t="str">
        <f>IF($A109="","",VLOOKUP($A109,기본데이타!$A$8:$BV$103,COLUMN(기본데이타!AB$8),0))</f>
        <v/>
      </c>
      <c r="Y109" s="633" t="str">
        <f>IF($A109="","",VLOOKUP($A109,기본데이타!$A$8:$BV$103,COLUMN(기본데이타!AC$8),0))</f>
        <v/>
      </c>
      <c r="Z109" s="634" t="str">
        <f>IF($A109="","",VLOOKUP($A109,기본데이타!$A$8:$BV$103,COLUMN(기본데이타!AD$8),0))</f>
        <v/>
      </c>
      <c r="AA109" s="633" t="str">
        <f>IF($A109="","",VLOOKUP($A109,기본데이타!$A$8:$BV$103,COLUMN(기본데이타!AE$8),0))</f>
        <v/>
      </c>
      <c r="AB109" s="634" t="str">
        <f>IF($A109="","",VLOOKUP($A109,기본데이타!$A$8:$BV$103,COLUMN(기본데이타!AF$8),0))</f>
        <v/>
      </c>
      <c r="AC109" s="633" t="str">
        <f>IF($A109="","",VLOOKUP($A109,기본데이타!$A$8:$BV$103,COLUMN(기본데이타!AG$8),0))</f>
        <v/>
      </c>
      <c r="AD109" s="634" t="str">
        <f>IF($A109="","",VLOOKUP($A109,기본데이타!$A$8:$BV$103,COLUMN(기본데이타!AH$8),0))</f>
        <v/>
      </c>
      <c r="AE109" s="633" t="str">
        <f>IF($A109="","",VLOOKUP($A109,기본데이타!$A$8:$BV$103,COLUMN(기본데이타!AI$8),0))</f>
        <v/>
      </c>
      <c r="AF109" s="635" t="str">
        <f>IF($A109="","",VLOOKUP($A109,기본데이타!$A$8:$BV$103,COLUMN(기본데이타!AJ$8),0))</f>
        <v/>
      </c>
      <c r="AG109" s="580" t="str">
        <f>IF($A109="","",VLOOKUP($A109,기본데이타!$A$8:$BV$103,COLUMN(기본데이타!AK$8),0))</f>
        <v/>
      </c>
      <c r="AH109" s="580" t="str">
        <f>IF($A109="","",VLOOKUP($A109,기본데이타!$A$8:$BV$103,COLUMN(기본데이타!AL$8),0))</f>
        <v/>
      </c>
      <c r="AI109" s="580" t="str">
        <f>IF($A109="","",VLOOKUP($A109,기본데이타!$A$8:$BV$103,COLUMN(기본데이타!AM$8),0))</f>
        <v/>
      </c>
      <c r="AJ109" s="636" t="str">
        <f>IF($A109="","",VLOOKUP($A109,기본데이타!$A$8:$BV$103,COLUMN(기본데이타!AN$8),0))</f>
        <v/>
      </c>
      <c r="AK109" s="636" t="str">
        <f>IF($A109="","",VLOOKUP($A109,기본데이타!$A$8:$BV$103,COLUMN(기본데이타!AO$8),0))</f>
        <v/>
      </c>
      <c r="AL109" s="636" t="str">
        <f>IF($A109="","",VLOOKUP($A109,기본데이타!$A$8:$BV$103,COLUMN(기본데이타!AP$8),0))</f>
        <v/>
      </c>
      <c r="AM109" s="636" t="str">
        <f>IF($A109="","",VLOOKUP($A109,기본데이타!$A$8:$BV$103,COLUMN(기본데이타!AQ$8),0))</f>
        <v/>
      </c>
      <c r="AN109" s="636" t="str">
        <f>IF($A109="","",VLOOKUP($A109,기본데이타!$A$8:$BV$103,COLUMN(기본데이타!AR$8),0))</f>
        <v/>
      </c>
      <c r="AO109" s="636" t="str">
        <f>IF($A109="","",VLOOKUP($A109,기본데이타!$A$8:$BV$103,COLUMN(기본데이타!AS$8),0))</f>
        <v/>
      </c>
      <c r="AP109" s="636" t="str">
        <f>IF($A109="","",VLOOKUP($A109,기본데이타!$A$8:$BV$103,COLUMN(기본데이타!AT$8),0))</f>
        <v/>
      </c>
      <c r="AQ109" s="636" t="str">
        <f>IF($A109="","",VLOOKUP($A109,기본데이타!$A$8:$BV$103,COLUMN(기본데이타!AU$8),0))</f>
        <v/>
      </c>
      <c r="AR109" s="637" t="str">
        <f>IF($A109="","",VLOOKUP($A109,기본데이타!$A$8:$BV$103,COLUMN(기본데이타!AV$8),0))</f>
        <v/>
      </c>
      <c r="AS109" s="634" t="str">
        <f>IF($A109="","",VLOOKUP($A109,기본데이타!$A$8:$BV$103,COLUMN(기본데이타!AW$8),0))</f>
        <v/>
      </c>
      <c r="AT109" s="634" t="str">
        <f>IF($A109="","",VLOOKUP($A109,기본데이타!$A$8:$BV$103,COLUMN(기본데이타!AX$8),0))</f>
        <v/>
      </c>
      <c r="AU109" s="634" t="str">
        <f>IF($A109="","",VLOOKUP($A109,기본데이타!$A$8:$BV$103,COLUMN(기본데이타!AY$8),0))</f>
        <v/>
      </c>
      <c r="AV109" s="634" t="str">
        <f t="shared" si="16"/>
        <v/>
      </c>
      <c r="AW109" s="635" t="str">
        <f>IF($A109="","",VLOOKUP($A109,기본데이타!$A$8:$BV$103,COLUMN(기본데이타!BA$8),0))</f>
        <v/>
      </c>
      <c r="AX109" s="635" t="str">
        <f>IF($A109="","",VLOOKUP($A109,기본데이타!$A$8:$BV$103,COLUMN(기본데이타!BB$8),0))</f>
        <v/>
      </c>
      <c r="AY109" s="635" t="str">
        <f>IF($A109="","",VLOOKUP($A109,기본데이타!$A$8:$BV$103,COLUMN(기본데이타!BC$8),0))</f>
        <v/>
      </c>
      <c r="AZ109" s="635" t="str">
        <f>IF($A109="","",VLOOKUP($A109,기본데이타!$A$8:$BV$103,COLUMN(기본데이타!BD$8),0))</f>
        <v/>
      </c>
      <c r="BA109" s="635" t="str">
        <f>IF($A109="","",VLOOKUP($A109,기본데이타!$A$8:$BV$103,COLUMN(기본데이타!BE$8),0))</f>
        <v/>
      </c>
      <c r="BB109" s="635" t="str">
        <f>IF($A109="","",VLOOKUP($A109,기본데이타!$A$8:$BV$103,COLUMN(기본데이타!BF$8),0))</f>
        <v/>
      </c>
      <c r="BC109" s="635" t="str">
        <f>IF($A109="","",VLOOKUP($A109,기본데이타!$A$8:$BV$103,COLUMN(기본데이타!BG$8),0))</f>
        <v/>
      </c>
      <c r="BD109" s="635" t="str">
        <f>IF($A109="","",VLOOKUP($A109,기본데이타!$A$8:$BV$103,COLUMN(기본데이타!BH$8),0))</f>
        <v/>
      </c>
      <c r="BE109" s="635" t="str">
        <f>IF($A109="","",VLOOKUP($A109,기본데이타!$A$8:$BV$103,COLUMN(기본데이타!BI$8),0))</f>
        <v/>
      </c>
      <c r="BF109" s="635" t="str">
        <f>IF($A109="","",VLOOKUP($A109,기본데이타!$A$8:$BV$103,COLUMN(기본데이타!BJ$8),0))</f>
        <v/>
      </c>
      <c r="BG109" s="635" t="str">
        <f>IF($A109="","",VLOOKUP($A109,기본데이타!$A$8:$BV$103,COLUMN(기본데이타!BK$8),0))</f>
        <v/>
      </c>
      <c r="BH109" s="635" t="str">
        <f>IF($A109="","",VLOOKUP($A109,기본데이타!$A$8:$BV$103,COLUMN(기본데이타!BL$8),0))</f>
        <v/>
      </c>
      <c r="BI109" s="635" t="str">
        <f>IF($A109="","",VLOOKUP($A109,기본데이타!$A$8:$BV$103,COLUMN(기본데이타!BM$8),0))</f>
        <v/>
      </c>
      <c r="BJ109" s="635" t="str">
        <f>IF($A109="","",VLOOKUP($A109,기본데이타!$A$8:$BV$103,COLUMN(기본데이타!BN$8),0))</f>
        <v/>
      </c>
      <c r="BK109" s="635" t="str">
        <f>IF($A109="","",VLOOKUP($A109,기본데이타!$A$8:$BV$103,COLUMN(기본데이타!BO$8),0))</f>
        <v/>
      </c>
      <c r="BL109" s="635" t="str">
        <f>IF($A109="","",VLOOKUP($A109,기본데이타!$A$8:$BV$103,COLUMN(기본데이타!BP$8),0))</f>
        <v/>
      </c>
      <c r="BM109" s="635" t="str">
        <f>IF($A109="","",VLOOKUP($A109,기본데이타!$A$8:$BV$103,COLUMN(기본데이타!BQ$8),0))</f>
        <v/>
      </c>
      <c r="BN109" s="638" t="str">
        <f>IF($A109="","",VLOOKUP($A109,기본데이타!$A$8:$BV$103,COLUMN(기본데이타!BR$8),0))</f>
        <v/>
      </c>
      <c r="BO109" s="579" t="str">
        <f>IF($A109="","",VLOOKUP($A109,기본데이타!$A$8:$BV$103,COLUMN(기본데이타!BS$8),0))</f>
        <v/>
      </c>
      <c r="BP109" s="639" t="str">
        <f>IF($A109="","",VLOOKUP($A109,기본데이타!$A$8:$BV$103,COLUMN(기본데이타!BT$8),0))</f>
        <v/>
      </c>
      <c r="BQ109" s="640" t="str">
        <f>IF($A109="","",VLOOKUP($A109,기본데이타!$A$8:$BV$103,COLUMN(기본데이타!BU$8),0))</f>
        <v/>
      </c>
      <c r="BR109" s="625" t="str">
        <f t="shared" si="17"/>
        <v/>
      </c>
    </row>
    <row r="110" spans="1:70" s="571" customFormat="1" ht="61.5" hidden="1" customHeight="1">
      <c r="A110" s="578"/>
      <c r="B110" s="1642"/>
      <c r="C110" s="590"/>
      <c r="D110" s="629" t="str">
        <f>IF($A110="","",VLOOKUP($A110,기본데이타!$A$8:$BV$103,COLUMN(기본데이타!F$8),0))</f>
        <v/>
      </c>
      <c r="E110" s="630" t="str">
        <f>IF($A110="","",VLOOKUP($A110,기본데이타!$A$8:$BV$103,COLUMN(기본데이타!G$8),0))</f>
        <v/>
      </c>
      <c r="F110" s="631" t="str">
        <f>IF($A110="","",VLOOKUP($A110,기본데이타!$A$8:$BV$103,COLUMN(기본데이타!H$8),0))</f>
        <v/>
      </c>
      <c r="G110" s="632" t="str">
        <f>IF($A110="","",VLOOKUP($A110,기본데이타!$A$8:$BV$103,COLUMN(기본데이타!I$8),0))</f>
        <v/>
      </c>
      <c r="H110" s="632" t="str">
        <f>IF($A110="","",VLOOKUP($A110,기본데이타!$A$8:$BV$103,COLUMN(기본데이타!J$8),0))</f>
        <v/>
      </c>
      <c r="I110" s="633" t="str">
        <f>IF($A110="","",VLOOKUP($A110,기본데이타!$A$8:$BV$103,COLUMN(기본데이타!K$8),0))</f>
        <v/>
      </c>
      <c r="J110" s="633" t="str">
        <f>IF($A110="","",VLOOKUP($A110,기본데이타!$A$8:$BV$103,COLUMN(기본데이타!L$8),0))</f>
        <v/>
      </c>
      <c r="K110" s="633" t="str">
        <f>IF($A110="","",VLOOKUP($A110,기본데이타!$A$8:$BV$103,COLUMN(기본데이타!M$8),0))</f>
        <v/>
      </c>
      <c r="L110" s="634" t="str">
        <f>IF($A110="","",VLOOKUP($A110,기본데이타!$A$8:$BV$103,COLUMN(기본데이타!N$8),0))</f>
        <v/>
      </c>
      <c r="M110" s="633" t="str">
        <f>IF($A110="","",VLOOKUP($A110,기본데이타!$A$8:$BV$103,COLUMN(기본데이타!O$8),0))</f>
        <v/>
      </c>
      <c r="N110" s="634" t="str">
        <f>IF($A110="","",VLOOKUP($A110,기본데이타!$A$8:$BV$103,COLUMN(기본데이타!P$8),0))</f>
        <v/>
      </c>
      <c r="O110" s="634" t="str">
        <f>IF($A110="","",VLOOKUP($A110,기본데이타!$A$8:$BV$103,COLUMN(기본데이타!Q$8),0))</f>
        <v/>
      </c>
      <c r="P110" s="634" t="str">
        <f>IF($A110="","",VLOOKUP($A110,기본데이타!$A$8:$BV$103,COLUMN(기본데이타!R$8),0))</f>
        <v/>
      </c>
      <c r="Q110" s="634" t="str">
        <f>IF($A110="","",VLOOKUP($A110,기본데이타!$A$8:$BV$103,COLUMN(기본데이타!S$8),0))</f>
        <v/>
      </c>
      <c r="R110" s="634" t="str">
        <f>IF($A110="","",VLOOKUP($A110,기본데이타!$A$8:$BV$103,COLUMN(기본데이타!T$8),0))</f>
        <v/>
      </c>
      <c r="S110" s="634" t="str">
        <f>IF($A110="","",VLOOKUP($A110,기본데이타!$A$8:$BV$103,COLUMN(기본데이타!U$8),0))</f>
        <v/>
      </c>
      <c r="T110" s="634" t="str">
        <f>IF($A110="","",VLOOKUP($A110,기본데이타!$A$8:$BV$103,COLUMN(기본데이타!V$8),0))</f>
        <v/>
      </c>
      <c r="U110" s="634" t="str">
        <f>IF($A110="","",VLOOKUP($A110,기본데이타!$A$8:$BV$103,COLUMN(기본데이타!W$8),0))</f>
        <v/>
      </c>
      <c r="V110" s="634" t="str">
        <f>IF($A110="","",VLOOKUP($A110,기본데이타!$A$8:$BV$103,COLUMN(기본데이타!X$8),0))</f>
        <v/>
      </c>
      <c r="W110" s="634" t="str">
        <f>IF($A110="","",VLOOKUP($A110,기본데이타!$A$8:$BV$103,COLUMN(기본데이타!AA$8),0))</f>
        <v/>
      </c>
      <c r="X110" s="634" t="str">
        <f>IF($A110="","",VLOOKUP($A110,기본데이타!$A$8:$BV$103,COLUMN(기본데이타!AB$8),0))</f>
        <v/>
      </c>
      <c r="Y110" s="633" t="str">
        <f>IF($A110="","",VLOOKUP($A110,기본데이타!$A$8:$BV$103,COLUMN(기본데이타!AC$8),0))</f>
        <v/>
      </c>
      <c r="Z110" s="634" t="str">
        <f>IF($A110="","",VLOOKUP($A110,기본데이타!$A$8:$BV$103,COLUMN(기본데이타!AD$8),0))</f>
        <v/>
      </c>
      <c r="AA110" s="633" t="str">
        <f>IF($A110="","",VLOOKUP($A110,기본데이타!$A$8:$BV$103,COLUMN(기본데이타!AE$8),0))</f>
        <v/>
      </c>
      <c r="AB110" s="634" t="str">
        <f>IF($A110="","",VLOOKUP($A110,기본데이타!$A$8:$BV$103,COLUMN(기본데이타!AF$8),0))</f>
        <v/>
      </c>
      <c r="AC110" s="633" t="str">
        <f>IF($A110="","",VLOOKUP($A110,기본데이타!$A$8:$BV$103,COLUMN(기본데이타!AG$8),0))</f>
        <v/>
      </c>
      <c r="AD110" s="634" t="str">
        <f>IF($A110="","",VLOOKUP($A110,기본데이타!$A$8:$BV$103,COLUMN(기본데이타!AH$8),0))</f>
        <v/>
      </c>
      <c r="AE110" s="633" t="str">
        <f>IF($A110="","",VLOOKUP($A110,기본데이타!$A$8:$BV$103,COLUMN(기본데이타!AI$8),0))</f>
        <v/>
      </c>
      <c r="AF110" s="635" t="str">
        <f>IF($A110="","",VLOOKUP($A110,기본데이타!$A$8:$BV$103,COLUMN(기본데이타!AJ$8),0))</f>
        <v/>
      </c>
      <c r="AG110" s="580" t="str">
        <f>IF($A110="","",VLOOKUP($A110,기본데이타!$A$8:$BV$103,COLUMN(기본데이타!AK$8),0))</f>
        <v/>
      </c>
      <c r="AH110" s="580" t="str">
        <f>IF($A110="","",VLOOKUP($A110,기본데이타!$A$8:$BV$103,COLUMN(기본데이타!AL$8),0))</f>
        <v/>
      </c>
      <c r="AI110" s="580" t="str">
        <f>IF($A110="","",VLOOKUP($A110,기본데이타!$A$8:$BV$103,COLUMN(기본데이타!AM$8),0))</f>
        <v/>
      </c>
      <c r="AJ110" s="636" t="str">
        <f>IF($A110="","",VLOOKUP($A110,기본데이타!$A$8:$BV$103,COLUMN(기본데이타!AN$8),0))</f>
        <v/>
      </c>
      <c r="AK110" s="636" t="str">
        <f>IF($A110="","",VLOOKUP($A110,기본데이타!$A$8:$BV$103,COLUMN(기본데이타!AO$8),0))</f>
        <v/>
      </c>
      <c r="AL110" s="636" t="str">
        <f>IF($A110="","",VLOOKUP($A110,기본데이타!$A$8:$BV$103,COLUMN(기본데이타!AP$8),0))</f>
        <v/>
      </c>
      <c r="AM110" s="636" t="str">
        <f>IF($A110="","",VLOOKUP($A110,기본데이타!$A$8:$BV$103,COLUMN(기본데이타!AQ$8),0))</f>
        <v/>
      </c>
      <c r="AN110" s="636" t="str">
        <f>IF($A110="","",VLOOKUP($A110,기본데이타!$A$8:$BV$103,COLUMN(기본데이타!AR$8),0))</f>
        <v/>
      </c>
      <c r="AO110" s="636" t="str">
        <f>IF($A110="","",VLOOKUP($A110,기본데이타!$A$8:$BV$103,COLUMN(기본데이타!AS$8),0))</f>
        <v/>
      </c>
      <c r="AP110" s="636" t="str">
        <f>IF($A110="","",VLOOKUP($A110,기본데이타!$A$8:$BV$103,COLUMN(기본데이타!AT$8),0))</f>
        <v/>
      </c>
      <c r="AQ110" s="636" t="str">
        <f>IF($A110="","",VLOOKUP($A110,기본데이타!$A$8:$BV$103,COLUMN(기본데이타!AU$8),0))</f>
        <v/>
      </c>
      <c r="AR110" s="637" t="str">
        <f>IF($A110="","",VLOOKUP($A110,기본데이타!$A$8:$BV$103,COLUMN(기본데이타!AV$8),0))</f>
        <v/>
      </c>
      <c r="AS110" s="634" t="str">
        <f>IF($A110="","",VLOOKUP($A110,기본데이타!$A$8:$BV$103,COLUMN(기본데이타!AW$8),0))</f>
        <v/>
      </c>
      <c r="AT110" s="634" t="str">
        <f>IF($A110="","",VLOOKUP($A110,기본데이타!$A$8:$BV$103,COLUMN(기본데이타!AX$8),0))</f>
        <v/>
      </c>
      <c r="AU110" s="634" t="str">
        <f>IF($A110="","",VLOOKUP($A110,기본데이타!$A$8:$BV$103,COLUMN(기본데이타!AY$8),0))</f>
        <v/>
      </c>
      <c r="AV110" s="634" t="str">
        <f>IF(AS110="","",SUM(AS110:AU110))</f>
        <v/>
      </c>
      <c r="AW110" s="635" t="str">
        <f>IF($A110="","",VLOOKUP($A110,기본데이타!$A$8:$BV$103,COLUMN(기본데이타!BA$8),0))</f>
        <v/>
      </c>
      <c r="AX110" s="635" t="str">
        <f>IF($A110="","",VLOOKUP($A110,기본데이타!$A$8:$BV$103,COLUMN(기본데이타!BB$8),0))</f>
        <v/>
      </c>
      <c r="AY110" s="635" t="str">
        <f>IF($A110="","",VLOOKUP($A110,기본데이타!$A$8:$BV$103,COLUMN(기본데이타!BC$8),0))</f>
        <v/>
      </c>
      <c r="AZ110" s="635" t="str">
        <f>IF($A110="","",VLOOKUP($A110,기본데이타!$A$8:$BV$103,COLUMN(기본데이타!BD$8),0))</f>
        <v/>
      </c>
      <c r="BA110" s="635" t="str">
        <f>IF($A110="","",VLOOKUP($A110,기본데이타!$A$8:$BV$103,COLUMN(기본데이타!BE$8),0))</f>
        <v/>
      </c>
      <c r="BB110" s="635" t="str">
        <f>IF($A110="","",VLOOKUP($A110,기본데이타!$A$8:$BV$103,COLUMN(기본데이타!BF$8),0))</f>
        <v/>
      </c>
      <c r="BC110" s="635" t="str">
        <f>IF($A110="","",VLOOKUP($A110,기본데이타!$A$8:$BV$103,COLUMN(기본데이타!BG$8),0))</f>
        <v/>
      </c>
      <c r="BD110" s="635" t="str">
        <f>IF($A110="","",VLOOKUP($A110,기본데이타!$A$8:$BV$103,COLUMN(기본데이타!BH$8),0))</f>
        <v/>
      </c>
      <c r="BE110" s="635" t="str">
        <f>IF($A110="","",VLOOKUP($A110,기본데이타!$A$8:$BV$103,COLUMN(기본데이타!BI$8),0))</f>
        <v/>
      </c>
      <c r="BF110" s="635" t="str">
        <f>IF($A110="","",VLOOKUP($A110,기본데이타!$A$8:$BV$103,COLUMN(기본데이타!BJ$8),0))</f>
        <v/>
      </c>
      <c r="BG110" s="635" t="str">
        <f>IF($A110="","",VLOOKUP($A110,기본데이타!$A$8:$BV$103,COLUMN(기본데이타!BK$8),0))</f>
        <v/>
      </c>
      <c r="BH110" s="635" t="str">
        <f>IF($A110="","",VLOOKUP($A110,기본데이타!$A$8:$BV$103,COLUMN(기본데이타!BL$8),0))</f>
        <v/>
      </c>
      <c r="BI110" s="635" t="str">
        <f>IF($A110="","",VLOOKUP($A110,기본데이타!$A$8:$BV$103,COLUMN(기본데이타!BM$8),0))</f>
        <v/>
      </c>
      <c r="BJ110" s="635" t="str">
        <f>IF($A110="","",VLOOKUP($A110,기본데이타!$A$8:$BV$103,COLUMN(기본데이타!BN$8),0))</f>
        <v/>
      </c>
      <c r="BK110" s="635" t="str">
        <f>IF($A110="","",VLOOKUP($A110,기본데이타!$A$8:$BV$103,COLUMN(기본데이타!BO$8),0))</f>
        <v/>
      </c>
      <c r="BL110" s="635" t="str">
        <f>IF($A110="","",VLOOKUP($A110,기본데이타!$A$8:$BV$103,COLUMN(기본데이타!BP$8),0))</f>
        <v/>
      </c>
      <c r="BM110" s="635" t="str">
        <f>IF($A110="","",VLOOKUP($A110,기본데이타!$A$8:$BV$103,COLUMN(기본데이타!BQ$8),0))</f>
        <v/>
      </c>
      <c r="BN110" s="638" t="str">
        <f>IF($A110="","",VLOOKUP($A110,기본데이타!$A$8:$BV$103,COLUMN(기본데이타!BR$8),0))</f>
        <v/>
      </c>
      <c r="BO110" s="579" t="str">
        <f>IF($A110="","",VLOOKUP($A110,기본데이타!$A$8:$BV$103,COLUMN(기본데이타!BS$8),0))</f>
        <v/>
      </c>
      <c r="BP110" s="639" t="str">
        <f>IF($A110="","",VLOOKUP($A110,기본데이타!$A$8:$BV$103,COLUMN(기본데이타!BT$8),0))</f>
        <v/>
      </c>
      <c r="BQ110" s="640" t="str">
        <f>IF($A110="","",VLOOKUP($A110,기본데이타!$A$8:$BV$103,COLUMN(기본데이타!BU$8),0))</f>
        <v/>
      </c>
      <c r="BR110" s="625" t="str">
        <f>IF($A110="","",A110)</f>
        <v/>
      </c>
    </row>
    <row r="111" spans="1:70" s="571" customFormat="1" ht="61.5" hidden="1" customHeight="1">
      <c r="A111" s="578"/>
      <c r="B111" s="1642"/>
      <c r="C111" s="590"/>
      <c r="D111" s="629" t="str">
        <f>IF($A111="","",VLOOKUP($A111,기본데이타!$A$8:$BV$103,COLUMN(기본데이타!F$8),0))</f>
        <v/>
      </c>
      <c r="E111" s="630" t="str">
        <f>IF($A111="","",VLOOKUP($A111,기본데이타!$A$8:$BV$103,COLUMN(기본데이타!G$8),0))</f>
        <v/>
      </c>
      <c r="F111" s="631" t="str">
        <f>IF($A111="","",VLOOKUP($A111,기본데이타!$A$8:$BV$103,COLUMN(기본데이타!H$8),0))</f>
        <v/>
      </c>
      <c r="G111" s="632" t="str">
        <f>IF($A111="","",VLOOKUP($A111,기본데이타!$A$8:$BV$103,COLUMN(기본데이타!I$8),0))</f>
        <v/>
      </c>
      <c r="H111" s="632" t="str">
        <f>IF($A111="","",VLOOKUP($A111,기본데이타!$A$8:$BV$103,COLUMN(기본데이타!J$8),0))</f>
        <v/>
      </c>
      <c r="I111" s="633" t="str">
        <f>IF($A111="","",VLOOKUP($A111,기본데이타!$A$8:$BV$103,COLUMN(기본데이타!K$8),0))</f>
        <v/>
      </c>
      <c r="J111" s="633" t="str">
        <f>IF($A111="","",VLOOKUP($A111,기본데이타!$A$8:$BV$103,COLUMN(기본데이타!L$8),0))</f>
        <v/>
      </c>
      <c r="K111" s="633" t="str">
        <f>IF($A111="","",VLOOKUP($A111,기본데이타!$A$8:$BV$103,COLUMN(기본데이타!M$8),0))</f>
        <v/>
      </c>
      <c r="L111" s="634" t="str">
        <f>IF($A111="","",VLOOKUP($A111,기본데이타!$A$8:$BV$103,COLUMN(기본데이타!N$8),0))</f>
        <v/>
      </c>
      <c r="M111" s="633" t="str">
        <f>IF($A111="","",VLOOKUP($A111,기본데이타!$A$8:$BV$103,COLUMN(기본데이타!O$8),0))</f>
        <v/>
      </c>
      <c r="N111" s="634" t="str">
        <f>IF($A111="","",VLOOKUP($A111,기본데이타!$A$8:$BV$103,COLUMN(기본데이타!P$8),0))</f>
        <v/>
      </c>
      <c r="O111" s="634" t="str">
        <f>IF($A111="","",VLOOKUP($A111,기본데이타!$A$8:$BV$103,COLUMN(기본데이타!Q$8),0))</f>
        <v/>
      </c>
      <c r="P111" s="634" t="str">
        <f>IF($A111="","",VLOOKUP($A111,기본데이타!$A$8:$BV$103,COLUMN(기본데이타!R$8),0))</f>
        <v/>
      </c>
      <c r="Q111" s="634" t="str">
        <f>IF($A111="","",VLOOKUP($A111,기본데이타!$A$8:$BV$103,COLUMN(기본데이타!S$8),0))</f>
        <v/>
      </c>
      <c r="R111" s="634" t="str">
        <f>IF($A111="","",VLOOKUP($A111,기본데이타!$A$8:$BV$103,COLUMN(기본데이타!T$8),0))</f>
        <v/>
      </c>
      <c r="S111" s="634" t="str">
        <f>IF($A111="","",VLOOKUP($A111,기본데이타!$A$8:$BV$103,COLUMN(기본데이타!U$8),0))</f>
        <v/>
      </c>
      <c r="T111" s="634" t="str">
        <f>IF($A111="","",VLOOKUP($A111,기본데이타!$A$8:$BV$103,COLUMN(기본데이타!V$8),0))</f>
        <v/>
      </c>
      <c r="U111" s="634" t="str">
        <f>IF($A111="","",VLOOKUP($A111,기본데이타!$A$8:$BV$103,COLUMN(기본데이타!W$8),0))</f>
        <v/>
      </c>
      <c r="V111" s="634" t="str">
        <f>IF($A111="","",VLOOKUP($A111,기본데이타!$A$8:$BV$103,COLUMN(기본데이타!X$8),0))</f>
        <v/>
      </c>
      <c r="W111" s="634" t="str">
        <f>IF($A111="","",VLOOKUP($A111,기본데이타!$A$8:$BV$103,COLUMN(기본데이타!AA$8),0))</f>
        <v/>
      </c>
      <c r="X111" s="634" t="str">
        <f>IF($A111="","",VLOOKUP($A111,기본데이타!$A$8:$BV$103,COLUMN(기본데이타!AB$8),0))</f>
        <v/>
      </c>
      <c r="Y111" s="633" t="str">
        <f>IF($A111="","",VLOOKUP($A111,기본데이타!$A$8:$BV$103,COLUMN(기본데이타!AC$8),0))</f>
        <v/>
      </c>
      <c r="Z111" s="634" t="str">
        <f>IF($A111="","",VLOOKUP($A111,기본데이타!$A$8:$BV$103,COLUMN(기본데이타!AD$8),0))</f>
        <v/>
      </c>
      <c r="AA111" s="633" t="str">
        <f>IF($A111="","",VLOOKUP($A111,기본데이타!$A$8:$BV$103,COLUMN(기본데이타!AE$8),0))</f>
        <v/>
      </c>
      <c r="AB111" s="634" t="str">
        <f>IF($A111="","",VLOOKUP($A111,기본데이타!$A$8:$BV$103,COLUMN(기본데이타!AF$8),0))</f>
        <v/>
      </c>
      <c r="AC111" s="633" t="str">
        <f>IF($A111="","",VLOOKUP($A111,기본데이타!$A$8:$BV$103,COLUMN(기본데이타!AG$8),0))</f>
        <v/>
      </c>
      <c r="AD111" s="634" t="str">
        <f>IF($A111="","",VLOOKUP($A111,기본데이타!$A$8:$BV$103,COLUMN(기본데이타!AH$8),0))</f>
        <v/>
      </c>
      <c r="AE111" s="633" t="str">
        <f>IF($A111="","",VLOOKUP($A111,기본데이타!$A$8:$BV$103,COLUMN(기본데이타!AI$8),0))</f>
        <v/>
      </c>
      <c r="AF111" s="635" t="str">
        <f>IF($A111="","",VLOOKUP($A111,기본데이타!$A$8:$BV$103,COLUMN(기본데이타!AJ$8),0))</f>
        <v/>
      </c>
      <c r="AG111" s="580" t="str">
        <f>IF($A111="","",VLOOKUP($A111,기본데이타!$A$8:$BV$103,COLUMN(기본데이타!AK$8),0))</f>
        <v/>
      </c>
      <c r="AH111" s="580" t="str">
        <f>IF($A111="","",VLOOKUP($A111,기본데이타!$A$8:$BV$103,COLUMN(기본데이타!AL$8),0))</f>
        <v/>
      </c>
      <c r="AI111" s="580" t="str">
        <f>IF($A111="","",VLOOKUP($A111,기본데이타!$A$8:$BV$103,COLUMN(기본데이타!AM$8),0))</f>
        <v/>
      </c>
      <c r="AJ111" s="636" t="str">
        <f>IF($A111="","",VLOOKUP($A111,기본데이타!$A$8:$BV$103,COLUMN(기본데이타!AN$8),0))</f>
        <v/>
      </c>
      <c r="AK111" s="636" t="str">
        <f>IF($A111="","",VLOOKUP($A111,기본데이타!$A$8:$BV$103,COLUMN(기본데이타!AO$8),0))</f>
        <v/>
      </c>
      <c r="AL111" s="636" t="str">
        <f>IF($A111="","",VLOOKUP($A111,기본데이타!$A$8:$BV$103,COLUMN(기본데이타!AP$8),0))</f>
        <v/>
      </c>
      <c r="AM111" s="636" t="str">
        <f>IF($A111="","",VLOOKUP($A111,기본데이타!$A$8:$BV$103,COLUMN(기본데이타!AQ$8),0))</f>
        <v/>
      </c>
      <c r="AN111" s="636" t="str">
        <f>IF($A111="","",VLOOKUP($A111,기본데이타!$A$8:$BV$103,COLUMN(기본데이타!AR$8),0))</f>
        <v/>
      </c>
      <c r="AO111" s="636" t="str">
        <f>IF($A111="","",VLOOKUP($A111,기본데이타!$A$8:$BV$103,COLUMN(기본데이타!AS$8),0))</f>
        <v/>
      </c>
      <c r="AP111" s="636" t="str">
        <f>IF($A111="","",VLOOKUP($A111,기본데이타!$A$8:$BV$103,COLUMN(기본데이타!AT$8),0))</f>
        <v/>
      </c>
      <c r="AQ111" s="636" t="str">
        <f>IF($A111="","",VLOOKUP($A111,기본데이타!$A$8:$BV$103,COLUMN(기본데이타!AU$8),0))</f>
        <v/>
      </c>
      <c r="AR111" s="637" t="str">
        <f>IF($A111="","",VLOOKUP($A111,기본데이타!$A$8:$BV$103,COLUMN(기본데이타!AV$8),0))</f>
        <v/>
      </c>
      <c r="AS111" s="634" t="str">
        <f>IF($A111="","",VLOOKUP($A111,기본데이타!$A$8:$BV$103,COLUMN(기본데이타!AW$8),0))</f>
        <v/>
      </c>
      <c r="AT111" s="634" t="str">
        <f>IF($A111="","",VLOOKUP($A111,기본데이타!$A$8:$BV$103,COLUMN(기본데이타!AX$8),0))</f>
        <v/>
      </c>
      <c r="AU111" s="634" t="str">
        <f>IF($A111="","",VLOOKUP($A111,기본데이타!$A$8:$BV$103,COLUMN(기본데이타!AY$8),0))</f>
        <v/>
      </c>
      <c r="AV111" s="634" t="str">
        <f>IF(AS111="","",SUM(AS111:AU111))</f>
        <v/>
      </c>
      <c r="AW111" s="635" t="str">
        <f>IF($A111="","",VLOOKUP($A111,기본데이타!$A$8:$BV$103,COLUMN(기본데이타!BA$8),0))</f>
        <v/>
      </c>
      <c r="AX111" s="635" t="str">
        <f>IF($A111="","",VLOOKUP($A111,기본데이타!$A$8:$BV$103,COLUMN(기본데이타!BB$8),0))</f>
        <v/>
      </c>
      <c r="AY111" s="635" t="str">
        <f>IF($A111="","",VLOOKUP($A111,기본데이타!$A$8:$BV$103,COLUMN(기본데이타!BC$8),0))</f>
        <v/>
      </c>
      <c r="AZ111" s="635" t="str">
        <f>IF($A111="","",VLOOKUP($A111,기본데이타!$A$8:$BV$103,COLUMN(기본데이타!BD$8),0))</f>
        <v/>
      </c>
      <c r="BA111" s="635" t="str">
        <f>IF($A111="","",VLOOKUP($A111,기본데이타!$A$8:$BV$103,COLUMN(기본데이타!BE$8),0))</f>
        <v/>
      </c>
      <c r="BB111" s="635" t="str">
        <f>IF($A111="","",VLOOKUP($A111,기본데이타!$A$8:$BV$103,COLUMN(기본데이타!BF$8),0))</f>
        <v/>
      </c>
      <c r="BC111" s="635" t="str">
        <f>IF($A111="","",VLOOKUP($A111,기본데이타!$A$8:$BV$103,COLUMN(기본데이타!BG$8),0))</f>
        <v/>
      </c>
      <c r="BD111" s="635" t="str">
        <f>IF($A111="","",VLOOKUP($A111,기본데이타!$A$8:$BV$103,COLUMN(기본데이타!BH$8),0))</f>
        <v/>
      </c>
      <c r="BE111" s="635" t="str">
        <f>IF($A111="","",VLOOKUP($A111,기본데이타!$A$8:$BV$103,COLUMN(기본데이타!BI$8),0))</f>
        <v/>
      </c>
      <c r="BF111" s="635" t="str">
        <f>IF($A111="","",VLOOKUP($A111,기본데이타!$A$8:$BV$103,COLUMN(기본데이타!BJ$8),0))</f>
        <v/>
      </c>
      <c r="BG111" s="635" t="str">
        <f>IF($A111="","",VLOOKUP($A111,기본데이타!$A$8:$BV$103,COLUMN(기본데이타!BK$8),0))</f>
        <v/>
      </c>
      <c r="BH111" s="635" t="str">
        <f>IF($A111="","",VLOOKUP($A111,기본데이타!$A$8:$BV$103,COLUMN(기본데이타!BL$8),0))</f>
        <v/>
      </c>
      <c r="BI111" s="635" t="str">
        <f>IF($A111="","",VLOOKUP($A111,기본데이타!$A$8:$BV$103,COLUMN(기본데이타!BM$8),0))</f>
        <v/>
      </c>
      <c r="BJ111" s="635" t="str">
        <f>IF($A111="","",VLOOKUP($A111,기본데이타!$A$8:$BV$103,COLUMN(기본데이타!BN$8),0))</f>
        <v/>
      </c>
      <c r="BK111" s="635" t="str">
        <f>IF($A111="","",VLOOKUP($A111,기본데이타!$A$8:$BV$103,COLUMN(기본데이타!BO$8),0))</f>
        <v/>
      </c>
      <c r="BL111" s="635" t="str">
        <f>IF($A111="","",VLOOKUP($A111,기본데이타!$A$8:$BV$103,COLUMN(기본데이타!BP$8),0))</f>
        <v/>
      </c>
      <c r="BM111" s="635" t="str">
        <f>IF($A111="","",VLOOKUP($A111,기본데이타!$A$8:$BV$103,COLUMN(기본데이타!BQ$8),0))</f>
        <v/>
      </c>
      <c r="BN111" s="638" t="str">
        <f>IF($A111="","",VLOOKUP($A111,기본데이타!$A$8:$BV$103,COLUMN(기본데이타!BR$8),0))</f>
        <v/>
      </c>
      <c r="BO111" s="579" t="str">
        <f>IF($A111="","",VLOOKUP($A111,기본데이타!$A$8:$BV$103,COLUMN(기본데이타!BS$8),0))</f>
        <v/>
      </c>
      <c r="BP111" s="639" t="str">
        <f>IF($A111="","",VLOOKUP($A111,기본데이타!$A$8:$BV$103,COLUMN(기본데이타!BT$8),0))</f>
        <v/>
      </c>
      <c r="BQ111" s="640" t="str">
        <f>IF($A111="","",VLOOKUP($A111,기본데이타!$A$8:$BV$103,COLUMN(기본데이타!BU$8),0))</f>
        <v/>
      </c>
      <c r="BR111" s="625" t="str">
        <f>IF($A111="","",A111)</f>
        <v/>
      </c>
    </row>
    <row r="112" spans="1:70" s="571" customFormat="1" ht="61.5" hidden="1" customHeight="1">
      <c r="A112" s="578"/>
      <c r="B112" s="1642"/>
      <c r="C112" s="590"/>
      <c r="D112" s="591" t="str">
        <f>IF($A112="","",VLOOKUP($A112,기본데이타!$A$8:$BV$103,COLUMN(기본데이타!F$8),0))</f>
        <v/>
      </c>
      <c r="E112" s="592" t="str">
        <f>IF($A112="","",VLOOKUP($A112,기본데이타!$A$8:$BV$103,COLUMN(기본데이타!G$8),0))</f>
        <v/>
      </c>
      <c r="F112" s="593" t="str">
        <f>IF($A112="","",VLOOKUP($A112,기본데이타!$A$8:$BV$103,COLUMN(기본데이타!H$8),0))</f>
        <v/>
      </c>
      <c r="G112" s="594" t="str">
        <f>IF($A112="","",VLOOKUP($A112,기본데이타!$A$8:$BV$103,COLUMN(기본데이타!I$8),0))</f>
        <v/>
      </c>
      <c r="H112" s="594" t="str">
        <f>IF($A112="","",VLOOKUP($A112,기본데이타!$A$8:$BV$103,COLUMN(기본데이타!J$8),0))</f>
        <v/>
      </c>
      <c r="I112" s="595" t="str">
        <f>IF($A112="","",VLOOKUP($A112,기본데이타!$A$8:$BV$103,COLUMN(기본데이타!K$8),0))</f>
        <v/>
      </c>
      <c r="J112" s="595" t="str">
        <f>IF($A112="","",VLOOKUP($A112,기본데이타!$A$8:$BV$103,COLUMN(기본데이타!L$8),0))</f>
        <v/>
      </c>
      <c r="K112" s="595" t="str">
        <f>IF($A112="","",VLOOKUP($A112,기본데이타!$A$8:$BV$103,COLUMN(기본데이타!M$8),0))</f>
        <v/>
      </c>
      <c r="L112" s="596" t="str">
        <f>IF($A112="","",VLOOKUP($A112,기본데이타!$A$8:$BV$103,COLUMN(기본데이타!N$8),0))</f>
        <v/>
      </c>
      <c r="M112" s="595" t="str">
        <f>IF($A112="","",VLOOKUP($A112,기본데이타!$A$8:$BV$103,COLUMN(기본데이타!O$8),0))</f>
        <v/>
      </c>
      <c r="N112" s="596" t="str">
        <f>IF($A112="","",VLOOKUP($A112,기본데이타!$A$8:$BV$103,COLUMN(기본데이타!P$8),0))</f>
        <v/>
      </c>
      <c r="O112" s="596" t="str">
        <f>IF($A112="","",VLOOKUP($A112,기본데이타!$A$8:$BV$103,COLUMN(기본데이타!Q$8),0))</f>
        <v/>
      </c>
      <c r="P112" s="596" t="str">
        <f>IF($A112="","",VLOOKUP($A112,기본데이타!$A$8:$BV$103,COLUMN(기본데이타!R$8),0))</f>
        <v/>
      </c>
      <c r="Q112" s="596" t="str">
        <f>IF($A112="","",VLOOKUP($A112,기본데이타!$A$8:$BV$103,COLUMN(기본데이타!S$8),0))</f>
        <v/>
      </c>
      <c r="R112" s="596" t="str">
        <f>IF($A112="","",VLOOKUP($A112,기본데이타!$A$8:$BV$103,COLUMN(기본데이타!T$8),0))</f>
        <v/>
      </c>
      <c r="S112" s="596" t="str">
        <f>IF($A112="","",VLOOKUP($A112,기본데이타!$A$8:$BV$103,COLUMN(기본데이타!U$8),0))</f>
        <v/>
      </c>
      <c r="T112" s="596" t="str">
        <f>IF($A112="","",VLOOKUP($A112,기본데이타!$A$8:$BV$103,COLUMN(기본데이타!V$8),0))</f>
        <v/>
      </c>
      <c r="U112" s="596" t="str">
        <f>IF($A112="","",VLOOKUP($A112,기본데이타!$A$8:$BV$103,COLUMN(기본데이타!W$8),0))</f>
        <v/>
      </c>
      <c r="V112" s="596" t="str">
        <f>IF($A112="","",VLOOKUP($A112,기본데이타!$A$8:$BV$103,COLUMN(기본데이타!X$8),0))</f>
        <v/>
      </c>
      <c r="W112" s="596" t="str">
        <f>IF($A112="","",VLOOKUP($A112,기본데이타!$A$8:$BV$103,COLUMN(기본데이타!AA$8),0))</f>
        <v/>
      </c>
      <c r="X112" s="596" t="str">
        <f>IF($A112="","",VLOOKUP($A112,기본데이타!$A$8:$BV$103,COLUMN(기본데이타!AB$8),0))</f>
        <v/>
      </c>
      <c r="Y112" s="595" t="str">
        <f>IF($A112="","",VLOOKUP($A112,기본데이타!$A$8:$BV$103,COLUMN(기본데이타!AC$8),0))</f>
        <v/>
      </c>
      <c r="Z112" s="596" t="str">
        <f>IF($A112="","",VLOOKUP($A112,기본데이타!$A$8:$BV$103,COLUMN(기본데이타!AD$8),0))</f>
        <v/>
      </c>
      <c r="AA112" s="595" t="str">
        <f>IF($A112="","",VLOOKUP($A112,기본데이타!$A$8:$BV$103,COLUMN(기본데이타!AE$8),0))</f>
        <v/>
      </c>
      <c r="AB112" s="596" t="str">
        <f>IF($A112="","",VLOOKUP($A112,기본데이타!$A$8:$BV$103,COLUMN(기본데이타!AF$8),0))</f>
        <v/>
      </c>
      <c r="AC112" s="595" t="str">
        <f>IF($A112="","",VLOOKUP($A112,기본데이타!$A$8:$BV$103,COLUMN(기본데이타!AG$8),0))</f>
        <v/>
      </c>
      <c r="AD112" s="596" t="str">
        <f>IF($A112="","",VLOOKUP($A112,기본데이타!$A$8:$BV$103,COLUMN(기본데이타!AH$8),0))</f>
        <v/>
      </c>
      <c r="AE112" s="595" t="str">
        <f>IF($A112="","",VLOOKUP($A112,기본데이타!$A$8:$BV$103,COLUMN(기본데이타!AI$8),0))</f>
        <v/>
      </c>
      <c r="AF112" s="597" t="str">
        <f>IF($A112="","",VLOOKUP($A112,기본데이타!$A$8:$BV$103,COLUMN(기본데이타!AJ$8),0))</f>
        <v/>
      </c>
      <c r="AG112" s="621" t="str">
        <f>IF($A112="","",VLOOKUP($A112,기본데이타!$A$8:$BV$103,COLUMN(기본데이타!AK$8),0))</f>
        <v/>
      </c>
      <c r="AH112" s="621" t="str">
        <f>IF($A112="","",VLOOKUP($A112,기본데이타!$A$8:$BV$103,COLUMN(기본데이타!AL$8),0))</f>
        <v/>
      </c>
      <c r="AI112" s="621" t="str">
        <f>IF($A112="","",VLOOKUP($A112,기본데이타!$A$8:$BV$103,COLUMN(기본데이타!AM$8),0))</f>
        <v/>
      </c>
      <c r="AJ112" s="642" t="str">
        <f>IF($A112="","",VLOOKUP($A112,기본데이타!$A$8:$BV$103,COLUMN(기본데이타!AN$8),0))</f>
        <v/>
      </c>
      <c r="AK112" s="642" t="str">
        <f>IF($A112="","",VLOOKUP($A112,기본데이타!$A$8:$BV$103,COLUMN(기본데이타!AO$8),0))</f>
        <v/>
      </c>
      <c r="AL112" s="642" t="str">
        <f>IF($A112="","",VLOOKUP($A112,기본데이타!$A$8:$BV$103,COLUMN(기본데이타!AP$8),0))</f>
        <v/>
      </c>
      <c r="AM112" s="642" t="str">
        <f>IF($A112="","",VLOOKUP($A112,기본데이타!$A$8:$BV$103,COLUMN(기본데이타!AQ$8),0))</f>
        <v/>
      </c>
      <c r="AN112" s="642" t="str">
        <f>IF($A112="","",VLOOKUP($A112,기본데이타!$A$8:$BV$103,COLUMN(기본데이타!AR$8),0))</f>
        <v/>
      </c>
      <c r="AO112" s="642" t="str">
        <f>IF($A112="","",VLOOKUP($A112,기본데이타!$A$8:$BV$103,COLUMN(기본데이타!AS$8),0))</f>
        <v/>
      </c>
      <c r="AP112" s="642" t="str">
        <f>IF($A112="","",VLOOKUP($A112,기본데이타!$A$8:$BV$103,COLUMN(기본데이타!AT$8),0))</f>
        <v/>
      </c>
      <c r="AQ112" s="642" t="str">
        <f>IF($A112="","",VLOOKUP($A112,기본데이타!$A$8:$BV$103,COLUMN(기본데이타!AU$8),0))</f>
        <v/>
      </c>
      <c r="AR112" s="643" t="str">
        <f>IF($A112="","",VLOOKUP($A112,기본데이타!$A$8:$BV$103,COLUMN(기본데이타!AV$8),0))</f>
        <v/>
      </c>
      <c r="AS112" s="596" t="str">
        <f>IF($A112="","",VLOOKUP($A112,기본데이타!$A$8:$BV$103,COLUMN(기본데이타!AW$8),0))</f>
        <v/>
      </c>
      <c r="AT112" s="596" t="str">
        <f>IF($A112="","",VLOOKUP($A112,기본데이타!$A$8:$BV$103,COLUMN(기본데이타!AX$8),0))</f>
        <v/>
      </c>
      <c r="AU112" s="596" t="str">
        <f>IF($A112="","",VLOOKUP($A112,기본데이타!$A$8:$BV$103,COLUMN(기본데이타!AY$8),0))</f>
        <v/>
      </c>
      <c r="AV112" s="596" t="str">
        <f>IF(AS112="","",SUM(AS112:AU112))</f>
        <v/>
      </c>
      <c r="AW112" s="597" t="str">
        <f>IF($A112="","",VLOOKUP($A112,기본데이타!$A$8:$BV$103,COLUMN(기본데이타!BA$8),0))</f>
        <v/>
      </c>
      <c r="AX112" s="597" t="str">
        <f>IF($A112="","",VLOOKUP($A112,기본데이타!$A$8:$BV$103,COLUMN(기본데이타!BB$8),0))</f>
        <v/>
      </c>
      <c r="AY112" s="597" t="str">
        <f>IF($A112="","",VLOOKUP($A112,기본데이타!$A$8:$BV$103,COLUMN(기본데이타!BC$8),0))</f>
        <v/>
      </c>
      <c r="AZ112" s="597" t="str">
        <f>IF($A112="","",VLOOKUP($A112,기본데이타!$A$8:$BV$103,COLUMN(기본데이타!BD$8),0))</f>
        <v/>
      </c>
      <c r="BA112" s="597" t="str">
        <f>IF($A112="","",VLOOKUP($A112,기본데이타!$A$8:$BV$103,COLUMN(기본데이타!BE$8),0))</f>
        <v/>
      </c>
      <c r="BB112" s="597" t="str">
        <f>IF($A112="","",VLOOKUP($A112,기본데이타!$A$8:$BV$103,COLUMN(기본데이타!BF$8),0))</f>
        <v/>
      </c>
      <c r="BC112" s="597" t="str">
        <f>IF($A112="","",VLOOKUP($A112,기본데이타!$A$8:$BV$103,COLUMN(기본데이타!BG$8),0))</f>
        <v/>
      </c>
      <c r="BD112" s="597" t="str">
        <f>IF($A112="","",VLOOKUP($A112,기본데이타!$A$8:$BV$103,COLUMN(기본데이타!BH$8),0))</f>
        <v/>
      </c>
      <c r="BE112" s="597" t="str">
        <f>IF($A112="","",VLOOKUP($A112,기본데이타!$A$8:$BV$103,COLUMN(기본데이타!BI$8),0))</f>
        <v/>
      </c>
      <c r="BF112" s="597" t="str">
        <f>IF($A112="","",VLOOKUP($A112,기본데이타!$A$8:$BV$103,COLUMN(기본데이타!BJ$8),0))</f>
        <v/>
      </c>
      <c r="BG112" s="597" t="str">
        <f>IF($A112="","",VLOOKUP($A112,기본데이타!$A$8:$BV$103,COLUMN(기본데이타!BK$8),0))</f>
        <v/>
      </c>
      <c r="BH112" s="597" t="str">
        <f>IF($A112="","",VLOOKUP($A112,기본데이타!$A$8:$BV$103,COLUMN(기본데이타!BL$8),0))</f>
        <v/>
      </c>
      <c r="BI112" s="597" t="str">
        <f>IF($A112="","",VLOOKUP($A112,기본데이타!$A$8:$BV$103,COLUMN(기본데이타!BM$8),0))</f>
        <v/>
      </c>
      <c r="BJ112" s="597" t="str">
        <f>IF($A112="","",VLOOKUP($A112,기본데이타!$A$8:$BV$103,COLUMN(기본데이타!BN$8),0))</f>
        <v/>
      </c>
      <c r="BK112" s="597" t="str">
        <f>IF($A112="","",VLOOKUP($A112,기본데이타!$A$8:$BV$103,COLUMN(기본데이타!BO$8),0))</f>
        <v/>
      </c>
      <c r="BL112" s="597" t="str">
        <f>IF($A112="","",VLOOKUP($A112,기본데이타!$A$8:$BV$103,COLUMN(기본데이타!BP$8),0))</f>
        <v/>
      </c>
      <c r="BM112" s="597" t="str">
        <f>IF($A112="","",VLOOKUP($A112,기본데이타!$A$8:$BV$103,COLUMN(기본데이타!BQ$8),0))</f>
        <v/>
      </c>
      <c r="BN112" s="599" t="str">
        <f>IF($A112="","",VLOOKUP($A112,기본데이타!$A$8:$BV$103,COLUMN(기본데이타!BR$8),0))</f>
        <v/>
      </c>
      <c r="BO112" s="600" t="str">
        <f>IF($A112="","",VLOOKUP($A112,기본데이타!$A$8:$BV$103,COLUMN(기본데이타!BS$8),0))</f>
        <v/>
      </c>
      <c r="BP112" s="623" t="str">
        <f>IF($A112="","",VLOOKUP($A112,기본데이타!$A$8:$BV$103,COLUMN(기본데이타!BT$8),0))</f>
        <v/>
      </c>
      <c r="BQ112" s="602" t="str">
        <f>IF($A112="","",VLOOKUP($A112,기본데이타!$A$8:$BV$103,COLUMN(기본데이타!BU$8),0))</f>
        <v/>
      </c>
      <c r="BR112" s="603" t="str">
        <f>IF($A112="","",A112)</f>
        <v/>
      </c>
    </row>
    <row r="113" spans="1:70" s="571" customFormat="1" ht="61.5" hidden="1" customHeight="1">
      <c r="A113" s="578"/>
      <c r="B113" s="1642"/>
      <c r="C113" s="590"/>
      <c r="D113" s="629" t="str">
        <f>IF($A113="","",VLOOKUP($A113,기본데이타!$A$8:$BV$103,COLUMN(기본데이타!F$8),0))</f>
        <v/>
      </c>
      <c r="E113" s="630" t="str">
        <f>IF($A113="","",VLOOKUP($A113,기본데이타!$A$8:$BV$103,COLUMN(기본데이타!G$8),0))</f>
        <v/>
      </c>
      <c r="F113" s="631" t="str">
        <f>IF($A113="","",VLOOKUP($A113,기본데이타!$A$8:$BV$103,COLUMN(기본데이타!H$8),0))</f>
        <v/>
      </c>
      <c r="G113" s="632" t="str">
        <f>IF($A113="","",VLOOKUP($A113,기본데이타!$A$8:$BV$103,COLUMN(기본데이타!I$8),0))</f>
        <v/>
      </c>
      <c r="H113" s="632" t="str">
        <f>IF($A113="","",VLOOKUP($A113,기본데이타!$A$8:$BV$103,COLUMN(기본데이타!J$8),0))</f>
        <v/>
      </c>
      <c r="I113" s="633" t="str">
        <f>IF($A113="","",VLOOKUP($A113,기본데이타!$A$8:$BV$103,COLUMN(기본데이타!K$8),0))</f>
        <v/>
      </c>
      <c r="J113" s="633" t="str">
        <f>IF($A113="","",VLOOKUP($A113,기본데이타!$A$8:$BV$103,COLUMN(기본데이타!L$8),0))</f>
        <v/>
      </c>
      <c r="K113" s="633" t="str">
        <f>IF($A113="","",VLOOKUP($A113,기본데이타!$A$8:$BV$103,COLUMN(기본데이타!M$8),0))</f>
        <v/>
      </c>
      <c r="L113" s="634" t="str">
        <f>IF($A113="","",VLOOKUP($A113,기본데이타!$A$8:$BV$103,COLUMN(기본데이타!N$8),0))</f>
        <v/>
      </c>
      <c r="M113" s="633" t="str">
        <f>IF($A113="","",VLOOKUP($A113,기본데이타!$A$8:$BV$103,COLUMN(기본데이타!O$8),0))</f>
        <v/>
      </c>
      <c r="N113" s="634" t="str">
        <f>IF($A113="","",VLOOKUP($A113,기본데이타!$A$8:$BV$103,COLUMN(기본데이타!P$8),0))</f>
        <v/>
      </c>
      <c r="O113" s="634" t="str">
        <f>IF($A113="","",VLOOKUP($A113,기본데이타!$A$8:$BV$103,COLUMN(기본데이타!Q$8),0))</f>
        <v/>
      </c>
      <c r="P113" s="634" t="str">
        <f>IF($A113="","",VLOOKUP($A113,기본데이타!$A$8:$BV$103,COLUMN(기본데이타!R$8),0))</f>
        <v/>
      </c>
      <c r="Q113" s="634" t="str">
        <f>IF($A113="","",VLOOKUP($A113,기본데이타!$A$8:$BV$103,COLUMN(기본데이타!S$8),0))</f>
        <v/>
      </c>
      <c r="R113" s="634" t="str">
        <f>IF($A113="","",VLOOKUP($A113,기본데이타!$A$8:$BV$103,COLUMN(기본데이타!T$8),0))</f>
        <v/>
      </c>
      <c r="S113" s="634" t="str">
        <f>IF($A113="","",VLOOKUP($A113,기본데이타!$A$8:$BV$103,COLUMN(기본데이타!U$8),0))</f>
        <v/>
      </c>
      <c r="T113" s="634" t="str">
        <f>IF($A113="","",VLOOKUP($A113,기본데이타!$A$8:$BV$103,COLUMN(기본데이타!V$8),0))</f>
        <v/>
      </c>
      <c r="U113" s="634" t="str">
        <f>IF($A113="","",VLOOKUP($A113,기본데이타!$A$8:$BV$103,COLUMN(기본데이타!W$8),0))</f>
        <v/>
      </c>
      <c r="V113" s="634" t="str">
        <f>IF($A113="","",VLOOKUP($A113,기본데이타!$A$8:$BV$103,COLUMN(기본데이타!X$8),0))</f>
        <v/>
      </c>
      <c r="W113" s="634" t="str">
        <f>IF($A113="","",VLOOKUP($A113,기본데이타!$A$8:$BV$103,COLUMN(기본데이타!AA$8),0))</f>
        <v/>
      </c>
      <c r="X113" s="634" t="str">
        <f>IF($A113="","",VLOOKUP($A113,기본데이타!$A$8:$BV$103,COLUMN(기본데이타!AB$8),0))</f>
        <v/>
      </c>
      <c r="Y113" s="633" t="str">
        <f>IF($A113="","",VLOOKUP($A113,기본데이타!$A$8:$BV$103,COLUMN(기본데이타!AC$8),0))</f>
        <v/>
      </c>
      <c r="Z113" s="634" t="str">
        <f>IF($A113="","",VLOOKUP($A113,기본데이타!$A$8:$BV$103,COLUMN(기본데이타!AD$8),0))</f>
        <v/>
      </c>
      <c r="AA113" s="633" t="str">
        <f>IF($A113="","",VLOOKUP($A113,기본데이타!$A$8:$BV$103,COLUMN(기본데이타!AE$8),0))</f>
        <v/>
      </c>
      <c r="AB113" s="634" t="str">
        <f>IF($A113="","",VLOOKUP($A113,기본데이타!$A$8:$BV$103,COLUMN(기본데이타!AF$8),0))</f>
        <v/>
      </c>
      <c r="AC113" s="633" t="str">
        <f>IF($A113="","",VLOOKUP($A113,기본데이타!$A$8:$BV$103,COLUMN(기본데이타!AG$8),0))</f>
        <v/>
      </c>
      <c r="AD113" s="634" t="str">
        <f>IF($A113="","",VLOOKUP($A113,기본데이타!$A$8:$BV$103,COLUMN(기본데이타!AH$8),0))</f>
        <v/>
      </c>
      <c r="AE113" s="633" t="str">
        <f>IF($A113="","",VLOOKUP($A113,기본데이타!$A$8:$BV$103,COLUMN(기본데이타!AI$8),0))</f>
        <v/>
      </c>
      <c r="AF113" s="635" t="str">
        <f>IF($A113="","",VLOOKUP($A113,기본데이타!$A$8:$BV$103,COLUMN(기본데이타!AJ$8),0))</f>
        <v/>
      </c>
      <c r="AG113" s="580" t="str">
        <f>IF($A113="","",VLOOKUP($A113,기본데이타!$A$8:$BV$103,COLUMN(기본데이타!AK$8),0))</f>
        <v/>
      </c>
      <c r="AH113" s="580" t="str">
        <f>IF($A113="","",VLOOKUP($A113,기본데이타!$A$8:$BV$103,COLUMN(기본데이타!AL$8),0))</f>
        <v/>
      </c>
      <c r="AI113" s="580" t="str">
        <f>IF($A113="","",VLOOKUP($A113,기본데이타!$A$8:$BV$103,COLUMN(기본데이타!AM$8),0))</f>
        <v/>
      </c>
      <c r="AJ113" s="636" t="str">
        <f>IF($A113="","",VLOOKUP($A113,기본데이타!$A$8:$BV$103,COLUMN(기본데이타!AN$8),0))</f>
        <v/>
      </c>
      <c r="AK113" s="636" t="str">
        <f>IF($A113="","",VLOOKUP($A113,기본데이타!$A$8:$BV$103,COLUMN(기본데이타!AO$8),0))</f>
        <v/>
      </c>
      <c r="AL113" s="636" t="str">
        <f>IF($A113="","",VLOOKUP($A113,기본데이타!$A$8:$BV$103,COLUMN(기본데이타!AP$8),0))</f>
        <v/>
      </c>
      <c r="AM113" s="636" t="str">
        <f>IF($A113="","",VLOOKUP($A113,기본데이타!$A$8:$BV$103,COLUMN(기본데이타!AQ$8),0))</f>
        <v/>
      </c>
      <c r="AN113" s="636" t="str">
        <f>IF($A113="","",VLOOKUP($A113,기본데이타!$A$8:$BV$103,COLUMN(기본데이타!AR$8),0))</f>
        <v/>
      </c>
      <c r="AO113" s="636" t="str">
        <f>IF($A113="","",VLOOKUP($A113,기본데이타!$A$8:$BV$103,COLUMN(기본데이타!AS$8),0))</f>
        <v/>
      </c>
      <c r="AP113" s="636" t="str">
        <f>IF($A113="","",VLOOKUP($A113,기본데이타!$A$8:$BV$103,COLUMN(기본데이타!AT$8),0))</f>
        <v/>
      </c>
      <c r="AQ113" s="636" t="str">
        <f>IF($A113="","",VLOOKUP($A113,기본데이타!$A$8:$BV$103,COLUMN(기본데이타!AU$8),0))</f>
        <v/>
      </c>
      <c r="AR113" s="637" t="str">
        <f>IF($A113="","",VLOOKUP($A113,기본데이타!$A$8:$BV$103,COLUMN(기본데이타!AV$8),0))</f>
        <v/>
      </c>
      <c r="AS113" s="634" t="str">
        <f>IF($A113="","",VLOOKUP($A113,기본데이타!$A$8:$BV$103,COLUMN(기본데이타!AW$8),0))</f>
        <v/>
      </c>
      <c r="AT113" s="634" t="str">
        <f>IF($A113="","",VLOOKUP($A113,기본데이타!$A$8:$BV$103,COLUMN(기본데이타!AX$8),0))</f>
        <v/>
      </c>
      <c r="AU113" s="634" t="str">
        <f>IF($A113="","",VLOOKUP($A113,기본데이타!$A$8:$BV$103,COLUMN(기본데이타!AY$8),0))</f>
        <v/>
      </c>
      <c r="AV113" s="634" t="str">
        <f t="shared" si="16"/>
        <v/>
      </c>
      <c r="AW113" s="635" t="str">
        <f>IF($A113="","",VLOOKUP($A113,기본데이타!$A$8:$BV$103,COLUMN(기본데이타!BA$8),0))</f>
        <v/>
      </c>
      <c r="AX113" s="635" t="str">
        <f>IF($A113="","",VLOOKUP($A113,기본데이타!$A$8:$BV$103,COLUMN(기본데이타!BB$8),0))</f>
        <v/>
      </c>
      <c r="AY113" s="635" t="str">
        <f>IF($A113="","",VLOOKUP($A113,기본데이타!$A$8:$BV$103,COLUMN(기본데이타!BC$8),0))</f>
        <v/>
      </c>
      <c r="AZ113" s="635" t="str">
        <f>IF($A113="","",VLOOKUP($A113,기본데이타!$A$8:$BV$103,COLUMN(기본데이타!BD$8),0))</f>
        <v/>
      </c>
      <c r="BA113" s="635" t="str">
        <f>IF($A113="","",VLOOKUP($A113,기본데이타!$A$8:$BV$103,COLUMN(기본데이타!BE$8),0))</f>
        <v/>
      </c>
      <c r="BB113" s="635" t="str">
        <f>IF($A113="","",VLOOKUP($A113,기본데이타!$A$8:$BV$103,COLUMN(기본데이타!BF$8),0))</f>
        <v/>
      </c>
      <c r="BC113" s="635" t="str">
        <f>IF($A113="","",VLOOKUP($A113,기본데이타!$A$8:$BV$103,COLUMN(기본데이타!BG$8),0))</f>
        <v/>
      </c>
      <c r="BD113" s="635" t="str">
        <f>IF($A113="","",VLOOKUP($A113,기본데이타!$A$8:$BV$103,COLUMN(기본데이타!BH$8),0))</f>
        <v/>
      </c>
      <c r="BE113" s="635" t="str">
        <f>IF($A113="","",VLOOKUP($A113,기본데이타!$A$8:$BV$103,COLUMN(기본데이타!BI$8),0))</f>
        <v/>
      </c>
      <c r="BF113" s="635" t="str">
        <f>IF($A113="","",VLOOKUP($A113,기본데이타!$A$8:$BV$103,COLUMN(기본데이타!BJ$8),0))</f>
        <v/>
      </c>
      <c r="BG113" s="635" t="str">
        <f>IF($A113="","",VLOOKUP($A113,기본데이타!$A$8:$BV$103,COLUMN(기본데이타!BK$8),0))</f>
        <v/>
      </c>
      <c r="BH113" s="635" t="str">
        <f>IF($A113="","",VLOOKUP($A113,기본데이타!$A$8:$BV$103,COLUMN(기본데이타!BL$8),0))</f>
        <v/>
      </c>
      <c r="BI113" s="635" t="str">
        <f>IF($A113="","",VLOOKUP($A113,기본데이타!$A$8:$BV$103,COLUMN(기본데이타!BM$8),0))</f>
        <v/>
      </c>
      <c r="BJ113" s="635" t="str">
        <f>IF($A113="","",VLOOKUP($A113,기본데이타!$A$8:$BV$103,COLUMN(기본데이타!BN$8),0))</f>
        <v/>
      </c>
      <c r="BK113" s="635" t="str">
        <f>IF($A113="","",VLOOKUP($A113,기본데이타!$A$8:$BV$103,COLUMN(기본데이타!BO$8),0))</f>
        <v/>
      </c>
      <c r="BL113" s="635" t="str">
        <f>IF($A113="","",VLOOKUP($A113,기본데이타!$A$8:$BV$103,COLUMN(기본데이타!BP$8),0))</f>
        <v/>
      </c>
      <c r="BM113" s="635" t="str">
        <f>IF($A113="","",VLOOKUP($A113,기본데이타!$A$8:$BV$103,COLUMN(기본데이타!BQ$8),0))</f>
        <v/>
      </c>
      <c r="BN113" s="638" t="str">
        <f>IF($A113="","",VLOOKUP($A113,기본데이타!$A$8:$BV$103,COLUMN(기본데이타!BR$8),0))</f>
        <v/>
      </c>
      <c r="BO113" s="579" t="str">
        <f>IF($A113="","",VLOOKUP($A113,기본데이타!$A$8:$BV$103,COLUMN(기본데이타!BS$8),0))</f>
        <v/>
      </c>
      <c r="BP113" s="639" t="str">
        <f>IF($A113="","",VLOOKUP($A113,기본데이타!$A$8:$BV$103,COLUMN(기본데이타!BT$8),0))</f>
        <v/>
      </c>
      <c r="BQ113" s="640" t="str">
        <f>IF($A113="","",VLOOKUP($A113,기본데이타!$A$8:$BV$103,COLUMN(기본데이타!BU$8),0))</f>
        <v/>
      </c>
      <c r="BR113" s="625" t="str">
        <f t="shared" si="17"/>
        <v/>
      </c>
    </row>
    <row r="114" spans="1:70" s="571" customFormat="1" ht="61.5" hidden="1" customHeight="1">
      <c r="A114" s="578"/>
      <c r="B114" s="1642"/>
      <c r="C114" s="590"/>
      <c r="D114" s="629" t="str">
        <f>IF($A114="","",VLOOKUP($A114,기본데이타!$A$8:$BV$103,COLUMN(기본데이타!F$8),0))</f>
        <v/>
      </c>
      <c r="E114" s="630" t="str">
        <f>IF($A114="","",VLOOKUP($A114,기본데이타!$A$8:$BV$103,COLUMN(기본데이타!G$8),0))</f>
        <v/>
      </c>
      <c r="F114" s="631" t="str">
        <f>IF($A114="","",VLOOKUP($A114,기본데이타!$A$8:$BV$103,COLUMN(기본데이타!H$8),0))</f>
        <v/>
      </c>
      <c r="G114" s="632" t="str">
        <f>IF($A114="","",VLOOKUP($A114,기본데이타!$A$8:$BV$103,COLUMN(기본데이타!I$8),0))</f>
        <v/>
      </c>
      <c r="H114" s="632" t="str">
        <f>IF($A114="","",VLOOKUP($A114,기본데이타!$A$8:$BV$103,COLUMN(기본데이타!J$8),0))</f>
        <v/>
      </c>
      <c r="I114" s="633" t="str">
        <f>IF($A114="","",VLOOKUP($A114,기본데이타!$A$8:$BV$103,COLUMN(기본데이타!K$8),0))</f>
        <v/>
      </c>
      <c r="J114" s="633" t="str">
        <f>IF($A114="","",VLOOKUP($A114,기본데이타!$A$8:$BV$103,COLUMN(기본데이타!L$8),0))</f>
        <v/>
      </c>
      <c r="K114" s="633" t="str">
        <f>IF($A114="","",VLOOKUP($A114,기본데이타!$A$8:$BV$103,COLUMN(기본데이타!M$8),0))</f>
        <v/>
      </c>
      <c r="L114" s="634" t="str">
        <f>IF($A114="","",VLOOKUP($A114,기본데이타!$A$8:$BV$103,COLUMN(기본데이타!N$8),0))</f>
        <v/>
      </c>
      <c r="M114" s="633" t="str">
        <f>IF($A114="","",VLOOKUP($A114,기본데이타!$A$8:$BV$103,COLUMN(기본데이타!O$8),0))</f>
        <v/>
      </c>
      <c r="N114" s="634" t="str">
        <f>IF($A114="","",VLOOKUP($A114,기본데이타!$A$8:$BV$103,COLUMN(기본데이타!P$8),0))</f>
        <v/>
      </c>
      <c r="O114" s="634" t="str">
        <f>IF($A114="","",VLOOKUP($A114,기본데이타!$A$8:$BV$103,COLUMN(기본데이타!Q$8),0))</f>
        <v/>
      </c>
      <c r="P114" s="634" t="str">
        <f>IF($A114="","",VLOOKUP($A114,기본데이타!$A$8:$BV$103,COLUMN(기본데이타!R$8),0))</f>
        <v/>
      </c>
      <c r="Q114" s="634" t="str">
        <f>IF($A114="","",VLOOKUP($A114,기본데이타!$A$8:$BV$103,COLUMN(기본데이타!S$8),0))</f>
        <v/>
      </c>
      <c r="R114" s="634" t="str">
        <f>IF($A114="","",VLOOKUP($A114,기본데이타!$A$8:$BV$103,COLUMN(기본데이타!T$8),0))</f>
        <v/>
      </c>
      <c r="S114" s="634" t="str">
        <f>IF($A114="","",VLOOKUP($A114,기본데이타!$A$8:$BV$103,COLUMN(기본데이타!U$8),0))</f>
        <v/>
      </c>
      <c r="T114" s="634" t="str">
        <f>IF($A114="","",VLOOKUP($A114,기본데이타!$A$8:$BV$103,COLUMN(기본데이타!V$8),0))</f>
        <v/>
      </c>
      <c r="U114" s="634" t="str">
        <f>IF($A114="","",VLOOKUP($A114,기본데이타!$A$8:$BV$103,COLUMN(기본데이타!W$8),0))</f>
        <v/>
      </c>
      <c r="V114" s="634" t="str">
        <f>IF($A114="","",VLOOKUP($A114,기본데이타!$A$8:$BV$103,COLUMN(기본데이타!X$8),0))</f>
        <v/>
      </c>
      <c r="W114" s="634" t="str">
        <f>IF($A114="","",VLOOKUP($A114,기본데이타!$A$8:$BV$103,COLUMN(기본데이타!AA$8),0))</f>
        <v/>
      </c>
      <c r="X114" s="634" t="str">
        <f>IF($A114="","",VLOOKUP($A114,기본데이타!$A$8:$BV$103,COLUMN(기본데이타!AB$8),0))</f>
        <v/>
      </c>
      <c r="Y114" s="633" t="str">
        <f>IF($A114="","",VLOOKUP($A114,기본데이타!$A$8:$BV$103,COLUMN(기본데이타!AC$8),0))</f>
        <v/>
      </c>
      <c r="Z114" s="634" t="str">
        <f>IF($A114="","",VLOOKUP($A114,기본데이타!$A$8:$BV$103,COLUMN(기본데이타!AD$8),0))</f>
        <v/>
      </c>
      <c r="AA114" s="633" t="str">
        <f>IF($A114="","",VLOOKUP($A114,기본데이타!$A$8:$BV$103,COLUMN(기본데이타!AE$8),0))</f>
        <v/>
      </c>
      <c r="AB114" s="634" t="str">
        <f>IF($A114="","",VLOOKUP($A114,기본데이타!$A$8:$BV$103,COLUMN(기본데이타!AF$8),0))</f>
        <v/>
      </c>
      <c r="AC114" s="633" t="str">
        <f>IF($A114="","",VLOOKUP($A114,기본데이타!$A$8:$BV$103,COLUMN(기본데이타!AG$8),0))</f>
        <v/>
      </c>
      <c r="AD114" s="634" t="str">
        <f>IF($A114="","",VLOOKUP($A114,기본데이타!$A$8:$BV$103,COLUMN(기본데이타!AH$8),0))</f>
        <v/>
      </c>
      <c r="AE114" s="633" t="str">
        <f>IF($A114="","",VLOOKUP($A114,기본데이타!$A$8:$BV$103,COLUMN(기본데이타!AI$8),0))</f>
        <v/>
      </c>
      <c r="AF114" s="635" t="str">
        <f>IF($A114="","",VLOOKUP($A114,기본데이타!$A$8:$BV$103,COLUMN(기본데이타!AJ$8),0))</f>
        <v/>
      </c>
      <c r="AG114" s="580" t="str">
        <f>IF($A114="","",VLOOKUP($A114,기본데이타!$A$8:$BV$103,COLUMN(기본데이타!AK$8),0))</f>
        <v/>
      </c>
      <c r="AH114" s="580" t="str">
        <f>IF($A114="","",VLOOKUP($A114,기본데이타!$A$8:$BV$103,COLUMN(기본데이타!AL$8),0))</f>
        <v/>
      </c>
      <c r="AI114" s="580" t="str">
        <f>IF($A114="","",VLOOKUP($A114,기본데이타!$A$8:$BV$103,COLUMN(기본데이타!AM$8),0))</f>
        <v/>
      </c>
      <c r="AJ114" s="636" t="str">
        <f>IF($A114="","",VLOOKUP($A114,기본데이타!$A$8:$BV$103,COLUMN(기본데이타!AN$8),0))</f>
        <v/>
      </c>
      <c r="AK114" s="636" t="str">
        <f>IF($A114="","",VLOOKUP($A114,기본데이타!$A$8:$BV$103,COLUMN(기본데이타!AO$8),0))</f>
        <v/>
      </c>
      <c r="AL114" s="636" t="str">
        <f>IF($A114="","",VLOOKUP($A114,기본데이타!$A$8:$BV$103,COLUMN(기본데이타!AP$8),0))</f>
        <v/>
      </c>
      <c r="AM114" s="636" t="str">
        <f>IF($A114="","",VLOOKUP($A114,기본데이타!$A$8:$BV$103,COLUMN(기본데이타!AQ$8),0))</f>
        <v/>
      </c>
      <c r="AN114" s="636" t="str">
        <f>IF($A114="","",VLOOKUP($A114,기본데이타!$A$8:$BV$103,COLUMN(기본데이타!AR$8),0))</f>
        <v/>
      </c>
      <c r="AO114" s="636" t="str">
        <f>IF($A114="","",VLOOKUP($A114,기본데이타!$A$8:$BV$103,COLUMN(기본데이타!AS$8),0))</f>
        <v/>
      </c>
      <c r="AP114" s="636" t="str">
        <f>IF($A114="","",VLOOKUP($A114,기본데이타!$A$8:$BV$103,COLUMN(기본데이타!AT$8),0))</f>
        <v/>
      </c>
      <c r="AQ114" s="636" t="str">
        <f>IF($A114="","",VLOOKUP($A114,기본데이타!$A$8:$BV$103,COLUMN(기본데이타!AU$8),0))</f>
        <v/>
      </c>
      <c r="AR114" s="637" t="str">
        <f>IF($A114="","",VLOOKUP($A114,기본데이타!$A$8:$BV$103,COLUMN(기본데이타!AV$8),0))</f>
        <v/>
      </c>
      <c r="AS114" s="634" t="str">
        <f>IF($A114="","",VLOOKUP($A114,기본데이타!$A$8:$BV$103,COLUMN(기본데이타!AW$8),0))</f>
        <v/>
      </c>
      <c r="AT114" s="634" t="str">
        <f>IF($A114="","",VLOOKUP($A114,기본데이타!$A$8:$BV$103,COLUMN(기본데이타!AX$8),0))</f>
        <v/>
      </c>
      <c r="AU114" s="634" t="str">
        <f>IF($A114="","",VLOOKUP($A114,기본데이타!$A$8:$BV$103,COLUMN(기본데이타!AY$8),0))</f>
        <v/>
      </c>
      <c r="AV114" s="634" t="str">
        <f t="shared" si="16"/>
        <v/>
      </c>
      <c r="AW114" s="635" t="str">
        <f>IF($A114="","",VLOOKUP($A114,기본데이타!$A$8:$BV$103,COLUMN(기본데이타!BA$8),0))</f>
        <v/>
      </c>
      <c r="AX114" s="635" t="str">
        <f>IF($A114="","",VLOOKUP($A114,기본데이타!$A$8:$BV$103,COLUMN(기본데이타!BB$8),0))</f>
        <v/>
      </c>
      <c r="AY114" s="635" t="str">
        <f>IF($A114="","",VLOOKUP($A114,기본데이타!$A$8:$BV$103,COLUMN(기본데이타!BC$8),0))</f>
        <v/>
      </c>
      <c r="AZ114" s="635" t="str">
        <f>IF($A114="","",VLOOKUP($A114,기본데이타!$A$8:$BV$103,COLUMN(기본데이타!BD$8),0))</f>
        <v/>
      </c>
      <c r="BA114" s="635" t="str">
        <f>IF($A114="","",VLOOKUP($A114,기본데이타!$A$8:$BV$103,COLUMN(기본데이타!BE$8),0))</f>
        <v/>
      </c>
      <c r="BB114" s="635" t="str">
        <f>IF($A114="","",VLOOKUP($A114,기본데이타!$A$8:$BV$103,COLUMN(기본데이타!BF$8),0))</f>
        <v/>
      </c>
      <c r="BC114" s="635" t="str">
        <f>IF($A114="","",VLOOKUP($A114,기본데이타!$A$8:$BV$103,COLUMN(기본데이타!BG$8),0))</f>
        <v/>
      </c>
      <c r="BD114" s="635" t="str">
        <f>IF($A114="","",VLOOKUP($A114,기본데이타!$A$8:$BV$103,COLUMN(기본데이타!BH$8),0))</f>
        <v/>
      </c>
      <c r="BE114" s="635" t="str">
        <f>IF($A114="","",VLOOKUP($A114,기본데이타!$A$8:$BV$103,COLUMN(기본데이타!BI$8),0))</f>
        <v/>
      </c>
      <c r="BF114" s="635" t="str">
        <f>IF($A114="","",VLOOKUP($A114,기본데이타!$A$8:$BV$103,COLUMN(기본데이타!BJ$8),0))</f>
        <v/>
      </c>
      <c r="BG114" s="635" t="str">
        <f>IF($A114="","",VLOOKUP($A114,기본데이타!$A$8:$BV$103,COLUMN(기본데이타!BK$8),0))</f>
        <v/>
      </c>
      <c r="BH114" s="635" t="str">
        <f>IF($A114="","",VLOOKUP($A114,기본데이타!$A$8:$BV$103,COLUMN(기본데이타!BL$8),0))</f>
        <v/>
      </c>
      <c r="BI114" s="635" t="str">
        <f>IF($A114="","",VLOOKUP($A114,기본데이타!$A$8:$BV$103,COLUMN(기본데이타!BM$8),0))</f>
        <v/>
      </c>
      <c r="BJ114" s="635" t="str">
        <f>IF($A114="","",VLOOKUP($A114,기본데이타!$A$8:$BV$103,COLUMN(기본데이타!BN$8),0))</f>
        <v/>
      </c>
      <c r="BK114" s="635" t="str">
        <f>IF($A114="","",VLOOKUP($A114,기본데이타!$A$8:$BV$103,COLUMN(기본데이타!BO$8),0))</f>
        <v/>
      </c>
      <c r="BL114" s="635" t="str">
        <f>IF($A114="","",VLOOKUP($A114,기본데이타!$A$8:$BV$103,COLUMN(기본데이타!BP$8),0))</f>
        <v/>
      </c>
      <c r="BM114" s="635" t="str">
        <f>IF($A114="","",VLOOKUP($A114,기본데이타!$A$8:$BV$103,COLUMN(기본데이타!BQ$8),0))</f>
        <v/>
      </c>
      <c r="BN114" s="638" t="str">
        <f>IF($A114="","",VLOOKUP($A114,기본데이타!$A$8:$BV$103,COLUMN(기본데이타!BR$8),0))</f>
        <v/>
      </c>
      <c r="BO114" s="579" t="str">
        <f>IF($A114="","",VLOOKUP($A114,기본데이타!$A$8:$BV$103,COLUMN(기본데이타!BS$8),0))</f>
        <v/>
      </c>
      <c r="BP114" s="639" t="str">
        <f>IF($A114="","",VLOOKUP($A114,기본데이타!$A$8:$BV$103,COLUMN(기본데이타!BT$8),0))</f>
        <v/>
      </c>
      <c r="BQ114" s="640" t="str">
        <f>IF($A114="","",VLOOKUP($A114,기본데이타!$A$8:$BV$103,COLUMN(기본데이타!BU$8),0))</f>
        <v/>
      </c>
      <c r="BR114" s="625" t="str">
        <f t="shared" si="17"/>
        <v/>
      </c>
    </row>
    <row r="115" spans="1:70" s="571" customFormat="1" ht="61.5" hidden="1" customHeight="1">
      <c r="A115" s="578"/>
      <c r="B115" s="1642"/>
      <c r="C115" s="590"/>
      <c r="D115" s="629" t="str">
        <f>IF($A115="","",VLOOKUP($A115,기본데이타!$A$8:$BV$103,COLUMN(기본데이타!F$8),0))</f>
        <v/>
      </c>
      <c r="E115" s="630" t="str">
        <f>IF($A115="","",VLOOKUP($A115,기본데이타!$A$8:$BV$103,COLUMN(기본데이타!G$8),0))</f>
        <v/>
      </c>
      <c r="F115" s="631" t="str">
        <f>IF($A115="","",VLOOKUP($A115,기본데이타!$A$8:$BV$103,COLUMN(기본데이타!H$8),0))</f>
        <v/>
      </c>
      <c r="G115" s="632" t="str">
        <f>IF($A115="","",VLOOKUP($A115,기본데이타!$A$8:$BV$103,COLUMN(기본데이타!I$8),0))</f>
        <v/>
      </c>
      <c r="H115" s="632" t="str">
        <f>IF($A115="","",VLOOKUP($A115,기본데이타!$A$8:$BV$103,COLUMN(기본데이타!J$8),0))</f>
        <v/>
      </c>
      <c r="I115" s="633" t="str">
        <f>IF($A115="","",VLOOKUP($A115,기본데이타!$A$8:$BV$103,COLUMN(기본데이타!K$8),0))</f>
        <v/>
      </c>
      <c r="J115" s="633" t="str">
        <f>IF($A115="","",VLOOKUP($A115,기본데이타!$A$8:$BV$103,COLUMN(기본데이타!L$8),0))</f>
        <v/>
      </c>
      <c r="K115" s="633" t="str">
        <f>IF($A115="","",VLOOKUP($A115,기본데이타!$A$8:$BV$103,COLUMN(기본데이타!M$8),0))</f>
        <v/>
      </c>
      <c r="L115" s="634" t="str">
        <f>IF($A115="","",VLOOKUP($A115,기본데이타!$A$8:$BV$103,COLUMN(기본데이타!N$8),0))</f>
        <v/>
      </c>
      <c r="M115" s="633" t="str">
        <f>IF($A115="","",VLOOKUP($A115,기본데이타!$A$8:$BV$103,COLUMN(기본데이타!O$8),0))</f>
        <v/>
      </c>
      <c r="N115" s="634" t="str">
        <f>IF($A115="","",VLOOKUP($A115,기본데이타!$A$8:$BV$103,COLUMN(기본데이타!P$8),0))</f>
        <v/>
      </c>
      <c r="O115" s="634" t="str">
        <f>IF($A115="","",VLOOKUP($A115,기본데이타!$A$8:$BV$103,COLUMN(기본데이타!Q$8),0))</f>
        <v/>
      </c>
      <c r="P115" s="634" t="str">
        <f>IF($A115="","",VLOOKUP($A115,기본데이타!$A$8:$BV$103,COLUMN(기본데이타!R$8),0))</f>
        <v/>
      </c>
      <c r="Q115" s="634" t="str">
        <f>IF($A115="","",VLOOKUP($A115,기본데이타!$A$8:$BV$103,COLUMN(기본데이타!S$8),0))</f>
        <v/>
      </c>
      <c r="R115" s="634" t="str">
        <f>IF($A115="","",VLOOKUP($A115,기본데이타!$A$8:$BV$103,COLUMN(기본데이타!T$8),0))</f>
        <v/>
      </c>
      <c r="S115" s="634" t="str">
        <f>IF($A115="","",VLOOKUP($A115,기본데이타!$A$8:$BV$103,COLUMN(기본데이타!U$8),0))</f>
        <v/>
      </c>
      <c r="T115" s="634" t="str">
        <f>IF($A115="","",VLOOKUP($A115,기본데이타!$A$8:$BV$103,COLUMN(기본데이타!V$8),0))</f>
        <v/>
      </c>
      <c r="U115" s="634" t="str">
        <f>IF($A115="","",VLOOKUP($A115,기본데이타!$A$8:$BV$103,COLUMN(기본데이타!W$8),0))</f>
        <v/>
      </c>
      <c r="V115" s="634" t="str">
        <f>IF($A115="","",VLOOKUP($A115,기본데이타!$A$8:$BV$103,COLUMN(기본데이타!X$8),0))</f>
        <v/>
      </c>
      <c r="W115" s="634" t="str">
        <f>IF($A115="","",VLOOKUP($A115,기본데이타!$A$8:$BV$103,COLUMN(기본데이타!AA$8),0))</f>
        <v/>
      </c>
      <c r="X115" s="634" t="str">
        <f>IF($A115="","",VLOOKUP($A115,기본데이타!$A$8:$BV$103,COLUMN(기본데이타!AB$8),0))</f>
        <v/>
      </c>
      <c r="Y115" s="633" t="str">
        <f>IF($A115="","",VLOOKUP($A115,기본데이타!$A$8:$BV$103,COLUMN(기본데이타!AC$8),0))</f>
        <v/>
      </c>
      <c r="Z115" s="634" t="str">
        <f>IF($A115="","",VLOOKUP($A115,기본데이타!$A$8:$BV$103,COLUMN(기본데이타!AD$8),0))</f>
        <v/>
      </c>
      <c r="AA115" s="633" t="str">
        <f>IF($A115="","",VLOOKUP($A115,기본데이타!$A$8:$BV$103,COLUMN(기본데이타!AE$8),0))</f>
        <v/>
      </c>
      <c r="AB115" s="634" t="str">
        <f>IF($A115="","",VLOOKUP($A115,기본데이타!$A$8:$BV$103,COLUMN(기본데이타!AF$8),0))</f>
        <v/>
      </c>
      <c r="AC115" s="633" t="str">
        <f>IF($A115="","",VLOOKUP($A115,기본데이타!$A$8:$BV$103,COLUMN(기본데이타!AG$8),0))</f>
        <v/>
      </c>
      <c r="AD115" s="634" t="str">
        <f>IF($A115="","",VLOOKUP($A115,기본데이타!$A$8:$BV$103,COLUMN(기본데이타!AH$8),0))</f>
        <v/>
      </c>
      <c r="AE115" s="633" t="str">
        <f>IF($A115="","",VLOOKUP($A115,기본데이타!$A$8:$BV$103,COLUMN(기본데이타!AI$8),0))</f>
        <v/>
      </c>
      <c r="AF115" s="635" t="str">
        <f>IF($A115="","",VLOOKUP($A115,기본데이타!$A$8:$BV$103,COLUMN(기본데이타!AJ$8),0))</f>
        <v/>
      </c>
      <c r="AG115" s="580" t="str">
        <f>IF($A115="","",VLOOKUP($A115,기본데이타!$A$8:$BV$103,COLUMN(기본데이타!AK$8),0))</f>
        <v/>
      </c>
      <c r="AH115" s="580" t="str">
        <f>IF($A115="","",VLOOKUP($A115,기본데이타!$A$8:$BV$103,COLUMN(기본데이타!AL$8),0))</f>
        <v/>
      </c>
      <c r="AI115" s="580" t="str">
        <f>IF($A115="","",VLOOKUP($A115,기본데이타!$A$8:$BV$103,COLUMN(기본데이타!AM$8),0))</f>
        <v/>
      </c>
      <c r="AJ115" s="636" t="str">
        <f>IF($A115="","",VLOOKUP($A115,기본데이타!$A$8:$BV$103,COLUMN(기본데이타!AN$8),0))</f>
        <v/>
      </c>
      <c r="AK115" s="636" t="str">
        <f>IF($A115="","",VLOOKUP($A115,기본데이타!$A$8:$BV$103,COLUMN(기본데이타!AO$8),0))</f>
        <v/>
      </c>
      <c r="AL115" s="636" t="str">
        <f>IF($A115="","",VLOOKUP($A115,기본데이타!$A$8:$BV$103,COLUMN(기본데이타!AP$8),0))</f>
        <v/>
      </c>
      <c r="AM115" s="636" t="str">
        <f>IF($A115="","",VLOOKUP($A115,기본데이타!$A$8:$BV$103,COLUMN(기본데이타!AQ$8),0))</f>
        <v/>
      </c>
      <c r="AN115" s="636" t="str">
        <f>IF($A115="","",VLOOKUP($A115,기본데이타!$A$8:$BV$103,COLUMN(기본데이타!AR$8),0))</f>
        <v/>
      </c>
      <c r="AO115" s="636" t="str">
        <f>IF($A115="","",VLOOKUP($A115,기본데이타!$A$8:$BV$103,COLUMN(기본데이타!AS$8),0))</f>
        <v/>
      </c>
      <c r="AP115" s="636" t="str">
        <f>IF($A115="","",VLOOKUP($A115,기본데이타!$A$8:$BV$103,COLUMN(기본데이타!AT$8),0))</f>
        <v/>
      </c>
      <c r="AQ115" s="636" t="str">
        <f>IF($A115="","",VLOOKUP($A115,기본데이타!$A$8:$BV$103,COLUMN(기본데이타!AU$8),0))</f>
        <v/>
      </c>
      <c r="AR115" s="637" t="str">
        <f>IF($A115="","",VLOOKUP($A115,기본데이타!$A$8:$BV$103,COLUMN(기본데이타!AV$8),0))</f>
        <v/>
      </c>
      <c r="AS115" s="634" t="str">
        <f>IF($A115="","",VLOOKUP($A115,기본데이타!$A$8:$BV$103,COLUMN(기본데이타!AW$8),0))</f>
        <v/>
      </c>
      <c r="AT115" s="634" t="str">
        <f>IF($A115="","",VLOOKUP($A115,기본데이타!$A$8:$BV$103,COLUMN(기본데이타!AX$8),0))</f>
        <v/>
      </c>
      <c r="AU115" s="634" t="str">
        <f>IF($A115="","",VLOOKUP($A115,기본데이타!$A$8:$BV$103,COLUMN(기본데이타!AY$8),0))</f>
        <v/>
      </c>
      <c r="AV115" s="634" t="str">
        <f t="shared" si="16"/>
        <v/>
      </c>
      <c r="AW115" s="635" t="str">
        <f>IF($A115="","",VLOOKUP($A115,기본데이타!$A$8:$BV$103,COLUMN(기본데이타!BA$8),0))</f>
        <v/>
      </c>
      <c r="AX115" s="635" t="str">
        <f>IF($A115="","",VLOOKUP($A115,기본데이타!$A$8:$BV$103,COLUMN(기본데이타!BB$8),0))</f>
        <v/>
      </c>
      <c r="AY115" s="635" t="str">
        <f>IF($A115="","",VLOOKUP($A115,기본데이타!$A$8:$BV$103,COLUMN(기본데이타!BC$8),0))</f>
        <v/>
      </c>
      <c r="AZ115" s="635" t="str">
        <f>IF($A115="","",VLOOKUP($A115,기본데이타!$A$8:$BV$103,COLUMN(기본데이타!BD$8),0))</f>
        <v/>
      </c>
      <c r="BA115" s="635" t="str">
        <f>IF($A115="","",VLOOKUP($A115,기본데이타!$A$8:$BV$103,COLUMN(기본데이타!BE$8),0))</f>
        <v/>
      </c>
      <c r="BB115" s="635" t="str">
        <f>IF($A115="","",VLOOKUP($A115,기본데이타!$A$8:$BV$103,COLUMN(기본데이타!BF$8),0))</f>
        <v/>
      </c>
      <c r="BC115" s="635" t="str">
        <f>IF($A115="","",VLOOKUP($A115,기본데이타!$A$8:$BV$103,COLUMN(기본데이타!BG$8),0))</f>
        <v/>
      </c>
      <c r="BD115" s="635" t="str">
        <f>IF($A115="","",VLOOKUP($A115,기본데이타!$A$8:$BV$103,COLUMN(기본데이타!BH$8),0))</f>
        <v/>
      </c>
      <c r="BE115" s="635" t="str">
        <f>IF($A115="","",VLOOKUP($A115,기본데이타!$A$8:$BV$103,COLUMN(기본데이타!BI$8),0))</f>
        <v/>
      </c>
      <c r="BF115" s="635" t="str">
        <f>IF($A115="","",VLOOKUP($A115,기본데이타!$A$8:$BV$103,COLUMN(기본데이타!BJ$8),0))</f>
        <v/>
      </c>
      <c r="BG115" s="635" t="str">
        <f>IF($A115="","",VLOOKUP($A115,기본데이타!$A$8:$BV$103,COLUMN(기본데이타!BK$8),0))</f>
        <v/>
      </c>
      <c r="BH115" s="635" t="str">
        <f>IF($A115="","",VLOOKUP($A115,기본데이타!$A$8:$BV$103,COLUMN(기본데이타!BL$8),0))</f>
        <v/>
      </c>
      <c r="BI115" s="635" t="str">
        <f>IF($A115="","",VLOOKUP($A115,기본데이타!$A$8:$BV$103,COLUMN(기본데이타!BM$8),0))</f>
        <v/>
      </c>
      <c r="BJ115" s="635" t="str">
        <f>IF($A115="","",VLOOKUP($A115,기본데이타!$A$8:$BV$103,COLUMN(기본데이타!BN$8),0))</f>
        <v/>
      </c>
      <c r="BK115" s="635" t="str">
        <f>IF($A115="","",VLOOKUP($A115,기본데이타!$A$8:$BV$103,COLUMN(기본데이타!BO$8),0))</f>
        <v/>
      </c>
      <c r="BL115" s="635" t="str">
        <f>IF($A115="","",VLOOKUP($A115,기본데이타!$A$8:$BV$103,COLUMN(기본데이타!BP$8),0))</f>
        <v/>
      </c>
      <c r="BM115" s="635" t="str">
        <f>IF($A115="","",VLOOKUP($A115,기본데이타!$A$8:$BV$103,COLUMN(기본데이타!BQ$8),0))</f>
        <v/>
      </c>
      <c r="BN115" s="638" t="str">
        <f>IF($A115="","",VLOOKUP($A115,기본데이타!$A$8:$BV$103,COLUMN(기본데이타!BR$8),0))</f>
        <v/>
      </c>
      <c r="BO115" s="579" t="str">
        <f>IF($A115="","",VLOOKUP($A115,기본데이타!$A$8:$BV$103,COLUMN(기본데이타!BS$8),0))</f>
        <v/>
      </c>
      <c r="BP115" s="639" t="str">
        <f>IF($A115="","",VLOOKUP($A115,기본데이타!$A$8:$BV$103,COLUMN(기본데이타!BT$8),0))</f>
        <v/>
      </c>
      <c r="BQ115" s="640" t="str">
        <f>IF($A115="","",VLOOKUP($A115,기본데이타!$A$8:$BV$103,COLUMN(기본데이타!BU$8),0))</f>
        <v/>
      </c>
      <c r="BR115" s="625" t="str">
        <f t="shared" si="17"/>
        <v/>
      </c>
    </row>
    <row r="116" spans="1:70" s="571" customFormat="1" ht="61.5" hidden="1" customHeight="1">
      <c r="A116" s="578"/>
      <c r="B116" s="1642"/>
      <c r="C116" s="590"/>
      <c r="D116" s="629" t="str">
        <f>IF($A116="","",VLOOKUP($A116,기본데이타!$A$8:$BV$103,COLUMN(기본데이타!F$8),0))</f>
        <v/>
      </c>
      <c r="E116" s="630" t="str">
        <f>IF($A116="","",VLOOKUP($A116,기본데이타!$A$8:$BV$103,COLUMN(기본데이타!G$8),0))</f>
        <v/>
      </c>
      <c r="F116" s="631" t="str">
        <f>IF($A116="","",VLOOKUP($A116,기본데이타!$A$8:$BV$103,COLUMN(기본데이타!H$8),0))</f>
        <v/>
      </c>
      <c r="G116" s="632" t="str">
        <f>IF($A116="","",VLOOKUP($A116,기본데이타!$A$8:$BV$103,COLUMN(기본데이타!I$8),0))</f>
        <v/>
      </c>
      <c r="H116" s="632" t="str">
        <f>IF($A116="","",VLOOKUP($A116,기본데이타!$A$8:$BV$103,COLUMN(기본데이타!J$8),0))</f>
        <v/>
      </c>
      <c r="I116" s="633" t="str">
        <f>IF($A116="","",VLOOKUP($A116,기본데이타!$A$8:$BV$103,COLUMN(기본데이타!K$8),0))</f>
        <v/>
      </c>
      <c r="J116" s="633" t="str">
        <f>IF($A116="","",VLOOKUP($A116,기본데이타!$A$8:$BV$103,COLUMN(기본데이타!L$8),0))</f>
        <v/>
      </c>
      <c r="K116" s="633" t="str">
        <f>IF($A116="","",VLOOKUP($A116,기본데이타!$A$8:$BV$103,COLUMN(기본데이타!M$8),0))</f>
        <v/>
      </c>
      <c r="L116" s="634" t="str">
        <f>IF($A116="","",VLOOKUP($A116,기본데이타!$A$8:$BV$103,COLUMN(기본데이타!N$8),0))</f>
        <v/>
      </c>
      <c r="M116" s="633" t="str">
        <f>IF($A116="","",VLOOKUP($A116,기본데이타!$A$8:$BV$103,COLUMN(기본데이타!O$8),0))</f>
        <v/>
      </c>
      <c r="N116" s="634" t="str">
        <f>IF($A116="","",VLOOKUP($A116,기본데이타!$A$8:$BV$103,COLUMN(기본데이타!P$8),0))</f>
        <v/>
      </c>
      <c r="O116" s="634" t="str">
        <f>IF($A116="","",VLOOKUP($A116,기본데이타!$A$8:$BV$103,COLUMN(기본데이타!Q$8),0))</f>
        <v/>
      </c>
      <c r="P116" s="634" t="str">
        <f>IF($A116="","",VLOOKUP($A116,기본데이타!$A$8:$BV$103,COLUMN(기본데이타!R$8),0))</f>
        <v/>
      </c>
      <c r="Q116" s="634" t="str">
        <f>IF($A116="","",VLOOKUP($A116,기본데이타!$A$8:$BV$103,COLUMN(기본데이타!S$8),0))</f>
        <v/>
      </c>
      <c r="R116" s="634" t="str">
        <f>IF($A116="","",VLOOKUP($A116,기본데이타!$A$8:$BV$103,COLUMN(기본데이타!T$8),0))</f>
        <v/>
      </c>
      <c r="S116" s="634" t="str">
        <f>IF($A116="","",VLOOKUP($A116,기본데이타!$A$8:$BV$103,COLUMN(기본데이타!U$8),0))</f>
        <v/>
      </c>
      <c r="T116" s="634" t="str">
        <f>IF($A116="","",VLOOKUP($A116,기본데이타!$A$8:$BV$103,COLUMN(기본데이타!V$8),0))</f>
        <v/>
      </c>
      <c r="U116" s="634" t="str">
        <f>IF($A116="","",VLOOKUP($A116,기본데이타!$A$8:$BV$103,COLUMN(기본데이타!W$8),0))</f>
        <v/>
      </c>
      <c r="V116" s="634" t="str">
        <f>IF($A116="","",VLOOKUP($A116,기본데이타!$A$8:$BV$103,COLUMN(기본데이타!X$8),0))</f>
        <v/>
      </c>
      <c r="W116" s="634" t="str">
        <f>IF($A116="","",VLOOKUP($A116,기본데이타!$A$8:$BV$103,COLUMN(기본데이타!AA$8),0))</f>
        <v/>
      </c>
      <c r="X116" s="634" t="str">
        <f>IF($A116="","",VLOOKUP($A116,기본데이타!$A$8:$BV$103,COLUMN(기본데이타!AB$8),0))</f>
        <v/>
      </c>
      <c r="Y116" s="633" t="str">
        <f>IF($A116="","",VLOOKUP($A116,기본데이타!$A$8:$BV$103,COLUMN(기본데이타!AC$8),0))</f>
        <v/>
      </c>
      <c r="Z116" s="634" t="str">
        <f>IF($A116="","",VLOOKUP($A116,기본데이타!$A$8:$BV$103,COLUMN(기본데이타!AD$8),0))</f>
        <v/>
      </c>
      <c r="AA116" s="633" t="str">
        <f>IF($A116="","",VLOOKUP($A116,기본데이타!$A$8:$BV$103,COLUMN(기본데이타!AE$8),0))</f>
        <v/>
      </c>
      <c r="AB116" s="634" t="str">
        <f>IF($A116="","",VLOOKUP($A116,기본데이타!$A$8:$BV$103,COLUMN(기본데이타!AF$8),0))</f>
        <v/>
      </c>
      <c r="AC116" s="633" t="str">
        <f>IF($A116="","",VLOOKUP($A116,기본데이타!$A$8:$BV$103,COLUMN(기본데이타!AG$8),0))</f>
        <v/>
      </c>
      <c r="AD116" s="634" t="str">
        <f>IF($A116="","",VLOOKUP($A116,기본데이타!$A$8:$BV$103,COLUMN(기본데이타!AH$8),0))</f>
        <v/>
      </c>
      <c r="AE116" s="633" t="str">
        <f>IF($A116="","",VLOOKUP($A116,기본데이타!$A$8:$BV$103,COLUMN(기본데이타!AI$8),0))</f>
        <v/>
      </c>
      <c r="AF116" s="635" t="str">
        <f>IF($A116="","",VLOOKUP($A116,기본데이타!$A$8:$BV$103,COLUMN(기본데이타!AJ$8),0))</f>
        <v/>
      </c>
      <c r="AG116" s="580" t="str">
        <f>IF($A116="","",VLOOKUP($A116,기본데이타!$A$8:$BV$103,COLUMN(기본데이타!AK$8),0))</f>
        <v/>
      </c>
      <c r="AH116" s="580" t="str">
        <f>IF($A116="","",VLOOKUP($A116,기본데이타!$A$8:$BV$103,COLUMN(기본데이타!AL$8),0))</f>
        <v/>
      </c>
      <c r="AI116" s="580" t="str">
        <f>IF($A116="","",VLOOKUP($A116,기본데이타!$A$8:$BV$103,COLUMN(기본데이타!AM$8),0))</f>
        <v/>
      </c>
      <c r="AJ116" s="636" t="str">
        <f>IF($A116="","",VLOOKUP($A116,기본데이타!$A$8:$BV$103,COLUMN(기본데이타!AN$8),0))</f>
        <v/>
      </c>
      <c r="AK116" s="636" t="str">
        <f>IF($A116="","",VLOOKUP($A116,기본데이타!$A$8:$BV$103,COLUMN(기본데이타!AO$8),0))</f>
        <v/>
      </c>
      <c r="AL116" s="636" t="str">
        <f>IF($A116="","",VLOOKUP($A116,기본데이타!$A$8:$BV$103,COLUMN(기본데이타!AP$8),0))</f>
        <v/>
      </c>
      <c r="AM116" s="636" t="str">
        <f>IF($A116="","",VLOOKUP($A116,기본데이타!$A$8:$BV$103,COLUMN(기본데이타!AQ$8),0))</f>
        <v/>
      </c>
      <c r="AN116" s="636" t="str">
        <f>IF($A116="","",VLOOKUP($A116,기본데이타!$A$8:$BV$103,COLUMN(기본데이타!AR$8),0))</f>
        <v/>
      </c>
      <c r="AO116" s="636" t="str">
        <f>IF($A116="","",VLOOKUP($A116,기본데이타!$A$8:$BV$103,COLUMN(기본데이타!AS$8),0))</f>
        <v/>
      </c>
      <c r="AP116" s="636" t="str">
        <f>IF($A116="","",VLOOKUP($A116,기본데이타!$A$8:$BV$103,COLUMN(기본데이타!AT$8),0))</f>
        <v/>
      </c>
      <c r="AQ116" s="636" t="str">
        <f>IF($A116="","",VLOOKUP($A116,기본데이타!$A$8:$BV$103,COLUMN(기본데이타!AU$8),0))</f>
        <v/>
      </c>
      <c r="AR116" s="637" t="str">
        <f>IF($A116="","",VLOOKUP($A116,기본데이타!$A$8:$BV$103,COLUMN(기본데이타!AV$8),0))</f>
        <v/>
      </c>
      <c r="AS116" s="634" t="str">
        <f>IF($A116="","",VLOOKUP($A116,기본데이타!$A$8:$BV$103,COLUMN(기본데이타!AW$8),0))</f>
        <v/>
      </c>
      <c r="AT116" s="634" t="str">
        <f>IF($A116="","",VLOOKUP($A116,기본데이타!$A$8:$BV$103,COLUMN(기본데이타!AX$8),0))</f>
        <v/>
      </c>
      <c r="AU116" s="634" t="str">
        <f>IF($A116="","",VLOOKUP($A116,기본데이타!$A$8:$BV$103,COLUMN(기본데이타!AY$8),0))</f>
        <v/>
      </c>
      <c r="AV116" s="634" t="str">
        <f t="shared" si="16"/>
        <v/>
      </c>
      <c r="AW116" s="635" t="str">
        <f>IF($A116="","",VLOOKUP($A116,기본데이타!$A$8:$BV$103,COLUMN(기본데이타!BA$8),0))</f>
        <v/>
      </c>
      <c r="AX116" s="635" t="str">
        <f>IF($A116="","",VLOOKUP($A116,기본데이타!$A$8:$BV$103,COLUMN(기본데이타!BB$8),0))</f>
        <v/>
      </c>
      <c r="AY116" s="635" t="str">
        <f>IF($A116="","",VLOOKUP($A116,기본데이타!$A$8:$BV$103,COLUMN(기본데이타!BC$8),0))</f>
        <v/>
      </c>
      <c r="AZ116" s="635" t="str">
        <f>IF($A116="","",VLOOKUP($A116,기본데이타!$A$8:$BV$103,COLUMN(기본데이타!BD$8),0))</f>
        <v/>
      </c>
      <c r="BA116" s="635" t="str">
        <f>IF($A116="","",VLOOKUP($A116,기본데이타!$A$8:$BV$103,COLUMN(기본데이타!BE$8),0))</f>
        <v/>
      </c>
      <c r="BB116" s="635" t="str">
        <f>IF($A116="","",VLOOKUP($A116,기본데이타!$A$8:$BV$103,COLUMN(기본데이타!BF$8),0))</f>
        <v/>
      </c>
      <c r="BC116" s="635" t="str">
        <f>IF($A116="","",VLOOKUP($A116,기본데이타!$A$8:$BV$103,COLUMN(기본데이타!BG$8),0))</f>
        <v/>
      </c>
      <c r="BD116" s="635" t="str">
        <f>IF($A116="","",VLOOKUP($A116,기본데이타!$A$8:$BV$103,COLUMN(기본데이타!BH$8),0))</f>
        <v/>
      </c>
      <c r="BE116" s="635" t="str">
        <f>IF($A116="","",VLOOKUP($A116,기본데이타!$A$8:$BV$103,COLUMN(기본데이타!BI$8),0))</f>
        <v/>
      </c>
      <c r="BF116" s="635" t="str">
        <f>IF($A116="","",VLOOKUP($A116,기본데이타!$A$8:$BV$103,COLUMN(기본데이타!BJ$8),0))</f>
        <v/>
      </c>
      <c r="BG116" s="635" t="str">
        <f>IF($A116="","",VLOOKUP($A116,기본데이타!$A$8:$BV$103,COLUMN(기본데이타!BK$8),0))</f>
        <v/>
      </c>
      <c r="BH116" s="635" t="str">
        <f>IF($A116="","",VLOOKUP($A116,기본데이타!$A$8:$BV$103,COLUMN(기본데이타!BL$8),0))</f>
        <v/>
      </c>
      <c r="BI116" s="635" t="str">
        <f>IF($A116="","",VLOOKUP($A116,기본데이타!$A$8:$BV$103,COLUMN(기본데이타!BM$8),0))</f>
        <v/>
      </c>
      <c r="BJ116" s="635" t="str">
        <f>IF($A116="","",VLOOKUP($A116,기본데이타!$A$8:$BV$103,COLUMN(기본데이타!BN$8),0))</f>
        <v/>
      </c>
      <c r="BK116" s="635" t="str">
        <f>IF($A116="","",VLOOKUP($A116,기본데이타!$A$8:$BV$103,COLUMN(기본데이타!BO$8),0))</f>
        <v/>
      </c>
      <c r="BL116" s="635" t="str">
        <f>IF($A116="","",VLOOKUP($A116,기본데이타!$A$8:$BV$103,COLUMN(기본데이타!BP$8),0))</f>
        <v/>
      </c>
      <c r="BM116" s="635" t="str">
        <f>IF($A116="","",VLOOKUP($A116,기본데이타!$A$8:$BV$103,COLUMN(기본데이타!BQ$8),0))</f>
        <v/>
      </c>
      <c r="BN116" s="638" t="str">
        <f>IF($A116="","",VLOOKUP($A116,기본데이타!$A$8:$BV$103,COLUMN(기본데이타!BR$8),0))</f>
        <v/>
      </c>
      <c r="BO116" s="579" t="str">
        <f>IF($A116="","",VLOOKUP($A116,기본데이타!$A$8:$BV$103,COLUMN(기본데이타!BS$8),0))</f>
        <v/>
      </c>
      <c r="BP116" s="639" t="str">
        <f>IF($A116="","",VLOOKUP($A116,기본데이타!$A$8:$BV$103,COLUMN(기본데이타!BT$8),0))</f>
        <v/>
      </c>
      <c r="BQ116" s="640" t="str">
        <f>IF($A116="","",VLOOKUP($A116,기본데이타!$A$8:$BV$103,COLUMN(기본데이타!BU$8),0))</f>
        <v/>
      </c>
      <c r="BR116" s="625" t="str">
        <f t="shared" si="17"/>
        <v/>
      </c>
    </row>
    <row r="117" spans="1:70" s="571" customFormat="1" ht="61.5" hidden="1" customHeight="1">
      <c r="A117" s="578"/>
      <c r="B117" s="1642"/>
      <c r="C117" s="590"/>
      <c r="D117" s="629" t="str">
        <f>IF($A117="","",VLOOKUP($A117,기본데이타!$A$8:$BV$103,COLUMN(기본데이타!F$8),0))</f>
        <v/>
      </c>
      <c r="E117" s="630" t="str">
        <f>IF($A117="","",VLOOKUP($A117,기본데이타!$A$8:$BV$103,COLUMN(기본데이타!G$8),0))</f>
        <v/>
      </c>
      <c r="F117" s="631" t="str">
        <f>IF($A117="","",VLOOKUP($A117,기본데이타!$A$8:$BV$103,COLUMN(기본데이타!H$8),0))</f>
        <v/>
      </c>
      <c r="G117" s="632" t="str">
        <f>IF($A117="","",VLOOKUP($A117,기본데이타!$A$8:$BV$103,COLUMN(기본데이타!I$8),0))</f>
        <v/>
      </c>
      <c r="H117" s="632" t="str">
        <f>IF($A117="","",VLOOKUP($A117,기본데이타!$A$8:$BV$103,COLUMN(기본데이타!J$8),0))</f>
        <v/>
      </c>
      <c r="I117" s="633" t="str">
        <f>IF($A117="","",VLOOKUP($A117,기본데이타!$A$8:$BV$103,COLUMN(기본데이타!K$8),0))</f>
        <v/>
      </c>
      <c r="J117" s="633" t="str">
        <f>IF($A117="","",VLOOKUP($A117,기본데이타!$A$8:$BV$103,COLUMN(기본데이타!L$8),0))</f>
        <v/>
      </c>
      <c r="K117" s="633" t="str">
        <f>IF($A117="","",VLOOKUP($A117,기본데이타!$A$8:$BV$103,COLUMN(기본데이타!M$8),0))</f>
        <v/>
      </c>
      <c r="L117" s="634" t="str">
        <f>IF($A117="","",VLOOKUP($A117,기본데이타!$A$8:$BV$103,COLUMN(기본데이타!N$8),0))</f>
        <v/>
      </c>
      <c r="M117" s="633" t="str">
        <f>IF($A117="","",VLOOKUP($A117,기본데이타!$A$8:$BV$103,COLUMN(기본데이타!O$8),0))</f>
        <v/>
      </c>
      <c r="N117" s="634" t="str">
        <f>IF($A117="","",VLOOKUP($A117,기본데이타!$A$8:$BV$103,COLUMN(기본데이타!P$8),0))</f>
        <v/>
      </c>
      <c r="O117" s="634" t="str">
        <f>IF($A117="","",VLOOKUP($A117,기본데이타!$A$8:$BV$103,COLUMN(기본데이타!Q$8),0))</f>
        <v/>
      </c>
      <c r="P117" s="634" t="str">
        <f>IF($A117="","",VLOOKUP($A117,기본데이타!$A$8:$BV$103,COLUMN(기본데이타!R$8),0))</f>
        <v/>
      </c>
      <c r="Q117" s="634" t="str">
        <f>IF($A117="","",VLOOKUP($A117,기본데이타!$A$8:$BV$103,COLUMN(기본데이타!S$8),0))</f>
        <v/>
      </c>
      <c r="R117" s="634" t="str">
        <f>IF($A117="","",VLOOKUP($A117,기본데이타!$A$8:$BV$103,COLUMN(기본데이타!T$8),0))</f>
        <v/>
      </c>
      <c r="S117" s="634" t="str">
        <f>IF($A117="","",VLOOKUP($A117,기본데이타!$A$8:$BV$103,COLUMN(기본데이타!U$8),0))</f>
        <v/>
      </c>
      <c r="T117" s="634" t="str">
        <f>IF($A117="","",VLOOKUP($A117,기본데이타!$A$8:$BV$103,COLUMN(기본데이타!V$8),0))</f>
        <v/>
      </c>
      <c r="U117" s="634" t="str">
        <f>IF($A117="","",VLOOKUP($A117,기본데이타!$A$8:$BV$103,COLUMN(기본데이타!W$8),0))</f>
        <v/>
      </c>
      <c r="V117" s="634" t="str">
        <f>IF($A117="","",VLOOKUP($A117,기본데이타!$A$8:$BV$103,COLUMN(기본데이타!X$8),0))</f>
        <v/>
      </c>
      <c r="W117" s="634" t="str">
        <f>IF($A117="","",VLOOKUP($A117,기본데이타!$A$8:$BV$103,COLUMN(기본데이타!AA$8),0))</f>
        <v/>
      </c>
      <c r="X117" s="634" t="str">
        <f>IF($A117="","",VLOOKUP($A117,기본데이타!$A$8:$BV$103,COLUMN(기본데이타!AB$8),0))</f>
        <v/>
      </c>
      <c r="Y117" s="633" t="str">
        <f>IF($A117="","",VLOOKUP($A117,기본데이타!$A$8:$BV$103,COLUMN(기본데이타!AC$8),0))</f>
        <v/>
      </c>
      <c r="Z117" s="634" t="str">
        <f>IF($A117="","",VLOOKUP($A117,기본데이타!$A$8:$BV$103,COLUMN(기본데이타!AD$8),0))</f>
        <v/>
      </c>
      <c r="AA117" s="633" t="str">
        <f>IF($A117="","",VLOOKUP($A117,기본데이타!$A$8:$BV$103,COLUMN(기본데이타!AE$8),0))</f>
        <v/>
      </c>
      <c r="AB117" s="634" t="str">
        <f>IF($A117="","",VLOOKUP($A117,기본데이타!$A$8:$BV$103,COLUMN(기본데이타!AF$8),0))</f>
        <v/>
      </c>
      <c r="AC117" s="633" t="str">
        <f>IF($A117="","",VLOOKUP($A117,기본데이타!$A$8:$BV$103,COLUMN(기본데이타!AG$8),0))</f>
        <v/>
      </c>
      <c r="AD117" s="634" t="str">
        <f>IF($A117="","",VLOOKUP($A117,기본데이타!$A$8:$BV$103,COLUMN(기본데이타!AH$8),0))</f>
        <v/>
      </c>
      <c r="AE117" s="633" t="str">
        <f>IF($A117="","",VLOOKUP($A117,기본데이타!$A$8:$BV$103,COLUMN(기본데이타!AI$8),0))</f>
        <v/>
      </c>
      <c r="AF117" s="635" t="str">
        <f>IF($A117="","",VLOOKUP($A117,기본데이타!$A$8:$BV$103,COLUMN(기본데이타!AJ$8),0))</f>
        <v/>
      </c>
      <c r="AG117" s="580" t="str">
        <f>IF($A117="","",VLOOKUP($A117,기본데이타!$A$8:$BV$103,COLUMN(기본데이타!AK$8),0))</f>
        <v/>
      </c>
      <c r="AH117" s="580" t="str">
        <f>IF($A117="","",VLOOKUP($A117,기본데이타!$A$8:$BV$103,COLUMN(기본데이타!AL$8),0))</f>
        <v/>
      </c>
      <c r="AI117" s="580" t="str">
        <f>IF($A117="","",VLOOKUP($A117,기본데이타!$A$8:$BV$103,COLUMN(기본데이타!AM$8),0))</f>
        <v/>
      </c>
      <c r="AJ117" s="636" t="str">
        <f>IF($A117="","",VLOOKUP($A117,기본데이타!$A$8:$BV$103,COLUMN(기본데이타!AN$8),0))</f>
        <v/>
      </c>
      <c r="AK117" s="636" t="str">
        <f>IF($A117="","",VLOOKUP($A117,기본데이타!$A$8:$BV$103,COLUMN(기본데이타!AO$8),0))</f>
        <v/>
      </c>
      <c r="AL117" s="636" t="str">
        <f>IF($A117="","",VLOOKUP($A117,기본데이타!$A$8:$BV$103,COLUMN(기본데이타!AP$8),0))</f>
        <v/>
      </c>
      <c r="AM117" s="636" t="str">
        <f>IF($A117="","",VLOOKUP($A117,기본데이타!$A$8:$BV$103,COLUMN(기본데이타!AQ$8),0))</f>
        <v/>
      </c>
      <c r="AN117" s="636" t="str">
        <f>IF($A117="","",VLOOKUP($A117,기본데이타!$A$8:$BV$103,COLUMN(기본데이타!AR$8),0))</f>
        <v/>
      </c>
      <c r="AO117" s="636" t="str">
        <f>IF($A117="","",VLOOKUP($A117,기본데이타!$A$8:$BV$103,COLUMN(기본데이타!AS$8),0))</f>
        <v/>
      </c>
      <c r="AP117" s="636" t="str">
        <f>IF($A117="","",VLOOKUP($A117,기본데이타!$A$8:$BV$103,COLUMN(기본데이타!AT$8),0))</f>
        <v/>
      </c>
      <c r="AQ117" s="636" t="str">
        <f>IF($A117="","",VLOOKUP($A117,기본데이타!$A$8:$BV$103,COLUMN(기본데이타!AU$8),0))</f>
        <v/>
      </c>
      <c r="AR117" s="637" t="str">
        <f>IF($A117="","",VLOOKUP($A117,기본데이타!$A$8:$BV$103,COLUMN(기본데이타!AV$8),0))</f>
        <v/>
      </c>
      <c r="AS117" s="634" t="str">
        <f>IF($A117="","",VLOOKUP($A117,기본데이타!$A$8:$BV$103,COLUMN(기본데이타!AW$8),0))</f>
        <v/>
      </c>
      <c r="AT117" s="634" t="str">
        <f>IF($A117="","",VLOOKUP($A117,기본데이타!$A$8:$BV$103,COLUMN(기본데이타!AX$8),0))</f>
        <v/>
      </c>
      <c r="AU117" s="634" t="str">
        <f>IF($A117="","",VLOOKUP($A117,기본데이타!$A$8:$BV$103,COLUMN(기본데이타!AY$8),0))</f>
        <v/>
      </c>
      <c r="AV117" s="634" t="str">
        <f t="shared" si="16"/>
        <v/>
      </c>
      <c r="AW117" s="635" t="str">
        <f>IF($A117="","",VLOOKUP($A117,기본데이타!$A$8:$BV$103,COLUMN(기본데이타!BA$8),0))</f>
        <v/>
      </c>
      <c r="AX117" s="635" t="str">
        <f>IF($A117="","",VLOOKUP($A117,기본데이타!$A$8:$BV$103,COLUMN(기본데이타!BB$8),0))</f>
        <v/>
      </c>
      <c r="AY117" s="635" t="str">
        <f>IF($A117="","",VLOOKUP($A117,기본데이타!$A$8:$BV$103,COLUMN(기본데이타!BC$8),0))</f>
        <v/>
      </c>
      <c r="AZ117" s="635" t="str">
        <f>IF($A117="","",VLOOKUP($A117,기본데이타!$A$8:$BV$103,COLUMN(기본데이타!BD$8),0))</f>
        <v/>
      </c>
      <c r="BA117" s="635" t="str">
        <f>IF($A117="","",VLOOKUP($A117,기본데이타!$A$8:$BV$103,COLUMN(기본데이타!BE$8),0))</f>
        <v/>
      </c>
      <c r="BB117" s="635" t="str">
        <f>IF($A117="","",VLOOKUP($A117,기본데이타!$A$8:$BV$103,COLUMN(기본데이타!BF$8),0))</f>
        <v/>
      </c>
      <c r="BC117" s="635" t="str">
        <f>IF($A117="","",VLOOKUP($A117,기본데이타!$A$8:$BV$103,COLUMN(기본데이타!BG$8),0))</f>
        <v/>
      </c>
      <c r="BD117" s="635" t="str">
        <f>IF($A117="","",VLOOKUP($A117,기본데이타!$A$8:$BV$103,COLUMN(기본데이타!BH$8),0))</f>
        <v/>
      </c>
      <c r="BE117" s="635" t="str">
        <f>IF($A117="","",VLOOKUP($A117,기본데이타!$A$8:$BV$103,COLUMN(기본데이타!BI$8),0))</f>
        <v/>
      </c>
      <c r="BF117" s="635" t="str">
        <f>IF($A117="","",VLOOKUP($A117,기본데이타!$A$8:$BV$103,COLUMN(기본데이타!BJ$8),0))</f>
        <v/>
      </c>
      <c r="BG117" s="635" t="str">
        <f>IF($A117="","",VLOOKUP($A117,기본데이타!$A$8:$BV$103,COLUMN(기본데이타!BK$8),0))</f>
        <v/>
      </c>
      <c r="BH117" s="635" t="str">
        <f>IF($A117="","",VLOOKUP($A117,기본데이타!$A$8:$BV$103,COLUMN(기본데이타!BL$8),0))</f>
        <v/>
      </c>
      <c r="BI117" s="635" t="str">
        <f>IF($A117="","",VLOOKUP($A117,기본데이타!$A$8:$BV$103,COLUMN(기본데이타!BM$8),0))</f>
        <v/>
      </c>
      <c r="BJ117" s="635" t="str">
        <f>IF($A117="","",VLOOKUP($A117,기본데이타!$A$8:$BV$103,COLUMN(기본데이타!BN$8),0))</f>
        <v/>
      </c>
      <c r="BK117" s="635" t="str">
        <f>IF($A117="","",VLOOKUP($A117,기본데이타!$A$8:$BV$103,COLUMN(기본데이타!BO$8),0))</f>
        <v/>
      </c>
      <c r="BL117" s="635" t="str">
        <f>IF($A117="","",VLOOKUP($A117,기본데이타!$A$8:$BV$103,COLUMN(기본데이타!BP$8),0))</f>
        <v/>
      </c>
      <c r="BM117" s="635" t="str">
        <f>IF($A117="","",VLOOKUP($A117,기본데이타!$A$8:$BV$103,COLUMN(기본데이타!BQ$8),0))</f>
        <v/>
      </c>
      <c r="BN117" s="638" t="str">
        <f>IF($A117="","",VLOOKUP($A117,기본데이타!$A$8:$BV$103,COLUMN(기본데이타!BR$8),0))</f>
        <v/>
      </c>
      <c r="BO117" s="579" t="str">
        <f>IF($A117="","",VLOOKUP($A117,기본데이타!$A$8:$BV$103,COLUMN(기본데이타!BS$8),0))</f>
        <v/>
      </c>
      <c r="BP117" s="639" t="str">
        <f>IF($A117="","",VLOOKUP($A117,기본데이타!$A$8:$BV$103,COLUMN(기본데이타!BT$8),0))</f>
        <v/>
      </c>
      <c r="BQ117" s="640" t="str">
        <f>IF($A117="","",VLOOKUP($A117,기본데이타!$A$8:$BV$103,COLUMN(기본데이타!BU$8),0))</f>
        <v/>
      </c>
      <c r="BR117" s="625" t="str">
        <f t="shared" si="17"/>
        <v/>
      </c>
    </row>
    <row r="118" spans="1:70" s="571" customFormat="1" ht="61.5" hidden="1" customHeight="1">
      <c r="A118" s="578"/>
      <c r="B118" s="1642"/>
      <c r="C118" s="590"/>
      <c r="D118" s="591" t="str">
        <f>IF($A118="","",VLOOKUP($A118,기본데이타!$A$8:$BV$103,COLUMN(기본데이타!F$8),0))</f>
        <v/>
      </c>
      <c r="E118" s="592" t="str">
        <f>IF($A118="","",VLOOKUP($A118,기본데이타!$A$8:$BV$103,COLUMN(기본데이타!G$8),0))</f>
        <v/>
      </c>
      <c r="F118" s="593" t="str">
        <f>IF($A118="","",VLOOKUP($A118,기본데이타!$A$8:$BV$103,COLUMN(기본데이타!H$8),0))</f>
        <v/>
      </c>
      <c r="G118" s="594" t="str">
        <f>IF($A118="","",VLOOKUP($A118,기본데이타!$A$8:$BV$103,COLUMN(기본데이타!I$8),0))</f>
        <v/>
      </c>
      <c r="H118" s="594" t="str">
        <f>IF($A118="","",VLOOKUP($A118,기본데이타!$A$8:$BV$103,COLUMN(기본데이타!J$8),0))</f>
        <v/>
      </c>
      <c r="I118" s="595" t="str">
        <f>IF($A118="","",VLOOKUP($A118,기본데이타!$A$8:$BV$103,COLUMN(기본데이타!K$8),0))</f>
        <v/>
      </c>
      <c r="J118" s="595" t="str">
        <f>IF($A118="","",VLOOKUP($A118,기본데이타!$A$8:$BV$103,COLUMN(기본데이타!L$8),0))</f>
        <v/>
      </c>
      <c r="K118" s="595" t="str">
        <f>IF($A118="","",VLOOKUP($A118,기본데이타!$A$8:$BV$103,COLUMN(기본데이타!M$8),0))</f>
        <v/>
      </c>
      <c r="L118" s="596" t="str">
        <f>IF($A118="","",VLOOKUP($A118,기본데이타!$A$8:$BV$103,COLUMN(기본데이타!N$8),0))</f>
        <v/>
      </c>
      <c r="M118" s="595" t="str">
        <f>IF($A118="","",VLOOKUP($A118,기본데이타!$A$8:$BV$103,COLUMN(기본데이타!O$8),0))</f>
        <v/>
      </c>
      <c r="N118" s="596" t="str">
        <f>IF($A118="","",VLOOKUP($A118,기본데이타!$A$8:$BV$103,COLUMN(기본데이타!P$8),0))</f>
        <v/>
      </c>
      <c r="O118" s="596" t="str">
        <f>IF($A118="","",VLOOKUP($A118,기본데이타!$A$8:$BV$103,COLUMN(기본데이타!Q$8),0))</f>
        <v/>
      </c>
      <c r="P118" s="596" t="str">
        <f>IF($A118="","",VLOOKUP($A118,기본데이타!$A$8:$BV$103,COLUMN(기본데이타!R$8),0))</f>
        <v/>
      </c>
      <c r="Q118" s="596" t="str">
        <f>IF($A118="","",VLOOKUP($A118,기본데이타!$A$8:$BV$103,COLUMN(기본데이타!S$8),0))</f>
        <v/>
      </c>
      <c r="R118" s="596" t="str">
        <f>IF($A118="","",VLOOKUP($A118,기본데이타!$A$8:$BV$103,COLUMN(기본데이타!T$8),0))</f>
        <v/>
      </c>
      <c r="S118" s="596" t="str">
        <f>IF($A118="","",VLOOKUP($A118,기본데이타!$A$8:$BV$103,COLUMN(기본데이타!U$8),0))</f>
        <v/>
      </c>
      <c r="T118" s="596" t="str">
        <f>IF($A118="","",VLOOKUP($A118,기본데이타!$A$8:$BV$103,COLUMN(기본데이타!V$8),0))</f>
        <v/>
      </c>
      <c r="U118" s="596" t="str">
        <f>IF($A118="","",VLOOKUP($A118,기본데이타!$A$8:$BV$103,COLUMN(기본데이타!W$8),0))</f>
        <v/>
      </c>
      <c r="V118" s="596" t="str">
        <f>IF($A118="","",VLOOKUP($A118,기본데이타!$A$8:$BV$103,COLUMN(기본데이타!X$8),0))</f>
        <v/>
      </c>
      <c r="W118" s="596" t="str">
        <f>IF($A118="","",VLOOKUP($A118,기본데이타!$A$8:$BV$103,COLUMN(기본데이타!AA$8),0))</f>
        <v/>
      </c>
      <c r="X118" s="596" t="str">
        <f>IF($A118="","",VLOOKUP($A118,기본데이타!$A$8:$BV$103,COLUMN(기본데이타!AB$8),0))</f>
        <v/>
      </c>
      <c r="Y118" s="595" t="str">
        <f>IF($A118="","",VLOOKUP($A118,기본데이타!$A$8:$BV$103,COLUMN(기본데이타!AC$8),0))</f>
        <v/>
      </c>
      <c r="Z118" s="596" t="str">
        <f>IF($A118="","",VLOOKUP($A118,기본데이타!$A$8:$BV$103,COLUMN(기본데이타!AD$8),0))</f>
        <v/>
      </c>
      <c r="AA118" s="595" t="str">
        <f>IF($A118="","",VLOOKUP($A118,기본데이타!$A$8:$BV$103,COLUMN(기본데이타!AE$8),0))</f>
        <v/>
      </c>
      <c r="AB118" s="596" t="str">
        <f>IF($A118="","",VLOOKUP($A118,기본데이타!$A$8:$BV$103,COLUMN(기본데이타!AF$8),0))</f>
        <v/>
      </c>
      <c r="AC118" s="595" t="str">
        <f>IF($A118="","",VLOOKUP($A118,기본데이타!$A$8:$BV$103,COLUMN(기본데이타!AG$8),0))</f>
        <v/>
      </c>
      <c r="AD118" s="596" t="str">
        <f>IF($A118="","",VLOOKUP($A118,기본데이타!$A$8:$BV$103,COLUMN(기본데이타!AH$8),0))</f>
        <v/>
      </c>
      <c r="AE118" s="595" t="str">
        <f>IF($A118="","",VLOOKUP($A118,기본데이타!$A$8:$BV$103,COLUMN(기본데이타!AI$8),0))</f>
        <v/>
      </c>
      <c r="AF118" s="597" t="str">
        <f>IF($A118="","",VLOOKUP($A118,기본데이타!$A$8:$BV$103,COLUMN(기본데이타!AJ$8),0))</f>
        <v/>
      </c>
      <c r="AG118" s="621" t="str">
        <f>IF($A118="","",VLOOKUP($A118,기본데이타!$A$8:$BV$103,COLUMN(기본데이타!AK$8),0))</f>
        <v/>
      </c>
      <c r="AH118" s="621" t="str">
        <f>IF($A118="","",VLOOKUP($A118,기본데이타!$A$8:$BV$103,COLUMN(기본데이타!AL$8),0))</f>
        <v/>
      </c>
      <c r="AI118" s="621" t="str">
        <f>IF($A118="","",VLOOKUP($A118,기본데이타!$A$8:$BV$103,COLUMN(기본데이타!AM$8),0))</f>
        <v/>
      </c>
      <c r="AJ118" s="642" t="str">
        <f>IF($A118="","",VLOOKUP($A118,기본데이타!$A$8:$BV$103,COLUMN(기본데이타!AN$8),0))</f>
        <v/>
      </c>
      <c r="AK118" s="642" t="str">
        <f>IF($A118="","",VLOOKUP($A118,기본데이타!$A$8:$BV$103,COLUMN(기본데이타!AO$8),0))</f>
        <v/>
      </c>
      <c r="AL118" s="642" t="str">
        <f>IF($A118="","",VLOOKUP($A118,기본데이타!$A$8:$BV$103,COLUMN(기본데이타!AP$8),0))</f>
        <v/>
      </c>
      <c r="AM118" s="642" t="str">
        <f>IF($A118="","",VLOOKUP($A118,기본데이타!$A$8:$BV$103,COLUMN(기본데이타!AQ$8),0))</f>
        <v/>
      </c>
      <c r="AN118" s="642" t="str">
        <f>IF($A118="","",VLOOKUP($A118,기본데이타!$A$8:$BV$103,COLUMN(기본데이타!AR$8),0))</f>
        <v/>
      </c>
      <c r="AO118" s="642" t="str">
        <f>IF($A118="","",VLOOKUP($A118,기본데이타!$A$8:$BV$103,COLUMN(기본데이타!AS$8),0))</f>
        <v/>
      </c>
      <c r="AP118" s="642" t="str">
        <f>IF($A118="","",VLOOKUP($A118,기본데이타!$A$8:$BV$103,COLUMN(기본데이타!AT$8),0))</f>
        <v/>
      </c>
      <c r="AQ118" s="642" t="str">
        <f>IF($A118="","",VLOOKUP($A118,기본데이타!$A$8:$BV$103,COLUMN(기본데이타!AU$8),0))</f>
        <v/>
      </c>
      <c r="AR118" s="643" t="str">
        <f>IF($A118="","",VLOOKUP($A118,기본데이타!$A$8:$BV$103,COLUMN(기본데이타!AV$8),0))</f>
        <v/>
      </c>
      <c r="AS118" s="596" t="str">
        <f>IF($A118="","",VLOOKUP($A118,기본데이타!$A$8:$BV$103,COLUMN(기본데이타!AW$8),0))</f>
        <v/>
      </c>
      <c r="AT118" s="596" t="str">
        <f>IF($A118="","",VLOOKUP($A118,기본데이타!$A$8:$BV$103,COLUMN(기본데이타!AX$8),0))</f>
        <v/>
      </c>
      <c r="AU118" s="596" t="str">
        <f>IF($A118="","",VLOOKUP($A118,기본데이타!$A$8:$BV$103,COLUMN(기본데이타!AY$8),0))</f>
        <v/>
      </c>
      <c r="AV118" s="596" t="str">
        <f t="shared" ref="AV118:AV124" si="18">IF(AS118="","",SUM(AS118:AU118))</f>
        <v/>
      </c>
      <c r="AW118" s="597" t="str">
        <f>IF($A118="","",VLOOKUP($A118,기본데이타!$A$8:$BV$103,COLUMN(기본데이타!BA$8),0))</f>
        <v/>
      </c>
      <c r="AX118" s="597" t="str">
        <f>IF($A118="","",VLOOKUP($A118,기본데이타!$A$8:$BV$103,COLUMN(기본데이타!BB$8),0))</f>
        <v/>
      </c>
      <c r="AY118" s="597" t="str">
        <f>IF($A118="","",VLOOKUP($A118,기본데이타!$A$8:$BV$103,COLUMN(기본데이타!BC$8),0))</f>
        <v/>
      </c>
      <c r="AZ118" s="597" t="str">
        <f>IF($A118="","",VLOOKUP($A118,기본데이타!$A$8:$BV$103,COLUMN(기본데이타!BD$8),0))</f>
        <v/>
      </c>
      <c r="BA118" s="597" t="str">
        <f>IF($A118="","",VLOOKUP($A118,기본데이타!$A$8:$BV$103,COLUMN(기본데이타!BE$8),0))</f>
        <v/>
      </c>
      <c r="BB118" s="597" t="str">
        <f>IF($A118="","",VLOOKUP($A118,기본데이타!$A$8:$BV$103,COLUMN(기본데이타!BF$8),0))</f>
        <v/>
      </c>
      <c r="BC118" s="597" t="str">
        <f>IF($A118="","",VLOOKUP($A118,기본데이타!$A$8:$BV$103,COLUMN(기본데이타!BG$8),0))</f>
        <v/>
      </c>
      <c r="BD118" s="597" t="str">
        <f>IF($A118="","",VLOOKUP($A118,기본데이타!$A$8:$BV$103,COLUMN(기본데이타!BH$8),0))</f>
        <v/>
      </c>
      <c r="BE118" s="597" t="str">
        <f>IF($A118="","",VLOOKUP($A118,기본데이타!$A$8:$BV$103,COLUMN(기본데이타!BI$8),0))</f>
        <v/>
      </c>
      <c r="BF118" s="597" t="str">
        <f>IF($A118="","",VLOOKUP($A118,기본데이타!$A$8:$BV$103,COLUMN(기본데이타!BJ$8),0))</f>
        <v/>
      </c>
      <c r="BG118" s="597" t="str">
        <f>IF($A118="","",VLOOKUP($A118,기본데이타!$A$8:$BV$103,COLUMN(기본데이타!BK$8),0))</f>
        <v/>
      </c>
      <c r="BH118" s="597" t="str">
        <f>IF($A118="","",VLOOKUP($A118,기본데이타!$A$8:$BV$103,COLUMN(기본데이타!BL$8),0))</f>
        <v/>
      </c>
      <c r="BI118" s="597" t="str">
        <f>IF($A118="","",VLOOKUP($A118,기본데이타!$A$8:$BV$103,COLUMN(기본데이타!BM$8),0))</f>
        <v/>
      </c>
      <c r="BJ118" s="597" t="str">
        <f>IF($A118="","",VLOOKUP($A118,기본데이타!$A$8:$BV$103,COLUMN(기본데이타!BN$8),0))</f>
        <v/>
      </c>
      <c r="BK118" s="597" t="str">
        <f>IF($A118="","",VLOOKUP($A118,기본데이타!$A$8:$BV$103,COLUMN(기본데이타!BO$8),0))</f>
        <v/>
      </c>
      <c r="BL118" s="597" t="str">
        <f>IF($A118="","",VLOOKUP($A118,기본데이타!$A$8:$BV$103,COLUMN(기본데이타!BP$8),0))</f>
        <v/>
      </c>
      <c r="BM118" s="597" t="str">
        <f>IF($A118="","",VLOOKUP($A118,기본데이타!$A$8:$BV$103,COLUMN(기본데이타!BQ$8),0))</f>
        <v/>
      </c>
      <c r="BN118" s="599" t="str">
        <f>IF($A118="","",VLOOKUP($A118,기본데이타!$A$8:$BV$103,COLUMN(기본데이타!BR$8),0))</f>
        <v/>
      </c>
      <c r="BO118" s="600" t="str">
        <f>IF($A118="","",VLOOKUP($A118,기본데이타!$A$8:$BV$103,COLUMN(기본데이타!BS$8),0))</f>
        <v/>
      </c>
      <c r="BP118" s="623" t="str">
        <f>IF($A118="","",VLOOKUP($A118,기본데이타!$A$8:$BV$103,COLUMN(기본데이타!BT$8),0))</f>
        <v/>
      </c>
      <c r="BQ118" s="602" t="str">
        <f>IF($A118="","",VLOOKUP($A118,기본데이타!$A$8:$BV$103,COLUMN(기본데이타!BU$8),0))</f>
        <v/>
      </c>
      <c r="BR118" s="603" t="str">
        <f t="shared" ref="BR118:BR124" si="19">IF($A118="","",A118)</f>
        <v/>
      </c>
    </row>
    <row r="119" spans="1:70" s="571" customFormat="1" ht="61.5" hidden="1" customHeight="1">
      <c r="A119" s="578"/>
      <c r="B119" s="1642"/>
      <c r="C119" s="590" t="s">
        <v>371</v>
      </c>
      <c r="D119" s="629" t="str">
        <f>IF($A119="","",VLOOKUP($A119,기본데이타!$A$8:$BV$103,COLUMN(기본데이타!F$8),0))</f>
        <v/>
      </c>
      <c r="E119" s="630" t="str">
        <f>IF($A119="","",VLOOKUP($A119,기본데이타!$A$8:$BV$103,COLUMN(기본데이타!G$8),0))</f>
        <v/>
      </c>
      <c r="F119" s="631" t="str">
        <f>IF($A119="","",VLOOKUP($A119,기본데이타!$A$8:$BV$103,COLUMN(기본데이타!H$8),0))</f>
        <v/>
      </c>
      <c r="G119" s="632" t="str">
        <f>IF($A119="","",VLOOKUP($A119,기본데이타!$A$8:$BV$103,COLUMN(기본데이타!I$8),0))</f>
        <v/>
      </c>
      <c r="H119" s="632" t="str">
        <f>IF($A119="","",VLOOKUP($A119,기본데이타!$A$8:$BV$103,COLUMN(기본데이타!J$8),0))</f>
        <v/>
      </c>
      <c r="I119" s="633" t="str">
        <f>IF($A119="","",VLOOKUP($A119,기본데이타!$A$8:$BV$103,COLUMN(기본데이타!K$8),0))</f>
        <v/>
      </c>
      <c r="J119" s="633" t="str">
        <f>IF($A119="","",VLOOKUP($A119,기본데이타!$A$8:$BV$103,COLUMN(기본데이타!L$8),0))</f>
        <v/>
      </c>
      <c r="K119" s="633" t="str">
        <f>IF($A119="","",VLOOKUP($A119,기본데이타!$A$8:$BV$103,COLUMN(기본데이타!M$8),0))</f>
        <v/>
      </c>
      <c r="L119" s="634" t="str">
        <f>IF($A119="","",VLOOKUP($A119,기본데이타!$A$8:$BV$103,COLUMN(기본데이타!N$8),0))</f>
        <v/>
      </c>
      <c r="M119" s="633" t="str">
        <f>IF($A119="","",VLOOKUP($A119,기본데이타!$A$8:$BV$103,COLUMN(기본데이타!O$8),0))</f>
        <v/>
      </c>
      <c r="N119" s="634" t="str">
        <f>IF($A119="","",VLOOKUP($A119,기본데이타!$A$8:$BV$103,COLUMN(기본데이타!P$8),0))</f>
        <v/>
      </c>
      <c r="O119" s="634" t="str">
        <f>IF($A119="","",VLOOKUP($A119,기본데이타!$A$8:$BV$103,COLUMN(기본데이타!Q$8),0))</f>
        <v/>
      </c>
      <c r="P119" s="634" t="str">
        <f>IF($A119="","",VLOOKUP($A119,기본데이타!$A$8:$BV$103,COLUMN(기본데이타!R$8),0))</f>
        <v/>
      </c>
      <c r="Q119" s="634" t="str">
        <f>IF($A119="","",VLOOKUP($A119,기본데이타!$A$8:$BV$103,COLUMN(기본데이타!S$8),0))</f>
        <v/>
      </c>
      <c r="R119" s="634" t="str">
        <f>IF($A119="","",VLOOKUP($A119,기본데이타!$A$8:$BV$103,COLUMN(기본데이타!T$8),0))</f>
        <v/>
      </c>
      <c r="S119" s="634" t="str">
        <f>IF($A119="","",VLOOKUP($A119,기본데이타!$A$8:$BV$103,COLUMN(기본데이타!U$8),0))</f>
        <v/>
      </c>
      <c r="T119" s="634" t="str">
        <f>IF($A119="","",VLOOKUP($A119,기본데이타!$A$8:$BV$103,COLUMN(기본데이타!V$8),0))</f>
        <v/>
      </c>
      <c r="U119" s="634" t="str">
        <f>IF($A119="","",VLOOKUP($A119,기본데이타!$A$8:$BV$103,COLUMN(기본데이타!W$8),0))</f>
        <v/>
      </c>
      <c r="V119" s="634" t="str">
        <f>IF($A119="","",VLOOKUP($A119,기본데이타!$A$8:$BV$103,COLUMN(기본데이타!X$8),0))</f>
        <v/>
      </c>
      <c r="W119" s="634" t="str">
        <f>IF($A119="","",VLOOKUP($A119,기본데이타!$A$8:$BV$103,COLUMN(기본데이타!AA$8),0))</f>
        <v/>
      </c>
      <c r="X119" s="634" t="str">
        <f>IF($A119="","",VLOOKUP($A119,기본데이타!$A$8:$BV$103,COLUMN(기본데이타!AB$8),0))</f>
        <v/>
      </c>
      <c r="Y119" s="633" t="str">
        <f>IF($A119="","",VLOOKUP($A119,기본데이타!$A$8:$BV$103,COLUMN(기본데이타!AC$8),0))</f>
        <v/>
      </c>
      <c r="Z119" s="634" t="str">
        <f>IF($A119="","",VLOOKUP($A119,기본데이타!$A$8:$BV$103,COLUMN(기본데이타!AD$8),0))</f>
        <v/>
      </c>
      <c r="AA119" s="633" t="str">
        <f>IF($A119="","",VLOOKUP($A119,기본데이타!$A$8:$BV$103,COLUMN(기본데이타!AE$8),0))</f>
        <v/>
      </c>
      <c r="AB119" s="634" t="str">
        <f>IF($A119="","",VLOOKUP($A119,기본데이타!$A$8:$BV$103,COLUMN(기본데이타!AF$8),0))</f>
        <v/>
      </c>
      <c r="AC119" s="633" t="str">
        <f>IF($A119="","",VLOOKUP($A119,기본데이타!$A$8:$BV$103,COLUMN(기본데이타!AG$8),0))</f>
        <v/>
      </c>
      <c r="AD119" s="634" t="str">
        <f>IF($A119="","",VLOOKUP($A119,기본데이타!$A$8:$BV$103,COLUMN(기본데이타!AH$8),0))</f>
        <v/>
      </c>
      <c r="AE119" s="633" t="str">
        <f>IF($A119="","",VLOOKUP($A119,기본데이타!$A$8:$BV$103,COLUMN(기본데이타!AI$8),0))</f>
        <v/>
      </c>
      <c r="AF119" s="635" t="str">
        <f>IF($A119="","",VLOOKUP($A119,기본데이타!$A$8:$BV$103,COLUMN(기본데이타!AJ$8),0))</f>
        <v/>
      </c>
      <c r="AG119" s="580" t="str">
        <f>IF($A119="","",VLOOKUP($A119,기본데이타!$A$8:$BV$103,COLUMN(기본데이타!AK$8),0))</f>
        <v/>
      </c>
      <c r="AH119" s="580" t="str">
        <f>IF($A119="","",VLOOKUP($A119,기본데이타!$A$8:$BV$103,COLUMN(기본데이타!AL$8),0))</f>
        <v/>
      </c>
      <c r="AI119" s="580" t="str">
        <f>IF($A119="","",VLOOKUP($A119,기본데이타!$A$8:$BV$103,COLUMN(기본데이타!AM$8),0))</f>
        <v/>
      </c>
      <c r="AJ119" s="636" t="str">
        <f>IF($A119="","",VLOOKUP($A119,기본데이타!$A$8:$BV$103,COLUMN(기본데이타!AN$8),0))</f>
        <v/>
      </c>
      <c r="AK119" s="636" t="str">
        <f>IF($A119="","",VLOOKUP($A119,기본데이타!$A$8:$BV$103,COLUMN(기본데이타!AO$8),0))</f>
        <v/>
      </c>
      <c r="AL119" s="636" t="str">
        <f>IF($A119="","",VLOOKUP($A119,기본데이타!$A$8:$BV$103,COLUMN(기본데이타!AP$8),0))</f>
        <v/>
      </c>
      <c r="AM119" s="636" t="str">
        <f>IF($A119="","",VLOOKUP($A119,기본데이타!$A$8:$BV$103,COLUMN(기본데이타!AQ$8),0))</f>
        <v/>
      </c>
      <c r="AN119" s="636" t="str">
        <f>IF($A119="","",VLOOKUP($A119,기본데이타!$A$8:$BV$103,COLUMN(기본데이타!AR$8),0))</f>
        <v/>
      </c>
      <c r="AO119" s="636" t="str">
        <f>IF($A119="","",VLOOKUP($A119,기본데이타!$A$8:$BV$103,COLUMN(기본데이타!AS$8),0))</f>
        <v/>
      </c>
      <c r="AP119" s="636" t="str">
        <f>IF($A119="","",VLOOKUP($A119,기본데이타!$A$8:$BV$103,COLUMN(기본데이타!AT$8),0))</f>
        <v/>
      </c>
      <c r="AQ119" s="636" t="str">
        <f>IF($A119="","",VLOOKUP($A119,기본데이타!$A$8:$BV$103,COLUMN(기본데이타!AU$8),0))</f>
        <v/>
      </c>
      <c r="AR119" s="637" t="str">
        <f>IF($A119="","",VLOOKUP($A119,기본데이타!$A$8:$BV$103,COLUMN(기본데이타!AV$8),0))</f>
        <v/>
      </c>
      <c r="AS119" s="634" t="str">
        <f>IF($A119="","",VLOOKUP($A119,기본데이타!$A$8:$BV$103,COLUMN(기본데이타!AW$8),0))</f>
        <v/>
      </c>
      <c r="AT119" s="634" t="str">
        <f>IF($A119="","",VLOOKUP($A119,기본데이타!$A$8:$BV$103,COLUMN(기본데이타!AX$8),0))</f>
        <v/>
      </c>
      <c r="AU119" s="634" t="str">
        <f>IF($A119="","",VLOOKUP($A119,기본데이타!$A$8:$BV$103,COLUMN(기본데이타!AY$8),0))</f>
        <v/>
      </c>
      <c r="AV119" s="634" t="str">
        <f t="shared" si="18"/>
        <v/>
      </c>
      <c r="AW119" s="635" t="str">
        <f>IF($A119="","",VLOOKUP($A119,기본데이타!$A$8:$BV$103,COLUMN(기본데이타!BA$8),0))</f>
        <v/>
      </c>
      <c r="AX119" s="635" t="str">
        <f>IF($A119="","",VLOOKUP($A119,기본데이타!$A$8:$BV$103,COLUMN(기본데이타!BB$8),0))</f>
        <v/>
      </c>
      <c r="AY119" s="635" t="str">
        <f>IF($A119="","",VLOOKUP($A119,기본데이타!$A$8:$BV$103,COLUMN(기본데이타!BC$8),0))</f>
        <v/>
      </c>
      <c r="AZ119" s="635" t="str">
        <f>IF($A119="","",VLOOKUP($A119,기본데이타!$A$8:$BV$103,COLUMN(기본데이타!BD$8),0))</f>
        <v/>
      </c>
      <c r="BA119" s="635" t="str">
        <f>IF($A119="","",VLOOKUP($A119,기본데이타!$A$8:$BV$103,COLUMN(기본데이타!BE$8),0))</f>
        <v/>
      </c>
      <c r="BB119" s="635" t="str">
        <f>IF($A119="","",VLOOKUP($A119,기본데이타!$A$8:$BV$103,COLUMN(기본데이타!BF$8),0))</f>
        <v/>
      </c>
      <c r="BC119" s="635" t="str">
        <f>IF($A119="","",VLOOKUP($A119,기본데이타!$A$8:$BV$103,COLUMN(기본데이타!BG$8),0))</f>
        <v/>
      </c>
      <c r="BD119" s="635" t="str">
        <f>IF($A119="","",VLOOKUP($A119,기본데이타!$A$8:$BV$103,COLUMN(기본데이타!BH$8),0))</f>
        <v/>
      </c>
      <c r="BE119" s="635" t="str">
        <f>IF($A119="","",VLOOKUP($A119,기본데이타!$A$8:$BV$103,COLUMN(기본데이타!BI$8),0))</f>
        <v/>
      </c>
      <c r="BF119" s="635" t="str">
        <f>IF($A119="","",VLOOKUP($A119,기본데이타!$A$8:$BV$103,COLUMN(기본데이타!BJ$8),0))</f>
        <v/>
      </c>
      <c r="BG119" s="635" t="str">
        <f>IF($A119="","",VLOOKUP($A119,기본데이타!$A$8:$BV$103,COLUMN(기본데이타!BK$8),0))</f>
        <v/>
      </c>
      <c r="BH119" s="635" t="str">
        <f>IF($A119="","",VLOOKUP($A119,기본데이타!$A$8:$BV$103,COLUMN(기본데이타!BL$8),0))</f>
        <v/>
      </c>
      <c r="BI119" s="635" t="str">
        <f>IF($A119="","",VLOOKUP($A119,기본데이타!$A$8:$BV$103,COLUMN(기본데이타!BM$8),0))</f>
        <v/>
      </c>
      <c r="BJ119" s="635" t="str">
        <f>IF($A119="","",VLOOKUP($A119,기본데이타!$A$8:$BV$103,COLUMN(기본데이타!BN$8),0))</f>
        <v/>
      </c>
      <c r="BK119" s="635" t="str">
        <f>IF($A119="","",VLOOKUP($A119,기본데이타!$A$8:$BV$103,COLUMN(기본데이타!BO$8),0))</f>
        <v/>
      </c>
      <c r="BL119" s="635" t="str">
        <f>IF($A119="","",VLOOKUP($A119,기본데이타!$A$8:$BV$103,COLUMN(기본데이타!BP$8),0))</f>
        <v/>
      </c>
      <c r="BM119" s="635" t="str">
        <f>IF($A119="","",VLOOKUP($A119,기본데이타!$A$8:$BV$103,COLUMN(기본데이타!BQ$8),0))</f>
        <v/>
      </c>
      <c r="BN119" s="638" t="str">
        <f>IF($A119="","",VLOOKUP($A119,기본데이타!$A$8:$BV$103,COLUMN(기본데이타!BR$8),0))</f>
        <v/>
      </c>
      <c r="BO119" s="579" t="str">
        <f>IF($A119="","",VLOOKUP($A119,기본데이타!$A$8:$BV$103,COLUMN(기본데이타!BS$8),0))</f>
        <v/>
      </c>
      <c r="BP119" s="639" t="str">
        <f>IF($A119="","",VLOOKUP($A119,기본데이타!$A$8:$BV$103,COLUMN(기본데이타!BT$8),0))</f>
        <v/>
      </c>
      <c r="BQ119" s="640" t="str">
        <f>IF($A119="","",VLOOKUP($A119,기본데이타!$A$8:$BV$103,COLUMN(기본데이타!BU$8),0))</f>
        <v/>
      </c>
      <c r="BR119" s="625" t="str">
        <f t="shared" si="19"/>
        <v/>
      </c>
    </row>
    <row r="120" spans="1:70" s="571" customFormat="1" ht="61.5" hidden="1" customHeight="1">
      <c r="A120" s="578"/>
      <c r="B120" s="1642"/>
      <c r="C120" s="590"/>
      <c r="D120" s="591" t="str">
        <f>IF($A120="","",VLOOKUP($A120,기본데이타!$A$8:$BV$103,COLUMN(기본데이타!F$8),0))</f>
        <v/>
      </c>
      <c r="E120" s="592" t="str">
        <f>IF($A120="","",VLOOKUP($A120,기본데이타!$A$8:$BV$103,COLUMN(기본데이타!G$8),0))</f>
        <v/>
      </c>
      <c r="F120" s="593" t="str">
        <f>IF($A120="","",VLOOKUP($A120,기본데이타!$A$8:$BV$103,COLUMN(기본데이타!H$8),0))</f>
        <v/>
      </c>
      <c r="G120" s="594" t="str">
        <f>IF($A120="","",VLOOKUP($A120,기본데이타!$A$8:$BV$103,COLUMN(기본데이타!I$8),0))</f>
        <v/>
      </c>
      <c r="H120" s="594" t="str">
        <f>IF($A120="","",VLOOKUP($A120,기본데이타!$A$8:$BV$103,COLUMN(기본데이타!J$8),0))</f>
        <v/>
      </c>
      <c r="I120" s="595" t="str">
        <f>IF($A120="","",VLOOKUP($A120,기본데이타!$A$8:$BV$103,COLUMN(기본데이타!K$8),0))</f>
        <v/>
      </c>
      <c r="J120" s="595" t="str">
        <f>IF($A120="","",VLOOKUP($A120,기본데이타!$A$8:$BV$103,COLUMN(기본데이타!L$8),0))</f>
        <v/>
      </c>
      <c r="K120" s="595" t="str">
        <f>IF($A120="","",VLOOKUP($A120,기본데이타!$A$8:$BV$103,COLUMN(기본데이타!M$8),0))</f>
        <v/>
      </c>
      <c r="L120" s="596" t="str">
        <f>IF($A120="","",VLOOKUP($A120,기본데이타!$A$8:$BV$103,COLUMN(기본데이타!N$8),0))</f>
        <v/>
      </c>
      <c r="M120" s="595" t="str">
        <f>IF($A120="","",VLOOKUP($A120,기본데이타!$A$8:$BV$103,COLUMN(기본데이타!O$8),0))</f>
        <v/>
      </c>
      <c r="N120" s="596" t="str">
        <f>IF($A120="","",VLOOKUP($A120,기본데이타!$A$8:$BV$103,COLUMN(기본데이타!P$8),0))</f>
        <v/>
      </c>
      <c r="O120" s="596" t="str">
        <f>IF($A120="","",VLOOKUP($A120,기본데이타!$A$8:$BV$103,COLUMN(기본데이타!Q$8),0))</f>
        <v/>
      </c>
      <c r="P120" s="596" t="str">
        <f>IF($A120="","",VLOOKUP($A120,기본데이타!$A$8:$BV$103,COLUMN(기본데이타!R$8),0))</f>
        <v/>
      </c>
      <c r="Q120" s="596" t="str">
        <f>IF($A120="","",VLOOKUP($A120,기본데이타!$A$8:$BV$103,COLUMN(기본데이타!S$8),0))</f>
        <v/>
      </c>
      <c r="R120" s="596" t="str">
        <f>IF($A120="","",VLOOKUP($A120,기본데이타!$A$8:$BV$103,COLUMN(기본데이타!T$8),0))</f>
        <v/>
      </c>
      <c r="S120" s="596" t="str">
        <f>IF($A120="","",VLOOKUP($A120,기본데이타!$A$8:$BV$103,COLUMN(기본데이타!U$8),0))</f>
        <v/>
      </c>
      <c r="T120" s="596" t="str">
        <f>IF($A120="","",VLOOKUP($A120,기본데이타!$A$8:$BV$103,COLUMN(기본데이타!V$8),0))</f>
        <v/>
      </c>
      <c r="U120" s="596" t="str">
        <f>IF($A120="","",VLOOKUP($A120,기본데이타!$A$8:$BV$103,COLUMN(기본데이타!W$8),0))</f>
        <v/>
      </c>
      <c r="V120" s="596" t="str">
        <f>IF($A120="","",VLOOKUP($A120,기본데이타!$A$8:$BV$103,COLUMN(기본데이타!X$8),0))</f>
        <v/>
      </c>
      <c r="W120" s="596" t="str">
        <f>IF($A120="","",VLOOKUP($A120,기본데이타!$A$8:$BV$103,COLUMN(기본데이타!AA$8),0))</f>
        <v/>
      </c>
      <c r="X120" s="596" t="str">
        <f>IF($A120="","",VLOOKUP($A120,기본데이타!$A$8:$BV$103,COLUMN(기본데이타!AB$8),0))</f>
        <v/>
      </c>
      <c r="Y120" s="595" t="str">
        <f>IF($A120="","",VLOOKUP($A120,기본데이타!$A$8:$BV$103,COLUMN(기본데이타!AC$8),0))</f>
        <v/>
      </c>
      <c r="Z120" s="596" t="str">
        <f>IF($A120="","",VLOOKUP($A120,기본데이타!$A$8:$BV$103,COLUMN(기본데이타!AD$8),0))</f>
        <v/>
      </c>
      <c r="AA120" s="595" t="str">
        <f>IF($A120="","",VLOOKUP($A120,기본데이타!$A$8:$BV$103,COLUMN(기본데이타!AE$8),0))</f>
        <v/>
      </c>
      <c r="AB120" s="596" t="str">
        <f>IF($A120="","",VLOOKUP($A120,기본데이타!$A$8:$BV$103,COLUMN(기본데이타!AF$8),0))</f>
        <v/>
      </c>
      <c r="AC120" s="595" t="str">
        <f>IF($A120="","",VLOOKUP($A120,기본데이타!$A$8:$BV$103,COLUMN(기본데이타!AG$8),0))</f>
        <v/>
      </c>
      <c r="AD120" s="596" t="str">
        <f>IF($A120="","",VLOOKUP($A120,기본데이타!$A$8:$BV$103,COLUMN(기본데이타!AH$8),0))</f>
        <v/>
      </c>
      <c r="AE120" s="595" t="str">
        <f>IF($A120="","",VLOOKUP($A120,기본데이타!$A$8:$BV$103,COLUMN(기본데이타!AI$8),0))</f>
        <v/>
      </c>
      <c r="AF120" s="597" t="str">
        <f>IF($A120="","",VLOOKUP($A120,기본데이타!$A$8:$BV$103,COLUMN(기본데이타!AJ$8),0))</f>
        <v/>
      </c>
      <c r="AG120" s="621" t="str">
        <f>IF($A120="","",VLOOKUP($A120,기본데이타!$A$8:$BV$103,COLUMN(기본데이타!AK$8),0))</f>
        <v/>
      </c>
      <c r="AH120" s="621" t="str">
        <f>IF($A120="","",VLOOKUP($A120,기본데이타!$A$8:$BV$103,COLUMN(기본데이타!AL$8),0))</f>
        <v/>
      </c>
      <c r="AI120" s="621" t="str">
        <f>IF($A120="","",VLOOKUP($A120,기본데이타!$A$8:$BV$103,COLUMN(기본데이타!AM$8),0))</f>
        <v/>
      </c>
      <c r="AJ120" s="642" t="str">
        <f>IF($A120="","",VLOOKUP($A120,기본데이타!$A$8:$BV$103,COLUMN(기본데이타!AN$8),0))</f>
        <v/>
      </c>
      <c r="AK120" s="642" t="str">
        <f>IF($A120="","",VLOOKUP($A120,기본데이타!$A$8:$BV$103,COLUMN(기본데이타!AO$8),0))</f>
        <v/>
      </c>
      <c r="AL120" s="642" t="str">
        <f>IF($A120="","",VLOOKUP($A120,기본데이타!$A$8:$BV$103,COLUMN(기본데이타!AP$8),0))</f>
        <v/>
      </c>
      <c r="AM120" s="642" t="str">
        <f>IF($A120="","",VLOOKUP($A120,기본데이타!$A$8:$BV$103,COLUMN(기본데이타!AQ$8),0))</f>
        <v/>
      </c>
      <c r="AN120" s="642" t="str">
        <f>IF($A120="","",VLOOKUP($A120,기본데이타!$A$8:$BV$103,COLUMN(기본데이타!AR$8),0))</f>
        <v/>
      </c>
      <c r="AO120" s="642" t="str">
        <f>IF($A120="","",VLOOKUP($A120,기본데이타!$A$8:$BV$103,COLUMN(기본데이타!AS$8),0))</f>
        <v/>
      </c>
      <c r="AP120" s="642" t="str">
        <f>IF($A120="","",VLOOKUP($A120,기본데이타!$A$8:$BV$103,COLUMN(기본데이타!AT$8),0))</f>
        <v/>
      </c>
      <c r="AQ120" s="642" t="str">
        <f>IF($A120="","",VLOOKUP($A120,기본데이타!$A$8:$BV$103,COLUMN(기본데이타!AU$8),0))</f>
        <v/>
      </c>
      <c r="AR120" s="643" t="str">
        <f>IF($A120="","",VLOOKUP($A120,기본데이타!$A$8:$BV$103,COLUMN(기본데이타!AV$8),0))</f>
        <v/>
      </c>
      <c r="AS120" s="596" t="str">
        <f>IF($A120="","",VLOOKUP($A120,기본데이타!$A$8:$BV$103,COLUMN(기본데이타!AW$8),0))</f>
        <v/>
      </c>
      <c r="AT120" s="596" t="str">
        <f>IF($A120="","",VLOOKUP($A120,기본데이타!$A$8:$BV$103,COLUMN(기본데이타!AX$8),0))</f>
        <v/>
      </c>
      <c r="AU120" s="596" t="str">
        <f>IF($A120="","",VLOOKUP($A120,기본데이타!$A$8:$BV$103,COLUMN(기본데이타!AY$8),0))</f>
        <v/>
      </c>
      <c r="AV120" s="596" t="str">
        <f t="shared" si="18"/>
        <v/>
      </c>
      <c r="AW120" s="597" t="str">
        <f>IF($A120="","",VLOOKUP($A120,기본데이타!$A$8:$BV$103,COLUMN(기본데이타!BA$8),0))</f>
        <v/>
      </c>
      <c r="AX120" s="597" t="str">
        <f>IF($A120="","",VLOOKUP($A120,기본데이타!$A$8:$BV$103,COLUMN(기본데이타!BB$8),0))</f>
        <v/>
      </c>
      <c r="AY120" s="597" t="str">
        <f>IF($A120="","",VLOOKUP($A120,기본데이타!$A$8:$BV$103,COLUMN(기본데이타!BC$8),0))</f>
        <v/>
      </c>
      <c r="AZ120" s="597" t="str">
        <f>IF($A120="","",VLOOKUP($A120,기본데이타!$A$8:$BV$103,COLUMN(기본데이타!BD$8),0))</f>
        <v/>
      </c>
      <c r="BA120" s="597" t="str">
        <f>IF($A120="","",VLOOKUP($A120,기본데이타!$A$8:$BV$103,COLUMN(기본데이타!BE$8),0))</f>
        <v/>
      </c>
      <c r="BB120" s="597" t="str">
        <f>IF($A120="","",VLOOKUP($A120,기본데이타!$A$8:$BV$103,COLUMN(기본데이타!BF$8),0))</f>
        <v/>
      </c>
      <c r="BC120" s="597" t="str">
        <f>IF($A120="","",VLOOKUP($A120,기본데이타!$A$8:$BV$103,COLUMN(기본데이타!BG$8),0))</f>
        <v/>
      </c>
      <c r="BD120" s="597" t="str">
        <f>IF($A120="","",VLOOKUP($A120,기본데이타!$A$8:$BV$103,COLUMN(기본데이타!BH$8),0))</f>
        <v/>
      </c>
      <c r="BE120" s="597" t="str">
        <f>IF($A120="","",VLOOKUP($A120,기본데이타!$A$8:$BV$103,COLUMN(기본데이타!BI$8),0))</f>
        <v/>
      </c>
      <c r="BF120" s="597" t="str">
        <f>IF($A120="","",VLOOKUP($A120,기본데이타!$A$8:$BV$103,COLUMN(기본데이타!BJ$8),0))</f>
        <v/>
      </c>
      <c r="BG120" s="597" t="str">
        <f>IF($A120="","",VLOOKUP($A120,기본데이타!$A$8:$BV$103,COLUMN(기본데이타!BK$8),0))</f>
        <v/>
      </c>
      <c r="BH120" s="597" t="str">
        <f>IF($A120="","",VLOOKUP($A120,기본데이타!$A$8:$BV$103,COLUMN(기본데이타!BL$8),0))</f>
        <v/>
      </c>
      <c r="BI120" s="597" t="str">
        <f>IF($A120="","",VLOOKUP($A120,기본데이타!$A$8:$BV$103,COLUMN(기본데이타!BM$8),0))</f>
        <v/>
      </c>
      <c r="BJ120" s="597" t="str">
        <f>IF($A120="","",VLOOKUP($A120,기본데이타!$A$8:$BV$103,COLUMN(기본데이타!BN$8),0))</f>
        <v/>
      </c>
      <c r="BK120" s="597" t="str">
        <f>IF($A120="","",VLOOKUP($A120,기본데이타!$A$8:$BV$103,COLUMN(기본데이타!BO$8),0))</f>
        <v/>
      </c>
      <c r="BL120" s="597" t="str">
        <f>IF($A120="","",VLOOKUP($A120,기본데이타!$A$8:$BV$103,COLUMN(기본데이타!BP$8),0))</f>
        <v/>
      </c>
      <c r="BM120" s="597" t="str">
        <f>IF($A120="","",VLOOKUP($A120,기본데이타!$A$8:$BV$103,COLUMN(기본데이타!BQ$8),0))</f>
        <v/>
      </c>
      <c r="BN120" s="599" t="str">
        <f>IF($A120="","",VLOOKUP($A120,기본데이타!$A$8:$BV$103,COLUMN(기본데이타!BR$8),0))</f>
        <v/>
      </c>
      <c r="BO120" s="600" t="str">
        <f>IF($A120="","",VLOOKUP($A120,기본데이타!$A$8:$BV$103,COLUMN(기본데이타!BS$8),0))</f>
        <v/>
      </c>
      <c r="BP120" s="623" t="str">
        <f>IF($A120="","",VLOOKUP($A120,기본데이타!$A$8:$BV$103,COLUMN(기본데이타!BT$8),0))</f>
        <v/>
      </c>
      <c r="BQ120" s="602" t="str">
        <f>IF($A120="","",VLOOKUP($A120,기본데이타!$A$8:$BV$103,COLUMN(기본데이타!BU$8),0))</f>
        <v/>
      </c>
      <c r="BR120" s="603" t="str">
        <f t="shared" si="19"/>
        <v/>
      </c>
    </row>
    <row r="121" spans="1:70" s="571" customFormat="1" ht="61.5" hidden="1" customHeight="1">
      <c r="A121" s="578"/>
      <c r="B121" s="1642"/>
      <c r="C121" s="590"/>
      <c r="D121" s="629" t="str">
        <f>IF($A121="","",VLOOKUP($A121,기본데이타!$A$8:$BV$103,COLUMN(기본데이타!F$8),0))</f>
        <v/>
      </c>
      <c r="E121" s="630" t="str">
        <f>IF($A121="","",VLOOKUP($A121,기본데이타!$A$8:$BV$103,COLUMN(기본데이타!G$8),0))</f>
        <v/>
      </c>
      <c r="F121" s="631" t="str">
        <f>IF($A121="","",VLOOKUP($A121,기본데이타!$A$8:$BV$103,COLUMN(기본데이타!H$8),0))</f>
        <v/>
      </c>
      <c r="G121" s="632" t="str">
        <f>IF($A121="","",VLOOKUP($A121,기본데이타!$A$8:$BV$103,COLUMN(기본데이타!I$8),0))</f>
        <v/>
      </c>
      <c r="H121" s="632" t="str">
        <f>IF($A121="","",VLOOKUP($A121,기본데이타!$A$8:$BV$103,COLUMN(기본데이타!J$8),0))</f>
        <v/>
      </c>
      <c r="I121" s="633" t="str">
        <f>IF($A121="","",VLOOKUP($A121,기본데이타!$A$8:$BV$103,COLUMN(기본데이타!K$8),0))</f>
        <v/>
      </c>
      <c r="J121" s="633" t="str">
        <f>IF($A121="","",VLOOKUP($A121,기본데이타!$A$8:$BV$103,COLUMN(기본데이타!L$8),0))</f>
        <v/>
      </c>
      <c r="K121" s="633" t="str">
        <f>IF($A121="","",VLOOKUP($A121,기본데이타!$A$8:$BV$103,COLUMN(기본데이타!M$8),0))</f>
        <v/>
      </c>
      <c r="L121" s="634" t="str">
        <f>IF($A121="","",VLOOKUP($A121,기본데이타!$A$8:$BV$103,COLUMN(기본데이타!N$8),0))</f>
        <v/>
      </c>
      <c r="M121" s="633" t="str">
        <f>IF($A121="","",VLOOKUP($A121,기본데이타!$A$8:$BV$103,COLUMN(기본데이타!O$8),0))</f>
        <v/>
      </c>
      <c r="N121" s="634" t="str">
        <f>IF($A121="","",VLOOKUP($A121,기본데이타!$A$8:$BV$103,COLUMN(기본데이타!P$8),0))</f>
        <v/>
      </c>
      <c r="O121" s="634" t="str">
        <f>IF($A121="","",VLOOKUP($A121,기본데이타!$A$8:$BV$103,COLUMN(기본데이타!Q$8),0))</f>
        <v/>
      </c>
      <c r="P121" s="634" t="str">
        <f>IF($A121="","",VLOOKUP($A121,기본데이타!$A$8:$BV$103,COLUMN(기본데이타!R$8),0))</f>
        <v/>
      </c>
      <c r="Q121" s="634" t="str">
        <f>IF($A121="","",VLOOKUP($A121,기본데이타!$A$8:$BV$103,COLUMN(기본데이타!S$8),0))</f>
        <v/>
      </c>
      <c r="R121" s="634" t="str">
        <f>IF($A121="","",VLOOKUP($A121,기본데이타!$A$8:$BV$103,COLUMN(기본데이타!T$8),0))</f>
        <v/>
      </c>
      <c r="S121" s="634" t="str">
        <f>IF($A121="","",VLOOKUP($A121,기본데이타!$A$8:$BV$103,COLUMN(기본데이타!U$8),0))</f>
        <v/>
      </c>
      <c r="T121" s="634" t="str">
        <f>IF($A121="","",VLOOKUP($A121,기본데이타!$A$8:$BV$103,COLUMN(기본데이타!V$8),0))</f>
        <v/>
      </c>
      <c r="U121" s="634" t="str">
        <f>IF($A121="","",VLOOKUP($A121,기본데이타!$A$8:$BV$103,COLUMN(기본데이타!W$8),0))</f>
        <v/>
      </c>
      <c r="V121" s="634" t="str">
        <f>IF($A121="","",VLOOKUP($A121,기본데이타!$A$8:$BV$103,COLUMN(기본데이타!X$8),0))</f>
        <v/>
      </c>
      <c r="W121" s="634" t="str">
        <f>IF($A121="","",VLOOKUP($A121,기본데이타!$A$8:$BV$103,COLUMN(기본데이타!AA$8),0))</f>
        <v/>
      </c>
      <c r="X121" s="634" t="str">
        <f>IF($A121="","",VLOOKUP($A121,기본데이타!$A$8:$BV$103,COLUMN(기본데이타!AB$8),0))</f>
        <v/>
      </c>
      <c r="Y121" s="633" t="str">
        <f>IF($A121="","",VLOOKUP($A121,기본데이타!$A$8:$BV$103,COLUMN(기본데이타!AC$8),0))</f>
        <v/>
      </c>
      <c r="Z121" s="634" t="str">
        <f>IF($A121="","",VLOOKUP($A121,기본데이타!$A$8:$BV$103,COLUMN(기본데이타!AD$8),0))</f>
        <v/>
      </c>
      <c r="AA121" s="633" t="str">
        <f>IF($A121="","",VLOOKUP($A121,기본데이타!$A$8:$BV$103,COLUMN(기본데이타!AE$8),0))</f>
        <v/>
      </c>
      <c r="AB121" s="634" t="str">
        <f>IF($A121="","",VLOOKUP($A121,기본데이타!$A$8:$BV$103,COLUMN(기본데이타!AF$8),0))</f>
        <v/>
      </c>
      <c r="AC121" s="633" t="str">
        <f>IF($A121="","",VLOOKUP($A121,기본데이타!$A$8:$BV$103,COLUMN(기본데이타!AG$8),0))</f>
        <v/>
      </c>
      <c r="AD121" s="634" t="str">
        <f>IF($A121="","",VLOOKUP($A121,기본데이타!$A$8:$BV$103,COLUMN(기본데이타!AH$8),0))</f>
        <v/>
      </c>
      <c r="AE121" s="633" t="str">
        <f>IF($A121="","",VLOOKUP($A121,기본데이타!$A$8:$BV$103,COLUMN(기본데이타!AI$8),0))</f>
        <v/>
      </c>
      <c r="AF121" s="635" t="str">
        <f>IF($A121="","",VLOOKUP($A121,기본데이타!$A$8:$BV$103,COLUMN(기본데이타!AJ$8),0))</f>
        <v/>
      </c>
      <c r="AG121" s="580" t="str">
        <f>IF($A121="","",VLOOKUP($A121,기본데이타!$A$8:$BV$103,COLUMN(기본데이타!AK$8),0))</f>
        <v/>
      </c>
      <c r="AH121" s="580" t="str">
        <f>IF($A121="","",VLOOKUP($A121,기본데이타!$A$8:$BV$103,COLUMN(기본데이타!AL$8),0))</f>
        <v/>
      </c>
      <c r="AI121" s="580" t="str">
        <f>IF($A121="","",VLOOKUP($A121,기본데이타!$A$8:$BV$103,COLUMN(기본데이타!AM$8),0))</f>
        <v/>
      </c>
      <c r="AJ121" s="636" t="str">
        <f>IF($A121="","",VLOOKUP($A121,기본데이타!$A$8:$BV$103,COLUMN(기본데이타!AN$8),0))</f>
        <v/>
      </c>
      <c r="AK121" s="636" t="str">
        <f>IF($A121="","",VLOOKUP($A121,기본데이타!$A$8:$BV$103,COLUMN(기본데이타!AO$8),0))</f>
        <v/>
      </c>
      <c r="AL121" s="636" t="str">
        <f>IF($A121="","",VLOOKUP($A121,기본데이타!$A$8:$BV$103,COLUMN(기본데이타!AP$8),0))</f>
        <v/>
      </c>
      <c r="AM121" s="636" t="str">
        <f>IF($A121="","",VLOOKUP($A121,기본데이타!$A$8:$BV$103,COLUMN(기본데이타!AQ$8),0))</f>
        <v/>
      </c>
      <c r="AN121" s="636" t="str">
        <f>IF($A121="","",VLOOKUP($A121,기본데이타!$A$8:$BV$103,COLUMN(기본데이타!AR$8),0))</f>
        <v/>
      </c>
      <c r="AO121" s="636" t="str">
        <f>IF($A121="","",VLOOKUP($A121,기본데이타!$A$8:$BV$103,COLUMN(기본데이타!AS$8),0))</f>
        <v/>
      </c>
      <c r="AP121" s="636" t="str">
        <f>IF($A121="","",VLOOKUP($A121,기본데이타!$A$8:$BV$103,COLUMN(기본데이타!AT$8),0))</f>
        <v/>
      </c>
      <c r="AQ121" s="636" t="str">
        <f>IF($A121="","",VLOOKUP($A121,기본데이타!$A$8:$BV$103,COLUMN(기본데이타!AU$8),0))</f>
        <v/>
      </c>
      <c r="AR121" s="637" t="str">
        <f>IF($A121="","",VLOOKUP($A121,기본데이타!$A$8:$BV$103,COLUMN(기본데이타!AV$8),0))</f>
        <v/>
      </c>
      <c r="AS121" s="634" t="str">
        <f>IF($A121="","",VLOOKUP($A121,기본데이타!$A$8:$BV$103,COLUMN(기본데이타!AW$8),0))</f>
        <v/>
      </c>
      <c r="AT121" s="634" t="str">
        <f>IF($A121="","",VLOOKUP($A121,기본데이타!$A$8:$BV$103,COLUMN(기본데이타!AX$8),0))</f>
        <v/>
      </c>
      <c r="AU121" s="634" t="str">
        <f>IF($A121="","",VLOOKUP($A121,기본데이타!$A$8:$BV$103,COLUMN(기본데이타!AY$8),0))</f>
        <v/>
      </c>
      <c r="AV121" s="634" t="str">
        <f t="shared" si="18"/>
        <v/>
      </c>
      <c r="AW121" s="635" t="str">
        <f>IF($A121="","",VLOOKUP($A121,기본데이타!$A$8:$BV$103,COLUMN(기본데이타!BA$8),0))</f>
        <v/>
      </c>
      <c r="AX121" s="635" t="str">
        <f>IF($A121="","",VLOOKUP($A121,기본데이타!$A$8:$BV$103,COLUMN(기본데이타!BB$8),0))</f>
        <v/>
      </c>
      <c r="AY121" s="635" t="str">
        <f>IF($A121="","",VLOOKUP($A121,기본데이타!$A$8:$BV$103,COLUMN(기본데이타!BC$8),0))</f>
        <v/>
      </c>
      <c r="AZ121" s="635" t="str">
        <f>IF($A121="","",VLOOKUP($A121,기본데이타!$A$8:$BV$103,COLUMN(기본데이타!BD$8),0))</f>
        <v/>
      </c>
      <c r="BA121" s="635" t="str">
        <f>IF($A121="","",VLOOKUP($A121,기본데이타!$A$8:$BV$103,COLUMN(기본데이타!BE$8),0))</f>
        <v/>
      </c>
      <c r="BB121" s="635" t="str">
        <f>IF($A121="","",VLOOKUP($A121,기본데이타!$A$8:$BV$103,COLUMN(기본데이타!BF$8),0))</f>
        <v/>
      </c>
      <c r="BC121" s="635" t="str">
        <f>IF($A121="","",VLOOKUP($A121,기본데이타!$A$8:$BV$103,COLUMN(기본데이타!BG$8),0))</f>
        <v/>
      </c>
      <c r="BD121" s="635" t="str">
        <f>IF($A121="","",VLOOKUP($A121,기본데이타!$A$8:$BV$103,COLUMN(기본데이타!BH$8),0))</f>
        <v/>
      </c>
      <c r="BE121" s="635" t="str">
        <f>IF($A121="","",VLOOKUP($A121,기본데이타!$A$8:$BV$103,COLUMN(기본데이타!BI$8),0))</f>
        <v/>
      </c>
      <c r="BF121" s="635" t="str">
        <f>IF($A121="","",VLOOKUP($A121,기본데이타!$A$8:$BV$103,COLUMN(기본데이타!BJ$8),0))</f>
        <v/>
      </c>
      <c r="BG121" s="635" t="str">
        <f>IF($A121="","",VLOOKUP($A121,기본데이타!$A$8:$BV$103,COLUMN(기본데이타!BK$8),0))</f>
        <v/>
      </c>
      <c r="BH121" s="635" t="str">
        <f>IF($A121="","",VLOOKUP($A121,기본데이타!$A$8:$BV$103,COLUMN(기본데이타!BL$8),0))</f>
        <v/>
      </c>
      <c r="BI121" s="635" t="str">
        <f>IF($A121="","",VLOOKUP($A121,기본데이타!$A$8:$BV$103,COLUMN(기본데이타!BM$8),0))</f>
        <v/>
      </c>
      <c r="BJ121" s="635" t="str">
        <f>IF($A121="","",VLOOKUP($A121,기본데이타!$A$8:$BV$103,COLUMN(기본데이타!BN$8),0))</f>
        <v/>
      </c>
      <c r="BK121" s="635" t="str">
        <f>IF($A121="","",VLOOKUP($A121,기본데이타!$A$8:$BV$103,COLUMN(기본데이타!BO$8),0))</f>
        <v/>
      </c>
      <c r="BL121" s="635" t="str">
        <f>IF($A121="","",VLOOKUP($A121,기본데이타!$A$8:$BV$103,COLUMN(기본데이타!BP$8),0))</f>
        <v/>
      </c>
      <c r="BM121" s="635" t="str">
        <f>IF($A121="","",VLOOKUP($A121,기본데이타!$A$8:$BV$103,COLUMN(기본데이타!BQ$8),0))</f>
        <v/>
      </c>
      <c r="BN121" s="638" t="str">
        <f>IF($A121="","",VLOOKUP($A121,기본데이타!$A$8:$BV$103,COLUMN(기본데이타!BR$8),0))</f>
        <v/>
      </c>
      <c r="BO121" s="579" t="str">
        <f>IF($A121="","",VLOOKUP($A121,기본데이타!$A$8:$BV$103,COLUMN(기본데이타!BS$8),0))</f>
        <v/>
      </c>
      <c r="BP121" s="639" t="str">
        <f>IF($A121="","",VLOOKUP($A121,기본데이타!$A$8:$BV$103,COLUMN(기본데이타!BT$8),0))</f>
        <v/>
      </c>
      <c r="BQ121" s="640" t="str">
        <f>IF($A121="","",VLOOKUP($A121,기본데이타!$A$8:$BV$103,COLUMN(기본데이타!BU$8),0))</f>
        <v/>
      </c>
      <c r="BR121" s="625" t="str">
        <f t="shared" si="19"/>
        <v/>
      </c>
    </row>
    <row r="122" spans="1:70" s="571" customFormat="1" ht="61.5" hidden="1" customHeight="1">
      <c r="A122" s="578"/>
      <c r="B122" s="1642"/>
      <c r="C122" s="590"/>
      <c r="D122" s="591" t="str">
        <f>IF($A122="","",VLOOKUP($A122,기본데이타!$A$8:$BV$103,COLUMN(기본데이타!F$8),0))</f>
        <v/>
      </c>
      <c r="E122" s="592" t="str">
        <f>IF($A122="","",VLOOKUP($A122,기본데이타!$A$8:$BV$103,COLUMN(기본데이타!G$8),0))</f>
        <v/>
      </c>
      <c r="F122" s="593" t="str">
        <f>IF($A122="","",VLOOKUP($A122,기본데이타!$A$8:$BV$103,COLUMN(기본데이타!H$8),0))</f>
        <v/>
      </c>
      <c r="G122" s="594" t="str">
        <f>IF($A122="","",VLOOKUP($A122,기본데이타!$A$8:$BV$103,COLUMN(기본데이타!I$8),0))</f>
        <v/>
      </c>
      <c r="H122" s="594" t="str">
        <f>IF($A122="","",VLOOKUP($A122,기본데이타!$A$8:$BV$103,COLUMN(기본데이타!J$8),0))</f>
        <v/>
      </c>
      <c r="I122" s="595" t="str">
        <f>IF($A122="","",VLOOKUP($A122,기본데이타!$A$8:$BV$103,COLUMN(기본데이타!K$8),0))</f>
        <v/>
      </c>
      <c r="J122" s="595" t="str">
        <f>IF($A122="","",VLOOKUP($A122,기본데이타!$A$8:$BV$103,COLUMN(기본데이타!L$8),0))</f>
        <v/>
      </c>
      <c r="K122" s="595" t="str">
        <f>IF($A122="","",VLOOKUP($A122,기본데이타!$A$8:$BV$103,COLUMN(기본데이타!M$8),0))</f>
        <v/>
      </c>
      <c r="L122" s="596" t="str">
        <f>IF($A122="","",VLOOKUP($A122,기본데이타!$A$8:$BV$103,COLUMN(기본데이타!N$8),0))</f>
        <v/>
      </c>
      <c r="M122" s="595" t="str">
        <f>IF($A122="","",VLOOKUP($A122,기본데이타!$A$8:$BV$103,COLUMN(기본데이타!O$8),0))</f>
        <v/>
      </c>
      <c r="N122" s="596" t="str">
        <f>IF($A122="","",VLOOKUP($A122,기본데이타!$A$8:$BV$103,COLUMN(기본데이타!P$8),0))</f>
        <v/>
      </c>
      <c r="O122" s="596" t="str">
        <f>IF($A122="","",VLOOKUP($A122,기본데이타!$A$8:$BV$103,COLUMN(기본데이타!Q$8),0))</f>
        <v/>
      </c>
      <c r="P122" s="596" t="str">
        <f>IF($A122="","",VLOOKUP($A122,기본데이타!$A$8:$BV$103,COLUMN(기본데이타!R$8),0))</f>
        <v/>
      </c>
      <c r="Q122" s="596" t="str">
        <f>IF($A122="","",VLOOKUP($A122,기본데이타!$A$8:$BV$103,COLUMN(기본데이타!S$8),0))</f>
        <v/>
      </c>
      <c r="R122" s="596" t="str">
        <f>IF($A122="","",VLOOKUP($A122,기본데이타!$A$8:$BV$103,COLUMN(기본데이타!T$8),0))</f>
        <v/>
      </c>
      <c r="S122" s="596" t="str">
        <f>IF($A122="","",VLOOKUP($A122,기본데이타!$A$8:$BV$103,COLUMN(기본데이타!U$8),0))</f>
        <v/>
      </c>
      <c r="T122" s="596" t="str">
        <f>IF($A122="","",VLOOKUP($A122,기본데이타!$A$8:$BV$103,COLUMN(기본데이타!V$8),0))</f>
        <v/>
      </c>
      <c r="U122" s="596" t="str">
        <f>IF($A122="","",VLOOKUP($A122,기본데이타!$A$8:$BV$103,COLUMN(기본데이타!W$8),0))</f>
        <v/>
      </c>
      <c r="V122" s="596" t="str">
        <f>IF($A122="","",VLOOKUP($A122,기본데이타!$A$8:$BV$103,COLUMN(기본데이타!X$8),0))</f>
        <v/>
      </c>
      <c r="W122" s="596" t="str">
        <f>IF($A122="","",VLOOKUP($A122,기본데이타!$A$8:$BV$103,COLUMN(기본데이타!AA$8),0))</f>
        <v/>
      </c>
      <c r="X122" s="596" t="str">
        <f>IF($A122="","",VLOOKUP($A122,기본데이타!$A$8:$BV$103,COLUMN(기본데이타!AB$8),0))</f>
        <v/>
      </c>
      <c r="Y122" s="595" t="str">
        <f>IF($A122="","",VLOOKUP($A122,기본데이타!$A$8:$BV$103,COLUMN(기본데이타!AC$8),0))</f>
        <v/>
      </c>
      <c r="Z122" s="596" t="str">
        <f>IF($A122="","",VLOOKUP($A122,기본데이타!$A$8:$BV$103,COLUMN(기본데이타!AD$8),0))</f>
        <v/>
      </c>
      <c r="AA122" s="595" t="str">
        <f>IF($A122="","",VLOOKUP($A122,기본데이타!$A$8:$BV$103,COLUMN(기본데이타!AE$8),0))</f>
        <v/>
      </c>
      <c r="AB122" s="596" t="str">
        <f>IF($A122="","",VLOOKUP($A122,기본데이타!$A$8:$BV$103,COLUMN(기본데이타!AF$8),0))</f>
        <v/>
      </c>
      <c r="AC122" s="595" t="str">
        <f>IF($A122="","",VLOOKUP($A122,기본데이타!$A$8:$BV$103,COLUMN(기본데이타!AG$8),0))</f>
        <v/>
      </c>
      <c r="AD122" s="596" t="str">
        <f>IF($A122="","",VLOOKUP($A122,기본데이타!$A$8:$BV$103,COLUMN(기본데이타!AH$8),0))</f>
        <v/>
      </c>
      <c r="AE122" s="595" t="str">
        <f>IF($A122="","",VLOOKUP($A122,기본데이타!$A$8:$BV$103,COLUMN(기본데이타!AI$8),0))</f>
        <v/>
      </c>
      <c r="AF122" s="597" t="str">
        <f>IF($A122="","",VLOOKUP($A122,기본데이타!$A$8:$BV$103,COLUMN(기본데이타!AJ$8),0))</f>
        <v/>
      </c>
      <c r="AG122" s="621" t="str">
        <f>IF($A122="","",VLOOKUP($A122,기본데이타!$A$8:$BV$103,COLUMN(기본데이타!AK$8),0))</f>
        <v/>
      </c>
      <c r="AH122" s="621" t="str">
        <f>IF($A122="","",VLOOKUP($A122,기본데이타!$A$8:$BV$103,COLUMN(기본데이타!AL$8),0))</f>
        <v/>
      </c>
      <c r="AI122" s="621" t="str">
        <f>IF($A122="","",VLOOKUP($A122,기본데이타!$A$8:$BV$103,COLUMN(기본데이타!AM$8),0))</f>
        <v/>
      </c>
      <c r="AJ122" s="642" t="str">
        <f>IF($A122="","",VLOOKUP($A122,기본데이타!$A$8:$BV$103,COLUMN(기본데이타!AN$8),0))</f>
        <v/>
      </c>
      <c r="AK122" s="642" t="str">
        <f>IF($A122="","",VLOOKUP($A122,기본데이타!$A$8:$BV$103,COLUMN(기본데이타!AO$8),0))</f>
        <v/>
      </c>
      <c r="AL122" s="642" t="str">
        <f>IF($A122="","",VLOOKUP($A122,기본데이타!$A$8:$BV$103,COLUMN(기본데이타!AP$8),0))</f>
        <v/>
      </c>
      <c r="AM122" s="642" t="str">
        <f>IF($A122="","",VLOOKUP($A122,기본데이타!$A$8:$BV$103,COLUMN(기본데이타!AQ$8),0))</f>
        <v/>
      </c>
      <c r="AN122" s="642" t="str">
        <f>IF($A122="","",VLOOKUP($A122,기본데이타!$A$8:$BV$103,COLUMN(기본데이타!AR$8),0))</f>
        <v/>
      </c>
      <c r="AO122" s="642" t="str">
        <f>IF($A122="","",VLOOKUP($A122,기본데이타!$A$8:$BV$103,COLUMN(기본데이타!AS$8),0))</f>
        <v/>
      </c>
      <c r="AP122" s="642" t="str">
        <f>IF($A122="","",VLOOKUP($A122,기본데이타!$A$8:$BV$103,COLUMN(기본데이타!AT$8),0))</f>
        <v/>
      </c>
      <c r="AQ122" s="642" t="str">
        <f>IF($A122="","",VLOOKUP($A122,기본데이타!$A$8:$BV$103,COLUMN(기본데이타!AU$8),0))</f>
        <v/>
      </c>
      <c r="AR122" s="643" t="str">
        <f>IF($A122="","",VLOOKUP($A122,기본데이타!$A$8:$BV$103,COLUMN(기본데이타!AV$8),0))</f>
        <v/>
      </c>
      <c r="AS122" s="596" t="str">
        <f>IF($A122="","",VLOOKUP($A122,기본데이타!$A$8:$BV$103,COLUMN(기본데이타!AW$8),0))</f>
        <v/>
      </c>
      <c r="AT122" s="596" t="str">
        <f>IF($A122="","",VLOOKUP($A122,기본데이타!$A$8:$BV$103,COLUMN(기본데이타!AX$8),0))</f>
        <v/>
      </c>
      <c r="AU122" s="596" t="str">
        <f>IF($A122="","",VLOOKUP($A122,기본데이타!$A$8:$BV$103,COLUMN(기본데이타!AY$8),0))</f>
        <v/>
      </c>
      <c r="AV122" s="596" t="str">
        <f t="shared" si="18"/>
        <v/>
      </c>
      <c r="AW122" s="597" t="str">
        <f>IF($A122="","",VLOOKUP($A122,기본데이타!$A$8:$BV$103,COLUMN(기본데이타!BA$8),0))</f>
        <v/>
      </c>
      <c r="AX122" s="597" t="str">
        <f>IF($A122="","",VLOOKUP($A122,기본데이타!$A$8:$BV$103,COLUMN(기본데이타!BB$8),0))</f>
        <v/>
      </c>
      <c r="AY122" s="597" t="str">
        <f>IF($A122="","",VLOOKUP($A122,기본데이타!$A$8:$BV$103,COLUMN(기본데이타!BC$8),0))</f>
        <v/>
      </c>
      <c r="AZ122" s="597" t="str">
        <f>IF($A122="","",VLOOKUP($A122,기본데이타!$A$8:$BV$103,COLUMN(기본데이타!BD$8),0))</f>
        <v/>
      </c>
      <c r="BA122" s="597" t="str">
        <f>IF($A122="","",VLOOKUP($A122,기본데이타!$A$8:$BV$103,COLUMN(기본데이타!BE$8),0))</f>
        <v/>
      </c>
      <c r="BB122" s="597" t="str">
        <f>IF($A122="","",VLOOKUP($A122,기본데이타!$A$8:$BV$103,COLUMN(기본데이타!BF$8),0))</f>
        <v/>
      </c>
      <c r="BC122" s="597" t="str">
        <f>IF($A122="","",VLOOKUP($A122,기본데이타!$A$8:$BV$103,COLUMN(기본데이타!BG$8),0))</f>
        <v/>
      </c>
      <c r="BD122" s="597" t="str">
        <f>IF($A122="","",VLOOKUP($A122,기본데이타!$A$8:$BV$103,COLUMN(기본데이타!BH$8),0))</f>
        <v/>
      </c>
      <c r="BE122" s="597" t="str">
        <f>IF($A122="","",VLOOKUP($A122,기본데이타!$A$8:$BV$103,COLUMN(기본데이타!BI$8),0))</f>
        <v/>
      </c>
      <c r="BF122" s="597" t="str">
        <f>IF($A122="","",VLOOKUP($A122,기본데이타!$A$8:$BV$103,COLUMN(기본데이타!BJ$8),0))</f>
        <v/>
      </c>
      <c r="BG122" s="597" t="str">
        <f>IF($A122="","",VLOOKUP($A122,기본데이타!$A$8:$BV$103,COLUMN(기본데이타!BK$8),0))</f>
        <v/>
      </c>
      <c r="BH122" s="597" t="str">
        <f>IF($A122="","",VLOOKUP($A122,기본데이타!$A$8:$BV$103,COLUMN(기본데이타!BL$8),0))</f>
        <v/>
      </c>
      <c r="BI122" s="597" t="str">
        <f>IF($A122="","",VLOOKUP($A122,기본데이타!$A$8:$BV$103,COLUMN(기본데이타!BM$8),0))</f>
        <v/>
      </c>
      <c r="BJ122" s="597" t="str">
        <f>IF($A122="","",VLOOKUP($A122,기본데이타!$A$8:$BV$103,COLUMN(기본데이타!BN$8),0))</f>
        <v/>
      </c>
      <c r="BK122" s="597" t="str">
        <f>IF($A122="","",VLOOKUP($A122,기본데이타!$A$8:$BV$103,COLUMN(기본데이타!BO$8),0))</f>
        <v/>
      </c>
      <c r="BL122" s="597" t="str">
        <f>IF($A122="","",VLOOKUP($A122,기본데이타!$A$8:$BV$103,COLUMN(기본데이타!BP$8),0))</f>
        <v/>
      </c>
      <c r="BM122" s="597" t="str">
        <f>IF($A122="","",VLOOKUP($A122,기본데이타!$A$8:$BV$103,COLUMN(기본데이타!BQ$8),0))</f>
        <v/>
      </c>
      <c r="BN122" s="599" t="str">
        <f>IF($A122="","",VLOOKUP($A122,기본데이타!$A$8:$BV$103,COLUMN(기본데이타!BR$8),0))</f>
        <v/>
      </c>
      <c r="BO122" s="600" t="str">
        <f>IF($A122="","",VLOOKUP($A122,기본데이타!$A$8:$BV$103,COLUMN(기본데이타!BS$8),0))</f>
        <v/>
      </c>
      <c r="BP122" s="623" t="str">
        <f>IF($A122="","",VLOOKUP($A122,기본데이타!$A$8:$BV$103,COLUMN(기본데이타!BT$8),0))</f>
        <v/>
      </c>
      <c r="BQ122" s="602" t="str">
        <f>IF($A122="","",VLOOKUP($A122,기본데이타!$A$8:$BV$103,COLUMN(기본데이타!BU$8),0))</f>
        <v/>
      </c>
      <c r="BR122" s="603" t="str">
        <f t="shared" si="19"/>
        <v/>
      </c>
    </row>
    <row r="123" spans="1:70" s="571" customFormat="1" ht="61.5" hidden="1" customHeight="1">
      <c r="A123" s="578"/>
      <c r="B123" s="1642"/>
      <c r="C123" s="590"/>
      <c r="D123" s="629" t="str">
        <f>IF($A123="","",VLOOKUP($A123,기본데이타!$A$8:$BV$103,COLUMN(기본데이타!F$8),0))</f>
        <v/>
      </c>
      <c r="E123" s="630" t="str">
        <f>IF($A123="","",VLOOKUP($A123,기본데이타!$A$8:$BV$103,COLUMN(기본데이타!G$8),0))</f>
        <v/>
      </c>
      <c r="F123" s="631" t="str">
        <f>IF($A123="","",VLOOKUP($A123,기본데이타!$A$8:$BV$103,COLUMN(기본데이타!H$8),0))</f>
        <v/>
      </c>
      <c r="G123" s="632" t="str">
        <f>IF($A123="","",VLOOKUP($A123,기본데이타!$A$8:$BV$103,COLUMN(기본데이타!I$8),0))</f>
        <v/>
      </c>
      <c r="H123" s="632" t="str">
        <f>IF($A123="","",VLOOKUP($A123,기본데이타!$A$8:$BV$103,COLUMN(기본데이타!J$8),0))</f>
        <v/>
      </c>
      <c r="I123" s="633" t="str">
        <f>IF($A123="","",VLOOKUP($A123,기본데이타!$A$8:$BV$103,COLUMN(기본데이타!K$8),0))</f>
        <v/>
      </c>
      <c r="J123" s="633" t="str">
        <f>IF($A123="","",VLOOKUP($A123,기본데이타!$A$8:$BV$103,COLUMN(기본데이타!L$8),0))</f>
        <v/>
      </c>
      <c r="K123" s="633" t="str">
        <f>IF($A123="","",VLOOKUP($A123,기본데이타!$A$8:$BV$103,COLUMN(기본데이타!M$8),0))</f>
        <v/>
      </c>
      <c r="L123" s="634" t="str">
        <f>IF($A123="","",VLOOKUP($A123,기본데이타!$A$8:$BV$103,COLUMN(기본데이타!N$8),0))</f>
        <v/>
      </c>
      <c r="M123" s="633" t="str">
        <f>IF($A123="","",VLOOKUP($A123,기본데이타!$A$8:$BV$103,COLUMN(기본데이타!O$8),0))</f>
        <v/>
      </c>
      <c r="N123" s="634" t="str">
        <f>IF($A123="","",VLOOKUP($A123,기본데이타!$A$8:$BV$103,COLUMN(기본데이타!P$8),0))</f>
        <v/>
      </c>
      <c r="O123" s="634" t="str">
        <f>IF($A123="","",VLOOKUP($A123,기본데이타!$A$8:$BV$103,COLUMN(기본데이타!Q$8),0))</f>
        <v/>
      </c>
      <c r="P123" s="634" t="str">
        <f>IF($A123="","",VLOOKUP($A123,기본데이타!$A$8:$BV$103,COLUMN(기본데이타!R$8),0))</f>
        <v/>
      </c>
      <c r="Q123" s="634" t="str">
        <f>IF($A123="","",VLOOKUP($A123,기본데이타!$A$8:$BV$103,COLUMN(기본데이타!S$8),0))</f>
        <v/>
      </c>
      <c r="R123" s="634" t="str">
        <f>IF($A123="","",VLOOKUP($A123,기본데이타!$A$8:$BV$103,COLUMN(기본데이타!T$8),0))</f>
        <v/>
      </c>
      <c r="S123" s="634" t="str">
        <f>IF($A123="","",VLOOKUP($A123,기본데이타!$A$8:$BV$103,COLUMN(기본데이타!U$8),0))</f>
        <v/>
      </c>
      <c r="T123" s="634" t="str">
        <f>IF($A123="","",VLOOKUP($A123,기본데이타!$A$8:$BV$103,COLUMN(기본데이타!V$8),0))</f>
        <v/>
      </c>
      <c r="U123" s="634" t="str">
        <f>IF($A123="","",VLOOKUP($A123,기본데이타!$A$8:$BV$103,COLUMN(기본데이타!W$8),0))</f>
        <v/>
      </c>
      <c r="V123" s="634" t="str">
        <f>IF($A123="","",VLOOKUP($A123,기본데이타!$A$8:$BV$103,COLUMN(기본데이타!X$8),0))</f>
        <v/>
      </c>
      <c r="W123" s="634" t="str">
        <f>IF($A123="","",VLOOKUP($A123,기본데이타!$A$8:$BV$103,COLUMN(기본데이타!AA$8),0))</f>
        <v/>
      </c>
      <c r="X123" s="634" t="str">
        <f>IF($A123="","",VLOOKUP($A123,기본데이타!$A$8:$BV$103,COLUMN(기본데이타!AB$8),0))</f>
        <v/>
      </c>
      <c r="Y123" s="633" t="str">
        <f>IF($A123="","",VLOOKUP($A123,기본데이타!$A$8:$BV$103,COLUMN(기본데이타!AC$8),0))</f>
        <v/>
      </c>
      <c r="Z123" s="634" t="str">
        <f>IF($A123="","",VLOOKUP($A123,기본데이타!$A$8:$BV$103,COLUMN(기본데이타!AD$8),0))</f>
        <v/>
      </c>
      <c r="AA123" s="633" t="str">
        <f>IF($A123="","",VLOOKUP($A123,기본데이타!$A$8:$BV$103,COLUMN(기본데이타!AE$8),0))</f>
        <v/>
      </c>
      <c r="AB123" s="634" t="str">
        <f>IF($A123="","",VLOOKUP($A123,기본데이타!$A$8:$BV$103,COLUMN(기본데이타!AF$8),0))</f>
        <v/>
      </c>
      <c r="AC123" s="633" t="str">
        <f>IF($A123="","",VLOOKUP($A123,기본데이타!$A$8:$BV$103,COLUMN(기본데이타!AG$8),0))</f>
        <v/>
      </c>
      <c r="AD123" s="634" t="str">
        <f>IF($A123="","",VLOOKUP($A123,기본데이타!$A$8:$BV$103,COLUMN(기본데이타!AH$8),0))</f>
        <v/>
      </c>
      <c r="AE123" s="633" t="str">
        <f>IF($A123="","",VLOOKUP($A123,기본데이타!$A$8:$BV$103,COLUMN(기본데이타!AI$8),0))</f>
        <v/>
      </c>
      <c r="AF123" s="635" t="str">
        <f>IF($A123="","",VLOOKUP($A123,기본데이타!$A$8:$BV$103,COLUMN(기본데이타!AJ$8),0))</f>
        <v/>
      </c>
      <c r="AG123" s="580" t="str">
        <f>IF($A123="","",VLOOKUP($A123,기본데이타!$A$8:$BV$103,COLUMN(기본데이타!AK$8),0))</f>
        <v/>
      </c>
      <c r="AH123" s="580" t="str">
        <f>IF($A123="","",VLOOKUP($A123,기본데이타!$A$8:$BV$103,COLUMN(기본데이타!AL$8),0))</f>
        <v/>
      </c>
      <c r="AI123" s="580" t="str">
        <f>IF($A123="","",VLOOKUP($A123,기본데이타!$A$8:$BV$103,COLUMN(기본데이타!AM$8),0))</f>
        <v/>
      </c>
      <c r="AJ123" s="636" t="str">
        <f>IF($A123="","",VLOOKUP($A123,기본데이타!$A$8:$BV$103,COLUMN(기본데이타!AN$8),0))</f>
        <v/>
      </c>
      <c r="AK123" s="636" t="str">
        <f>IF($A123="","",VLOOKUP($A123,기본데이타!$A$8:$BV$103,COLUMN(기본데이타!AO$8),0))</f>
        <v/>
      </c>
      <c r="AL123" s="636" t="str">
        <f>IF($A123="","",VLOOKUP($A123,기본데이타!$A$8:$BV$103,COLUMN(기본데이타!AP$8),0))</f>
        <v/>
      </c>
      <c r="AM123" s="636" t="str">
        <f>IF($A123="","",VLOOKUP($A123,기본데이타!$A$8:$BV$103,COLUMN(기본데이타!AQ$8),0))</f>
        <v/>
      </c>
      <c r="AN123" s="636" t="str">
        <f>IF($A123="","",VLOOKUP($A123,기본데이타!$A$8:$BV$103,COLUMN(기본데이타!AR$8),0))</f>
        <v/>
      </c>
      <c r="AO123" s="636" t="str">
        <f>IF($A123="","",VLOOKUP($A123,기본데이타!$A$8:$BV$103,COLUMN(기본데이타!AS$8),0))</f>
        <v/>
      </c>
      <c r="AP123" s="636" t="str">
        <f>IF($A123="","",VLOOKUP($A123,기본데이타!$A$8:$BV$103,COLUMN(기본데이타!AT$8),0))</f>
        <v/>
      </c>
      <c r="AQ123" s="636" t="str">
        <f>IF($A123="","",VLOOKUP($A123,기본데이타!$A$8:$BV$103,COLUMN(기본데이타!AU$8),0))</f>
        <v/>
      </c>
      <c r="AR123" s="637" t="str">
        <f>IF($A123="","",VLOOKUP($A123,기본데이타!$A$8:$BV$103,COLUMN(기본데이타!AV$8),0))</f>
        <v/>
      </c>
      <c r="AS123" s="634" t="str">
        <f>IF($A123="","",VLOOKUP($A123,기본데이타!$A$8:$BV$103,COLUMN(기본데이타!AW$8),0))</f>
        <v/>
      </c>
      <c r="AT123" s="634" t="str">
        <f>IF($A123="","",VLOOKUP($A123,기본데이타!$A$8:$BV$103,COLUMN(기본데이타!AX$8),0))</f>
        <v/>
      </c>
      <c r="AU123" s="634" t="str">
        <f>IF($A123="","",VLOOKUP($A123,기본데이타!$A$8:$BV$103,COLUMN(기본데이타!AY$8),0))</f>
        <v/>
      </c>
      <c r="AV123" s="634" t="str">
        <f t="shared" si="18"/>
        <v/>
      </c>
      <c r="AW123" s="635" t="str">
        <f>IF($A123="","",VLOOKUP($A123,기본데이타!$A$8:$BV$103,COLUMN(기본데이타!BA$8),0))</f>
        <v/>
      </c>
      <c r="AX123" s="635" t="str">
        <f>IF($A123="","",VLOOKUP($A123,기본데이타!$A$8:$BV$103,COLUMN(기본데이타!BB$8),0))</f>
        <v/>
      </c>
      <c r="AY123" s="635" t="str">
        <f>IF($A123="","",VLOOKUP($A123,기본데이타!$A$8:$BV$103,COLUMN(기본데이타!BC$8),0))</f>
        <v/>
      </c>
      <c r="AZ123" s="635" t="str">
        <f>IF($A123="","",VLOOKUP($A123,기본데이타!$A$8:$BV$103,COLUMN(기본데이타!BD$8),0))</f>
        <v/>
      </c>
      <c r="BA123" s="635" t="str">
        <f>IF($A123="","",VLOOKUP($A123,기본데이타!$A$8:$BV$103,COLUMN(기본데이타!BE$8),0))</f>
        <v/>
      </c>
      <c r="BB123" s="635" t="str">
        <f>IF($A123="","",VLOOKUP($A123,기본데이타!$A$8:$BV$103,COLUMN(기본데이타!BF$8),0))</f>
        <v/>
      </c>
      <c r="BC123" s="635" t="str">
        <f>IF($A123="","",VLOOKUP($A123,기본데이타!$A$8:$BV$103,COLUMN(기본데이타!BG$8),0))</f>
        <v/>
      </c>
      <c r="BD123" s="635" t="str">
        <f>IF($A123="","",VLOOKUP($A123,기본데이타!$A$8:$BV$103,COLUMN(기본데이타!BH$8),0))</f>
        <v/>
      </c>
      <c r="BE123" s="635" t="str">
        <f>IF($A123="","",VLOOKUP($A123,기본데이타!$A$8:$BV$103,COLUMN(기본데이타!BI$8),0))</f>
        <v/>
      </c>
      <c r="BF123" s="635" t="str">
        <f>IF($A123="","",VLOOKUP($A123,기본데이타!$A$8:$BV$103,COLUMN(기본데이타!BJ$8),0))</f>
        <v/>
      </c>
      <c r="BG123" s="635" t="str">
        <f>IF($A123="","",VLOOKUP($A123,기본데이타!$A$8:$BV$103,COLUMN(기본데이타!BK$8),0))</f>
        <v/>
      </c>
      <c r="BH123" s="635" t="str">
        <f>IF($A123="","",VLOOKUP($A123,기본데이타!$A$8:$BV$103,COLUMN(기본데이타!BL$8),0))</f>
        <v/>
      </c>
      <c r="BI123" s="635" t="str">
        <f>IF($A123="","",VLOOKUP($A123,기본데이타!$A$8:$BV$103,COLUMN(기본데이타!BM$8),0))</f>
        <v/>
      </c>
      <c r="BJ123" s="635" t="str">
        <f>IF($A123="","",VLOOKUP($A123,기본데이타!$A$8:$BV$103,COLUMN(기본데이타!BN$8),0))</f>
        <v/>
      </c>
      <c r="BK123" s="635" t="str">
        <f>IF($A123="","",VLOOKUP($A123,기본데이타!$A$8:$BV$103,COLUMN(기본데이타!BO$8),0))</f>
        <v/>
      </c>
      <c r="BL123" s="635" t="str">
        <f>IF($A123="","",VLOOKUP($A123,기본데이타!$A$8:$BV$103,COLUMN(기본데이타!BP$8),0))</f>
        <v/>
      </c>
      <c r="BM123" s="635" t="str">
        <f>IF($A123="","",VLOOKUP($A123,기본데이타!$A$8:$BV$103,COLUMN(기본데이타!BQ$8),0))</f>
        <v/>
      </c>
      <c r="BN123" s="638" t="str">
        <f>IF($A123="","",VLOOKUP($A123,기본데이타!$A$8:$BV$103,COLUMN(기본데이타!BR$8),0))</f>
        <v/>
      </c>
      <c r="BO123" s="579" t="str">
        <f>IF($A123="","",VLOOKUP($A123,기본데이타!$A$8:$BV$103,COLUMN(기본데이타!BS$8),0))</f>
        <v/>
      </c>
      <c r="BP123" s="639" t="str">
        <f>IF($A123="","",VLOOKUP($A123,기본데이타!$A$8:$BV$103,COLUMN(기본데이타!BT$8),0))</f>
        <v/>
      </c>
      <c r="BQ123" s="640" t="str">
        <f>IF($A123="","",VLOOKUP($A123,기본데이타!$A$8:$BV$103,COLUMN(기본데이타!BU$8),0))</f>
        <v/>
      </c>
      <c r="BR123" s="625" t="str">
        <f t="shared" si="19"/>
        <v/>
      </c>
    </row>
    <row r="124" spans="1:70" s="571" customFormat="1" ht="61.5" hidden="1" customHeight="1">
      <c r="A124" s="578"/>
      <c r="B124" s="1642"/>
      <c r="C124" s="590"/>
      <c r="D124" s="591" t="str">
        <f>IF($A124="","",VLOOKUP($A124,기본데이타!$A$8:$BV$103,COLUMN(기본데이타!F$8),0))</f>
        <v/>
      </c>
      <c r="E124" s="592" t="str">
        <f>IF($A124="","",VLOOKUP($A124,기본데이타!$A$8:$BV$103,COLUMN(기본데이타!G$8),0))</f>
        <v/>
      </c>
      <c r="F124" s="593" t="str">
        <f>IF($A124="","",VLOOKUP($A124,기본데이타!$A$8:$BV$103,COLUMN(기본데이타!H$8),0))</f>
        <v/>
      </c>
      <c r="G124" s="594" t="str">
        <f>IF($A124="","",VLOOKUP($A124,기본데이타!$A$8:$BV$103,COLUMN(기본데이타!I$8),0))</f>
        <v/>
      </c>
      <c r="H124" s="594" t="str">
        <f>IF($A124="","",VLOOKUP($A124,기본데이타!$A$8:$BV$103,COLUMN(기본데이타!J$8),0))</f>
        <v/>
      </c>
      <c r="I124" s="595" t="str">
        <f>IF($A124="","",VLOOKUP($A124,기본데이타!$A$8:$BV$103,COLUMN(기본데이타!K$8),0))</f>
        <v/>
      </c>
      <c r="J124" s="595" t="str">
        <f>IF($A124="","",VLOOKUP($A124,기본데이타!$A$8:$BV$103,COLUMN(기본데이타!L$8),0))</f>
        <v/>
      </c>
      <c r="K124" s="595" t="str">
        <f>IF($A124="","",VLOOKUP($A124,기본데이타!$A$8:$BV$103,COLUMN(기본데이타!M$8),0))</f>
        <v/>
      </c>
      <c r="L124" s="596" t="str">
        <f>IF($A124="","",VLOOKUP($A124,기본데이타!$A$8:$BV$103,COLUMN(기본데이타!N$8),0))</f>
        <v/>
      </c>
      <c r="M124" s="595" t="str">
        <f>IF($A124="","",VLOOKUP($A124,기본데이타!$A$8:$BV$103,COLUMN(기본데이타!O$8),0))</f>
        <v/>
      </c>
      <c r="N124" s="596" t="str">
        <f>IF($A124="","",VLOOKUP($A124,기본데이타!$A$8:$BV$103,COLUMN(기본데이타!P$8),0))</f>
        <v/>
      </c>
      <c r="O124" s="596" t="str">
        <f>IF($A124="","",VLOOKUP($A124,기본데이타!$A$8:$BV$103,COLUMN(기본데이타!Q$8),0))</f>
        <v/>
      </c>
      <c r="P124" s="596" t="str">
        <f>IF($A124="","",VLOOKUP($A124,기본데이타!$A$8:$BV$103,COLUMN(기본데이타!R$8),0))</f>
        <v/>
      </c>
      <c r="Q124" s="596" t="str">
        <f>IF($A124="","",VLOOKUP($A124,기본데이타!$A$8:$BV$103,COLUMN(기본데이타!S$8),0))</f>
        <v/>
      </c>
      <c r="R124" s="596" t="str">
        <f>IF($A124="","",VLOOKUP($A124,기본데이타!$A$8:$BV$103,COLUMN(기본데이타!T$8),0))</f>
        <v/>
      </c>
      <c r="S124" s="596" t="str">
        <f>IF($A124="","",VLOOKUP($A124,기본데이타!$A$8:$BV$103,COLUMN(기본데이타!U$8),0))</f>
        <v/>
      </c>
      <c r="T124" s="596" t="str">
        <f>IF($A124="","",VLOOKUP($A124,기본데이타!$A$8:$BV$103,COLUMN(기본데이타!V$8),0))</f>
        <v/>
      </c>
      <c r="U124" s="596" t="str">
        <f>IF($A124="","",VLOOKUP($A124,기본데이타!$A$8:$BV$103,COLUMN(기본데이타!W$8),0))</f>
        <v/>
      </c>
      <c r="V124" s="596" t="str">
        <f>IF($A124="","",VLOOKUP($A124,기본데이타!$A$8:$BV$103,COLUMN(기본데이타!X$8),0))</f>
        <v/>
      </c>
      <c r="W124" s="596" t="str">
        <f>IF($A124="","",VLOOKUP($A124,기본데이타!$A$8:$BV$103,COLUMN(기본데이타!AA$8),0))</f>
        <v/>
      </c>
      <c r="X124" s="596" t="str">
        <f>IF($A124="","",VLOOKUP($A124,기본데이타!$A$8:$BV$103,COLUMN(기본데이타!AB$8),0))</f>
        <v/>
      </c>
      <c r="Y124" s="595" t="str">
        <f>IF($A124="","",VLOOKUP($A124,기본데이타!$A$8:$BV$103,COLUMN(기본데이타!AC$8),0))</f>
        <v/>
      </c>
      <c r="Z124" s="596" t="str">
        <f>IF($A124="","",VLOOKUP($A124,기본데이타!$A$8:$BV$103,COLUMN(기본데이타!AD$8),0))</f>
        <v/>
      </c>
      <c r="AA124" s="595" t="str">
        <f>IF($A124="","",VLOOKUP($A124,기본데이타!$A$8:$BV$103,COLUMN(기본데이타!AE$8),0))</f>
        <v/>
      </c>
      <c r="AB124" s="596" t="str">
        <f>IF($A124="","",VLOOKUP($A124,기본데이타!$A$8:$BV$103,COLUMN(기본데이타!AF$8),0))</f>
        <v/>
      </c>
      <c r="AC124" s="595" t="str">
        <f>IF($A124="","",VLOOKUP($A124,기본데이타!$A$8:$BV$103,COLUMN(기본데이타!AG$8),0))</f>
        <v/>
      </c>
      <c r="AD124" s="596" t="str">
        <f>IF($A124="","",VLOOKUP($A124,기본데이타!$A$8:$BV$103,COLUMN(기본데이타!AH$8),0))</f>
        <v/>
      </c>
      <c r="AE124" s="595" t="str">
        <f>IF($A124="","",VLOOKUP($A124,기본데이타!$A$8:$BV$103,COLUMN(기본데이타!AI$8),0))</f>
        <v/>
      </c>
      <c r="AF124" s="597" t="str">
        <f>IF($A124="","",VLOOKUP($A124,기본데이타!$A$8:$BV$103,COLUMN(기본데이타!AJ$8),0))</f>
        <v/>
      </c>
      <c r="AG124" s="621" t="str">
        <f>IF($A124="","",VLOOKUP($A124,기본데이타!$A$8:$BV$103,COLUMN(기본데이타!AK$8),0))</f>
        <v/>
      </c>
      <c r="AH124" s="621" t="str">
        <f>IF($A124="","",VLOOKUP($A124,기본데이타!$A$8:$BV$103,COLUMN(기본데이타!AL$8),0))</f>
        <v/>
      </c>
      <c r="AI124" s="621" t="str">
        <f>IF($A124="","",VLOOKUP($A124,기본데이타!$A$8:$BV$103,COLUMN(기본데이타!AM$8),0))</f>
        <v/>
      </c>
      <c r="AJ124" s="642" t="str">
        <f>IF($A124="","",VLOOKUP($A124,기본데이타!$A$8:$BV$103,COLUMN(기본데이타!AN$8),0))</f>
        <v/>
      </c>
      <c r="AK124" s="642" t="str">
        <f>IF($A124="","",VLOOKUP($A124,기본데이타!$A$8:$BV$103,COLUMN(기본데이타!AO$8),0))</f>
        <v/>
      </c>
      <c r="AL124" s="642" t="str">
        <f>IF($A124="","",VLOOKUP($A124,기본데이타!$A$8:$BV$103,COLUMN(기본데이타!AP$8),0))</f>
        <v/>
      </c>
      <c r="AM124" s="642" t="str">
        <f>IF($A124="","",VLOOKUP($A124,기본데이타!$A$8:$BV$103,COLUMN(기본데이타!AQ$8),0))</f>
        <v/>
      </c>
      <c r="AN124" s="642" t="str">
        <f>IF($A124="","",VLOOKUP($A124,기본데이타!$A$8:$BV$103,COLUMN(기본데이타!AR$8),0))</f>
        <v/>
      </c>
      <c r="AO124" s="642" t="str">
        <f>IF($A124="","",VLOOKUP($A124,기본데이타!$A$8:$BV$103,COLUMN(기본데이타!AS$8),0))</f>
        <v/>
      </c>
      <c r="AP124" s="642" t="str">
        <f>IF($A124="","",VLOOKUP($A124,기본데이타!$A$8:$BV$103,COLUMN(기본데이타!AT$8),0))</f>
        <v/>
      </c>
      <c r="AQ124" s="642" t="str">
        <f>IF($A124="","",VLOOKUP($A124,기본데이타!$A$8:$BV$103,COLUMN(기본데이타!AU$8),0))</f>
        <v/>
      </c>
      <c r="AR124" s="643" t="str">
        <f>IF($A124="","",VLOOKUP($A124,기본데이타!$A$8:$BV$103,COLUMN(기본데이타!AV$8),0))</f>
        <v/>
      </c>
      <c r="AS124" s="596" t="str">
        <f>IF($A124="","",VLOOKUP($A124,기본데이타!$A$8:$BV$103,COLUMN(기본데이타!AW$8),0))</f>
        <v/>
      </c>
      <c r="AT124" s="596" t="str">
        <f>IF($A124="","",VLOOKUP($A124,기본데이타!$A$8:$BV$103,COLUMN(기본데이타!AX$8),0))</f>
        <v/>
      </c>
      <c r="AU124" s="596" t="str">
        <f>IF($A124="","",VLOOKUP($A124,기본데이타!$A$8:$BV$103,COLUMN(기본데이타!AY$8),0))</f>
        <v/>
      </c>
      <c r="AV124" s="596" t="str">
        <f t="shared" si="18"/>
        <v/>
      </c>
      <c r="AW124" s="597" t="str">
        <f>IF($A124="","",VLOOKUP($A124,기본데이타!$A$8:$BV$103,COLUMN(기본데이타!BA$8),0))</f>
        <v/>
      </c>
      <c r="AX124" s="597" t="str">
        <f>IF($A124="","",VLOOKUP($A124,기본데이타!$A$8:$BV$103,COLUMN(기본데이타!BB$8),0))</f>
        <v/>
      </c>
      <c r="AY124" s="597" t="str">
        <f>IF($A124="","",VLOOKUP($A124,기본데이타!$A$8:$BV$103,COLUMN(기본데이타!BC$8),0))</f>
        <v/>
      </c>
      <c r="AZ124" s="597" t="str">
        <f>IF($A124="","",VLOOKUP($A124,기본데이타!$A$8:$BV$103,COLUMN(기본데이타!BD$8),0))</f>
        <v/>
      </c>
      <c r="BA124" s="597" t="str">
        <f>IF($A124="","",VLOOKUP($A124,기본데이타!$A$8:$BV$103,COLUMN(기본데이타!BE$8),0))</f>
        <v/>
      </c>
      <c r="BB124" s="597" t="str">
        <f>IF($A124="","",VLOOKUP($A124,기본데이타!$A$8:$BV$103,COLUMN(기본데이타!BF$8),0))</f>
        <v/>
      </c>
      <c r="BC124" s="597" t="str">
        <f>IF($A124="","",VLOOKUP($A124,기본데이타!$A$8:$BV$103,COLUMN(기본데이타!BG$8),0))</f>
        <v/>
      </c>
      <c r="BD124" s="597" t="str">
        <f>IF($A124="","",VLOOKUP($A124,기본데이타!$A$8:$BV$103,COLUMN(기본데이타!BH$8),0))</f>
        <v/>
      </c>
      <c r="BE124" s="597" t="str">
        <f>IF($A124="","",VLOOKUP($A124,기본데이타!$A$8:$BV$103,COLUMN(기본데이타!BI$8),0))</f>
        <v/>
      </c>
      <c r="BF124" s="597" t="str">
        <f>IF($A124="","",VLOOKUP($A124,기본데이타!$A$8:$BV$103,COLUMN(기본데이타!BJ$8),0))</f>
        <v/>
      </c>
      <c r="BG124" s="597" t="str">
        <f>IF($A124="","",VLOOKUP($A124,기본데이타!$A$8:$BV$103,COLUMN(기본데이타!BK$8),0))</f>
        <v/>
      </c>
      <c r="BH124" s="597" t="str">
        <f>IF($A124="","",VLOOKUP($A124,기본데이타!$A$8:$BV$103,COLUMN(기본데이타!BL$8),0))</f>
        <v/>
      </c>
      <c r="BI124" s="597" t="str">
        <f>IF($A124="","",VLOOKUP($A124,기본데이타!$A$8:$BV$103,COLUMN(기본데이타!BM$8),0))</f>
        <v/>
      </c>
      <c r="BJ124" s="597" t="str">
        <f>IF($A124="","",VLOOKUP($A124,기본데이타!$A$8:$BV$103,COLUMN(기본데이타!BN$8),0))</f>
        <v/>
      </c>
      <c r="BK124" s="597" t="str">
        <f>IF($A124="","",VLOOKUP($A124,기본데이타!$A$8:$BV$103,COLUMN(기본데이타!BO$8),0))</f>
        <v/>
      </c>
      <c r="BL124" s="597" t="str">
        <f>IF($A124="","",VLOOKUP($A124,기본데이타!$A$8:$BV$103,COLUMN(기본데이타!BP$8),0))</f>
        <v/>
      </c>
      <c r="BM124" s="597" t="str">
        <f>IF($A124="","",VLOOKUP($A124,기본데이타!$A$8:$BV$103,COLUMN(기본데이타!BQ$8),0))</f>
        <v/>
      </c>
      <c r="BN124" s="599" t="str">
        <f>IF($A124="","",VLOOKUP($A124,기본데이타!$A$8:$BV$103,COLUMN(기본데이타!BR$8),0))</f>
        <v/>
      </c>
      <c r="BO124" s="600" t="str">
        <f>IF($A124="","",VLOOKUP($A124,기본데이타!$A$8:$BV$103,COLUMN(기본데이타!BS$8),0))</f>
        <v/>
      </c>
      <c r="BP124" s="623" t="str">
        <f>IF($A124="","",VLOOKUP($A124,기본데이타!$A$8:$BV$103,COLUMN(기본데이타!BT$8),0))</f>
        <v/>
      </c>
      <c r="BQ124" s="602" t="str">
        <f>IF($A124="","",VLOOKUP($A124,기본데이타!$A$8:$BV$103,COLUMN(기본데이타!BU$8),0))</f>
        <v/>
      </c>
      <c r="BR124" s="603" t="str">
        <f t="shared" si="19"/>
        <v/>
      </c>
    </row>
    <row r="125" spans="1:70" s="571" customFormat="1" ht="61.5" hidden="1" customHeight="1">
      <c r="A125" s="578"/>
      <c r="B125" s="1642"/>
      <c r="C125" s="590"/>
      <c r="D125" s="629" t="str">
        <f>IF($A125="","",VLOOKUP($A125,기본데이타!$A$8:$BV$103,COLUMN(기본데이타!F$8),0))</f>
        <v/>
      </c>
      <c r="E125" s="630" t="str">
        <f>IF($A125="","",VLOOKUP($A125,기본데이타!$A$8:$BV$103,COLUMN(기본데이타!G$8),0))</f>
        <v/>
      </c>
      <c r="F125" s="631" t="str">
        <f>IF($A125="","",VLOOKUP($A125,기본데이타!$A$8:$BV$103,COLUMN(기본데이타!H$8),0))</f>
        <v/>
      </c>
      <c r="G125" s="632" t="str">
        <f>IF($A125="","",VLOOKUP($A125,기본데이타!$A$8:$BV$103,COLUMN(기본데이타!I$8),0))</f>
        <v/>
      </c>
      <c r="H125" s="632" t="str">
        <f>IF($A125="","",VLOOKUP($A125,기본데이타!$A$8:$BV$103,COLUMN(기본데이타!J$8),0))</f>
        <v/>
      </c>
      <c r="I125" s="633" t="str">
        <f>IF($A125="","",VLOOKUP($A125,기본데이타!$A$8:$BV$103,COLUMN(기본데이타!K$8),0))</f>
        <v/>
      </c>
      <c r="J125" s="633" t="str">
        <f>IF($A125="","",VLOOKUP($A125,기본데이타!$A$8:$BV$103,COLUMN(기본데이타!L$8),0))</f>
        <v/>
      </c>
      <c r="K125" s="633" t="str">
        <f>IF($A125="","",VLOOKUP($A125,기본데이타!$A$8:$BV$103,COLUMN(기본데이타!M$8),0))</f>
        <v/>
      </c>
      <c r="L125" s="634" t="str">
        <f>IF($A125="","",VLOOKUP($A125,기본데이타!$A$8:$BV$103,COLUMN(기본데이타!N$8),0))</f>
        <v/>
      </c>
      <c r="M125" s="633" t="str">
        <f>IF($A125="","",VLOOKUP($A125,기본데이타!$A$8:$BV$103,COLUMN(기본데이타!O$8),0))</f>
        <v/>
      </c>
      <c r="N125" s="634" t="str">
        <f>IF($A125="","",VLOOKUP($A125,기본데이타!$A$8:$BV$103,COLUMN(기본데이타!P$8),0))</f>
        <v/>
      </c>
      <c r="O125" s="634" t="str">
        <f>IF($A125="","",VLOOKUP($A125,기본데이타!$A$8:$BV$103,COLUMN(기본데이타!Q$8),0))</f>
        <v/>
      </c>
      <c r="P125" s="634" t="str">
        <f>IF($A125="","",VLOOKUP($A125,기본데이타!$A$8:$BV$103,COLUMN(기본데이타!R$8),0))</f>
        <v/>
      </c>
      <c r="Q125" s="634" t="str">
        <f>IF($A125="","",VLOOKUP($A125,기본데이타!$A$8:$BV$103,COLUMN(기본데이타!S$8),0))</f>
        <v/>
      </c>
      <c r="R125" s="634" t="str">
        <f>IF($A125="","",VLOOKUP($A125,기본데이타!$A$8:$BV$103,COLUMN(기본데이타!T$8),0))</f>
        <v/>
      </c>
      <c r="S125" s="634" t="str">
        <f>IF($A125="","",VLOOKUP($A125,기본데이타!$A$8:$BV$103,COLUMN(기본데이타!U$8),0))</f>
        <v/>
      </c>
      <c r="T125" s="634" t="str">
        <f>IF($A125="","",VLOOKUP($A125,기본데이타!$A$8:$BV$103,COLUMN(기본데이타!V$8),0))</f>
        <v/>
      </c>
      <c r="U125" s="634" t="str">
        <f>IF($A125="","",VLOOKUP($A125,기본데이타!$A$8:$BV$103,COLUMN(기본데이타!W$8),0))</f>
        <v/>
      </c>
      <c r="V125" s="634" t="str">
        <f>IF($A125="","",VLOOKUP($A125,기본데이타!$A$8:$BV$103,COLUMN(기본데이타!X$8),0))</f>
        <v/>
      </c>
      <c r="W125" s="634" t="str">
        <f>IF($A125="","",VLOOKUP($A125,기본데이타!$A$8:$BV$103,COLUMN(기본데이타!AA$8),0))</f>
        <v/>
      </c>
      <c r="X125" s="634" t="str">
        <f>IF($A125="","",VLOOKUP($A125,기본데이타!$A$8:$BV$103,COLUMN(기본데이타!AB$8),0))</f>
        <v/>
      </c>
      <c r="Y125" s="633" t="str">
        <f>IF($A125="","",VLOOKUP($A125,기본데이타!$A$8:$BV$103,COLUMN(기본데이타!AC$8),0))</f>
        <v/>
      </c>
      <c r="Z125" s="634" t="str">
        <f>IF($A125="","",VLOOKUP($A125,기본데이타!$A$8:$BV$103,COLUMN(기본데이타!AD$8),0))</f>
        <v/>
      </c>
      <c r="AA125" s="633" t="str">
        <f>IF($A125="","",VLOOKUP($A125,기본데이타!$A$8:$BV$103,COLUMN(기본데이타!AE$8),0))</f>
        <v/>
      </c>
      <c r="AB125" s="634" t="str">
        <f>IF($A125="","",VLOOKUP($A125,기본데이타!$A$8:$BV$103,COLUMN(기본데이타!AF$8),0))</f>
        <v/>
      </c>
      <c r="AC125" s="633" t="str">
        <f>IF($A125="","",VLOOKUP($A125,기본데이타!$A$8:$BV$103,COLUMN(기본데이타!AG$8),0))</f>
        <v/>
      </c>
      <c r="AD125" s="634" t="str">
        <f>IF($A125="","",VLOOKUP($A125,기본데이타!$A$8:$BV$103,COLUMN(기본데이타!AH$8),0))</f>
        <v/>
      </c>
      <c r="AE125" s="633" t="str">
        <f>IF($A125="","",VLOOKUP($A125,기본데이타!$A$8:$BV$103,COLUMN(기본데이타!AI$8),0))</f>
        <v/>
      </c>
      <c r="AF125" s="635" t="str">
        <f>IF($A125="","",VLOOKUP($A125,기본데이타!$A$8:$BV$103,COLUMN(기본데이타!AJ$8),0))</f>
        <v/>
      </c>
      <c r="AG125" s="580" t="str">
        <f>IF($A125="","",VLOOKUP($A125,기본데이타!$A$8:$BV$103,COLUMN(기본데이타!AK$8),0))</f>
        <v/>
      </c>
      <c r="AH125" s="580" t="str">
        <f>IF($A125="","",VLOOKUP($A125,기본데이타!$A$8:$BV$103,COLUMN(기본데이타!AL$8),0))</f>
        <v/>
      </c>
      <c r="AI125" s="580" t="str">
        <f>IF($A125="","",VLOOKUP($A125,기본데이타!$A$8:$BV$103,COLUMN(기본데이타!AM$8),0))</f>
        <v/>
      </c>
      <c r="AJ125" s="636" t="str">
        <f>IF($A125="","",VLOOKUP($A125,기본데이타!$A$8:$BV$103,COLUMN(기본데이타!AN$8),0))</f>
        <v/>
      </c>
      <c r="AK125" s="636" t="str">
        <f>IF($A125="","",VLOOKUP($A125,기본데이타!$A$8:$BV$103,COLUMN(기본데이타!AO$8),0))</f>
        <v/>
      </c>
      <c r="AL125" s="636" t="str">
        <f>IF($A125="","",VLOOKUP($A125,기본데이타!$A$8:$BV$103,COLUMN(기본데이타!AP$8),0))</f>
        <v/>
      </c>
      <c r="AM125" s="636" t="str">
        <f>IF($A125="","",VLOOKUP($A125,기본데이타!$A$8:$BV$103,COLUMN(기본데이타!AQ$8),0))</f>
        <v/>
      </c>
      <c r="AN125" s="636" t="str">
        <f>IF($A125="","",VLOOKUP($A125,기본데이타!$A$8:$BV$103,COLUMN(기본데이타!AR$8),0))</f>
        <v/>
      </c>
      <c r="AO125" s="636" t="str">
        <f>IF($A125="","",VLOOKUP($A125,기본데이타!$A$8:$BV$103,COLUMN(기본데이타!AS$8),0))</f>
        <v/>
      </c>
      <c r="AP125" s="636" t="str">
        <f>IF($A125="","",VLOOKUP($A125,기본데이타!$A$8:$BV$103,COLUMN(기본데이타!AT$8),0))</f>
        <v/>
      </c>
      <c r="AQ125" s="636" t="str">
        <f>IF($A125="","",VLOOKUP($A125,기본데이타!$A$8:$BV$103,COLUMN(기본데이타!AU$8),0))</f>
        <v/>
      </c>
      <c r="AR125" s="637" t="str">
        <f>IF($A125="","",VLOOKUP($A125,기본데이타!$A$8:$BV$103,COLUMN(기본데이타!AV$8),0))</f>
        <v/>
      </c>
      <c r="AS125" s="634" t="str">
        <f>IF($A125="","",VLOOKUP($A125,기본데이타!$A$8:$BV$103,COLUMN(기본데이타!AW$8),0))</f>
        <v/>
      </c>
      <c r="AT125" s="634" t="str">
        <f>IF($A125="","",VLOOKUP($A125,기본데이타!$A$8:$BV$103,COLUMN(기본데이타!AX$8),0))</f>
        <v/>
      </c>
      <c r="AU125" s="634" t="str">
        <f>IF($A125="","",VLOOKUP($A125,기본데이타!$A$8:$BV$103,COLUMN(기본데이타!AY$8),0))</f>
        <v/>
      </c>
      <c r="AV125" s="634" t="str">
        <f t="shared" ref="AV125:AV136" si="20">IF(AS125="","",SUM(AS125:AU125))</f>
        <v/>
      </c>
      <c r="AW125" s="635" t="str">
        <f>IF($A125="","",VLOOKUP($A125,기본데이타!$A$8:$BV$103,COLUMN(기본데이타!BA$8),0))</f>
        <v/>
      </c>
      <c r="AX125" s="635" t="str">
        <f>IF($A125="","",VLOOKUP($A125,기본데이타!$A$8:$BV$103,COLUMN(기본데이타!BB$8),0))</f>
        <v/>
      </c>
      <c r="AY125" s="635" t="str">
        <f>IF($A125="","",VLOOKUP($A125,기본데이타!$A$8:$BV$103,COLUMN(기본데이타!BC$8),0))</f>
        <v/>
      </c>
      <c r="AZ125" s="635" t="str">
        <f>IF($A125="","",VLOOKUP($A125,기본데이타!$A$8:$BV$103,COLUMN(기본데이타!BD$8),0))</f>
        <v/>
      </c>
      <c r="BA125" s="635" t="str">
        <f>IF($A125="","",VLOOKUP($A125,기본데이타!$A$8:$BV$103,COLUMN(기본데이타!BE$8),0))</f>
        <v/>
      </c>
      <c r="BB125" s="635" t="str">
        <f>IF($A125="","",VLOOKUP($A125,기본데이타!$A$8:$BV$103,COLUMN(기본데이타!BF$8),0))</f>
        <v/>
      </c>
      <c r="BC125" s="635" t="str">
        <f>IF($A125="","",VLOOKUP($A125,기본데이타!$A$8:$BV$103,COLUMN(기본데이타!BG$8),0))</f>
        <v/>
      </c>
      <c r="BD125" s="635" t="str">
        <f>IF($A125="","",VLOOKUP($A125,기본데이타!$A$8:$BV$103,COLUMN(기본데이타!BH$8),0))</f>
        <v/>
      </c>
      <c r="BE125" s="635" t="str">
        <f>IF($A125="","",VLOOKUP($A125,기본데이타!$A$8:$BV$103,COLUMN(기본데이타!BI$8),0))</f>
        <v/>
      </c>
      <c r="BF125" s="635" t="str">
        <f>IF($A125="","",VLOOKUP($A125,기본데이타!$A$8:$BV$103,COLUMN(기본데이타!BJ$8),0))</f>
        <v/>
      </c>
      <c r="BG125" s="635" t="str">
        <f>IF($A125="","",VLOOKUP($A125,기본데이타!$A$8:$BV$103,COLUMN(기본데이타!BK$8),0))</f>
        <v/>
      </c>
      <c r="BH125" s="635" t="str">
        <f>IF($A125="","",VLOOKUP($A125,기본데이타!$A$8:$BV$103,COLUMN(기본데이타!BL$8),0))</f>
        <v/>
      </c>
      <c r="BI125" s="635" t="str">
        <f>IF($A125="","",VLOOKUP($A125,기본데이타!$A$8:$BV$103,COLUMN(기본데이타!BM$8),0))</f>
        <v/>
      </c>
      <c r="BJ125" s="635" t="str">
        <f>IF($A125="","",VLOOKUP($A125,기본데이타!$A$8:$BV$103,COLUMN(기본데이타!BN$8),0))</f>
        <v/>
      </c>
      <c r="BK125" s="635" t="str">
        <f>IF($A125="","",VLOOKUP($A125,기본데이타!$A$8:$BV$103,COLUMN(기본데이타!BO$8),0))</f>
        <v/>
      </c>
      <c r="BL125" s="635" t="str">
        <f>IF($A125="","",VLOOKUP($A125,기본데이타!$A$8:$BV$103,COLUMN(기본데이타!BP$8),0))</f>
        <v/>
      </c>
      <c r="BM125" s="635" t="str">
        <f>IF($A125="","",VLOOKUP($A125,기본데이타!$A$8:$BV$103,COLUMN(기본데이타!BQ$8),0))</f>
        <v/>
      </c>
      <c r="BN125" s="638" t="str">
        <f>IF($A125="","",VLOOKUP($A125,기본데이타!$A$8:$BV$103,COLUMN(기본데이타!BR$8),0))</f>
        <v/>
      </c>
      <c r="BO125" s="579" t="str">
        <f>IF($A125="","",VLOOKUP($A125,기본데이타!$A$8:$BV$103,COLUMN(기본데이타!BS$8),0))</f>
        <v/>
      </c>
      <c r="BP125" s="639" t="str">
        <f>IF($A125="","",VLOOKUP($A125,기본데이타!$A$8:$BV$103,COLUMN(기본데이타!BT$8),0))</f>
        <v/>
      </c>
      <c r="BQ125" s="640" t="str">
        <f>IF($A125="","",VLOOKUP($A125,기본데이타!$A$8:$BV$103,COLUMN(기본데이타!BU$8),0))</f>
        <v/>
      </c>
      <c r="BR125" s="625" t="str">
        <f t="shared" ref="BR125:BR136" si="21">IF($A125="","",A125)</f>
        <v/>
      </c>
    </row>
    <row r="126" spans="1:70" s="571" customFormat="1" ht="61.5" hidden="1" customHeight="1">
      <c r="A126" s="578"/>
      <c r="B126" s="1642"/>
      <c r="C126" s="590"/>
      <c r="D126" s="629" t="str">
        <f>IF($A126="","",VLOOKUP($A126,기본데이타!$A$8:$BV$103,COLUMN(기본데이타!F$8),0))</f>
        <v/>
      </c>
      <c r="E126" s="630" t="str">
        <f>IF($A126="","",VLOOKUP($A126,기본데이타!$A$8:$BV$103,COLUMN(기본데이타!G$8),0))</f>
        <v/>
      </c>
      <c r="F126" s="631" t="str">
        <f>IF($A126="","",VLOOKUP($A126,기본데이타!$A$8:$BV$103,COLUMN(기본데이타!H$8),0))</f>
        <v/>
      </c>
      <c r="G126" s="632" t="str">
        <f>IF($A126="","",VLOOKUP($A126,기본데이타!$A$8:$BV$103,COLUMN(기본데이타!I$8),0))</f>
        <v/>
      </c>
      <c r="H126" s="632" t="str">
        <f>IF($A126="","",VLOOKUP($A126,기본데이타!$A$8:$BV$103,COLUMN(기본데이타!J$8),0))</f>
        <v/>
      </c>
      <c r="I126" s="633" t="str">
        <f>IF($A126="","",VLOOKUP($A126,기본데이타!$A$8:$BV$103,COLUMN(기본데이타!K$8),0))</f>
        <v/>
      </c>
      <c r="J126" s="633" t="str">
        <f>IF($A126="","",VLOOKUP($A126,기본데이타!$A$8:$BV$103,COLUMN(기본데이타!L$8),0))</f>
        <v/>
      </c>
      <c r="K126" s="633" t="str">
        <f>IF($A126="","",VLOOKUP($A126,기본데이타!$A$8:$BV$103,COLUMN(기본데이타!M$8),0))</f>
        <v/>
      </c>
      <c r="L126" s="634" t="str">
        <f>IF($A126="","",VLOOKUP($A126,기본데이타!$A$8:$BV$103,COLUMN(기본데이타!N$8),0))</f>
        <v/>
      </c>
      <c r="M126" s="633" t="str">
        <f>IF($A126="","",VLOOKUP($A126,기본데이타!$A$8:$BV$103,COLUMN(기본데이타!O$8),0))</f>
        <v/>
      </c>
      <c r="N126" s="634" t="str">
        <f>IF($A126="","",VLOOKUP($A126,기본데이타!$A$8:$BV$103,COLUMN(기본데이타!P$8),0))</f>
        <v/>
      </c>
      <c r="O126" s="634" t="str">
        <f>IF($A126="","",VLOOKUP($A126,기본데이타!$A$8:$BV$103,COLUMN(기본데이타!Q$8),0))</f>
        <v/>
      </c>
      <c r="P126" s="634" t="str">
        <f>IF($A126="","",VLOOKUP($A126,기본데이타!$A$8:$BV$103,COLUMN(기본데이타!R$8),0))</f>
        <v/>
      </c>
      <c r="Q126" s="634" t="str">
        <f>IF($A126="","",VLOOKUP($A126,기본데이타!$A$8:$BV$103,COLUMN(기본데이타!S$8),0))</f>
        <v/>
      </c>
      <c r="R126" s="634" t="str">
        <f>IF($A126="","",VLOOKUP($A126,기본데이타!$A$8:$BV$103,COLUMN(기본데이타!T$8),0))</f>
        <v/>
      </c>
      <c r="S126" s="634" t="str">
        <f>IF($A126="","",VLOOKUP($A126,기본데이타!$A$8:$BV$103,COLUMN(기본데이타!U$8),0))</f>
        <v/>
      </c>
      <c r="T126" s="634" t="str">
        <f>IF($A126="","",VLOOKUP($A126,기본데이타!$A$8:$BV$103,COLUMN(기본데이타!V$8),0))</f>
        <v/>
      </c>
      <c r="U126" s="634" t="str">
        <f>IF($A126="","",VLOOKUP($A126,기본데이타!$A$8:$BV$103,COLUMN(기본데이타!W$8),0))</f>
        <v/>
      </c>
      <c r="V126" s="634" t="str">
        <f>IF($A126="","",VLOOKUP($A126,기본데이타!$A$8:$BV$103,COLUMN(기본데이타!X$8),0))</f>
        <v/>
      </c>
      <c r="W126" s="634" t="str">
        <f>IF($A126="","",VLOOKUP($A126,기본데이타!$A$8:$BV$103,COLUMN(기본데이타!AA$8),0))</f>
        <v/>
      </c>
      <c r="X126" s="634" t="str">
        <f>IF($A126="","",VLOOKUP($A126,기본데이타!$A$8:$BV$103,COLUMN(기본데이타!AB$8),0))</f>
        <v/>
      </c>
      <c r="Y126" s="633" t="str">
        <f>IF($A126="","",VLOOKUP($A126,기본데이타!$A$8:$BV$103,COLUMN(기본데이타!AC$8),0))</f>
        <v/>
      </c>
      <c r="Z126" s="634" t="str">
        <f>IF($A126="","",VLOOKUP($A126,기본데이타!$A$8:$BV$103,COLUMN(기본데이타!AD$8),0))</f>
        <v/>
      </c>
      <c r="AA126" s="633" t="str">
        <f>IF($A126="","",VLOOKUP($A126,기본데이타!$A$8:$BV$103,COLUMN(기본데이타!AE$8),0))</f>
        <v/>
      </c>
      <c r="AB126" s="634" t="str">
        <f>IF($A126="","",VLOOKUP($A126,기본데이타!$A$8:$BV$103,COLUMN(기본데이타!AF$8),0))</f>
        <v/>
      </c>
      <c r="AC126" s="633" t="str">
        <f>IF($A126="","",VLOOKUP($A126,기본데이타!$A$8:$BV$103,COLUMN(기본데이타!AG$8),0))</f>
        <v/>
      </c>
      <c r="AD126" s="634" t="str">
        <f>IF($A126="","",VLOOKUP($A126,기본데이타!$A$8:$BV$103,COLUMN(기본데이타!AH$8),0))</f>
        <v/>
      </c>
      <c r="AE126" s="633" t="str">
        <f>IF($A126="","",VLOOKUP($A126,기본데이타!$A$8:$BV$103,COLUMN(기본데이타!AI$8),0))</f>
        <v/>
      </c>
      <c r="AF126" s="635" t="str">
        <f>IF($A126="","",VLOOKUP($A126,기본데이타!$A$8:$BV$103,COLUMN(기본데이타!AJ$8),0))</f>
        <v/>
      </c>
      <c r="AG126" s="580" t="str">
        <f>IF($A126="","",VLOOKUP($A126,기본데이타!$A$8:$BV$103,COLUMN(기본데이타!AK$8),0))</f>
        <v/>
      </c>
      <c r="AH126" s="580" t="str">
        <f>IF($A126="","",VLOOKUP($A126,기본데이타!$A$8:$BV$103,COLUMN(기본데이타!AL$8),0))</f>
        <v/>
      </c>
      <c r="AI126" s="580" t="str">
        <f>IF($A126="","",VLOOKUP($A126,기본데이타!$A$8:$BV$103,COLUMN(기본데이타!AM$8),0))</f>
        <v/>
      </c>
      <c r="AJ126" s="636" t="str">
        <f>IF($A126="","",VLOOKUP($A126,기본데이타!$A$8:$BV$103,COLUMN(기본데이타!AN$8),0))</f>
        <v/>
      </c>
      <c r="AK126" s="636" t="str">
        <f>IF($A126="","",VLOOKUP($A126,기본데이타!$A$8:$BV$103,COLUMN(기본데이타!AO$8),0))</f>
        <v/>
      </c>
      <c r="AL126" s="636" t="str">
        <f>IF($A126="","",VLOOKUP($A126,기본데이타!$A$8:$BV$103,COLUMN(기본데이타!AP$8),0))</f>
        <v/>
      </c>
      <c r="AM126" s="636" t="str">
        <f>IF($A126="","",VLOOKUP($A126,기본데이타!$A$8:$BV$103,COLUMN(기본데이타!AQ$8),0))</f>
        <v/>
      </c>
      <c r="AN126" s="636" t="str">
        <f>IF($A126="","",VLOOKUP($A126,기본데이타!$A$8:$BV$103,COLUMN(기본데이타!AR$8),0))</f>
        <v/>
      </c>
      <c r="AO126" s="636" t="str">
        <f>IF($A126="","",VLOOKUP($A126,기본데이타!$A$8:$BV$103,COLUMN(기본데이타!AS$8),0))</f>
        <v/>
      </c>
      <c r="AP126" s="636" t="str">
        <f>IF($A126="","",VLOOKUP($A126,기본데이타!$A$8:$BV$103,COLUMN(기본데이타!AT$8),0))</f>
        <v/>
      </c>
      <c r="AQ126" s="636" t="str">
        <f>IF($A126="","",VLOOKUP($A126,기본데이타!$A$8:$BV$103,COLUMN(기본데이타!AU$8),0))</f>
        <v/>
      </c>
      <c r="AR126" s="637" t="str">
        <f>IF($A126="","",VLOOKUP($A126,기본데이타!$A$8:$BV$103,COLUMN(기본데이타!AV$8),0))</f>
        <v/>
      </c>
      <c r="AS126" s="634" t="str">
        <f>IF($A126="","",VLOOKUP($A126,기본데이타!$A$8:$BV$103,COLUMN(기본데이타!AW$8),0))</f>
        <v/>
      </c>
      <c r="AT126" s="634" t="str">
        <f>IF($A126="","",VLOOKUP($A126,기본데이타!$A$8:$BV$103,COLUMN(기본데이타!AX$8),0))</f>
        <v/>
      </c>
      <c r="AU126" s="634" t="str">
        <f>IF($A126="","",VLOOKUP($A126,기본데이타!$A$8:$BV$103,COLUMN(기본데이타!AY$8),0))</f>
        <v/>
      </c>
      <c r="AV126" s="634" t="str">
        <f t="shared" si="20"/>
        <v/>
      </c>
      <c r="AW126" s="635" t="str">
        <f>IF($A126="","",VLOOKUP($A126,기본데이타!$A$8:$BV$103,COLUMN(기본데이타!BA$8),0))</f>
        <v/>
      </c>
      <c r="AX126" s="635" t="str">
        <f>IF($A126="","",VLOOKUP($A126,기본데이타!$A$8:$BV$103,COLUMN(기본데이타!BB$8),0))</f>
        <v/>
      </c>
      <c r="AY126" s="635" t="str">
        <f>IF($A126="","",VLOOKUP($A126,기본데이타!$A$8:$BV$103,COLUMN(기본데이타!BC$8),0))</f>
        <v/>
      </c>
      <c r="AZ126" s="635" t="str">
        <f>IF($A126="","",VLOOKUP($A126,기본데이타!$A$8:$BV$103,COLUMN(기본데이타!BD$8),0))</f>
        <v/>
      </c>
      <c r="BA126" s="635" t="str">
        <f>IF($A126="","",VLOOKUP($A126,기본데이타!$A$8:$BV$103,COLUMN(기본데이타!BE$8),0))</f>
        <v/>
      </c>
      <c r="BB126" s="635" t="str">
        <f>IF($A126="","",VLOOKUP($A126,기본데이타!$A$8:$BV$103,COLUMN(기본데이타!BF$8),0))</f>
        <v/>
      </c>
      <c r="BC126" s="635" t="str">
        <f>IF($A126="","",VLOOKUP($A126,기본데이타!$A$8:$BV$103,COLUMN(기본데이타!BG$8),0))</f>
        <v/>
      </c>
      <c r="BD126" s="635" t="str">
        <f>IF($A126="","",VLOOKUP($A126,기본데이타!$A$8:$BV$103,COLUMN(기본데이타!BH$8),0))</f>
        <v/>
      </c>
      <c r="BE126" s="635" t="str">
        <f>IF($A126="","",VLOOKUP($A126,기본데이타!$A$8:$BV$103,COLUMN(기본데이타!BI$8),0))</f>
        <v/>
      </c>
      <c r="BF126" s="635" t="str">
        <f>IF($A126="","",VLOOKUP($A126,기본데이타!$A$8:$BV$103,COLUMN(기본데이타!BJ$8),0))</f>
        <v/>
      </c>
      <c r="BG126" s="635" t="str">
        <f>IF($A126="","",VLOOKUP($A126,기본데이타!$A$8:$BV$103,COLUMN(기본데이타!BK$8),0))</f>
        <v/>
      </c>
      <c r="BH126" s="635" t="str">
        <f>IF($A126="","",VLOOKUP($A126,기본데이타!$A$8:$BV$103,COLUMN(기본데이타!BL$8),0))</f>
        <v/>
      </c>
      <c r="BI126" s="635" t="str">
        <f>IF($A126="","",VLOOKUP($A126,기본데이타!$A$8:$BV$103,COLUMN(기본데이타!BM$8),0))</f>
        <v/>
      </c>
      <c r="BJ126" s="635" t="str">
        <f>IF($A126="","",VLOOKUP($A126,기본데이타!$A$8:$BV$103,COLUMN(기본데이타!BN$8),0))</f>
        <v/>
      </c>
      <c r="BK126" s="635" t="str">
        <f>IF($A126="","",VLOOKUP($A126,기본데이타!$A$8:$BV$103,COLUMN(기본데이타!BO$8),0))</f>
        <v/>
      </c>
      <c r="BL126" s="635" t="str">
        <f>IF($A126="","",VLOOKUP($A126,기본데이타!$A$8:$BV$103,COLUMN(기본데이타!BP$8),0))</f>
        <v/>
      </c>
      <c r="BM126" s="635" t="str">
        <f>IF($A126="","",VLOOKUP($A126,기본데이타!$A$8:$BV$103,COLUMN(기본데이타!BQ$8),0))</f>
        <v/>
      </c>
      <c r="BN126" s="638" t="str">
        <f>IF($A126="","",VLOOKUP($A126,기본데이타!$A$8:$BV$103,COLUMN(기본데이타!BR$8),0))</f>
        <v/>
      </c>
      <c r="BO126" s="579" t="str">
        <f>IF($A126="","",VLOOKUP($A126,기본데이타!$A$8:$BV$103,COLUMN(기본데이타!BS$8),0))</f>
        <v/>
      </c>
      <c r="BP126" s="639" t="str">
        <f>IF($A126="","",VLOOKUP($A126,기본데이타!$A$8:$BV$103,COLUMN(기본데이타!BT$8),0))</f>
        <v/>
      </c>
      <c r="BQ126" s="640" t="str">
        <f>IF($A126="","",VLOOKUP($A126,기본데이타!$A$8:$BV$103,COLUMN(기본데이타!BU$8),0))</f>
        <v/>
      </c>
      <c r="BR126" s="625" t="str">
        <f t="shared" si="21"/>
        <v/>
      </c>
    </row>
    <row r="127" spans="1:70" s="571" customFormat="1" ht="61.5" hidden="1" customHeight="1">
      <c r="A127" s="578"/>
      <c r="B127" s="1642"/>
      <c r="C127" s="590"/>
      <c r="D127" s="629" t="str">
        <f>IF($A127="","",VLOOKUP($A127,기본데이타!$A$8:$BV$103,COLUMN(기본데이타!F$8),0))</f>
        <v/>
      </c>
      <c r="E127" s="630" t="str">
        <f>IF($A127="","",VLOOKUP($A127,기본데이타!$A$8:$BV$103,COLUMN(기본데이타!G$8),0))</f>
        <v/>
      </c>
      <c r="F127" s="631" t="str">
        <f>IF($A127="","",VLOOKUP($A127,기본데이타!$A$8:$BV$103,COLUMN(기본데이타!H$8),0))</f>
        <v/>
      </c>
      <c r="G127" s="632" t="str">
        <f>IF($A127="","",VLOOKUP($A127,기본데이타!$A$8:$BV$103,COLUMN(기본데이타!I$8),0))</f>
        <v/>
      </c>
      <c r="H127" s="632" t="str">
        <f>IF($A127="","",VLOOKUP($A127,기본데이타!$A$8:$BV$103,COLUMN(기본데이타!J$8),0))</f>
        <v/>
      </c>
      <c r="I127" s="633" t="str">
        <f>IF($A127="","",VLOOKUP($A127,기본데이타!$A$8:$BV$103,COLUMN(기본데이타!K$8),0))</f>
        <v/>
      </c>
      <c r="J127" s="633" t="str">
        <f>IF($A127="","",VLOOKUP($A127,기본데이타!$A$8:$BV$103,COLUMN(기본데이타!L$8),0))</f>
        <v/>
      </c>
      <c r="K127" s="633" t="str">
        <f>IF($A127="","",VLOOKUP($A127,기본데이타!$A$8:$BV$103,COLUMN(기본데이타!M$8),0))</f>
        <v/>
      </c>
      <c r="L127" s="634" t="str">
        <f>IF($A127="","",VLOOKUP($A127,기본데이타!$A$8:$BV$103,COLUMN(기본데이타!N$8),0))</f>
        <v/>
      </c>
      <c r="M127" s="633" t="str">
        <f>IF($A127="","",VLOOKUP($A127,기본데이타!$A$8:$BV$103,COLUMN(기본데이타!O$8),0))</f>
        <v/>
      </c>
      <c r="N127" s="634" t="str">
        <f>IF($A127="","",VLOOKUP($A127,기본데이타!$A$8:$BV$103,COLUMN(기본데이타!P$8),0))</f>
        <v/>
      </c>
      <c r="O127" s="634" t="str">
        <f>IF($A127="","",VLOOKUP($A127,기본데이타!$A$8:$BV$103,COLUMN(기본데이타!Q$8),0))</f>
        <v/>
      </c>
      <c r="P127" s="634" t="str">
        <f>IF($A127="","",VLOOKUP($A127,기본데이타!$A$8:$BV$103,COLUMN(기본데이타!R$8),0))</f>
        <v/>
      </c>
      <c r="Q127" s="634" t="str">
        <f>IF($A127="","",VLOOKUP($A127,기본데이타!$A$8:$BV$103,COLUMN(기본데이타!S$8),0))</f>
        <v/>
      </c>
      <c r="R127" s="634" t="str">
        <f>IF($A127="","",VLOOKUP($A127,기본데이타!$A$8:$BV$103,COLUMN(기본데이타!T$8),0))</f>
        <v/>
      </c>
      <c r="S127" s="634" t="str">
        <f>IF($A127="","",VLOOKUP($A127,기본데이타!$A$8:$BV$103,COLUMN(기본데이타!U$8),0))</f>
        <v/>
      </c>
      <c r="T127" s="634" t="str">
        <f>IF($A127="","",VLOOKUP($A127,기본데이타!$A$8:$BV$103,COLUMN(기본데이타!V$8),0))</f>
        <v/>
      </c>
      <c r="U127" s="634" t="str">
        <f>IF($A127="","",VLOOKUP($A127,기본데이타!$A$8:$BV$103,COLUMN(기본데이타!W$8),0))</f>
        <v/>
      </c>
      <c r="V127" s="634" t="str">
        <f>IF($A127="","",VLOOKUP($A127,기본데이타!$A$8:$BV$103,COLUMN(기본데이타!X$8),0))</f>
        <v/>
      </c>
      <c r="W127" s="634" t="str">
        <f>IF($A127="","",VLOOKUP($A127,기본데이타!$A$8:$BV$103,COLUMN(기본데이타!AA$8),0))</f>
        <v/>
      </c>
      <c r="X127" s="634" t="str">
        <f>IF($A127="","",VLOOKUP($A127,기본데이타!$A$8:$BV$103,COLUMN(기본데이타!AB$8),0))</f>
        <v/>
      </c>
      <c r="Y127" s="633" t="str">
        <f>IF($A127="","",VLOOKUP($A127,기본데이타!$A$8:$BV$103,COLUMN(기본데이타!AC$8),0))</f>
        <v/>
      </c>
      <c r="Z127" s="634" t="str">
        <f>IF($A127="","",VLOOKUP($A127,기본데이타!$A$8:$BV$103,COLUMN(기본데이타!AD$8),0))</f>
        <v/>
      </c>
      <c r="AA127" s="633" t="str">
        <f>IF($A127="","",VLOOKUP($A127,기본데이타!$A$8:$BV$103,COLUMN(기본데이타!AE$8),0))</f>
        <v/>
      </c>
      <c r="AB127" s="634" t="str">
        <f>IF($A127="","",VLOOKUP($A127,기본데이타!$A$8:$BV$103,COLUMN(기본데이타!AF$8),0))</f>
        <v/>
      </c>
      <c r="AC127" s="633" t="str">
        <f>IF($A127="","",VLOOKUP($A127,기본데이타!$A$8:$BV$103,COLUMN(기본데이타!AG$8),0))</f>
        <v/>
      </c>
      <c r="AD127" s="634" t="str">
        <f>IF($A127="","",VLOOKUP($A127,기본데이타!$A$8:$BV$103,COLUMN(기본데이타!AH$8),0))</f>
        <v/>
      </c>
      <c r="AE127" s="633" t="str">
        <f>IF($A127="","",VLOOKUP($A127,기본데이타!$A$8:$BV$103,COLUMN(기본데이타!AI$8),0))</f>
        <v/>
      </c>
      <c r="AF127" s="635" t="str">
        <f>IF($A127="","",VLOOKUP($A127,기본데이타!$A$8:$BV$103,COLUMN(기본데이타!AJ$8),0))</f>
        <v/>
      </c>
      <c r="AG127" s="580" t="str">
        <f>IF($A127="","",VLOOKUP($A127,기본데이타!$A$8:$BV$103,COLUMN(기본데이타!AK$8),0))</f>
        <v/>
      </c>
      <c r="AH127" s="580" t="str">
        <f>IF($A127="","",VLOOKUP($A127,기본데이타!$A$8:$BV$103,COLUMN(기본데이타!AL$8),0))</f>
        <v/>
      </c>
      <c r="AI127" s="580" t="str">
        <f>IF($A127="","",VLOOKUP($A127,기본데이타!$A$8:$BV$103,COLUMN(기본데이타!AM$8),0))</f>
        <v/>
      </c>
      <c r="AJ127" s="636" t="str">
        <f>IF($A127="","",VLOOKUP($A127,기본데이타!$A$8:$BV$103,COLUMN(기본데이타!AN$8),0))</f>
        <v/>
      </c>
      <c r="AK127" s="636" t="str">
        <f>IF($A127="","",VLOOKUP($A127,기본데이타!$A$8:$BV$103,COLUMN(기본데이타!AO$8),0))</f>
        <v/>
      </c>
      <c r="AL127" s="636" t="str">
        <f>IF($A127="","",VLOOKUP($A127,기본데이타!$A$8:$BV$103,COLUMN(기본데이타!AP$8),0))</f>
        <v/>
      </c>
      <c r="AM127" s="636" t="str">
        <f>IF($A127="","",VLOOKUP($A127,기본데이타!$A$8:$BV$103,COLUMN(기본데이타!AQ$8),0))</f>
        <v/>
      </c>
      <c r="AN127" s="636" t="str">
        <f>IF($A127="","",VLOOKUP($A127,기본데이타!$A$8:$BV$103,COLUMN(기본데이타!AR$8),0))</f>
        <v/>
      </c>
      <c r="AO127" s="636" t="str">
        <f>IF($A127="","",VLOOKUP($A127,기본데이타!$A$8:$BV$103,COLUMN(기본데이타!AS$8),0))</f>
        <v/>
      </c>
      <c r="AP127" s="636" t="str">
        <f>IF($A127="","",VLOOKUP($A127,기본데이타!$A$8:$BV$103,COLUMN(기본데이타!AT$8),0))</f>
        <v/>
      </c>
      <c r="AQ127" s="636" t="str">
        <f>IF($A127="","",VLOOKUP($A127,기본데이타!$A$8:$BV$103,COLUMN(기본데이타!AU$8),0))</f>
        <v/>
      </c>
      <c r="AR127" s="637" t="str">
        <f>IF($A127="","",VLOOKUP($A127,기본데이타!$A$8:$BV$103,COLUMN(기본데이타!AV$8),0))</f>
        <v/>
      </c>
      <c r="AS127" s="634" t="str">
        <f>IF($A127="","",VLOOKUP($A127,기본데이타!$A$8:$BV$103,COLUMN(기본데이타!AW$8),0))</f>
        <v/>
      </c>
      <c r="AT127" s="634" t="str">
        <f>IF($A127="","",VLOOKUP($A127,기본데이타!$A$8:$BV$103,COLUMN(기본데이타!AX$8),0))</f>
        <v/>
      </c>
      <c r="AU127" s="634" t="str">
        <f>IF($A127="","",VLOOKUP($A127,기본데이타!$A$8:$BV$103,COLUMN(기본데이타!AY$8),0))</f>
        <v/>
      </c>
      <c r="AV127" s="634" t="str">
        <f t="shared" si="20"/>
        <v/>
      </c>
      <c r="AW127" s="635" t="str">
        <f>IF($A127="","",VLOOKUP($A127,기본데이타!$A$8:$BV$103,COLUMN(기본데이타!BA$8),0))</f>
        <v/>
      </c>
      <c r="AX127" s="635" t="str">
        <f>IF($A127="","",VLOOKUP($A127,기본데이타!$A$8:$BV$103,COLUMN(기본데이타!BB$8),0))</f>
        <v/>
      </c>
      <c r="AY127" s="635" t="str">
        <f>IF($A127="","",VLOOKUP($A127,기본데이타!$A$8:$BV$103,COLUMN(기본데이타!BC$8),0))</f>
        <v/>
      </c>
      <c r="AZ127" s="635" t="str">
        <f>IF($A127="","",VLOOKUP($A127,기본데이타!$A$8:$BV$103,COLUMN(기본데이타!BD$8),0))</f>
        <v/>
      </c>
      <c r="BA127" s="635" t="str">
        <f>IF($A127="","",VLOOKUP($A127,기본데이타!$A$8:$BV$103,COLUMN(기본데이타!BE$8),0))</f>
        <v/>
      </c>
      <c r="BB127" s="635" t="str">
        <f>IF($A127="","",VLOOKUP($A127,기본데이타!$A$8:$BV$103,COLUMN(기본데이타!BF$8),0))</f>
        <v/>
      </c>
      <c r="BC127" s="635" t="str">
        <f>IF($A127="","",VLOOKUP($A127,기본데이타!$A$8:$BV$103,COLUMN(기본데이타!BG$8),0))</f>
        <v/>
      </c>
      <c r="BD127" s="635" t="str">
        <f>IF($A127="","",VLOOKUP($A127,기본데이타!$A$8:$BV$103,COLUMN(기본데이타!BH$8),0))</f>
        <v/>
      </c>
      <c r="BE127" s="635" t="str">
        <f>IF($A127="","",VLOOKUP($A127,기본데이타!$A$8:$BV$103,COLUMN(기본데이타!BI$8),0))</f>
        <v/>
      </c>
      <c r="BF127" s="635" t="str">
        <f>IF($A127="","",VLOOKUP($A127,기본데이타!$A$8:$BV$103,COLUMN(기본데이타!BJ$8),0))</f>
        <v/>
      </c>
      <c r="BG127" s="635" t="str">
        <f>IF($A127="","",VLOOKUP($A127,기본데이타!$A$8:$BV$103,COLUMN(기본데이타!BK$8),0))</f>
        <v/>
      </c>
      <c r="BH127" s="635" t="str">
        <f>IF($A127="","",VLOOKUP($A127,기본데이타!$A$8:$BV$103,COLUMN(기본데이타!BL$8),0))</f>
        <v/>
      </c>
      <c r="BI127" s="635" t="str">
        <f>IF($A127="","",VLOOKUP($A127,기본데이타!$A$8:$BV$103,COLUMN(기본데이타!BM$8),0))</f>
        <v/>
      </c>
      <c r="BJ127" s="635" t="str">
        <f>IF($A127="","",VLOOKUP($A127,기본데이타!$A$8:$BV$103,COLUMN(기본데이타!BN$8),0))</f>
        <v/>
      </c>
      <c r="BK127" s="635" t="str">
        <f>IF($A127="","",VLOOKUP($A127,기본데이타!$A$8:$BV$103,COLUMN(기본데이타!BO$8),0))</f>
        <v/>
      </c>
      <c r="BL127" s="635" t="str">
        <f>IF($A127="","",VLOOKUP($A127,기본데이타!$A$8:$BV$103,COLUMN(기본데이타!BP$8),0))</f>
        <v/>
      </c>
      <c r="BM127" s="635" t="str">
        <f>IF($A127="","",VLOOKUP($A127,기본데이타!$A$8:$BV$103,COLUMN(기본데이타!BQ$8),0))</f>
        <v/>
      </c>
      <c r="BN127" s="638" t="str">
        <f>IF($A127="","",VLOOKUP($A127,기본데이타!$A$8:$BV$103,COLUMN(기본데이타!BR$8),0))</f>
        <v/>
      </c>
      <c r="BO127" s="579" t="str">
        <f>IF($A127="","",VLOOKUP($A127,기본데이타!$A$8:$BV$103,COLUMN(기본데이타!BS$8),0))</f>
        <v/>
      </c>
      <c r="BP127" s="639" t="str">
        <f>IF($A127="","",VLOOKUP($A127,기본데이타!$A$8:$BV$103,COLUMN(기본데이타!BT$8),0))</f>
        <v/>
      </c>
      <c r="BQ127" s="640" t="str">
        <f>IF($A127="","",VLOOKUP($A127,기본데이타!$A$8:$BV$103,COLUMN(기본데이타!BU$8),0))</f>
        <v/>
      </c>
      <c r="BR127" s="625" t="str">
        <f t="shared" si="21"/>
        <v/>
      </c>
    </row>
    <row r="128" spans="1:70" s="571" customFormat="1" ht="61.5" hidden="1" customHeight="1">
      <c r="A128" s="578"/>
      <c r="B128" s="1642"/>
      <c r="C128" s="590"/>
      <c r="D128" s="629" t="str">
        <f>IF($A128="","",VLOOKUP($A128,기본데이타!$A$8:$BV$103,COLUMN(기본데이타!F$8),0))</f>
        <v/>
      </c>
      <c r="E128" s="630" t="str">
        <f>IF($A128="","",VLOOKUP($A128,기본데이타!$A$8:$BV$103,COLUMN(기본데이타!G$8),0))</f>
        <v/>
      </c>
      <c r="F128" s="631" t="str">
        <f>IF($A128="","",VLOOKUP($A128,기본데이타!$A$8:$BV$103,COLUMN(기본데이타!H$8),0))</f>
        <v/>
      </c>
      <c r="G128" s="632" t="str">
        <f>IF($A128="","",VLOOKUP($A128,기본데이타!$A$8:$BV$103,COLUMN(기본데이타!I$8),0))</f>
        <v/>
      </c>
      <c r="H128" s="632" t="str">
        <f>IF($A128="","",VLOOKUP($A128,기본데이타!$A$8:$BV$103,COLUMN(기본데이타!J$8),0))</f>
        <v/>
      </c>
      <c r="I128" s="633" t="str">
        <f>IF($A128="","",VLOOKUP($A128,기본데이타!$A$8:$BV$103,COLUMN(기본데이타!K$8),0))</f>
        <v/>
      </c>
      <c r="J128" s="633" t="str">
        <f>IF($A128="","",VLOOKUP($A128,기본데이타!$A$8:$BV$103,COLUMN(기본데이타!L$8),0))</f>
        <v/>
      </c>
      <c r="K128" s="633" t="str">
        <f>IF($A128="","",VLOOKUP($A128,기본데이타!$A$8:$BV$103,COLUMN(기본데이타!M$8),0))</f>
        <v/>
      </c>
      <c r="L128" s="634" t="str">
        <f>IF($A128="","",VLOOKUP($A128,기본데이타!$A$8:$BV$103,COLUMN(기본데이타!N$8),0))</f>
        <v/>
      </c>
      <c r="M128" s="633" t="str">
        <f>IF($A128="","",VLOOKUP($A128,기본데이타!$A$8:$BV$103,COLUMN(기본데이타!O$8),0))</f>
        <v/>
      </c>
      <c r="N128" s="634" t="str">
        <f>IF($A128="","",VLOOKUP($A128,기본데이타!$A$8:$BV$103,COLUMN(기본데이타!P$8),0))</f>
        <v/>
      </c>
      <c r="O128" s="634" t="str">
        <f>IF($A128="","",VLOOKUP($A128,기본데이타!$A$8:$BV$103,COLUMN(기본데이타!Q$8),0))</f>
        <v/>
      </c>
      <c r="P128" s="634" t="str">
        <f>IF($A128="","",VLOOKUP($A128,기본데이타!$A$8:$BV$103,COLUMN(기본데이타!R$8),0))</f>
        <v/>
      </c>
      <c r="Q128" s="634" t="str">
        <f>IF($A128="","",VLOOKUP($A128,기본데이타!$A$8:$BV$103,COLUMN(기본데이타!S$8),0))</f>
        <v/>
      </c>
      <c r="R128" s="634" t="str">
        <f>IF($A128="","",VLOOKUP($A128,기본데이타!$A$8:$BV$103,COLUMN(기본데이타!T$8),0))</f>
        <v/>
      </c>
      <c r="S128" s="634" t="str">
        <f>IF($A128="","",VLOOKUP($A128,기본데이타!$A$8:$BV$103,COLUMN(기본데이타!U$8),0))</f>
        <v/>
      </c>
      <c r="T128" s="634" t="str">
        <f>IF($A128="","",VLOOKUP($A128,기본데이타!$A$8:$BV$103,COLUMN(기본데이타!V$8),0))</f>
        <v/>
      </c>
      <c r="U128" s="634" t="str">
        <f>IF($A128="","",VLOOKUP($A128,기본데이타!$A$8:$BV$103,COLUMN(기본데이타!W$8),0))</f>
        <v/>
      </c>
      <c r="V128" s="634" t="str">
        <f>IF($A128="","",VLOOKUP($A128,기본데이타!$A$8:$BV$103,COLUMN(기본데이타!X$8),0))</f>
        <v/>
      </c>
      <c r="W128" s="634" t="str">
        <f>IF($A128="","",VLOOKUP($A128,기본데이타!$A$8:$BV$103,COLUMN(기본데이타!AA$8),0))</f>
        <v/>
      </c>
      <c r="X128" s="634" t="str">
        <f>IF($A128="","",VLOOKUP($A128,기본데이타!$A$8:$BV$103,COLUMN(기본데이타!AB$8),0))</f>
        <v/>
      </c>
      <c r="Y128" s="633" t="str">
        <f>IF($A128="","",VLOOKUP($A128,기본데이타!$A$8:$BV$103,COLUMN(기본데이타!AC$8),0))</f>
        <v/>
      </c>
      <c r="Z128" s="634" t="str">
        <f>IF($A128="","",VLOOKUP($A128,기본데이타!$A$8:$BV$103,COLUMN(기본데이타!AD$8),0))</f>
        <v/>
      </c>
      <c r="AA128" s="633" t="str">
        <f>IF($A128="","",VLOOKUP($A128,기본데이타!$A$8:$BV$103,COLUMN(기본데이타!AE$8),0))</f>
        <v/>
      </c>
      <c r="AB128" s="634" t="str">
        <f>IF($A128="","",VLOOKUP($A128,기본데이타!$A$8:$BV$103,COLUMN(기본데이타!AF$8),0))</f>
        <v/>
      </c>
      <c r="AC128" s="633" t="str">
        <f>IF($A128="","",VLOOKUP($A128,기본데이타!$A$8:$BV$103,COLUMN(기본데이타!AG$8),0))</f>
        <v/>
      </c>
      <c r="AD128" s="634" t="str">
        <f>IF($A128="","",VLOOKUP($A128,기본데이타!$A$8:$BV$103,COLUMN(기본데이타!AH$8),0))</f>
        <v/>
      </c>
      <c r="AE128" s="633" t="str">
        <f>IF($A128="","",VLOOKUP($A128,기본데이타!$A$8:$BV$103,COLUMN(기본데이타!AI$8),0))</f>
        <v/>
      </c>
      <c r="AF128" s="635" t="str">
        <f>IF($A128="","",VLOOKUP($A128,기본데이타!$A$8:$BV$103,COLUMN(기본데이타!AJ$8),0))</f>
        <v/>
      </c>
      <c r="AG128" s="580" t="str">
        <f>IF($A128="","",VLOOKUP($A128,기본데이타!$A$8:$BV$103,COLUMN(기본데이타!AK$8),0))</f>
        <v/>
      </c>
      <c r="AH128" s="580" t="str">
        <f>IF($A128="","",VLOOKUP($A128,기본데이타!$A$8:$BV$103,COLUMN(기본데이타!AL$8),0))</f>
        <v/>
      </c>
      <c r="AI128" s="580" t="str">
        <f>IF($A128="","",VLOOKUP($A128,기본데이타!$A$8:$BV$103,COLUMN(기본데이타!AM$8),0))</f>
        <v/>
      </c>
      <c r="AJ128" s="636" t="str">
        <f>IF($A128="","",VLOOKUP($A128,기본데이타!$A$8:$BV$103,COLUMN(기본데이타!AN$8),0))</f>
        <v/>
      </c>
      <c r="AK128" s="636" t="str">
        <f>IF($A128="","",VLOOKUP($A128,기본데이타!$A$8:$BV$103,COLUMN(기본데이타!AO$8),0))</f>
        <v/>
      </c>
      <c r="AL128" s="636" t="str">
        <f>IF($A128="","",VLOOKUP($A128,기본데이타!$A$8:$BV$103,COLUMN(기본데이타!AP$8),0))</f>
        <v/>
      </c>
      <c r="AM128" s="636" t="str">
        <f>IF($A128="","",VLOOKUP($A128,기본데이타!$A$8:$BV$103,COLUMN(기본데이타!AQ$8),0))</f>
        <v/>
      </c>
      <c r="AN128" s="636" t="str">
        <f>IF($A128="","",VLOOKUP($A128,기본데이타!$A$8:$BV$103,COLUMN(기본데이타!AR$8),0))</f>
        <v/>
      </c>
      <c r="AO128" s="636" t="str">
        <f>IF($A128="","",VLOOKUP($A128,기본데이타!$A$8:$BV$103,COLUMN(기본데이타!AS$8),0))</f>
        <v/>
      </c>
      <c r="AP128" s="636" t="str">
        <f>IF($A128="","",VLOOKUP($A128,기본데이타!$A$8:$BV$103,COLUMN(기본데이타!AT$8),0))</f>
        <v/>
      </c>
      <c r="AQ128" s="636" t="str">
        <f>IF($A128="","",VLOOKUP($A128,기본데이타!$A$8:$BV$103,COLUMN(기본데이타!AU$8),0))</f>
        <v/>
      </c>
      <c r="AR128" s="637" t="str">
        <f>IF($A128="","",VLOOKUP($A128,기본데이타!$A$8:$BV$103,COLUMN(기본데이타!AV$8),0))</f>
        <v/>
      </c>
      <c r="AS128" s="634" t="str">
        <f>IF($A128="","",VLOOKUP($A128,기본데이타!$A$8:$BV$103,COLUMN(기본데이타!AW$8),0))</f>
        <v/>
      </c>
      <c r="AT128" s="634" t="str">
        <f>IF($A128="","",VLOOKUP($A128,기본데이타!$A$8:$BV$103,COLUMN(기본데이타!AX$8),0))</f>
        <v/>
      </c>
      <c r="AU128" s="634" t="str">
        <f>IF($A128="","",VLOOKUP($A128,기본데이타!$A$8:$BV$103,COLUMN(기본데이타!AY$8),0))</f>
        <v/>
      </c>
      <c r="AV128" s="634" t="str">
        <f t="shared" si="20"/>
        <v/>
      </c>
      <c r="AW128" s="635" t="str">
        <f>IF($A128="","",VLOOKUP($A128,기본데이타!$A$8:$BV$103,COLUMN(기본데이타!BA$8),0))</f>
        <v/>
      </c>
      <c r="AX128" s="635" t="str">
        <f>IF($A128="","",VLOOKUP($A128,기본데이타!$A$8:$BV$103,COLUMN(기본데이타!BB$8),0))</f>
        <v/>
      </c>
      <c r="AY128" s="635" t="str">
        <f>IF($A128="","",VLOOKUP($A128,기본데이타!$A$8:$BV$103,COLUMN(기본데이타!BC$8),0))</f>
        <v/>
      </c>
      <c r="AZ128" s="635" t="str">
        <f>IF($A128="","",VLOOKUP($A128,기본데이타!$A$8:$BV$103,COLUMN(기본데이타!BD$8),0))</f>
        <v/>
      </c>
      <c r="BA128" s="635" t="str">
        <f>IF($A128="","",VLOOKUP($A128,기본데이타!$A$8:$BV$103,COLUMN(기본데이타!BE$8),0))</f>
        <v/>
      </c>
      <c r="BB128" s="635" t="str">
        <f>IF($A128="","",VLOOKUP($A128,기본데이타!$A$8:$BV$103,COLUMN(기본데이타!BF$8),0))</f>
        <v/>
      </c>
      <c r="BC128" s="635" t="str">
        <f>IF($A128="","",VLOOKUP($A128,기본데이타!$A$8:$BV$103,COLUMN(기본데이타!BG$8),0))</f>
        <v/>
      </c>
      <c r="BD128" s="635" t="str">
        <f>IF($A128="","",VLOOKUP($A128,기본데이타!$A$8:$BV$103,COLUMN(기본데이타!BH$8),0))</f>
        <v/>
      </c>
      <c r="BE128" s="635" t="str">
        <f>IF($A128="","",VLOOKUP($A128,기본데이타!$A$8:$BV$103,COLUMN(기본데이타!BI$8),0))</f>
        <v/>
      </c>
      <c r="BF128" s="635" t="str">
        <f>IF($A128="","",VLOOKUP($A128,기본데이타!$A$8:$BV$103,COLUMN(기본데이타!BJ$8),0))</f>
        <v/>
      </c>
      <c r="BG128" s="635" t="str">
        <f>IF($A128="","",VLOOKUP($A128,기본데이타!$A$8:$BV$103,COLUMN(기본데이타!BK$8),0))</f>
        <v/>
      </c>
      <c r="BH128" s="635" t="str">
        <f>IF($A128="","",VLOOKUP($A128,기본데이타!$A$8:$BV$103,COLUMN(기본데이타!BL$8),0))</f>
        <v/>
      </c>
      <c r="BI128" s="635" t="str">
        <f>IF($A128="","",VLOOKUP($A128,기본데이타!$A$8:$BV$103,COLUMN(기본데이타!BM$8),0))</f>
        <v/>
      </c>
      <c r="BJ128" s="635" t="str">
        <f>IF($A128="","",VLOOKUP($A128,기본데이타!$A$8:$BV$103,COLUMN(기본데이타!BN$8),0))</f>
        <v/>
      </c>
      <c r="BK128" s="635" t="str">
        <f>IF($A128="","",VLOOKUP($A128,기본데이타!$A$8:$BV$103,COLUMN(기본데이타!BO$8),0))</f>
        <v/>
      </c>
      <c r="BL128" s="635" t="str">
        <f>IF($A128="","",VLOOKUP($A128,기본데이타!$A$8:$BV$103,COLUMN(기본데이타!BP$8),0))</f>
        <v/>
      </c>
      <c r="BM128" s="635" t="str">
        <f>IF($A128="","",VLOOKUP($A128,기본데이타!$A$8:$BV$103,COLUMN(기본데이타!BQ$8),0))</f>
        <v/>
      </c>
      <c r="BN128" s="638" t="str">
        <f>IF($A128="","",VLOOKUP($A128,기본데이타!$A$8:$BV$103,COLUMN(기본데이타!BR$8),0))</f>
        <v/>
      </c>
      <c r="BO128" s="579" t="str">
        <f>IF($A128="","",VLOOKUP($A128,기본데이타!$A$8:$BV$103,COLUMN(기본데이타!BS$8),0))</f>
        <v/>
      </c>
      <c r="BP128" s="639" t="str">
        <f>IF($A128="","",VLOOKUP($A128,기본데이타!$A$8:$BV$103,COLUMN(기본데이타!BT$8),0))</f>
        <v/>
      </c>
      <c r="BQ128" s="640" t="str">
        <f>IF($A128="","",VLOOKUP($A128,기본데이타!$A$8:$BV$103,COLUMN(기본데이타!BU$8),0))</f>
        <v/>
      </c>
      <c r="BR128" s="625" t="str">
        <f t="shared" si="21"/>
        <v/>
      </c>
    </row>
    <row r="129" spans="1:70" s="571" customFormat="1" ht="61.5" hidden="1" customHeight="1">
      <c r="A129" s="578"/>
      <c r="B129" s="1642"/>
      <c r="C129" s="590"/>
      <c r="D129" s="629" t="str">
        <f>IF($A129="","",VLOOKUP($A129,기본데이타!$A$8:$BV$103,COLUMN(기본데이타!F$8),0))</f>
        <v/>
      </c>
      <c r="E129" s="630" t="str">
        <f>IF($A129="","",VLOOKUP($A129,기본데이타!$A$8:$BV$103,COLUMN(기본데이타!G$8),0))</f>
        <v/>
      </c>
      <c r="F129" s="631" t="str">
        <f>IF($A129="","",VLOOKUP($A129,기본데이타!$A$8:$BV$103,COLUMN(기본데이타!H$8),0))</f>
        <v/>
      </c>
      <c r="G129" s="632" t="str">
        <f>IF($A129="","",VLOOKUP($A129,기본데이타!$A$8:$BV$103,COLUMN(기본데이타!I$8),0))</f>
        <v/>
      </c>
      <c r="H129" s="632" t="str">
        <f>IF($A129="","",VLOOKUP($A129,기본데이타!$A$8:$BV$103,COLUMN(기본데이타!J$8),0))</f>
        <v/>
      </c>
      <c r="I129" s="633" t="str">
        <f>IF($A129="","",VLOOKUP($A129,기본데이타!$A$8:$BV$103,COLUMN(기본데이타!K$8),0))</f>
        <v/>
      </c>
      <c r="J129" s="633" t="str">
        <f>IF($A129="","",VLOOKUP($A129,기본데이타!$A$8:$BV$103,COLUMN(기본데이타!L$8),0))</f>
        <v/>
      </c>
      <c r="K129" s="633" t="str">
        <f>IF($A129="","",VLOOKUP($A129,기본데이타!$A$8:$BV$103,COLUMN(기본데이타!M$8),0))</f>
        <v/>
      </c>
      <c r="L129" s="634" t="str">
        <f>IF($A129="","",VLOOKUP($A129,기본데이타!$A$8:$BV$103,COLUMN(기본데이타!N$8),0))</f>
        <v/>
      </c>
      <c r="M129" s="633" t="str">
        <f>IF($A129="","",VLOOKUP($A129,기본데이타!$A$8:$BV$103,COLUMN(기본데이타!O$8),0))</f>
        <v/>
      </c>
      <c r="N129" s="634" t="str">
        <f>IF($A129="","",VLOOKUP($A129,기본데이타!$A$8:$BV$103,COLUMN(기본데이타!P$8),0))</f>
        <v/>
      </c>
      <c r="O129" s="634" t="str">
        <f>IF($A129="","",VLOOKUP($A129,기본데이타!$A$8:$BV$103,COLUMN(기본데이타!Q$8),0))</f>
        <v/>
      </c>
      <c r="P129" s="634" t="str">
        <f>IF($A129="","",VLOOKUP($A129,기본데이타!$A$8:$BV$103,COLUMN(기본데이타!R$8),0))</f>
        <v/>
      </c>
      <c r="Q129" s="634" t="str">
        <f>IF($A129="","",VLOOKUP($A129,기본데이타!$A$8:$BV$103,COLUMN(기본데이타!S$8),0))</f>
        <v/>
      </c>
      <c r="R129" s="634" t="str">
        <f>IF($A129="","",VLOOKUP($A129,기본데이타!$A$8:$BV$103,COLUMN(기본데이타!T$8),0))</f>
        <v/>
      </c>
      <c r="S129" s="634" t="str">
        <f>IF($A129="","",VLOOKUP($A129,기본데이타!$A$8:$BV$103,COLUMN(기본데이타!U$8),0))</f>
        <v/>
      </c>
      <c r="T129" s="634" t="str">
        <f>IF($A129="","",VLOOKUP($A129,기본데이타!$A$8:$BV$103,COLUMN(기본데이타!V$8),0))</f>
        <v/>
      </c>
      <c r="U129" s="634" t="str">
        <f>IF($A129="","",VLOOKUP($A129,기본데이타!$A$8:$BV$103,COLUMN(기본데이타!W$8),0))</f>
        <v/>
      </c>
      <c r="V129" s="634" t="str">
        <f>IF($A129="","",VLOOKUP($A129,기본데이타!$A$8:$BV$103,COLUMN(기본데이타!X$8),0))</f>
        <v/>
      </c>
      <c r="W129" s="634" t="str">
        <f>IF($A129="","",VLOOKUP($A129,기본데이타!$A$8:$BV$103,COLUMN(기본데이타!AA$8),0))</f>
        <v/>
      </c>
      <c r="X129" s="634" t="str">
        <f>IF($A129="","",VLOOKUP($A129,기본데이타!$A$8:$BV$103,COLUMN(기본데이타!AB$8),0))</f>
        <v/>
      </c>
      <c r="Y129" s="633" t="str">
        <f>IF($A129="","",VLOOKUP($A129,기본데이타!$A$8:$BV$103,COLUMN(기본데이타!AC$8),0))</f>
        <v/>
      </c>
      <c r="Z129" s="634" t="str">
        <f>IF($A129="","",VLOOKUP($A129,기본데이타!$A$8:$BV$103,COLUMN(기본데이타!AD$8),0))</f>
        <v/>
      </c>
      <c r="AA129" s="633" t="str">
        <f>IF($A129="","",VLOOKUP($A129,기본데이타!$A$8:$BV$103,COLUMN(기본데이타!AE$8),0))</f>
        <v/>
      </c>
      <c r="AB129" s="634" t="str">
        <f>IF($A129="","",VLOOKUP($A129,기본데이타!$A$8:$BV$103,COLUMN(기본데이타!AF$8),0))</f>
        <v/>
      </c>
      <c r="AC129" s="633" t="str">
        <f>IF($A129="","",VLOOKUP($A129,기본데이타!$A$8:$BV$103,COLUMN(기본데이타!AG$8),0))</f>
        <v/>
      </c>
      <c r="AD129" s="634" t="str">
        <f>IF($A129="","",VLOOKUP($A129,기본데이타!$A$8:$BV$103,COLUMN(기본데이타!AH$8),0))</f>
        <v/>
      </c>
      <c r="AE129" s="633" t="str">
        <f>IF($A129="","",VLOOKUP($A129,기본데이타!$A$8:$BV$103,COLUMN(기본데이타!AI$8),0))</f>
        <v/>
      </c>
      <c r="AF129" s="635" t="str">
        <f>IF($A129="","",VLOOKUP($A129,기본데이타!$A$8:$BV$103,COLUMN(기본데이타!AJ$8),0))</f>
        <v/>
      </c>
      <c r="AG129" s="580" t="str">
        <f>IF($A129="","",VLOOKUP($A129,기본데이타!$A$8:$BV$103,COLUMN(기본데이타!AK$8),0))</f>
        <v/>
      </c>
      <c r="AH129" s="580" t="str">
        <f>IF($A129="","",VLOOKUP($A129,기본데이타!$A$8:$BV$103,COLUMN(기본데이타!AL$8),0))</f>
        <v/>
      </c>
      <c r="AI129" s="580" t="str">
        <f>IF($A129="","",VLOOKUP($A129,기본데이타!$A$8:$BV$103,COLUMN(기본데이타!AM$8),0))</f>
        <v/>
      </c>
      <c r="AJ129" s="636" t="str">
        <f>IF($A129="","",VLOOKUP($A129,기본데이타!$A$8:$BV$103,COLUMN(기본데이타!AN$8),0))</f>
        <v/>
      </c>
      <c r="AK129" s="636" t="str">
        <f>IF($A129="","",VLOOKUP($A129,기본데이타!$A$8:$BV$103,COLUMN(기본데이타!AO$8),0))</f>
        <v/>
      </c>
      <c r="AL129" s="636" t="str">
        <f>IF($A129="","",VLOOKUP($A129,기본데이타!$A$8:$BV$103,COLUMN(기본데이타!AP$8),0))</f>
        <v/>
      </c>
      <c r="AM129" s="636" t="str">
        <f>IF($A129="","",VLOOKUP($A129,기본데이타!$A$8:$BV$103,COLUMN(기본데이타!AQ$8),0))</f>
        <v/>
      </c>
      <c r="AN129" s="636" t="str">
        <f>IF($A129="","",VLOOKUP($A129,기본데이타!$A$8:$BV$103,COLUMN(기본데이타!AR$8),0))</f>
        <v/>
      </c>
      <c r="AO129" s="636" t="str">
        <f>IF($A129="","",VLOOKUP($A129,기본데이타!$A$8:$BV$103,COLUMN(기본데이타!AS$8),0))</f>
        <v/>
      </c>
      <c r="AP129" s="636" t="str">
        <f>IF($A129="","",VLOOKUP($A129,기본데이타!$A$8:$BV$103,COLUMN(기본데이타!AT$8),0))</f>
        <v/>
      </c>
      <c r="AQ129" s="636" t="str">
        <f>IF($A129="","",VLOOKUP($A129,기본데이타!$A$8:$BV$103,COLUMN(기본데이타!AU$8),0))</f>
        <v/>
      </c>
      <c r="AR129" s="637" t="str">
        <f>IF($A129="","",VLOOKUP($A129,기본데이타!$A$8:$BV$103,COLUMN(기본데이타!AV$8),0))</f>
        <v/>
      </c>
      <c r="AS129" s="634" t="str">
        <f>IF($A129="","",VLOOKUP($A129,기본데이타!$A$8:$BV$103,COLUMN(기본데이타!AW$8),0))</f>
        <v/>
      </c>
      <c r="AT129" s="634" t="str">
        <f>IF($A129="","",VLOOKUP($A129,기본데이타!$A$8:$BV$103,COLUMN(기본데이타!AX$8),0))</f>
        <v/>
      </c>
      <c r="AU129" s="634" t="str">
        <f>IF($A129="","",VLOOKUP($A129,기본데이타!$A$8:$BV$103,COLUMN(기본데이타!AY$8),0))</f>
        <v/>
      </c>
      <c r="AV129" s="634" t="str">
        <f t="shared" si="20"/>
        <v/>
      </c>
      <c r="AW129" s="635" t="str">
        <f>IF($A129="","",VLOOKUP($A129,기본데이타!$A$8:$BV$103,COLUMN(기본데이타!BA$8),0))</f>
        <v/>
      </c>
      <c r="AX129" s="635" t="str">
        <f>IF($A129="","",VLOOKUP($A129,기본데이타!$A$8:$BV$103,COLUMN(기본데이타!BB$8),0))</f>
        <v/>
      </c>
      <c r="AY129" s="635" t="str">
        <f>IF($A129="","",VLOOKUP($A129,기본데이타!$A$8:$BV$103,COLUMN(기본데이타!BC$8),0))</f>
        <v/>
      </c>
      <c r="AZ129" s="635" t="str">
        <f>IF($A129="","",VLOOKUP($A129,기본데이타!$A$8:$BV$103,COLUMN(기본데이타!BD$8),0))</f>
        <v/>
      </c>
      <c r="BA129" s="635" t="str">
        <f>IF($A129="","",VLOOKUP($A129,기본데이타!$A$8:$BV$103,COLUMN(기본데이타!BE$8),0))</f>
        <v/>
      </c>
      <c r="BB129" s="635" t="str">
        <f>IF($A129="","",VLOOKUP($A129,기본데이타!$A$8:$BV$103,COLUMN(기본데이타!BF$8),0))</f>
        <v/>
      </c>
      <c r="BC129" s="635" t="str">
        <f>IF($A129="","",VLOOKUP($A129,기본데이타!$A$8:$BV$103,COLUMN(기본데이타!BG$8),0))</f>
        <v/>
      </c>
      <c r="BD129" s="635" t="str">
        <f>IF($A129="","",VLOOKUP($A129,기본데이타!$A$8:$BV$103,COLUMN(기본데이타!BH$8),0))</f>
        <v/>
      </c>
      <c r="BE129" s="635" t="str">
        <f>IF($A129="","",VLOOKUP($A129,기본데이타!$A$8:$BV$103,COLUMN(기본데이타!BI$8),0))</f>
        <v/>
      </c>
      <c r="BF129" s="635" t="str">
        <f>IF($A129="","",VLOOKUP($A129,기본데이타!$A$8:$BV$103,COLUMN(기본데이타!BJ$8),0))</f>
        <v/>
      </c>
      <c r="BG129" s="635" t="str">
        <f>IF($A129="","",VLOOKUP($A129,기본데이타!$A$8:$BV$103,COLUMN(기본데이타!BK$8),0))</f>
        <v/>
      </c>
      <c r="BH129" s="635" t="str">
        <f>IF($A129="","",VLOOKUP($A129,기본데이타!$A$8:$BV$103,COLUMN(기본데이타!BL$8),0))</f>
        <v/>
      </c>
      <c r="BI129" s="635" t="str">
        <f>IF($A129="","",VLOOKUP($A129,기본데이타!$A$8:$BV$103,COLUMN(기본데이타!BM$8),0))</f>
        <v/>
      </c>
      <c r="BJ129" s="635" t="str">
        <f>IF($A129="","",VLOOKUP($A129,기본데이타!$A$8:$BV$103,COLUMN(기본데이타!BN$8),0))</f>
        <v/>
      </c>
      <c r="BK129" s="635" t="str">
        <f>IF($A129="","",VLOOKUP($A129,기본데이타!$A$8:$BV$103,COLUMN(기본데이타!BO$8),0))</f>
        <v/>
      </c>
      <c r="BL129" s="635" t="str">
        <f>IF($A129="","",VLOOKUP($A129,기본데이타!$A$8:$BV$103,COLUMN(기본데이타!BP$8),0))</f>
        <v/>
      </c>
      <c r="BM129" s="635" t="str">
        <f>IF($A129="","",VLOOKUP($A129,기본데이타!$A$8:$BV$103,COLUMN(기본데이타!BQ$8),0))</f>
        <v/>
      </c>
      <c r="BN129" s="638" t="str">
        <f>IF($A129="","",VLOOKUP($A129,기본데이타!$A$8:$BV$103,COLUMN(기본데이타!BR$8),0))</f>
        <v/>
      </c>
      <c r="BO129" s="579" t="str">
        <f>IF($A129="","",VLOOKUP($A129,기본데이타!$A$8:$BV$103,COLUMN(기본데이타!BS$8),0))</f>
        <v/>
      </c>
      <c r="BP129" s="639" t="str">
        <f>IF($A129="","",VLOOKUP($A129,기본데이타!$A$8:$BV$103,COLUMN(기본데이타!BT$8),0))</f>
        <v/>
      </c>
      <c r="BQ129" s="640" t="str">
        <f>IF($A129="","",VLOOKUP($A129,기본데이타!$A$8:$BV$103,COLUMN(기본데이타!BU$8),0))</f>
        <v/>
      </c>
      <c r="BR129" s="625" t="str">
        <f t="shared" si="21"/>
        <v/>
      </c>
    </row>
    <row r="130" spans="1:70" s="571" customFormat="1" ht="61.5" hidden="1" customHeight="1">
      <c r="A130" s="578"/>
      <c r="B130" s="1642"/>
      <c r="C130" s="590"/>
      <c r="D130" s="591" t="str">
        <f>IF($A130="","",VLOOKUP($A130,기본데이타!$A$8:$BV$103,COLUMN(기본데이타!F$8),0))</f>
        <v/>
      </c>
      <c r="E130" s="592" t="str">
        <f>IF($A130="","",VLOOKUP($A130,기본데이타!$A$8:$BV$103,COLUMN(기본데이타!G$8),0))</f>
        <v/>
      </c>
      <c r="F130" s="593" t="str">
        <f>IF($A130="","",VLOOKUP($A130,기본데이타!$A$8:$BV$103,COLUMN(기본데이타!H$8),0))</f>
        <v/>
      </c>
      <c r="G130" s="594" t="str">
        <f>IF($A130="","",VLOOKUP($A130,기본데이타!$A$8:$BV$103,COLUMN(기본데이타!I$8),0))</f>
        <v/>
      </c>
      <c r="H130" s="594" t="str">
        <f>IF($A130="","",VLOOKUP($A130,기본데이타!$A$8:$BV$103,COLUMN(기본데이타!J$8),0))</f>
        <v/>
      </c>
      <c r="I130" s="595" t="str">
        <f>IF($A130="","",VLOOKUP($A130,기본데이타!$A$8:$BV$103,COLUMN(기본데이타!K$8),0))</f>
        <v/>
      </c>
      <c r="J130" s="595" t="str">
        <f>IF($A130="","",VLOOKUP($A130,기본데이타!$A$8:$BV$103,COLUMN(기본데이타!L$8),0))</f>
        <v/>
      </c>
      <c r="K130" s="595" t="str">
        <f>IF($A130="","",VLOOKUP($A130,기본데이타!$A$8:$BV$103,COLUMN(기본데이타!M$8),0))</f>
        <v/>
      </c>
      <c r="L130" s="596" t="str">
        <f>IF($A130="","",VLOOKUP($A130,기본데이타!$A$8:$BV$103,COLUMN(기본데이타!N$8),0))</f>
        <v/>
      </c>
      <c r="M130" s="595" t="str">
        <f>IF($A130="","",VLOOKUP($A130,기본데이타!$A$8:$BV$103,COLUMN(기본데이타!O$8),0))</f>
        <v/>
      </c>
      <c r="N130" s="596" t="str">
        <f>IF($A130="","",VLOOKUP($A130,기본데이타!$A$8:$BV$103,COLUMN(기본데이타!P$8),0))</f>
        <v/>
      </c>
      <c r="O130" s="596" t="str">
        <f>IF($A130="","",VLOOKUP($A130,기본데이타!$A$8:$BV$103,COLUMN(기본데이타!Q$8),0))</f>
        <v/>
      </c>
      <c r="P130" s="596" t="str">
        <f>IF($A130="","",VLOOKUP($A130,기본데이타!$A$8:$BV$103,COLUMN(기본데이타!R$8),0))</f>
        <v/>
      </c>
      <c r="Q130" s="596" t="str">
        <f>IF($A130="","",VLOOKUP($A130,기본데이타!$A$8:$BV$103,COLUMN(기본데이타!S$8),0))</f>
        <v/>
      </c>
      <c r="R130" s="596" t="str">
        <f>IF($A130="","",VLOOKUP($A130,기본데이타!$A$8:$BV$103,COLUMN(기본데이타!T$8),0))</f>
        <v/>
      </c>
      <c r="S130" s="596" t="str">
        <f>IF($A130="","",VLOOKUP($A130,기본데이타!$A$8:$BV$103,COLUMN(기본데이타!U$8),0))</f>
        <v/>
      </c>
      <c r="T130" s="596" t="str">
        <f>IF($A130="","",VLOOKUP($A130,기본데이타!$A$8:$BV$103,COLUMN(기본데이타!V$8),0))</f>
        <v/>
      </c>
      <c r="U130" s="596" t="str">
        <f>IF($A130="","",VLOOKUP($A130,기본데이타!$A$8:$BV$103,COLUMN(기본데이타!W$8),0))</f>
        <v/>
      </c>
      <c r="V130" s="596" t="str">
        <f>IF($A130="","",VLOOKUP($A130,기본데이타!$A$8:$BV$103,COLUMN(기본데이타!X$8),0))</f>
        <v/>
      </c>
      <c r="W130" s="596" t="str">
        <f>IF($A130="","",VLOOKUP($A130,기본데이타!$A$8:$BV$103,COLUMN(기본데이타!AA$8),0))</f>
        <v/>
      </c>
      <c r="X130" s="596" t="str">
        <f>IF($A130="","",VLOOKUP($A130,기본데이타!$A$8:$BV$103,COLUMN(기본데이타!AB$8),0))</f>
        <v/>
      </c>
      <c r="Y130" s="595" t="str">
        <f>IF($A130="","",VLOOKUP($A130,기본데이타!$A$8:$BV$103,COLUMN(기본데이타!AC$8),0))</f>
        <v/>
      </c>
      <c r="Z130" s="596" t="str">
        <f>IF($A130="","",VLOOKUP($A130,기본데이타!$A$8:$BV$103,COLUMN(기본데이타!AD$8),0))</f>
        <v/>
      </c>
      <c r="AA130" s="595" t="str">
        <f>IF($A130="","",VLOOKUP($A130,기본데이타!$A$8:$BV$103,COLUMN(기본데이타!AE$8),0))</f>
        <v/>
      </c>
      <c r="AB130" s="596" t="str">
        <f>IF($A130="","",VLOOKUP($A130,기본데이타!$A$8:$BV$103,COLUMN(기본데이타!AF$8),0))</f>
        <v/>
      </c>
      <c r="AC130" s="595" t="str">
        <f>IF($A130="","",VLOOKUP($A130,기본데이타!$A$8:$BV$103,COLUMN(기본데이타!AG$8),0))</f>
        <v/>
      </c>
      <c r="AD130" s="596" t="str">
        <f>IF($A130="","",VLOOKUP($A130,기본데이타!$A$8:$BV$103,COLUMN(기본데이타!AH$8),0))</f>
        <v/>
      </c>
      <c r="AE130" s="595" t="str">
        <f>IF($A130="","",VLOOKUP($A130,기본데이타!$A$8:$BV$103,COLUMN(기본데이타!AI$8),0))</f>
        <v/>
      </c>
      <c r="AF130" s="597" t="str">
        <f>IF($A130="","",VLOOKUP($A130,기본데이타!$A$8:$BV$103,COLUMN(기본데이타!AJ$8),0))</f>
        <v/>
      </c>
      <c r="AG130" s="580" t="str">
        <f>IF($A130="","",VLOOKUP($A130,기본데이타!$A$8:$BV$103,COLUMN(기본데이타!AK$8),0))</f>
        <v/>
      </c>
      <c r="AH130" s="580" t="str">
        <f>IF($A130="","",VLOOKUP($A130,기본데이타!$A$8:$BV$103,COLUMN(기본데이타!AL$8),0))</f>
        <v/>
      </c>
      <c r="AI130" s="580" t="str">
        <f>IF($A130="","",VLOOKUP($A130,기본데이타!$A$8:$BV$103,COLUMN(기본데이타!AM$8),0))</f>
        <v/>
      </c>
      <c r="AJ130" s="642" t="str">
        <f>IF($A130="","",VLOOKUP($A130,기본데이타!$A$8:$BV$103,COLUMN(기본데이타!AN$8),0))</f>
        <v/>
      </c>
      <c r="AK130" s="642" t="str">
        <f>IF($A130="","",VLOOKUP($A130,기본데이타!$A$8:$BV$103,COLUMN(기본데이타!AO$8),0))</f>
        <v/>
      </c>
      <c r="AL130" s="642" t="str">
        <f>IF($A130="","",VLOOKUP($A130,기본데이타!$A$8:$BV$103,COLUMN(기본데이타!AP$8),0))</f>
        <v/>
      </c>
      <c r="AM130" s="642" t="str">
        <f>IF($A130="","",VLOOKUP($A130,기본데이타!$A$8:$BV$103,COLUMN(기본데이타!AQ$8),0))</f>
        <v/>
      </c>
      <c r="AN130" s="642" t="str">
        <f>IF($A130="","",VLOOKUP($A130,기본데이타!$A$8:$BV$103,COLUMN(기본데이타!AR$8),0))</f>
        <v/>
      </c>
      <c r="AO130" s="642" t="str">
        <f>IF($A130="","",VLOOKUP($A130,기본데이타!$A$8:$BV$103,COLUMN(기본데이타!AS$8),0))</f>
        <v/>
      </c>
      <c r="AP130" s="642" t="str">
        <f>IF($A130="","",VLOOKUP($A130,기본데이타!$A$8:$BV$103,COLUMN(기본데이타!AT$8),0))</f>
        <v/>
      </c>
      <c r="AQ130" s="642" t="str">
        <f>IF($A130="","",VLOOKUP($A130,기본데이타!$A$8:$BV$103,COLUMN(기본데이타!AU$8),0))</f>
        <v/>
      </c>
      <c r="AR130" s="643" t="str">
        <f>IF($A130="","",VLOOKUP($A130,기본데이타!$A$8:$BV$103,COLUMN(기본데이타!AV$8),0))</f>
        <v/>
      </c>
      <c r="AS130" s="596" t="str">
        <f>IF($A130="","",VLOOKUP($A130,기본데이타!$A$8:$BV$103,COLUMN(기본데이타!AW$8),0))</f>
        <v/>
      </c>
      <c r="AT130" s="596" t="str">
        <f>IF($A130="","",VLOOKUP($A130,기본데이타!$A$8:$BV$103,COLUMN(기본데이타!AX$8),0))</f>
        <v/>
      </c>
      <c r="AU130" s="596" t="str">
        <f>IF($A130="","",VLOOKUP($A130,기본데이타!$A$8:$BV$103,COLUMN(기본데이타!AY$8),0))</f>
        <v/>
      </c>
      <c r="AV130" s="596" t="str">
        <f t="shared" si="20"/>
        <v/>
      </c>
      <c r="AW130" s="597" t="str">
        <f>IF($A130="","",VLOOKUP($A130,기본데이타!$A$8:$BV$103,COLUMN(기본데이타!BA$8),0))</f>
        <v/>
      </c>
      <c r="AX130" s="597" t="str">
        <f>IF($A130="","",VLOOKUP($A130,기본데이타!$A$8:$BV$103,COLUMN(기본데이타!BB$8),0))</f>
        <v/>
      </c>
      <c r="AY130" s="597" t="str">
        <f>IF($A130="","",VLOOKUP($A130,기본데이타!$A$8:$BV$103,COLUMN(기본데이타!BC$8),0))</f>
        <v/>
      </c>
      <c r="AZ130" s="597" t="str">
        <f>IF($A130="","",VLOOKUP($A130,기본데이타!$A$8:$BV$103,COLUMN(기본데이타!BD$8),0))</f>
        <v/>
      </c>
      <c r="BA130" s="597" t="str">
        <f>IF($A130="","",VLOOKUP($A130,기본데이타!$A$8:$BV$103,COLUMN(기본데이타!BE$8),0))</f>
        <v/>
      </c>
      <c r="BB130" s="597" t="str">
        <f>IF($A130="","",VLOOKUP($A130,기본데이타!$A$8:$BV$103,COLUMN(기본데이타!BF$8),0))</f>
        <v/>
      </c>
      <c r="BC130" s="597" t="str">
        <f>IF($A130="","",VLOOKUP($A130,기본데이타!$A$8:$BV$103,COLUMN(기본데이타!BG$8),0))</f>
        <v/>
      </c>
      <c r="BD130" s="597" t="str">
        <f>IF($A130="","",VLOOKUP($A130,기본데이타!$A$8:$BV$103,COLUMN(기본데이타!BH$8),0))</f>
        <v/>
      </c>
      <c r="BE130" s="597" t="str">
        <f>IF($A130="","",VLOOKUP($A130,기본데이타!$A$8:$BV$103,COLUMN(기본데이타!BI$8),0))</f>
        <v/>
      </c>
      <c r="BF130" s="597" t="str">
        <f>IF($A130="","",VLOOKUP($A130,기본데이타!$A$8:$BV$103,COLUMN(기본데이타!BJ$8),0))</f>
        <v/>
      </c>
      <c r="BG130" s="597" t="str">
        <f>IF($A130="","",VLOOKUP($A130,기본데이타!$A$8:$BV$103,COLUMN(기본데이타!BK$8),0))</f>
        <v/>
      </c>
      <c r="BH130" s="597" t="str">
        <f>IF($A130="","",VLOOKUP($A130,기본데이타!$A$8:$BV$103,COLUMN(기본데이타!BL$8),0))</f>
        <v/>
      </c>
      <c r="BI130" s="597" t="str">
        <f>IF($A130="","",VLOOKUP($A130,기본데이타!$A$8:$BV$103,COLUMN(기본데이타!BM$8),0))</f>
        <v/>
      </c>
      <c r="BJ130" s="597" t="str">
        <f>IF($A130="","",VLOOKUP($A130,기본데이타!$A$8:$BV$103,COLUMN(기본데이타!BN$8),0))</f>
        <v/>
      </c>
      <c r="BK130" s="597" t="str">
        <f>IF($A130="","",VLOOKUP($A130,기본데이타!$A$8:$BV$103,COLUMN(기본데이타!BO$8),0))</f>
        <v/>
      </c>
      <c r="BL130" s="597" t="str">
        <f>IF($A130="","",VLOOKUP($A130,기본데이타!$A$8:$BV$103,COLUMN(기본데이타!BP$8),0))</f>
        <v/>
      </c>
      <c r="BM130" s="597" t="str">
        <f>IF($A130="","",VLOOKUP($A130,기본데이타!$A$8:$BV$103,COLUMN(기본데이타!BQ$8),0))</f>
        <v/>
      </c>
      <c r="BN130" s="599" t="str">
        <f>IF($A130="","",VLOOKUP($A130,기본데이타!$A$8:$BV$103,COLUMN(기본데이타!BR$8),0))</f>
        <v/>
      </c>
      <c r="BO130" s="600" t="str">
        <f>IF($A130="","",VLOOKUP($A130,기본데이타!$A$8:$BV$103,COLUMN(기본데이타!BS$8),0))</f>
        <v/>
      </c>
      <c r="BP130" s="623" t="str">
        <f>IF($A130="","",VLOOKUP($A130,기본데이타!$A$8:$BV$103,COLUMN(기본데이타!BT$8),0))</f>
        <v/>
      </c>
      <c r="BQ130" s="602" t="str">
        <f>IF($A130="","",VLOOKUP($A130,기본데이타!$A$8:$BV$103,COLUMN(기본데이타!BU$8),0))</f>
        <v/>
      </c>
      <c r="BR130" s="603" t="str">
        <f t="shared" si="21"/>
        <v/>
      </c>
    </row>
    <row r="131" spans="1:70" s="571" customFormat="1" ht="61.5" hidden="1" customHeight="1">
      <c r="A131" s="578"/>
      <c r="B131" s="1642"/>
      <c r="C131" s="590"/>
      <c r="D131" s="629" t="str">
        <f>IF($A131="","",VLOOKUP($A131,기본데이타!$A$8:$BV$103,COLUMN(기본데이타!F$8),0))</f>
        <v/>
      </c>
      <c r="E131" s="630" t="str">
        <f>IF($A131="","",VLOOKUP($A131,기본데이타!$A$8:$BV$103,COLUMN(기본데이타!G$8),0))</f>
        <v/>
      </c>
      <c r="F131" s="631" t="str">
        <f>IF($A131="","",VLOOKUP($A131,기본데이타!$A$8:$BV$103,COLUMN(기본데이타!H$8),0))</f>
        <v/>
      </c>
      <c r="G131" s="632" t="str">
        <f>IF($A131="","",VLOOKUP($A131,기본데이타!$A$8:$BV$103,COLUMN(기본데이타!I$8),0))</f>
        <v/>
      </c>
      <c r="H131" s="632" t="str">
        <f>IF($A131="","",VLOOKUP($A131,기본데이타!$A$8:$BV$103,COLUMN(기본데이타!J$8),0))</f>
        <v/>
      </c>
      <c r="I131" s="633" t="str">
        <f>IF($A131="","",VLOOKUP($A131,기본데이타!$A$8:$BV$103,COLUMN(기본데이타!K$8),0))</f>
        <v/>
      </c>
      <c r="J131" s="633" t="str">
        <f>IF($A131="","",VLOOKUP($A131,기본데이타!$A$8:$BV$103,COLUMN(기본데이타!L$8),0))</f>
        <v/>
      </c>
      <c r="K131" s="633" t="str">
        <f>IF($A131="","",VLOOKUP($A131,기본데이타!$A$8:$BV$103,COLUMN(기본데이타!M$8),0))</f>
        <v/>
      </c>
      <c r="L131" s="634" t="str">
        <f>IF($A131="","",VLOOKUP($A131,기본데이타!$A$8:$BV$103,COLUMN(기본데이타!N$8),0))</f>
        <v/>
      </c>
      <c r="M131" s="633" t="str">
        <f>IF($A131="","",VLOOKUP($A131,기본데이타!$A$8:$BV$103,COLUMN(기본데이타!O$8),0))</f>
        <v/>
      </c>
      <c r="N131" s="634" t="str">
        <f>IF($A131="","",VLOOKUP($A131,기본데이타!$A$8:$BV$103,COLUMN(기본데이타!P$8),0))</f>
        <v/>
      </c>
      <c r="O131" s="634" t="str">
        <f>IF($A131="","",VLOOKUP($A131,기본데이타!$A$8:$BV$103,COLUMN(기본데이타!Q$8),0))</f>
        <v/>
      </c>
      <c r="P131" s="634" t="str">
        <f>IF($A131="","",VLOOKUP($A131,기본데이타!$A$8:$BV$103,COLUMN(기본데이타!R$8),0))</f>
        <v/>
      </c>
      <c r="Q131" s="634" t="str">
        <f>IF($A131="","",VLOOKUP($A131,기본데이타!$A$8:$BV$103,COLUMN(기본데이타!S$8),0))</f>
        <v/>
      </c>
      <c r="R131" s="634" t="str">
        <f>IF($A131="","",VLOOKUP($A131,기본데이타!$A$8:$BV$103,COLUMN(기본데이타!T$8),0))</f>
        <v/>
      </c>
      <c r="S131" s="634" t="str">
        <f>IF($A131="","",VLOOKUP($A131,기본데이타!$A$8:$BV$103,COLUMN(기본데이타!U$8),0))</f>
        <v/>
      </c>
      <c r="T131" s="634" t="str">
        <f>IF($A131="","",VLOOKUP($A131,기본데이타!$A$8:$BV$103,COLUMN(기본데이타!V$8),0))</f>
        <v/>
      </c>
      <c r="U131" s="634" t="str">
        <f>IF($A131="","",VLOOKUP($A131,기본데이타!$A$8:$BV$103,COLUMN(기본데이타!W$8),0))</f>
        <v/>
      </c>
      <c r="V131" s="634" t="str">
        <f>IF($A131="","",VLOOKUP($A131,기본데이타!$A$8:$BV$103,COLUMN(기본데이타!X$8),0))</f>
        <v/>
      </c>
      <c r="W131" s="634" t="str">
        <f>IF($A131="","",VLOOKUP($A131,기본데이타!$A$8:$BV$103,COLUMN(기본데이타!AA$8),0))</f>
        <v/>
      </c>
      <c r="X131" s="634" t="str">
        <f>IF($A131="","",VLOOKUP($A131,기본데이타!$A$8:$BV$103,COLUMN(기본데이타!AB$8),0))</f>
        <v/>
      </c>
      <c r="Y131" s="633" t="str">
        <f>IF($A131="","",VLOOKUP($A131,기본데이타!$A$8:$BV$103,COLUMN(기본데이타!AC$8),0))</f>
        <v/>
      </c>
      <c r="Z131" s="634" t="str">
        <f>IF($A131="","",VLOOKUP($A131,기본데이타!$A$8:$BV$103,COLUMN(기본데이타!AD$8),0))</f>
        <v/>
      </c>
      <c r="AA131" s="633" t="str">
        <f>IF($A131="","",VLOOKUP($A131,기본데이타!$A$8:$BV$103,COLUMN(기본데이타!AE$8),0))</f>
        <v/>
      </c>
      <c r="AB131" s="634" t="str">
        <f>IF($A131="","",VLOOKUP($A131,기본데이타!$A$8:$BV$103,COLUMN(기본데이타!AF$8),0))</f>
        <v/>
      </c>
      <c r="AC131" s="633" t="str">
        <f>IF($A131="","",VLOOKUP($A131,기본데이타!$A$8:$BV$103,COLUMN(기본데이타!AG$8),0))</f>
        <v/>
      </c>
      <c r="AD131" s="634" t="str">
        <f>IF($A131="","",VLOOKUP($A131,기본데이타!$A$8:$BV$103,COLUMN(기본데이타!AH$8),0))</f>
        <v/>
      </c>
      <c r="AE131" s="633" t="str">
        <f>IF($A131="","",VLOOKUP($A131,기본데이타!$A$8:$BV$103,COLUMN(기본데이타!AI$8),0))</f>
        <v/>
      </c>
      <c r="AF131" s="635" t="str">
        <f>IF($A131="","",VLOOKUP($A131,기본데이타!$A$8:$BV$103,COLUMN(기본데이타!AJ$8),0))</f>
        <v/>
      </c>
      <c r="AG131" s="580" t="str">
        <f>IF($A131="","",VLOOKUP($A131,기본데이타!$A$8:$BV$103,COLUMN(기본데이타!AK$8),0))</f>
        <v/>
      </c>
      <c r="AH131" s="580" t="str">
        <f>IF($A131="","",VLOOKUP($A131,기본데이타!$A$8:$BV$103,COLUMN(기본데이타!AL$8),0))</f>
        <v/>
      </c>
      <c r="AI131" s="580" t="str">
        <f>IF($A131="","",VLOOKUP($A131,기본데이타!$A$8:$BV$103,COLUMN(기본데이타!AM$8),0))</f>
        <v/>
      </c>
      <c r="AJ131" s="636" t="str">
        <f>IF($A131="","",VLOOKUP($A131,기본데이타!$A$8:$BV$103,COLUMN(기본데이타!AN$8),0))</f>
        <v/>
      </c>
      <c r="AK131" s="636" t="str">
        <f>IF($A131="","",VLOOKUP($A131,기본데이타!$A$8:$BV$103,COLUMN(기본데이타!AO$8),0))</f>
        <v/>
      </c>
      <c r="AL131" s="636" t="str">
        <f>IF($A131="","",VLOOKUP($A131,기본데이타!$A$8:$BV$103,COLUMN(기본데이타!AP$8),0))</f>
        <v/>
      </c>
      <c r="AM131" s="636" t="str">
        <f>IF($A131="","",VLOOKUP($A131,기본데이타!$A$8:$BV$103,COLUMN(기본데이타!AQ$8),0))</f>
        <v/>
      </c>
      <c r="AN131" s="636" t="str">
        <f>IF($A131="","",VLOOKUP($A131,기본데이타!$A$8:$BV$103,COLUMN(기본데이타!AR$8),0))</f>
        <v/>
      </c>
      <c r="AO131" s="636" t="str">
        <f>IF($A131="","",VLOOKUP($A131,기본데이타!$A$8:$BV$103,COLUMN(기본데이타!AS$8),0))</f>
        <v/>
      </c>
      <c r="AP131" s="636" t="str">
        <f>IF($A131="","",VLOOKUP($A131,기본데이타!$A$8:$BV$103,COLUMN(기본데이타!AT$8),0))</f>
        <v/>
      </c>
      <c r="AQ131" s="636" t="str">
        <f>IF($A131="","",VLOOKUP($A131,기본데이타!$A$8:$BV$103,COLUMN(기본데이타!AU$8),0))</f>
        <v/>
      </c>
      <c r="AR131" s="637" t="str">
        <f>IF($A131="","",VLOOKUP($A131,기본데이타!$A$8:$BV$103,COLUMN(기본데이타!AV$8),0))</f>
        <v/>
      </c>
      <c r="AS131" s="634" t="str">
        <f>IF($A131="","",VLOOKUP($A131,기본데이타!$A$8:$BV$103,COLUMN(기본데이타!AW$8),0))</f>
        <v/>
      </c>
      <c r="AT131" s="634" t="str">
        <f>IF($A131="","",VLOOKUP($A131,기본데이타!$A$8:$BV$103,COLUMN(기본데이타!AX$8),0))</f>
        <v/>
      </c>
      <c r="AU131" s="634" t="str">
        <f>IF($A131="","",VLOOKUP($A131,기본데이타!$A$8:$BV$103,COLUMN(기본데이타!AY$8),0))</f>
        <v/>
      </c>
      <c r="AV131" s="634" t="str">
        <f t="shared" si="20"/>
        <v/>
      </c>
      <c r="AW131" s="635" t="str">
        <f>IF($A131="","",VLOOKUP($A131,기본데이타!$A$8:$BV$103,COLUMN(기본데이타!BA$8),0))</f>
        <v/>
      </c>
      <c r="AX131" s="635" t="str">
        <f>IF($A131="","",VLOOKUP($A131,기본데이타!$A$8:$BV$103,COLUMN(기본데이타!BB$8),0))</f>
        <v/>
      </c>
      <c r="AY131" s="635" t="str">
        <f>IF($A131="","",VLOOKUP($A131,기본데이타!$A$8:$BV$103,COLUMN(기본데이타!BC$8),0))</f>
        <v/>
      </c>
      <c r="AZ131" s="635" t="str">
        <f>IF($A131="","",VLOOKUP($A131,기본데이타!$A$8:$BV$103,COLUMN(기본데이타!BD$8),0))</f>
        <v/>
      </c>
      <c r="BA131" s="635" t="str">
        <f>IF($A131="","",VLOOKUP($A131,기본데이타!$A$8:$BV$103,COLUMN(기본데이타!BE$8),0))</f>
        <v/>
      </c>
      <c r="BB131" s="635" t="str">
        <f>IF($A131="","",VLOOKUP($A131,기본데이타!$A$8:$BV$103,COLUMN(기본데이타!BF$8),0))</f>
        <v/>
      </c>
      <c r="BC131" s="635" t="str">
        <f>IF($A131="","",VLOOKUP($A131,기본데이타!$A$8:$BV$103,COLUMN(기본데이타!BG$8),0))</f>
        <v/>
      </c>
      <c r="BD131" s="635" t="str">
        <f>IF($A131="","",VLOOKUP($A131,기본데이타!$A$8:$BV$103,COLUMN(기본데이타!BH$8),0))</f>
        <v/>
      </c>
      <c r="BE131" s="635" t="str">
        <f>IF($A131="","",VLOOKUP($A131,기본데이타!$A$8:$BV$103,COLUMN(기본데이타!BI$8),0))</f>
        <v/>
      </c>
      <c r="BF131" s="635" t="str">
        <f>IF($A131="","",VLOOKUP($A131,기본데이타!$A$8:$BV$103,COLUMN(기본데이타!BJ$8),0))</f>
        <v/>
      </c>
      <c r="BG131" s="635" t="str">
        <f>IF($A131="","",VLOOKUP($A131,기본데이타!$A$8:$BV$103,COLUMN(기본데이타!BK$8),0))</f>
        <v/>
      </c>
      <c r="BH131" s="635" t="str">
        <f>IF($A131="","",VLOOKUP($A131,기본데이타!$A$8:$BV$103,COLUMN(기본데이타!BL$8),0))</f>
        <v/>
      </c>
      <c r="BI131" s="635" t="str">
        <f>IF($A131="","",VLOOKUP($A131,기본데이타!$A$8:$BV$103,COLUMN(기본데이타!BM$8),0))</f>
        <v/>
      </c>
      <c r="BJ131" s="635" t="str">
        <f>IF($A131="","",VLOOKUP($A131,기본데이타!$A$8:$BV$103,COLUMN(기본데이타!BN$8),0))</f>
        <v/>
      </c>
      <c r="BK131" s="635" t="str">
        <f>IF($A131="","",VLOOKUP($A131,기본데이타!$A$8:$BV$103,COLUMN(기본데이타!BO$8),0))</f>
        <v/>
      </c>
      <c r="BL131" s="635" t="str">
        <f>IF($A131="","",VLOOKUP($A131,기본데이타!$A$8:$BV$103,COLUMN(기본데이타!BP$8),0))</f>
        <v/>
      </c>
      <c r="BM131" s="635" t="str">
        <f>IF($A131="","",VLOOKUP($A131,기본데이타!$A$8:$BV$103,COLUMN(기본데이타!BQ$8),0))</f>
        <v/>
      </c>
      <c r="BN131" s="638" t="str">
        <f>IF($A131="","",VLOOKUP($A131,기본데이타!$A$8:$BV$103,COLUMN(기본데이타!BR$8),0))</f>
        <v/>
      </c>
      <c r="BO131" s="579" t="str">
        <f>IF($A131="","",VLOOKUP($A131,기본데이타!$A$8:$BV$103,COLUMN(기본데이타!BS$8),0))</f>
        <v/>
      </c>
      <c r="BP131" s="639" t="str">
        <f>IF($A131="","",VLOOKUP($A131,기본데이타!$A$8:$BV$103,COLUMN(기본데이타!BT$8),0))</f>
        <v/>
      </c>
      <c r="BQ131" s="640" t="str">
        <f>IF($A131="","",VLOOKUP($A131,기본데이타!$A$8:$BV$103,COLUMN(기본데이타!BU$8),0))</f>
        <v/>
      </c>
      <c r="BR131" s="625" t="str">
        <f t="shared" si="21"/>
        <v/>
      </c>
    </row>
    <row r="132" spans="1:70" s="571" customFormat="1" ht="61.5" hidden="1" customHeight="1">
      <c r="A132" s="578"/>
      <c r="B132" s="1642"/>
      <c r="C132" s="590"/>
      <c r="D132" s="629" t="str">
        <f>IF($A132="","",VLOOKUP($A132,기본데이타!$A$8:$BV$103,COLUMN(기본데이타!F$8),0))</f>
        <v/>
      </c>
      <c r="E132" s="630" t="str">
        <f>IF($A132="","",VLOOKUP($A132,기본데이타!$A$8:$BV$103,COLUMN(기본데이타!G$8),0))</f>
        <v/>
      </c>
      <c r="F132" s="631" t="str">
        <f>IF($A132="","",VLOOKUP($A132,기본데이타!$A$8:$BV$103,COLUMN(기본데이타!H$8),0))</f>
        <v/>
      </c>
      <c r="G132" s="632" t="str">
        <f>IF($A132="","",VLOOKUP($A132,기본데이타!$A$8:$BV$103,COLUMN(기본데이타!I$8),0))</f>
        <v/>
      </c>
      <c r="H132" s="632" t="str">
        <f>IF($A132="","",VLOOKUP($A132,기본데이타!$A$8:$BV$103,COLUMN(기본데이타!J$8),0))</f>
        <v/>
      </c>
      <c r="I132" s="633" t="str">
        <f>IF($A132="","",VLOOKUP($A132,기본데이타!$A$8:$BV$103,COLUMN(기본데이타!K$8),0))</f>
        <v/>
      </c>
      <c r="J132" s="633" t="str">
        <f>IF($A132="","",VLOOKUP($A132,기본데이타!$A$8:$BV$103,COLUMN(기본데이타!L$8),0))</f>
        <v/>
      </c>
      <c r="K132" s="633" t="str">
        <f>IF($A132="","",VLOOKUP($A132,기본데이타!$A$8:$BV$103,COLUMN(기본데이타!M$8),0))</f>
        <v/>
      </c>
      <c r="L132" s="634" t="str">
        <f>IF($A132="","",VLOOKUP($A132,기본데이타!$A$8:$BV$103,COLUMN(기본데이타!N$8),0))</f>
        <v/>
      </c>
      <c r="M132" s="633" t="str">
        <f>IF($A132="","",VLOOKUP($A132,기본데이타!$A$8:$BV$103,COLUMN(기본데이타!O$8),0))</f>
        <v/>
      </c>
      <c r="N132" s="634" t="str">
        <f>IF($A132="","",VLOOKUP($A132,기본데이타!$A$8:$BV$103,COLUMN(기본데이타!P$8),0))</f>
        <v/>
      </c>
      <c r="O132" s="634" t="str">
        <f>IF($A132="","",VLOOKUP($A132,기본데이타!$A$8:$BV$103,COLUMN(기본데이타!Q$8),0))</f>
        <v/>
      </c>
      <c r="P132" s="634" t="str">
        <f>IF($A132="","",VLOOKUP($A132,기본데이타!$A$8:$BV$103,COLUMN(기본데이타!R$8),0))</f>
        <v/>
      </c>
      <c r="Q132" s="634" t="str">
        <f>IF($A132="","",VLOOKUP($A132,기본데이타!$A$8:$BV$103,COLUMN(기본데이타!S$8),0))</f>
        <v/>
      </c>
      <c r="R132" s="634" t="str">
        <f>IF($A132="","",VLOOKUP($A132,기본데이타!$A$8:$BV$103,COLUMN(기본데이타!T$8),0))</f>
        <v/>
      </c>
      <c r="S132" s="634" t="str">
        <f>IF($A132="","",VLOOKUP($A132,기본데이타!$A$8:$BV$103,COLUMN(기본데이타!U$8),0))</f>
        <v/>
      </c>
      <c r="T132" s="634" t="str">
        <f>IF($A132="","",VLOOKUP($A132,기본데이타!$A$8:$BV$103,COLUMN(기본데이타!V$8),0))</f>
        <v/>
      </c>
      <c r="U132" s="634" t="str">
        <f>IF($A132="","",VLOOKUP($A132,기본데이타!$A$8:$BV$103,COLUMN(기본데이타!W$8),0))</f>
        <v/>
      </c>
      <c r="V132" s="634" t="str">
        <f>IF($A132="","",VLOOKUP($A132,기본데이타!$A$8:$BV$103,COLUMN(기본데이타!X$8),0))</f>
        <v/>
      </c>
      <c r="W132" s="634" t="str">
        <f>IF($A132="","",VLOOKUP($A132,기본데이타!$A$8:$BV$103,COLUMN(기본데이타!AA$8),0))</f>
        <v/>
      </c>
      <c r="X132" s="634" t="str">
        <f>IF($A132="","",VLOOKUP($A132,기본데이타!$A$8:$BV$103,COLUMN(기본데이타!AB$8),0))</f>
        <v/>
      </c>
      <c r="Y132" s="633" t="str">
        <f>IF($A132="","",VLOOKUP($A132,기본데이타!$A$8:$BV$103,COLUMN(기본데이타!AC$8),0))</f>
        <v/>
      </c>
      <c r="Z132" s="634" t="str">
        <f>IF($A132="","",VLOOKUP($A132,기본데이타!$A$8:$BV$103,COLUMN(기본데이타!AD$8),0))</f>
        <v/>
      </c>
      <c r="AA132" s="633" t="str">
        <f>IF($A132="","",VLOOKUP($A132,기본데이타!$A$8:$BV$103,COLUMN(기본데이타!AE$8),0))</f>
        <v/>
      </c>
      <c r="AB132" s="634" t="str">
        <f>IF($A132="","",VLOOKUP($A132,기본데이타!$A$8:$BV$103,COLUMN(기본데이타!AF$8),0))</f>
        <v/>
      </c>
      <c r="AC132" s="633" t="str">
        <f>IF($A132="","",VLOOKUP($A132,기본데이타!$A$8:$BV$103,COLUMN(기본데이타!AG$8),0))</f>
        <v/>
      </c>
      <c r="AD132" s="634" t="str">
        <f>IF($A132="","",VLOOKUP($A132,기본데이타!$A$8:$BV$103,COLUMN(기본데이타!AH$8),0))</f>
        <v/>
      </c>
      <c r="AE132" s="633" t="str">
        <f>IF($A132="","",VLOOKUP($A132,기본데이타!$A$8:$BV$103,COLUMN(기본데이타!AI$8),0))</f>
        <v/>
      </c>
      <c r="AF132" s="635" t="str">
        <f>IF($A132="","",VLOOKUP($A132,기본데이타!$A$8:$BV$103,COLUMN(기본데이타!AJ$8),0))</f>
        <v/>
      </c>
      <c r="AG132" s="580" t="str">
        <f>IF($A132="","",VLOOKUP($A132,기본데이타!$A$8:$BV$103,COLUMN(기본데이타!AK$8),0))</f>
        <v/>
      </c>
      <c r="AH132" s="580" t="str">
        <f>IF($A132="","",VLOOKUP($A132,기본데이타!$A$8:$BV$103,COLUMN(기본데이타!AL$8),0))</f>
        <v/>
      </c>
      <c r="AI132" s="580" t="str">
        <f>IF($A132="","",VLOOKUP($A132,기본데이타!$A$8:$BV$103,COLUMN(기본데이타!AM$8),0))</f>
        <v/>
      </c>
      <c r="AJ132" s="636" t="str">
        <f>IF($A132="","",VLOOKUP($A132,기본데이타!$A$8:$BV$103,COLUMN(기본데이타!AN$8),0))</f>
        <v/>
      </c>
      <c r="AK132" s="636" t="str">
        <f>IF($A132="","",VLOOKUP($A132,기본데이타!$A$8:$BV$103,COLUMN(기본데이타!AO$8),0))</f>
        <v/>
      </c>
      <c r="AL132" s="636" t="str">
        <f>IF($A132="","",VLOOKUP($A132,기본데이타!$A$8:$BV$103,COLUMN(기본데이타!AP$8),0))</f>
        <v/>
      </c>
      <c r="AM132" s="636" t="str">
        <f>IF($A132="","",VLOOKUP($A132,기본데이타!$A$8:$BV$103,COLUMN(기본데이타!AQ$8),0))</f>
        <v/>
      </c>
      <c r="AN132" s="636" t="str">
        <f>IF($A132="","",VLOOKUP($A132,기본데이타!$A$8:$BV$103,COLUMN(기본데이타!AR$8),0))</f>
        <v/>
      </c>
      <c r="AO132" s="636" t="str">
        <f>IF($A132="","",VLOOKUP($A132,기본데이타!$A$8:$BV$103,COLUMN(기본데이타!AS$8),0))</f>
        <v/>
      </c>
      <c r="AP132" s="636" t="str">
        <f>IF($A132="","",VLOOKUP($A132,기본데이타!$A$8:$BV$103,COLUMN(기본데이타!AT$8),0))</f>
        <v/>
      </c>
      <c r="AQ132" s="636" t="str">
        <f>IF($A132="","",VLOOKUP($A132,기본데이타!$A$8:$BV$103,COLUMN(기본데이타!AU$8),0))</f>
        <v/>
      </c>
      <c r="AR132" s="637" t="str">
        <f>IF($A132="","",VLOOKUP($A132,기본데이타!$A$8:$BV$103,COLUMN(기본데이타!AV$8),0))</f>
        <v/>
      </c>
      <c r="AS132" s="634" t="str">
        <f>IF($A132="","",VLOOKUP($A132,기본데이타!$A$8:$BV$103,COLUMN(기본데이타!AW$8),0))</f>
        <v/>
      </c>
      <c r="AT132" s="634" t="str">
        <f>IF($A132="","",VLOOKUP($A132,기본데이타!$A$8:$BV$103,COLUMN(기본데이타!AX$8),0))</f>
        <v/>
      </c>
      <c r="AU132" s="634" t="str">
        <f>IF($A132="","",VLOOKUP($A132,기본데이타!$A$8:$BV$103,COLUMN(기본데이타!AY$8),0))</f>
        <v/>
      </c>
      <c r="AV132" s="634" t="str">
        <f t="shared" si="20"/>
        <v/>
      </c>
      <c r="AW132" s="635" t="str">
        <f>IF($A132="","",VLOOKUP($A132,기본데이타!$A$8:$BV$103,COLUMN(기본데이타!BA$8),0))</f>
        <v/>
      </c>
      <c r="AX132" s="635" t="str">
        <f>IF($A132="","",VLOOKUP($A132,기본데이타!$A$8:$BV$103,COLUMN(기본데이타!BB$8),0))</f>
        <v/>
      </c>
      <c r="AY132" s="635" t="str">
        <f>IF($A132="","",VLOOKUP($A132,기본데이타!$A$8:$BV$103,COLUMN(기본데이타!BC$8),0))</f>
        <v/>
      </c>
      <c r="AZ132" s="635" t="str">
        <f>IF($A132="","",VLOOKUP($A132,기본데이타!$A$8:$BV$103,COLUMN(기본데이타!BD$8),0))</f>
        <v/>
      </c>
      <c r="BA132" s="635" t="str">
        <f>IF($A132="","",VLOOKUP($A132,기본데이타!$A$8:$BV$103,COLUMN(기본데이타!BE$8),0))</f>
        <v/>
      </c>
      <c r="BB132" s="635" t="str">
        <f>IF($A132="","",VLOOKUP($A132,기본데이타!$A$8:$BV$103,COLUMN(기본데이타!BF$8),0))</f>
        <v/>
      </c>
      <c r="BC132" s="635" t="str">
        <f>IF($A132="","",VLOOKUP($A132,기본데이타!$A$8:$BV$103,COLUMN(기본데이타!BG$8),0))</f>
        <v/>
      </c>
      <c r="BD132" s="635" t="str">
        <f>IF($A132="","",VLOOKUP($A132,기본데이타!$A$8:$BV$103,COLUMN(기본데이타!BH$8),0))</f>
        <v/>
      </c>
      <c r="BE132" s="635" t="str">
        <f>IF($A132="","",VLOOKUP($A132,기본데이타!$A$8:$BV$103,COLUMN(기본데이타!BI$8),0))</f>
        <v/>
      </c>
      <c r="BF132" s="635" t="str">
        <f>IF($A132="","",VLOOKUP($A132,기본데이타!$A$8:$BV$103,COLUMN(기본데이타!BJ$8),0))</f>
        <v/>
      </c>
      <c r="BG132" s="635" t="str">
        <f>IF($A132="","",VLOOKUP($A132,기본데이타!$A$8:$BV$103,COLUMN(기본데이타!BK$8),0))</f>
        <v/>
      </c>
      <c r="BH132" s="635" t="str">
        <f>IF($A132="","",VLOOKUP($A132,기본데이타!$A$8:$BV$103,COLUMN(기본데이타!BL$8),0))</f>
        <v/>
      </c>
      <c r="BI132" s="635" t="str">
        <f>IF($A132="","",VLOOKUP($A132,기본데이타!$A$8:$BV$103,COLUMN(기본데이타!BM$8),0))</f>
        <v/>
      </c>
      <c r="BJ132" s="635" t="str">
        <f>IF($A132="","",VLOOKUP($A132,기본데이타!$A$8:$BV$103,COLUMN(기본데이타!BN$8),0))</f>
        <v/>
      </c>
      <c r="BK132" s="635" t="str">
        <f>IF($A132="","",VLOOKUP($A132,기본데이타!$A$8:$BV$103,COLUMN(기본데이타!BO$8),0))</f>
        <v/>
      </c>
      <c r="BL132" s="635" t="str">
        <f>IF($A132="","",VLOOKUP($A132,기본데이타!$A$8:$BV$103,COLUMN(기본데이타!BP$8),0))</f>
        <v/>
      </c>
      <c r="BM132" s="635" t="str">
        <f>IF($A132="","",VLOOKUP($A132,기본데이타!$A$8:$BV$103,COLUMN(기본데이타!BQ$8),0))</f>
        <v/>
      </c>
      <c r="BN132" s="638" t="str">
        <f>IF($A132="","",VLOOKUP($A132,기본데이타!$A$8:$BV$103,COLUMN(기본데이타!BR$8),0))</f>
        <v/>
      </c>
      <c r="BO132" s="579" t="str">
        <f>IF($A132="","",VLOOKUP($A132,기본데이타!$A$8:$BV$103,COLUMN(기본데이타!BS$8),0))</f>
        <v/>
      </c>
      <c r="BP132" s="639" t="str">
        <f>IF($A132="","",VLOOKUP($A132,기본데이타!$A$8:$BV$103,COLUMN(기본데이타!BT$8),0))</f>
        <v/>
      </c>
      <c r="BQ132" s="640" t="str">
        <f>IF($A132="","",VLOOKUP($A132,기본데이타!$A$8:$BV$103,COLUMN(기본데이타!BU$8),0))</f>
        <v/>
      </c>
      <c r="BR132" s="625" t="str">
        <f t="shared" si="21"/>
        <v/>
      </c>
    </row>
    <row r="133" spans="1:70" s="571" customFormat="1" ht="61.5" hidden="1" customHeight="1">
      <c r="A133" s="578"/>
      <c r="B133" s="1642"/>
      <c r="C133" s="590"/>
      <c r="D133" s="673" t="str">
        <f>IF($A133="","",VLOOKUP($A133,기본데이타!$A$8:$BV$103,COLUMN(기본데이타!F$8),0))</f>
        <v/>
      </c>
      <c r="E133" s="630" t="str">
        <f>IF($A133="","",VLOOKUP($A133,기본데이타!$A$8:$BV$103,COLUMN(기본데이타!G$8),0))</f>
        <v/>
      </c>
      <c r="F133" s="631" t="str">
        <f>IF($A133="","",VLOOKUP($A133,기본데이타!$A$8:$BV$103,COLUMN(기본데이타!H$8),0))</f>
        <v/>
      </c>
      <c r="G133" s="632" t="str">
        <f>IF($A133="","",VLOOKUP($A133,기본데이타!$A$8:$BV$103,COLUMN(기본데이타!I$8),0))</f>
        <v/>
      </c>
      <c r="H133" s="632" t="str">
        <f>IF($A133="","",VLOOKUP($A133,기본데이타!$A$8:$BV$103,COLUMN(기본데이타!J$8),0))</f>
        <v/>
      </c>
      <c r="I133" s="633" t="str">
        <f>IF($A133="","",VLOOKUP($A133,기본데이타!$A$8:$BV$103,COLUMN(기본데이타!K$8),0))</f>
        <v/>
      </c>
      <c r="J133" s="633" t="str">
        <f>IF($A133="","",VLOOKUP($A133,기본데이타!$A$8:$BV$103,COLUMN(기본데이타!L$8),0))</f>
        <v/>
      </c>
      <c r="K133" s="633" t="str">
        <f>IF($A133="","",VLOOKUP($A133,기본데이타!$A$8:$BV$103,COLUMN(기본데이타!M$8),0))</f>
        <v/>
      </c>
      <c r="L133" s="634" t="str">
        <f>IF($A133="","",VLOOKUP($A133,기본데이타!$A$8:$BV$103,COLUMN(기본데이타!N$8),0))</f>
        <v/>
      </c>
      <c r="M133" s="633" t="str">
        <f>IF($A133="","",VLOOKUP($A133,기본데이타!$A$8:$BV$103,COLUMN(기본데이타!O$8),0))</f>
        <v/>
      </c>
      <c r="N133" s="634" t="str">
        <f>IF($A133="","",VLOOKUP($A133,기본데이타!$A$8:$BV$103,COLUMN(기본데이타!P$8),0))</f>
        <v/>
      </c>
      <c r="O133" s="634" t="str">
        <f>IF($A133="","",VLOOKUP($A133,기본데이타!$A$8:$BV$103,COLUMN(기본데이타!Q$8),0))</f>
        <v/>
      </c>
      <c r="P133" s="634" t="str">
        <f>IF($A133="","",VLOOKUP($A133,기본데이타!$A$8:$BV$103,COLUMN(기본데이타!R$8),0))</f>
        <v/>
      </c>
      <c r="Q133" s="634" t="str">
        <f>IF($A133="","",VLOOKUP($A133,기본데이타!$A$8:$BV$103,COLUMN(기본데이타!S$8),0))</f>
        <v/>
      </c>
      <c r="R133" s="634" t="str">
        <f>IF($A133="","",VLOOKUP($A133,기본데이타!$A$8:$BV$103,COLUMN(기본데이타!T$8),0))</f>
        <v/>
      </c>
      <c r="S133" s="634" t="str">
        <f>IF($A133="","",VLOOKUP($A133,기본데이타!$A$8:$BV$103,COLUMN(기본데이타!U$8),0))</f>
        <v/>
      </c>
      <c r="T133" s="634" t="str">
        <f>IF($A133="","",VLOOKUP($A133,기본데이타!$A$8:$BV$103,COLUMN(기본데이타!V$8),0))</f>
        <v/>
      </c>
      <c r="U133" s="634" t="str">
        <f>IF($A133="","",VLOOKUP($A133,기본데이타!$A$8:$BV$103,COLUMN(기본데이타!W$8),0))</f>
        <v/>
      </c>
      <c r="V133" s="634" t="str">
        <f>IF($A133="","",VLOOKUP($A133,기본데이타!$A$8:$BV$103,COLUMN(기본데이타!X$8),0))</f>
        <v/>
      </c>
      <c r="W133" s="634" t="str">
        <f>IF($A133="","",VLOOKUP($A133,기본데이타!$A$8:$BV$103,COLUMN(기본데이타!AA$8),0))</f>
        <v/>
      </c>
      <c r="X133" s="634" t="str">
        <f>IF($A133="","",VLOOKUP($A133,기본데이타!$A$8:$BV$103,COLUMN(기본데이타!AB$8),0))</f>
        <v/>
      </c>
      <c r="Y133" s="633" t="str">
        <f>IF($A133="","",VLOOKUP($A133,기본데이타!$A$8:$BV$103,COLUMN(기본데이타!AC$8),0))</f>
        <v/>
      </c>
      <c r="Z133" s="634" t="str">
        <f>IF($A133="","",VLOOKUP($A133,기본데이타!$A$8:$BV$103,COLUMN(기본데이타!AD$8),0))</f>
        <v/>
      </c>
      <c r="AA133" s="633" t="str">
        <f>IF($A133="","",VLOOKUP($A133,기본데이타!$A$8:$BV$103,COLUMN(기본데이타!AE$8),0))</f>
        <v/>
      </c>
      <c r="AB133" s="634" t="str">
        <f>IF($A133="","",VLOOKUP($A133,기본데이타!$A$8:$BV$103,COLUMN(기본데이타!AF$8),0))</f>
        <v/>
      </c>
      <c r="AC133" s="633" t="str">
        <f>IF($A133="","",VLOOKUP($A133,기본데이타!$A$8:$BV$103,COLUMN(기본데이타!AG$8),0))</f>
        <v/>
      </c>
      <c r="AD133" s="634" t="str">
        <f>IF($A133="","",VLOOKUP($A133,기본데이타!$A$8:$BV$103,COLUMN(기본데이타!AH$8),0))</f>
        <v/>
      </c>
      <c r="AE133" s="633" t="str">
        <f>IF($A133="","",VLOOKUP($A133,기본데이타!$A$8:$BV$103,COLUMN(기본데이타!AI$8),0))</f>
        <v/>
      </c>
      <c r="AF133" s="635" t="str">
        <f>IF($A133="","",VLOOKUP($A133,기본데이타!$A$8:$BV$103,COLUMN(기본데이타!AJ$8),0))</f>
        <v/>
      </c>
      <c r="AG133" s="580" t="str">
        <f>IF($A133="","",VLOOKUP($A133,기본데이타!$A$8:$BV$103,COLUMN(기본데이타!AK$8),0))</f>
        <v/>
      </c>
      <c r="AH133" s="580" t="str">
        <f>IF($A133="","",VLOOKUP($A133,기본데이타!$A$8:$BV$103,COLUMN(기본데이타!AL$8),0))</f>
        <v/>
      </c>
      <c r="AI133" s="580" t="str">
        <f>IF($A133="","",VLOOKUP($A133,기본데이타!$A$8:$BV$103,COLUMN(기본데이타!AM$8),0))</f>
        <v/>
      </c>
      <c r="AJ133" s="636" t="str">
        <f>IF($A133="","",VLOOKUP($A133,기본데이타!$A$8:$BV$103,COLUMN(기본데이타!AN$8),0))</f>
        <v/>
      </c>
      <c r="AK133" s="636" t="str">
        <f>IF($A133="","",VLOOKUP($A133,기본데이타!$A$8:$BV$103,COLUMN(기본데이타!AO$8),0))</f>
        <v/>
      </c>
      <c r="AL133" s="636" t="str">
        <f>IF($A133="","",VLOOKUP($A133,기본데이타!$A$8:$BV$103,COLUMN(기본데이타!AP$8),0))</f>
        <v/>
      </c>
      <c r="AM133" s="636" t="str">
        <f>IF($A133="","",VLOOKUP($A133,기본데이타!$A$8:$BV$103,COLUMN(기본데이타!AQ$8),0))</f>
        <v/>
      </c>
      <c r="AN133" s="636" t="str">
        <f>IF($A133="","",VLOOKUP($A133,기본데이타!$A$8:$BV$103,COLUMN(기본데이타!AR$8),0))</f>
        <v/>
      </c>
      <c r="AO133" s="636" t="str">
        <f>IF($A133="","",VLOOKUP($A133,기본데이타!$A$8:$BV$103,COLUMN(기본데이타!AS$8),0))</f>
        <v/>
      </c>
      <c r="AP133" s="636" t="str">
        <f>IF($A133="","",VLOOKUP($A133,기본데이타!$A$8:$BV$103,COLUMN(기본데이타!AT$8),0))</f>
        <v/>
      </c>
      <c r="AQ133" s="636" t="str">
        <f>IF($A133="","",VLOOKUP($A133,기본데이타!$A$8:$BV$103,COLUMN(기본데이타!AU$8),0))</f>
        <v/>
      </c>
      <c r="AR133" s="637" t="str">
        <f>IF($A133="","",VLOOKUP($A133,기본데이타!$A$8:$BV$103,COLUMN(기본데이타!AV$8),0))</f>
        <v/>
      </c>
      <c r="AS133" s="634" t="str">
        <f>IF($A133="","",VLOOKUP($A133,기본데이타!$A$8:$BV$103,COLUMN(기본데이타!AW$8),0))</f>
        <v/>
      </c>
      <c r="AT133" s="634" t="str">
        <f>IF($A133="","",VLOOKUP($A133,기본데이타!$A$8:$BV$103,COLUMN(기본데이타!AX$8),0))</f>
        <v/>
      </c>
      <c r="AU133" s="634" t="str">
        <f>IF($A133="","",VLOOKUP($A133,기본데이타!$A$8:$BV$103,COLUMN(기본데이타!AY$8),0))</f>
        <v/>
      </c>
      <c r="AV133" s="634" t="str">
        <f t="shared" si="20"/>
        <v/>
      </c>
      <c r="AW133" s="635" t="str">
        <f>IF($A133="","",VLOOKUP($A133,기본데이타!$A$8:$BV$103,COLUMN(기본데이타!BA$8),0))</f>
        <v/>
      </c>
      <c r="AX133" s="635" t="str">
        <f>IF($A133="","",VLOOKUP($A133,기본데이타!$A$8:$BV$103,COLUMN(기본데이타!BB$8),0))</f>
        <v/>
      </c>
      <c r="AY133" s="635" t="str">
        <f>IF($A133="","",VLOOKUP($A133,기본데이타!$A$8:$BV$103,COLUMN(기본데이타!BC$8),0))</f>
        <v/>
      </c>
      <c r="AZ133" s="635" t="str">
        <f>IF($A133="","",VLOOKUP($A133,기본데이타!$A$8:$BV$103,COLUMN(기본데이타!BD$8),0))</f>
        <v/>
      </c>
      <c r="BA133" s="635" t="str">
        <f>IF($A133="","",VLOOKUP($A133,기본데이타!$A$8:$BV$103,COLUMN(기본데이타!BE$8),0))</f>
        <v/>
      </c>
      <c r="BB133" s="635" t="str">
        <f>IF($A133="","",VLOOKUP($A133,기본데이타!$A$8:$BV$103,COLUMN(기본데이타!BF$8),0))</f>
        <v/>
      </c>
      <c r="BC133" s="635" t="str">
        <f>IF($A133="","",VLOOKUP($A133,기본데이타!$A$8:$BV$103,COLUMN(기본데이타!BG$8),0))</f>
        <v/>
      </c>
      <c r="BD133" s="635" t="str">
        <f>IF($A133="","",VLOOKUP($A133,기본데이타!$A$8:$BV$103,COLUMN(기본데이타!BH$8),0))</f>
        <v/>
      </c>
      <c r="BE133" s="635" t="str">
        <f>IF($A133="","",VLOOKUP($A133,기본데이타!$A$8:$BV$103,COLUMN(기본데이타!BI$8),0))</f>
        <v/>
      </c>
      <c r="BF133" s="635" t="str">
        <f>IF($A133="","",VLOOKUP($A133,기본데이타!$A$8:$BV$103,COLUMN(기본데이타!BJ$8),0))</f>
        <v/>
      </c>
      <c r="BG133" s="635" t="str">
        <f>IF($A133="","",VLOOKUP($A133,기본데이타!$A$8:$BV$103,COLUMN(기본데이타!BK$8),0))</f>
        <v/>
      </c>
      <c r="BH133" s="635" t="str">
        <f>IF($A133="","",VLOOKUP($A133,기본데이타!$A$8:$BV$103,COLUMN(기본데이타!BL$8),0))</f>
        <v/>
      </c>
      <c r="BI133" s="635" t="str">
        <f>IF($A133="","",VLOOKUP($A133,기본데이타!$A$8:$BV$103,COLUMN(기본데이타!BM$8),0))</f>
        <v/>
      </c>
      <c r="BJ133" s="635" t="str">
        <f>IF($A133="","",VLOOKUP($A133,기본데이타!$A$8:$BV$103,COLUMN(기본데이타!BN$8),0))</f>
        <v/>
      </c>
      <c r="BK133" s="635" t="str">
        <f>IF($A133="","",VLOOKUP($A133,기본데이타!$A$8:$BV$103,COLUMN(기본데이타!BO$8),0))</f>
        <v/>
      </c>
      <c r="BL133" s="635" t="str">
        <f>IF($A133="","",VLOOKUP($A133,기본데이타!$A$8:$BV$103,COLUMN(기본데이타!BP$8),0))</f>
        <v/>
      </c>
      <c r="BM133" s="635" t="str">
        <f>IF($A133="","",VLOOKUP($A133,기본데이타!$A$8:$BV$103,COLUMN(기본데이타!BQ$8),0))</f>
        <v/>
      </c>
      <c r="BN133" s="638" t="str">
        <f>IF($A133="","",VLOOKUP($A133,기본데이타!$A$8:$BV$103,COLUMN(기본데이타!BR$8),0))</f>
        <v/>
      </c>
      <c r="BO133" s="579" t="str">
        <f>IF($A133="","",VLOOKUP($A133,기본데이타!$A$8:$BV$103,COLUMN(기본데이타!BS$8),0))</f>
        <v/>
      </c>
      <c r="BP133" s="639" t="str">
        <f>IF($A133="","",VLOOKUP($A133,기본데이타!$A$8:$BV$103,COLUMN(기본데이타!BT$8),0))</f>
        <v/>
      </c>
      <c r="BQ133" s="640" t="str">
        <f>IF($A133="","",VLOOKUP($A133,기본데이타!$A$8:$BV$103,COLUMN(기본데이타!BU$8),0))</f>
        <v/>
      </c>
      <c r="BR133" s="625" t="str">
        <f t="shared" si="21"/>
        <v/>
      </c>
    </row>
    <row r="134" spans="1:70" s="571" customFormat="1" ht="61.5" hidden="1" customHeight="1">
      <c r="A134" s="578"/>
      <c r="B134" s="1642"/>
      <c r="C134" s="590"/>
      <c r="D134" s="672" t="str">
        <f>IF($A134="","",VLOOKUP($A134,기본데이타!$A$8:$BV$103,COLUMN(기본데이타!F$8),0))</f>
        <v/>
      </c>
      <c r="E134" s="592" t="str">
        <f>IF($A134="","",VLOOKUP($A134,기본데이타!$A$8:$BV$103,COLUMN(기본데이타!G$8),0))</f>
        <v/>
      </c>
      <c r="F134" s="593" t="str">
        <f>IF($A134="","",VLOOKUP($A134,기본데이타!$A$8:$BV$103,COLUMN(기본데이타!H$8),0))</f>
        <v/>
      </c>
      <c r="G134" s="594" t="str">
        <f>IF($A134="","",VLOOKUP($A134,기본데이타!$A$8:$BV$103,COLUMN(기본데이타!I$8),0))</f>
        <v/>
      </c>
      <c r="H134" s="594" t="str">
        <f>IF($A134="","",VLOOKUP($A134,기본데이타!$A$8:$BV$103,COLUMN(기본데이타!J$8),0))</f>
        <v/>
      </c>
      <c r="I134" s="595" t="str">
        <f>IF($A134="","",VLOOKUP($A134,기본데이타!$A$8:$BV$103,COLUMN(기본데이타!K$8),0))</f>
        <v/>
      </c>
      <c r="J134" s="595" t="str">
        <f>IF($A134="","",VLOOKUP($A134,기본데이타!$A$8:$BV$103,COLUMN(기본데이타!L$8),0))</f>
        <v/>
      </c>
      <c r="K134" s="595" t="str">
        <f>IF($A134="","",VLOOKUP($A134,기본데이타!$A$8:$BV$103,COLUMN(기본데이타!M$8),0))</f>
        <v/>
      </c>
      <c r="L134" s="596" t="str">
        <f>IF($A134="","",VLOOKUP($A134,기본데이타!$A$8:$BV$103,COLUMN(기본데이타!N$8),0))</f>
        <v/>
      </c>
      <c r="M134" s="595" t="str">
        <f>IF($A134="","",VLOOKUP($A134,기본데이타!$A$8:$BV$103,COLUMN(기본데이타!O$8),0))</f>
        <v/>
      </c>
      <c r="N134" s="596" t="str">
        <f>IF($A134="","",VLOOKUP($A134,기본데이타!$A$8:$BV$103,COLUMN(기본데이타!P$8),0))</f>
        <v/>
      </c>
      <c r="O134" s="596" t="str">
        <f>IF($A134="","",VLOOKUP($A134,기본데이타!$A$8:$BV$103,COLUMN(기본데이타!Q$8),0))</f>
        <v/>
      </c>
      <c r="P134" s="596" t="str">
        <f>IF($A134="","",VLOOKUP($A134,기본데이타!$A$8:$BV$103,COLUMN(기본데이타!R$8),0))</f>
        <v/>
      </c>
      <c r="Q134" s="596" t="str">
        <f>IF($A134="","",VLOOKUP($A134,기본데이타!$A$8:$BV$103,COLUMN(기본데이타!S$8),0))</f>
        <v/>
      </c>
      <c r="R134" s="596" t="str">
        <f>IF($A134="","",VLOOKUP($A134,기본데이타!$A$8:$BV$103,COLUMN(기본데이타!T$8),0))</f>
        <v/>
      </c>
      <c r="S134" s="596" t="str">
        <f>IF($A134="","",VLOOKUP($A134,기본데이타!$A$8:$BV$103,COLUMN(기본데이타!U$8),0))</f>
        <v/>
      </c>
      <c r="T134" s="596" t="str">
        <f>IF($A134="","",VLOOKUP($A134,기본데이타!$A$8:$BV$103,COLUMN(기본데이타!V$8),0))</f>
        <v/>
      </c>
      <c r="U134" s="596" t="str">
        <f>IF($A134="","",VLOOKUP($A134,기본데이타!$A$8:$BV$103,COLUMN(기본데이타!W$8),0))</f>
        <v/>
      </c>
      <c r="V134" s="596" t="str">
        <f>IF($A134="","",VLOOKUP($A134,기본데이타!$A$8:$BV$103,COLUMN(기본데이타!X$8),0))</f>
        <v/>
      </c>
      <c r="W134" s="596" t="str">
        <f>IF($A134="","",VLOOKUP($A134,기본데이타!$A$8:$BV$103,COLUMN(기본데이타!AA$8),0))</f>
        <v/>
      </c>
      <c r="X134" s="596" t="str">
        <f>IF($A134="","",VLOOKUP($A134,기본데이타!$A$8:$BV$103,COLUMN(기본데이타!AB$8),0))</f>
        <v/>
      </c>
      <c r="Y134" s="595" t="str">
        <f>IF($A134="","",VLOOKUP($A134,기본데이타!$A$8:$BV$103,COLUMN(기본데이타!AC$8),0))</f>
        <v/>
      </c>
      <c r="Z134" s="596" t="str">
        <f>IF($A134="","",VLOOKUP($A134,기본데이타!$A$8:$BV$103,COLUMN(기본데이타!AD$8),0))</f>
        <v/>
      </c>
      <c r="AA134" s="595" t="str">
        <f>IF($A134="","",VLOOKUP($A134,기본데이타!$A$8:$BV$103,COLUMN(기본데이타!AE$8),0))</f>
        <v/>
      </c>
      <c r="AB134" s="596" t="str">
        <f>IF($A134="","",VLOOKUP($A134,기본데이타!$A$8:$BV$103,COLUMN(기본데이타!AF$8),0))</f>
        <v/>
      </c>
      <c r="AC134" s="595" t="str">
        <f>IF($A134="","",VLOOKUP($A134,기본데이타!$A$8:$BV$103,COLUMN(기본데이타!AG$8),0))</f>
        <v/>
      </c>
      <c r="AD134" s="596" t="str">
        <f>IF($A134="","",VLOOKUP($A134,기본데이타!$A$8:$BV$103,COLUMN(기본데이타!AH$8),0))</f>
        <v/>
      </c>
      <c r="AE134" s="595" t="str">
        <f>IF($A134="","",VLOOKUP($A134,기본데이타!$A$8:$BV$103,COLUMN(기본데이타!AI$8),0))</f>
        <v/>
      </c>
      <c r="AF134" s="597" t="str">
        <f>IF($A134="","",VLOOKUP($A134,기본데이타!$A$8:$BV$103,COLUMN(기본데이타!AJ$8),0))</f>
        <v/>
      </c>
      <c r="AG134" s="580" t="str">
        <f>IF($A134="","",VLOOKUP($A134,기본데이타!$A$8:$BV$103,COLUMN(기본데이타!AK$8),0))</f>
        <v/>
      </c>
      <c r="AH134" s="580" t="str">
        <f>IF($A134="","",VLOOKUP($A134,기본데이타!$A$8:$BV$103,COLUMN(기본데이타!AL$8),0))</f>
        <v/>
      </c>
      <c r="AI134" s="580" t="str">
        <f>IF($A134="","",VLOOKUP($A134,기본데이타!$A$8:$BV$103,COLUMN(기본데이타!AM$8),0))</f>
        <v/>
      </c>
      <c r="AJ134" s="642" t="str">
        <f>IF($A134="","",VLOOKUP($A134,기본데이타!$A$8:$BV$103,COLUMN(기본데이타!AN$8),0))</f>
        <v/>
      </c>
      <c r="AK134" s="642" t="str">
        <f>IF($A134="","",VLOOKUP($A134,기본데이타!$A$8:$BV$103,COLUMN(기본데이타!AO$8),0))</f>
        <v/>
      </c>
      <c r="AL134" s="642" t="str">
        <f>IF($A134="","",VLOOKUP($A134,기본데이타!$A$8:$BV$103,COLUMN(기본데이타!AP$8),0))</f>
        <v/>
      </c>
      <c r="AM134" s="642" t="str">
        <f>IF($A134="","",VLOOKUP($A134,기본데이타!$A$8:$BV$103,COLUMN(기본데이타!AQ$8),0))</f>
        <v/>
      </c>
      <c r="AN134" s="642" t="str">
        <f>IF($A134="","",VLOOKUP($A134,기본데이타!$A$8:$BV$103,COLUMN(기본데이타!AR$8),0))</f>
        <v/>
      </c>
      <c r="AO134" s="642" t="str">
        <f>IF($A134="","",VLOOKUP($A134,기본데이타!$A$8:$BV$103,COLUMN(기본데이타!AS$8),0))</f>
        <v/>
      </c>
      <c r="AP134" s="642" t="str">
        <f>IF($A134="","",VLOOKUP($A134,기본데이타!$A$8:$BV$103,COLUMN(기본데이타!AT$8),0))</f>
        <v/>
      </c>
      <c r="AQ134" s="642" t="str">
        <f>IF($A134="","",VLOOKUP($A134,기본데이타!$A$8:$BV$103,COLUMN(기본데이타!AU$8),0))</f>
        <v/>
      </c>
      <c r="AR134" s="643" t="str">
        <f>IF($A134="","",VLOOKUP($A134,기본데이타!$A$8:$BV$103,COLUMN(기본데이타!AV$8),0))</f>
        <v/>
      </c>
      <c r="AS134" s="596" t="str">
        <f>IF($A134="","",VLOOKUP($A134,기본데이타!$A$8:$BV$103,COLUMN(기본데이타!AW$8),0))</f>
        <v/>
      </c>
      <c r="AT134" s="596" t="str">
        <f>IF($A134="","",VLOOKUP($A134,기본데이타!$A$8:$BV$103,COLUMN(기본데이타!AX$8),0))</f>
        <v/>
      </c>
      <c r="AU134" s="596" t="str">
        <f>IF($A134="","",VLOOKUP($A134,기본데이타!$A$8:$BV$103,COLUMN(기본데이타!AY$8),0))</f>
        <v/>
      </c>
      <c r="AV134" s="596" t="str">
        <f t="shared" si="20"/>
        <v/>
      </c>
      <c r="AW134" s="597" t="str">
        <f>IF($A134="","",VLOOKUP($A134,기본데이타!$A$8:$BV$103,COLUMN(기본데이타!BA$8),0))</f>
        <v/>
      </c>
      <c r="AX134" s="597" t="str">
        <f>IF($A134="","",VLOOKUP($A134,기본데이타!$A$8:$BV$103,COLUMN(기본데이타!BB$8),0))</f>
        <v/>
      </c>
      <c r="AY134" s="597" t="str">
        <f>IF($A134="","",VLOOKUP($A134,기본데이타!$A$8:$BV$103,COLUMN(기본데이타!BC$8),0))</f>
        <v/>
      </c>
      <c r="AZ134" s="597" t="str">
        <f>IF($A134="","",VLOOKUP($A134,기본데이타!$A$8:$BV$103,COLUMN(기본데이타!BD$8),0))</f>
        <v/>
      </c>
      <c r="BA134" s="597" t="str">
        <f>IF($A134="","",VLOOKUP($A134,기본데이타!$A$8:$BV$103,COLUMN(기본데이타!BE$8),0))</f>
        <v/>
      </c>
      <c r="BB134" s="597" t="str">
        <f>IF($A134="","",VLOOKUP($A134,기본데이타!$A$8:$BV$103,COLUMN(기본데이타!BF$8),0))</f>
        <v/>
      </c>
      <c r="BC134" s="597" t="str">
        <f>IF($A134="","",VLOOKUP($A134,기본데이타!$A$8:$BV$103,COLUMN(기본데이타!BG$8),0))</f>
        <v/>
      </c>
      <c r="BD134" s="597" t="str">
        <f>IF($A134="","",VLOOKUP($A134,기본데이타!$A$8:$BV$103,COLUMN(기본데이타!BH$8),0))</f>
        <v/>
      </c>
      <c r="BE134" s="597" t="str">
        <f>IF($A134="","",VLOOKUP($A134,기본데이타!$A$8:$BV$103,COLUMN(기본데이타!BI$8),0))</f>
        <v/>
      </c>
      <c r="BF134" s="597" t="str">
        <f>IF($A134="","",VLOOKUP($A134,기본데이타!$A$8:$BV$103,COLUMN(기본데이타!BJ$8),0))</f>
        <v/>
      </c>
      <c r="BG134" s="597" t="str">
        <f>IF($A134="","",VLOOKUP($A134,기본데이타!$A$8:$BV$103,COLUMN(기본데이타!BK$8),0))</f>
        <v/>
      </c>
      <c r="BH134" s="597" t="str">
        <f>IF($A134="","",VLOOKUP($A134,기본데이타!$A$8:$BV$103,COLUMN(기본데이타!BL$8),0))</f>
        <v/>
      </c>
      <c r="BI134" s="597" t="str">
        <f>IF($A134="","",VLOOKUP($A134,기본데이타!$A$8:$BV$103,COLUMN(기본데이타!BM$8),0))</f>
        <v/>
      </c>
      <c r="BJ134" s="597" t="str">
        <f>IF($A134="","",VLOOKUP($A134,기본데이타!$A$8:$BV$103,COLUMN(기본데이타!BN$8),0))</f>
        <v/>
      </c>
      <c r="BK134" s="597" t="str">
        <f>IF($A134="","",VLOOKUP($A134,기본데이타!$A$8:$BV$103,COLUMN(기본데이타!BO$8),0))</f>
        <v/>
      </c>
      <c r="BL134" s="597" t="str">
        <f>IF($A134="","",VLOOKUP($A134,기본데이타!$A$8:$BV$103,COLUMN(기본데이타!BP$8),0))</f>
        <v/>
      </c>
      <c r="BM134" s="597" t="str">
        <f>IF($A134="","",VLOOKUP($A134,기본데이타!$A$8:$BV$103,COLUMN(기본데이타!BQ$8),0))</f>
        <v/>
      </c>
      <c r="BN134" s="599" t="str">
        <f>IF($A134="","",VLOOKUP($A134,기본데이타!$A$8:$BV$103,COLUMN(기본데이타!BR$8),0))</f>
        <v/>
      </c>
      <c r="BO134" s="600" t="str">
        <f>IF($A134="","",VLOOKUP($A134,기본데이타!$A$8:$BV$103,COLUMN(기본데이타!BS$8),0))</f>
        <v/>
      </c>
      <c r="BP134" s="623" t="str">
        <f>IF($A134="","",VLOOKUP($A134,기본데이타!$A$8:$BV$103,COLUMN(기본데이타!BT$8),0))</f>
        <v/>
      </c>
      <c r="BQ134" s="602" t="str">
        <f>IF($A134="","",VLOOKUP($A134,기본데이타!$A$8:$BV$103,COLUMN(기본데이타!BU$8),0))</f>
        <v/>
      </c>
      <c r="BR134" s="603" t="str">
        <f t="shared" si="21"/>
        <v/>
      </c>
    </row>
    <row r="135" spans="1:70" s="571" customFormat="1" ht="61.5" hidden="1" customHeight="1">
      <c r="A135" s="578"/>
      <c r="B135" s="1642"/>
      <c r="C135" s="590"/>
      <c r="D135" s="673" t="str">
        <f>IF($A135="","",VLOOKUP($A135,기본데이타!$A$8:$BV$103,COLUMN(기본데이타!F$8),0))</f>
        <v/>
      </c>
      <c r="E135" s="630" t="str">
        <f>IF($A135="","",VLOOKUP($A135,기본데이타!$A$8:$BV$103,COLUMN(기본데이타!G$8),0))</f>
        <v/>
      </c>
      <c r="F135" s="631" t="str">
        <f>IF($A135="","",VLOOKUP($A135,기본데이타!$A$8:$BV$103,COLUMN(기본데이타!H$8),0))</f>
        <v/>
      </c>
      <c r="G135" s="632" t="str">
        <f>IF($A135="","",VLOOKUP($A135,기본데이타!$A$8:$BV$103,COLUMN(기본데이타!I$8),0))</f>
        <v/>
      </c>
      <c r="H135" s="632" t="str">
        <f>IF($A135="","",VLOOKUP($A135,기본데이타!$A$8:$BV$103,COLUMN(기본데이타!J$8),0))</f>
        <v/>
      </c>
      <c r="I135" s="633" t="str">
        <f>IF($A135="","",VLOOKUP($A135,기본데이타!$A$8:$BV$103,COLUMN(기본데이타!K$8),0))</f>
        <v/>
      </c>
      <c r="J135" s="633" t="str">
        <f>IF($A135="","",VLOOKUP($A135,기본데이타!$A$8:$BV$103,COLUMN(기본데이타!L$8),0))</f>
        <v/>
      </c>
      <c r="K135" s="633" t="str">
        <f>IF($A135="","",VLOOKUP($A135,기본데이타!$A$8:$BV$103,COLUMN(기본데이타!M$8),0))</f>
        <v/>
      </c>
      <c r="L135" s="634" t="str">
        <f>IF($A135="","",VLOOKUP($A135,기본데이타!$A$8:$BV$103,COLUMN(기본데이타!N$8),0))</f>
        <v/>
      </c>
      <c r="M135" s="633" t="str">
        <f>IF($A135="","",VLOOKUP($A135,기본데이타!$A$8:$BV$103,COLUMN(기본데이타!O$8),0))</f>
        <v/>
      </c>
      <c r="N135" s="634" t="str">
        <f>IF($A135="","",VLOOKUP($A135,기본데이타!$A$8:$BV$103,COLUMN(기본데이타!P$8),0))</f>
        <v/>
      </c>
      <c r="O135" s="634" t="str">
        <f>IF($A135="","",VLOOKUP($A135,기본데이타!$A$8:$BV$103,COLUMN(기본데이타!Q$8),0))</f>
        <v/>
      </c>
      <c r="P135" s="634" t="str">
        <f>IF($A135="","",VLOOKUP($A135,기본데이타!$A$8:$BV$103,COLUMN(기본데이타!R$8),0))</f>
        <v/>
      </c>
      <c r="Q135" s="634" t="str">
        <f>IF($A135="","",VLOOKUP($A135,기본데이타!$A$8:$BV$103,COLUMN(기본데이타!S$8),0))</f>
        <v/>
      </c>
      <c r="R135" s="634" t="str">
        <f>IF($A135="","",VLOOKUP($A135,기본데이타!$A$8:$BV$103,COLUMN(기본데이타!T$8),0))</f>
        <v/>
      </c>
      <c r="S135" s="634" t="str">
        <f>IF($A135="","",VLOOKUP($A135,기본데이타!$A$8:$BV$103,COLUMN(기본데이타!U$8),0))</f>
        <v/>
      </c>
      <c r="T135" s="634" t="str">
        <f>IF($A135="","",VLOOKUP($A135,기본데이타!$A$8:$BV$103,COLUMN(기본데이타!V$8),0))</f>
        <v/>
      </c>
      <c r="U135" s="634" t="str">
        <f>IF($A135="","",VLOOKUP($A135,기본데이타!$A$8:$BV$103,COLUMN(기본데이타!W$8),0))</f>
        <v/>
      </c>
      <c r="V135" s="634" t="str">
        <f>IF($A135="","",VLOOKUP($A135,기본데이타!$A$8:$BV$103,COLUMN(기본데이타!X$8),0))</f>
        <v/>
      </c>
      <c r="W135" s="634" t="str">
        <f>IF($A135="","",VLOOKUP($A135,기본데이타!$A$8:$BV$103,COLUMN(기본데이타!AA$8),0))</f>
        <v/>
      </c>
      <c r="X135" s="634" t="str">
        <f>IF($A135="","",VLOOKUP($A135,기본데이타!$A$8:$BV$103,COLUMN(기본데이타!AB$8),0))</f>
        <v/>
      </c>
      <c r="Y135" s="633" t="str">
        <f>IF($A135="","",VLOOKUP($A135,기본데이타!$A$8:$BV$103,COLUMN(기본데이타!AC$8),0))</f>
        <v/>
      </c>
      <c r="Z135" s="634" t="str">
        <f>IF($A135="","",VLOOKUP($A135,기본데이타!$A$8:$BV$103,COLUMN(기본데이타!AD$8),0))</f>
        <v/>
      </c>
      <c r="AA135" s="633" t="str">
        <f>IF($A135="","",VLOOKUP($A135,기본데이타!$A$8:$BV$103,COLUMN(기본데이타!AE$8),0))</f>
        <v/>
      </c>
      <c r="AB135" s="634" t="str">
        <f>IF($A135="","",VLOOKUP($A135,기본데이타!$A$8:$BV$103,COLUMN(기본데이타!AF$8),0))</f>
        <v/>
      </c>
      <c r="AC135" s="633" t="str">
        <f>IF($A135="","",VLOOKUP($A135,기본데이타!$A$8:$BV$103,COLUMN(기본데이타!AG$8),0))</f>
        <v/>
      </c>
      <c r="AD135" s="634" t="str">
        <f>IF($A135="","",VLOOKUP($A135,기본데이타!$A$8:$BV$103,COLUMN(기본데이타!AH$8),0))</f>
        <v/>
      </c>
      <c r="AE135" s="633" t="str">
        <f>IF($A135="","",VLOOKUP($A135,기본데이타!$A$8:$BV$103,COLUMN(기본데이타!AI$8),0))</f>
        <v/>
      </c>
      <c r="AF135" s="635" t="str">
        <f>IF($A135="","",VLOOKUP($A135,기본데이타!$A$8:$BV$103,COLUMN(기본데이타!AJ$8),0))</f>
        <v/>
      </c>
      <c r="AG135" s="580" t="str">
        <f>IF($A135="","",VLOOKUP($A135,기본데이타!$A$8:$BV$103,COLUMN(기본데이타!AK$8),0))</f>
        <v/>
      </c>
      <c r="AH135" s="580" t="str">
        <f>IF($A135="","",VLOOKUP($A135,기본데이타!$A$8:$BV$103,COLUMN(기본데이타!AL$8),0))</f>
        <v/>
      </c>
      <c r="AI135" s="580" t="str">
        <f>IF($A135="","",VLOOKUP($A135,기본데이타!$A$8:$BV$103,COLUMN(기본데이타!AM$8),0))</f>
        <v/>
      </c>
      <c r="AJ135" s="636" t="str">
        <f>IF($A135="","",VLOOKUP($A135,기본데이타!$A$8:$BV$103,COLUMN(기본데이타!AN$8),0))</f>
        <v/>
      </c>
      <c r="AK135" s="636" t="str">
        <f>IF($A135="","",VLOOKUP($A135,기본데이타!$A$8:$BV$103,COLUMN(기본데이타!AO$8),0))</f>
        <v/>
      </c>
      <c r="AL135" s="636" t="str">
        <f>IF($A135="","",VLOOKUP($A135,기본데이타!$A$8:$BV$103,COLUMN(기본데이타!AP$8),0))</f>
        <v/>
      </c>
      <c r="AM135" s="636" t="str">
        <f>IF($A135="","",VLOOKUP($A135,기본데이타!$A$8:$BV$103,COLUMN(기본데이타!AQ$8),0))</f>
        <v/>
      </c>
      <c r="AN135" s="636" t="str">
        <f>IF($A135="","",VLOOKUP($A135,기본데이타!$A$8:$BV$103,COLUMN(기본데이타!AR$8),0))</f>
        <v/>
      </c>
      <c r="AO135" s="636" t="str">
        <f>IF($A135="","",VLOOKUP($A135,기본데이타!$A$8:$BV$103,COLUMN(기본데이타!AS$8),0))</f>
        <v/>
      </c>
      <c r="AP135" s="636" t="str">
        <f>IF($A135="","",VLOOKUP($A135,기본데이타!$A$8:$BV$103,COLUMN(기본데이타!AT$8),0))</f>
        <v/>
      </c>
      <c r="AQ135" s="636" t="str">
        <f>IF($A135="","",VLOOKUP($A135,기본데이타!$A$8:$BV$103,COLUMN(기본데이타!AU$8),0))</f>
        <v/>
      </c>
      <c r="AR135" s="637" t="str">
        <f>IF($A135="","",VLOOKUP($A135,기본데이타!$A$8:$BV$103,COLUMN(기본데이타!AV$8),0))</f>
        <v/>
      </c>
      <c r="AS135" s="634" t="str">
        <f>IF($A135="","",VLOOKUP($A135,기본데이타!$A$8:$BV$103,COLUMN(기본데이타!AW$8),0))</f>
        <v/>
      </c>
      <c r="AT135" s="634" t="str">
        <f>IF($A135="","",VLOOKUP($A135,기본데이타!$A$8:$BV$103,COLUMN(기본데이타!AX$8),0))</f>
        <v/>
      </c>
      <c r="AU135" s="634" t="str">
        <f>IF($A135="","",VLOOKUP($A135,기본데이타!$A$8:$BV$103,COLUMN(기본데이타!AY$8),0))</f>
        <v/>
      </c>
      <c r="AV135" s="634" t="str">
        <f t="shared" si="20"/>
        <v/>
      </c>
      <c r="AW135" s="635" t="str">
        <f>IF($A135="","",VLOOKUP($A135,기본데이타!$A$8:$BV$103,COLUMN(기본데이타!BA$8),0))</f>
        <v/>
      </c>
      <c r="AX135" s="635" t="str">
        <f>IF($A135="","",VLOOKUP($A135,기본데이타!$A$8:$BV$103,COLUMN(기본데이타!BB$8),0))</f>
        <v/>
      </c>
      <c r="AY135" s="635" t="str">
        <f>IF($A135="","",VLOOKUP($A135,기본데이타!$A$8:$BV$103,COLUMN(기본데이타!BC$8),0))</f>
        <v/>
      </c>
      <c r="AZ135" s="635" t="str">
        <f>IF($A135="","",VLOOKUP($A135,기본데이타!$A$8:$BV$103,COLUMN(기본데이타!BD$8),0))</f>
        <v/>
      </c>
      <c r="BA135" s="635" t="str">
        <f>IF($A135="","",VLOOKUP($A135,기본데이타!$A$8:$BV$103,COLUMN(기본데이타!BE$8),0))</f>
        <v/>
      </c>
      <c r="BB135" s="635" t="str">
        <f>IF($A135="","",VLOOKUP($A135,기본데이타!$A$8:$BV$103,COLUMN(기본데이타!BF$8),0))</f>
        <v/>
      </c>
      <c r="BC135" s="635" t="str">
        <f>IF($A135="","",VLOOKUP($A135,기본데이타!$A$8:$BV$103,COLUMN(기본데이타!BG$8),0))</f>
        <v/>
      </c>
      <c r="BD135" s="635" t="str">
        <f>IF($A135="","",VLOOKUP($A135,기본데이타!$A$8:$BV$103,COLUMN(기본데이타!BH$8),0))</f>
        <v/>
      </c>
      <c r="BE135" s="635" t="str">
        <f>IF($A135="","",VLOOKUP($A135,기본데이타!$A$8:$BV$103,COLUMN(기본데이타!BI$8),0))</f>
        <v/>
      </c>
      <c r="BF135" s="635" t="str">
        <f>IF($A135="","",VLOOKUP($A135,기본데이타!$A$8:$BV$103,COLUMN(기본데이타!BJ$8),0))</f>
        <v/>
      </c>
      <c r="BG135" s="635" t="str">
        <f>IF($A135="","",VLOOKUP($A135,기본데이타!$A$8:$BV$103,COLUMN(기본데이타!BK$8),0))</f>
        <v/>
      </c>
      <c r="BH135" s="635" t="str">
        <f>IF($A135="","",VLOOKUP($A135,기본데이타!$A$8:$BV$103,COLUMN(기본데이타!BL$8),0))</f>
        <v/>
      </c>
      <c r="BI135" s="635" t="str">
        <f>IF($A135="","",VLOOKUP($A135,기본데이타!$A$8:$BV$103,COLUMN(기본데이타!BM$8),0))</f>
        <v/>
      </c>
      <c r="BJ135" s="635" t="str">
        <f>IF($A135="","",VLOOKUP($A135,기본데이타!$A$8:$BV$103,COLUMN(기본데이타!BN$8),0))</f>
        <v/>
      </c>
      <c r="BK135" s="635" t="str">
        <f>IF($A135="","",VLOOKUP($A135,기본데이타!$A$8:$BV$103,COLUMN(기본데이타!BO$8),0))</f>
        <v/>
      </c>
      <c r="BL135" s="635" t="str">
        <f>IF($A135="","",VLOOKUP($A135,기본데이타!$A$8:$BV$103,COLUMN(기본데이타!BP$8),0))</f>
        <v/>
      </c>
      <c r="BM135" s="635" t="str">
        <f>IF($A135="","",VLOOKUP($A135,기본데이타!$A$8:$BV$103,COLUMN(기본데이타!BQ$8),0))</f>
        <v/>
      </c>
      <c r="BN135" s="638" t="str">
        <f>IF($A135="","",VLOOKUP($A135,기본데이타!$A$8:$BV$103,COLUMN(기본데이타!BR$8),0))</f>
        <v/>
      </c>
      <c r="BO135" s="579" t="str">
        <f>IF($A135="","",VLOOKUP($A135,기본데이타!$A$8:$BV$103,COLUMN(기본데이타!BS$8),0))</f>
        <v/>
      </c>
      <c r="BP135" s="639" t="str">
        <f>IF($A135="","",VLOOKUP($A135,기본데이타!$A$8:$BV$103,COLUMN(기본데이타!BT$8),0))</f>
        <v/>
      </c>
      <c r="BQ135" s="640" t="str">
        <f>IF($A135="","",VLOOKUP($A135,기본데이타!$A$8:$BV$103,COLUMN(기본데이타!BU$8),0))</f>
        <v/>
      </c>
      <c r="BR135" s="625" t="str">
        <f t="shared" si="21"/>
        <v/>
      </c>
    </row>
    <row r="136" spans="1:70" s="571" customFormat="1" ht="61.5" hidden="1" customHeight="1">
      <c r="A136" s="578"/>
      <c r="B136" s="1642"/>
      <c r="C136" s="590"/>
      <c r="D136" s="673" t="str">
        <f>IF($A136="","",VLOOKUP($A136,기본데이타!$A$8:$BV$103,COLUMN(기본데이타!F$8),0))</f>
        <v/>
      </c>
      <c r="E136" s="630" t="str">
        <f>IF($A136="","",VLOOKUP($A136,기본데이타!$A$8:$BV$103,COLUMN(기본데이타!G$8),0))</f>
        <v/>
      </c>
      <c r="F136" s="631" t="str">
        <f>IF($A136="","",VLOOKUP($A136,기본데이타!$A$8:$BV$103,COLUMN(기본데이타!H$8),0))</f>
        <v/>
      </c>
      <c r="G136" s="632" t="str">
        <f>IF($A136="","",VLOOKUP($A136,기본데이타!$A$8:$BV$103,COLUMN(기본데이타!I$8),0))</f>
        <v/>
      </c>
      <c r="H136" s="632" t="str">
        <f>IF($A136="","",VLOOKUP($A136,기본데이타!$A$8:$BV$103,COLUMN(기본데이타!J$8),0))</f>
        <v/>
      </c>
      <c r="I136" s="633" t="str">
        <f>IF($A136="","",VLOOKUP($A136,기본데이타!$A$8:$BV$103,COLUMN(기본데이타!K$8),0))</f>
        <v/>
      </c>
      <c r="J136" s="633" t="str">
        <f>IF($A136="","",VLOOKUP($A136,기본데이타!$A$8:$BV$103,COLUMN(기본데이타!L$8),0))</f>
        <v/>
      </c>
      <c r="K136" s="633" t="str">
        <f>IF($A136="","",VLOOKUP($A136,기본데이타!$A$8:$BV$103,COLUMN(기본데이타!M$8),0))</f>
        <v/>
      </c>
      <c r="L136" s="634" t="str">
        <f>IF($A136="","",VLOOKUP($A136,기본데이타!$A$8:$BV$103,COLUMN(기본데이타!N$8),0))</f>
        <v/>
      </c>
      <c r="M136" s="633" t="str">
        <f>IF($A136="","",VLOOKUP($A136,기본데이타!$A$8:$BV$103,COLUMN(기본데이타!O$8),0))</f>
        <v/>
      </c>
      <c r="N136" s="634" t="str">
        <f>IF($A136="","",VLOOKUP($A136,기본데이타!$A$8:$BV$103,COLUMN(기본데이타!P$8),0))</f>
        <v/>
      </c>
      <c r="O136" s="634" t="str">
        <f>IF($A136="","",VLOOKUP($A136,기본데이타!$A$8:$BV$103,COLUMN(기본데이타!Q$8),0))</f>
        <v/>
      </c>
      <c r="P136" s="634" t="str">
        <f>IF($A136="","",VLOOKUP($A136,기본데이타!$A$8:$BV$103,COLUMN(기본데이타!R$8),0))</f>
        <v/>
      </c>
      <c r="Q136" s="634" t="str">
        <f>IF($A136="","",VLOOKUP($A136,기본데이타!$A$8:$BV$103,COLUMN(기본데이타!S$8),0))</f>
        <v/>
      </c>
      <c r="R136" s="634" t="str">
        <f>IF($A136="","",VLOOKUP($A136,기본데이타!$A$8:$BV$103,COLUMN(기본데이타!T$8),0))</f>
        <v/>
      </c>
      <c r="S136" s="634" t="str">
        <f>IF($A136="","",VLOOKUP($A136,기본데이타!$A$8:$BV$103,COLUMN(기본데이타!U$8),0))</f>
        <v/>
      </c>
      <c r="T136" s="634" t="str">
        <f>IF($A136="","",VLOOKUP($A136,기본데이타!$A$8:$BV$103,COLUMN(기본데이타!V$8),0))</f>
        <v/>
      </c>
      <c r="U136" s="634" t="str">
        <f>IF($A136="","",VLOOKUP($A136,기본데이타!$A$8:$BV$103,COLUMN(기본데이타!W$8),0))</f>
        <v/>
      </c>
      <c r="V136" s="634" t="str">
        <f>IF($A136="","",VLOOKUP($A136,기본데이타!$A$8:$BV$103,COLUMN(기본데이타!X$8),0))</f>
        <v/>
      </c>
      <c r="W136" s="634" t="str">
        <f>IF($A136="","",VLOOKUP($A136,기본데이타!$A$8:$BV$103,COLUMN(기본데이타!AA$8),0))</f>
        <v/>
      </c>
      <c r="X136" s="634" t="str">
        <f>IF($A136="","",VLOOKUP($A136,기본데이타!$A$8:$BV$103,COLUMN(기본데이타!AB$8),0))</f>
        <v/>
      </c>
      <c r="Y136" s="633" t="str">
        <f>IF($A136="","",VLOOKUP($A136,기본데이타!$A$8:$BV$103,COLUMN(기본데이타!AC$8),0))</f>
        <v/>
      </c>
      <c r="Z136" s="634" t="str">
        <f>IF($A136="","",VLOOKUP($A136,기본데이타!$A$8:$BV$103,COLUMN(기본데이타!AD$8),0))</f>
        <v/>
      </c>
      <c r="AA136" s="633" t="str">
        <f>IF($A136="","",VLOOKUP($A136,기본데이타!$A$8:$BV$103,COLUMN(기본데이타!AE$8),0))</f>
        <v/>
      </c>
      <c r="AB136" s="634" t="str">
        <f>IF($A136="","",VLOOKUP($A136,기본데이타!$A$8:$BV$103,COLUMN(기본데이타!AF$8),0))</f>
        <v/>
      </c>
      <c r="AC136" s="633" t="str">
        <f>IF($A136="","",VLOOKUP($A136,기본데이타!$A$8:$BV$103,COLUMN(기본데이타!AG$8),0))</f>
        <v/>
      </c>
      <c r="AD136" s="634" t="str">
        <f>IF($A136="","",VLOOKUP($A136,기본데이타!$A$8:$BV$103,COLUMN(기본데이타!AH$8),0))</f>
        <v/>
      </c>
      <c r="AE136" s="633" t="str">
        <f>IF($A136="","",VLOOKUP($A136,기본데이타!$A$8:$BV$103,COLUMN(기본데이타!AI$8),0))</f>
        <v/>
      </c>
      <c r="AF136" s="635" t="str">
        <f>IF($A136="","",VLOOKUP($A136,기본데이타!$A$8:$BV$103,COLUMN(기본데이타!AJ$8),0))</f>
        <v/>
      </c>
      <c r="AG136" s="580" t="str">
        <f>IF($A136="","",VLOOKUP($A136,기본데이타!$A$8:$BV$103,COLUMN(기본데이타!AK$8),0))</f>
        <v/>
      </c>
      <c r="AH136" s="580" t="str">
        <f>IF($A136="","",VLOOKUP($A136,기본데이타!$A$8:$BV$103,COLUMN(기본데이타!AL$8),0))</f>
        <v/>
      </c>
      <c r="AI136" s="580" t="str">
        <f>IF($A136="","",VLOOKUP($A136,기본데이타!$A$8:$BV$103,COLUMN(기본데이타!AM$8),0))</f>
        <v/>
      </c>
      <c r="AJ136" s="636" t="str">
        <f>IF($A136="","",VLOOKUP($A136,기본데이타!$A$8:$BV$103,COLUMN(기본데이타!AN$8),0))</f>
        <v/>
      </c>
      <c r="AK136" s="636" t="str">
        <f>IF($A136="","",VLOOKUP($A136,기본데이타!$A$8:$BV$103,COLUMN(기본데이타!AO$8),0))</f>
        <v/>
      </c>
      <c r="AL136" s="636" t="str">
        <f>IF($A136="","",VLOOKUP($A136,기본데이타!$A$8:$BV$103,COLUMN(기본데이타!AP$8),0))</f>
        <v/>
      </c>
      <c r="AM136" s="636" t="str">
        <f>IF($A136="","",VLOOKUP($A136,기본데이타!$A$8:$BV$103,COLUMN(기본데이타!AQ$8),0))</f>
        <v/>
      </c>
      <c r="AN136" s="636" t="str">
        <f>IF($A136="","",VLOOKUP($A136,기본데이타!$A$8:$BV$103,COLUMN(기본데이타!AR$8),0))</f>
        <v/>
      </c>
      <c r="AO136" s="636" t="str">
        <f>IF($A136="","",VLOOKUP($A136,기본데이타!$A$8:$BV$103,COLUMN(기본데이타!AS$8),0))</f>
        <v/>
      </c>
      <c r="AP136" s="636" t="str">
        <f>IF($A136="","",VLOOKUP($A136,기본데이타!$A$8:$BV$103,COLUMN(기본데이타!AT$8),0))</f>
        <v/>
      </c>
      <c r="AQ136" s="636" t="str">
        <f>IF($A136="","",VLOOKUP($A136,기본데이타!$A$8:$BV$103,COLUMN(기본데이타!AU$8),0))</f>
        <v/>
      </c>
      <c r="AR136" s="637" t="str">
        <f>IF($A136="","",VLOOKUP($A136,기본데이타!$A$8:$BV$103,COLUMN(기본데이타!AV$8),0))</f>
        <v/>
      </c>
      <c r="AS136" s="634" t="str">
        <f>IF($A136="","",VLOOKUP($A136,기본데이타!$A$8:$BV$103,COLUMN(기본데이타!AW$8),0))</f>
        <v/>
      </c>
      <c r="AT136" s="634" t="str">
        <f>IF($A136="","",VLOOKUP($A136,기본데이타!$A$8:$BV$103,COLUMN(기본데이타!AX$8),0))</f>
        <v/>
      </c>
      <c r="AU136" s="634" t="str">
        <f>IF($A136="","",VLOOKUP($A136,기본데이타!$A$8:$BV$103,COLUMN(기본데이타!AY$8),0))</f>
        <v/>
      </c>
      <c r="AV136" s="634" t="str">
        <f t="shared" si="20"/>
        <v/>
      </c>
      <c r="AW136" s="635" t="str">
        <f>IF($A136="","",VLOOKUP($A136,기본데이타!$A$8:$BV$103,COLUMN(기본데이타!BA$8),0))</f>
        <v/>
      </c>
      <c r="AX136" s="635" t="str">
        <f>IF($A136="","",VLOOKUP($A136,기본데이타!$A$8:$BV$103,COLUMN(기본데이타!BB$8),0))</f>
        <v/>
      </c>
      <c r="AY136" s="635" t="str">
        <f>IF($A136="","",VLOOKUP($A136,기본데이타!$A$8:$BV$103,COLUMN(기본데이타!BC$8),0))</f>
        <v/>
      </c>
      <c r="AZ136" s="635" t="str">
        <f>IF($A136="","",VLOOKUP($A136,기본데이타!$A$8:$BV$103,COLUMN(기본데이타!BD$8),0))</f>
        <v/>
      </c>
      <c r="BA136" s="635" t="str">
        <f>IF($A136="","",VLOOKUP($A136,기본데이타!$A$8:$BV$103,COLUMN(기본데이타!BE$8),0))</f>
        <v/>
      </c>
      <c r="BB136" s="635" t="str">
        <f>IF($A136="","",VLOOKUP($A136,기본데이타!$A$8:$BV$103,COLUMN(기본데이타!BF$8),0))</f>
        <v/>
      </c>
      <c r="BC136" s="635" t="str">
        <f>IF($A136="","",VLOOKUP($A136,기본데이타!$A$8:$BV$103,COLUMN(기본데이타!BG$8),0))</f>
        <v/>
      </c>
      <c r="BD136" s="635" t="str">
        <f>IF($A136="","",VLOOKUP($A136,기본데이타!$A$8:$BV$103,COLUMN(기본데이타!BH$8),0))</f>
        <v/>
      </c>
      <c r="BE136" s="635" t="str">
        <f>IF($A136="","",VLOOKUP($A136,기본데이타!$A$8:$BV$103,COLUMN(기본데이타!BI$8),0))</f>
        <v/>
      </c>
      <c r="BF136" s="635" t="str">
        <f>IF($A136="","",VLOOKUP($A136,기본데이타!$A$8:$BV$103,COLUMN(기본데이타!BJ$8),0))</f>
        <v/>
      </c>
      <c r="BG136" s="635" t="str">
        <f>IF($A136="","",VLOOKUP($A136,기본데이타!$A$8:$BV$103,COLUMN(기본데이타!BK$8),0))</f>
        <v/>
      </c>
      <c r="BH136" s="635" t="str">
        <f>IF($A136="","",VLOOKUP($A136,기본데이타!$A$8:$BV$103,COLUMN(기본데이타!BL$8),0))</f>
        <v/>
      </c>
      <c r="BI136" s="635" t="str">
        <f>IF($A136="","",VLOOKUP($A136,기본데이타!$A$8:$BV$103,COLUMN(기본데이타!BM$8),0))</f>
        <v/>
      </c>
      <c r="BJ136" s="635" t="str">
        <f>IF($A136="","",VLOOKUP($A136,기본데이타!$A$8:$BV$103,COLUMN(기본데이타!BN$8),0))</f>
        <v/>
      </c>
      <c r="BK136" s="635" t="str">
        <f>IF($A136="","",VLOOKUP($A136,기본데이타!$A$8:$BV$103,COLUMN(기본데이타!BO$8),0))</f>
        <v/>
      </c>
      <c r="BL136" s="635" t="str">
        <f>IF($A136="","",VLOOKUP($A136,기본데이타!$A$8:$BV$103,COLUMN(기본데이타!BP$8),0))</f>
        <v/>
      </c>
      <c r="BM136" s="635" t="str">
        <f>IF($A136="","",VLOOKUP($A136,기본데이타!$A$8:$BV$103,COLUMN(기본데이타!BQ$8),0))</f>
        <v/>
      </c>
      <c r="BN136" s="638" t="str">
        <f>IF($A136="","",VLOOKUP($A136,기본데이타!$A$8:$BV$103,COLUMN(기본데이타!BR$8),0))</f>
        <v/>
      </c>
      <c r="BO136" s="579" t="str">
        <f>IF($A136="","",VLOOKUP($A136,기본데이타!$A$8:$BV$103,COLUMN(기본데이타!BS$8),0))</f>
        <v/>
      </c>
      <c r="BP136" s="639" t="str">
        <f>IF($A136="","",VLOOKUP($A136,기본데이타!$A$8:$BV$103,COLUMN(기본데이타!BT$8),0))</f>
        <v/>
      </c>
      <c r="BQ136" s="640" t="str">
        <f>IF($A136="","",VLOOKUP($A136,기본데이타!$A$8:$BV$103,COLUMN(기본데이타!BU$8),0))</f>
        <v/>
      </c>
      <c r="BR136" s="625" t="str">
        <f t="shared" si="21"/>
        <v/>
      </c>
    </row>
    <row r="137" spans="1:70" s="571" customFormat="1" ht="61.5" hidden="1" customHeight="1">
      <c r="A137" s="578"/>
      <c r="B137" s="1642"/>
      <c r="C137" s="590"/>
      <c r="D137" s="673" t="str">
        <f>IF($A137="","",VLOOKUP($A137,기본데이타!$A$8:$BV$103,COLUMN(기본데이타!F$8),0))</f>
        <v/>
      </c>
      <c r="E137" s="630" t="str">
        <f>IF($A137="","",VLOOKUP($A137,기본데이타!$A$8:$BV$103,COLUMN(기본데이타!G$8),0))</f>
        <v/>
      </c>
      <c r="F137" s="631" t="str">
        <f>IF($A137="","",VLOOKUP($A137,기본데이타!$A$8:$BV$103,COLUMN(기본데이타!H$8),0))</f>
        <v/>
      </c>
      <c r="G137" s="632" t="str">
        <f>IF($A137="","",VLOOKUP($A137,기본데이타!$A$8:$BV$103,COLUMN(기본데이타!I$8),0))</f>
        <v/>
      </c>
      <c r="H137" s="632" t="str">
        <f>IF($A137="","",VLOOKUP($A137,기본데이타!$A$8:$BV$103,COLUMN(기본데이타!J$8),0))</f>
        <v/>
      </c>
      <c r="I137" s="633" t="str">
        <f>IF($A137="","",VLOOKUP($A137,기본데이타!$A$8:$BV$103,COLUMN(기본데이타!K$8),0))</f>
        <v/>
      </c>
      <c r="J137" s="633" t="str">
        <f>IF($A137="","",VLOOKUP($A137,기본데이타!$A$8:$BV$103,COLUMN(기본데이타!L$8),0))</f>
        <v/>
      </c>
      <c r="K137" s="633" t="str">
        <f>IF($A137="","",VLOOKUP($A137,기본데이타!$A$8:$BV$103,COLUMN(기본데이타!M$8),0))</f>
        <v/>
      </c>
      <c r="L137" s="634" t="str">
        <f>IF($A137="","",VLOOKUP($A137,기본데이타!$A$8:$BV$103,COLUMN(기본데이타!N$8),0))</f>
        <v/>
      </c>
      <c r="M137" s="633" t="str">
        <f>IF($A137="","",VLOOKUP($A137,기본데이타!$A$8:$BV$103,COLUMN(기본데이타!O$8),0))</f>
        <v/>
      </c>
      <c r="N137" s="634" t="str">
        <f>IF($A137="","",VLOOKUP($A137,기본데이타!$A$8:$BV$103,COLUMN(기본데이타!P$8),0))</f>
        <v/>
      </c>
      <c r="O137" s="634" t="str">
        <f>IF($A137="","",VLOOKUP($A137,기본데이타!$A$8:$BV$103,COLUMN(기본데이타!Q$8),0))</f>
        <v/>
      </c>
      <c r="P137" s="634" t="str">
        <f>IF($A137="","",VLOOKUP($A137,기본데이타!$A$8:$BV$103,COLUMN(기본데이타!R$8),0))</f>
        <v/>
      </c>
      <c r="Q137" s="634" t="str">
        <f>IF($A137="","",VLOOKUP($A137,기본데이타!$A$8:$BV$103,COLUMN(기본데이타!S$8),0))</f>
        <v/>
      </c>
      <c r="R137" s="634" t="str">
        <f>IF($A137="","",VLOOKUP($A137,기본데이타!$A$8:$BV$103,COLUMN(기본데이타!T$8),0))</f>
        <v/>
      </c>
      <c r="S137" s="634" t="str">
        <f>IF($A137="","",VLOOKUP($A137,기본데이타!$A$8:$BV$103,COLUMN(기본데이타!U$8),0))</f>
        <v/>
      </c>
      <c r="T137" s="634" t="str">
        <f>IF($A137="","",VLOOKUP($A137,기본데이타!$A$8:$BV$103,COLUMN(기본데이타!V$8),0))</f>
        <v/>
      </c>
      <c r="U137" s="634" t="str">
        <f>IF($A137="","",VLOOKUP($A137,기본데이타!$A$8:$BV$103,COLUMN(기본데이타!W$8),0))</f>
        <v/>
      </c>
      <c r="V137" s="634" t="str">
        <f>IF($A137="","",VLOOKUP($A137,기본데이타!$A$8:$BV$103,COLUMN(기본데이타!X$8),0))</f>
        <v/>
      </c>
      <c r="W137" s="634" t="str">
        <f>IF($A137="","",VLOOKUP($A137,기본데이타!$A$8:$BV$103,COLUMN(기본데이타!AA$8),0))</f>
        <v/>
      </c>
      <c r="X137" s="634" t="str">
        <f>IF($A137="","",VLOOKUP($A137,기본데이타!$A$8:$BV$103,COLUMN(기본데이타!AB$8),0))</f>
        <v/>
      </c>
      <c r="Y137" s="633" t="str">
        <f>IF($A137="","",VLOOKUP($A137,기본데이타!$A$8:$BV$103,COLUMN(기본데이타!AC$8),0))</f>
        <v/>
      </c>
      <c r="Z137" s="634" t="str">
        <f>IF($A137="","",VLOOKUP($A137,기본데이타!$A$8:$BV$103,COLUMN(기본데이타!AD$8),0))</f>
        <v/>
      </c>
      <c r="AA137" s="633" t="str">
        <f>IF($A137="","",VLOOKUP($A137,기본데이타!$A$8:$BV$103,COLUMN(기본데이타!AE$8),0))</f>
        <v/>
      </c>
      <c r="AB137" s="634" t="str">
        <f>IF($A137="","",VLOOKUP($A137,기본데이타!$A$8:$BV$103,COLUMN(기본데이타!AF$8),0))</f>
        <v/>
      </c>
      <c r="AC137" s="633" t="str">
        <f>IF($A137="","",VLOOKUP($A137,기본데이타!$A$8:$BV$103,COLUMN(기본데이타!AG$8),0))</f>
        <v/>
      </c>
      <c r="AD137" s="634" t="str">
        <f>IF($A137="","",VLOOKUP($A137,기본데이타!$A$8:$BV$103,COLUMN(기본데이타!AH$8),0))</f>
        <v/>
      </c>
      <c r="AE137" s="633" t="str">
        <f>IF($A137="","",VLOOKUP($A137,기본데이타!$A$8:$BV$103,COLUMN(기본데이타!AI$8),0))</f>
        <v/>
      </c>
      <c r="AF137" s="635" t="str">
        <f>IF($A137="","",VLOOKUP($A137,기본데이타!$A$8:$BV$103,COLUMN(기본데이타!AJ$8),0))</f>
        <v/>
      </c>
      <c r="AG137" s="580" t="str">
        <f>IF($A137="","",VLOOKUP($A137,기본데이타!$A$8:$BV$103,COLUMN(기본데이타!AK$8),0))</f>
        <v/>
      </c>
      <c r="AH137" s="580" t="str">
        <f>IF($A137="","",VLOOKUP($A137,기본데이타!$A$8:$BV$103,COLUMN(기본데이타!AL$8),0))</f>
        <v/>
      </c>
      <c r="AI137" s="580" t="str">
        <f>IF($A137="","",VLOOKUP($A137,기본데이타!$A$8:$BV$103,COLUMN(기본데이타!AM$8),0))</f>
        <v/>
      </c>
      <c r="AJ137" s="636" t="str">
        <f>IF($A137="","",VLOOKUP($A137,기본데이타!$A$8:$BV$103,COLUMN(기본데이타!AN$8),0))</f>
        <v/>
      </c>
      <c r="AK137" s="636" t="str">
        <f>IF($A137="","",VLOOKUP($A137,기본데이타!$A$8:$BV$103,COLUMN(기본데이타!AO$8),0))</f>
        <v/>
      </c>
      <c r="AL137" s="636" t="str">
        <f>IF($A137="","",VLOOKUP($A137,기본데이타!$A$8:$BV$103,COLUMN(기본데이타!AP$8),0))</f>
        <v/>
      </c>
      <c r="AM137" s="636" t="str">
        <f>IF($A137="","",VLOOKUP($A137,기본데이타!$A$8:$BV$103,COLUMN(기본데이타!AQ$8),0))</f>
        <v/>
      </c>
      <c r="AN137" s="636" t="str">
        <f>IF($A137="","",VLOOKUP($A137,기본데이타!$A$8:$BV$103,COLUMN(기본데이타!AR$8),0))</f>
        <v/>
      </c>
      <c r="AO137" s="636" t="str">
        <f>IF($A137="","",VLOOKUP($A137,기본데이타!$A$8:$BV$103,COLUMN(기본데이타!AS$8),0))</f>
        <v/>
      </c>
      <c r="AP137" s="636" t="str">
        <f>IF($A137="","",VLOOKUP($A137,기본데이타!$A$8:$BV$103,COLUMN(기본데이타!AT$8),0))</f>
        <v/>
      </c>
      <c r="AQ137" s="636" t="str">
        <f>IF($A137="","",VLOOKUP($A137,기본데이타!$A$8:$BV$103,COLUMN(기본데이타!AU$8),0))</f>
        <v/>
      </c>
      <c r="AR137" s="637" t="str">
        <f>IF($A137="","",VLOOKUP($A137,기본데이타!$A$8:$BV$103,COLUMN(기본데이타!AV$8),0))</f>
        <v/>
      </c>
      <c r="AS137" s="634" t="str">
        <f>IF($A137="","",VLOOKUP($A137,기본데이타!$A$8:$BV$103,COLUMN(기본데이타!AW$8),0))</f>
        <v/>
      </c>
      <c r="AT137" s="634" t="str">
        <f>IF($A137="","",VLOOKUP($A137,기본데이타!$A$8:$BV$103,COLUMN(기본데이타!AX$8),0))</f>
        <v/>
      </c>
      <c r="AU137" s="634" t="str">
        <f>IF($A137="","",VLOOKUP($A137,기본데이타!$A$8:$BV$103,COLUMN(기본데이타!AY$8),0))</f>
        <v/>
      </c>
      <c r="AV137" s="634" t="str">
        <f t="shared" ref="AV137:AV157" si="22">IF(AS137="","",SUM(AS137:AU137))</f>
        <v/>
      </c>
      <c r="AW137" s="635" t="str">
        <f>IF($A137="","",VLOOKUP($A137,기본데이타!$A$8:$BV$103,COLUMN(기본데이타!BA$8),0))</f>
        <v/>
      </c>
      <c r="AX137" s="635" t="str">
        <f>IF($A137="","",VLOOKUP($A137,기본데이타!$A$8:$BV$103,COLUMN(기본데이타!BB$8),0))</f>
        <v/>
      </c>
      <c r="AY137" s="635" t="str">
        <f>IF($A137="","",VLOOKUP($A137,기본데이타!$A$8:$BV$103,COLUMN(기본데이타!BC$8),0))</f>
        <v/>
      </c>
      <c r="AZ137" s="635" t="str">
        <f>IF($A137="","",VLOOKUP($A137,기본데이타!$A$8:$BV$103,COLUMN(기본데이타!BD$8),0))</f>
        <v/>
      </c>
      <c r="BA137" s="635" t="str">
        <f>IF($A137="","",VLOOKUP($A137,기본데이타!$A$8:$BV$103,COLUMN(기본데이타!BE$8),0))</f>
        <v/>
      </c>
      <c r="BB137" s="635" t="str">
        <f>IF($A137="","",VLOOKUP($A137,기본데이타!$A$8:$BV$103,COLUMN(기본데이타!BF$8),0))</f>
        <v/>
      </c>
      <c r="BC137" s="635" t="str">
        <f>IF($A137="","",VLOOKUP($A137,기본데이타!$A$8:$BV$103,COLUMN(기본데이타!BG$8),0))</f>
        <v/>
      </c>
      <c r="BD137" s="635" t="str">
        <f>IF($A137="","",VLOOKUP($A137,기본데이타!$A$8:$BV$103,COLUMN(기본데이타!BH$8),0))</f>
        <v/>
      </c>
      <c r="BE137" s="635" t="str">
        <f>IF($A137="","",VLOOKUP($A137,기본데이타!$A$8:$BV$103,COLUMN(기본데이타!BI$8),0))</f>
        <v/>
      </c>
      <c r="BF137" s="635" t="str">
        <f>IF($A137="","",VLOOKUP($A137,기본데이타!$A$8:$BV$103,COLUMN(기본데이타!BJ$8),0))</f>
        <v/>
      </c>
      <c r="BG137" s="635" t="str">
        <f>IF($A137="","",VLOOKUP($A137,기본데이타!$A$8:$BV$103,COLUMN(기본데이타!BK$8),0))</f>
        <v/>
      </c>
      <c r="BH137" s="635" t="str">
        <f>IF($A137="","",VLOOKUP($A137,기본데이타!$A$8:$BV$103,COLUMN(기본데이타!BL$8),0))</f>
        <v/>
      </c>
      <c r="BI137" s="635" t="str">
        <f>IF($A137="","",VLOOKUP($A137,기본데이타!$A$8:$BV$103,COLUMN(기본데이타!BM$8),0))</f>
        <v/>
      </c>
      <c r="BJ137" s="635" t="str">
        <f>IF($A137="","",VLOOKUP($A137,기본데이타!$A$8:$BV$103,COLUMN(기본데이타!BN$8),0))</f>
        <v/>
      </c>
      <c r="BK137" s="635" t="str">
        <f>IF($A137="","",VLOOKUP($A137,기본데이타!$A$8:$BV$103,COLUMN(기본데이타!BO$8),0))</f>
        <v/>
      </c>
      <c r="BL137" s="635" t="str">
        <f>IF($A137="","",VLOOKUP($A137,기본데이타!$A$8:$BV$103,COLUMN(기본데이타!BP$8),0))</f>
        <v/>
      </c>
      <c r="BM137" s="635" t="str">
        <f>IF($A137="","",VLOOKUP($A137,기본데이타!$A$8:$BV$103,COLUMN(기본데이타!BQ$8),0))</f>
        <v/>
      </c>
      <c r="BN137" s="638" t="str">
        <f>IF($A137="","",VLOOKUP($A137,기본데이타!$A$8:$BV$103,COLUMN(기본데이타!BR$8),0))</f>
        <v/>
      </c>
      <c r="BO137" s="579" t="str">
        <f>IF($A137="","",VLOOKUP($A137,기본데이타!$A$8:$BV$103,COLUMN(기본데이타!BS$8),0))</f>
        <v/>
      </c>
      <c r="BP137" s="639" t="str">
        <f>IF($A137="","",VLOOKUP($A137,기본데이타!$A$8:$BV$103,COLUMN(기본데이타!BT$8),0))</f>
        <v/>
      </c>
      <c r="BQ137" s="640" t="str">
        <f>IF($A137="","",VLOOKUP($A137,기본데이타!$A$8:$BV$103,COLUMN(기본데이타!BU$8),0))</f>
        <v/>
      </c>
      <c r="BR137" s="625" t="str">
        <f t="shared" ref="BR137:BR157" si="23">IF($A137="","",A137)</f>
        <v/>
      </c>
    </row>
    <row r="138" spans="1:70" s="571" customFormat="1" ht="61.5" hidden="1" customHeight="1">
      <c r="A138" s="578"/>
      <c r="B138" s="1642"/>
      <c r="C138" s="590"/>
      <c r="D138" s="673" t="str">
        <f>IF($A138="","",VLOOKUP($A138,기본데이타!$A$8:$BV$103,COLUMN(기본데이타!F$8),0))</f>
        <v/>
      </c>
      <c r="E138" s="630" t="str">
        <f>IF($A138="","",VLOOKUP($A138,기본데이타!$A$8:$BV$103,COLUMN(기본데이타!G$8),0))</f>
        <v/>
      </c>
      <c r="F138" s="631" t="str">
        <f>IF($A138="","",VLOOKUP($A138,기본데이타!$A$8:$BV$103,COLUMN(기본데이타!H$8),0))</f>
        <v/>
      </c>
      <c r="G138" s="632" t="str">
        <f>IF($A138="","",VLOOKUP($A138,기본데이타!$A$8:$BV$103,COLUMN(기본데이타!I$8),0))</f>
        <v/>
      </c>
      <c r="H138" s="632" t="str">
        <f>IF($A138="","",VLOOKUP($A138,기본데이타!$A$8:$BV$103,COLUMN(기본데이타!J$8),0))</f>
        <v/>
      </c>
      <c r="I138" s="633" t="str">
        <f>IF($A138="","",VLOOKUP($A138,기본데이타!$A$8:$BV$103,COLUMN(기본데이타!K$8),0))</f>
        <v/>
      </c>
      <c r="J138" s="633" t="str">
        <f>IF($A138="","",VLOOKUP($A138,기본데이타!$A$8:$BV$103,COLUMN(기본데이타!L$8),0))</f>
        <v/>
      </c>
      <c r="K138" s="633" t="str">
        <f>IF($A138="","",VLOOKUP($A138,기본데이타!$A$8:$BV$103,COLUMN(기본데이타!M$8),0))</f>
        <v/>
      </c>
      <c r="L138" s="634" t="str">
        <f>IF($A138="","",VLOOKUP($A138,기본데이타!$A$8:$BV$103,COLUMN(기본데이타!N$8),0))</f>
        <v/>
      </c>
      <c r="M138" s="633" t="str">
        <f>IF($A138="","",VLOOKUP($A138,기본데이타!$A$8:$BV$103,COLUMN(기본데이타!O$8),0))</f>
        <v/>
      </c>
      <c r="N138" s="634" t="str">
        <f>IF($A138="","",VLOOKUP($A138,기본데이타!$A$8:$BV$103,COLUMN(기본데이타!P$8),0))</f>
        <v/>
      </c>
      <c r="O138" s="634" t="str">
        <f>IF($A138="","",VLOOKUP($A138,기본데이타!$A$8:$BV$103,COLUMN(기본데이타!Q$8),0))</f>
        <v/>
      </c>
      <c r="P138" s="634" t="str">
        <f>IF($A138="","",VLOOKUP($A138,기본데이타!$A$8:$BV$103,COLUMN(기본데이타!R$8),0))</f>
        <v/>
      </c>
      <c r="Q138" s="634" t="str">
        <f>IF($A138="","",VLOOKUP($A138,기본데이타!$A$8:$BV$103,COLUMN(기본데이타!S$8),0))</f>
        <v/>
      </c>
      <c r="R138" s="634" t="str">
        <f>IF($A138="","",VLOOKUP($A138,기본데이타!$A$8:$BV$103,COLUMN(기본데이타!T$8),0))</f>
        <v/>
      </c>
      <c r="S138" s="634" t="str">
        <f>IF($A138="","",VLOOKUP($A138,기본데이타!$A$8:$BV$103,COLUMN(기본데이타!U$8),0))</f>
        <v/>
      </c>
      <c r="T138" s="634" t="str">
        <f>IF($A138="","",VLOOKUP($A138,기본데이타!$A$8:$BV$103,COLUMN(기본데이타!V$8),0))</f>
        <v/>
      </c>
      <c r="U138" s="634" t="str">
        <f>IF($A138="","",VLOOKUP($A138,기본데이타!$A$8:$BV$103,COLUMN(기본데이타!W$8),0))</f>
        <v/>
      </c>
      <c r="V138" s="634" t="str">
        <f>IF($A138="","",VLOOKUP($A138,기본데이타!$A$8:$BV$103,COLUMN(기본데이타!X$8),0))</f>
        <v/>
      </c>
      <c r="W138" s="634" t="str">
        <f>IF($A138="","",VLOOKUP($A138,기본데이타!$A$8:$BV$103,COLUMN(기본데이타!AA$8),0))</f>
        <v/>
      </c>
      <c r="X138" s="634" t="str">
        <f>IF($A138="","",VLOOKUP($A138,기본데이타!$A$8:$BV$103,COLUMN(기본데이타!AB$8),0))</f>
        <v/>
      </c>
      <c r="Y138" s="633" t="str">
        <f>IF($A138="","",VLOOKUP($A138,기본데이타!$A$8:$BV$103,COLUMN(기본데이타!AC$8),0))</f>
        <v/>
      </c>
      <c r="Z138" s="634" t="str">
        <f>IF($A138="","",VLOOKUP($A138,기본데이타!$A$8:$BV$103,COLUMN(기본데이타!AD$8),0))</f>
        <v/>
      </c>
      <c r="AA138" s="633" t="str">
        <f>IF($A138="","",VLOOKUP($A138,기본데이타!$A$8:$BV$103,COLUMN(기본데이타!AE$8),0))</f>
        <v/>
      </c>
      <c r="AB138" s="634" t="str">
        <f>IF($A138="","",VLOOKUP($A138,기본데이타!$A$8:$BV$103,COLUMN(기본데이타!AF$8),0))</f>
        <v/>
      </c>
      <c r="AC138" s="633" t="str">
        <f>IF($A138="","",VLOOKUP($A138,기본데이타!$A$8:$BV$103,COLUMN(기본데이타!AG$8),0))</f>
        <v/>
      </c>
      <c r="AD138" s="634" t="str">
        <f>IF($A138="","",VLOOKUP($A138,기본데이타!$A$8:$BV$103,COLUMN(기본데이타!AH$8),0))</f>
        <v/>
      </c>
      <c r="AE138" s="633" t="str">
        <f>IF($A138="","",VLOOKUP($A138,기본데이타!$A$8:$BV$103,COLUMN(기본데이타!AI$8),0))</f>
        <v/>
      </c>
      <c r="AF138" s="635" t="str">
        <f>IF($A138="","",VLOOKUP($A138,기본데이타!$A$8:$BV$103,COLUMN(기본데이타!AJ$8),0))</f>
        <v/>
      </c>
      <c r="AG138" s="580" t="str">
        <f>IF($A138="","",VLOOKUP($A138,기본데이타!$A$8:$BV$103,COLUMN(기본데이타!AK$8),0))</f>
        <v/>
      </c>
      <c r="AH138" s="580" t="str">
        <f>IF($A138="","",VLOOKUP($A138,기본데이타!$A$8:$BV$103,COLUMN(기본데이타!AL$8),0))</f>
        <v/>
      </c>
      <c r="AI138" s="580" t="str">
        <f>IF($A138="","",VLOOKUP($A138,기본데이타!$A$8:$BV$103,COLUMN(기본데이타!AM$8),0))</f>
        <v/>
      </c>
      <c r="AJ138" s="636" t="str">
        <f>IF($A138="","",VLOOKUP($A138,기본데이타!$A$8:$BV$103,COLUMN(기본데이타!AN$8),0))</f>
        <v/>
      </c>
      <c r="AK138" s="636" t="str">
        <f>IF($A138="","",VLOOKUP($A138,기본데이타!$A$8:$BV$103,COLUMN(기본데이타!AO$8),0))</f>
        <v/>
      </c>
      <c r="AL138" s="636" t="str">
        <f>IF($A138="","",VLOOKUP($A138,기본데이타!$A$8:$BV$103,COLUMN(기본데이타!AP$8),0))</f>
        <v/>
      </c>
      <c r="AM138" s="636" t="str">
        <f>IF($A138="","",VLOOKUP($A138,기본데이타!$A$8:$BV$103,COLUMN(기본데이타!AQ$8),0))</f>
        <v/>
      </c>
      <c r="AN138" s="636" t="str">
        <f>IF($A138="","",VLOOKUP($A138,기본데이타!$A$8:$BV$103,COLUMN(기본데이타!AR$8),0))</f>
        <v/>
      </c>
      <c r="AO138" s="636" t="str">
        <f>IF($A138="","",VLOOKUP($A138,기본데이타!$A$8:$BV$103,COLUMN(기본데이타!AS$8),0))</f>
        <v/>
      </c>
      <c r="AP138" s="636" t="str">
        <f>IF($A138="","",VLOOKUP($A138,기본데이타!$A$8:$BV$103,COLUMN(기본데이타!AT$8),0))</f>
        <v/>
      </c>
      <c r="AQ138" s="636" t="str">
        <f>IF($A138="","",VLOOKUP($A138,기본데이타!$A$8:$BV$103,COLUMN(기본데이타!AU$8),0))</f>
        <v/>
      </c>
      <c r="AR138" s="637" t="str">
        <f>IF($A138="","",VLOOKUP($A138,기본데이타!$A$8:$BV$103,COLUMN(기본데이타!AV$8),0))</f>
        <v/>
      </c>
      <c r="AS138" s="634" t="str">
        <f>IF($A138="","",VLOOKUP($A138,기본데이타!$A$8:$BV$103,COLUMN(기본데이타!AW$8),0))</f>
        <v/>
      </c>
      <c r="AT138" s="634" t="str">
        <f>IF($A138="","",VLOOKUP($A138,기본데이타!$A$8:$BV$103,COLUMN(기본데이타!AX$8),0))</f>
        <v/>
      </c>
      <c r="AU138" s="634" t="str">
        <f>IF($A138="","",VLOOKUP($A138,기본데이타!$A$8:$BV$103,COLUMN(기본데이타!AY$8),0))</f>
        <v/>
      </c>
      <c r="AV138" s="634" t="str">
        <f t="shared" si="22"/>
        <v/>
      </c>
      <c r="AW138" s="635" t="str">
        <f>IF($A138="","",VLOOKUP($A138,기본데이타!$A$8:$BV$103,COLUMN(기본데이타!BA$8),0))</f>
        <v/>
      </c>
      <c r="AX138" s="635" t="str">
        <f>IF($A138="","",VLOOKUP($A138,기본데이타!$A$8:$BV$103,COLUMN(기본데이타!BB$8),0))</f>
        <v/>
      </c>
      <c r="AY138" s="635" t="str">
        <f>IF($A138="","",VLOOKUP($A138,기본데이타!$A$8:$BV$103,COLUMN(기본데이타!BC$8),0))</f>
        <v/>
      </c>
      <c r="AZ138" s="635" t="str">
        <f>IF($A138="","",VLOOKUP($A138,기본데이타!$A$8:$BV$103,COLUMN(기본데이타!BD$8),0))</f>
        <v/>
      </c>
      <c r="BA138" s="635" t="str">
        <f>IF($A138="","",VLOOKUP($A138,기본데이타!$A$8:$BV$103,COLUMN(기본데이타!BE$8),0))</f>
        <v/>
      </c>
      <c r="BB138" s="635" t="str">
        <f>IF($A138="","",VLOOKUP($A138,기본데이타!$A$8:$BV$103,COLUMN(기본데이타!BF$8),0))</f>
        <v/>
      </c>
      <c r="BC138" s="635" t="str">
        <f>IF($A138="","",VLOOKUP($A138,기본데이타!$A$8:$BV$103,COLUMN(기본데이타!BG$8),0))</f>
        <v/>
      </c>
      <c r="BD138" s="635" t="str">
        <f>IF($A138="","",VLOOKUP($A138,기본데이타!$A$8:$BV$103,COLUMN(기본데이타!BH$8),0))</f>
        <v/>
      </c>
      <c r="BE138" s="635" t="str">
        <f>IF($A138="","",VLOOKUP($A138,기본데이타!$A$8:$BV$103,COLUMN(기본데이타!BI$8),0))</f>
        <v/>
      </c>
      <c r="BF138" s="635" t="str">
        <f>IF($A138="","",VLOOKUP($A138,기본데이타!$A$8:$BV$103,COLUMN(기본데이타!BJ$8),0))</f>
        <v/>
      </c>
      <c r="BG138" s="635" t="str">
        <f>IF($A138="","",VLOOKUP($A138,기본데이타!$A$8:$BV$103,COLUMN(기본데이타!BK$8),0))</f>
        <v/>
      </c>
      <c r="BH138" s="635" t="str">
        <f>IF($A138="","",VLOOKUP($A138,기본데이타!$A$8:$BV$103,COLUMN(기본데이타!BL$8),0))</f>
        <v/>
      </c>
      <c r="BI138" s="635" t="str">
        <f>IF($A138="","",VLOOKUP($A138,기본데이타!$A$8:$BV$103,COLUMN(기본데이타!BM$8),0))</f>
        <v/>
      </c>
      <c r="BJ138" s="635" t="str">
        <f>IF($A138="","",VLOOKUP($A138,기본데이타!$A$8:$BV$103,COLUMN(기본데이타!BN$8),0))</f>
        <v/>
      </c>
      <c r="BK138" s="635" t="str">
        <f>IF($A138="","",VLOOKUP($A138,기본데이타!$A$8:$BV$103,COLUMN(기본데이타!BO$8),0))</f>
        <v/>
      </c>
      <c r="BL138" s="635" t="str">
        <f>IF($A138="","",VLOOKUP($A138,기본데이타!$A$8:$BV$103,COLUMN(기본데이타!BP$8),0))</f>
        <v/>
      </c>
      <c r="BM138" s="635" t="str">
        <f>IF($A138="","",VLOOKUP($A138,기본데이타!$A$8:$BV$103,COLUMN(기본데이타!BQ$8),0))</f>
        <v/>
      </c>
      <c r="BN138" s="638" t="str">
        <f>IF($A138="","",VLOOKUP($A138,기본데이타!$A$8:$BV$103,COLUMN(기본데이타!BR$8),0))</f>
        <v/>
      </c>
      <c r="BO138" s="579" t="str">
        <f>IF($A138="","",VLOOKUP($A138,기본데이타!$A$8:$BV$103,COLUMN(기본데이타!BS$8),0))</f>
        <v/>
      </c>
      <c r="BP138" s="639" t="str">
        <f>IF($A138="","",VLOOKUP($A138,기본데이타!$A$8:$BV$103,COLUMN(기본데이타!BT$8),0))</f>
        <v/>
      </c>
      <c r="BQ138" s="640" t="str">
        <f>IF($A138="","",VLOOKUP($A138,기본데이타!$A$8:$BV$103,COLUMN(기본데이타!BU$8),0))</f>
        <v/>
      </c>
      <c r="BR138" s="625" t="str">
        <f t="shared" si="23"/>
        <v/>
      </c>
    </row>
    <row r="139" spans="1:70" s="571" customFormat="1" ht="61.5" hidden="1" customHeight="1">
      <c r="A139" s="578"/>
      <c r="B139" s="1642"/>
      <c r="C139" s="590"/>
      <c r="D139" s="673" t="str">
        <f>IF($A139="","",VLOOKUP($A139,기본데이타!$A$8:$BV$103,COLUMN(기본데이타!F$8),0))</f>
        <v/>
      </c>
      <c r="E139" s="630" t="str">
        <f>IF($A139="","",VLOOKUP($A139,기본데이타!$A$8:$BV$103,COLUMN(기본데이타!G$8),0))</f>
        <v/>
      </c>
      <c r="F139" s="631" t="str">
        <f>IF($A139="","",VLOOKUP($A139,기본데이타!$A$8:$BV$103,COLUMN(기본데이타!H$8),0))</f>
        <v/>
      </c>
      <c r="G139" s="632" t="str">
        <f>IF($A139="","",VLOOKUP($A139,기본데이타!$A$8:$BV$103,COLUMN(기본데이타!I$8),0))</f>
        <v/>
      </c>
      <c r="H139" s="632" t="str">
        <f>IF($A139="","",VLOOKUP($A139,기본데이타!$A$8:$BV$103,COLUMN(기본데이타!J$8),0))</f>
        <v/>
      </c>
      <c r="I139" s="633" t="str">
        <f>IF($A139="","",VLOOKUP($A139,기본데이타!$A$8:$BV$103,COLUMN(기본데이타!K$8),0))</f>
        <v/>
      </c>
      <c r="J139" s="633" t="str">
        <f>IF($A139="","",VLOOKUP($A139,기본데이타!$A$8:$BV$103,COLUMN(기본데이타!L$8),0))</f>
        <v/>
      </c>
      <c r="K139" s="633" t="str">
        <f>IF($A139="","",VLOOKUP($A139,기본데이타!$A$8:$BV$103,COLUMN(기본데이타!M$8),0))</f>
        <v/>
      </c>
      <c r="L139" s="634" t="str">
        <f>IF($A139="","",VLOOKUP($A139,기본데이타!$A$8:$BV$103,COLUMN(기본데이타!N$8),0))</f>
        <v/>
      </c>
      <c r="M139" s="633" t="str">
        <f>IF($A139="","",VLOOKUP($A139,기본데이타!$A$8:$BV$103,COLUMN(기본데이타!O$8),0))</f>
        <v/>
      </c>
      <c r="N139" s="634" t="str">
        <f>IF($A139="","",VLOOKUP($A139,기본데이타!$A$8:$BV$103,COLUMN(기본데이타!P$8),0))</f>
        <v/>
      </c>
      <c r="O139" s="634" t="str">
        <f>IF($A139="","",VLOOKUP($A139,기본데이타!$A$8:$BV$103,COLUMN(기본데이타!Q$8),0))</f>
        <v/>
      </c>
      <c r="P139" s="634" t="str">
        <f>IF($A139="","",VLOOKUP($A139,기본데이타!$A$8:$BV$103,COLUMN(기본데이타!R$8),0))</f>
        <v/>
      </c>
      <c r="Q139" s="634" t="str">
        <f>IF($A139="","",VLOOKUP($A139,기본데이타!$A$8:$BV$103,COLUMN(기본데이타!S$8),0))</f>
        <v/>
      </c>
      <c r="R139" s="634" t="str">
        <f>IF($A139="","",VLOOKUP($A139,기본데이타!$A$8:$BV$103,COLUMN(기본데이타!T$8),0))</f>
        <v/>
      </c>
      <c r="S139" s="634" t="str">
        <f>IF($A139="","",VLOOKUP($A139,기본데이타!$A$8:$BV$103,COLUMN(기본데이타!U$8),0))</f>
        <v/>
      </c>
      <c r="T139" s="634" t="str">
        <f>IF($A139="","",VLOOKUP($A139,기본데이타!$A$8:$BV$103,COLUMN(기본데이타!V$8),0))</f>
        <v/>
      </c>
      <c r="U139" s="634" t="str">
        <f>IF($A139="","",VLOOKUP($A139,기본데이타!$A$8:$BV$103,COLUMN(기본데이타!W$8),0))</f>
        <v/>
      </c>
      <c r="V139" s="634" t="str">
        <f>IF($A139="","",VLOOKUP($A139,기본데이타!$A$8:$BV$103,COLUMN(기본데이타!X$8),0))</f>
        <v/>
      </c>
      <c r="W139" s="634" t="str">
        <f>IF($A139="","",VLOOKUP($A139,기본데이타!$A$8:$BV$103,COLUMN(기본데이타!AA$8),0))</f>
        <v/>
      </c>
      <c r="X139" s="634" t="str">
        <f>IF($A139="","",VLOOKUP($A139,기본데이타!$A$8:$BV$103,COLUMN(기본데이타!AB$8),0))</f>
        <v/>
      </c>
      <c r="Y139" s="633" t="str">
        <f>IF($A139="","",VLOOKUP($A139,기본데이타!$A$8:$BV$103,COLUMN(기본데이타!AC$8),0))</f>
        <v/>
      </c>
      <c r="Z139" s="634" t="str">
        <f>IF($A139="","",VLOOKUP($A139,기본데이타!$A$8:$BV$103,COLUMN(기본데이타!AD$8),0))</f>
        <v/>
      </c>
      <c r="AA139" s="633" t="str">
        <f>IF($A139="","",VLOOKUP($A139,기본데이타!$A$8:$BV$103,COLUMN(기본데이타!AE$8),0))</f>
        <v/>
      </c>
      <c r="AB139" s="634" t="str">
        <f>IF($A139="","",VLOOKUP($A139,기본데이타!$A$8:$BV$103,COLUMN(기본데이타!AF$8),0))</f>
        <v/>
      </c>
      <c r="AC139" s="633" t="str">
        <f>IF($A139="","",VLOOKUP($A139,기본데이타!$A$8:$BV$103,COLUMN(기본데이타!AG$8),0))</f>
        <v/>
      </c>
      <c r="AD139" s="634" t="str">
        <f>IF($A139="","",VLOOKUP($A139,기본데이타!$A$8:$BV$103,COLUMN(기본데이타!AH$8),0))</f>
        <v/>
      </c>
      <c r="AE139" s="633" t="str">
        <f>IF($A139="","",VLOOKUP($A139,기본데이타!$A$8:$BV$103,COLUMN(기본데이타!AI$8),0))</f>
        <v/>
      </c>
      <c r="AF139" s="635" t="str">
        <f>IF($A139="","",VLOOKUP($A139,기본데이타!$A$8:$BV$103,COLUMN(기본데이타!AJ$8),0))</f>
        <v/>
      </c>
      <c r="AG139" s="580" t="str">
        <f>IF($A139="","",VLOOKUP($A139,기본데이타!$A$8:$BV$103,COLUMN(기본데이타!AK$8),0))</f>
        <v/>
      </c>
      <c r="AH139" s="580" t="str">
        <f>IF($A139="","",VLOOKUP($A139,기본데이타!$A$8:$BV$103,COLUMN(기본데이타!AL$8),0))</f>
        <v/>
      </c>
      <c r="AI139" s="580" t="str">
        <f>IF($A139="","",VLOOKUP($A139,기본데이타!$A$8:$BV$103,COLUMN(기본데이타!AM$8),0))</f>
        <v/>
      </c>
      <c r="AJ139" s="636" t="str">
        <f>IF($A139="","",VLOOKUP($A139,기본데이타!$A$8:$BV$103,COLUMN(기본데이타!AN$8),0))</f>
        <v/>
      </c>
      <c r="AK139" s="636" t="str">
        <f>IF($A139="","",VLOOKUP($A139,기본데이타!$A$8:$BV$103,COLUMN(기본데이타!AO$8),0))</f>
        <v/>
      </c>
      <c r="AL139" s="636" t="str">
        <f>IF($A139="","",VLOOKUP($A139,기본데이타!$A$8:$BV$103,COLUMN(기본데이타!AP$8),0))</f>
        <v/>
      </c>
      <c r="AM139" s="636" t="str">
        <f>IF($A139="","",VLOOKUP($A139,기본데이타!$A$8:$BV$103,COLUMN(기본데이타!AQ$8),0))</f>
        <v/>
      </c>
      <c r="AN139" s="636" t="str">
        <f>IF($A139="","",VLOOKUP($A139,기본데이타!$A$8:$BV$103,COLUMN(기본데이타!AR$8),0))</f>
        <v/>
      </c>
      <c r="AO139" s="636" t="str">
        <f>IF($A139="","",VLOOKUP($A139,기본데이타!$A$8:$BV$103,COLUMN(기본데이타!AS$8),0))</f>
        <v/>
      </c>
      <c r="AP139" s="636" t="str">
        <f>IF($A139="","",VLOOKUP($A139,기본데이타!$A$8:$BV$103,COLUMN(기본데이타!AT$8),0))</f>
        <v/>
      </c>
      <c r="AQ139" s="636" t="str">
        <f>IF($A139="","",VLOOKUP($A139,기본데이타!$A$8:$BV$103,COLUMN(기본데이타!AU$8),0))</f>
        <v/>
      </c>
      <c r="AR139" s="637" t="str">
        <f>IF($A139="","",VLOOKUP($A139,기본데이타!$A$8:$BV$103,COLUMN(기본데이타!AV$8),0))</f>
        <v/>
      </c>
      <c r="AS139" s="634" t="str">
        <f>IF($A139="","",VLOOKUP($A139,기본데이타!$A$8:$BV$103,COLUMN(기본데이타!AW$8),0))</f>
        <v/>
      </c>
      <c r="AT139" s="634" t="str">
        <f>IF($A139="","",VLOOKUP($A139,기본데이타!$A$8:$BV$103,COLUMN(기본데이타!AX$8),0))</f>
        <v/>
      </c>
      <c r="AU139" s="634" t="str">
        <f>IF($A139="","",VLOOKUP($A139,기본데이타!$A$8:$BV$103,COLUMN(기본데이타!AY$8),0))</f>
        <v/>
      </c>
      <c r="AV139" s="634" t="str">
        <f t="shared" si="22"/>
        <v/>
      </c>
      <c r="AW139" s="635" t="str">
        <f>IF($A139="","",VLOOKUP($A139,기본데이타!$A$8:$BV$103,COLUMN(기본데이타!BA$8),0))</f>
        <v/>
      </c>
      <c r="AX139" s="635" t="str">
        <f>IF($A139="","",VLOOKUP($A139,기본데이타!$A$8:$BV$103,COLUMN(기본데이타!BB$8),0))</f>
        <v/>
      </c>
      <c r="AY139" s="635" t="str">
        <f>IF($A139="","",VLOOKUP($A139,기본데이타!$A$8:$BV$103,COLUMN(기본데이타!BC$8),0))</f>
        <v/>
      </c>
      <c r="AZ139" s="635" t="str">
        <f>IF($A139="","",VLOOKUP($A139,기본데이타!$A$8:$BV$103,COLUMN(기본데이타!BD$8),0))</f>
        <v/>
      </c>
      <c r="BA139" s="635" t="str">
        <f>IF($A139="","",VLOOKUP($A139,기본데이타!$A$8:$BV$103,COLUMN(기본데이타!BE$8),0))</f>
        <v/>
      </c>
      <c r="BB139" s="635" t="str">
        <f>IF($A139="","",VLOOKUP($A139,기본데이타!$A$8:$BV$103,COLUMN(기본데이타!BF$8),0))</f>
        <v/>
      </c>
      <c r="BC139" s="635" t="str">
        <f>IF($A139="","",VLOOKUP($A139,기본데이타!$A$8:$BV$103,COLUMN(기본데이타!BG$8),0))</f>
        <v/>
      </c>
      <c r="BD139" s="635" t="str">
        <f>IF($A139="","",VLOOKUP($A139,기본데이타!$A$8:$BV$103,COLUMN(기본데이타!BH$8),0))</f>
        <v/>
      </c>
      <c r="BE139" s="635" t="str">
        <f>IF($A139="","",VLOOKUP($A139,기본데이타!$A$8:$BV$103,COLUMN(기본데이타!BI$8),0))</f>
        <v/>
      </c>
      <c r="BF139" s="635" t="str">
        <f>IF($A139="","",VLOOKUP($A139,기본데이타!$A$8:$BV$103,COLUMN(기본데이타!BJ$8),0))</f>
        <v/>
      </c>
      <c r="BG139" s="635" t="str">
        <f>IF($A139="","",VLOOKUP($A139,기본데이타!$A$8:$BV$103,COLUMN(기본데이타!BK$8),0))</f>
        <v/>
      </c>
      <c r="BH139" s="635" t="str">
        <f>IF($A139="","",VLOOKUP($A139,기본데이타!$A$8:$BV$103,COLUMN(기본데이타!BL$8),0))</f>
        <v/>
      </c>
      <c r="BI139" s="635" t="str">
        <f>IF($A139="","",VLOOKUP($A139,기본데이타!$A$8:$BV$103,COLUMN(기본데이타!BM$8),0))</f>
        <v/>
      </c>
      <c r="BJ139" s="635" t="str">
        <f>IF($A139="","",VLOOKUP($A139,기본데이타!$A$8:$BV$103,COLUMN(기본데이타!BN$8),0))</f>
        <v/>
      </c>
      <c r="BK139" s="635" t="str">
        <f>IF($A139="","",VLOOKUP($A139,기본데이타!$A$8:$BV$103,COLUMN(기본데이타!BO$8),0))</f>
        <v/>
      </c>
      <c r="BL139" s="635" t="str">
        <f>IF($A139="","",VLOOKUP($A139,기본데이타!$A$8:$BV$103,COLUMN(기본데이타!BP$8),0))</f>
        <v/>
      </c>
      <c r="BM139" s="635" t="str">
        <f>IF($A139="","",VLOOKUP($A139,기본데이타!$A$8:$BV$103,COLUMN(기본데이타!BQ$8),0))</f>
        <v/>
      </c>
      <c r="BN139" s="638" t="str">
        <f>IF($A139="","",VLOOKUP($A139,기본데이타!$A$8:$BV$103,COLUMN(기본데이타!BR$8),0))</f>
        <v/>
      </c>
      <c r="BO139" s="579" t="str">
        <f>IF($A139="","",VLOOKUP($A139,기본데이타!$A$8:$BV$103,COLUMN(기본데이타!BS$8),0))</f>
        <v/>
      </c>
      <c r="BP139" s="639" t="str">
        <f>IF($A139="","",VLOOKUP($A139,기본데이타!$A$8:$BV$103,COLUMN(기본데이타!BT$8),0))</f>
        <v/>
      </c>
      <c r="BQ139" s="640" t="str">
        <f>IF($A139="","",VLOOKUP($A139,기본데이타!$A$8:$BV$103,COLUMN(기본데이타!BU$8),0))</f>
        <v/>
      </c>
      <c r="BR139" s="625" t="str">
        <f t="shared" si="23"/>
        <v/>
      </c>
    </row>
    <row r="140" spans="1:70" s="571" customFormat="1" ht="61.5" hidden="1" customHeight="1">
      <c r="A140" s="578"/>
      <c r="B140" s="1642"/>
      <c r="C140" s="590"/>
      <c r="D140" s="673" t="str">
        <f>IF($A140="","",VLOOKUP($A140,기본데이타!$A$8:$BV$103,COLUMN(기본데이타!F$8),0))</f>
        <v/>
      </c>
      <c r="E140" s="630" t="str">
        <f>IF($A140="","",VLOOKUP($A140,기본데이타!$A$8:$BV$103,COLUMN(기본데이타!G$8),0))</f>
        <v/>
      </c>
      <c r="F140" s="631" t="str">
        <f>IF($A140="","",VLOOKUP($A140,기본데이타!$A$8:$BV$103,COLUMN(기본데이타!H$8),0))</f>
        <v/>
      </c>
      <c r="G140" s="632" t="str">
        <f>IF($A140="","",VLOOKUP($A140,기본데이타!$A$8:$BV$103,COLUMN(기본데이타!I$8),0))</f>
        <v/>
      </c>
      <c r="H140" s="632" t="str">
        <f>IF($A140="","",VLOOKUP($A140,기본데이타!$A$8:$BV$103,COLUMN(기본데이타!J$8),0))</f>
        <v/>
      </c>
      <c r="I140" s="633" t="str">
        <f>IF($A140="","",VLOOKUP($A140,기본데이타!$A$8:$BV$103,COLUMN(기본데이타!K$8),0))</f>
        <v/>
      </c>
      <c r="J140" s="633" t="str">
        <f>IF($A140="","",VLOOKUP($A140,기본데이타!$A$8:$BV$103,COLUMN(기본데이타!L$8),0))</f>
        <v/>
      </c>
      <c r="K140" s="633" t="str">
        <f>IF($A140="","",VLOOKUP($A140,기본데이타!$A$8:$BV$103,COLUMN(기본데이타!M$8),0))</f>
        <v/>
      </c>
      <c r="L140" s="634" t="str">
        <f>IF($A140="","",VLOOKUP($A140,기본데이타!$A$8:$BV$103,COLUMN(기본데이타!N$8),0))</f>
        <v/>
      </c>
      <c r="M140" s="633" t="str">
        <f>IF($A140="","",VLOOKUP($A140,기본데이타!$A$8:$BV$103,COLUMN(기본데이타!O$8),0))</f>
        <v/>
      </c>
      <c r="N140" s="634" t="str">
        <f>IF($A140="","",VLOOKUP($A140,기본데이타!$A$8:$BV$103,COLUMN(기본데이타!P$8),0))</f>
        <v/>
      </c>
      <c r="O140" s="634" t="str">
        <f>IF($A140="","",VLOOKUP($A140,기본데이타!$A$8:$BV$103,COLUMN(기본데이타!Q$8),0))</f>
        <v/>
      </c>
      <c r="P140" s="634" t="str">
        <f>IF($A140="","",VLOOKUP($A140,기본데이타!$A$8:$BV$103,COLUMN(기본데이타!R$8),0))</f>
        <v/>
      </c>
      <c r="Q140" s="634" t="str">
        <f>IF($A140="","",VLOOKUP($A140,기본데이타!$A$8:$BV$103,COLUMN(기본데이타!S$8),0))</f>
        <v/>
      </c>
      <c r="R140" s="634" t="str">
        <f>IF($A140="","",VLOOKUP($A140,기본데이타!$A$8:$BV$103,COLUMN(기본데이타!T$8),0))</f>
        <v/>
      </c>
      <c r="S140" s="634" t="str">
        <f>IF($A140="","",VLOOKUP($A140,기본데이타!$A$8:$BV$103,COLUMN(기본데이타!U$8),0))</f>
        <v/>
      </c>
      <c r="T140" s="634" t="str">
        <f>IF($A140="","",VLOOKUP($A140,기본데이타!$A$8:$BV$103,COLUMN(기본데이타!V$8),0))</f>
        <v/>
      </c>
      <c r="U140" s="634" t="str">
        <f>IF($A140="","",VLOOKUP($A140,기본데이타!$A$8:$BV$103,COLUMN(기본데이타!W$8),0))</f>
        <v/>
      </c>
      <c r="V140" s="634" t="str">
        <f>IF($A140="","",VLOOKUP($A140,기본데이타!$A$8:$BV$103,COLUMN(기본데이타!X$8),0))</f>
        <v/>
      </c>
      <c r="W140" s="634" t="str">
        <f>IF($A140="","",VLOOKUP($A140,기본데이타!$A$8:$BV$103,COLUMN(기본데이타!AA$8),0))</f>
        <v/>
      </c>
      <c r="X140" s="634" t="str">
        <f>IF($A140="","",VLOOKUP($A140,기본데이타!$A$8:$BV$103,COLUMN(기본데이타!AB$8),0))</f>
        <v/>
      </c>
      <c r="Y140" s="633" t="str">
        <f>IF($A140="","",VLOOKUP($A140,기본데이타!$A$8:$BV$103,COLUMN(기본데이타!AC$8),0))</f>
        <v/>
      </c>
      <c r="Z140" s="634" t="str">
        <f>IF($A140="","",VLOOKUP($A140,기본데이타!$A$8:$BV$103,COLUMN(기본데이타!AD$8),0))</f>
        <v/>
      </c>
      <c r="AA140" s="633" t="str">
        <f>IF($A140="","",VLOOKUP($A140,기본데이타!$A$8:$BV$103,COLUMN(기본데이타!AE$8),0))</f>
        <v/>
      </c>
      <c r="AB140" s="634" t="str">
        <f>IF($A140="","",VLOOKUP($A140,기본데이타!$A$8:$BV$103,COLUMN(기본데이타!AF$8),0))</f>
        <v/>
      </c>
      <c r="AC140" s="633" t="str">
        <f>IF($A140="","",VLOOKUP($A140,기본데이타!$A$8:$BV$103,COLUMN(기본데이타!AG$8),0))</f>
        <v/>
      </c>
      <c r="AD140" s="634" t="str">
        <f>IF($A140="","",VLOOKUP($A140,기본데이타!$A$8:$BV$103,COLUMN(기본데이타!AH$8),0))</f>
        <v/>
      </c>
      <c r="AE140" s="633" t="str">
        <f>IF($A140="","",VLOOKUP($A140,기본데이타!$A$8:$BV$103,COLUMN(기본데이타!AI$8),0))</f>
        <v/>
      </c>
      <c r="AF140" s="635" t="str">
        <f>IF($A140="","",VLOOKUP($A140,기본데이타!$A$8:$BV$103,COLUMN(기본데이타!AJ$8),0))</f>
        <v/>
      </c>
      <c r="AG140" s="580" t="str">
        <f>IF($A140="","",VLOOKUP($A140,기본데이타!$A$8:$BV$103,COLUMN(기본데이타!AK$8),0))</f>
        <v/>
      </c>
      <c r="AH140" s="580" t="str">
        <f>IF($A140="","",VLOOKUP($A140,기본데이타!$A$8:$BV$103,COLUMN(기본데이타!AL$8),0))</f>
        <v/>
      </c>
      <c r="AI140" s="580" t="str">
        <f>IF($A140="","",VLOOKUP($A140,기본데이타!$A$8:$BV$103,COLUMN(기본데이타!AM$8),0))</f>
        <v/>
      </c>
      <c r="AJ140" s="636" t="str">
        <f>IF($A140="","",VLOOKUP($A140,기본데이타!$A$8:$BV$103,COLUMN(기본데이타!AN$8),0))</f>
        <v/>
      </c>
      <c r="AK140" s="636" t="str">
        <f>IF($A140="","",VLOOKUP($A140,기본데이타!$A$8:$BV$103,COLUMN(기본데이타!AO$8),0))</f>
        <v/>
      </c>
      <c r="AL140" s="636" t="str">
        <f>IF($A140="","",VLOOKUP($A140,기본데이타!$A$8:$BV$103,COLUMN(기본데이타!AP$8),0))</f>
        <v/>
      </c>
      <c r="AM140" s="636" t="str">
        <f>IF($A140="","",VLOOKUP($A140,기본데이타!$A$8:$BV$103,COLUMN(기본데이타!AQ$8),0))</f>
        <v/>
      </c>
      <c r="AN140" s="636" t="str">
        <f>IF($A140="","",VLOOKUP($A140,기본데이타!$A$8:$BV$103,COLUMN(기본데이타!AR$8),0))</f>
        <v/>
      </c>
      <c r="AO140" s="636" t="str">
        <f>IF($A140="","",VLOOKUP($A140,기본데이타!$A$8:$BV$103,COLUMN(기본데이타!AS$8),0))</f>
        <v/>
      </c>
      <c r="AP140" s="636" t="str">
        <f>IF($A140="","",VLOOKUP($A140,기본데이타!$A$8:$BV$103,COLUMN(기본데이타!AT$8),0))</f>
        <v/>
      </c>
      <c r="AQ140" s="636" t="str">
        <f>IF($A140="","",VLOOKUP($A140,기본데이타!$A$8:$BV$103,COLUMN(기본데이타!AU$8),0))</f>
        <v/>
      </c>
      <c r="AR140" s="637" t="str">
        <f>IF($A140="","",VLOOKUP($A140,기본데이타!$A$8:$BV$103,COLUMN(기본데이타!AV$8),0))</f>
        <v/>
      </c>
      <c r="AS140" s="634" t="str">
        <f>IF($A140="","",VLOOKUP($A140,기본데이타!$A$8:$BV$103,COLUMN(기본데이타!AW$8),0))</f>
        <v/>
      </c>
      <c r="AT140" s="634" t="str">
        <f>IF($A140="","",VLOOKUP($A140,기본데이타!$A$8:$BV$103,COLUMN(기본데이타!AX$8),0))</f>
        <v/>
      </c>
      <c r="AU140" s="634" t="str">
        <f>IF($A140="","",VLOOKUP($A140,기본데이타!$A$8:$BV$103,COLUMN(기본데이타!AY$8),0))</f>
        <v/>
      </c>
      <c r="AV140" s="634" t="str">
        <f t="shared" si="22"/>
        <v/>
      </c>
      <c r="AW140" s="635" t="str">
        <f>IF($A140="","",VLOOKUP($A140,기본데이타!$A$8:$BV$103,COLUMN(기본데이타!BA$8),0))</f>
        <v/>
      </c>
      <c r="AX140" s="635" t="str">
        <f>IF($A140="","",VLOOKUP($A140,기본데이타!$A$8:$BV$103,COLUMN(기본데이타!BB$8),0))</f>
        <v/>
      </c>
      <c r="AY140" s="635" t="str">
        <f>IF($A140="","",VLOOKUP($A140,기본데이타!$A$8:$BV$103,COLUMN(기본데이타!BC$8),0))</f>
        <v/>
      </c>
      <c r="AZ140" s="635" t="str">
        <f>IF($A140="","",VLOOKUP($A140,기본데이타!$A$8:$BV$103,COLUMN(기본데이타!BD$8),0))</f>
        <v/>
      </c>
      <c r="BA140" s="635" t="str">
        <f>IF($A140="","",VLOOKUP($A140,기본데이타!$A$8:$BV$103,COLUMN(기본데이타!BE$8),0))</f>
        <v/>
      </c>
      <c r="BB140" s="635" t="str">
        <f>IF($A140="","",VLOOKUP($A140,기본데이타!$A$8:$BV$103,COLUMN(기본데이타!BF$8),0))</f>
        <v/>
      </c>
      <c r="BC140" s="635" t="str">
        <f>IF($A140="","",VLOOKUP($A140,기본데이타!$A$8:$BV$103,COLUMN(기본데이타!BG$8),0))</f>
        <v/>
      </c>
      <c r="BD140" s="635" t="str">
        <f>IF($A140="","",VLOOKUP($A140,기본데이타!$A$8:$BV$103,COLUMN(기본데이타!BH$8),0))</f>
        <v/>
      </c>
      <c r="BE140" s="635" t="str">
        <f>IF($A140="","",VLOOKUP($A140,기본데이타!$A$8:$BV$103,COLUMN(기본데이타!BI$8),0))</f>
        <v/>
      </c>
      <c r="BF140" s="635" t="str">
        <f>IF($A140="","",VLOOKUP($A140,기본데이타!$A$8:$BV$103,COLUMN(기본데이타!BJ$8),0))</f>
        <v/>
      </c>
      <c r="BG140" s="635" t="str">
        <f>IF($A140="","",VLOOKUP($A140,기본데이타!$A$8:$BV$103,COLUMN(기본데이타!BK$8),0))</f>
        <v/>
      </c>
      <c r="BH140" s="635" t="str">
        <f>IF($A140="","",VLOOKUP($A140,기본데이타!$A$8:$BV$103,COLUMN(기본데이타!BL$8),0))</f>
        <v/>
      </c>
      <c r="BI140" s="635" t="str">
        <f>IF($A140="","",VLOOKUP($A140,기본데이타!$A$8:$BV$103,COLUMN(기본데이타!BM$8),0))</f>
        <v/>
      </c>
      <c r="BJ140" s="635" t="str">
        <f>IF($A140="","",VLOOKUP($A140,기본데이타!$A$8:$BV$103,COLUMN(기본데이타!BN$8),0))</f>
        <v/>
      </c>
      <c r="BK140" s="635" t="str">
        <f>IF($A140="","",VLOOKUP($A140,기본데이타!$A$8:$BV$103,COLUMN(기본데이타!BO$8),0))</f>
        <v/>
      </c>
      <c r="BL140" s="635" t="str">
        <f>IF($A140="","",VLOOKUP($A140,기본데이타!$A$8:$BV$103,COLUMN(기본데이타!BP$8),0))</f>
        <v/>
      </c>
      <c r="BM140" s="635" t="str">
        <f>IF($A140="","",VLOOKUP($A140,기본데이타!$A$8:$BV$103,COLUMN(기본데이타!BQ$8),0))</f>
        <v/>
      </c>
      <c r="BN140" s="638" t="str">
        <f>IF($A140="","",VLOOKUP($A140,기본데이타!$A$8:$BV$103,COLUMN(기본데이타!BR$8),0))</f>
        <v/>
      </c>
      <c r="BO140" s="579" t="str">
        <f>IF($A140="","",VLOOKUP($A140,기본데이타!$A$8:$BV$103,COLUMN(기본데이타!BS$8),0))</f>
        <v/>
      </c>
      <c r="BP140" s="639" t="str">
        <f>IF($A140="","",VLOOKUP($A140,기본데이타!$A$8:$BV$103,COLUMN(기본데이타!BT$8),0))</f>
        <v/>
      </c>
      <c r="BQ140" s="640" t="str">
        <f>IF($A140="","",VLOOKUP($A140,기본데이타!$A$8:$BV$103,COLUMN(기본데이타!BU$8),0))</f>
        <v/>
      </c>
      <c r="BR140" s="625" t="str">
        <f t="shared" si="23"/>
        <v/>
      </c>
    </row>
    <row r="141" spans="1:70" s="571" customFormat="1" ht="61.5" hidden="1" customHeight="1">
      <c r="A141" s="578"/>
      <c r="B141" s="1642"/>
      <c r="C141" s="590"/>
      <c r="D141" s="673" t="str">
        <f>IF($A141="","",VLOOKUP($A141,기본데이타!$A$8:$BV$103,COLUMN(기본데이타!F$8),0))</f>
        <v/>
      </c>
      <c r="E141" s="630" t="str">
        <f>IF($A141="","",VLOOKUP($A141,기본데이타!$A$8:$BV$103,COLUMN(기본데이타!G$8),0))</f>
        <v/>
      </c>
      <c r="F141" s="631" t="str">
        <f>IF($A141="","",VLOOKUP($A141,기본데이타!$A$8:$BV$103,COLUMN(기본데이타!H$8),0))</f>
        <v/>
      </c>
      <c r="G141" s="632" t="str">
        <f>IF($A141="","",VLOOKUP($A141,기본데이타!$A$8:$BV$103,COLUMN(기본데이타!I$8),0))</f>
        <v/>
      </c>
      <c r="H141" s="632" t="str">
        <f>IF($A141="","",VLOOKUP($A141,기본데이타!$A$8:$BV$103,COLUMN(기본데이타!J$8),0))</f>
        <v/>
      </c>
      <c r="I141" s="633" t="str">
        <f>IF($A141="","",VLOOKUP($A141,기본데이타!$A$8:$BV$103,COLUMN(기본데이타!K$8),0))</f>
        <v/>
      </c>
      <c r="J141" s="633" t="str">
        <f>IF($A141="","",VLOOKUP($A141,기본데이타!$A$8:$BV$103,COLUMN(기본데이타!L$8),0))</f>
        <v/>
      </c>
      <c r="K141" s="633" t="str">
        <f>IF($A141="","",VLOOKUP($A141,기본데이타!$A$8:$BV$103,COLUMN(기본데이타!M$8),0))</f>
        <v/>
      </c>
      <c r="L141" s="634" t="str">
        <f>IF($A141="","",VLOOKUP($A141,기본데이타!$A$8:$BV$103,COLUMN(기본데이타!N$8),0))</f>
        <v/>
      </c>
      <c r="M141" s="633" t="str">
        <f>IF($A141="","",VLOOKUP($A141,기본데이타!$A$8:$BV$103,COLUMN(기본데이타!O$8),0))</f>
        <v/>
      </c>
      <c r="N141" s="634" t="str">
        <f>IF($A141="","",VLOOKUP($A141,기본데이타!$A$8:$BV$103,COLUMN(기본데이타!P$8),0))</f>
        <v/>
      </c>
      <c r="O141" s="634" t="str">
        <f>IF($A141="","",VLOOKUP($A141,기본데이타!$A$8:$BV$103,COLUMN(기본데이타!Q$8),0))</f>
        <v/>
      </c>
      <c r="P141" s="634" t="str">
        <f>IF($A141="","",VLOOKUP($A141,기본데이타!$A$8:$BV$103,COLUMN(기본데이타!R$8),0))</f>
        <v/>
      </c>
      <c r="Q141" s="634" t="str">
        <f>IF($A141="","",VLOOKUP($A141,기본데이타!$A$8:$BV$103,COLUMN(기본데이타!S$8),0))</f>
        <v/>
      </c>
      <c r="R141" s="634" t="str">
        <f>IF($A141="","",VLOOKUP($A141,기본데이타!$A$8:$BV$103,COLUMN(기본데이타!T$8),0))</f>
        <v/>
      </c>
      <c r="S141" s="634" t="str">
        <f>IF($A141="","",VLOOKUP($A141,기본데이타!$A$8:$BV$103,COLUMN(기본데이타!U$8),0))</f>
        <v/>
      </c>
      <c r="T141" s="634" t="str">
        <f>IF($A141="","",VLOOKUP($A141,기본데이타!$A$8:$BV$103,COLUMN(기본데이타!V$8),0))</f>
        <v/>
      </c>
      <c r="U141" s="634" t="str">
        <f>IF($A141="","",VLOOKUP($A141,기본데이타!$A$8:$BV$103,COLUMN(기본데이타!W$8),0))</f>
        <v/>
      </c>
      <c r="V141" s="634" t="str">
        <f>IF($A141="","",VLOOKUP($A141,기본데이타!$A$8:$BV$103,COLUMN(기본데이타!X$8),0))</f>
        <v/>
      </c>
      <c r="W141" s="634" t="str">
        <f>IF($A141="","",VLOOKUP($A141,기본데이타!$A$8:$BV$103,COLUMN(기본데이타!AA$8),0))</f>
        <v/>
      </c>
      <c r="X141" s="634" t="str">
        <f>IF($A141="","",VLOOKUP($A141,기본데이타!$A$8:$BV$103,COLUMN(기본데이타!AB$8),0))</f>
        <v/>
      </c>
      <c r="Y141" s="633" t="str">
        <f>IF($A141="","",VLOOKUP($A141,기본데이타!$A$8:$BV$103,COLUMN(기본데이타!AC$8),0))</f>
        <v/>
      </c>
      <c r="Z141" s="634" t="str">
        <f>IF($A141="","",VLOOKUP($A141,기본데이타!$A$8:$BV$103,COLUMN(기본데이타!AD$8),0))</f>
        <v/>
      </c>
      <c r="AA141" s="633" t="str">
        <f>IF($A141="","",VLOOKUP($A141,기본데이타!$A$8:$BV$103,COLUMN(기본데이타!AE$8),0))</f>
        <v/>
      </c>
      <c r="AB141" s="634" t="str">
        <f>IF($A141="","",VLOOKUP($A141,기본데이타!$A$8:$BV$103,COLUMN(기본데이타!AF$8),0))</f>
        <v/>
      </c>
      <c r="AC141" s="633" t="str">
        <f>IF($A141="","",VLOOKUP($A141,기본데이타!$A$8:$BV$103,COLUMN(기본데이타!AG$8),0))</f>
        <v/>
      </c>
      <c r="AD141" s="634" t="str">
        <f>IF($A141="","",VLOOKUP($A141,기본데이타!$A$8:$BV$103,COLUMN(기본데이타!AH$8),0))</f>
        <v/>
      </c>
      <c r="AE141" s="633" t="str">
        <f>IF($A141="","",VLOOKUP($A141,기본데이타!$A$8:$BV$103,COLUMN(기본데이타!AI$8),0))</f>
        <v/>
      </c>
      <c r="AF141" s="635" t="str">
        <f>IF($A141="","",VLOOKUP($A141,기본데이타!$A$8:$BV$103,COLUMN(기본데이타!AJ$8),0))</f>
        <v/>
      </c>
      <c r="AG141" s="580" t="str">
        <f>IF($A141="","",VLOOKUP($A141,기본데이타!$A$8:$BV$103,COLUMN(기본데이타!AK$8),0))</f>
        <v/>
      </c>
      <c r="AH141" s="580" t="str">
        <f>IF($A141="","",VLOOKUP($A141,기본데이타!$A$8:$BV$103,COLUMN(기본데이타!AL$8),0))</f>
        <v/>
      </c>
      <c r="AI141" s="580" t="str">
        <f>IF($A141="","",VLOOKUP($A141,기본데이타!$A$8:$BV$103,COLUMN(기본데이타!AM$8),0))</f>
        <v/>
      </c>
      <c r="AJ141" s="636" t="str">
        <f>IF($A141="","",VLOOKUP($A141,기본데이타!$A$8:$BV$103,COLUMN(기본데이타!AN$8),0))</f>
        <v/>
      </c>
      <c r="AK141" s="636" t="str">
        <f>IF($A141="","",VLOOKUP($A141,기본데이타!$A$8:$BV$103,COLUMN(기본데이타!AO$8),0))</f>
        <v/>
      </c>
      <c r="AL141" s="636" t="str">
        <f>IF($A141="","",VLOOKUP($A141,기본데이타!$A$8:$BV$103,COLUMN(기본데이타!AP$8),0))</f>
        <v/>
      </c>
      <c r="AM141" s="636" t="str">
        <f>IF($A141="","",VLOOKUP($A141,기본데이타!$A$8:$BV$103,COLUMN(기본데이타!AQ$8),0))</f>
        <v/>
      </c>
      <c r="AN141" s="636" t="str">
        <f>IF($A141="","",VLOOKUP($A141,기본데이타!$A$8:$BV$103,COLUMN(기본데이타!AR$8),0))</f>
        <v/>
      </c>
      <c r="AO141" s="636" t="str">
        <f>IF($A141="","",VLOOKUP($A141,기본데이타!$A$8:$BV$103,COLUMN(기본데이타!AS$8),0))</f>
        <v/>
      </c>
      <c r="AP141" s="636" t="str">
        <f>IF($A141="","",VLOOKUP($A141,기본데이타!$A$8:$BV$103,COLUMN(기본데이타!AT$8),0))</f>
        <v/>
      </c>
      <c r="AQ141" s="636" t="str">
        <f>IF($A141="","",VLOOKUP($A141,기본데이타!$A$8:$BV$103,COLUMN(기본데이타!AU$8),0))</f>
        <v/>
      </c>
      <c r="AR141" s="637" t="str">
        <f>IF($A141="","",VLOOKUP($A141,기본데이타!$A$8:$BV$103,COLUMN(기본데이타!AV$8),0))</f>
        <v/>
      </c>
      <c r="AS141" s="634" t="str">
        <f>IF($A141="","",VLOOKUP($A141,기본데이타!$A$8:$BV$103,COLUMN(기본데이타!AW$8),0))</f>
        <v/>
      </c>
      <c r="AT141" s="634" t="str">
        <f>IF($A141="","",VLOOKUP($A141,기본데이타!$A$8:$BV$103,COLUMN(기본데이타!AX$8),0))</f>
        <v/>
      </c>
      <c r="AU141" s="634" t="str">
        <f>IF($A141="","",VLOOKUP($A141,기본데이타!$A$8:$BV$103,COLUMN(기본데이타!AY$8),0))</f>
        <v/>
      </c>
      <c r="AV141" s="634" t="str">
        <f t="shared" si="22"/>
        <v/>
      </c>
      <c r="AW141" s="635" t="str">
        <f>IF($A141="","",VLOOKUP($A141,기본데이타!$A$8:$BV$103,COLUMN(기본데이타!BA$8),0))</f>
        <v/>
      </c>
      <c r="AX141" s="635" t="str">
        <f>IF($A141="","",VLOOKUP($A141,기본데이타!$A$8:$BV$103,COLUMN(기본데이타!BB$8),0))</f>
        <v/>
      </c>
      <c r="AY141" s="635" t="str">
        <f>IF($A141="","",VLOOKUP($A141,기본데이타!$A$8:$BV$103,COLUMN(기본데이타!BC$8),0))</f>
        <v/>
      </c>
      <c r="AZ141" s="635" t="str">
        <f>IF($A141="","",VLOOKUP($A141,기본데이타!$A$8:$BV$103,COLUMN(기본데이타!BD$8),0))</f>
        <v/>
      </c>
      <c r="BA141" s="635" t="str">
        <f>IF($A141="","",VLOOKUP($A141,기본데이타!$A$8:$BV$103,COLUMN(기본데이타!BE$8),0))</f>
        <v/>
      </c>
      <c r="BB141" s="635" t="str">
        <f>IF($A141="","",VLOOKUP($A141,기본데이타!$A$8:$BV$103,COLUMN(기본데이타!BF$8),0))</f>
        <v/>
      </c>
      <c r="BC141" s="635" t="str">
        <f>IF($A141="","",VLOOKUP($A141,기본데이타!$A$8:$BV$103,COLUMN(기본데이타!BG$8),0))</f>
        <v/>
      </c>
      <c r="BD141" s="635" t="str">
        <f>IF($A141="","",VLOOKUP($A141,기본데이타!$A$8:$BV$103,COLUMN(기본데이타!BH$8),0))</f>
        <v/>
      </c>
      <c r="BE141" s="635" t="str">
        <f>IF($A141="","",VLOOKUP($A141,기본데이타!$A$8:$BV$103,COLUMN(기본데이타!BI$8),0))</f>
        <v/>
      </c>
      <c r="BF141" s="635" t="str">
        <f>IF($A141="","",VLOOKUP($A141,기본데이타!$A$8:$BV$103,COLUMN(기본데이타!BJ$8),0))</f>
        <v/>
      </c>
      <c r="BG141" s="635" t="str">
        <f>IF($A141="","",VLOOKUP($A141,기본데이타!$A$8:$BV$103,COLUMN(기본데이타!BK$8),0))</f>
        <v/>
      </c>
      <c r="BH141" s="635" t="str">
        <f>IF($A141="","",VLOOKUP($A141,기본데이타!$A$8:$BV$103,COLUMN(기본데이타!BL$8),0))</f>
        <v/>
      </c>
      <c r="BI141" s="635" t="str">
        <f>IF($A141="","",VLOOKUP($A141,기본데이타!$A$8:$BV$103,COLUMN(기본데이타!BM$8),0))</f>
        <v/>
      </c>
      <c r="BJ141" s="635" t="str">
        <f>IF($A141="","",VLOOKUP($A141,기본데이타!$A$8:$BV$103,COLUMN(기본데이타!BN$8),0))</f>
        <v/>
      </c>
      <c r="BK141" s="635" t="str">
        <f>IF($A141="","",VLOOKUP($A141,기본데이타!$A$8:$BV$103,COLUMN(기본데이타!BO$8),0))</f>
        <v/>
      </c>
      <c r="BL141" s="635" t="str">
        <f>IF($A141="","",VLOOKUP($A141,기본데이타!$A$8:$BV$103,COLUMN(기본데이타!BP$8),0))</f>
        <v/>
      </c>
      <c r="BM141" s="635" t="str">
        <f>IF($A141="","",VLOOKUP($A141,기본데이타!$A$8:$BV$103,COLUMN(기본데이타!BQ$8),0))</f>
        <v/>
      </c>
      <c r="BN141" s="638" t="str">
        <f>IF($A141="","",VLOOKUP($A141,기본데이타!$A$8:$BV$103,COLUMN(기본데이타!BR$8),0))</f>
        <v/>
      </c>
      <c r="BO141" s="579" t="str">
        <f>IF($A141="","",VLOOKUP($A141,기본데이타!$A$8:$BV$103,COLUMN(기본데이타!BS$8),0))</f>
        <v/>
      </c>
      <c r="BP141" s="639" t="str">
        <f>IF($A141="","",VLOOKUP($A141,기본데이타!$A$8:$BV$103,COLUMN(기본데이타!BT$8),0))</f>
        <v/>
      </c>
      <c r="BQ141" s="640" t="str">
        <f>IF($A141="","",VLOOKUP($A141,기본데이타!$A$8:$BV$103,COLUMN(기본데이타!BU$8),0))</f>
        <v/>
      </c>
      <c r="BR141" s="625" t="str">
        <f t="shared" si="23"/>
        <v/>
      </c>
    </row>
    <row r="142" spans="1:70" s="571" customFormat="1" ht="61.5" hidden="1" customHeight="1">
      <c r="A142" s="578"/>
      <c r="B142" s="1642"/>
      <c r="C142" s="590"/>
      <c r="D142" s="673" t="str">
        <f>IF($A142="","",VLOOKUP($A142,기본데이타!$A$8:$BV$103,COLUMN(기본데이타!F$8),0))</f>
        <v/>
      </c>
      <c r="E142" s="630" t="str">
        <f>IF($A142="","",VLOOKUP($A142,기본데이타!$A$8:$BV$103,COLUMN(기본데이타!G$8),0))</f>
        <v/>
      </c>
      <c r="F142" s="631" t="str">
        <f>IF($A142="","",VLOOKUP($A142,기본데이타!$A$8:$BV$103,COLUMN(기본데이타!H$8),0))</f>
        <v/>
      </c>
      <c r="G142" s="632" t="str">
        <f>IF($A142="","",VLOOKUP($A142,기본데이타!$A$8:$BV$103,COLUMN(기본데이타!I$8),0))</f>
        <v/>
      </c>
      <c r="H142" s="632" t="str">
        <f>IF($A142="","",VLOOKUP($A142,기본데이타!$A$8:$BV$103,COLUMN(기본데이타!J$8),0))</f>
        <v/>
      </c>
      <c r="I142" s="633" t="str">
        <f>IF($A142="","",VLOOKUP($A142,기본데이타!$A$8:$BV$103,COLUMN(기본데이타!K$8),0))</f>
        <v/>
      </c>
      <c r="J142" s="633" t="str">
        <f>IF($A142="","",VLOOKUP($A142,기본데이타!$A$8:$BV$103,COLUMN(기본데이타!L$8),0))</f>
        <v/>
      </c>
      <c r="K142" s="633" t="str">
        <f>IF($A142="","",VLOOKUP($A142,기본데이타!$A$8:$BV$103,COLUMN(기본데이타!M$8),0))</f>
        <v/>
      </c>
      <c r="L142" s="634" t="str">
        <f>IF($A142="","",VLOOKUP($A142,기본데이타!$A$8:$BV$103,COLUMN(기본데이타!N$8),0))</f>
        <v/>
      </c>
      <c r="M142" s="633" t="str">
        <f>IF($A142="","",VLOOKUP($A142,기본데이타!$A$8:$BV$103,COLUMN(기본데이타!O$8),0))</f>
        <v/>
      </c>
      <c r="N142" s="634" t="str">
        <f>IF($A142="","",VLOOKUP($A142,기본데이타!$A$8:$BV$103,COLUMN(기본데이타!P$8),0))</f>
        <v/>
      </c>
      <c r="O142" s="634" t="str">
        <f>IF($A142="","",VLOOKUP($A142,기본데이타!$A$8:$BV$103,COLUMN(기본데이타!Q$8),0))</f>
        <v/>
      </c>
      <c r="P142" s="634" t="str">
        <f>IF($A142="","",VLOOKUP($A142,기본데이타!$A$8:$BV$103,COLUMN(기본데이타!R$8),0))</f>
        <v/>
      </c>
      <c r="Q142" s="634" t="str">
        <f>IF($A142="","",VLOOKUP($A142,기본데이타!$A$8:$BV$103,COLUMN(기본데이타!S$8),0))</f>
        <v/>
      </c>
      <c r="R142" s="634" t="str">
        <f>IF($A142="","",VLOOKUP($A142,기본데이타!$A$8:$BV$103,COLUMN(기본데이타!T$8),0))</f>
        <v/>
      </c>
      <c r="S142" s="634" t="str">
        <f>IF($A142="","",VLOOKUP($A142,기본데이타!$A$8:$BV$103,COLUMN(기본데이타!U$8),0))</f>
        <v/>
      </c>
      <c r="T142" s="634" t="str">
        <f>IF($A142="","",VLOOKUP($A142,기본데이타!$A$8:$BV$103,COLUMN(기본데이타!V$8),0))</f>
        <v/>
      </c>
      <c r="U142" s="634" t="str">
        <f>IF($A142="","",VLOOKUP($A142,기본데이타!$A$8:$BV$103,COLUMN(기본데이타!W$8),0))</f>
        <v/>
      </c>
      <c r="V142" s="634" t="str">
        <f>IF($A142="","",VLOOKUP($A142,기본데이타!$A$8:$BV$103,COLUMN(기본데이타!X$8),0))</f>
        <v/>
      </c>
      <c r="W142" s="634" t="str">
        <f>IF($A142="","",VLOOKUP($A142,기본데이타!$A$8:$BV$103,COLUMN(기본데이타!AA$8),0))</f>
        <v/>
      </c>
      <c r="X142" s="634" t="str">
        <f>IF($A142="","",VLOOKUP($A142,기본데이타!$A$8:$BV$103,COLUMN(기본데이타!AB$8),0))</f>
        <v/>
      </c>
      <c r="Y142" s="633" t="str">
        <f>IF($A142="","",VLOOKUP($A142,기본데이타!$A$8:$BV$103,COLUMN(기본데이타!AC$8),0))</f>
        <v/>
      </c>
      <c r="Z142" s="634" t="str">
        <f>IF($A142="","",VLOOKUP($A142,기본데이타!$A$8:$BV$103,COLUMN(기본데이타!AD$8),0))</f>
        <v/>
      </c>
      <c r="AA142" s="633" t="str">
        <f>IF($A142="","",VLOOKUP($A142,기본데이타!$A$8:$BV$103,COLUMN(기본데이타!AE$8),0))</f>
        <v/>
      </c>
      <c r="AB142" s="634" t="str">
        <f>IF($A142="","",VLOOKUP($A142,기본데이타!$A$8:$BV$103,COLUMN(기본데이타!AF$8),0))</f>
        <v/>
      </c>
      <c r="AC142" s="633" t="str">
        <f>IF($A142="","",VLOOKUP($A142,기본데이타!$A$8:$BV$103,COLUMN(기본데이타!AG$8),0))</f>
        <v/>
      </c>
      <c r="AD142" s="634" t="str">
        <f>IF($A142="","",VLOOKUP($A142,기본데이타!$A$8:$BV$103,COLUMN(기본데이타!AH$8),0))</f>
        <v/>
      </c>
      <c r="AE142" s="633" t="str">
        <f>IF($A142="","",VLOOKUP($A142,기본데이타!$A$8:$BV$103,COLUMN(기본데이타!AI$8),0))</f>
        <v/>
      </c>
      <c r="AF142" s="635" t="str">
        <f>IF($A142="","",VLOOKUP($A142,기본데이타!$A$8:$BV$103,COLUMN(기본데이타!AJ$8),0))</f>
        <v/>
      </c>
      <c r="AG142" s="580" t="str">
        <f>IF($A142="","",VLOOKUP($A142,기본데이타!$A$8:$BV$103,COLUMN(기본데이타!AK$8),0))</f>
        <v/>
      </c>
      <c r="AH142" s="580" t="str">
        <f>IF($A142="","",VLOOKUP($A142,기본데이타!$A$8:$BV$103,COLUMN(기본데이타!AL$8),0))</f>
        <v/>
      </c>
      <c r="AI142" s="580" t="str">
        <f>IF($A142="","",VLOOKUP($A142,기본데이타!$A$8:$BV$103,COLUMN(기본데이타!AM$8),0))</f>
        <v/>
      </c>
      <c r="AJ142" s="636" t="str">
        <f>IF($A142="","",VLOOKUP($A142,기본데이타!$A$8:$BV$103,COLUMN(기본데이타!AN$8),0))</f>
        <v/>
      </c>
      <c r="AK142" s="636" t="str">
        <f>IF($A142="","",VLOOKUP($A142,기본데이타!$A$8:$BV$103,COLUMN(기본데이타!AO$8),0))</f>
        <v/>
      </c>
      <c r="AL142" s="636" t="str">
        <f>IF($A142="","",VLOOKUP($A142,기본데이타!$A$8:$BV$103,COLUMN(기본데이타!AP$8),0))</f>
        <v/>
      </c>
      <c r="AM142" s="636" t="str">
        <f>IF($A142="","",VLOOKUP($A142,기본데이타!$A$8:$BV$103,COLUMN(기본데이타!AQ$8),0))</f>
        <v/>
      </c>
      <c r="AN142" s="636" t="str">
        <f>IF($A142="","",VLOOKUP($A142,기본데이타!$A$8:$BV$103,COLUMN(기본데이타!AR$8),0))</f>
        <v/>
      </c>
      <c r="AO142" s="636" t="str">
        <f>IF($A142="","",VLOOKUP($A142,기본데이타!$A$8:$BV$103,COLUMN(기본데이타!AS$8),0))</f>
        <v/>
      </c>
      <c r="AP142" s="636" t="str">
        <f>IF($A142="","",VLOOKUP($A142,기본데이타!$A$8:$BV$103,COLUMN(기본데이타!AT$8),0))</f>
        <v/>
      </c>
      <c r="AQ142" s="636" t="str">
        <f>IF($A142="","",VLOOKUP($A142,기본데이타!$A$8:$BV$103,COLUMN(기본데이타!AU$8),0))</f>
        <v/>
      </c>
      <c r="AR142" s="637" t="str">
        <f>IF($A142="","",VLOOKUP($A142,기본데이타!$A$8:$BV$103,COLUMN(기본데이타!AV$8),0))</f>
        <v/>
      </c>
      <c r="AS142" s="634" t="str">
        <f>IF($A142="","",VLOOKUP($A142,기본데이타!$A$8:$BV$103,COLUMN(기본데이타!AW$8),0))</f>
        <v/>
      </c>
      <c r="AT142" s="634" t="str">
        <f>IF($A142="","",VLOOKUP($A142,기본데이타!$A$8:$BV$103,COLUMN(기본데이타!AX$8),0))</f>
        <v/>
      </c>
      <c r="AU142" s="634" t="str">
        <f>IF($A142="","",VLOOKUP($A142,기본데이타!$A$8:$BV$103,COLUMN(기본데이타!AY$8),0))</f>
        <v/>
      </c>
      <c r="AV142" s="634" t="str">
        <f t="shared" si="22"/>
        <v/>
      </c>
      <c r="AW142" s="635" t="str">
        <f>IF($A142="","",VLOOKUP($A142,기본데이타!$A$8:$BV$103,COLUMN(기본데이타!BA$8),0))</f>
        <v/>
      </c>
      <c r="AX142" s="635" t="str">
        <f>IF($A142="","",VLOOKUP($A142,기본데이타!$A$8:$BV$103,COLUMN(기본데이타!BB$8),0))</f>
        <v/>
      </c>
      <c r="AY142" s="635" t="str">
        <f>IF($A142="","",VLOOKUP($A142,기본데이타!$A$8:$BV$103,COLUMN(기본데이타!BC$8),0))</f>
        <v/>
      </c>
      <c r="AZ142" s="635" t="str">
        <f>IF($A142="","",VLOOKUP($A142,기본데이타!$A$8:$BV$103,COLUMN(기본데이타!BD$8),0))</f>
        <v/>
      </c>
      <c r="BA142" s="635" t="str">
        <f>IF($A142="","",VLOOKUP($A142,기본데이타!$A$8:$BV$103,COLUMN(기본데이타!BE$8),0))</f>
        <v/>
      </c>
      <c r="BB142" s="635" t="str">
        <f>IF($A142="","",VLOOKUP($A142,기본데이타!$A$8:$BV$103,COLUMN(기본데이타!BF$8),0))</f>
        <v/>
      </c>
      <c r="BC142" s="635" t="str">
        <f>IF($A142="","",VLOOKUP($A142,기본데이타!$A$8:$BV$103,COLUMN(기본데이타!BG$8),0))</f>
        <v/>
      </c>
      <c r="BD142" s="635" t="str">
        <f>IF($A142="","",VLOOKUP($A142,기본데이타!$A$8:$BV$103,COLUMN(기본데이타!BH$8),0))</f>
        <v/>
      </c>
      <c r="BE142" s="635" t="str">
        <f>IF($A142="","",VLOOKUP($A142,기본데이타!$A$8:$BV$103,COLUMN(기본데이타!BI$8),0))</f>
        <v/>
      </c>
      <c r="BF142" s="635" t="str">
        <f>IF($A142="","",VLOOKUP($A142,기본데이타!$A$8:$BV$103,COLUMN(기본데이타!BJ$8),0))</f>
        <v/>
      </c>
      <c r="BG142" s="635" t="str">
        <f>IF($A142="","",VLOOKUP($A142,기본데이타!$A$8:$BV$103,COLUMN(기본데이타!BK$8),0))</f>
        <v/>
      </c>
      <c r="BH142" s="635" t="str">
        <f>IF($A142="","",VLOOKUP($A142,기본데이타!$A$8:$BV$103,COLUMN(기본데이타!BL$8),0))</f>
        <v/>
      </c>
      <c r="BI142" s="635" t="str">
        <f>IF($A142="","",VLOOKUP($A142,기본데이타!$A$8:$BV$103,COLUMN(기본데이타!BM$8),0))</f>
        <v/>
      </c>
      <c r="BJ142" s="635" t="str">
        <f>IF($A142="","",VLOOKUP($A142,기본데이타!$A$8:$BV$103,COLUMN(기본데이타!BN$8),0))</f>
        <v/>
      </c>
      <c r="BK142" s="635" t="str">
        <f>IF($A142="","",VLOOKUP($A142,기본데이타!$A$8:$BV$103,COLUMN(기본데이타!BO$8),0))</f>
        <v/>
      </c>
      <c r="BL142" s="635" t="str">
        <f>IF($A142="","",VLOOKUP($A142,기본데이타!$A$8:$BV$103,COLUMN(기본데이타!BP$8),0))</f>
        <v/>
      </c>
      <c r="BM142" s="635" t="str">
        <f>IF($A142="","",VLOOKUP($A142,기본데이타!$A$8:$BV$103,COLUMN(기본데이타!BQ$8),0))</f>
        <v/>
      </c>
      <c r="BN142" s="638" t="str">
        <f>IF($A142="","",VLOOKUP($A142,기본데이타!$A$8:$BV$103,COLUMN(기본데이타!BR$8),0))</f>
        <v/>
      </c>
      <c r="BO142" s="579" t="str">
        <f>IF($A142="","",VLOOKUP($A142,기본데이타!$A$8:$BV$103,COLUMN(기본데이타!BS$8),0))</f>
        <v/>
      </c>
      <c r="BP142" s="639" t="str">
        <f>IF($A142="","",VLOOKUP($A142,기본데이타!$A$8:$BV$103,COLUMN(기본데이타!BT$8),0))</f>
        <v/>
      </c>
      <c r="BQ142" s="640" t="str">
        <f>IF($A142="","",VLOOKUP($A142,기본데이타!$A$8:$BV$103,COLUMN(기본데이타!BU$8),0))</f>
        <v/>
      </c>
      <c r="BR142" s="625" t="str">
        <f t="shared" si="23"/>
        <v/>
      </c>
    </row>
    <row r="143" spans="1:70" s="571" customFormat="1" ht="61.5" hidden="1" customHeight="1">
      <c r="A143" s="578"/>
      <c r="B143" s="1642"/>
      <c r="C143" s="644"/>
      <c r="D143" s="1263" t="str">
        <f>IF($A143="","",VLOOKUP($A143,기본데이타!$A$8:$BV$103,COLUMN(기본데이타!F$8),0))</f>
        <v/>
      </c>
      <c r="E143" s="1264" t="str">
        <f>IF($A143="","",VLOOKUP($A143,기본데이타!$A$8:$BV$103,COLUMN(기본데이타!G$8),0))</f>
        <v/>
      </c>
      <c r="F143" s="1265" t="str">
        <f>IF($A143="","",VLOOKUP($A143,기본데이타!$A$8:$BV$103,COLUMN(기본데이타!H$8),0))</f>
        <v/>
      </c>
      <c r="G143" s="1266" t="str">
        <f>IF($A143="","",VLOOKUP($A143,기본데이타!$A$8:$BV$103,COLUMN(기본데이타!I$8),0))</f>
        <v/>
      </c>
      <c r="H143" s="1266" t="str">
        <f>IF($A143="","",VLOOKUP($A143,기본데이타!$A$8:$BV$103,COLUMN(기본데이타!J$8),0))</f>
        <v/>
      </c>
      <c r="I143" s="1267" t="str">
        <f>IF($A143="","",VLOOKUP($A143,기본데이타!$A$8:$BV$103,COLUMN(기본데이타!K$8),0))</f>
        <v/>
      </c>
      <c r="J143" s="1267" t="str">
        <f>IF($A143="","",VLOOKUP($A143,기본데이타!$A$8:$BV$103,COLUMN(기본데이타!L$8),0))</f>
        <v/>
      </c>
      <c r="K143" s="1267" t="str">
        <f>IF($A143="","",VLOOKUP($A143,기본데이타!$A$8:$BV$103,COLUMN(기본데이타!M$8),0))</f>
        <v/>
      </c>
      <c r="L143" s="1268" t="str">
        <f>IF($A143="","",VLOOKUP($A143,기본데이타!$A$8:$BV$103,COLUMN(기본데이타!N$8),0))</f>
        <v/>
      </c>
      <c r="M143" s="1267" t="str">
        <f>IF($A143="","",VLOOKUP($A143,기본데이타!$A$8:$BV$103,COLUMN(기본데이타!O$8),0))</f>
        <v/>
      </c>
      <c r="N143" s="1268" t="str">
        <f>IF($A143="","",VLOOKUP($A143,기본데이타!$A$8:$BV$103,COLUMN(기본데이타!P$8),0))</f>
        <v/>
      </c>
      <c r="O143" s="1268" t="str">
        <f>IF($A143="","",VLOOKUP($A143,기본데이타!$A$8:$BV$103,COLUMN(기본데이타!Q$8),0))</f>
        <v/>
      </c>
      <c r="P143" s="1268" t="str">
        <f>IF($A143="","",VLOOKUP($A143,기본데이타!$A$8:$BV$103,COLUMN(기본데이타!R$8),0))</f>
        <v/>
      </c>
      <c r="Q143" s="1268" t="str">
        <f>IF($A143="","",VLOOKUP($A143,기본데이타!$A$8:$BV$103,COLUMN(기본데이타!S$8),0))</f>
        <v/>
      </c>
      <c r="R143" s="1268" t="str">
        <f>IF($A143="","",VLOOKUP($A143,기본데이타!$A$8:$BV$103,COLUMN(기본데이타!T$8),0))</f>
        <v/>
      </c>
      <c r="S143" s="1268" t="str">
        <f>IF($A143="","",VLOOKUP($A143,기본데이타!$A$8:$BV$103,COLUMN(기본데이타!U$8),0))</f>
        <v/>
      </c>
      <c r="T143" s="1268" t="str">
        <f>IF($A143="","",VLOOKUP($A143,기본데이타!$A$8:$BV$103,COLUMN(기본데이타!V$8),0))</f>
        <v/>
      </c>
      <c r="U143" s="1268" t="str">
        <f>IF($A143="","",VLOOKUP($A143,기본데이타!$A$8:$BV$103,COLUMN(기본데이타!W$8),0))</f>
        <v/>
      </c>
      <c r="V143" s="1268" t="str">
        <f>IF($A143="","",VLOOKUP($A143,기본데이타!$A$8:$BV$103,COLUMN(기본데이타!X$8),0))</f>
        <v/>
      </c>
      <c r="W143" s="1268" t="str">
        <f>IF($A143="","",VLOOKUP($A143,기본데이타!$A$8:$BV$103,COLUMN(기본데이타!AA$8),0))</f>
        <v/>
      </c>
      <c r="X143" s="1268" t="str">
        <f>IF($A143="","",VLOOKUP($A143,기본데이타!$A$8:$BV$103,COLUMN(기본데이타!AB$8),0))</f>
        <v/>
      </c>
      <c r="Y143" s="1267" t="str">
        <f>IF($A143="","",VLOOKUP($A143,기본데이타!$A$8:$BV$103,COLUMN(기본데이타!AC$8),0))</f>
        <v/>
      </c>
      <c r="Z143" s="1268" t="str">
        <f>IF($A143="","",VLOOKUP($A143,기본데이타!$A$8:$BV$103,COLUMN(기본데이타!AD$8),0))</f>
        <v/>
      </c>
      <c r="AA143" s="1267" t="str">
        <f>IF($A143="","",VLOOKUP($A143,기본데이타!$A$8:$BV$103,COLUMN(기본데이타!AE$8),0))</f>
        <v/>
      </c>
      <c r="AB143" s="1268" t="str">
        <f>IF($A143="","",VLOOKUP($A143,기본데이타!$A$8:$BV$103,COLUMN(기본데이타!AF$8),0))</f>
        <v/>
      </c>
      <c r="AC143" s="1267" t="str">
        <f>IF($A143="","",VLOOKUP($A143,기본데이타!$A$8:$BV$103,COLUMN(기본데이타!AG$8),0))</f>
        <v/>
      </c>
      <c r="AD143" s="1268" t="str">
        <f>IF($A143="","",VLOOKUP($A143,기본데이타!$A$8:$BV$103,COLUMN(기본데이타!AH$8),0))</f>
        <v/>
      </c>
      <c r="AE143" s="1267" t="str">
        <f>IF($A143="","",VLOOKUP($A143,기본데이타!$A$8:$BV$103,COLUMN(기본데이타!AI$8),0))</f>
        <v/>
      </c>
      <c r="AF143" s="1269" t="str">
        <f>IF($A143="","",VLOOKUP($A143,기본데이타!$A$8:$BV$103,COLUMN(기본데이타!AJ$8),0))</f>
        <v/>
      </c>
      <c r="AG143" s="624" t="str">
        <f>IF($A143="","",VLOOKUP($A143,기본데이타!$A$8:$BV$103,COLUMN(기본데이타!AK$8),0))</f>
        <v/>
      </c>
      <c r="AH143" s="624" t="str">
        <f>IF($A143="","",VLOOKUP($A143,기본데이타!$A$8:$BV$103,COLUMN(기본데이타!AL$8),0))</f>
        <v/>
      </c>
      <c r="AI143" s="624" t="str">
        <f>IF($A143="","",VLOOKUP($A143,기본데이타!$A$8:$BV$103,COLUMN(기본데이타!AM$8),0))</f>
        <v/>
      </c>
      <c r="AJ143" s="626" t="str">
        <f>IF($A143="","",VLOOKUP($A143,기본데이타!$A$8:$BV$103,COLUMN(기본데이타!AN$8),0))</f>
        <v/>
      </c>
      <c r="AK143" s="626" t="str">
        <f>IF($A143="","",VLOOKUP($A143,기본데이타!$A$8:$BV$103,COLUMN(기본데이타!AO$8),0))</f>
        <v/>
      </c>
      <c r="AL143" s="626" t="str">
        <f>IF($A143="","",VLOOKUP($A143,기본데이타!$A$8:$BV$103,COLUMN(기본데이타!AP$8),0))</f>
        <v/>
      </c>
      <c r="AM143" s="626" t="str">
        <f>IF($A143="","",VLOOKUP($A143,기본데이타!$A$8:$BV$103,COLUMN(기본데이타!AQ$8),0))</f>
        <v/>
      </c>
      <c r="AN143" s="626" t="str">
        <f>IF($A143="","",VLOOKUP($A143,기본데이타!$A$8:$BV$103,COLUMN(기본데이타!AR$8),0))</f>
        <v/>
      </c>
      <c r="AO143" s="626" t="str">
        <f>IF($A143="","",VLOOKUP($A143,기본데이타!$A$8:$BV$103,COLUMN(기본데이타!AS$8),0))</f>
        <v/>
      </c>
      <c r="AP143" s="626" t="str">
        <f>IF($A143="","",VLOOKUP($A143,기본데이타!$A$8:$BV$103,COLUMN(기본데이타!AT$8),0))</f>
        <v/>
      </c>
      <c r="AQ143" s="626" t="str">
        <f>IF($A143="","",VLOOKUP($A143,기본데이타!$A$8:$BV$103,COLUMN(기본데이타!AU$8),0))</f>
        <v/>
      </c>
      <c r="AR143" s="627" t="str">
        <f>IF($A143="","",VLOOKUP($A143,기본데이타!$A$8:$BV$103,COLUMN(기본데이타!AV$8),0))</f>
        <v/>
      </c>
      <c r="AS143" s="1268" t="str">
        <f>IF($A143="","",VLOOKUP($A143,기본데이타!$A$8:$BV$103,COLUMN(기본데이타!AW$8),0))</f>
        <v/>
      </c>
      <c r="AT143" s="1268" t="str">
        <f>IF($A143="","",VLOOKUP($A143,기본데이타!$A$8:$BV$103,COLUMN(기본데이타!AX$8),0))</f>
        <v/>
      </c>
      <c r="AU143" s="1268" t="str">
        <f>IF($A143="","",VLOOKUP($A143,기본데이타!$A$8:$BV$103,COLUMN(기본데이타!AY$8),0))</f>
        <v/>
      </c>
      <c r="AV143" s="1268" t="str">
        <f t="shared" si="22"/>
        <v/>
      </c>
      <c r="AW143" s="1269" t="str">
        <f>IF($A143="","",VLOOKUP($A143,기본데이타!$A$8:$BV$103,COLUMN(기본데이타!BA$8),0))</f>
        <v/>
      </c>
      <c r="AX143" s="1269" t="str">
        <f>IF($A143="","",VLOOKUP($A143,기본데이타!$A$8:$BV$103,COLUMN(기본데이타!BB$8),0))</f>
        <v/>
      </c>
      <c r="AY143" s="1269" t="str">
        <f>IF($A143="","",VLOOKUP($A143,기본데이타!$A$8:$BV$103,COLUMN(기본데이타!BC$8),0))</f>
        <v/>
      </c>
      <c r="AZ143" s="1269" t="str">
        <f>IF($A143="","",VLOOKUP($A143,기본데이타!$A$8:$BV$103,COLUMN(기본데이타!BD$8),0))</f>
        <v/>
      </c>
      <c r="BA143" s="1269" t="str">
        <f>IF($A143="","",VLOOKUP($A143,기본데이타!$A$8:$BV$103,COLUMN(기본데이타!BE$8),0))</f>
        <v/>
      </c>
      <c r="BB143" s="1269" t="str">
        <f>IF($A143="","",VLOOKUP($A143,기본데이타!$A$8:$BV$103,COLUMN(기본데이타!BF$8),0))</f>
        <v/>
      </c>
      <c r="BC143" s="1269" t="str">
        <f>IF($A143="","",VLOOKUP($A143,기본데이타!$A$8:$BV$103,COLUMN(기본데이타!BG$8),0))</f>
        <v/>
      </c>
      <c r="BD143" s="1269" t="str">
        <f>IF($A143="","",VLOOKUP($A143,기본데이타!$A$8:$BV$103,COLUMN(기본데이타!BH$8),0))</f>
        <v/>
      </c>
      <c r="BE143" s="1269" t="str">
        <f>IF($A143="","",VLOOKUP($A143,기본데이타!$A$8:$BV$103,COLUMN(기본데이타!BI$8),0))</f>
        <v/>
      </c>
      <c r="BF143" s="1269" t="str">
        <f>IF($A143="","",VLOOKUP($A143,기본데이타!$A$8:$BV$103,COLUMN(기본데이타!BJ$8),0))</f>
        <v/>
      </c>
      <c r="BG143" s="1269" t="str">
        <f>IF($A143="","",VLOOKUP($A143,기본데이타!$A$8:$BV$103,COLUMN(기본데이타!BK$8),0))</f>
        <v/>
      </c>
      <c r="BH143" s="1269" t="str">
        <f>IF($A143="","",VLOOKUP($A143,기본데이타!$A$8:$BV$103,COLUMN(기본데이타!BL$8),0))</f>
        <v/>
      </c>
      <c r="BI143" s="1269" t="str">
        <f>IF($A143="","",VLOOKUP($A143,기본데이타!$A$8:$BV$103,COLUMN(기본데이타!BM$8),0))</f>
        <v/>
      </c>
      <c r="BJ143" s="1269" t="str">
        <f>IF($A143="","",VLOOKUP($A143,기본데이타!$A$8:$BV$103,COLUMN(기본데이타!BN$8),0))</f>
        <v/>
      </c>
      <c r="BK143" s="1269" t="str">
        <f>IF($A143="","",VLOOKUP($A143,기본데이타!$A$8:$BV$103,COLUMN(기본데이타!BO$8),0))</f>
        <v/>
      </c>
      <c r="BL143" s="1269" t="str">
        <f>IF($A143="","",VLOOKUP($A143,기본데이타!$A$8:$BV$103,COLUMN(기본데이타!BP$8),0))</f>
        <v/>
      </c>
      <c r="BM143" s="1269" t="str">
        <f>IF($A143="","",VLOOKUP($A143,기본데이타!$A$8:$BV$103,COLUMN(기본데이타!BQ$8),0))</f>
        <v/>
      </c>
      <c r="BN143" s="1270" t="str">
        <f>IF($A143="","",VLOOKUP($A143,기본데이타!$A$8:$BV$103,COLUMN(기본데이타!BR$8),0))</f>
        <v/>
      </c>
      <c r="BO143" s="1271" t="str">
        <f>IF($A143="","",VLOOKUP($A143,기본데이타!$A$8:$BV$103,COLUMN(기본데이타!BS$8),0))</f>
        <v/>
      </c>
      <c r="BP143" s="1272" t="str">
        <f>IF($A143="","",VLOOKUP($A143,기본데이타!$A$8:$BV$103,COLUMN(기본데이타!BT$8),0))</f>
        <v/>
      </c>
      <c r="BQ143" s="1273" t="str">
        <f>IF($A143="","",VLOOKUP($A143,기본데이타!$A$8:$BV$103,COLUMN(기본데이타!BU$8),0))</f>
        <v/>
      </c>
      <c r="BR143" s="1274" t="str">
        <f t="shared" si="23"/>
        <v/>
      </c>
    </row>
    <row r="144" spans="1:70" s="571" customFormat="1" ht="61.5" hidden="1" customHeight="1">
      <c r="A144" s="578"/>
      <c r="B144" s="1642"/>
      <c r="C144" s="590" t="s">
        <v>319</v>
      </c>
      <c r="D144" s="672" t="str">
        <f>IF($A144="","",VLOOKUP($A144,기본데이타!$A$8:$BV$103,COLUMN(기본데이타!F$8),0))</f>
        <v/>
      </c>
      <c r="E144" s="592" t="str">
        <f>IF($A144="","",VLOOKUP($A144,기본데이타!$A$8:$BV$103,COLUMN(기본데이타!G$8),0))</f>
        <v/>
      </c>
      <c r="F144" s="593" t="str">
        <f>IF($A144="","",VLOOKUP($A144,기본데이타!$A$8:$BV$103,COLUMN(기본데이타!H$8),0))</f>
        <v/>
      </c>
      <c r="G144" s="594" t="str">
        <f>IF($A144="","",VLOOKUP($A144,기본데이타!$A$8:$BV$103,COLUMN(기본데이타!I$8),0))</f>
        <v/>
      </c>
      <c r="H144" s="594" t="str">
        <f>IF($A144="","",VLOOKUP($A144,기본데이타!$A$8:$BV$103,COLUMN(기본데이타!J$8),0))</f>
        <v/>
      </c>
      <c r="I144" s="595" t="str">
        <f>IF($A144="","",VLOOKUP($A144,기본데이타!$A$8:$BV$103,COLUMN(기본데이타!K$8),0))</f>
        <v/>
      </c>
      <c r="J144" s="595" t="str">
        <f>IF($A144="","",VLOOKUP($A144,기본데이타!$A$8:$BV$103,COLUMN(기본데이타!L$8),0))</f>
        <v/>
      </c>
      <c r="K144" s="595" t="str">
        <f>IF($A144="","",VLOOKUP($A144,기본데이타!$A$8:$BV$103,COLUMN(기본데이타!M$8),0))</f>
        <v/>
      </c>
      <c r="L144" s="596" t="str">
        <f>IF($A144="","",VLOOKUP($A144,기본데이타!$A$8:$BV$103,COLUMN(기본데이타!N$8),0))</f>
        <v/>
      </c>
      <c r="M144" s="595" t="str">
        <f>IF($A144="","",VLOOKUP($A144,기본데이타!$A$8:$BV$103,COLUMN(기본데이타!O$8),0))</f>
        <v/>
      </c>
      <c r="N144" s="596" t="str">
        <f>IF($A144="","",VLOOKUP($A144,기본데이타!$A$8:$BV$103,COLUMN(기본데이타!P$8),0))</f>
        <v/>
      </c>
      <c r="O144" s="596" t="str">
        <f>IF($A144="","",VLOOKUP($A144,기본데이타!$A$8:$BV$103,COLUMN(기본데이타!Q$8),0))</f>
        <v/>
      </c>
      <c r="P144" s="596" t="str">
        <f>IF($A144="","",VLOOKUP($A144,기본데이타!$A$8:$BV$103,COLUMN(기본데이타!R$8),0))</f>
        <v/>
      </c>
      <c r="Q144" s="596" t="str">
        <f>IF($A144="","",VLOOKUP($A144,기본데이타!$A$8:$BV$103,COLUMN(기본데이타!S$8),0))</f>
        <v/>
      </c>
      <c r="R144" s="596" t="str">
        <f>IF($A144="","",VLOOKUP($A144,기본데이타!$A$8:$BV$103,COLUMN(기본데이타!T$8),0))</f>
        <v/>
      </c>
      <c r="S144" s="596" t="str">
        <f>IF($A144="","",VLOOKUP($A144,기본데이타!$A$8:$BV$103,COLUMN(기본데이타!U$8),0))</f>
        <v/>
      </c>
      <c r="T144" s="596" t="str">
        <f>IF($A144="","",VLOOKUP($A144,기본데이타!$A$8:$BV$103,COLUMN(기본데이타!V$8),0))</f>
        <v/>
      </c>
      <c r="U144" s="596" t="str">
        <f>IF($A144="","",VLOOKUP($A144,기본데이타!$A$8:$BV$103,COLUMN(기본데이타!W$8),0))</f>
        <v/>
      </c>
      <c r="V144" s="596" t="str">
        <f>IF($A144="","",VLOOKUP($A144,기본데이타!$A$8:$BV$103,COLUMN(기본데이타!X$8),0))</f>
        <v/>
      </c>
      <c r="W144" s="596" t="str">
        <f>IF($A144="","",VLOOKUP($A144,기본데이타!$A$8:$BV$103,COLUMN(기본데이타!AA$8),0))</f>
        <v/>
      </c>
      <c r="X144" s="596" t="str">
        <f>IF($A144="","",VLOOKUP($A144,기본데이타!$A$8:$BV$103,COLUMN(기본데이타!AB$8),0))</f>
        <v/>
      </c>
      <c r="Y144" s="595" t="str">
        <f>IF($A144="","",VLOOKUP($A144,기본데이타!$A$8:$BV$103,COLUMN(기본데이타!AC$8),0))</f>
        <v/>
      </c>
      <c r="Z144" s="596" t="str">
        <f>IF($A144="","",VLOOKUP($A144,기본데이타!$A$8:$BV$103,COLUMN(기본데이타!AD$8),0))</f>
        <v/>
      </c>
      <c r="AA144" s="595" t="str">
        <f>IF($A144="","",VLOOKUP($A144,기본데이타!$A$8:$BV$103,COLUMN(기본데이타!AE$8),0))</f>
        <v/>
      </c>
      <c r="AB144" s="596" t="str">
        <f>IF($A144="","",VLOOKUP($A144,기본데이타!$A$8:$BV$103,COLUMN(기본데이타!AF$8),0))</f>
        <v/>
      </c>
      <c r="AC144" s="595" t="str">
        <f>IF($A144="","",VLOOKUP($A144,기본데이타!$A$8:$BV$103,COLUMN(기본데이타!AG$8),0))</f>
        <v/>
      </c>
      <c r="AD144" s="596" t="str">
        <f>IF($A144="","",VLOOKUP($A144,기본데이타!$A$8:$BV$103,COLUMN(기본데이타!AH$8),0))</f>
        <v/>
      </c>
      <c r="AE144" s="595" t="str">
        <f>IF($A144="","",VLOOKUP($A144,기본데이타!$A$8:$BV$103,COLUMN(기본데이타!AI$8),0))</f>
        <v/>
      </c>
      <c r="AF144" s="597" t="str">
        <f>IF($A144="","",VLOOKUP($A144,기본데이타!$A$8:$BV$103,COLUMN(기본데이타!AJ$8),0))</f>
        <v/>
      </c>
      <c r="AG144" s="621" t="str">
        <f>IF($A144="","",VLOOKUP($A144,기본데이타!$A$8:$BV$103,COLUMN(기본데이타!AK$8),0))</f>
        <v/>
      </c>
      <c r="AH144" s="621" t="str">
        <f>IF($A144="","",VLOOKUP($A144,기본데이타!$A$8:$BV$103,COLUMN(기본데이타!AL$8),0))</f>
        <v/>
      </c>
      <c r="AI144" s="621" t="str">
        <f>IF($A144="","",VLOOKUP($A144,기본데이타!$A$8:$BV$103,COLUMN(기본데이타!AM$8),0))</f>
        <v/>
      </c>
      <c r="AJ144" s="642" t="str">
        <f>IF($A144="","",VLOOKUP($A144,기본데이타!$A$8:$BV$103,COLUMN(기본데이타!AN$8),0))</f>
        <v/>
      </c>
      <c r="AK144" s="642" t="str">
        <f>IF($A144="","",VLOOKUP($A144,기본데이타!$A$8:$BV$103,COLUMN(기본데이타!AO$8),0))</f>
        <v/>
      </c>
      <c r="AL144" s="642" t="str">
        <f>IF($A144="","",VLOOKUP($A144,기본데이타!$A$8:$BV$103,COLUMN(기본데이타!AP$8),0))</f>
        <v/>
      </c>
      <c r="AM144" s="642" t="str">
        <f>IF($A144="","",VLOOKUP($A144,기본데이타!$A$8:$BV$103,COLUMN(기본데이타!AQ$8),0))</f>
        <v/>
      </c>
      <c r="AN144" s="642" t="str">
        <f>IF($A144="","",VLOOKUP($A144,기본데이타!$A$8:$BV$103,COLUMN(기본데이타!AR$8),0))</f>
        <v/>
      </c>
      <c r="AO144" s="642" t="str">
        <f>IF($A144="","",VLOOKUP($A144,기본데이타!$A$8:$BV$103,COLUMN(기본데이타!AS$8),0))</f>
        <v/>
      </c>
      <c r="AP144" s="642" t="str">
        <f>IF($A144="","",VLOOKUP($A144,기본데이타!$A$8:$BV$103,COLUMN(기본데이타!AT$8),0))</f>
        <v/>
      </c>
      <c r="AQ144" s="642" t="str">
        <f>IF($A144="","",VLOOKUP($A144,기본데이타!$A$8:$BV$103,COLUMN(기본데이타!AU$8),0))</f>
        <v/>
      </c>
      <c r="AR144" s="643" t="str">
        <f>IF($A144="","",VLOOKUP($A144,기본데이타!$A$8:$BV$103,COLUMN(기본데이타!AV$8),0))</f>
        <v/>
      </c>
      <c r="AS144" s="596" t="str">
        <f>IF($A144="","",VLOOKUP($A144,기본데이타!$A$8:$BV$103,COLUMN(기본데이타!AW$8),0))</f>
        <v/>
      </c>
      <c r="AT144" s="596" t="str">
        <f>IF($A144="","",VLOOKUP($A144,기본데이타!$A$8:$BV$103,COLUMN(기본데이타!AX$8),0))</f>
        <v/>
      </c>
      <c r="AU144" s="596" t="str">
        <f>IF($A144="","",VLOOKUP($A144,기본데이타!$A$8:$BV$103,COLUMN(기본데이타!AY$8),0))</f>
        <v/>
      </c>
      <c r="AV144" s="596" t="str">
        <f t="shared" si="22"/>
        <v/>
      </c>
      <c r="AW144" s="597" t="str">
        <f>IF($A144="","",VLOOKUP($A144,기본데이타!$A$8:$BV$103,COLUMN(기본데이타!BA$8),0))</f>
        <v/>
      </c>
      <c r="AX144" s="597" t="str">
        <f>IF($A144="","",VLOOKUP($A144,기본데이타!$A$8:$BV$103,COLUMN(기본데이타!BB$8),0))</f>
        <v/>
      </c>
      <c r="AY144" s="597" t="str">
        <f>IF($A144="","",VLOOKUP($A144,기본데이타!$A$8:$BV$103,COLUMN(기본데이타!BC$8),0))</f>
        <v/>
      </c>
      <c r="AZ144" s="597" t="str">
        <f>IF($A144="","",VLOOKUP($A144,기본데이타!$A$8:$BV$103,COLUMN(기본데이타!BD$8),0))</f>
        <v/>
      </c>
      <c r="BA144" s="597" t="str">
        <f>IF($A144="","",VLOOKUP($A144,기본데이타!$A$8:$BV$103,COLUMN(기본데이타!BE$8),0))</f>
        <v/>
      </c>
      <c r="BB144" s="597" t="str">
        <f>IF($A144="","",VLOOKUP($A144,기본데이타!$A$8:$BV$103,COLUMN(기본데이타!BF$8),0))</f>
        <v/>
      </c>
      <c r="BC144" s="597" t="str">
        <f>IF($A144="","",VLOOKUP($A144,기본데이타!$A$8:$BV$103,COLUMN(기본데이타!BG$8),0))</f>
        <v/>
      </c>
      <c r="BD144" s="597" t="str">
        <f>IF($A144="","",VLOOKUP($A144,기본데이타!$A$8:$BV$103,COLUMN(기본데이타!BH$8),0))</f>
        <v/>
      </c>
      <c r="BE144" s="597" t="str">
        <f>IF($A144="","",VLOOKUP($A144,기본데이타!$A$8:$BV$103,COLUMN(기본데이타!BI$8),0))</f>
        <v/>
      </c>
      <c r="BF144" s="597" t="str">
        <f>IF($A144="","",VLOOKUP($A144,기본데이타!$A$8:$BV$103,COLUMN(기본데이타!BJ$8),0))</f>
        <v/>
      </c>
      <c r="BG144" s="597" t="str">
        <f>IF($A144="","",VLOOKUP($A144,기본데이타!$A$8:$BV$103,COLUMN(기본데이타!BK$8),0))</f>
        <v/>
      </c>
      <c r="BH144" s="597" t="str">
        <f>IF($A144="","",VLOOKUP($A144,기본데이타!$A$8:$BV$103,COLUMN(기본데이타!BL$8),0))</f>
        <v/>
      </c>
      <c r="BI144" s="597" t="str">
        <f>IF($A144="","",VLOOKUP($A144,기본데이타!$A$8:$BV$103,COLUMN(기본데이타!BM$8),0))</f>
        <v/>
      </c>
      <c r="BJ144" s="597" t="str">
        <f>IF($A144="","",VLOOKUP($A144,기본데이타!$A$8:$BV$103,COLUMN(기본데이타!BN$8),0))</f>
        <v/>
      </c>
      <c r="BK144" s="597" t="str">
        <f>IF($A144="","",VLOOKUP($A144,기본데이타!$A$8:$BV$103,COLUMN(기본데이타!BO$8),0))</f>
        <v/>
      </c>
      <c r="BL144" s="597" t="str">
        <f>IF($A144="","",VLOOKUP($A144,기본데이타!$A$8:$BV$103,COLUMN(기본데이타!BP$8),0))</f>
        <v/>
      </c>
      <c r="BM144" s="597" t="str">
        <f>IF($A144="","",VLOOKUP($A144,기본데이타!$A$8:$BV$103,COLUMN(기본데이타!BQ$8),0))</f>
        <v/>
      </c>
      <c r="BN144" s="599" t="str">
        <f>IF($A144="","",VLOOKUP($A144,기본데이타!$A$8:$BV$103,COLUMN(기본데이타!BR$8),0))</f>
        <v/>
      </c>
      <c r="BO144" s="600" t="str">
        <f>IF($A144="","",VLOOKUP($A144,기본데이타!$A$8:$BV$103,COLUMN(기본데이타!BS$8),0))</f>
        <v/>
      </c>
      <c r="BP144" s="623" t="str">
        <f>IF($A144="","",VLOOKUP($A144,기본데이타!$A$8:$BV$103,COLUMN(기본데이타!BT$8),0))</f>
        <v/>
      </c>
      <c r="BQ144" s="602" t="str">
        <f>IF($A144="","",VLOOKUP($A144,기본데이타!$A$8:$BV$103,COLUMN(기본데이타!BU$8),0))</f>
        <v/>
      </c>
      <c r="BR144" s="603" t="str">
        <f t="shared" si="23"/>
        <v/>
      </c>
    </row>
    <row r="145" spans="1:70" s="571" customFormat="1" ht="61.5" hidden="1" customHeight="1">
      <c r="A145" s="578"/>
      <c r="B145" s="1642"/>
      <c r="C145" s="590"/>
      <c r="D145" s="673" t="str">
        <f>IF($A145="","",VLOOKUP($A145,기본데이타!$A$8:$BV$103,COLUMN(기본데이타!F$8),0))</f>
        <v/>
      </c>
      <c r="E145" s="630" t="str">
        <f>IF($A145="","",VLOOKUP($A145,기본데이타!$A$8:$BV$103,COLUMN(기본데이타!G$8),0))</f>
        <v/>
      </c>
      <c r="F145" s="631" t="str">
        <f>IF($A145="","",VLOOKUP($A145,기본데이타!$A$8:$BV$103,COLUMN(기본데이타!H$8),0))</f>
        <v/>
      </c>
      <c r="G145" s="632" t="str">
        <f>IF($A145="","",VLOOKUP($A145,기본데이타!$A$8:$BV$103,COLUMN(기본데이타!I$8),0))</f>
        <v/>
      </c>
      <c r="H145" s="632" t="str">
        <f>IF($A145="","",VLOOKUP($A145,기본데이타!$A$8:$BV$103,COLUMN(기본데이타!J$8),0))</f>
        <v/>
      </c>
      <c r="I145" s="633" t="str">
        <f>IF($A145="","",VLOOKUP($A145,기본데이타!$A$8:$BV$103,COLUMN(기본데이타!K$8),0))</f>
        <v/>
      </c>
      <c r="J145" s="633" t="str">
        <f>IF($A145="","",VLOOKUP($A145,기본데이타!$A$8:$BV$103,COLUMN(기본데이타!L$8),0))</f>
        <v/>
      </c>
      <c r="K145" s="633" t="str">
        <f>IF($A145="","",VLOOKUP($A145,기본데이타!$A$8:$BV$103,COLUMN(기본데이타!M$8),0))</f>
        <v/>
      </c>
      <c r="L145" s="634" t="str">
        <f>IF($A145="","",VLOOKUP($A145,기본데이타!$A$8:$BV$103,COLUMN(기본데이타!N$8),0))</f>
        <v/>
      </c>
      <c r="M145" s="633" t="str">
        <f>IF($A145="","",VLOOKUP($A145,기본데이타!$A$8:$BV$103,COLUMN(기본데이타!O$8),0))</f>
        <v/>
      </c>
      <c r="N145" s="634" t="str">
        <f>IF($A145="","",VLOOKUP($A145,기본데이타!$A$8:$BV$103,COLUMN(기본데이타!P$8),0))</f>
        <v/>
      </c>
      <c r="O145" s="634" t="str">
        <f>IF($A145="","",VLOOKUP($A145,기본데이타!$A$8:$BV$103,COLUMN(기본데이타!Q$8),0))</f>
        <v/>
      </c>
      <c r="P145" s="634" t="str">
        <f>IF($A145="","",VLOOKUP($A145,기본데이타!$A$8:$BV$103,COLUMN(기본데이타!R$8),0))</f>
        <v/>
      </c>
      <c r="Q145" s="634" t="str">
        <f>IF($A145="","",VLOOKUP($A145,기본데이타!$A$8:$BV$103,COLUMN(기본데이타!S$8),0))</f>
        <v/>
      </c>
      <c r="R145" s="634" t="str">
        <f>IF($A145="","",VLOOKUP($A145,기본데이타!$A$8:$BV$103,COLUMN(기본데이타!T$8),0))</f>
        <v/>
      </c>
      <c r="S145" s="634" t="str">
        <f>IF($A145="","",VLOOKUP($A145,기본데이타!$A$8:$BV$103,COLUMN(기본데이타!U$8),0))</f>
        <v/>
      </c>
      <c r="T145" s="634" t="str">
        <f>IF($A145="","",VLOOKUP($A145,기본데이타!$A$8:$BV$103,COLUMN(기본데이타!V$8),0))</f>
        <v/>
      </c>
      <c r="U145" s="634" t="str">
        <f>IF($A145="","",VLOOKUP($A145,기본데이타!$A$8:$BV$103,COLUMN(기본데이타!W$8),0))</f>
        <v/>
      </c>
      <c r="V145" s="634" t="str">
        <f>IF($A145="","",VLOOKUP($A145,기본데이타!$A$8:$BV$103,COLUMN(기본데이타!X$8),0))</f>
        <v/>
      </c>
      <c r="W145" s="634" t="str">
        <f>IF($A145="","",VLOOKUP($A145,기본데이타!$A$8:$BV$103,COLUMN(기본데이타!AA$8),0))</f>
        <v/>
      </c>
      <c r="X145" s="634" t="str">
        <f>IF($A145="","",VLOOKUP($A145,기본데이타!$A$8:$BV$103,COLUMN(기본데이타!AB$8),0))</f>
        <v/>
      </c>
      <c r="Y145" s="633" t="str">
        <f>IF($A145="","",VLOOKUP($A145,기본데이타!$A$8:$BV$103,COLUMN(기본데이타!AC$8),0))</f>
        <v/>
      </c>
      <c r="Z145" s="634" t="str">
        <f>IF($A145="","",VLOOKUP($A145,기본데이타!$A$8:$BV$103,COLUMN(기본데이타!AD$8),0))</f>
        <v/>
      </c>
      <c r="AA145" s="633" t="str">
        <f>IF($A145="","",VLOOKUP($A145,기본데이타!$A$8:$BV$103,COLUMN(기본데이타!AE$8),0))</f>
        <v/>
      </c>
      <c r="AB145" s="634" t="str">
        <f>IF($A145="","",VLOOKUP($A145,기본데이타!$A$8:$BV$103,COLUMN(기본데이타!AF$8),0))</f>
        <v/>
      </c>
      <c r="AC145" s="633" t="str">
        <f>IF($A145="","",VLOOKUP($A145,기본데이타!$A$8:$BV$103,COLUMN(기본데이타!AG$8),0))</f>
        <v/>
      </c>
      <c r="AD145" s="634" t="str">
        <f>IF($A145="","",VLOOKUP($A145,기본데이타!$A$8:$BV$103,COLUMN(기본데이타!AH$8),0))</f>
        <v/>
      </c>
      <c r="AE145" s="633" t="str">
        <f>IF($A145="","",VLOOKUP($A145,기본데이타!$A$8:$BV$103,COLUMN(기본데이타!AI$8),0))</f>
        <v/>
      </c>
      <c r="AF145" s="635" t="str">
        <f>IF($A145="","",VLOOKUP($A145,기본데이타!$A$8:$BV$103,COLUMN(기본데이타!AJ$8),0))</f>
        <v/>
      </c>
      <c r="AG145" s="580" t="str">
        <f>IF($A145="","",VLOOKUP($A145,기본데이타!$A$8:$BV$103,COLUMN(기본데이타!AK$8),0))</f>
        <v/>
      </c>
      <c r="AH145" s="580" t="str">
        <f>IF($A145="","",VLOOKUP($A145,기본데이타!$A$8:$BV$103,COLUMN(기본데이타!AL$8),0))</f>
        <v/>
      </c>
      <c r="AI145" s="580" t="str">
        <f>IF($A145="","",VLOOKUP($A145,기본데이타!$A$8:$BV$103,COLUMN(기본데이타!AM$8),0))</f>
        <v/>
      </c>
      <c r="AJ145" s="636" t="str">
        <f>IF($A145="","",VLOOKUP($A145,기본데이타!$A$8:$BV$103,COLUMN(기본데이타!AN$8),0))</f>
        <v/>
      </c>
      <c r="AK145" s="636" t="str">
        <f>IF($A145="","",VLOOKUP($A145,기본데이타!$A$8:$BV$103,COLUMN(기본데이타!AO$8),0))</f>
        <v/>
      </c>
      <c r="AL145" s="636" t="str">
        <f>IF($A145="","",VLOOKUP($A145,기본데이타!$A$8:$BV$103,COLUMN(기본데이타!AP$8),0))</f>
        <v/>
      </c>
      <c r="AM145" s="636" t="str">
        <f>IF($A145="","",VLOOKUP($A145,기본데이타!$A$8:$BV$103,COLUMN(기본데이타!AQ$8),0))</f>
        <v/>
      </c>
      <c r="AN145" s="636" t="str">
        <f>IF($A145="","",VLOOKUP($A145,기본데이타!$A$8:$BV$103,COLUMN(기본데이타!AR$8),0))</f>
        <v/>
      </c>
      <c r="AO145" s="636" t="str">
        <f>IF($A145="","",VLOOKUP($A145,기본데이타!$A$8:$BV$103,COLUMN(기본데이타!AS$8),0))</f>
        <v/>
      </c>
      <c r="AP145" s="636" t="str">
        <f>IF($A145="","",VLOOKUP($A145,기본데이타!$A$8:$BV$103,COLUMN(기본데이타!AT$8),0))</f>
        <v/>
      </c>
      <c r="AQ145" s="636" t="str">
        <f>IF($A145="","",VLOOKUP($A145,기본데이타!$A$8:$BV$103,COLUMN(기본데이타!AU$8),0))</f>
        <v/>
      </c>
      <c r="AR145" s="637" t="str">
        <f>IF($A145="","",VLOOKUP($A145,기본데이타!$A$8:$BV$103,COLUMN(기본데이타!AV$8),0))</f>
        <v/>
      </c>
      <c r="AS145" s="634" t="str">
        <f>IF($A145="","",VLOOKUP($A145,기본데이타!$A$8:$BV$103,COLUMN(기본데이타!AW$8),0))</f>
        <v/>
      </c>
      <c r="AT145" s="634" t="str">
        <f>IF($A145="","",VLOOKUP($A145,기본데이타!$A$8:$BV$103,COLUMN(기본데이타!AX$8),0))</f>
        <v/>
      </c>
      <c r="AU145" s="634" t="str">
        <f>IF($A145="","",VLOOKUP($A145,기본데이타!$A$8:$BV$103,COLUMN(기본데이타!AY$8),0))</f>
        <v/>
      </c>
      <c r="AV145" s="634" t="str">
        <f t="shared" si="22"/>
        <v/>
      </c>
      <c r="AW145" s="635" t="str">
        <f>IF($A145="","",VLOOKUP($A145,기본데이타!$A$8:$BV$103,COLUMN(기본데이타!BA$8),0))</f>
        <v/>
      </c>
      <c r="AX145" s="635" t="str">
        <f>IF($A145="","",VLOOKUP($A145,기본데이타!$A$8:$BV$103,COLUMN(기본데이타!BB$8),0))</f>
        <v/>
      </c>
      <c r="AY145" s="635" t="str">
        <f>IF($A145="","",VLOOKUP($A145,기본데이타!$A$8:$BV$103,COLUMN(기본데이타!BC$8),0))</f>
        <v/>
      </c>
      <c r="AZ145" s="635" t="str">
        <f>IF($A145="","",VLOOKUP($A145,기본데이타!$A$8:$BV$103,COLUMN(기본데이타!BD$8),0))</f>
        <v/>
      </c>
      <c r="BA145" s="635" t="str">
        <f>IF($A145="","",VLOOKUP($A145,기본데이타!$A$8:$BV$103,COLUMN(기본데이타!BE$8),0))</f>
        <v/>
      </c>
      <c r="BB145" s="635" t="str">
        <f>IF($A145="","",VLOOKUP($A145,기본데이타!$A$8:$BV$103,COLUMN(기본데이타!BF$8),0))</f>
        <v/>
      </c>
      <c r="BC145" s="635" t="str">
        <f>IF($A145="","",VLOOKUP($A145,기본데이타!$A$8:$BV$103,COLUMN(기본데이타!BG$8),0))</f>
        <v/>
      </c>
      <c r="BD145" s="635" t="str">
        <f>IF($A145="","",VLOOKUP($A145,기본데이타!$A$8:$BV$103,COLUMN(기본데이타!BH$8),0))</f>
        <v/>
      </c>
      <c r="BE145" s="635" t="str">
        <f>IF($A145="","",VLOOKUP($A145,기본데이타!$A$8:$BV$103,COLUMN(기본데이타!BI$8),0))</f>
        <v/>
      </c>
      <c r="BF145" s="635" t="str">
        <f>IF($A145="","",VLOOKUP($A145,기본데이타!$A$8:$BV$103,COLUMN(기본데이타!BJ$8),0))</f>
        <v/>
      </c>
      <c r="BG145" s="635" t="str">
        <f>IF($A145="","",VLOOKUP($A145,기본데이타!$A$8:$BV$103,COLUMN(기본데이타!BK$8),0))</f>
        <v/>
      </c>
      <c r="BH145" s="635" t="str">
        <f>IF($A145="","",VLOOKUP($A145,기본데이타!$A$8:$BV$103,COLUMN(기본데이타!BL$8),0))</f>
        <v/>
      </c>
      <c r="BI145" s="635" t="str">
        <f>IF($A145="","",VLOOKUP($A145,기본데이타!$A$8:$BV$103,COLUMN(기본데이타!BM$8),0))</f>
        <v/>
      </c>
      <c r="BJ145" s="635" t="str">
        <f>IF($A145="","",VLOOKUP($A145,기본데이타!$A$8:$BV$103,COLUMN(기본데이타!BN$8),0))</f>
        <v/>
      </c>
      <c r="BK145" s="635" t="str">
        <f>IF($A145="","",VLOOKUP($A145,기본데이타!$A$8:$BV$103,COLUMN(기본데이타!BO$8),0))</f>
        <v/>
      </c>
      <c r="BL145" s="635" t="str">
        <f>IF($A145="","",VLOOKUP($A145,기본데이타!$A$8:$BV$103,COLUMN(기본데이타!BP$8),0))</f>
        <v/>
      </c>
      <c r="BM145" s="635" t="str">
        <f>IF($A145="","",VLOOKUP($A145,기본데이타!$A$8:$BV$103,COLUMN(기본데이타!BQ$8),0))</f>
        <v/>
      </c>
      <c r="BN145" s="638" t="str">
        <f>IF($A145="","",VLOOKUP($A145,기본데이타!$A$8:$BV$103,COLUMN(기본데이타!BR$8),0))</f>
        <v/>
      </c>
      <c r="BO145" s="579" t="str">
        <f>IF($A145="","",VLOOKUP($A145,기본데이타!$A$8:$BV$103,COLUMN(기본데이타!BS$8),0))</f>
        <v/>
      </c>
      <c r="BP145" s="639" t="str">
        <f>IF($A145="","",VLOOKUP($A145,기본데이타!$A$8:$BV$103,COLUMN(기본데이타!BT$8),0))</f>
        <v/>
      </c>
      <c r="BQ145" s="640" t="str">
        <f>IF($A145="","",VLOOKUP($A145,기본데이타!$A$8:$BV$103,COLUMN(기본데이타!BU$8),0))</f>
        <v/>
      </c>
      <c r="BR145" s="625" t="str">
        <f t="shared" si="23"/>
        <v/>
      </c>
    </row>
    <row r="146" spans="1:70" s="571" customFormat="1" ht="61.5" hidden="1" customHeight="1">
      <c r="A146" s="578"/>
      <c r="B146" s="1642"/>
      <c r="C146" s="590"/>
      <c r="D146" s="673" t="str">
        <f>IF($A146="","",VLOOKUP($A146,기본데이타!$A$8:$BV$103,COLUMN(기본데이타!F$8),0))</f>
        <v/>
      </c>
      <c r="E146" s="630" t="str">
        <f>IF($A146="","",VLOOKUP($A146,기본데이타!$A$8:$BV$103,COLUMN(기본데이타!G$8),0))</f>
        <v/>
      </c>
      <c r="F146" s="631" t="str">
        <f>IF($A146="","",VLOOKUP($A146,기본데이타!$A$8:$BV$103,COLUMN(기본데이타!H$8),0))</f>
        <v/>
      </c>
      <c r="G146" s="632" t="str">
        <f>IF($A146="","",VLOOKUP($A146,기본데이타!$A$8:$BV$103,COLUMN(기본데이타!I$8),0))</f>
        <v/>
      </c>
      <c r="H146" s="632" t="str">
        <f>IF($A146="","",VLOOKUP($A146,기본데이타!$A$8:$BV$103,COLUMN(기본데이타!J$8),0))</f>
        <v/>
      </c>
      <c r="I146" s="633" t="str">
        <f>IF($A146="","",VLOOKUP($A146,기본데이타!$A$8:$BV$103,COLUMN(기본데이타!K$8),0))</f>
        <v/>
      </c>
      <c r="J146" s="633" t="str">
        <f>IF($A146="","",VLOOKUP($A146,기본데이타!$A$8:$BV$103,COLUMN(기본데이타!L$8),0))</f>
        <v/>
      </c>
      <c r="K146" s="633" t="str">
        <f>IF($A146="","",VLOOKUP($A146,기본데이타!$A$8:$BV$103,COLUMN(기본데이타!M$8),0))</f>
        <v/>
      </c>
      <c r="L146" s="634" t="str">
        <f>IF($A146="","",VLOOKUP($A146,기본데이타!$A$8:$BV$103,COLUMN(기본데이타!N$8),0))</f>
        <v/>
      </c>
      <c r="M146" s="633" t="str">
        <f>IF($A146="","",VLOOKUP($A146,기본데이타!$A$8:$BV$103,COLUMN(기본데이타!O$8),0))</f>
        <v/>
      </c>
      <c r="N146" s="634" t="str">
        <f>IF($A146="","",VLOOKUP($A146,기본데이타!$A$8:$BV$103,COLUMN(기본데이타!P$8),0))</f>
        <v/>
      </c>
      <c r="O146" s="634" t="str">
        <f>IF($A146="","",VLOOKUP($A146,기본데이타!$A$8:$BV$103,COLUMN(기본데이타!Q$8),0))</f>
        <v/>
      </c>
      <c r="P146" s="634" t="str">
        <f>IF($A146="","",VLOOKUP($A146,기본데이타!$A$8:$BV$103,COLUMN(기본데이타!R$8),0))</f>
        <v/>
      </c>
      <c r="Q146" s="634" t="str">
        <f>IF($A146="","",VLOOKUP($A146,기본데이타!$A$8:$BV$103,COLUMN(기본데이타!S$8),0))</f>
        <v/>
      </c>
      <c r="R146" s="634" t="str">
        <f>IF($A146="","",VLOOKUP($A146,기본데이타!$A$8:$BV$103,COLUMN(기본데이타!T$8),0))</f>
        <v/>
      </c>
      <c r="S146" s="634" t="str">
        <f>IF($A146="","",VLOOKUP($A146,기본데이타!$A$8:$BV$103,COLUMN(기본데이타!U$8),0))</f>
        <v/>
      </c>
      <c r="T146" s="634" t="str">
        <f>IF($A146="","",VLOOKUP($A146,기본데이타!$A$8:$BV$103,COLUMN(기본데이타!V$8),0))</f>
        <v/>
      </c>
      <c r="U146" s="634" t="str">
        <f>IF($A146="","",VLOOKUP($A146,기본데이타!$A$8:$BV$103,COLUMN(기본데이타!W$8),0))</f>
        <v/>
      </c>
      <c r="V146" s="634" t="str">
        <f>IF($A146="","",VLOOKUP($A146,기본데이타!$A$8:$BV$103,COLUMN(기본데이타!X$8),0))</f>
        <v/>
      </c>
      <c r="W146" s="634" t="str">
        <f>IF($A146="","",VLOOKUP($A146,기본데이타!$A$8:$BV$103,COLUMN(기본데이타!AA$8),0))</f>
        <v/>
      </c>
      <c r="X146" s="634" t="str">
        <f>IF($A146="","",VLOOKUP($A146,기본데이타!$A$8:$BV$103,COLUMN(기본데이타!AB$8),0))</f>
        <v/>
      </c>
      <c r="Y146" s="633" t="str">
        <f>IF($A146="","",VLOOKUP($A146,기본데이타!$A$8:$BV$103,COLUMN(기본데이타!AC$8),0))</f>
        <v/>
      </c>
      <c r="Z146" s="634" t="str">
        <f>IF($A146="","",VLOOKUP($A146,기본데이타!$A$8:$BV$103,COLUMN(기본데이타!AD$8),0))</f>
        <v/>
      </c>
      <c r="AA146" s="633" t="str">
        <f>IF($A146="","",VLOOKUP($A146,기본데이타!$A$8:$BV$103,COLUMN(기본데이타!AE$8),0))</f>
        <v/>
      </c>
      <c r="AB146" s="634" t="str">
        <f>IF($A146="","",VLOOKUP($A146,기본데이타!$A$8:$BV$103,COLUMN(기본데이타!AF$8),0))</f>
        <v/>
      </c>
      <c r="AC146" s="633" t="str">
        <f>IF($A146="","",VLOOKUP($A146,기본데이타!$A$8:$BV$103,COLUMN(기본데이타!AG$8),0))</f>
        <v/>
      </c>
      <c r="AD146" s="634" t="str">
        <f>IF($A146="","",VLOOKUP($A146,기본데이타!$A$8:$BV$103,COLUMN(기본데이타!AH$8),0))</f>
        <v/>
      </c>
      <c r="AE146" s="633" t="str">
        <f>IF($A146="","",VLOOKUP($A146,기본데이타!$A$8:$BV$103,COLUMN(기본데이타!AI$8),0))</f>
        <v/>
      </c>
      <c r="AF146" s="635" t="str">
        <f>IF($A146="","",VLOOKUP($A146,기본데이타!$A$8:$BV$103,COLUMN(기본데이타!AJ$8),0))</f>
        <v/>
      </c>
      <c r="AG146" s="580" t="str">
        <f>IF($A146="","",VLOOKUP($A146,기본데이타!$A$8:$BV$103,COLUMN(기본데이타!AK$8),0))</f>
        <v/>
      </c>
      <c r="AH146" s="580" t="str">
        <f>IF($A146="","",VLOOKUP($A146,기본데이타!$A$8:$BV$103,COLUMN(기본데이타!AL$8),0))</f>
        <v/>
      </c>
      <c r="AI146" s="580" t="str">
        <f>IF($A146="","",VLOOKUP($A146,기본데이타!$A$8:$BV$103,COLUMN(기본데이타!AM$8),0))</f>
        <v/>
      </c>
      <c r="AJ146" s="636" t="str">
        <f>IF($A146="","",VLOOKUP($A146,기본데이타!$A$8:$BV$103,COLUMN(기본데이타!AN$8),0))</f>
        <v/>
      </c>
      <c r="AK146" s="636" t="str">
        <f>IF($A146="","",VLOOKUP($A146,기본데이타!$A$8:$BV$103,COLUMN(기본데이타!AO$8),0))</f>
        <v/>
      </c>
      <c r="AL146" s="636" t="str">
        <f>IF($A146="","",VLOOKUP($A146,기본데이타!$A$8:$BV$103,COLUMN(기본데이타!AP$8),0))</f>
        <v/>
      </c>
      <c r="AM146" s="636" t="str">
        <f>IF($A146="","",VLOOKUP($A146,기본데이타!$A$8:$BV$103,COLUMN(기본데이타!AQ$8),0))</f>
        <v/>
      </c>
      <c r="AN146" s="636" t="str">
        <f>IF($A146="","",VLOOKUP($A146,기본데이타!$A$8:$BV$103,COLUMN(기본데이타!AR$8),0))</f>
        <v/>
      </c>
      <c r="AO146" s="636" t="str">
        <f>IF($A146="","",VLOOKUP($A146,기본데이타!$A$8:$BV$103,COLUMN(기본데이타!AS$8),0))</f>
        <v/>
      </c>
      <c r="AP146" s="636" t="str">
        <f>IF($A146="","",VLOOKUP($A146,기본데이타!$A$8:$BV$103,COLUMN(기본데이타!AT$8),0))</f>
        <v/>
      </c>
      <c r="AQ146" s="636" t="str">
        <f>IF($A146="","",VLOOKUP($A146,기본데이타!$A$8:$BV$103,COLUMN(기본데이타!AU$8),0))</f>
        <v/>
      </c>
      <c r="AR146" s="637" t="str">
        <f>IF($A146="","",VLOOKUP($A146,기본데이타!$A$8:$BV$103,COLUMN(기본데이타!AV$8),0))</f>
        <v/>
      </c>
      <c r="AS146" s="634" t="str">
        <f>IF($A146="","",VLOOKUP($A146,기본데이타!$A$8:$BV$103,COLUMN(기본데이타!AW$8),0))</f>
        <v/>
      </c>
      <c r="AT146" s="634" t="str">
        <f>IF($A146="","",VLOOKUP($A146,기본데이타!$A$8:$BV$103,COLUMN(기본데이타!AX$8),0))</f>
        <v/>
      </c>
      <c r="AU146" s="634" t="str">
        <f>IF($A146="","",VLOOKUP($A146,기본데이타!$A$8:$BV$103,COLUMN(기본데이타!AY$8),0))</f>
        <v/>
      </c>
      <c r="AV146" s="634" t="str">
        <f t="shared" si="22"/>
        <v/>
      </c>
      <c r="AW146" s="635" t="str">
        <f>IF($A146="","",VLOOKUP($A146,기본데이타!$A$8:$BV$103,COLUMN(기본데이타!BA$8),0))</f>
        <v/>
      </c>
      <c r="AX146" s="635" t="str">
        <f>IF($A146="","",VLOOKUP($A146,기본데이타!$A$8:$BV$103,COLUMN(기본데이타!BB$8),0))</f>
        <v/>
      </c>
      <c r="AY146" s="635" t="str">
        <f>IF($A146="","",VLOOKUP($A146,기본데이타!$A$8:$BV$103,COLUMN(기본데이타!BC$8),0))</f>
        <v/>
      </c>
      <c r="AZ146" s="635" t="str">
        <f>IF($A146="","",VLOOKUP($A146,기본데이타!$A$8:$BV$103,COLUMN(기본데이타!BD$8),0))</f>
        <v/>
      </c>
      <c r="BA146" s="635" t="str">
        <f>IF($A146="","",VLOOKUP($A146,기본데이타!$A$8:$BV$103,COLUMN(기본데이타!BE$8),0))</f>
        <v/>
      </c>
      <c r="BB146" s="635" t="str">
        <f>IF($A146="","",VLOOKUP($A146,기본데이타!$A$8:$BV$103,COLUMN(기본데이타!BF$8),0))</f>
        <v/>
      </c>
      <c r="BC146" s="635" t="str">
        <f>IF($A146="","",VLOOKUP($A146,기본데이타!$A$8:$BV$103,COLUMN(기본데이타!BG$8),0))</f>
        <v/>
      </c>
      <c r="BD146" s="635" t="str">
        <f>IF($A146="","",VLOOKUP($A146,기본데이타!$A$8:$BV$103,COLUMN(기본데이타!BH$8),0))</f>
        <v/>
      </c>
      <c r="BE146" s="635" t="str">
        <f>IF($A146="","",VLOOKUP($A146,기본데이타!$A$8:$BV$103,COLUMN(기본데이타!BI$8),0))</f>
        <v/>
      </c>
      <c r="BF146" s="635" t="str">
        <f>IF($A146="","",VLOOKUP($A146,기본데이타!$A$8:$BV$103,COLUMN(기본데이타!BJ$8),0))</f>
        <v/>
      </c>
      <c r="BG146" s="635" t="str">
        <f>IF($A146="","",VLOOKUP($A146,기본데이타!$A$8:$BV$103,COLUMN(기본데이타!BK$8),0))</f>
        <v/>
      </c>
      <c r="BH146" s="635" t="str">
        <f>IF($A146="","",VLOOKUP($A146,기본데이타!$A$8:$BV$103,COLUMN(기본데이타!BL$8),0))</f>
        <v/>
      </c>
      <c r="BI146" s="635" t="str">
        <f>IF($A146="","",VLOOKUP($A146,기본데이타!$A$8:$BV$103,COLUMN(기본데이타!BM$8),0))</f>
        <v/>
      </c>
      <c r="BJ146" s="635" t="str">
        <f>IF($A146="","",VLOOKUP($A146,기본데이타!$A$8:$BV$103,COLUMN(기본데이타!BN$8),0))</f>
        <v/>
      </c>
      <c r="BK146" s="635" t="str">
        <f>IF($A146="","",VLOOKUP($A146,기본데이타!$A$8:$BV$103,COLUMN(기본데이타!BO$8),0))</f>
        <v/>
      </c>
      <c r="BL146" s="635" t="str">
        <f>IF($A146="","",VLOOKUP($A146,기본데이타!$A$8:$BV$103,COLUMN(기본데이타!BP$8),0))</f>
        <v/>
      </c>
      <c r="BM146" s="635" t="str">
        <f>IF($A146="","",VLOOKUP($A146,기본데이타!$A$8:$BV$103,COLUMN(기본데이타!BQ$8),0))</f>
        <v/>
      </c>
      <c r="BN146" s="638" t="str">
        <f>IF($A146="","",VLOOKUP($A146,기본데이타!$A$8:$BV$103,COLUMN(기본데이타!BR$8),0))</f>
        <v/>
      </c>
      <c r="BO146" s="579" t="str">
        <f>IF($A146="","",VLOOKUP($A146,기본데이타!$A$8:$BV$103,COLUMN(기본데이타!BS$8),0))</f>
        <v/>
      </c>
      <c r="BP146" s="639" t="str">
        <f>IF($A146="","",VLOOKUP($A146,기본데이타!$A$8:$BV$103,COLUMN(기본데이타!BT$8),0))</f>
        <v/>
      </c>
      <c r="BQ146" s="640" t="str">
        <f>IF($A146="","",VLOOKUP($A146,기본데이타!$A$8:$BV$103,COLUMN(기본데이타!BU$8),0))</f>
        <v/>
      </c>
      <c r="BR146" s="625" t="str">
        <f t="shared" si="23"/>
        <v/>
      </c>
    </row>
    <row r="147" spans="1:70" s="571" customFormat="1" ht="61.5" hidden="1" customHeight="1">
      <c r="A147" s="578"/>
      <c r="B147" s="1642"/>
      <c r="C147" s="590"/>
      <c r="D147" s="673" t="str">
        <f>IF($A147="","",VLOOKUP($A147,기본데이타!$A$8:$BV$103,COLUMN(기본데이타!F$8),0))</f>
        <v/>
      </c>
      <c r="E147" s="630" t="str">
        <f>IF($A147="","",VLOOKUP($A147,기본데이타!$A$8:$BV$103,COLUMN(기본데이타!G$8),0))</f>
        <v/>
      </c>
      <c r="F147" s="631" t="str">
        <f>IF($A147="","",VLOOKUP($A147,기본데이타!$A$8:$BV$103,COLUMN(기본데이타!H$8),0))</f>
        <v/>
      </c>
      <c r="G147" s="632" t="str">
        <f>IF($A147="","",VLOOKUP($A147,기본데이타!$A$8:$BV$103,COLUMN(기본데이타!I$8),0))</f>
        <v/>
      </c>
      <c r="H147" s="632" t="str">
        <f>IF($A147="","",VLOOKUP($A147,기본데이타!$A$8:$BV$103,COLUMN(기본데이타!J$8),0))</f>
        <v/>
      </c>
      <c r="I147" s="633" t="str">
        <f>IF($A147="","",VLOOKUP($A147,기본데이타!$A$8:$BV$103,COLUMN(기본데이타!K$8),0))</f>
        <v/>
      </c>
      <c r="J147" s="633" t="str">
        <f>IF($A147="","",VLOOKUP($A147,기본데이타!$A$8:$BV$103,COLUMN(기본데이타!L$8),0))</f>
        <v/>
      </c>
      <c r="K147" s="633" t="str">
        <f>IF($A147="","",VLOOKUP($A147,기본데이타!$A$8:$BV$103,COLUMN(기본데이타!M$8),0))</f>
        <v/>
      </c>
      <c r="L147" s="634" t="str">
        <f>IF($A147="","",VLOOKUP($A147,기본데이타!$A$8:$BV$103,COLUMN(기본데이타!N$8),0))</f>
        <v/>
      </c>
      <c r="M147" s="633" t="str">
        <f>IF($A147="","",VLOOKUP($A147,기본데이타!$A$8:$BV$103,COLUMN(기본데이타!O$8),0))</f>
        <v/>
      </c>
      <c r="N147" s="634" t="str">
        <f>IF($A147="","",VLOOKUP($A147,기본데이타!$A$8:$BV$103,COLUMN(기본데이타!P$8),0))</f>
        <v/>
      </c>
      <c r="O147" s="634" t="str">
        <f>IF($A147="","",VLOOKUP($A147,기본데이타!$A$8:$BV$103,COLUMN(기본데이타!Q$8),0))</f>
        <v/>
      </c>
      <c r="P147" s="634" t="str">
        <f>IF($A147="","",VLOOKUP($A147,기본데이타!$A$8:$BV$103,COLUMN(기본데이타!R$8),0))</f>
        <v/>
      </c>
      <c r="Q147" s="634" t="str">
        <f>IF($A147="","",VLOOKUP($A147,기본데이타!$A$8:$BV$103,COLUMN(기본데이타!S$8),0))</f>
        <v/>
      </c>
      <c r="R147" s="634" t="str">
        <f>IF($A147="","",VLOOKUP($A147,기본데이타!$A$8:$BV$103,COLUMN(기본데이타!T$8),0))</f>
        <v/>
      </c>
      <c r="S147" s="634" t="str">
        <f>IF($A147="","",VLOOKUP($A147,기본데이타!$A$8:$BV$103,COLUMN(기본데이타!U$8),0))</f>
        <v/>
      </c>
      <c r="T147" s="634" t="str">
        <f>IF($A147="","",VLOOKUP($A147,기본데이타!$A$8:$BV$103,COLUMN(기본데이타!V$8),0))</f>
        <v/>
      </c>
      <c r="U147" s="634" t="str">
        <f>IF($A147="","",VLOOKUP($A147,기본데이타!$A$8:$BV$103,COLUMN(기본데이타!W$8),0))</f>
        <v/>
      </c>
      <c r="V147" s="634" t="str">
        <f>IF($A147="","",VLOOKUP($A147,기본데이타!$A$8:$BV$103,COLUMN(기본데이타!X$8),0))</f>
        <v/>
      </c>
      <c r="W147" s="634" t="str">
        <f>IF($A147="","",VLOOKUP($A147,기본데이타!$A$8:$BV$103,COLUMN(기본데이타!AA$8),0))</f>
        <v/>
      </c>
      <c r="X147" s="634" t="str">
        <f>IF($A147="","",VLOOKUP($A147,기본데이타!$A$8:$BV$103,COLUMN(기본데이타!AB$8),0))</f>
        <v/>
      </c>
      <c r="Y147" s="633" t="str">
        <f>IF($A147="","",VLOOKUP($A147,기본데이타!$A$8:$BV$103,COLUMN(기본데이타!AC$8),0))</f>
        <v/>
      </c>
      <c r="Z147" s="634" t="str">
        <f>IF($A147="","",VLOOKUP($A147,기본데이타!$A$8:$BV$103,COLUMN(기본데이타!AD$8),0))</f>
        <v/>
      </c>
      <c r="AA147" s="633" t="str">
        <f>IF($A147="","",VLOOKUP($A147,기본데이타!$A$8:$BV$103,COLUMN(기본데이타!AE$8),0))</f>
        <v/>
      </c>
      <c r="AB147" s="634" t="str">
        <f>IF($A147="","",VLOOKUP($A147,기본데이타!$A$8:$BV$103,COLUMN(기본데이타!AF$8),0))</f>
        <v/>
      </c>
      <c r="AC147" s="633" t="str">
        <f>IF($A147="","",VLOOKUP($A147,기본데이타!$A$8:$BV$103,COLUMN(기본데이타!AG$8),0))</f>
        <v/>
      </c>
      <c r="AD147" s="634" t="str">
        <f>IF($A147="","",VLOOKUP($A147,기본데이타!$A$8:$BV$103,COLUMN(기본데이타!AH$8),0))</f>
        <v/>
      </c>
      <c r="AE147" s="633" t="str">
        <f>IF($A147="","",VLOOKUP($A147,기본데이타!$A$8:$BV$103,COLUMN(기본데이타!AI$8),0))</f>
        <v/>
      </c>
      <c r="AF147" s="635" t="str">
        <f>IF($A147="","",VLOOKUP($A147,기본데이타!$A$8:$BV$103,COLUMN(기본데이타!AJ$8),0))</f>
        <v/>
      </c>
      <c r="AG147" s="580" t="str">
        <f>IF($A147="","",VLOOKUP($A147,기본데이타!$A$8:$BV$103,COLUMN(기본데이타!AK$8),0))</f>
        <v/>
      </c>
      <c r="AH147" s="580" t="str">
        <f>IF($A147="","",VLOOKUP($A147,기본데이타!$A$8:$BV$103,COLUMN(기본데이타!AL$8),0))</f>
        <v/>
      </c>
      <c r="AI147" s="580" t="str">
        <f>IF($A147="","",VLOOKUP($A147,기본데이타!$A$8:$BV$103,COLUMN(기본데이타!AM$8),0))</f>
        <v/>
      </c>
      <c r="AJ147" s="636" t="str">
        <f>IF($A147="","",VLOOKUP($A147,기본데이타!$A$8:$BV$103,COLUMN(기본데이타!AN$8),0))</f>
        <v/>
      </c>
      <c r="AK147" s="636" t="str">
        <f>IF($A147="","",VLOOKUP($A147,기본데이타!$A$8:$BV$103,COLUMN(기본데이타!AO$8),0))</f>
        <v/>
      </c>
      <c r="AL147" s="636" t="str">
        <f>IF($A147="","",VLOOKUP($A147,기본데이타!$A$8:$BV$103,COLUMN(기본데이타!AP$8),0))</f>
        <v/>
      </c>
      <c r="AM147" s="636" t="str">
        <f>IF($A147="","",VLOOKUP($A147,기본데이타!$A$8:$BV$103,COLUMN(기본데이타!AQ$8),0))</f>
        <v/>
      </c>
      <c r="AN147" s="636" t="str">
        <f>IF($A147="","",VLOOKUP($A147,기본데이타!$A$8:$BV$103,COLUMN(기본데이타!AR$8),0))</f>
        <v/>
      </c>
      <c r="AO147" s="636" t="str">
        <f>IF($A147="","",VLOOKUP($A147,기본데이타!$A$8:$BV$103,COLUMN(기본데이타!AS$8),0))</f>
        <v/>
      </c>
      <c r="AP147" s="636" t="str">
        <f>IF($A147="","",VLOOKUP($A147,기본데이타!$A$8:$BV$103,COLUMN(기본데이타!AT$8),0))</f>
        <v/>
      </c>
      <c r="AQ147" s="636" t="str">
        <f>IF($A147="","",VLOOKUP($A147,기본데이타!$A$8:$BV$103,COLUMN(기본데이타!AU$8),0))</f>
        <v/>
      </c>
      <c r="AR147" s="637" t="str">
        <f>IF($A147="","",VLOOKUP($A147,기본데이타!$A$8:$BV$103,COLUMN(기본데이타!AV$8),0))</f>
        <v/>
      </c>
      <c r="AS147" s="634" t="str">
        <f>IF($A147="","",VLOOKUP($A147,기본데이타!$A$8:$BV$103,COLUMN(기본데이타!AW$8),0))</f>
        <v/>
      </c>
      <c r="AT147" s="634" t="str">
        <f>IF($A147="","",VLOOKUP($A147,기본데이타!$A$8:$BV$103,COLUMN(기본데이타!AX$8),0))</f>
        <v/>
      </c>
      <c r="AU147" s="634" t="str">
        <f>IF($A147="","",VLOOKUP($A147,기본데이타!$A$8:$BV$103,COLUMN(기본데이타!AY$8),0))</f>
        <v/>
      </c>
      <c r="AV147" s="634" t="str">
        <f t="shared" si="22"/>
        <v/>
      </c>
      <c r="AW147" s="635" t="str">
        <f>IF($A147="","",VLOOKUP($A147,기본데이타!$A$8:$BV$103,COLUMN(기본데이타!BA$8),0))</f>
        <v/>
      </c>
      <c r="AX147" s="635" t="str">
        <f>IF($A147="","",VLOOKUP($A147,기본데이타!$A$8:$BV$103,COLUMN(기본데이타!BB$8),0))</f>
        <v/>
      </c>
      <c r="AY147" s="635" t="str">
        <f>IF($A147="","",VLOOKUP($A147,기본데이타!$A$8:$BV$103,COLUMN(기본데이타!BC$8),0))</f>
        <v/>
      </c>
      <c r="AZ147" s="635" t="str">
        <f>IF($A147="","",VLOOKUP($A147,기본데이타!$A$8:$BV$103,COLUMN(기본데이타!BD$8),0))</f>
        <v/>
      </c>
      <c r="BA147" s="635" t="str">
        <f>IF($A147="","",VLOOKUP($A147,기본데이타!$A$8:$BV$103,COLUMN(기본데이타!BE$8),0))</f>
        <v/>
      </c>
      <c r="BB147" s="635" t="str">
        <f>IF($A147="","",VLOOKUP($A147,기본데이타!$A$8:$BV$103,COLUMN(기본데이타!BF$8),0))</f>
        <v/>
      </c>
      <c r="BC147" s="635" t="str">
        <f>IF($A147="","",VLOOKUP($A147,기본데이타!$A$8:$BV$103,COLUMN(기본데이타!BG$8),0))</f>
        <v/>
      </c>
      <c r="BD147" s="635" t="str">
        <f>IF($A147="","",VLOOKUP($A147,기본데이타!$A$8:$BV$103,COLUMN(기본데이타!BH$8),0))</f>
        <v/>
      </c>
      <c r="BE147" s="635" t="str">
        <f>IF($A147="","",VLOOKUP($A147,기본데이타!$A$8:$BV$103,COLUMN(기본데이타!BI$8),0))</f>
        <v/>
      </c>
      <c r="BF147" s="635" t="str">
        <f>IF($A147="","",VLOOKUP($A147,기본데이타!$A$8:$BV$103,COLUMN(기본데이타!BJ$8),0))</f>
        <v/>
      </c>
      <c r="BG147" s="635" t="str">
        <f>IF($A147="","",VLOOKUP($A147,기본데이타!$A$8:$BV$103,COLUMN(기본데이타!BK$8),0))</f>
        <v/>
      </c>
      <c r="BH147" s="635" t="str">
        <f>IF($A147="","",VLOOKUP($A147,기본데이타!$A$8:$BV$103,COLUMN(기본데이타!BL$8),0))</f>
        <v/>
      </c>
      <c r="BI147" s="635" t="str">
        <f>IF($A147="","",VLOOKUP($A147,기본데이타!$A$8:$BV$103,COLUMN(기본데이타!BM$8),0))</f>
        <v/>
      </c>
      <c r="BJ147" s="635" t="str">
        <f>IF($A147="","",VLOOKUP($A147,기본데이타!$A$8:$BV$103,COLUMN(기본데이타!BN$8),0))</f>
        <v/>
      </c>
      <c r="BK147" s="635" t="str">
        <f>IF($A147="","",VLOOKUP($A147,기본데이타!$A$8:$BV$103,COLUMN(기본데이타!BO$8),0))</f>
        <v/>
      </c>
      <c r="BL147" s="635" t="str">
        <f>IF($A147="","",VLOOKUP($A147,기본데이타!$A$8:$BV$103,COLUMN(기본데이타!BP$8),0))</f>
        <v/>
      </c>
      <c r="BM147" s="635" t="str">
        <f>IF($A147="","",VLOOKUP($A147,기본데이타!$A$8:$BV$103,COLUMN(기본데이타!BQ$8),0))</f>
        <v/>
      </c>
      <c r="BN147" s="638" t="str">
        <f>IF($A147="","",VLOOKUP($A147,기본데이타!$A$8:$BV$103,COLUMN(기본데이타!BR$8),0))</f>
        <v/>
      </c>
      <c r="BO147" s="579" t="str">
        <f>IF($A147="","",VLOOKUP($A147,기본데이타!$A$8:$BV$103,COLUMN(기본데이타!BS$8),0))</f>
        <v/>
      </c>
      <c r="BP147" s="639" t="str">
        <f>IF($A147="","",VLOOKUP($A147,기본데이타!$A$8:$BV$103,COLUMN(기본데이타!BT$8),0))</f>
        <v/>
      </c>
      <c r="BQ147" s="640" t="str">
        <f>IF($A147="","",VLOOKUP($A147,기본데이타!$A$8:$BV$103,COLUMN(기본데이타!BU$8),0))</f>
        <v/>
      </c>
      <c r="BR147" s="625" t="str">
        <f t="shared" si="23"/>
        <v/>
      </c>
    </row>
    <row r="148" spans="1:70" s="571" customFormat="1" ht="61.5" hidden="1" customHeight="1">
      <c r="A148" s="578"/>
      <c r="B148" s="1642"/>
      <c r="C148" s="590"/>
      <c r="D148" s="673" t="str">
        <f>IF($A148="","",VLOOKUP($A148,기본데이타!$A$8:$BV$103,COLUMN(기본데이타!F$8),0))</f>
        <v/>
      </c>
      <c r="E148" s="630" t="str">
        <f>IF($A148="","",VLOOKUP($A148,기본데이타!$A$8:$BV$103,COLUMN(기본데이타!G$8),0))</f>
        <v/>
      </c>
      <c r="F148" s="631" t="str">
        <f>IF($A148="","",VLOOKUP($A148,기본데이타!$A$8:$BV$103,COLUMN(기본데이타!H$8),0))</f>
        <v/>
      </c>
      <c r="G148" s="632" t="str">
        <f>IF($A148="","",VLOOKUP($A148,기본데이타!$A$8:$BV$103,COLUMN(기본데이타!I$8),0))</f>
        <v/>
      </c>
      <c r="H148" s="632" t="str">
        <f>IF($A148="","",VLOOKUP($A148,기본데이타!$A$8:$BV$103,COLUMN(기본데이타!J$8),0))</f>
        <v/>
      </c>
      <c r="I148" s="633" t="str">
        <f>IF($A148="","",VLOOKUP($A148,기본데이타!$A$8:$BV$103,COLUMN(기본데이타!K$8),0))</f>
        <v/>
      </c>
      <c r="J148" s="633" t="str">
        <f>IF($A148="","",VLOOKUP($A148,기본데이타!$A$8:$BV$103,COLUMN(기본데이타!L$8),0))</f>
        <v/>
      </c>
      <c r="K148" s="633" t="str">
        <f>IF($A148="","",VLOOKUP($A148,기본데이타!$A$8:$BV$103,COLUMN(기본데이타!M$8),0))</f>
        <v/>
      </c>
      <c r="L148" s="634" t="str">
        <f>IF($A148="","",VLOOKUP($A148,기본데이타!$A$8:$BV$103,COLUMN(기본데이타!N$8),0))</f>
        <v/>
      </c>
      <c r="M148" s="633" t="str">
        <f>IF($A148="","",VLOOKUP($A148,기본데이타!$A$8:$BV$103,COLUMN(기본데이타!O$8),0))</f>
        <v/>
      </c>
      <c r="N148" s="634" t="str">
        <f>IF($A148="","",VLOOKUP($A148,기본데이타!$A$8:$BV$103,COLUMN(기본데이타!P$8),0))</f>
        <v/>
      </c>
      <c r="O148" s="634" t="str">
        <f>IF($A148="","",VLOOKUP($A148,기본데이타!$A$8:$BV$103,COLUMN(기본데이타!Q$8),0))</f>
        <v/>
      </c>
      <c r="P148" s="634" t="str">
        <f>IF($A148="","",VLOOKUP($A148,기본데이타!$A$8:$BV$103,COLUMN(기본데이타!R$8),0))</f>
        <v/>
      </c>
      <c r="Q148" s="634" t="str">
        <f>IF($A148="","",VLOOKUP($A148,기본데이타!$A$8:$BV$103,COLUMN(기본데이타!S$8),0))</f>
        <v/>
      </c>
      <c r="R148" s="634" t="str">
        <f>IF($A148="","",VLOOKUP($A148,기본데이타!$A$8:$BV$103,COLUMN(기본데이타!T$8),0))</f>
        <v/>
      </c>
      <c r="S148" s="634" t="str">
        <f>IF($A148="","",VLOOKUP($A148,기본데이타!$A$8:$BV$103,COLUMN(기본데이타!U$8),0))</f>
        <v/>
      </c>
      <c r="T148" s="634" t="str">
        <f>IF($A148="","",VLOOKUP($A148,기본데이타!$A$8:$BV$103,COLUMN(기본데이타!V$8),0))</f>
        <v/>
      </c>
      <c r="U148" s="634" t="str">
        <f>IF($A148="","",VLOOKUP($A148,기본데이타!$A$8:$BV$103,COLUMN(기본데이타!W$8),0))</f>
        <v/>
      </c>
      <c r="V148" s="634" t="str">
        <f>IF($A148="","",VLOOKUP($A148,기본데이타!$A$8:$BV$103,COLUMN(기본데이타!X$8),0))</f>
        <v/>
      </c>
      <c r="W148" s="634" t="str">
        <f>IF($A148="","",VLOOKUP($A148,기본데이타!$A$8:$BV$103,COLUMN(기본데이타!AA$8),0))</f>
        <v/>
      </c>
      <c r="X148" s="634" t="str">
        <f>IF($A148="","",VLOOKUP($A148,기본데이타!$A$8:$BV$103,COLUMN(기본데이타!AB$8),0))</f>
        <v/>
      </c>
      <c r="Y148" s="633" t="str">
        <f>IF($A148="","",VLOOKUP($A148,기본데이타!$A$8:$BV$103,COLUMN(기본데이타!AC$8),0))</f>
        <v/>
      </c>
      <c r="Z148" s="634" t="str">
        <f>IF($A148="","",VLOOKUP($A148,기본데이타!$A$8:$BV$103,COLUMN(기본데이타!AD$8),0))</f>
        <v/>
      </c>
      <c r="AA148" s="633" t="str">
        <f>IF($A148="","",VLOOKUP($A148,기본데이타!$A$8:$BV$103,COLUMN(기본데이타!AE$8),0))</f>
        <v/>
      </c>
      <c r="AB148" s="634" t="str">
        <f>IF($A148="","",VLOOKUP($A148,기본데이타!$A$8:$BV$103,COLUMN(기본데이타!AF$8),0))</f>
        <v/>
      </c>
      <c r="AC148" s="633" t="str">
        <f>IF($A148="","",VLOOKUP($A148,기본데이타!$A$8:$BV$103,COLUMN(기본데이타!AG$8),0))</f>
        <v/>
      </c>
      <c r="AD148" s="634" t="str">
        <f>IF($A148="","",VLOOKUP($A148,기본데이타!$A$8:$BV$103,COLUMN(기본데이타!AH$8),0))</f>
        <v/>
      </c>
      <c r="AE148" s="633" t="str">
        <f>IF($A148="","",VLOOKUP($A148,기본데이타!$A$8:$BV$103,COLUMN(기본데이타!AI$8),0))</f>
        <v/>
      </c>
      <c r="AF148" s="635" t="str">
        <f>IF($A148="","",VLOOKUP($A148,기본데이타!$A$8:$BV$103,COLUMN(기본데이타!AJ$8),0))</f>
        <v/>
      </c>
      <c r="AG148" s="580" t="str">
        <f>IF($A148="","",VLOOKUP($A148,기본데이타!$A$8:$BV$103,COLUMN(기본데이타!AK$8),0))</f>
        <v/>
      </c>
      <c r="AH148" s="580" t="str">
        <f>IF($A148="","",VLOOKUP($A148,기본데이타!$A$8:$BV$103,COLUMN(기본데이타!AL$8),0))</f>
        <v/>
      </c>
      <c r="AI148" s="580" t="str">
        <f>IF($A148="","",VLOOKUP($A148,기본데이타!$A$8:$BV$103,COLUMN(기본데이타!AM$8),0))</f>
        <v/>
      </c>
      <c r="AJ148" s="636" t="str">
        <f>IF($A148="","",VLOOKUP($A148,기본데이타!$A$8:$BV$103,COLUMN(기본데이타!AN$8),0))</f>
        <v/>
      </c>
      <c r="AK148" s="636" t="str">
        <f>IF($A148="","",VLOOKUP($A148,기본데이타!$A$8:$BV$103,COLUMN(기본데이타!AO$8),0))</f>
        <v/>
      </c>
      <c r="AL148" s="636" t="str">
        <f>IF($A148="","",VLOOKUP($A148,기본데이타!$A$8:$BV$103,COLUMN(기본데이타!AP$8),0))</f>
        <v/>
      </c>
      <c r="AM148" s="636" t="str">
        <f>IF($A148="","",VLOOKUP($A148,기본데이타!$A$8:$BV$103,COLUMN(기본데이타!AQ$8),0))</f>
        <v/>
      </c>
      <c r="AN148" s="636" t="str">
        <f>IF($A148="","",VLOOKUP($A148,기본데이타!$A$8:$BV$103,COLUMN(기본데이타!AR$8),0))</f>
        <v/>
      </c>
      <c r="AO148" s="636" t="str">
        <f>IF($A148="","",VLOOKUP($A148,기본데이타!$A$8:$BV$103,COLUMN(기본데이타!AS$8),0))</f>
        <v/>
      </c>
      <c r="AP148" s="636" t="str">
        <f>IF($A148="","",VLOOKUP($A148,기본데이타!$A$8:$BV$103,COLUMN(기본데이타!AT$8),0))</f>
        <v/>
      </c>
      <c r="AQ148" s="636" t="str">
        <f>IF($A148="","",VLOOKUP($A148,기본데이타!$A$8:$BV$103,COLUMN(기본데이타!AU$8),0))</f>
        <v/>
      </c>
      <c r="AR148" s="637" t="str">
        <f>IF($A148="","",VLOOKUP($A148,기본데이타!$A$8:$BV$103,COLUMN(기본데이타!AV$8),0))</f>
        <v/>
      </c>
      <c r="AS148" s="634" t="str">
        <f>IF($A148="","",VLOOKUP($A148,기본데이타!$A$8:$BV$103,COLUMN(기본데이타!AW$8),0))</f>
        <v/>
      </c>
      <c r="AT148" s="634" t="str">
        <f>IF($A148="","",VLOOKUP($A148,기본데이타!$A$8:$BV$103,COLUMN(기본데이타!AX$8),0))</f>
        <v/>
      </c>
      <c r="AU148" s="634" t="str">
        <f>IF($A148="","",VLOOKUP($A148,기본데이타!$A$8:$BV$103,COLUMN(기본데이타!AY$8),0))</f>
        <v/>
      </c>
      <c r="AV148" s="634" t="str">
        <f t="shared" si="22"/>
        <v/>
      </c>
      <c r="AW148" s="635" t="str">
        <f>IF($A148="","",VLOOKUP($A148,기본데이타!$A$8:$BV$103,COLUMN(기본데이타!BA$8),0))</f>
        <v/>
      </c>
      <c r="AX148" s="635" t="str">
        <f>IF($A148="","",VLOOKUP($A148,기본데이타!$A$8:$BV$103,COLUMN(기본데이타!BB$8),0))</f>
        <v/>
      </c>
      <c r="AY148" s="635" t="str">
        <f>IF($A148="","",VLOOKUP($A148,기본데이타!$A$8:$BV$103,COLUMN(기본데이타!BC$8),0))</f>
        <v/>
      </c>
      <c r="AZ148" s="635" t="str">
        <f>IF($A148="","",VLOOKUP($A148,기본데이타!$A$8:$BV$103,COLUMN(기본데이타!BD$8),0))</f>
        <v/>
      </c>
      <c r="BA148" s="635" t="str">
        <f>IF($A148="","",VLOOKUP($A148,기본데이타!$A$8:$BV$103,COLUMN(기본데이타!BE$8),0))</f>
        <v/>
      </c>
      <c r="BB148" s="635" t="str">
        <f>IF($A148="","",VLOOKUP($A148,기본데이타!$A$8:$BV$103,COLUMN(기본데이타!BF$8),0))</f>
        <v/>
      </c>
      <c r="BC148" s="635" t="str">
        <f>IF($A148="","",VLOOKUP($A148,기본데이타!$A$8:$BV$103,COLUMN(기본데이타!BG$8),0))</f>
        <v/>
      </c>
      <c r="BD148" s="635" t="str">
        <f>IF($A148="","",VLOOKUP($A148,기본데이타!$A$8:$BV$103,COLUMN(기본데이타!BH$8),0))</f>
        <v/>
      </c>
      <c r="BE148" s="635" t="str">
        <f>IF($A148="","",VLOOKUP($A148,기본데이타!$A$8:$BV$103,COLUMN(기본데이타!BI$8),0))</f>
        <v/>
      </c>
      <c r="BF148" s="635" t="str">
        <f>IF($A148="","",VLOOKUP($A148,기본데이타!$A$8:$BV$103,COLUMN(기본데이타!BJ$8),0))</f>
        <v/>
      </c>
      <c r="BG148" s="635" t="str">
        <f>IF($A148="","",VLOOKUP($A148,기본데이타!$A$8:$BV$103,COLUMN(기본데이타!BK$8),0))</f>
        <v/>
      </c>
      <c r="BH148" s="635" t="str">
        <f>IF($A148="","",VLOOKUP($A148,기본데이타!$A$8:$BV$103,COLUMN(기본데이타!BL$8),0))</f>
        <v/>
      </c>
      <c r="BI148" s="635" t="str">
        <f>IF($A148="","",VLOOKUP($A148,기본데이타!$A$8:$BV$103,COLUMN(기본데이타!BM$8),0))</f>
        <v/>
      </c>
      <c r="BJ148" s="635" t="str">
        <f>IF($A148="","",VLOOKUP($A148,기본데이타!$A$8:$BV$103,COLUMN(기본데이타!BN$8),0))</f>
        <v/>
      </c>
      <c r="BK148" s="635" t="str">
        <f>IF($A148="","",VLOOKUP($A148,기본데이타!$A$8:$BV$103,COLUMN(기본데이타!BO$8),0))</f>
        <v/>
      </c>
      <c r="BL148" s="635" t="str">
        <f>IF($A148="","",VLOOKUP($A148,기본데이타!$A$8:$BV$103,COLUMN(기본데이타!BP$8),0))</f>
        <v/>
      </c>
      <c r="BM148" s="635" t="str">
        <f>IF($A148="","",VLOOKUP($A148,기본데이타!$A$8:$BV$103,COLUMN(기본데이타!BQ$8),0))</f>
        <v/>
      </c>
      <c r="BN148" s="638" t="str">
        <f>IF($A148="","",VLOOKUP($A148,기본데이타!$A$8:$BV$103,COLUMN(기본데이타!BR$8),0))</f>
        <v/>
      </c>
      <c r="BO148" s="579" t="str">
        <f>IF($A148="","",VLOOKUP($A148,기본데이타!$A$8:$BV$103,COLUMN(기본데이타!BS$8),0))</f>
        <v/>
      </c>
      <c r="BP148" s="639" t="str">
        <f>IF($A148="","",VLOOKUP($A148,기본데이타!$A$8:$BV$103,COLUMN(기본데이타!BT$8),0))</f>
        <v/>
      </c>
      <c r="BQ148" s="640" t="str">
        <f>IF($A148="","",VLOOKUP($A148,기본데이타!$A$8:$BV$103,COLUMN(기본데이타!BU$8),0))</f>
        <v/>
      </c>
      <c r="BR148" s="625" t="str">
        <f t="shared" si="23"/>
        <v/>
      </c>
    </row>
    <row r="149" spans="1:70" s="571" customFormat="1" ht="61.5" hidden="1" customHeight="1">
      <c r="A149" s="578"/>
      <c r="B149" s="1642"/>
      <c r="C149" s="590"/>
      <c r="D149" s="673" t="str">
        <f>IF($A149="","",VLOOKUP($A149,기본데이타!$A$8:$BV$103,COLUMN(기본데이타!F$8),0))</f>
        <v/>
      </c>
      <c r="E149" s="630" t="str">
        <f>IF($A149="","",VLOOKUP($A149,기본데이타!$A$8:$BV$103,COLUMN(기본데이타!G$8),0))</f>
        <v/>
      </c>
      <c r="F149" s="631" t="str">
        <f>IF($A149="","",VLOOKUP($A149,기본데이타!$A$8:$BV$103,COLUMN(기본데이타!H$8),0))</f>
        <v/>
      </c>
      <c r="G149" s="632" t="str">
        <f>IF($A149="","",VLOOKUP($A149,기본데이타!$A$8:$BV$103,COLUMN(기본데이타!I$8),0))</f>
        <v/>
      </c>
      <c r="H149" s="632" t="str">
        <f>IF($A149="","",VLOOKUP($A149,기본데이타!$A$8:$BV$103,COLUMN(기본데이타!J$8),0))</f>
        <v/>
      </c>
      <c r="I149" s="633" t="str">
        <f>IF($A149="","",VLOOKUP($A149,기본데이타!$A$8:$BV$103,COLUMN(기본데이타!K$8),0))</f>
        <v/>
      </c>
      <c r="J149" s="633" t="str">
        <f>IF($A149="","",VLOOKUP($A149,기본데이타!$A$8:$BV$103,COLUMN(기본데이타!L$8),0))</f>
        <v/>
      </c>
      <c r="K149" s="633" t="str">
        <f>IF($A149="","",VLOOKUP($A149,기본데이타!$A$8:$BV$103,COLUMN(기본데이타!M$8),0))</f>
        <v/>
      </c>
      <c r="L149" s="634" t="str">
        <f>IF($A149="","",VLOOKUP($A149,기본데이타!$A$8:$BV$103,COLUMN(기본데이타!N$8),0))</f>
        <v/>
      </c>
      <c r="M149" s="633" t="str">
        <f>IF($A149="","",VLOOKUP($A149,기본데이타!$A$8:$BV$103,COLUMN(기본데이타!O$8),0))</f>
        <v/>
      </c>
      <c r="N149" s="634" t="str">
        <f>IF($A149="","",VLOOKUP($A149,기본데이타!$A$8:$BV$103,COLUMN(기본데이타!P$8),0))</f>
        <v/>
      </c>
      <c r="O149" s="634" t="str">
        <f>IF($A149="","",VLOOKUP($A149,기본데이타!$A$8:$BV$103,COLUMN(기본데이타!Q$8),0))</f>
        <v/>
      </c>
      <c r="P149" s="634" t="str">
        <f>IF($A149="","",VLOOKUP($A149,기본데이타!$A$8:$BV$103,COLUMN(기본데이타!R$8),0))</f>
        <v/>
      </c>
      <c r="Q149" s="634" t="str">
        <f>IF($A149="","",VLOOKUP($A149,기본데이타!$A$8:$BV$103,COLUMN(기본데이타!S$8),0))</f>
        <v/>
      </c>
      <c r="R149" s="634" t="str">
        <f>IF($A149="","",VLOOKUP($A149,기본데이타!$A$8:$BV$103,COLUMN(기본데이타!T$8),0))</f>
        <v/>
      </c>
      <c r="S149" s="634" t="str">
        <f>IF($A149="","",VLOOKUP($A149,기본데이타!$A$8:$BV$103,COLUMN(기본데이타!U$8),0))</f>
        <v/>
      </c>
      <c r="T149" s="634" t="str">
        <f>IF($A149="","",VLOOKUP($A149,기본데이타!$A$8:$BV$103,COLUMN(기본데이타!V$8),0))</f>
        <v/>
      </c>
      <c r="U149" s="634" t="str">
        <f>IF($A149="","",VLOOKUP($A149,기본데이타!$A$8:$BV$103,COLUMN(기본데이타!W$8),0))</f>
        <v/>
      </c>
      <c r="V149" s="634" t="str">
        <f>IF($A149="","",VLOOKUP($A149,기본데이타!$A$8:$BV$103,COLUMN(기본데이타!X$8),0))</f>
        <v/>
      </c>
      <c r="W149" s="634" t="str">
        <f>IF($A149="","",VLOOKUP($A149,기본데이타!$A$8:$BV$103,COLUMN(기본데이타!AA$8),0))</f>
        <v/>
      </c>
      <c r="X149" s="634" t="str">
        <f>IF($A149="","",VLOOKUP($A149,기본데이타!$A$8:$BV$103,COLUMN(기본데이타!AB$8),0))</f>
        <v/>
      </c>
      <c r="Y149" s="633" t="str">
        <f>IF($A149="","",VLOOKUP($A149,기본데이타!$A$8:$BV$103,COLUMN(기본데이타!AC$8),0))</f>
        <v/>
      </c>
      <c r="Z149" s="634" t="str">
        <f>IF($A149="","",VLOOKUP($A149,기본데이타!$A$8:$BV$103,COLUMN(기본데이타!AD$8),0))</f>
        <v/>
      </c>
      <c r="AA149" s="633" t="str">
        <f>IF($A149="","",VLOOKUP($A149,기본데이타!$A$8:$BV$103,COLUMN(기본데이타!AE$8),0))</f>
        <v/>
      </c>
      <c r="AB149" s="634" t="str">
        <f>IF($A149="","",VLOOKUP($A149,기본데이타!$A$8:$BV$103,COLUMN(기본데이타!AF$8),0))</f>
        <v/>
      </c>
      <c r="AC149" s="633" t="str">
        <f>IF($A149="","",VLOOKUP($A149,기본데이타!$A$8:$BV$103,COLUMN(기본데이타!AG$8),0))</f>
        <v/>
      </c>
      <c r="AD149" s="634" t="str">
        <f>IF($A149="","",VLOOKUP($A149,기본데이타!$A$8:$BV$103,COLUMN(기본데이타!AH$8),0))</f>
        <v/>
      </c>
      <c r="AE149" s="633" t="str">
        <f>IF($A149="","",VLOOKUP($A149,기본데이타!$A$8:$BV$103,COLUMN(기본데이타!AI$8),0))</f>
        <v/>
      </c>
      <c r="AF149" s="635" t="str">
        <f>IF($A149="","",VLOOKUP($A149,기본데이타!$A$8:$BV$103,COLUMN(기본데이타!AJ$8),0))</f>
        <v/>
      </c>
      <c r="AG149" s="580" t="str">
        <f>IF($A149="","",VLOOKUP($A149,기본데이타!$A$8:$BV$103,COLUMN(기본데이타!AK$8),0))</f>
        <v/>
      </c>
      <c r="AH149" s="580" t="str">
        <f>IF($A149="","",VLOOKUP($A149,기본데이타!$A$8:$BV$103,COLUMN(기본데이타!AL$8),0))</f>
        <v/>
      </c>
      <c r="AI149" s="580" t="str">
        <f>IF($A149="","",VLOOKUP($A149,기본데이타!$A$8:$BV$103,COLUMN(기본데이타!AM$8),0))</f>
        <v/>
      </c>
      <c r="AJ149" s="636" t="str">
        <f>IF($A149="","",VLOOKUP($A149,기본데이타!$A$8:$BV$103,COLUMN(기본데이타!AN$8),0))</f>
        <v/>
      </c>
      <c r="AK149" s="636" t="str">
        <f>IF($A149="","",VLOOKUP($A149,기본데이타!$A$8:$BV$103,COLUMN(기본데이타!AO$8),0))</f>
        <v/>
      </c>
      <c r="AL149" s="636" t="str">
        <f>IF($A149="","",VLOOKUP($A149,기본데이타!$A$8:$BV$103,COLUMN(기본데이타!AP$8),0))</f>
        <v/>
      </c>
      <c r="AM149" s="636" t="str">
        <f>IF($A149="","",VLOOKUP($A149,기본데이타!$A$8:$BV$103,COLUMN(기본데이타!AQ$8),0))</f>
        <v/>
      </c>
      <c r="AN149" s="636" t="str">
        <f>IF($A149="","",VLOOKUP($A149,기본데이타!$A$8:$BV$103,COLUMN(기본데이타!AR$8),0))</f>
        <v/>
      </c>
      <c r="AO149" s="636" t="str">
        <f>IF($A149="","",VLOOKUP($A149,기본데이타!$A$8:$BV$103,COLUMN(기본데이타!AS$8),0))</f>
        <v/>
      </c>
      <c r="AP149" s="636" t="str">
        <f>IF($A149="","",VLOOKUP($A149,기본데이타!$A$8:$BV$103,COLUMN(기본데이타!AT$8),0))</f>
        <v/>
      </c>
      <c r="AQ149" s="636" t="str">
        <f>IF($A149="","",VLOOKUP($A149,기본데이타!$A$8:$BV$103,COLUMN(기본데이타!AU$8),0))</f>
        <v/>
      </c>
      <c r="AR149" s="637" t="str">
        <f>IF($A149="","",VLOOKUP($A149,기본데이타!$A$8:$BV$103,COLUMN(기본데이타!AV$8),0))</f>
        <v/>
      </c>
      <c r="AS149" s="634" t="str">
        <f>IF($A149="","",VLOOKUP($A149,기본데이타!$A$8:$BV$103,COLUMN(기본데이타!AW$8),0))</f>
        <v/>
      </c>
      <c r="AT149" s="634" t="str">
        <f>IF($A149="","",VLOOKUP($A149,기본데이타!$A$8:$BV$103,COLUMN(기본데이타!AX$8),0))</f>
        <v/>
      </c>
      <c r="AU149" s="634" t="str">
        <f>IF($A149="","",VLOOKUP($A149,기본데이타!$A$8:$BV$103,COLUMN(기본데이타!AY$8),0))</f>
        <v/>
      </c>
      <c r="AV149" s="634" t="str">
        <f t="shared" si="22"/>
        <v/>
      </c>
      <c r="AW149" s="635" t="str">
        <f>IF($A149="","",VLOOKUP($A149,기본데이타!$A$8:$BV$103,COLUMN(기본데이타!BA$8),0))</f>
        <v/>
      </c>
      <c r="AX149" s="635" t="str">
        <f>IF($A149="","",VLOOKUP($A149,기본데이타!$A$8:$BV$103,COLUMN(기본데이타!BB$8),0))</f>
        <v/>
      </c>
      <c r="AY149" s="635" t="str">
        <f>IF($A149="","",VLOOKUP($A149,기본데이타!$A$8:$BV$103,COLUMN(기본데이타!BC$8),0))</f>
        <v/>
      </c>
      <c r="AZ149" s="635" t="str">
        <f>IF($A149="","",VLOOKUP($A149,기본데이타!$A$8:$BV$103,COLUMN(기본데이타!BD$8),0))</f>
        <v/>
      </c>
      <c r="BA149" s="635" t="str">
        <f>IF($A149="","",VLOOKUP($A149,기본데이타!$A$8:$BV$103,COLUMN(기본데이타!BE$8),0))</f>
        <v/>
      </c>
      <c r="BB149" s="635" t="str">
        <f>IF($A149="","",VLOOKUP($A149,기본데이타!$A$8:$BV$103,COLUMN(기본데이타!BF$8),0))</f>
        <v/>
      </c>
      <c r="BC149" s="635" t="str">
        <f>IF($A149="","",VLOOKUP($A149,기본데이타!$A$8:$BV$103,COLUMN(기본데이타!BG$8),0))</f>
        <v/>
      </c>
      <c r="BD149" s="635" t="str">
        <f>IF($A149="","",VLOOKUP($A149,기본데이타!$A$8:$BV$103,COLUMN(기본데이타!BH$8),0))</f>
        <v/>
      </c>
      <c r="BE149" s="635" t="str">
        <f>IF($A149="","",VLOOKUP($A149,기본데이타!$A$8:$BV$103,COLUMN(기본데이타!BI$8),0))</f>
        <v/>
      </c>
      <c r="BF149" s="635" t="str">
        <f>IF($A149="","",VLOOKUP($A149,기본데이타!$A$8:$BV$103,COLUMN(기본데이타!BJ$8),0))</f>
        <v/>
      </c>
      <c r="BG149" s="635" t="str">
        <f>IF($A149="","",VLOOKUP($A149,기본데이타!$A$8:$BV$103,COLUMN(기본데이타!BK$8),0))</f>
        <v/>
      </c>
      <c r="BH149" s="635" t="str">
        <f>IF($A149="","",VLOOKUP($A149,기본데이타!$A$8:$BV$103,COLUMN(기본데이타!BL$8),0))</f>
        <v/>
      </c>
      <c r="BI149" s="635" t="str">
        <f>IF($A149="","",VLOOKUP($A149,기본데이타!$A$8:$BV$103,COLUMN(기본데이타!BM$8),0))</f>
        <v/>
      </c>
      <c r="BJ149" s="635" t="str">
        <f>IF($A149="","",VLOOKUP($A149,기본데이타!$A$8:$BV$103,COLUMN(기본데이타!BN$8),0))</f>
        <v/>
      </c>
      <c r="BK149" s="635" t="str">
        <f>IF($A149="","",VLOOKUP($A149,기본데이타!$A$8:$BV$103,COLUMN(기본데이타!BO$8),0))</f>
        <v/>
      </c>
      <c r="BL149" s="635" t="str">
        <f>IF($A149="","",VLOOKUP($A149,기본데이타!$A$8:$BV$103,COLUMN(기본데이타!BP$8),0))</f>
        <v/>
      </c>
      <c r="BM149" s="635" t="str">
        <f>IF($A149="","",VLOOKUP($A149,기본데이타!$A$8:$BV$103,COLUMN(기본데이타!BQ$8),0))</f>
        <v/>
      </c>
      <c r="BN149" s="638" t="str">
        <f>IF($A149="","",VLOOKUP($A149,기본데이타!$A$8:$BV$103,COLUMN(기본데이타!BR$8),0))</f>
        <v/>
      </c>
      <c r="BO149" s="579" t="str">
        <f>IF($A149="","",VLOOKUP($A149,기본데이타!$A$8:$BV$103,COLUMN(기본데이타!BS$8),0))</f>
        <v/>
      </c>
      <c r="BP149" s="639" t="str">
        <f>IF($A149="","",VLOOKUP($A149,기본데이타!$A$8:$BV$103,COLUMN(기본데이타!BT$8),0))</f>
        <v/>
      </c>
      <c r="BQ149" s="640" t="str">
        <f>IF($A149="","",VLOOKUP($A149,기본데이타!$A$8:$BV$103,COLUMN(기본데이타!BU$8),0))</f>
        <v/>
      </c>
      <c r="BR149" s="625" t="str">
        <f t="shared" si="23"/>
        <v/>
      </c>
    </row>
    <row r="150" spans="1:70" s="571" customFormat="1" ht="61.5" hidden="1" customHeight="1">
      <c r="A150" s="578"/>
      <c r="B150" s="1642"/>
      <c r="C150" s="590"/>
      <c r="D150" s="673" t="str">
        <f>IF($A150="","",VLOOKUP($A150,기본데이타!$A$8:$BV$103,COLUMN(기본데이타!F$8),0))</f>
        <v/>
      </c>
      <c r="E150" s="630" t="str">
        <f>IF($A150="","",VLOOKUP($A150,기본데이타!$A$8:$BV$103,COLUMN(기본데이타!G$8),0))</f>
        <v/>
      </c>
      <c r="F150" s="631" t="str">
        <f>IF($A150="","",VLOOKUP($A150,기본데이타!$A$8:$BV$103,COLUMN(기본데이타!H$8),0))</f>
        <v/>
      </c>
      <c r="G150" s="632" t="str">
        <f>IF($A150="","",VLOOKUP($A150,기본데이타!$A$8:$BV$103,COLUMN(기본데이타!I$8),0))</f>
        <v/>
      </c>
      <c r="H150" s="632" t="str">
        <f>IF($A150="","",VLOOKUP($A150,기본데이타!$A$8:$BV$103,COLUMN(기본데이타!J$8),0))</f>
        <v/>
      </c>
      <c r="I150" s="633" t="str">
        <f>IF($A150="","",VLOOKUP($A150,기본데이타!$A$8:$BV$103,COLUMN(기본데이타!K$8),0))</f>
        <v/>
      </c>
      <c r="J150" s="633" t="str">
        <f>IF($A150="","",VLOOKUP($A150,기본데이타!$A$8:$BV$103,COLUMN(기본데이타!L$8),0))</f>
        <v/>
      </c>
      <c r="K150" s="633" t="str">
        <f>IF($A150="","",VLOOKUP($A150,기본데이타!$A$8:$BV$103,COLUMN(기본데이타!M$8),0))</f>
        <v/>
      </c>
      <c r="L150" s="634" t="str">
        <f>IF($A150="","",VLOOKUP($A150,기본데이타!$A$8:$BV$103,COLUMN(기본데이타!N$8),0))</f>
        <v/>
      </c>
      <c r="M150" s="633" t="str">
        <f>IF($A150="","",VLOOKUP($A150,기본데이타!$A$8:$BV$103,COLUMN(기본데이타!O$8),0))</f>
        <v/>
      </c>
      <c r="N150" s="634" t="str">
        <f>IF($A150="","",VLOOKUP($A150,기본데이타!$A$8:$BV$103,COLUMN(기본데이타!P$8),0))</f>
        <v/>
      </c>
      <c r="O150" s="634" t="str">
        <f>IF($A150="","",VLOOKUP($A150,기본데이타!$A$8:$BV$103,COLUMN(기본데이타!Q$8),0))</f>
        <v/>
      </c>
      <c r="P150" s="634" t="str">
        <f>IF($A150="","",VLOOKUP($A150,기본데이타!$A$8:$BV$103,COLUMN(기본데이타!R$8),0))</f>
        <v/>
      </c>
      <c r="Q150" s="634" t="str">
        <f>IF($A150="","",VLOOKUP($A150,기본데이타!$A$8:$BV$103,COLUMN(기본데이타!S$8),0))</f>
        <v/>
      </c>
      <c r="R150" s="634" t="str">
        <f>IF($A150="","",VLOOKUP($A150,기본데이타!$A$8:$BV$103,COLUMN(기본데이타!T$8),0))</f>
        <v/>
      </c>
      <c r="S150" s="634" t="str">
        <f>IF($A150="","",VLOOKUP($A150,기본데이타!$A$8:$BV$103,COLUMN(기본데이타!U$8),0))</f>
        <v/>
      </c>
      <c r="T150" s="634" t="str">
        <f>IF($A150="","",VLOOKUP($A150,기본데이타!$A$8:$BV$103,COLUMN(기본데이타!V$8),0))</f>
        <v/>
      </c>
      <c r="U150" s="634" t="str">
        <f>IF($A150="","",VLOOKUP($A150,기본데이타!$A$8:$BV$103,COLUMN(기본데이타!W$8),0))</f>
        <v/>
      </c>
      <c r="V150" s="634" t="str">
        <f>IF($A150="","",VLOOKUP($A150,기본데이타!$A$8:$BV$103,COLUMN(기본데이타!X$8),0))</f>
        <v/>
      </c>
      <c r="W150" s="634" t="str">
        <f>IF($A150="","",VLOOKUP($A150,기본데이타!$A$8:$BV$103,COLUMN(기본데이타!AA$8),0))</f>
        <v/>
      </c>
      <c r="X150" s="634" t="str">
        <f>IF($A150="","",VLOOKUP($A150,기본데이타!$A$8:$BV$103,COLUMN(기본데이타!AB$8),0))</f>
        <v/>
      </c>
      <c r="Y150" s="633" t="str">
        <f>IF($A150="","",VLOOKUP($A150,기본데이타!$A$8:$BV$103,COLUMN(기본데이타!AC$8),0))</f>
        <v/>
      </c>
      <c r="Z150" s="634" t="str">
        <f>IF($A150="","",VLOOKUP($A150,기본데이타!$A$8:$BV$103,COLUMN(기본데이타!AD$8),0))</f>
        <v/>
      </c>
      <c r="AA150" s="633" t="str">
        <f>IF($A150="","",VLOOKUP($A150,기본데이타!$A$8:$BV$103,COLUMN(기본데이타!AE$8),0))</f>
        <v/>
      </c>
      <c r="AB150" s="634" t="str">
        <f>IF($A150="","",VLOOKUP($A150,기본데이타!$A$8:$BV$103,COLUMN(기본데이타!AF$8),0))</f>
        <v/>
      </c>
      <c r="AC150" s="633" t="str">
        <f>IF($A150="","",VLOOKUP($A150,기본데이타!$A$8:$BV$103,COLUMN(기본데이타!AG$8),0))</f>
        <v/>
      </c>
      <c r="AD150" s="634" t="str">
        <f>IF($A150="","",VLOOKUP($A150,기본데이타!$A$8:$BV$103,COLUMN(기본데이타!AH$8),0))</f>
        <v/>
      </c>
      <c r="AE150" s="633" t="str">
        <f>IF($A150="","",VLOOKUP($A150,기본데이타!$A$8:$BV$103,COLUMN(기본데이타!AI$8),0))</f>
        <v/>
      </c>
      <c r="AF150" s="635" t="str">
        <f>IF($A150="","",VLOOKUP($A150,기본데이타!$A$8:$BV$103,COLUMN(기본데이타!AJ$8),0))</f>
        <v/>
      </c>
      <c r="AG150" s="580" t="str">
        <f>IF($A150="","",VLOOKUP($A150,기본데이타!$A$8:$BV$103,COLUMN(기본데이타!AK$8),0))</f>
        <v/>
      </c>
      <c r="AH150" s="580" t="str">
        <f>IF($A150="","",VLOOKUP($A150,기본데이타!$A$8:$BV$103,COLUMN(기본데이타!AL$8),0))</f>
        <v/>
      </c>
      <c r="AI150" s="580" t="str">
        <f>IF($A150="","",VLOOKUP($A150,기본데이타!$A$8:$BV$103,COLUMN(기본데이타!AM$8),0))</f>
        <v/>
      </c>
      <c r="AJ150" s="636" t="str">
        <f>IF($A150="","",VLOOKUP($A150,기본데이타!$A$8:$BV$103,COLUMN(기본데이타!AN$8),0))</f>
        <v/>
      </c>
      <c r="AK150" s="636" t="str">
        <f>IF($A150="","",VLOOKUP($A150,기본데이타!$A$8:$BV$103,COLUMN(기본데이타!AO$8),0))</f>
        <v/>
      </c>
      <c r="AL150" s="636" t="str">
        <f>IF($A150="","",VLOOKUP($A150,기본데이타!$A$8:$BV$103,COLUMN(기본데이타!AP$8),0))</f>
        <v/>
      </c>
      <c r="AM150" s="636" t="str">
        <f>IF($A150="","",VLOOKUP($A150,기본데이타!$A$8:$BV$103,COLUMN(기본데이타!AQ$8),0))</f>
        <v/>
      </c>
      <c r="AN150" s="636" t="str">
        <f>IF($A150="","",VLOOKUP($A150,기본데이타!$A$8:$BV$103,COLUMN(기본데이타!AR$8),0))</f>
        <v/>
      </c>
      <c r="AO150" s="636" t="str">
        <f>IF($A150="","",VLOOKUP($A150,기본데이타!$A$8:$BV$103,COLUMN(기본데이타!AS$8),0))</f>
        <v/>
      </c>
      <c r="AP150" s="636" t="str">
        <f>IF($A150="","",VLOOKUP($A150,기본데이타!$A$8:$BV$103,COLUMN(기본데이타!AT$8),0))</f>
        <v/>
      </c>
      <c r="AQ150" s="636" t="str">
        <f>IF($A150="","",VLOOKUP($A150,기본데이타!$A$8:$BV$103,COLUMN(기본데이타!AU$8),0))</f>
        <v/>
      </c>
      <c r="AR150" s="637" t="str">
        <f>IF($A150="","",VLOOKUP($A150,기본데이타!$A$8:$BV$103,COLUMN(기본데이타!AV$8),0))</f>
        <v/>
      </c>
      <c r="AS150" s="634" t="str">
        <f>IF($A150="","",VLOOKUP($A150,기본데이타!$A$8:$BV$103,COLUMN(기본데이타!AW$8),0))</f>
        <v/>
      </c>
      <c r="AT150" s="634" t="str">
        <f>IF($A150="","",VLOOKUP($A150,기본데이타!$A$8:$BV$103,COLUMN(기본데이타!AX$8),0))</f>
        <v/>
      </c>
      <c r="AU150" s="634" t="str">
        <f>IF($A150="","",VLOOKUP($A150,기본데이타!$A$8:$BV$103,COLUMN(기본데이타!AY$8),0))</f>
        <v/>
      </c>
      <c r="AV150" s="634" t="str">
        <f t="shared" si="22"/>
        <v/>
      </c>
      <c r="AW150" s="635" t="str">
        <f>IF($A150="","",VLOOKUP($A150,기본데이타!$A$8:$BV$103,COLUMN(기본데이타!BA$8),0))</f>
        <v/>
      </c>
      <c r="AX150" s="635" t="str">
        <f>IF($A150="","",VLOOKUP($A150,기본데이타!$A$8:$BV$103,COLUMN(기본데이타!BB$8),0))</f>
        <v/>
      </c>
      <c r="AY150" s="635" t="str">
        <f>IF($A150="","",VLOOKUP($A150,기본데이타!$A$8:$BV$103,COLUMN(기본데이타!BC$8),0))</f>
        <v/>
      </c>
      <c r="AZ150" s="635" t="str">
        <f>IF($A150="","",VLOOKUP($A150,기본데이타!$A$8:$BV$103,COLUMN(기본데이타!BD$8),0))</f>
        <v/>
      </c>
      <c r="BA150" s="635" t="str">
        <f>IF($A150="","",VLOOKUP($A150,기본데이타!$A$8:$BV$103,COLUMN(기본데이타!BE$8),0))</f>
        <v/>
      </c>
      <c r="BB150" s="635" t="str">
        <f>IF($A150="","",VLOOKUP($A150,기본데이타!$A$8:$BV$103,COLUMN(기본데이타!BF$8),0))</f>
        <v/>
      </c>
      <c r="BC150" s="635" t="str">
        <f>IF($A150="","",VLOOKUP($A150,기본데이타!$A$8:$BV$103,COLUMN(기본데이타!BG$8),0))</f>
        <v/>
      </c>
      <c r="BD150" s="635" t="str">
        <f>IF($A150="","",VLOOKUP($A150,기본데이타!$A$8:$BV$103,COLUMN(기본데이타!BH$8),0))</f>
        <v/>
      </c>
      <c r="BE150" s="635" t="str">
        <f>IF($A150="","",VLOOKUP($A150,기본데이타!$A$8:$BV$103,COLUMN(기본데이타!BI$8),0))</f>
        <v/>
      </c>
      <c r="BF150" s="635" t="str">
        <f>IF($A150="","",VLOOKUP($A150,기본데이타!$A$8:$BV$103,COLUMN(기본데이타!BJ$8),0))</f>
        <v/>
      </c>
      <c r="BG150" s="635" t="str">
        <f>IF($A150="","",VLOOKUP($A150,기본데이타!$A$8:$BV$103,COLUMN(기본데이타!BK$8),0))</f>
        <v/>
      </c>
      <c r="BH150" s="635" t="str">
        <f>IF($A150="","",VLOOKUP($A150,기본데이타!$A$8:$BV$103,COLUMN(기본데이타!BL$8),0))</f>
        <v/>
      </c>
      <c r="BI150" s="635" t="str">
        <f>IF($A150="","",VLOOKUP($A150,기본데이타!$A$8:$BV$103,COLUMN(기본데이타!BM$8),0))</f>
        <v/>
      </c>
      <c r="BJ150" s="635" t="str">
        <f>IF($A150="","",VLOOKUP($A150,기본데이타!$A$8:$BV$103,COLUMN(기본데이타!BN$8),0))</f>
        <v/>
      </c>
      <c r="BK150" s="635" t="str">
        <f>IF($A150="","",VLOOKUP($A150,기본데이타!$A$8:$BV$103,COLUMN(기본데이타!BO$8),0))</f>
        <v/>
      </c>
      <c r="BL150" s="635" t="str">
        <f>IF($A150="","",VLOOKUP($A150,기본데이타!$A$8:$BV$103,COLUMN(기본데이타!BP$8),0))</f>
        <v/>
      </c>
      <c r="BM150" s="635" t="str">
        <f>IF($A150="","",VLOOKUP($A150,기본데이타!$A$8:$BV$103,COLUMN(기본데이타!BQ$8),0))</f>
        <v/>
      </c>
      <c r="BN150" s="638" t="str">
        <f>IF($A150="","",VLOOKUP($A150,기본데이타!$A$8:$BV$103,COLUMN(기본데이타!BR$8),0))</f>
        <v/>
      </c>
      <c r="BO150" s="579" t="str">
        <f>IF($A150="","",VLOOKUP($A150,기본데이타!$A$8:$BV$103,COLUMN(기본데이타!BS$8),0))</f>
        <v/>
      </c>
      <c r="BP150" s="639" t="str">
        <f>IF($A150="","",VLOOKUP($A150,기본데이타!$A$8:$BV$103,COLUMN(기본데이타!BT$8),0))</f>
        <v/>
      </c>
      <c r="BQ150" s="640" t="str">
        <f>IF($A150="","",VLOOKUP($A150,기본데이타!$A$8:$BV$103,COLUMN(기본데이타!BU$8),0))</f>
        <v/>
      </c>
      <c r="BR150" s="625" t="str">
        <f t="shared" si="23"/>
        <v/>
      </c>
    </row>
    <row r="151" spans="1:70" s="571" customFormat="1" ht="61.5" hidden="1" customHeight="1">
      <c r="A151" s="578"/>
      <c r="B151" s="1642"/>
      <c r="C151" s="590"/>
      <c r="D151" s="673" t="str">
        <f>IF($A151="","",VLOOKUP($A151,기본데이타!$A$8:$BV$103,COLUMN(기본데이타!F$8),0))</f>
        <v/>
      </c>
      <c r="E151" s="630" t="str">
        <f>IF($A151="","",VLOOKUP($A151,기본데이타!$A$8:$BV$103,COLUMN(기본데이타!G$8),0))</f>
        <v/>
      </c>
      <c r="F151" s="631" t="str">
        <f>IF($A151="","",VLOOKUP($A151,기본데이타!$A$8:$BV$103,COLUMN(기본데이타!H$8),0))</f>
        <v/>
      </c>
      <c r="G151" s="632" t="str">
        <f>IF($A151="","",VLOOKUP($A151,기본데이타!$A$8:$BV$103,COLUMN(기본데이타!I$8),0))</f>
        <v/>
      </c>
      <c r="H151" s="632" t="str">
        <f>IF($A151="","",VLOOKUP($A151,기본데이타!$A$8:$BV$103,COLUMN(기본데이타!J$8),0))</f>
        <v/>
      </c>
      <c r="I151" s="633" t="str">
        <f>IF($A151="","",VLOOKUP($A151,기본데이타!$A$8:$BV$103,COLUMN(기본데이타!K$8),0))</f>
        <v/>
      </c>
      <c r="J151" s="633" t="str">
        <f>IF($A151="","",VLOOKUP($A151,기본데이타!$A$8:$BV$103,COLUMN(기본데이타!L$8),0))</f>
        <v/>
      </c>
      <c r="K151" s="633" t="str">
        <f>IF($A151="","",VLOOKUP($A151,기본데이타!$A$8:$BV$103,COLUMN(기본데이타!M$8),0))</f>
        <v/>
      </c>
      <c r="L151" s="634" t="str">
        <f>IF($A151="","",VLOOKUP($A151,기본데이타!$A$8:$BV$103,COLUMN(기본데이타!N$8),0))</f>
        <v/>
      </c>
      <c r="M151" s="633" t="str">
        <f>IF($A151="","",VLOOKUP($A151,기본데이타!$A$8:$BV$103,COLUMN(기본데이타!O$8),0))</f>
        <v/>
      </c>
      <c r="N151" s="634" t="str">
        <f>IF($A151="","",VLOOKUP($A151,기본데이타!$A$8:$BV$103,COLUMN(기본데이타!P$8),0))</f>
        <v/>
      </c>
      <c r="O151" s="634" t="str">
        <f>IF($A151="","",VLOOKUP($A151,기본데이타!$A$8:$BV$103,COLUMN(기본데이타!Q$8),0))</f>
        <v/>
      </c>
      <c r="P151" s="634" t="str">
        <f>IF($A151="","",VLOOKUP($A151,기본데이타!$A$8:$BV$103,COLUMN(기본데이타!R$8),0))</f>
        <v/>
      </c>
      <c r="Q151" s="634" t="str">
        <f>IF($A151="","",VLOOKUP($A151,기본데이타!$A$8:$BV$103,COLUMN(기본데이타!S$8),0))</f>
        <v/>
      </c>
      <c r="R151" s="634" t="str">
        <f>IF($A151="","",VLOOKUP($A151,기본데이타!$A$8:$BV$103,COLUMN(기본데이타!T$8),0))</f>
        <v/>
      </c>
      <c r="S151" s="634" t="str">
        <f>IF($A151="","",VLOOKUP($A151,기본데이타!$A$8:$BV$103,COLUMN(기본데이타!U$8),0))</f>
        <v/>
      </c>
      <c r="T151" s="634" t="str">
        <f>IF($A151="","",VLOOKUP($A151,기본데이타!$A$8:$BV$103,COLUMN(기본데이타!V$8),0))</f>
        <v/>
      </c>
      <c r="U151" s="634" t="str">
        <f>IF($A151="","",VLOOKUP($A151,기본데이타!$A$8:$BV$103,COLUMN(기본데이타!W$8),0))</f>
        <v/>
      </c>
      <c r="V151" s="634" t="str">
        <f>IF($A151="","",VLOOKUP($A151,기본데이타!$A$8:$BV$103,COLUMN(기본데이타!X$8),0))</f>
        <v/>
      </c>
      <c r="W151" s="634" t="str">
        <f>IF($A151="","",VLOOKUP($A151,기본데이타!$A$8:$BV$103,COLUMN(기본데이타!AA$8),0))</f>
        <v/>
      </c>
      <c r="X151" s="634" t="str">
        <f>IF($A151="","",VLOOKUP($A151,기본데이타!$A$8:$BV$103,COLUMN(기본데이타!AB$8),0))</f>
        <v/>
      </c>
      <c r="Y151" s="633" t="str">
        <f>IF($A151="","",VLOOKUP($A151,기본데이타!$A$8:$BV$103,COLUMN(기본데이타!AC$8),0))</f>
        <v/>
      </c>
      <c r="Z151" s="634" t="str">
        <f>IF($A151="","",VLOOKUP($A151,기본데이타!$A$8:$BV$103,COLUMN(기본데이타!AD$8),0))</f>
        <v/>
      </c>
      <c r="AA151" s="633" t="str">
        <f>IF($A151="","",VLOOKUP($A151,기본데이타!$A$8:$BV$103,COLUMN(기본데이타!AE$8),0))</f>
        <v/>
      </c>
      <c r="AB151" s="634" t="str">
        <f>IF($A151="","",VLOOKUP($A151,기본데이타!$A$8:$BV$103,COLUMN(기본데이타!AF$8),0))</f>
        <v/>
      </c>
      <c r="AC151" s="633" t="str">
        <f>IF($A151="","",VLOOKUP($A151,기본데이타!$A$8:$BV$103,COLUMN(기본데이타!AG$8),0))</f>
        <v/>
      </c>
      <c r="AD151" s="634" t="str">
        <f>IF($A151="","",VLOOKUP($A151,기본데이타!$A$8:$BV$103,COLUMN(기본데이타!AH$8),0))</f>
        <v/>
      </c>
      <c r="AE151" s="633" t="str">
        <f>IF($A151="","",VLOOKUP($A151,기본데이타!$A$8:$BV$103,COLUMN(기본데이타!AI$8),0))</f>
        <v/>
      </c>
      <c r="AF151" s="635" t="str">
        <f>IF($A151="","",VLOOKUP($A151,기본데이타!$A$8:$BV$103,COLUMN(기본데이타!AJ$8),0))</f>
        <v/>
      </c>
      <c r="AG151" s="580" t="str">
        <f>IF($A151="","",VLOOKUP($A151,기본데이타!$A$8:$BV$103,COLUMN(기본데이타!AK$8),0))</f>
        <v/>
      </c>
      <c r="AH151" s="580" t="str">
        <f>IF($A151="","",VLOOKUP($A151,기본데이타!$A$8:$BV$103,COLUMN(기본데이타!AL$8),0))</f>
        <v/>
      </c>
      <c r="AI151" s="580" t="str">
        <f>IF($A151="","",VLOOKUP($A151,기본데이타!$A$8:$BV$103,COLUMN(기본데이타!AM$8),0))</f>
        <v/>
      </c>
      <c r="AJ151" s="636" t="str">
        <f>IF($A151="","",VLOOKUP($A151,기본데이타!$A$8:$BV$103,COLUMN(기본데이타!AN$8),0))</f>
        <v/>
      </c>
      <c r="AK151" s="636" t="str">
        <f>IF($A151="","",VLOOKUP($A151,기본데이타!$A$8:$BV$103,COLUMN(기본데이타!AO$8),0))</f>
        <v/>
      </c>
      <c r="AL151" s="636" t="str">
        <f>IF($A151="","",VLOOKUP($A151,기본데이타!$A$8:$BV$103,COLUMN(기본데이타!AP$8),0))</f>
        <v/>
      </c>
      <c r="AM151" s="636" t="str">
        <f>IF($A151="","",VLOOKUP($A151,기본데이타!$A$8:$BV$103,COLUMN(기본데이타!AQ$8),0))</f>
        <v/>
      </c>
      <c r="AN151" s="636" t="str">
        <f>IF($A151="","",VLOOKUP($A151,기본데이타!$A$8:$BV$103,COLUMN(기본데이타!AR$8),0))</f>
        <v/>
      </c>
      <c r="AO151" s="636" t="str">
        <f>IF($A151="","",VLOOKUP($A151,기본데이타!$A$8:$BV$103,COLUMN(기본데이타!AS$8),0))</f>
        <v/>
      </c>
      <c r="AP151" s="636" t="str">
        <f>IF($A151="","",VLOOKUP($A151,기본데이타!$A$8:$BV$103,COLUMN(기본데이타!AT$8),0))</f>
        <v/>
      </c>
      <c r="AQ151" s="636" t="str">
        <f>IF($A151="","",VLOOKUP($A151,기본데이타!$A$8:$BV$103,COLUMN(기본데이타!AU$8),0))</f>
        <v/>
      </c>
      <c r="AR151" s="637" t="str">
        <f>IF($A151="","",VLOOKUP($A151,기본데이타!$A$8:$BV$103,COLUMN(기본데이타!AV$8),0))</f>
        <v/>
      </c>
      <c r="AS151" s="634" t="str">
        <f>IF($A151="","",VLOOKUP($A151,기본데이타!$A$8:$BV$103,COLUMN(기본데이타!AW$8),0))</f>
        <v/>
      </c>
      <c r="AT151" s="634" t="str">
        <f>IF($A151="","",VLOOKUP($A151,기본데이타!$A$8:$BV$103,COLUMN(기본데이타!AX$8),0))</f>
        <v/>
      </c>
      <c r="AU151" s="634" t="str">
        <f>IF($A151="","",VLOOKUP($A151,기본데이타!$A$8:$BV$103,COLUMN(기본데이타!AY$8),0))</f>
        <v/>
      </c>
      <c r="AV151" s="634" t="str">
        <f t="shared" si="22"/>
        <v/>
      </c>
      <c r="AW151" s="635" t="str">
        <f>IF($A151="","",VLOOKUP($A151,기본데이타!$A$8:$BV$103,COLUMN(기본데이타!BA$8),0))</f>
        <v/>
      </c>
      <c r="AX151" s="635" t="str">
        <f>IF($A151="","",VLOOKUP($A151,기본데이타!$A$8:$BV$103,COLUMN(기본데이타!BB$8),0))</f>
        <v/>
      </c>
      <c r="AY151" s="635" t="str">
        <f>IF($A151="","",VLOOKUP($A151,기본데이타!$A$8:$BV$103,COLUMN(기본데이타!BC$8),0))</f>
        <v/>
      </c>
      <c r="AZ151" s="635" t="str">
        <f>IF($A151="","",VLOOKUP($A151,기본데이타!$A$8:$BV$103,COLUMN(기본데이타!BD$8),0))</f>
        <v/>
      </c>
      <c r="BA151" s="635" t="str">
        <f>IF($A151="","",VLOOKUP($A151,기본데이타!$A$8:$BV$103,COLUMN(기본데이타!BE$8),0))</f>
        <v/>
      </c>
      <c r="BB151" s="635" t="str">
        <f>IF($A151="","",VLOOKUP($A151,기본데이타!$A$8:$BV$103,COLUMN(기본데이타!BF$8),0))</f>
        <v/>
      </c>
      <c r="BC151" s="635" t="str">
        <f>IF($A151="","",VLOOKUP($A151,기본데이타!$A$8:$BV$103,COLUMN(기본데이타!BG$8),0))</f>
        <v/>
      </c>
      <c r="BD151" s="635" t="str">
        <f>IF($A151="","",VLOOKUP($A151,기본데이타!$A$8:$BV$103,COLUMN(기본데이타!BH$8),0))</f>
        <v/>
      </c>
      <c r="BE151" s="635" t="str">
        <f>IF($A151="","",VLOOKUP($A151,기본데이타!$A$8:$BV$103,COLUMN(기본데이타!BI$8),0))</f>
        <v/>
      </c>
      <c r="BF151" s="635" t="str">
        <f>IF($A151="","",VLOOKUP($A151,기본데이타!$A$8:$BV$103,COLUMN(기본데이타!BJ$8),0))</f>
        <v/>
      </c>
      <c r="BG151" s="635" t="str">
        <f>IF($A151="","",VLOOKUP($A151,기본데이타!$A$8:$BV$103,COLUMN(기본데이타!BK$8),0))</f>
        <v/>
      </c>
      <c r="BH151" s="635" t="str">
        <f>IF($A151="","",VLOOKUP($A151,기본데이타!$A$8:$BV$103,COLUMN(기본데이타!BL$8),0))</f>
        <v/>
      </c>
      <c r="BI151" s="635" t="str">
        <f>IF($A151="","",VLOOKUP($A151,기본데이타!$A$8:$BV$103,COLUMN(기본데이타!BM$8),0))</f>
        <v/>
      </c>
      <c r="BJ151" s="635" t="str">
        <f>IF($A151="","",VLOOKUP($A151,기본데이타!$A$8:$BV$103,COLUMN(기본데이타!BN$8),0))</f>
        <v/>
      </c>
      <c r="BK151" s="635" t="str">
        <f>IF($A151="","",VLOOKUP($A151,기본데이타!$A$8:$BV$103,COLUMN(기본데이타!BO$8),0))</f>
        <v/>
      </c>
      <c r="BL151" s="635" t="str">
        <f>IF($A151="","",VLOOKUP($A151,기본데이타!$A$8:$BV$103,COLUMN(기본데이타!BP$8),0))</f>
        <v/>
      </c>
      <c r="BM151" s="635" t="str">
        <f>IF($A151="","",VLOOKUP($A151,기본데이타!$A$8:$BV$103,COLUMN(기본데이타!BQ$8),0))</f>
        <v/>
      </c>
      <c r="BN151" s="638" t="str">
        <f>IF($A151="","",VLOOKUP($A151,기본데이타!$A$8:$BV$103,COLUMN(기본데이타!BR$8),0))</f>
        <v/>
      </c>
      <c r="BO151" s="579" t="str">
        <f>IF($A151="","",VLOOKUP($A151,기본데이타!$A$8:$BV$103,COLUMN(기본데이타!BS$8),0))</f>
        <v/>
      </c>
      <c r="BP151" s="639" t="str">
        <f>IF($A151="","",VLOOKUP($A151,기본데이타!$A$8:$BV$103,COLUMN(기본데이타!BT$8),0))</f>
        <v/>
      </c>
      <c r="BQ151" s="640" t="str">
        <f>IF($A151="","",VLOOKUP($A151,기본데이타!$A$8:$BV$103,COLUMN(기본데이타!BU$8),0))</f>
        <v/>
      </c>
      <c r="BR151" s="625" t="str">
        <f t="shared" si="23"/>
        <v/>
      </c>
    </row>
    <row r="152" spans="1:70" s="571" customFormat="1" ht="61.5" hidden="1" customHeight="1">
      <c r="A152" s="578"/>
      <c r="B152" s="1642"/>
      <c r="C152" s="590"/>
      <c r="D152" s="673" t="str">
        <f>IF($A152="","",VLOOKUP($A152,기본데이타!$A$8:$BV$103,COLUMN(기본데이타!F$8),0))</f>
        <v/>
      </c>
      <c r="E152" s="630" t="str">
        <f>IF($A152="","",VLOOKUP($A152,기본데이타!$A$8:$BV$103,COLUMN(기본데이타!G$8),0))</f>
        <v/>
      </c>
      <c r="F152" s="631" t="str">
        <f>IF($A152="","",VLOOKUP($A152,기본데이타!$A$8:$BV$103,COLUMN(기본데이타!H$8),0))</f>
        <v/>
      </c>
      <c r="G152" s="632" t="str">
        <f>IF($A152="","",VLOOKUP($A152,기본데이타!$A$8:$BV$103,COLUMN(기본데이타!I$8),0))</f>
        <v/>
      </c>
      <c r="H152" s="632" t="str">
        <f>IF($A152="","",VLOOKUP($A152,기본데이타!$A$8:$BV$103,COLUMN(기본데이타!J$8),0))</f>
        <v/>
      </c>
      <c r="I152" s="633" t="str">
        <f>IF($A152="","",VLOOKUP($A152,기본데이타!$A$8:$BV$103,COLUMN(기본데이타!K$8),0))</f>
        <v/>
      </c>
      <c r="J152" s="633" t="str">
        <f>IF($A152="","",VLOOKUP($A152,기본데이타!$A$8:$BV$103,COLUMN(기본데이타!L$8),0))</f>
        <v/>
      </c>
      <c r="K152" s="633" t="str">
        <f>IF($A152="","",VLOOKUP($A152,기본데이타!$A$8:$BV$103,COLUMN(기본데이타!M$8),0))</f>
        <v/>
      </c>
      <c r="L152" s="634" t="str">
        <f>IF($A152="","",VLOOKUP($A152,기본데이타!$A$8:$BV$103,COLUMN(기본데이타!N$8),0))</f>
        <v/>
      </c>
      <c r="M152" s="633" t="str">
        <f>IF($A152="","",VLOOKUP($A152,기본데이타!$A$8:$BV$103,COLUMN(기본데이타!O$8),0))</f>
        <v/>
      </c>
      <c r="N152" s="634" t="str">
        <f>IF($A152="","",VLOOKUP($A152,기본데이타!$A$8:$BV$103,COLUMN(기본데이타!P$8),0))</f>
        <v/>
      </c>
      <c r="O152" s="634" t="str">
        <f>IF($A152="","",VLOOKUP($A152,기본데이타!$A$8:$BV$103,COLUMN(기본데이타!Q$8),0))</f>
        <v/>
      </c>
      <c r="P152" s="634" t="str">
        <f>IF($A152="","",VLOOKUP($A152,기본데이타!$A$8:$BV$103,COLUMN(기본데이타!R$8),0))</f>
        <v/>
      </c>
      <c r="Q152" s="634" t="str">
        <f>IF($A152="","",VLOOKUP($A152,기본데이타!$A$8:$BV$103,COLUMN(기본데이타!S$8),0))</f>
        <v/>
      </c>
      <c r="R152" s="634" t="str">
        <f>IF($A152="","",VLOOKUP($A152,기본데이타!$A$8:$BV$103,COLUMN(기본데이타!T$8),0))</f>
        <v/>
      </c>
      <c r="S152" s="634" t="str">
        <f>IF($A152="","",VLOOKUP($A152,기본데이타!$A$8:$BV$103,COLUMN(기본데이타!U$8),0))</f>
        <v/>
      </c>
      <c r="T152" s="634" t="str">
        <f>IF($A152="","",VLOOKUP($A152,기본데이타!$A$8:$BV$103,COLUMN(기본데이타!V$8),0))</f>
        <v/>
      </c>
      <c r="U152" s="634" t="str">
        <f>IF($A152="","",VLOOKUP($A152,기본데이타!$A$8:$BV$103,COLUMN(기본데이타!W$8),0))</f>
        <v/>
      </c>
      <c r="V152" s="634" t="str">
        <f>IF($A152="","",VLOOKUP($A152,기본데이타!$A$8:$BV$103,COLUMN(기본데이타!X$8),0))</f>
        <v/>
      </c>
      <c r="W152" s="634" t="str">
        <f>IF($A152="","",VLOOKUP($A152,기본데이타!$A$8:$BV$103,COLUMN(기본데이타!AA$8),0))</f>
        <v/>
      </c>
      <c r="X152" s="634" t="str">
        <f>IF($A152="","",VLOOKUP($A152,기본데이타!$A$8:$BV$103,COLUMN(기본데이타!AB$8),0))</f>
        <v/>
      </c>
      <c r="Y152" s="633" t="str">
        <f>IF($A152="","",VLOOKUP($A152,기본데이타!$A$8:$BV$103,COLUMN(기본데이타!AC$8),0))</f>
        <v/>
      </c>
      <c r="Z152" s="634" t="str">
        <f>IF($A152="","",VLOOKUP($A152,기본데이타!$A$8:$BV$103,COLUMN(기본데이타!AD$8),0))</f>
        <v/>
      </c>
      <c r="AA152" s="633" t="str">
        <f>IF($A152="","",VLOOKUP($A152,기본데이타!$A$8:$BV$103,COLUMN(기본데이타!AE$8),0))</f>
        <v/>
      </c>
      <c r="AB152" s="634" t="str">
        <f>IF($A152="","",VLOOKUP($A152,기본데이타!$A$8:$BV$103,COLUMN(기본데이타!AF$8),0))</f>
        <v/>
      </c>
      <c r="AC152" s="633" t="str">
        <f>IF($A152="","",VLOOKUP($A152,기본데이타!$A$8:$BV$103,COLUMN(기본데이타!AG$8),0))</f>
        <v/>
      </c>
      <c r="AD152" s="634" t="str">
        <f>IF($A152="","",VLOOKUP($A152,기본데이타!$A$8:$BV$103,COLUMN(기본데이타!AH$8),0))</f>
        <v/>
      </c>
      <c r="AE152" s="633" t="str">
        <f>IF($A152="","",VLOOKUP($A152,기본데이타!$A$8:$BV$103,COLUMN(기본데이타!AI$8),0))</f>
        <v/>
      </c>
      <c r="AF152" s="635" t="str">
        <f>IF($A152="","",VLOOKUP($A152,기본데이타!$A$8:$BV$103,COLUMN(기본데이타!AJ$8),0))</f>
        <v/>
      </c>
      <c r="AG152" s="580" t="str">
        <f>IF($A152="","",VLOOKUP($A152,기본데이타!$A$8:$BV$103,COLUMN(기본데이타!AK$8),0))</f>
        <v/>
      </c>
      <c r="AH152" s="580" t="str">
        <f>IF($A152="","",VLOOKUP($A152,기본데이타!$A$8:$BV$103,COLUMN(기본데이타!AL$8),0))</f>
        <v/>
      </c>
      <c r="AI152" s="580" t="str">
        <f>IF($A152="","",VLOOKUP($A152,기본데이타!$A$8:$BV$103,COLUMN(기본데이타!AM$8),0))</f>
        <v/>
      </c>
      <c r="AJ152" s="636" t="str">
        <f>IF($A152="","",VLOOKUP($A152,기본데이타!$A$8:$BV$103,COLUMN(기본데이타!AN$8),0))</f>
        <v/>
      </c>
      <c r="AK152" s="636" t="str">
        <f>IF($A152="","",VLOOKUP($A152,기본데이타!$A$8:$BV$103,COLUMN(기본데이타!AO$8),0))</f>
        <v/>
      </c>
      <c r="AL152" s="636" t="str">
        <f>IF($A152="","",VLOOKUP($A152,기본데이타!$A$8:$BV$103,COLUMN(기본데이타!AP$8),0))</f>
        <v/>
      </c>
      <c r="AM152" s="636" t="str">
        <f>IF($A152="","",VLOOKUP($A152,기본데이타!$A$8:$BV$103,COLUMN(기본데이타!AQ$8),0))</f>
        <v/>
      </c>
      <c r="AN152" s="636" t="str">
        <f>IF($A152="","",VLOOKUP($A152,기본데이타!$A$8:$BV$103,COLUMN(기본데이타!AR$8),0))</f>
        <v/>
      </c>
      <c r="AO152" s="636" t="str">
        <f>IF($A152="","",VLOOKUP($A152,기본데이타!$A$8:$BV$103,COLUMN(기본데이타!AS$8),0))</f>
        <v/>
      </c>
      <c r="AP152" s="636" t="str">
        <f>IF($A152="","",VLOOKUP($A152,기본데이타!$A$8:$BV$103,COLUMN(기본데이타!AT$8),0))</f>
        <v/>
      </c>
      <c r="AQ152" s="636" t="str">
        <f>IF($A152="","",VLOOKUP($A152,기본데이타!$A$8:$BV$103,COLUMN(기본데이타!AU$8),0))</f>
        <v/>
      </c>
      <c r="AR152" s="637" t="str">
        <f>IF($A152="","",VLOOKUP($A152,기본데이타!$A$8:$BV$103,COLUMN(기본데이타!AV$8),0))</f>
        <v/>
      </c>
      <c r="AS152" s="634" t="str">
        <f>IF($A152="","",VLOOKUP($A152,기본데이타!$A$8:$BV$103,COLUMN(기본데이타!AW$8),0))</f>
        <v/>
      </c>
      <c r="AT152" s="634" t="str">
        <f>IF($A152="","",VLOOKUP($A152,기본데이타!$A$8:$BV$103,COLUMN(기본데이타!AX$8),0))</f>
        <v/>
      </c>
      <c r="AU152" s="634" t="str">
        <f>IF($A152="","",VLOOKUP($A152,기본데이타!$A$8:$BV$103,COLUMN(기본데이타!AY$8),0))</f>
        <v/>
      </c>
      <c r="AV152" s="634" t="str">
        <f t="shared" si="22"/>
        <v/>
      </c>
      <c r="AW152" s="635" t="str">
        <f>IF($A152="","",VLOOKUP($A152,기본데이타!$A$8:$BV$103,COLUMN(기본데이타!BA$8),0))</f>
        <v/>
      </c>
      <c r="AX152" s="635" t="str">
        <f>IF($A152="","",VLOOKUP($A152,기본데이타!$A$8:$BV$103,COLUMN(기본데이타!BB$8),0))</f>
        <v/>
      </c>
      <c r="AY152" s="635" t="str">
        <f>IF($A152="","",VLOOKUP($A152,기본데이타!$A$8:$BV$103,COLUMN(기본데이타!BC$8),0))</f>
        <v/>
      </c>
      <c r="AZ152" s="635" t="str">
        <f>IF($A152="","",VLOOKUP($A152,기본데이타!$A$8:$BV$103,COLUMN(기본데이타!BD$8),0))</f>
        <v/>
      </c>
      <c r="BA152" s="635" t="str">
        <f>IF($A152="","",VLOOKUP($A152,기본데이타!$A$8:$BV$103,COLUMN(기본데이타!BE$8),0))</f>
        <v/>
      </c>
      <c r="BB152" s="635" t="str">
        <f>IF($A152="","",VLOOKUP($A152,기본데이타!$A$8:$BV$103,COLUMN(기본데이타!BF$8),0))</f>
        <v/>
      </c>
      <c r="BC152" s="635" t="str">
        <f>IF($A152="","",VLOOKUP($A152,기본데이타!$A$8:$BV$103,COLUMN(기본데이타!BG$8),0))</f>
        <v/>
      </c>
      <c r="BD152" s="635" t="str">
        <f>IF($A152="","",VLOOKUP($A152,기본데이타!$A$8:$BV$103,COLUMN(기본데이타!BH$8),0))</f>
        <v/>
      </c>
      <c r="BE152" s="635" t="str">
        <f>IF($A152="","",VLOOKUP($A152,기본데이타!$A$8:$BV$103,COLUMN(기본데이타!BI$8),0))</f>
        <v/>
      </c>
      <c r="BF152" s="635" t="str">
        <f>IF($A152="","",VLOOKUP($A152,기본데이타!$A$8:$BV$103,COLUMN(기본데이타!BJ$8),0))</f>
        <v/>
      </c>
      <c r="BG152" s="635" t="str">
        <f>IF($A152="","",VLOOKUP($A152,기본데이타!$A$8:$BV$103,COLUMN(기본데이타!BK$8),0))</f>
        <v/>
      </c>
      <c r="BH152" s="635" t="str">
        <f>IF($A152="","",VLOOKUP($A152,기본데이타!$A$8:$BV$103,COLUMN(기본데이타!BL$8),0))</f>
        <v/>
      </c>
      <c r="BI152" s="635" t="str">
        <f>IF($A152="","",VLOOKUP($A152,기본데이타!$A$8:$BV$103,COLUMN(기본데이타!BM$8),0))</f>
        <v/>
      </c>
      <c r="BJ152" s="635" t="str">
        <f>IF($A152="","",VLOOKUP($A152,기본데이타!$A$8:$BV$103,COLUMN(기본데이타!BN$8),0))</f>
        <v/>
      </c>
      <c r="BK152" s="635" t="str">
        <f>IF($A152="","",VLOOKUP($A152,기본데이타!$A$8:$BV$103,COLUMN(기본데이타!BO$8),0))</f>
        <v/>
      </c>
      <c r="BL152" s="635" t="str">
        <f>IF($A152="","",VLOOKUP($A152,기본데이타!$A$8:$BV$103,COLUMN(기본데이타!BP$8),0))</f>
        <v/>
      </c>
      <c r="BM152" s="635" t="str">
        <f>IF($A152="","",VLOOKUP($A152,기본데이타!$A$8:$BV$103,COLUMN(기본데이타!BQ$8),0))</f>
        <v/>
      </c>
      <c r="BN152" s="638" t="str">
        <f>IF($A152="","",VLOOKUP($A152,기본데이타!$A$8:$BV$103,COLUMN(기본데이타!BR$8),0))</f>
        <v/>
      </c>
      <c r="BO152" s="579" t="str">
        <f>IF($A152="","",VLOOKUP($A152,기본데이타!$A$8:$BV$103,COLUMN(기본데이타!BS$8),0))</f>
        <v/>
      </c>
      <c r="BP152" s="639" t="str">
        <f>IF($A152="","",VLOOKUP($A152,기본데이타!$A$8:$BV$103,COLUMN(기본데이타!BT$8),0))</f>
        <v/>
      </c>
      <c r="BQ152" s="640" t="str">
        <f>IF($A152="","",VLOOKUP($A152,기본데이타!$A$8:$BV$103,COLUMN(기본데이타!BU$8),0))</f>
        <v/>
      </c>
      <c r="BR152" s="625" t="str">
        <f t="shared" si="23"/>
        <v/>
      </c>
    </row>
    <row r="153" spans="1:70" s="571" customFormat="1" ht="61.5" hidden="1" customHeight="1">
      <c r="A153" s="578"/>
      <c r="B153" s="1642"/>
      <c r="C153" s="590"/>
      <c r="D153" s="673" t="str">
        <f>IF($A153="","",VLOOKUP($A153,기본데이타!$A$8:$BV$103,COLUMN(기본데이타!F$8),0))</f>
        <v/>
      </c>
      <c r="E153" s="630" t="str">
        <f>IF($A153="","",VLOOKUP($A153,기본데이타!$A$8:$BV$103,COLUMN(기본데이타!G$8),0))</f>
        <v/>
      </c>
      <c r="F153" s="631" t="str">
        <f>IF($A153="","",VLOOKUP($A153,기본데이타!$A$8:$BV$103,COLUMN(기본데이타!H$8),0))</f>
        <v/>
      </c>
      <c r="G153" s="632" t="str">
        <f>IF($A153="","",VLOOKUP($A153,기본데이타!$A$8:$BV$103,COLUMN(기본데이타!I$8),0))</f>
        <v/>
      </c>
      <c r="H153" s="632" t="str">
        <f>IF($A153="","",VLOOKUP($A153,기본데이타!$A$8:$BV$103,COLUMN(기본데이타!J$8),0))</f>
        <v/>
      </c>
      <c r="I153" s="633" t="str">
        <f>IF($A153="","",VLOOKUP($A153,기본데이타!$A$8:$BV$103,COLUMN(기본데이타!K$8),0))</f>
        <v/>
      </c>
      <c r="J153" s="633" t="str">
        <f>IF($A153="","",VLOOKUP($A153,기본데이타!$A$8:$BV$103,COLUMN(기본데이타!L$8),0))</f>
        <v/>
      </c>
      <c r="K153" s="633" t="str">
        <f>IF($A153="","",VLOOKUP($A153,기본데이타!$A$8:$BV$103,COLUMN(기본데이타!M$8),0))</f>
        <v/>
      </c>
      <c r="L153" s="634" t="str">
        <f>IF($A153="","",VLOOKUP($A153,기본데이타!$A$8:$BV$103,COLUMN(기본데이타!N$8),0))</f>
        <v/>
      </c>
      <c r="M153" s="633" t="str">
        <f>IF($A153="","",VLOOKUP($A153,기본데이타!$A$8:$BV$103,COLUMN(기본데이타!O$8),0))</f>
        <v/>
      </c>
      <c r="N153" s="634" t="str">
        <f>IF($A153="","",VLOOKUP($A153,기본데이타!$A$8:$BV$103,COLUMN(기본데이타!P$8),0))</f>
        <v/>
      </c>
      <c r="O153" s="634" t="str">
        <f>IF($A153="","",VLOOKUP($A153,기본데이타!$A$8:$BV$103,COLUMN(기본데이타!Q$8),0))</f>
        <v/>
      </c>
      <c r="P153" s="634" t="str">
        <f>IF($A153="","",VLOOKUP($A153,기본데이타!$A$8:$BV$103,COLUMN(기본데이타!R$8),0))</f>
        <v/>
      </c>
      <c r="Q153" s="634" t="str">
        <f>IF($A153="","",VLOOKUP($A153,기본데이타!$A$8:$BV$103,COLUMN(기본데이타!S$8),0))</f>
        <v/>
      </c>
      <c r="R153" s="634" t="str">
        <f>IF($A153="","",VLOOKUP($A153,기본데이타!$A$8:$BV$103,COLUMN(기본데이타!T$8),0))</f>
        <v/>
      </c>
      <c r="S153" s="634" t="str">
        <f>IF($A153="","",VLOOKUP($A153,기본데이타!$A$8:$BV$103,COLUMN(기본데이타!U$8),0))</f>
        <v/>
      </c>
      <c r="T153" s="634" t="str">
        <f>IF($A153="","",VLOOKUP($A153,기본데이타!$A$8:$BV$103,COLUMN(기본데이타!V$8),0))</f>
        <v/>
      </c>
      <c r="U153" s="634" t="str">
        <f>IF($A153="","",VLOOKUP($A153,기본데이타!$A$8:$BV$103,COLUMN(기본데이타!W$8),0))</f>
        <v/>
      </c>
      <c r="V153" s="634" t="str">
        <f>IF($A153="","",VLOOKUP($A153,기본데이타!$A$8:$BV$103,COLUMN(기본데이타!X$8),0))</f>
        <v/>
      </c>
      <c r="W153" s="634" t="str">
        <f>IF($A153="","",VLOOKUP($A153,기본데이타!$A$8:$BV$103,COLUMN(기본데이타!AA$8),0))</f>
        <v/>
      </c>
      <c r="X153" s="634" t="str">
        <f>IF($A153="","",VLOOKUP($A153,기본데이타!$A$8:$BV$103,COLUMN(기본데이타!AB$8),0))</f>
        <v/>
      </c>
      <c r="Y153" s="633" t="str">
        <f>IF($A153="","",VLOOKUP($A153,기본데이타!$A$8:$BV$103,COLUMN(기본데이타!AC$8),0))</f>
        <v/>
      </c>
      <c r="Z153" s="634" t="str">
        <f>IF($A153="","",VLOOKUP($A153,기본데이타!$A$8:$BV$103,COLUMN(기본데이타!AD$8),0))</f>
        <v/>
      </c>
      <c r="AA153" s="633" t="str">
        <f>IF($A153="","",VLOOKUP($A153,기본데이타!$A$8:$BV$103,COLUMN(기본데이타!AE$8),0))</f>
        <v/>
      </c>
      <c r="AB153" s="634" t="str">
        <f>IF($A153="","",VLOOKUP($A153,기본데이타!$A$8:$BV$103,COLUMN(기본데이타!AF$8),0))</f>
        <v/>
      </c>
      <c r="AC153" s="633" t="str">
        <f>IF($A153="","",VLOOKUP($A153,기본데이타!$A$8:$BV$103,COLUMN(기본데이타!AG$8),0))</f>
        <v/>
      </c>
      <c r="AD153" s="634" t="str">
        <f>IF($A153="","",VLOOKUP($A153,기본데이타!$A$8:$BV$103,COLUMN(기본데이타!AH$8),0))</f>
        <v/>
      </c>
      <c r="AE153" s="633" t="str">
        <f>IF($A153="","",VLOOKUP($A153,기본데이타!$A$8:$BV$103,COLUMN(기본데이타!AI$8),0))</f>
        <v/>
      </c>
      <c r="AF153" s="635" t="str">
        <f>IF($A153="","",VLOOKUP($A153,기본데이타!$A$8:$BV$103,COLUMN(기본데이타!AJ$8),0))</f>
        <v/>
      </c>
      <c r="AG153" s="580" t="str">
        <f>IF($A153="","",VLOOKUP($A153,기본데이타!$A$8:$BV$103,COLUMN(기본데이타!AK$8),0))</f>
        <v/>
      </c>
      <c r="AH153" s="580" t="str">
        <f>IF($A153="","",VLOOKUP($A153,기본데이타!$A$8:$BV$103,COLUMN(기본데이타!AL$8),0))</f>
        <v/>
      </c>
      <c r="AI153" s="580" t="str">
        <f>IF($A153="","",VLOOKUP($A153,기본데이타!$A$8:$BV$103,COLUMN(기본데이타!AM$8),0))</f>
        <v/>
      </c>
      <c r="AJ153" s="636" t="str">
        <f>IF($A153="","",VLOOKUP($A153,기본데이타!$A$8:$BV$103,COLUMN(기본데이타!AN$8),0))</f>
        <v/>
      </c>
      <c r="AK153" s="636" t="str">
        <f>IF($A153="","",VLOOKUP($A153,기본데이타!$A$8:$BV$103,COLUMN(기본데이타!AO$8),0))</f>
        <v/>
      </c>
      <c r="AL153" s="636" t="str">
        <f>IF($A153="","",VLOOKUP($A153,기본데이타!$A$8:$BV$103,COLUMN(기본데이타!AP$8),0))</f>
        <v/>
      </c>
      <c r="AM153" s="636" t="str">
        <f>IF($A153="","",VLOOKUP($A153,기본데이타!$A$8:$BV$103,COLUMN(기본데이타!AQ$8),0))</f>
        <v/>
      </c>
      <c r="AN153" s="636" t="str">
        <f>IF($A153="","",VLOOKUP($A153,기본데이타!$A$8:$BV$103,COLUMN(기본데이타!AR$8),0))</f>
        <v/>
      </c>
      <c r="AO153" s="636" t="str">
        <f>IF($A153="","",VLOOKUP($A153,기본데이타!$A$8:$BV$103,COLUMN(기본데이타!AS$8),0))</f>
        <v/>
      </c>
      <c r="AP153" s="636" t="str">
        <f>IF($A153="","",VLOOKUP($A153,기본데이타!$A$8:$BV$103,COLUMN(기본데이타!AT$8),0))</f>
        <v/>
      </c>
      <c r="AQ153" s="636" t="str">
        <f>IF($A153="","",VLOOKUP($A153,기본데이타!$A$8:$BV$103,COLUMN(기본데이타!AU$8),0))</f>
        <v/>
      </c>
      <c r="AR153" s="637" t="str">
        <f>IF($A153="","",VLOOKUP($A153,기본데이타!$A$8:$BV$103,COLUMN(기본데이타!AV$8),0))</f>
        <v/>
      </c>
      <c r="AS153" s="634" t="str">
        <f>IF($A153="","",VLOOKUP($A153,기본데이타!$A$8:$BV$103,COLUMN(기본데이타!AW$8),0))</f>
        <v/>
      </c>
      <c r="AT153" s="634" t="str">
        <f>IF($A153="","",VLOOKUP($A153,기본데이타!$A$8:$BV$103,COLUMN(기본데이타!AX$8),0))</f>
        <v/>
      </c>
      <c r="AU153" s="634" t="str">
        <f>IF($A153="","",VLOOKUP($A153,기본데이타!$A$8:$BV$103,COLUMN(기본데이타!AY$8),0))</f>
        <v/>
      </c>
      <c r="AV153" s="634" t="str">
        <f t="shared" si="22"/>
        <v/>
      </c>
      <c r="AW153" s="635" t="str">
        <f>IF($A153="","",VLOOKUP($A153,기본데이타!$A$8:$BV$103,COLUMN(기본데이타!BA$8),0))</f>
        <v/>
      </c>
      <c r="AX153" s="635" t="str">
        <f>IF($A153="","",VLOOKUP($A153,기본데이타!$A$8:$BV$103,COLUMN(기본데이타!BB$8),0))</f>
        <v/>
      </c>
      <c r="AY153" s="635" t="str">
        <f>IF($A153="","",VLOOKUP($A153,기본데이타!$A$8:$BV$103,COLUMN(기본데이타!BC$8),0))</f>
        <v/>
      </c>
      <c r="AZ153" s="635" t="str">
        <f>IF($A153="","",VLOOKUP($A153,기본데이타!$A$8:$BV$103,COLUMN(기본데이타!BD$8),0))</f>
        <v/>
      </c>
      <c r="BA153" s="635" t="str">
        <f>IF($A153="","",VLOOKUP($A153,기본데이타!$A$8:$BV$103,COLUMN(기본데이타!BE$8),0))</f>
        <v/>
      </c>
      <c r="BB153" s="635" t="str">
        <f>IF($A153="","",VLOOKUP($A153,기본데이타!$A$8:$BV$103,COLUMN(기본데이타!BF$8),0))</f>
        <v/>
      </c>
      <c r="BC153" s="635" t="str">
        <f>IF($A153="","",VLOOKUP($A153,기본데이타!$A$8:$BV$103,COLUMN(기본데이타!BG$8),0))</f>
        <v/>
      </c>
      <c r="BD153" s="635" t="str">
        <f>IF($A153="","",VLOOKUP($A153,기본데이타!$A$8:$BV$103,COLUMN(기본데이타!BH$8),0))</f>
        <v/>
      </c>
      <c r="BE153" s="635" t="str">
        <f>IF($A153="","",VLOOKUP($A153,기본데이타!$A$8:$BV$103,COLUMN(기본데이타!BI$8),0))</f>
        <v/>
      </c>
      <c r="BF153" s="635" t="str">
        <f>IF($A153="","",VLOOKUP($A153,기본데이타!$A$8:$BV$103,COLUMN(기본데이타!BJ$8),0))</f>
        <v/>
      </c>
      <c r="BG153" s="635" t="str">
        <f>IF($A153="","",VLOOKUP($A153,기본데이타!$A$8:$BV$103,COLUMN(기본데이타!BK$8),0))</f>
        <v/>
      </c>
      <c r="BH153" s="635" t="str">
        <f>IF($A153="","",VLOOKUP($A153,기본데이타!$A$8:$BV$103,COLUMN(기본데이타!BL$8),0))</f>
        <v/>
      </c>
      <c r="BI153" s="635" t="str">
        <f>IF($A153="","",VLOOKUP($A153,기본데이타!$A$8:$BV$103,COLUMN(기본데이타!BM$8),0))</f>
        <v/>
      </c>
      <c r="BJ153" s="635" t="str">
        <f>IF($A153="","",VLOOKUP($A153,기본데이타!$A$8:$BV$103,COLUMN(기본데이타!BN$8),0))</f>
        <v/>
      </c>
      <c r="BK153" s="635" t="str">
        <f>IF($A153="","",VLOOKUP($A153,기본데이타!$A$8:$BV$103,COLUMN(기본데이타!BO$8),0))</f>
        <v/>
      </c>
      <c r="BL153" s="635" t="str">
        <f>IF($A153="","",VLOOKUP($A153,기본데이타!$A$8:$BV$103,COLUMN(기본데이타!BP$8),0))</f>
        <v/>
      </c>
      <c r="BM153" s="635" t="str">
        <f>IF($A153="","",VLOOKUP($A153,기본데이타!$A$8:$BV$103,COLUMN(기본데이타!BQ$8),0))</f>
        <v/>
      </c>
      <c r="BN153" s="638" t="str">
        <f>IF($A153="","",VLOOKUP($A153,기본데이타!$A$8:$BV$103,COLUMN(기본데이타!BR$8),0))</f>
        <v/>
      </c>
      <c r="BO153" s="579" t="str">
        <f>IF($A153="","",VLOOKUP($A153,기본데이타!$A$8:$BV$103,COLUMN(기본데이타!BS$8),0))</f>
        <v/>
      </c>
      <c r="BP153" s="639" t="str">
        <f>IF($A153="","",VLOOKUP($A153,기본데이타!$A$8:$BV$103,COLUMN(기본데이타!BT$8),0))</f>
        <v/>
      </c>
      <c r="BQ153" s="640" t="str">
        <f>IF($A153="","",VLOOKUP($A153,기본데이타!$A$8:$BV$103,COLUMN(기본데이타!BU$8),0))</f>
        <v/>
      </c>
      <c r="BR153" s="625" t="str">
        <f t="shared" si="23"/>
        <v/>
      </c>
    </row>
    <row r="154" spans="1:70" s="571" customFormat="1" ht="61.5" hidden="1" customHeight="1">
      <c r="A154" s="578"/>
      <c r="B154" s="1642"/>
      <c r="C154" s="590"/>
      <c r="D154" s="673" t="str">
        <f>IF($A154="","",VLOOKUP($A154,기본데이타!$A$8:$BV$103,COLUMN(기본데이타!F$8),0))</f>
        <v/>
      </c>
      <c r="E154" s="630" t="str">
        <f>IF($A154="","",VLOOKUP($A154,기본데이타!$A$8:$BV$103,COLUMN(기본데이타!G$8),0))</f>
        <v/>
      </c>
      <c r="F154" s="631" t="str">
        <f>IF($A154="","",VLOOKUP($A154,기본데이타!$A$8:$BV$103,COLUMN(기본데이타!H$8),0))</f>
        <v/>
      </c>
      <c r="G154" s="632" t="str">
        <f>IF($A154="","",VLOOKUP($A154,기본데이타!$A$8:$BV$103,COLUMN(기본데이타!I$8),0))</f>
        <v/>
      </c>
      <c r="H154" s="632" t="str">
        <f>IF($A154="","",VLOOKUP($A154,기본데이타!$A$8:$BV$103,COLUMN(기본데이타!J$8),0))</f>
        <v/>
      </c>
      <c r="I154" s="633" t="str">
        <f>IF($A154="","",VLOOKUP($A154,기본데이타!$A$8:$BV$103,COLUMN(기본데이타!K$8),0))</f>
        <v/>
      </c>
      <c r="J154" s="633" t="str">
        <f>IF($A154="","",VLOOKUP($A154,기본데이타!$A$8:$BV$103,COLUMN(기본데이타!L$8),0))</f>
        <v/>
      </c>
      <c r="K154" s="633" t="str">
        <f>IF($A154="","",VLOOKUP($A154,기본데이타!$A$8:$BV$103,COLUMN(기본데이타!M$8),0))</f>
        <v/>
      </c>
      <c r="L154" s="634" t="str">
        <f>IF($A154="","",VLOOKUP($A154,기본데이타!$A$8:$BV$103,COLUMN(기본데이타!N$8),0))</f>
        <v/>
      </c>
      <c r="M154" s="633" t="str">
        <f>IF($A154="","",VLOOKUP($A154,기본데이타!$A$8:$BV$103,COLUMN(기본데이타!O$8),0))</f>
        <v/>
      </c>
      <c r="N154" s="634" t="str">
        <f>IF($A154="","",VLOOKUP($A154,기본데이타!$A$8:$BV$103,COLUMN(기본데이타!P$8),0))</f>
        <v/>
      </c>
      <c r="O154" s="634" t="str">
        <f>IF($A154="","",VLOOKUP($A154,기본데이타!$A$8:$BV$103,COLUMN(기본데이타!Q$8),0))</f>
        <v/>
      </c>
      <c r="P154" s="634" t="str">
        <f>IF($A154="","",VLOOKUP($A154,기본데이타!$A$8:$BV$103,COLUMN(기본데이타!R$8),0))</f>
        <v/>
      </c>
      <c r="Q154" s="634" t="str">
        <f>IF($A154="","",VLOOKUP($A154,기본데이타!$A$8:$BV$103,COLUMN(기본데이타!S$8),0))</f>
        <v/>
      </c>
      <c r="R154" s="634" t="str">
        <f>IF($A154="","",VLOOKUP($A154,기본데이타!$A$8:$BV$103,COLUMN(기본데이타!T$8),0))</f>
        <v/>
      </c>
      <c r="S154" s="634" t="str">
        <f>IF($A154="","",VLOOKUP($A154,기본데이타!$A$8:$BV$103,COLUMN(기본데이타!U$8),0))</f>
        <v/>
      </c>
      <c r="T154" s="634" t="str">
        <f>IF($A154="","",VLOOKUP($A154,기본데이타!$A$8:$BV$103,COLUMN(기본데이타!V$8),0))</f>
        <v/>
      </c>
      <c r="U154" s="634" t="str">
        <f>IF($A154="","",VLOOKUP($A154,기본데이타!$A$8:$BV$103,COLUMN(기본데이타!W$8),0))</f>
        <v/>
      </c>
      <c r="V154" s="634" t="str">
        <f>IF($A154="","",VLOOKUP($A154,기본데이타!$A$8:$BV$103,COLUMN(기본데이타!X$8),0))</f>
        <v/>
      </c>
      <c r="W154" s="634" t="str">
        <f>IF($A154="","",VLOOKUP($A154,기본데이타!$A$8:$BV$103,COLUMN(기본데이타!AA$8),0))</f>
        <v/>
      </c>
      <c r="X154" s="634" t="str">
        <f>IF($A154="","",VLOOKUP($A154,기본데이타!$A$8:$BV$103,COLUMN(기본데이타!AB$8),0))</f>
        <v/>
      </c>
      <c r="Y154" s="633" t="str">
        <f>IF($A154="","",VLOOKUP($A154,기본데이타!$A$8:$BV$103,COLUMN(기본데이타!AC$8),0))</f>
        <v/>
      </c>
      <c r="Z154" s="634" t="str">
        <f>IF($A154="","",VLOOKUP($A154,기본데이타!$A$8:$BV$103,COLUMN(기본데이타!AD$8),0))</f>
        <v/>
      </c>
      <c r="AA154" s="633" t="str">
        <f>IF($A154="","",VLOOKUP($A154,기본데이타!$A$8:$BV$103,COLUMN(기본데이타!AE$8),0))</f>
        <v/>
      </c>
      <c r="AB154" s="634" t="str">
        <f>IF($A154="","",VLOOKUP($A154,기본데이타!$A$8:$BV$103,COLUMN(기본데이타!AF$8),0))</f>
        <v/>
      </c>
      <c r="AC154" s="633" t="str">
        <f>IF($A154="","",VLOOKUP($A154,기본데이타!$A$8:$BV$103,COLUMN(기본데이타!AG$8),0))</f>
        <v/>
      </c>
      <c r="AD154" s="634" t="str">
        <f>IF($A154="","",VLOOKUP($A154,기본데이타!$A$8:$BV$103,COLUMN(기본데이타!AH$8),0))</f>
        <v/>
      </c>
      <c r="AE154" s="633" t="str">
        <f>IF($A154="","",VLOOKUP($A154,기본데이타!$A$8:$BV$103,COLUMN(기본데이타!AI$8),0))</f>
        <v/>
      </c>
      <c r="AF154" s="635" t="str">
        <f>IF($A154="","",VLOOKUP($A154,기본데이타!$A$8:$BV$103,COLUMN(기본데이타!AJ$8),0))</f>
        <v/>
      </c>
      <c r="AG154" s="580" t="str">
        <f>IF($A154="","",VLOOKUP($A154,기본데이타!$A$8:$BV$103,COLUMN(기본데이타!AK$8),0))</f>
        <v/>
      </c>
      <c r="AH154" s="580" t="str">
        <f>IF($A154="","",VLOOKUP($A154,기본데이타!$A$8:$BV$103,COLUMN(기본데이타!AL$8),0))</f>
        <v/>
      </c>
      <c r="AI154" s="580" t="str">
        <f>IF($A154="","",VLOOKUP($A154,기본데이타!$A$8:$BV$103,COLUMN(기본데이타!AM$8),0))</f>
        <v/>
      </c>
      <c r="AJ154" s="636" t="str">
        <f>IF($A154="","",VLOOKUP($A154,기본데이타!$A$8:$BV$103,COLUMN(기본데이타!AN$8),0))</f>
        <v/>
      </c>
      <c r="AK154" s="636" t="str">
        <f>IF($A154="","",VLOOKUP($A154,기본데이타!$A$8:$BV$103,COLUMN(기본데이타!AO$8),0))</f>
        <v/>
      </c>
      <c r="AL154" s="636" t="str">
        <f>IF($A154="","",VLOOKUP($A154,기본데이타!$A$8:$BV$103,COLUMN(기본데이타!AP$8),0))</f>
        <v/>
      </c>
      <c r="AM154" s="636" t="str">
        <f>IF($A154="","",VLOOKUP($A154,기본데이타!$A$8:$BV$103,COLUMN(기본데이타!AQ$8),0))</f>
        <v/>
      </c>
      <c r="AN154" s="636" t="str">
        <f>IF($A154="","",VLOOKUP($A154,기본데이타!$A$8:$BV$103,COLUMN(기본데이타!AR$8),0))</f>
        <v/>
      </c>
      <c r="AO154" s="636" t="str">
        <f>IF($A154="","",VLOOKUP($A154,기본데이타!$A$8:$BV$103,COLUMN(기본데이타!AS$8),0))</f>
        <v/>
      </c>
      <c r="AP154" s="636" t="str">
        <f>IF($A154="","",VLOOKUP($A154,기본데이타!$A$8:$BV$103,COLUMN(기본데이타!AT$8),0))</f>
        <v/>
      </c>
      <c r="AQ154" s="636" t="str">
        <f>IF($A154="","",VLOOKUP($A154,기본데이타!$A$8:$BV$103,COLUMN(기본데이타!AU$8),0))</f>
        <v/>
      </c>
      <c r="AR154" s="637" t="str">
        <f>IF($A154="","",VLOOKUP($A154,기본데이타!$A$8:$BV$103,COLUMN(기본데이타!AV$8),0))</f>
        <v/>
      </c>
      <c r="AS154" s="634" t="str">
        <f>IF($A154="","",VLOOKUP($A154,기본데이타!$A$8:$BV$103,COLUMN(기본데이타!AW$8),0))</f>
        <v/>
      </c>
      <c r="AT154" s="634" t="str">
        <f>IF($A154="","",VLOOKUP($A154,기본데이타!$A$8:$BV$103,COLUMN(기본데이타!AX$8),0))</f>
        <v/>
      </c>
      <c r="AU154" s="634" t="str">
        <f>IF($A154="","",VLOOKUP($A154,기본데이타!$A$8:$BV$103,COLUMN(기본데이타!AY$8),0))</f>
        <v/>
      </c>
      <c r="AV154" s="634" t="str">
        <f t="shared" si="22"/>
        <v/>
      </c>
      <c r="AW154" s="635" t="str">
        <f>IF($A154="","",VLOOKUP($A154,기본데이타!$A$8:$BV$103,COLUMN(기본데이타!BA$8),0))</f>
        <v/>
      </c>
      <c r="AX154" s="635" t="str">
        <f>IF($A154="","",VLOOKUP($A154,기본데이타!$A$8:$BV$103,COLUMN(기본데이타!BB$8),0))</f>
        <v/>
      </c>
      <c r="AY154" s="635" t="str">
        <f>IF($A154="","",VLOOKUP($A154,기본데이타!$A$8:$BV$103,COLUMN(기본데이타!BC$8),0))</f>
        <v/>
      </c>
      <c r="AZ154" s="635" t="str">
        <f>IF($A154="","",VLOOKUP($A154,기본데이타!$A$8:$BV$103,COLUMN(기본데이타!BD$8),0))</f>
        <v/>
      </c>
      <c r="BA154" s="635" t="str">
        <f>IF($A154="","",VLOOKUP($A154,기본데이타!$A$8:$BV$103,COLUMN(기본데이타!BE$8),0))</f>
        <v/>
      </c>
      <c r="BB154" s="635" t="str">
        <f>IF($A154="","",VLOOKUP($A154,기본데이타!$A$8:$BV$103,COLUMN(기본데이타!BF$8),0))</f>
        <v/>
      </c>
      <c r="BC154" s="635" t="str">
        <f>IF($A154="","",VLOOKUP($A154,기본데이타!$A$8:$BV$103,COLUMN(기본데이타!BG$8),0))</f>
        <v/>
      </c>
      <c r="BD154" s="635" t="str">
        <f>IF($A154="","",VLOOKUP($A154,기본데이타!$A$8:$BV$103,COLUMN(기본데이타!BH$8),0))</f>
        <v/>
      </c>
      <c r="BE154" s="635" t="str">
        <f>IF($A154="","",VLOOKUP($A154,기본데이타!$A$8:$BV$103,COLUMN(기본데이타!BI$8),0))</f>
        <v/>
      </c>
      <c r="BF154" s="635" t="str">
        <f>IF($A154="","",VLOOKUP($A154,기본데이타!$A$8:$BV$103,COLUMN(기본데이타!BJ$8),0))</f>
        <v/>
      </c>
      <c r="BG154" s="635" t="str">
        <f>IF($A154="","",VLOOKUP($A154,기본데이타!$A$8:$BV$103,COLUMN(기본데이타!BK$8),0))</f>
        <v/>
      </c>
      <c r="BH154" s="635" t="str">
        <f>IF($A154="","",VLOOKUP($A154,기본데이타!$A$8:$BV$103,COLUMN(기본데이타!BL$8),0))</f>
        <v/>
      </c>
      <c r="BI154" s="635" t="str">
        <f>IF($A154="","",VLOOKUP($A154,기본데이타!$A$8:$BV$103,COLUMN(기본데이타!BM$8),0))</f>
        <v/>
      </c>
      <c r="BJ154" s="635" t="str">
        <f>IF($A154="","",VLOOKUP($A154,기본데이타!$A$8:$BV$103,COLUMN(기본데이타!BN$8),0))</f>
        <v/>
      </c>
      <c r="BK154" s="635" t="str">
        <f>IF($A154="","",VLOOKUP($A154,기본데이타!$A$8:$BV$103,COLUMN(기본데이타!BO$8),0))</f>
        <v/>
      </c>
      <c r="BL154" s="635" t="str">
        <f>IF($A154="","",VLOOKUP($A154,기본데이타!$A$8:$BV$103,COLUMN(기본데이타!BP$8),0))</f>
        <v/>
      </c>
      <c r="BM154" s="635" t="str">
        <f>IF($A154="","",VLOOKUP($A154,기본데이타!$A$8:$BV$103,COLUMN(기본데이타!BQ$8),0))</f>
        <v/>
      </c>
      <c r="BN154" s="638" t="str">
        <f>IF($A154="","",VLOOKUP($A154,기본데이타!$A$8:$BV$103,COLUMN(기본데이타!BR$8),0))</f>
        <v/>
      </c>
      <c r="BO154" s="579" t="str">
        <f>IF($A154="","",VLOOKUP($A154,기본데이타!$A$8:$BV$103,COLUMN(기본데이타!BS$8),0))</f>
        <v/>
      </c>
      <c r="BP154" s="639" t="str">
        <f>IF($A154="","",VLOOKUP($A154,기본데이타!$A$8:$BV$103,COLUMN(기본데이타!BT$8),0))</f>
        <v/>
      </c>
      <c r="BQ154" s="640" t="str">
        <f>IF($A154="","",VLOOKUP($A154,기본데이타!$A$8:$BV$103,COLUMN(기본데이타!BU$8),0))</f>
        <v/>
      </c>
      <c r="BR154" s="625" t="str">
        <f t="shared" si="23"/>
        <v/>
      </c>
    </row>
    <row r="155" spans="1:70" s="571" customFormat="1" ht="61.5" hidden="1" customHeight="1">
      <c r="A155" s="578"/>
      <c r="B155" s="1642"/>
      <c r="C155" s="590"/>
      <c r="D155" s="673" t="str">
        <f>IF($A155="","",VLOOKUP($A155,기본데이타!$A$8:$BV$103,COLUMN(기본데이타!F$8),0))</f>
        <v/>
      </c>
      <c r="E155" s="630" t="str">
        <f>IF($A155="","",VLOOKUP($A155,기본데이타!$A$8:$BV$103,COLUMN(기본데이타!G$8),0))</f>
        <v/>
      </c>
      <c r="F155" s="631" t="str">
        <f>IF($A155="","",VLOOKUP($A155,기본데이타!$A$8:$BV$103,COLUMN(기본데이타!H$8),0))</f>
        <v/>
      </c>
      <c r="G155" s="632" t="str">
        <f>IF($A155="","",VLOOKUP($A155,기본데이타!$A$8:$BV$103,COLUMN(기본데이타!I$8),0))</f>
        <v/>
      </c>
      <c r="H155" s="632" t="str">
        <f>IF($A155="","",VLOOKUP($A155,기본데이타!$A$8:$BV$103,COLUMN(기본데이타!J$8),0))</f>
        <v/>
      </c>
      <c r="I155" s="633" t="str">
        <f>IF($A155="","",VLOOKUP($A155,기본데이타!$A$8:$BV$103,COLUMN(기본데이타!K$8),0))</f>
        <v/>
      </c>
      <c r="J155" s="633" t="str">
        <f>IF($A155="","",VLOOKUP($A155,기본데이타!$A$8:$BV$103,COLUMN(기본데이타!L$8),0))</f>
        <v/>
      </c>
      <c r="K155" s="633" t="str">
        <f>IF($A155="","",VLOOKUP($A155,기본데이타!$A$8:$BV$103,COLUMN(기본데이타!M$8),0))</f>
        <v/>
      </c>
      <c r="L155" s="634" t="str">
        <f>IF($A155="","",VLOOKUP($A155,기본데이타!$A$8:$BV$103,COLUMN(기본데이타!N$8),0))</f>
        <v/>
      </c>
      <c r="M155" s="633" t="str">
        <f>IF($A155="","",VLOOKUP($A155,기본데이타!$A$8:$BV$103,COLUMN(기본데이타!O$8),0))</f>
        <v/>
      </c>
      <c r="N155" s="634" t="str">
        <f>IF($A155="","",VLOOKUP($A155,기본데이타!$A$8:$BV$103,COLUMN(기본데이타!P$8),0))</f>
        <v/>
      </c>
      <c r="O155" s="634" t="str">
        <f>IF($A155="","",VLOOKUP($A155,기본데이타!$A$8:$BV$103,COLUMN(기본데이타!Q$8),0))</f>
        <v/>
      </c>
      <c r="P155" s="634" t="str">
        <f>IF($A155="","",VLOOKUP($A155,기본데이타!$A$8:$BV$103,COLUMN(기본데이타!R$8),0))</f>
        <v/>
      </c>
      <c r="Q155" s="634" t="str">
        <f>IF($A155="","",VLOOKUP($A155,기본데이타!$A$8:$BV$103,COLUMN(기본데이타!S$8),0))</f>
        <v/>
      </c>
      <c r="R155" s="634" t="str">
        <f>IF($A155="","",VLOOKUP($A155,기본데이타!$A$8:$BV$103,COLUMN(기본데이타!T$8),0))</f>
        <v/>
      </c>
      <c r="S155" s="634" t="str">
        <f>IF($A155="","",VLOOKUP($A155,기본데이타!$A$8:$BV$103,COLUMN(기본데이타!U$8),0))</f>
        <v/>
      </c>
      <c r="T155" s="634" t="str">
        <f>IF($A155="","",VLOOKUP($A155,기본데이타!$A$8:$BV$103,COLUMN(기본데이타!V$8),0))</f>
        <v/>
      </c>
      <c r="U155" s="634" t="str">
        <f>IF($A155="","",VLOOKUP($A155,기본데이타!$A$8:$BV$103,COLUMN(기본데이타!W$8),0))</f>
        <v/>
      </c>
      <c r="V155" s="634" t="str">
        <f>IF($A155="","",VLOOKUP($A155,기본데이타!$A$8:$BV$103,COLUMN(기본데이타!X$8),0))</f>
        <v/>
      </c>
      <c r="W155" s="634" t="str">
        <f>IF($A155="","",VLOOKUP($A155,기본데이타!$A$8:$BV$103,COLUMN(기본데이타!AA$8),0))</f>
        <v/>
      </c>
      <c r="X155" s="634" t="str">
        <f>IF($A155="","",VLOOKUP($A155,기본데이타!$A$8:$BV$103,COLUMN(기본데이타!AB$8),0))</f>
        <v/>
      </c>
      <c r="Y155" s="633" t="str">
        <f>IF($A155="","",VLOOKUP($A155,기본데이타!$A$8:$BV$103,COLUMN(기본데이타!AC$8),0))</f>
        <v/>
      </c>
      <c r="Z155" s="634" t="str">
        <f>IF($A155="","",VLOOKUP($A155,기본데이타!$A$8:$BV$103,COLUMN(기본데이타!AD$8),0))</f>
        <v/>
      </c>
      <c r="AA155" s="633" t="str">
        <f>IF($A155="","",VLOOKUP($A155,기본데이타!$A$8:$BV$103,COLUMN(기본데이타!AE$8),0))</f>
        <v/>
      </c>
      <c r="AB155" s="634" t="str">
        <f>IF($A155="","",VLOOKUP($A155,기본데이타!$A$8:$BV$103,COLUMN(기본데이타!AF$8),0))</f>
        <v/>
      </c>
      <c r="AC155" s="633" t="str">
        <f>IF($A155="","",VLOOKUP($A155,기본데이타!$A$8:$BV$103,COLUMN(기본데이타!AG$8),0))</f>
        <v/>
      </c>
      <c r="AD155" s="634" t="str">
        <f>IF($A155="","",VLOOKUP($A155,기본데이타!$A$8:$BV$103,COLUMN(기본데이타!AH$8),0))</f>
        <v/>
      </c>
      <c r="AE155" s="633" t="str">
        <f>IF($A155="","",VLOOKUP($A155,기본데이타!$A$8:$BV$103,COLUMN(기본데이타!AI$8),0))</f>
        <v/>
      </c>
      <c r="AF155" s="635" t="str">
        <f>IF($A155="","",VLOOKUP($A155,기본데이타!$A$8:$BV$103,COLUMN(기본데이타!AJ$8),0))</f>
        <v/>
      </c>
      <c r="AG155" s="580" t="str">
        <f>IF($A155="","",VLOOKUP($A155,기본데이타!$A$8:$BV$103,COLUMN(기본데이타!AK$8),0))</f>
        <v/>
      </c>
      <c r="AH155" s="580" t="str">
        <f>IF($A155="","",VLOOKUP($A155,기본데이타!$A$8:$BV$103,COLUMN(기본데이타!AL$8),0))</f>
        <v/>
      </c>
      <c r="AI155" s="580" t="str">
        <f>IF($A155="","",VLOOKUP($A155,기본데이타!$A$8:$BV$103,COLUMN(기본데이타!AM$8),0))</f>
        <v/>
      </c>
      <c r="AJ155" s="636" t="str">
        <f>IF($A155="","",VLOOKUP($A155,기본데이타!$A$8:$BV$103,COLUMN(기본데이타!AN$8),0))</f>
        <v/>
      </c>
      <c r="AK155" s="636" t="str">
        <f>IF($A155="","",VLOOKUP($A155,기본데이타!$A$8:$BV$103,COLUMN(기본데이타!AO$8),0))</f>
        <v/>
      </c>
      <c r="AL155" s="636" t="str">
        <f>IF($A155="","",VLOOKUP($A155,기본데이타!$A$8:$BV$103,COLUMN(기본데이타!AP$8),0))</f>
        <v/>
      </c>
      <c r="AM155" s="636" t="str">
        <f>IF($A155="","",VLOOKUP($A155,기본데이타!$A$8:$BV$103,COLUMN(기본데이타!AQ$8),0))</f>
        <v/>
      </c>
      <c r="AN155" s="636" t="str">
        <f>IF($A155="","",VLOOKUP($A155,기본데이타!$A$8:$BV$103,COLUMN(기본데이타!AR$8),0))</f>
        <v/>
      </c>
      <c r="AO155" s="636" t="str">
        <f>IF($A155="","",VLOOKUP($A155,기본데이타!$A$8:$BV$103,COLUMN(기본데이타!AS$8),0))</f>
        <v/>
      </c>
      <c r="AP155" s="636" t="str">
        <f>IF($A155="","",VLOOKUP($A155,기본데이타!$A$8:$BV$103,COLUMN(기본데이타!AT$8),0))</f>
        <v/>
      </c>
      <c r="AQ155" s="636" t="str">
        <f>IF($A155="","",VLOOKUP($A155,기본데이타!$A$8:$BV$103,COLUMN(기본데이타!AU$8),0))</f>
        <v/>
      </c>
      <c r="AR155" s="637" t="str">
        <f>IF($A155="","",VLOOKUP($A155,기본데이타!$A$8:$BV$103,COLUMN(기본데이타!AV$8),0))</f>
        <v/>
      </c>
      <c r="AS155" s="634" t="str">
        <f>IF($A155="","",VLOOKUP($A155,기본데이타!$A$8:$BV$103,COLUMN(기본데이타!AW$8),0))</f>
        <v/>
      </c>
      <c r="AT155" s="634" t="str">
        <f>IF($A155="","",VLOOKUP($A155,기본데이타!$A$8:$BV$103,COLUMN(기본데이타!AX$8),0))</f>
        <v/>
      </c>
      <c r="AU155" s="634" t="str">
        <f>IF($A155="","",VLOOKUP($A155,기본데이타!$A$8:$BV$103,COLUMN(기본데이타!AY$8),0))</f>
        <v/>
      </c>
      <c r="AV155" s="634" t="str">
        <f t="shared" si="22"/>
        <v/>
      </c>
      <c r="AW155" s="635" t="str">
        <f>IF($A155="","",VLOOKUP($A155,기본데이타!$A$8:$BV$103,COLUMN(기본데이타!BA$8),0))</f>
        <v/>
      </c>
      <c r="AX155" s="635" t="str">
        <f>IF($A155="","",VLOOKUP($A155,기본데이타!$A$8:$BV$103,COLUMN(기본데이타!BB$8),0))</f>
        <v/>
      </c>
      <c r="AY155" s="635" t="str">
        <f>IF($A155="","",VLOOKUP($A155,기본데이타!$A$8:$BV$103,COLUMN(기본데이타!BC$8),0))</f>
        <v/>
      </c>
      <c r="AZ155" s="635" t="str">
        <f>IF($A155="","",VLOOKUP($A155,기본데이타!$A$8:$BV$103,COLUMN(기본데이타!BD$8),0))</f>
        <v/>
      </c>
      <c r="BA155" s="635" t="str">
        <f>IF($A155="","",VLOOKUP($A155,기본데이타!$A$8:$BV$103,COLUMN(기본데이타!BE$8),0))</f>
        <v/>
      </c>
      <c r="BB155" s="635" t="str">
        <f>IF($A155="","",VLOOKUP($A155,기본데이타!$A$8:$BV$103,COLUMN(기본데이타!BF$8),0))</f>
        <v/>
      </c>
      <c r="BC155" s="635" t="str">
        <f>IF($A155="","",VLOOKUP($A155,기본데이타!$A$8:$BV$103,COLUMN(기본데이타!BG$8),0))</f>
        <v/>
      </c>
      <c r="BD155" s="635" t="str">
        <f>IF($A155="","",VLOOKUP($A155,기본데이타!$A$8:$BV$103,COLUMN(기본데이타!BH$8),0))</f>
        <v/>
      </c>
      <c r="BE155" s="635" t="str">
        <f>IF($A155="","",VLOOKUP($A155,기본데이타!$A$8:$BV$103,COLUMN(기본데이타!BI$8),0))</f>
        <v/>
      </c>
      <c r="BF155" s="635" t="str">
        <f>IF($A155="","",VLOOKUP($A155,기본데이타!$A$8:$BV$103,COLUMN(기본데이타!BJ$8),0))</f>
        <v/>
      </c>
      <c r="BG155" s="635" t="str">
        <f>IF($A155="","",VLOOKUP($A155,기본데이타!$A$8:$BV$103,COLUMN(기본데이타!BK$8),0))</f>
        <v/>
      </c>
      <c r="BH155" s="635" t="str">
        <f>IF($A155="","",VLOOKUP($A155,기본데이타!$A$8:$BV$103,COLUMN(기본데이타!BL$8),0))</f>
        <v/>
      </c>
      <c r="BI155" s="635" t="str">
        <f>IF($A155="","",VLOOKUP($A155,기본데이타!$A$8:$BV$103,COLUMN(기본데이타!BM$8),0))</f>
        <v/>
      </c>
      <c r="BJ155" s="635" t="str">
        <f>IF($A155="","",VLOOKUP($A155,기본데이타!$A$8:$BV$103,COLUMN(기본데이타!BN$8),0))</f>
        <v/>
      </c>
      <c r="BK155" s="635" t="str">
        <f>IF($A155="","",VLOOKUP($A155,기본데이타!$A$8:$BV$103,COLUMN(기본데이타!BO$8),0))</f>
        <v/>
      </c>
      <c r="BL155" s="635" t="str">
        <f>IF($A155="","",VLOOKUP($A155,기본데이타!$A$8:$BV$103,COLUMN(기본데이타!BP$8),0))</f>
        <v/>
      </c>
      <c r="BM155" s="635" t="str">
        <f>IF($A155="","",VLOOKUP($A155,기본데이타!$A$8:$BV$103,COLUMN(기본데이타!BQ$8),0))</f>
        <v/>
      </c>
      <c r="BN155" s="638" t="str">
        <f>IF($A155="","",VLOOKUP($A155,기본데이타!$A$8:$BV$103,COLUMN(기본데이타!BR$8),0))</f>
        <v/>
      </c>
      <c r="BO155" s="579" t="str">
        <f>IF($A155="","",VLOOKUP($A155,기본데이타!$A$8:$BV$103,COLUMN(기본데이타!BS$8),0))</f>
        <v/>
      </c>
      <c r="BP155" s="639" t="str">
        <f>IF($A155="","",VLOOKUP($A155,기본데이타!$A$8:$BV$103,COLUMN(기본데이타!BT$8),0))</f>
        <v/>
      </c>
      <c r="BQ155" s="640" t="str">
        <f>IF($A155="","",VLOOKUP($A155,기본데이타!$A$8:$BV$103,COLUMN(기본데이타!BU$8),0))</f>
        <v/>
      </c>
      <c r="BR155" s="625" t="str">
        <f t="shared" si="23"/>
        <v/>
      </c>
    </row>
    <row r="156" spans="1:70" s="571" customFormat="1" ht="61.5" hidden="1" customHeight="1">
      <c r="A156" s="578"/>
      <c r="B156" s="1642"/>
      <c r="C156" s="590"/>
      <c r="D156" s="673" t="str">
        <f>IF($A156="","",VLOOKUP($A156,기본데이타!$A$8:$BV$103,COLUMN(기본데이타!F$8),0))</f>
        <v/>
      </c>
      <c r="E156" s="630" t="str">
        <f>IF($A156="","",VLOOKUP($A156,기본데이타!$A$8:$BV$103,COLUMN(기본데이타!G$8),0))</f>
        <v/>
      </c>
      <c r="F156" s="631" t="str">
        <f>IF($A156="","",VLOOKUP($A156,기본데이타!$A$8:$BV$103,COLUMN(기본데이타!H$8),0))</f>
        <v/>
      </c>
      <c r="G156" s="632" t="str">
        <f>IF($A156="","",VLOOKUP($A156,기본데이타!$A$8:$BV$103,COLUMN(기본데이타!I$8),0))</f>
        <v/>
      </c>
      <c r="H156" s="632" t="str">
        <f>IF($A156="","",VLOOKUP($A156,기본데이타!$A$8:$BV$103,COLUMN(기본데이타!J$8),0))</f>
        <v/>
      </c>
      <c r="I156" s="633" t="str">
        <f>IF($A156="","",VLOOKUP($A156,기본데이타!$A$8:$BV$103,COLUMN(기본데이타!K$8),0))</f>
        <v/>
      </c>
      <c r="J156" s="633" t="str">
        <f>IF($A156="","",VLOOKUP($A156,기본데이타!$A$8:$BV$103,COLUMN(기본데이타!L$8),0))</f>
        <v/>
      </c>
      <c r="K156" s="633" t="str">
        <f>IF($A156="","",VLOOKUP($A156,기본데이타!$A$8:$BV$103,COLUMN(기본데이타!M$8),0))</f>
        <v/>
      </c>
      <c r="L156" s="634" t="str">
        <f>IF($A156="","",VLOOKUP($A156,기본데이타!$A$8:$BV$103,COLUMN(기본데이타!N$8),0))</f>
        <v/>
      </c>
      <c r="M156" s="633" t="str">
        <f>IF($A156="","",VLOOKUP($A156,기본데이타!$A$8:$BV$103,COLUMN(기본데이타!O$8),0))</f>
        <v/>
      </c>
      <c r="N156" s="634" t="str">
        <f>IF($A156="","",VLOOKUP($A156,기본데이타!$A$8:$BV$103,COLUMN(기본데이타!P$8),0))</f>
        <v/>
      </c>
      <c r="O156" s="634" t="str">
        <f>IF($A156="","",VLOOKUP($A156,기본데이타!$A$8:$BV$103,COLUMN(기본데이타!Q$8),0))</f>
        <v/>
      </c>
      <c r="P156" s="634" t="str">
        <f>IF($A156="","",VLOOKUP($A156,기본데이타!$A$8:$BV$103,COLUMN(기본데이타!R$8),0))</f>
        <v/>
      </c>
      <c r="Q156" s="634" t="str">
        <f>IF($A156="","",VLOOKUP($A156,기본데이타!$A$8:$BV$103,COLUMN(기본데이타!S$8),0))</f>
        <v/>
      </c>
      <c r="R156" s="634" t="str">
        <f>IF($A156="","",VLOOKUP($A156,기본데이타!$A$8:$BV$103,COLUMN(기본데이타!T$8),0))</f>
        <v/>
      </c>
      <c r="S156" s="634" t="str">
        <f>IF($A156="","",VLOOKUP($A156,기본데이타!$A$8:$BV$103,COLUMN(기본데이타!U$8),0))</f>
        <v/>
      </c>
      <c r="T156" s="634" t="str">
        <f>IF($A156="","",VLOOKUP($A156,기본데이타!$A$8:$BV$103,COLUMN(기본데이타!V$8),0))</f>
        <v/>
      </c>
      <c r="U156" s="634" t="str">
        <f>IF($A156="","",VLOOKUP($A156,기본데이타!$A$8:$BV$103,COLUMN(기본데이타!W$8),0))</f>
        <v/>
      </c>
      <c r="V156" s="634" t="str">
        <f>IF($A156="","",VLOOKUP($A156,기본데이타!$A$8:$BV$103,COLUMN(기본데이타!X$8),0))</f>
        <v/>
      </c>
      <c r="W156" s="634" t="str">
        <f>IF($A156="","",VLOOKUP($A156,기본데이타!$A$8:$BV$103,COLUMN(기본데이타!AA$8),0))</f>
        <v/>
      </c>
      <c r="X156" s="634" t="str">
        <f>IF($A156="","",VLOOKUP($A156,기본데이타!$A$8:$BV$103,COLUMN(기본데이타!AB$8),0))</f>
        <v/>
      </c>
      <c r="Y156" s="633" t="str">
        <f>IF($A156="","",VLOOKUP($A156,기본데이타!$A$8:$BV$103,COLUMN(기본데이타!AC$8),0))</f>
        <v/>
      </c>
      <c r="Z156" s="634" t="str">
        <f>IF($A156="","",VLOOKUP($A156,기본데이타!$A$8:$BV$103,COLUMN(기본데이타!AD$8),0))</f>
        <v/>
      </c>
      <c r="AA156" s="633" t="str">
        <f>IF($A156="","",VLOOKUP($A156,기본데이타!$A$8:$BV$103,COLUMN(기본데이타!AE$8),0))</f>
        <v/>
      </c>
      <c r="AB156" s="634" t="str">
        <f>IF($A156="","",VLOOKUP($A156,기본데이타!$A$8:$BV$103,COLUMN(기본데이타!AF$8),0))</f>
        <v/>
      </c>
      <c r="AC156" s="633" t="str">
        <f>IF($A156="","",VLOOKUP($A156,기본데이타!$A$8:$BV$103,COLUMN(기본데이타!AG$8),0))</f>
        <v/>
      </c>
      <c r="AD156" s="634" t="str">
        <f>IF($A156="","",VLOOKUP($A156,기본데이타!$A$8:$BV$103,COLUMN(기본데이타!AH$8),0))</f>
        <v/>
      </c>
      <c r="AE156" s="633" t="str">
        <f>IF($A156="","",VLOOKUP($A156,기본데이타!$A$8:$BV$103,COLUMN(기본데이타!AI$8),0))</f>
        <v/>
      </c>
      <c r="AF156" s="635" t="str">
        <f>IF($A156="","",VLOOKUP($A156,기본데이타!$A$8:$BV$103,COLUMN(기본데이타!AJ$8),0))</f>
        <v/>
      </c>
      <c r="AG156" s="580" t="str">
        <f>IF($A156="","",VLOOKUP($A156,기본데이타!$A$8:$BV$103,COLUMN(기본데이타!AK$8),0))</f>
        <v/>
      </c>
      <c r="AH156" s="580" t="str">
        <f>IF($A156="","",VLOOKUP($A156,기본데이타!$A$8:$BV$103,COLUMN(기본데이타!AL$8),0))</f>
        <v/>
      </c>
      <c r="AI156" s="580" t="str">
        <f>IF($A156="","",VLOOKUP($A156,기본데이타!$A$8:$BV$103,COLUMN(기본데이타!AM$8),0))</f>
        <v/>
      </c>
      <c r="AJ156" s="636" t="str">
        <f>IF($A156="","",VLOOKUP($A156,기본데이타!$A$8:$BV$103,COLUMN(기본데이타!AN$8),0))</f>
        <v/>
      </c>
      <c r="AK156" s="636" t="str">
        <f>IF($A156="","",VLOOKUP($A156,기본데이타!$A$8:$BV$103,COLUMN(기본데이타!AO$8),0))</f>
        <v/>
      </c>
      <c r="AL156" s="636" t="str">
        <f>IF($A156="","",VLOOKUP($A156,기본데이타!$A$8:$BV$103,COLUMN(기본데이타!AP$8),0))</f>
        <v/>
      </c>
      <c r="AM156" s="636" t="str">
        <f>IF($A156="","",VLOOKUP($A156,기본데이타!$A$8:$BV$103,COLUMN(기본데이타!AQ$8),0))</f>
        <v/>
      </c>
      <c r="AN156" s="636" t="str">
        <f>IF($A156="","",VLOOKUP($A156,기본데이타!$A$8:$BV$103,COLUMN(기본데이타!AR$8),0))</f>
        <v/>
      </c>
      <c r="AO156" s="636" t="str">
        <f>IF($A156="","",VLOOKUP($A156,기본데이타!$A$8:$BV$103,COLUMN(기본데이타!AS$8),0))</f>
        <v/>
      </c>
      <c r="AP156" s="636" t="str">
        <f>IF($A156="","",VLOOKUP($A156,기본데이타!$A$8:$BV$103,COLUMN(기본데이타!AT$8),0))</f>
        <v/>
      </c>
      <c r="AQ156" s="636" t="str">
        <f>IF($A156="","",VLOOKUP($A156,기본데이타!$A$8:$BV$103,COLUMN(기본데이타!AU$8),0))</f>
        <v/>
      </c>
      <c r="AR156" s="637" t="str">
        <f>IF($A156="","",VLOOKUP($A156,기본데이타!$A$8:$BV$103,COLUMN(기본데이타!AV$8),0))</f>
        <v/>
      </c>
      <c r="AS156" s="634" t="str">
        <f>IF($A156="","",VLOOKUP($A156,기본데이타!$A$8:$BV$103,COLUMN(기본데이타!AW$8),0))</f>
        <v/>
      </c>
      <c r="AT156" s="634" t="str">
        <f>IF($A156="","",VLOOKUP($A156,기본데이타!$A$8:$BV$103,COLUMN(기본데이타!AX$8),0))</f>
        <v/>
      </c>
      <c r="AU156" s="634" t="str">
        <f>IF($A156="","",VLOOKUP($A156,기본데이타!$A$8:$BV$103,COLUMN(기본데이타!AY$8),0))</f>
        <v/>
      </c>
      <c r="AV156" s="634" t="str">
        <f t="shared" si="22"/>
        <v/>
      </c>
      <c r="AW156" s="635" t="str">
        <f>IF($A156="","",VLOOKUP($A156,기본데이타!$A$8:$BV$103,COLUMN(기본데이타!BA$8),0))</f>
        <v/>
      </c>
      <c r="AX156" s="635" t="str">
        <f>IF($A156="","",VLOOKUP($A156,기본데이타!$A$8:$BV$103,COLUMN(기본데이타!BB$8),0))</f>
        <v/>
      </c>
      <c r="AY156" s="635" t="str">
        <f>IF($A156="","",VLOOKUP($A156,기본데이타!$A$8:$BV$103,COLUMN(기본데이타!BC$8),0))</f>
        <v/>
      </c>
      <c r="AZ156" s="635" t="str">
        <f>IF($A156="","",VLOOKUP($A156,기본데이타!$A$8:$BV$103,COLUMN(기본데이타!BD$8),0))</f>
        <v/>
      </c>
      <c r="BA156" s="635" t="str">
        <f>IF($A156="","",VLOOKUP($A156,기본데이타!$A$8:$BV$103,COLUMN(기본데이타!BE$8),0))</f>
        <v/>
      </c>
      <c r="BB156" s="635" t="str">
        <f>IF($A156="","",VLOOKUP($A156,기본데이타!$A$8:$BV$103,COLUMN(기본데이타!BF$8),0))</f>
        <v/>
      </c>
      <c r="BC156" s="635" t="str">
        <f>IF($A156="","",VLOOKUP($A156,기본데이타!$A$8:$BV$103,COLUMN(기본데이타!BG$8),0))</f>
        <v/>
      </c>
      <c r="BD156" s="635" t="str">
        <f>IF($A156="","",VLOOKUP($A156,기본데이타!$A$8:$BV$103,COLUMN(기본데이타!BH$8),0))</f>
        <v/>
      </c>
      <c r="BE156" s="635" t="str">
        <f>IF($A156="","",VLOOKUP($A156,기본데이타!$A$8:$BV$103,COLUMN(기본데이타!BI$8),0))</f>
        <v/>
      </c>
      <c r="BF156" s="635" t="str">
        <f>IF($A156="","",VLOOKUP($A156,기본데이타!$A$8:$BV$103,COLUMN(기본데이타!BJ$8),0))</f>
        <v/>
      </c>
      <c r="BG156" s="635" t="str">
        <f>IF($A156="","",VLOOKUP($A156,기본데이타!$A$8:$BV$103,COLUMN(기본데이타!BK$8),0))</f>
        <v/>
      </c>
      <c r="BH156" s="635" t="str">
        <f>IF($A156="","",VLOOKUP($A156,기본데이타!$A$8:$BV$103,COLUMN(기본데이타!BL$8),0))</f>
        <v/>
      </c>
      <c r="BI156" s="635" t="str">
        <f>IF($A156="","",VLOOKUP($A156,기본데이타!$A$8:$BV$103,COLUMN(기본데이타!BM$8),0))</f>
        <v/>
      </c>
      <c r="BJ156" s="635" t="str">
        <f>IF($A156="","",VLOOKUP($A156,기본데이타!$A$8:$BV$103,COLUMN(기본데이타!BN$8),0))</f>
        <v/>
      </c>
      <c r="BK156" s="635" t="str">
        <f>IF($A156="","",VLOOKUP($A156,기본데이타!$A$8:$BV$103,COLUMN(기본데이타!BO$8),0))</f>
        <v/>
      </c>
      <c r="BL156" s="635" t="str">
        <f>IF($A156="","",VLOOKUP($A156,기본데이타!$A$8:$BV$103,COLUMN(기본데이타!BP$8),0))</f>
        <v/>
      </c>
      <c r="BM156" s="635" t="str">
        <f>IF($A156="","",VLOOKUP($A156,기본데이타!$A$8:$BV$103,COLUMN(기본데이타!BQ$8),0))</f>
        <v/>
      </c>
      <c r="BN156" s="638" t="str">
        <f>IF($A156="","",VLOOKUP($A156,기본데이타!$A$8:$BV$103,COLUMN(기본데이타!BR$8),0))</f>
        <v/>
      </c>
      <c r="BO156" s="579" t="str">
        <f>IF($A156="","",VLOOKUP($A156,기본데이타!$A$8:$BV$103,COLUMN(기본데이타!BS$8),0))</f>
        <v/>
      </c>
      <c r="BP156" s="639" t="str">
        <f>IF($A156="","",VLOOKUP($A156,기본데이타!$A$8:$BV$103,COLUMN(기본데이타!BT$8),0))</f>
        <v/>
      </c>
      <c r="BQ156" s="640" t="str">
        <f>IF($A156="","",VLOOKUP($A156,기본데이타!$A$8:$BV$103,COLUMN(기본데이타!BU$8),0))</f>
        <v/>
      </c>
      <c r="BR156" s="625" t="str">
        <f t="shared" si="23"/>
        <v/>
      </c>
    </row>
    <row r="157" spans="1:70" s="571" customFormat="1" ht="61.5" hidden="1" customHeight="1">
      <c r="A157" s="578"/>
      <c r="B157" s="1642"/>
      <c r="C157" s="590"/>
      <c r="D157" s="673" t="str">
        <f>IF($A157="","",VLOOKUP($A157,기본데이타!$A$8:$BV$103,COLUMN(기본데이타!F$8),0))</f>
        <v/>
      </c>
      <c r="E157" s="630" t="str">
        <f>IF($A157="","",VLOOKUP($A157,기본데이타!$A$8:$BV$103,COLUMN(기본데이타!G$8),0))</f>
        <v/>
      </c>
      <c r="F157" s="631" t="str">
        <f>IF($A157="","",VLOOKUP($A157,기본데이타!$A$8:$BV$103,COLUMN(기본데이타!H$8),0))</f>
        <v/>
      </c>
      <c r="G157" s="632" t="str">
        <f>IF($A157="","",VLOOKUP($A157,기본데이타!$A$8:$BV$103,COLUMN(기본데이타!I$8),0))</f>
        <v/>
      </c>
      <c r="H157" s="632" t="str">
        <f>IF($A157="","",VLOOKUP($A157,기본데이타!$A$8:$BV$103,COLUMN(기본데이타!J$8),0))</f>
        <v/>
      </c>
      <c r="I157" s="633" t="str">
        <f>IF($A157="","",VLOOKUP($A157,기본데이타!$A$8:$BV$103,COLUMN(기본데이타!K$8),0))</f>
        <v/>
      </c>
      <c r="J157" s="633" t="str">
        <f>IF($A157="","",VLOOKUP($A157,기본데이타!$A$8:$BV$103,COLUMN(기본데이타!L$8),0))</f>
        <v/>
      </c>
      <c r="K157" s="633" t="str">
        <f>IF($A157="","",VLOOKUP($A157,기본데이타!$A$8:$BV$103,COLUMN(기본데이타!M$8),0))</f>
        <v/>
      </c>
      <c r="L157" s="634" t="str">
        <f>IF($A157="","",VLOOKUP($A157,기본데이타!$A$8:$BV$103,COLUMN(기본데이타!N$8),0))</f>
        <v/>
      </c>
      <c r="M157" s="633" t="str">
        <f>IF($A157="","",VLOOKUP($A157,기본데이타!$A$8:$BV$103,COLUMN(기본데이타!O$8),0))</f>
        <v/>
      </c>
      <c r="N157" s="634" t="str">
        <f>IF($A157="","",VLOOKUP($A157,기본데이타!$A$8:$BV$103,COLUMN(기본데이타!P$8),0))</f>
        <v/>
      </c>
      <c r="O157" s="634" t="str">
        <f>IF($A157="","",VLOOKUP($A157,기본데이타!$A$8:$BV$103,COLUMN(기본데이타!Q$8),0))</f>
        <v/>
      </c>
      <c r="P157" s="634" t="str">
        <f>IF($A157="","",VLOOKUP($A157,기본데이타!$A$8:$BV$103,COLUMN(기본데이타!R$8),0))</f>
        <v/>
      </c>
      <c r="Q157" s="634" t="str">
        <f>IF($A157="","",VLOOKUP($A157,기본데이타!$A$8:$BV$103,COLUMN(기본데이타!S$8),0))</f>
        <v/>
      </c>
      <c r="R157" s="634" t="str">
        <f>IF($A157="","",VLOOKUP($A157,기본데이타!$A$8:$BV$103,COLUMN(기본데이타!T$8),0))</f>
        <v/>
      </c>
      <c r="S157" s="634" t="str">
        <f>IF($A157="","",VLOOKUP($A157,기본데이타!$A$8:$BV$103,COLUMN(기본데이타!U$8),0))</f>
        <v/>
      </c>
      <c r="T157" s="634" t="str">
        <f>IF($A157="","",VLOOKUP($A157,기본데이타!$A$8:$BV$103,COLUMN(기본데이타!V$8),0))</f>
        <v/>
      </c>
      <c r="U157" s="634" t="str">
        <f>IF($A157="","",VLOOKUP($A157,기본데이타!$A$8:$BV$103,COLUMN(기본데이타!W$8),0))</f>
        <v/>
      </c>
      <c r="V157" s="634" t="str">
        <f>IF($A157="","",VLOOKUP($A157,기본데이타!$A$8:$BV$103,COLUMN(기본데이타!X$8),0))</f>
        <v/>
      </c>
      <c r="W157" s="634" t="str">
        <f>IF($A157="","",VLOOKUP($A157,기본데이타!$A$8:$BV$103,COLUMN(기본데이타!AA$8),0))</f>
        <v/>
      </c>
      <c r="X157" s="634" t="str">
        <f>IF($A157="","",VLOOKUP($A157,기본데이타!$A$8:$BV$103,COLUMN(기본데이타!AB$8),0))</f>
        <v/>
      </c>
      <c r="Y157" s="633" t="str">
        <f>IF($A157="","",VLOOKUP($A157,기본데이타!$A$8:$BV$103,COLUMN(기본데이타!AC$8),0))</f>
        <v/>
      </c>
      <c r="Z157" s="634" t="str">
        <f>IF($A157="","",VLOOKUP($A157,기본데이타!$A$8:$BV$103,COLUMN(기본데이타!AD$8),0))</f>
        <v/>
      </c>
      <c r="AA157" s="633" t="str">
        <f>IF($A157="","",VLOOKUP($A157,기본데이타!$A$8:$BV$103,COLUMN(기본데이타!AE$8),0))</f>
        <v/>
      </c>
      <c r="AB157" s="634" t="str">
        <f>IF($A157="","",VLOOKUP($A157,기본데이타!$A$8:$BV$103,COLUMN(기본데이타!AF$8),0))</f>
        <v/>
      </c>
      <c r="AC157" s="633" t="str">
        <f>IF($A157="","",VLOOKUP($A157,기본데이타!$A$8:$BV$103,COLUMN(기본데이타!AG$8),0))</f>
        <v/>
      </c>
      <c r="AD157" s="634" t="str">
        <f>IF($A157="","",VLOOKUP($A157,기본데이타!$A$8:$BV$103,COLUMN(기본데이타!AH$8),0))</f>
        <v/>
      </c>
      <c r="AE157" s="633" t="str">
        <f>IF($A157="","",VLOOKUP($A157,기본데이타!$A$8:$BV$103,COLUMN(기본데이타!AI$8),0))</f>
        <v/>
      </c>
      <c r="AF157" s="635" t="str">
        <f>IF($A157="","",VLOOKUP($A157,기본데이타!$A$8:$BV$103,COLUMN(기본데이타!AJ$8),0))</f>
        <v/>
      </c>
      <c r="AG157" s="580" t="str">
        <f>IF($A157="","",VLOOKUP($A157,기본데이타!$A$8:$BV$103,COLUMN(기본데이타!AK$8),0))</f>
        <v/>
      </c>
      <c r="AH157" s="580" t="str">
        <f>IF($A157="","",VLOOKUP($A157,기본데이타!$A$8:$BV$103,COLUMN(기본데이타!AL$8),0))</f>
        <v/>
      </c>
      <c r="AI157" s="580" t="str">
        <f>IF($A157="","",VLOOKUP($A157,기본데이타!$A$8:$BV$103,COLUMN(기본데이타!AM$8),0))</f>
        <v/>
      </c>
      <c r="AJ157" s="636" t="str">
        <f>IF($A157="","",VLOOKUP($A157,기본데이타!$A$8:$BV$103,COLUMN(기본데이타!AN$8),0))</f>
        <v/>
      </c>
      <c r="AK157" s="636" t="str">
        <f>IF($A157="","",VLOOKUP($A157,기본데이타!$A$8:$BV$103,COLUMN(기본데이타!AO$8),0))</f>
        <v/>
      </c>
      <c r="AL157" s="636" t="str">
        <f>IF($A157="","",VLOOKUP($A157,기본데이타!$A$8:$BV$103,COLUMN(기본데이타!AP$8),0))</f>
        <v/>
      </c>
      <c r="AM157" s="636" t="str">
        <f>IF($A157="","",VLOOKUP($A157,기본데이타!$A$8:$BV$103,COLUMN(기본데이타!AQ$8),0))</f>
        <v/>
      </c>
      <c r="AN157" s="636" t="str">
        <f>IF($A157="","",VLOOKUP($A157,기본데이타!$A$8:$BV$103,COLUMN(기본데이타!AR$8),0))</f>
        <v/>
      </c>
      <c r="AO157" s="636" t="str">
        <f>IF($A157="","",VLOOKUP($A157,기본데이타!$A$8:$BV$103,COLUMN(기본데이타!AS$8),0))</f>
        <v/>
      </c>
      <c r="AP157" s="636" t="str">
        <f>IF($A157="","",VLOOKUP($A157,기본데이타!$A$8:$BV$103,COLUMN(기본데이타!AT$8),0))</f>
        <v/>
      </c>
      <c r="AQ157" s="636" t="str">
        <f>IF($A157="","",VLOOKUP($A157,기본데이타!$A$8:$BV$103,COLUMN(기본데이타!AU$8),0))</f>
        <v/>
      </c>
      <c r="AR157" s="637" t="str">
        <f>IF($A157="","",VLOOKUP($A157,기본데이타!$A$8:$BV$103,COLUMN(기본데이타!AV$8),0))</f>
        <v/>
      </c>
      <c r="AS157" s="634" t="str">
        <f>IF($A157="","",VLOOKUP($A157,기본데이타!$A$8:$BV$103,COLUMN(기본데이타!AW$8),0))</f>
        <v/>
      </c>
      <c r="AT157" s="634" t="str">
        <f>IF($A157="","",VLOOKUP($A157,기본데이타!$A$8:$BV$103,COLUMN(기본데이타!AX$8),0))</f>
        <v/>
      </c>
      <c r="AU157" s="634" t="str">
        <f>IF($A157="","",VLOOKUP($A157,기본데이타!$A$8:$BV$103,COLUMN(기본데이타!AY$8),0))</f>
        <v/>
      </c>
      <c r="AV157" s="634" t="str">
        <f t="shared" si="22"/>
        <v/>
      </c>
      <c r="AW157" s="635" t="str">
        <f>IF($A157="","",VLOOKUP($A157,기본데이타!$A$8:$BV$103,COLUMN(기본데이타!BA$8),0))</f>
        <v/>
      </c>
      <c r="AX157" s="635" t="str">
        <f>IF($A157="","",VLOOKUP($A157,기본데이타!$A$8:$BV$103,COLUMN(기본데이타!BB$8),0))</f>
        <v/>
      </c>
      <c r="AY157" s="635" t="str">
        <f>IF($A157="","",VLOOKUP($A157,기본데이타!$A$8:$BV$103,COLUMN(기본데이타!BC$8),0))</f>
        <v/>
      </c>
      <c r="AZ157" s="635" t="str">
        <f>IF($A157="","",VLOOKUP($A157,기본데이타!$A$8:$BV$103,COLUMN(기본데이타!BD$8),0))</f>
        <v/>
      </c>
      <c r="BA157" s="635" t="str">
        <f>IF($A157="","",VLOOKUP($A157,기본데이타!$A$8:$BV$103,COLUMN(기본데이타!BE$8),0))</f>
        <v/>
      </c>
      <c r="BB157" s="635" t="str">
        <f>IF($A157="","",VLOOKUP($A157,기본데이타!$A$8:$BV$103,COLUMN(기본데이타!BF$8),0))</f>
        <v/>
      </c>
      <c r="BC157" s="635" t="str">
        <f>IF($A157="","",VLOOKUP($A157,기본데이타!$A$8:$BV$103,COLUMN(기본데이타!BG$8),0))</f>
        <v/>
      </c>
      <c r="BD157" s="635" t="str">
        <f>IF($A157="","",VLOOKUP($A157,기본데이타!$A$8:$BV$103,COLUMN(기본데이타!BH$8),0))</f>
        <v/>
      </c>
      <c r="BE157" s="635" t="str">
        <f>IF($A157="","",VLOOKUP($A157,기본데이타!$A$8:$BV$103,COLUMN(기본데이타!BI$8),0))</f>
        <v/>
      </c>
      <c r="BF157" s="635" t="str">
        <f>IF($A157="","",VLOOKUP($A157,기본데이타!$A$8:$BV$103,COLUMN(기본데이타!BJ$8),0))</f>
        <v/>
      </c>
      <c r="BG157" s="635" t="str">
        <f>IF($A157="","",VLOOKUP($A157,기본데이타!$A$8:$BV$103,COLUMN(기본데이타!BK$8),0))</f>
        <v/>
      </c>
      <c r="BH157" s="635" t="str">
        <f>IF($A157="","",VLOOKUP($A157,기본데이타!$A$8:$BV$103,COLUMN(기본데이타!BL$8),0))</f>
        <v/>
      </c>
      <c r="BI157" s="635" t="str">
        <f>IF($A157="","",VLOOKUP($A157,기본데이타!$A$8:$BV$103,COLUMN(기본데이타!BM$8),0))</f>
        <v/>
      </c>
      <c r="BJ157" s="635" t="str">
        <f>IF($A157="","",VLOOKUP($A157,기본데이타!$A$8:$BV$103,COLUMN(기본데이타!BN$8),0))</f>
        <v/>
      </c>
      <c r="BK157" s="635" t="str">
        <f>IF($A157="","",VLOOKUP($A157,기본데이타!$A$8:$BV$103,COLUMN(기본데이타!BO$8),0))</f>
        <v/>
      </c>
      <c r="BL157" s="635" t="str">
        <f>IF($A157="","",VLOOKUP($A157,기본데이타!$A$8:$BV$103,COLUMN(기본데이타!BP$8),0))</f>
        <v/>
      </c>
      <c r="BM157" s="635" t="str">
        <f>IF($A157="","",VLOOKUP($A157,기본데이타!$A$8:$BV$103,COLUMN(기본데이타!BQ$8),0))</f>
        <v/>
      </c>
      <c r="BN157" s="638" t="str">
        <f>IF($A157="","",VLOOKUP($A157,기본데이타!$A$8:$BV$103,COLUMN(기본데이타!BR$8),0))</f>
        <v/>
      </c>
      <c r="BO157" s="579" t="str">
        <f>IF($A157="","",VLOOKUP($A157,기본데이타!$A$8:$BV$103,COLUMN(기본데이타!BS$8),0))</f>
        <v/>
      </c>
      <c r="BP157" s="639" t="str">
        <f>IF($A157="","",VLOOKUP($A157,기본데이타!$A$8:$BV$103,COLUMN(기본데이타!BT$8),0))</f>
        <v/>
      </c>
      <c r="BQ157" s="640" t="str">
        <f>IF($A157="","",VLOOKUP($A157,기본데이타!$A$8:$BV$103,COLUMN(기본데이타!BU$8),0))</f>
        <v/>
      </c>
      <c r="BR157" s="625" t="str">
        <f t="shared" si="23"/>
        <v/>
      </c>
    </row>
    <row r="158" spans="1:70" s="571" customFormat="1" ht="61.5" hidden="1" customHeight="1">
      <c r="A158" s="578"/>
      <c r="B158" s="1642"/>
      <c r="C158" s="590"/>
      <c r="D158" s="673" t="str">
        <f>IF($A158="","",VLOOKUP($A158,기본데이타!$A$8:$BV$103,COLUMN(기본데이타!F$8),0))</f>
        <v/>
      </c>
      <c r="E158" s="630" t="str">
        <f>IF($A158="","",VLOOKUP($A158,기본데이타!$A$8:$BV$103,COLUMN(기본데이타!G$8),0))</f>
        <v/>
      </c>
      <c r="F158" s="631" t="str">
        <f>IF($A158="","",VLOOKUP($A158,기본데이타!$A$8:$BV$103,COLUMN(기본데이타!H$8),0))</f>
        <v/>
      </c>
      <c r="G158" s="632" t="str">
        <f>IF($A158="","",VLOOKUP($A158,기본데이타!$A$8:$BV$103,COLUMN(기본데이타!I$8),0))</f>
        <v/>
      </c>
      <c r="H158" s="632" t="str">
        <f>IF($A158="","",VLOOKUP($A158,기본데이타!$A$8:$BV$103,COLUMN(기본데이타!J$8),0))</f>
        <v/>
      </c>
      <c r="I158" s="633" t="str">
        <f>IF($A158="","",VLOOKUP($A158,기본데이타!$A$8:$BV$103,COLUMN(기본데이타!K$8),0))</f>
        <v/>
      </c>
      <c r="J158" s="633" t="str">
        <f>IF($A158="","",VLOOKUP($A158,기본데이타!$A$8:$BV$103,COLUMN(기본데이타!L$8),0))</f>
        <v/>
      </c>
      <c r="K158" s="633" t="str">
        <f>IF($A158="","",VLOOKUP($A158,기본데이타!$A$8:$BV$103,COLUMN(기본데이타!M$8),0))</f>
        <v/>
      </c>
      <c r="L158" s="634" t="str">
        <f>IF($A158="","",VLOOKUP($A158,기본데이타!$A$8:$BV$103,COLUMN(기본데이타!N$8),0))</f>
        <v/>
      </c>
      <c r="M158" s="633" t="str">
        <f>IF($A158="","",VLOOKUP($A158,기본데이타!$A$8:$BV$103,COLUMN(기본데이타!O$8),0))</f>
        <v/>
      </c>
      <c r="N158" s="634" t="str">
        <f>IF($A158="","",VLOOKUP($A158,기본데이타!$A$8:$BV$103,COLUMN(기본데이타!P$8),0))</f>
        <v/>
      </c>
      <c r="O158" s="634" t="str">
        <f>IF($A158="","",VLOOKUP($A158,기본데이타!$A$8:$BV$103,COLUMN(기본데이타!Q$8),0))</f>
        <v/>
      </c>
      <c r="P158" s="634" t="str">
        <f>IF($A158="","",VLOOKUP($A158,기본데이타!$A$8:$BV$103,COLUMN(기본데이타!R$8),0))</f>
        <v/>
      </c>
      <c r="Q158" s="634" t="str">
        <f>IF($A158="","",VLOOKUP($A158,기본데이타!$A$8:$BV$103,COLUMN(기본데이타!S$8),0))</f>
        <v/>
      </c>
      <c r="R158" s="634" t="str">
        <f>IF($A158="","",VLOOKUP($A158,기본데이타!$A$8:$BV$103,COLUMN(기본데이타!T$8),0))</f>
        <v/>
      </c>
      <c r="S158" s="634" t="str">
        <f>IF($A158="","",VLOOKUP($A158,기본데이타!$A$8:$BV$103,COLUMN(기본데이타!U$8),0))</f>
        <v/>
      </c>
      <c r="T158" s="634" t="str">
        <f>IF($A158="","",VLOOKUP($A158,기본데이타!$A$8:$BV$103,COLUMN(기본데이타!V$8),0))</f>
        <v/>
      </c>
      <c r="U158" s="634" t="str">
        <f>IF($A158="","",VLOOKUP($A158,기본데이타!$A$8:$BV$103,COLUMN(기본데이타!W$8),0))</f>
        <v/>
      </c>
      <c r="V158" s="634" t="str">
        <f>IF($A158="","",VLOOKUP($A158,기본데이타!$A$8:$BV$103,COLUMN(기본데이타!X$8),0))</f>
        <v/>
      </c>
      <c r="W158" s="634" t="str">
        <f>IF($A158="","",VLOOKUP($A158,기본데이타!$A$8:$BV$103,COLUMN(기본데이타!AA$8),0))</f>
        <v/>
      </c>
      <c r="X158" s="634" t="str">
        <f>IF($A158="","",VLOOKUP($A158,기본데이타!$A$8:$BV$103,COLUMN(기본데이타!AB$8),0))</f>
        <v/>
      </c>
      <c r="Y158" s="633" t="str">
        <f>IF($A158="","",VLOOKUP($A158,기본데이타!$A$8:$BV$103,COLUMN(기본데이타!AC$8),0))</f>
        <v/>
      </c>
      <c r="Z158" s="634" t="str">
        <f>IF($A158="","",VLOOKUP($A158,기본데이타!$A$8:$BV$103,COLUMN(기본데이타!AD$8),0))</f>
        <v/>
      </c>
      <c r="AA158" s="633" t="str">
        <f>IF($A158="","",VLOOKUP($A158,기본데이타!$A$8:$BV$103,COLUMN(기본데이타!AE$8),0))</f>
        <v/>
      </c>
      <c r="AB158" s="634" t="str">
        <f>IF($A158="","",VLOOKUP($A158,기본데이타!$A$8:$BV$103,COLUMN(기본데이타!AF$8),0))</f>
        <v/>
      </c>
      <c r="AC158" s="633" t="str">
        <f>IF($A158="","",VLOOKUP($A158,기본데이타!$A$8:$BV$103,COLUMN(기본데이타!AG$8),0))</f>
        <v/>
      </c>
      <c r="AD158" s="634" t="str">
        <f>IF($A158="","",VLOOKUP($A158,기본데이타!$A$8:$BV$103,COLUMN(기본데이타!AH$8),0))</f>
        <v/>
      </c>
      <c r="AE158" s="633" t="str">
        <f>IF($A158="","",VLOOKUP($A158,기본데이타!$A$8:$BV$103,COLUMN(기본데이타!AI$8),0))</f>
        <v/>
      </c>
      <c r="AF158" s="635" t="str">
        <f>IF($A158="","",VLOOKUP($A158,기본데이타!$A$8:$BV$103,COLUMN(기본데이타!AJ$8),0))</f>
        <v/>
      </c>
      <c r="AG158" s="580" t="str">
        <f>IF($A158="","",VLOOKUP($A158,기본데이타!$A$8:$BV$103,COLUMN(기본데이타!AK$8),0))</f>
        <v/>
      </c>
      <c r="AH158" s="580" t="str">
        <f>IF($A158="","",VLOOKUP($A158,기본데이타!$A$8:$BV$103,COLUMN(기본데이타!AL$8),0))</f>
        <v/>
      </c>
      <c r="AI158" s="580" t="str">
        <f>IF($A158="","",VLOOKUP($A158,기본데이타!$A$8:$BV$103,COLUMN(기본데이타!AM$8),0))</f>
        <v/>
      </c>
      <c r="AJ158" s="636" t="str">
        <f>IF($A158="","",VLOOKUP($A158,기본데이타!$A$8:$BV$103,COLUMN(기본데이타!AN$8),0))</f>
        <v/>
      </c>
      <c r="AK158" s="636" t="str">
        <f>IF($A158="","",VLOOKUP($A158,기본데이타!$A$8:$BV$103,COLUMN(기본데이타!AO$8),0))</f>
        <v/>
      </c>
      <c r="AL158" s="636" t="str">
        <f>IF($A158="","",VLOOKUP($A158,기본데이타!$A$8:$BV$103,COLUMN(기본데이타!AP$8),0))</f>
        <v/>
      </c>
      <c r="AM158" s="636" t="str">
        <f>IF($A158="","",VLOOKUP($A158,기본데이타!$A$8:$BV$103,COLUMN(기본데이타!AQ$8),0))</f>
        <v/>
      </c>
      <c r="AN158" s="636" t="str">
        <f>IF($A158="","",VLOOKUP($A158,기본데이타!$A$8:$BV$103,COLUMN(기본데이타!AR$8),0))</f>
        <v/>
      </c>
      <c r="AO158" s="636" t="str">
        <f>IF($A158="","",VLOOKUP($A158,기본데이타!$A$8:$BV$103,COLUMN(기본데이타!AS$8),0))</f>
        <v/>
      </c>
      <c r="AP158" s="636" t="str">
        <f>IF($A158="","",VLOOKUP($A158,기본데이타!$A$8:$BV$103,COLUMN(기본데이타!AT$8),0))</f>
        <v/>
      </c>
      <c r="AQ158" s="636" t="str">
        <f>IF($A158="","",VLOOKUP($A158,기본데이타!$A$8:$BV$103,COLUMN(기본데이타!AU$8),0))</f>
        <v/>
      </c>
      <c r="AR158" s="637" t="str">
        <f>IF($A158="","",VLOOKUP($A158,기본데이타!$A$8:$BV$103,COLUMN(기본데이타!AV$8),0))</f>
        <v/>
      </c>
      <c r="AS158" s="634" t="str">
        <f>IF($A158="","",VLOOKUP($A158,기본데이타!$A$8:$BV$103,COLUMN(기본데이타!AW$8),0))</f>
        <v/>
      </c>
      <c r="AT158" s="634" t="str">
        <f>IF($A158="","",VLOOKUP($A158,기본데이타!$A$8:$BV$103,COLUMN(기본데이타!AX$8),0))</f>
        <v/>
      </c>
      <c r="AU158" s="634" t="str">
        <f>IF($A158="","",VLOOKUP($A158,기본데이타!$A$8:$BV$103,COLUMN(기본데이타!AY$8),0))</f>
        <v/>
      </c>
      <c r="AV158" s="634" t="str">
        <f t="shared" ref="AV158:AV172" si="24">IF(AS158="","",SUM(AS158:AU158))</f>
        <v/>
      </c>
      <c r="AW158" s="635" t="str">
        <f>IF($A158="","",VLOOKUP($A158,기본데이타!$A$8:$BV$103,COLUMN(기본데이타!BA$8),0))</f>
        <v/>
      </c>
      <c r="AX158" s="635" t="str">
        <f>IF($A158="","",VLOOKUP($A158,기본데이타!$A$8:$BV$103,COLUMN(기본데이타!BB$8),0))</f>
        <v/>
      </c>
      <c r="AY158" s="635" t="str">
        <f>IF($A158="","",VLOOKUP($A158,기본데이타!$A$8:$BV$103,COLUMN(기본데이타!BC$8),0))</f>
        <v/>
      </c>
      <c r="AZ158" s="635" t="str">
        <f>IF($A158="","",VLOOKUP($A158,기본데이타!$A$8:$BV$103,COLUMN(기본데이타!BD$8),0))</f>
        <v/>
      </c>
      <c r="BA158" s="635" t="str">
        <f>IF($A158="","",VLOOKUP($A158,기본데이타!$A$8:$BV$103,COLUMN(기본데이타!BE$8),0))</f>
        <v/>
      </c>
      <c r="BB158" s="635" t="str">
        <f>IF($A158="","",VLOOKUP($A158,기본데이타!$A$8:$BV$103,COLUMN(기본데이타!BF$8),0))</f>
        <v/>
      </c>
      <c r="BC158" s="635" t="str">
        <f>IF($A158="","",VLOOKUP($A158,기본데이타!$A$8:$BV$103,COLUMN(기본데이타!BG$8),0))</f>
        <v/>
      </c>
      <c r="BD158" s="635" t="str">
        <f>IF($A158="","",VLOOKUP($A158,기본데이타!$A$8:$BV$103,COLUMN(기본데이타!BH$8),0))</f>
        <v/>
      </c>
      <c r="BE158" s="635" t="str">
        <f>IF($A158="","",VLOOKUP($A158,기본데이타!$A$8:$BV$103,COLUMN(기본데이타!BI$8),0))</f>
        <v/>
      </c>
      <c r="BF158" s="635" t="str">
        <f>IF($A158="","",VLOOKUP($A158,기본데이타!$A$8:$BV$103,COLUMN(기본데이타!BJ$8),0))</f>
        <v/>
      </c>
      <c r="BG158" s="635" t="str">
        <f>IF($A158="","",VLOOKUP($A158,기본데이타!$A$8:$BV$103,COLUMN(기본데이타!BK$8),0))</f>
        <v/>
      </c>
      <c r="BH158" s="635" t="str">
        <f>IF($A158="","",VLOOKUP($A158,기본데이타!$A$8:$BV$103,COLUMN(기본데이타!BL$8),0))</f>
        <v/>
      </c>
      <c r="BI158" s="635" t="str">
        <f>IF($A158="","",VLOOKUP($A158,기본데이타!$A$8:$BV$103,COLUMN(기본데이타!BM$8),0))</f>
        <v/>
      </c>
      <c r="BJ158" s="635" t="str">
        <f>IF($A158="","",VLOOKUP($A158,기본데이타!$A$8:$BV$103,COLUMN(기본데이타!BN$8),0))</f>
        <v/>
      </c>
      <c r="BK158" s="635" t="str">
        <f>IF($A158="","",VLOOKUP($A158,기본데이타!$A$8:$BV$103,COLUMN(기본데이타!BO$8),0))</f>
        <v/>
      </c>
      <c r="BL158" s="635" t="str">
        <f>IF($A158="","",VLOOKUP($A158,기본데이타!$A$8:$BV$103,COLUMN(기본데이타!BP$8),0))</f>
        <v/>
      </c>
      <c r="BM158" s="635" t="str">
        <f>IF($A158="","",VLOOKUP($A158,기본데이타!$A$8:$BV$103,COLUMN(기본데이타!BQ$8),0))</f>
        <v/>
      </c>
      <c r="BN158" s="638" t="str">
        <f>IF($A158="","",VLOOKUP($A158,기본데이타!$A$8:$BV$103,COLUMN(기본데이타!BR$8),0))</f>
        <v/>
      </c>
      <c r="BO158" s="579" t="str">
        <f>IF($A158="","",VLOOKUP($A158,기본데이타!$A$8:$BV$103,COLUMN(기본데이타!BS$8),0))</f>
        <v/>
      </c>
      <c r="BP158" s="639" t="str">
        <f>IF($A158="","",VLOOKUP($A158,기본데이타!$A$8:$BV$103,COLUMN(기본데이타!BT$8),0))</f>
        <v/>
      </c>
      <c r="BQ158" s="640" t="str">
        <f>IF($A158="","",VLOOKUP($A158,기본데이타!$A$8:$BV$103,COLUMN(기본데이타!BU$8),0))</f>
        <v/>
      </c>
      <c r="BR158" s="625" t="str">
        <f t="shared" ref="BR158:BR172" si="25">IF($A158="","",A158)</f>
        <v/>
      </c>
    </row>
    <row r="159" spans="1:70" s="571" customFormat="1" ht="61.5" hidden="1" customHeight="1">
      <c r="A159" s="578"/>
      <c r="B159" s="1642"/>
      <c r="C159" s="590"/>
      <c r="D159" s="673" t="str">
        <f>IF($A159="","",VLOOKUP($A159,기본데이타!$A$8:$BV$103,COLUMN(기본데이타!F$8),0))</f>
        <v/>
      </c>
      <c r="E159" s="630" t="str">
        <f>IF($A159="","",VLOOKUP($A159,기본데이타!$A$8:$BV$103,COLUMN(기본데이타!G$8),0))</f>
        <v/>
      </c>
      <c r="F159" s="631" t="str">
        <f>IF($A159="","",VLOOKUP($A159,기본데이타!$A$8:$BV$103,COLUMN(기본데이타!H$8),0))</f>
        <v/>
      </c>
      <c r="G159" s="632" t="str">
        <f>IF($A159="","",VLOOKUP($A159,기본데이타!$A$8:$BV$103,COLUMN(기본데이타!I$8),0))</f>
        <v/>
      </c>
      <c r="H159" s="632" t="str">
        <f>IF($A159="","",VLOOKUP($A159,기본데이타!$A$8:$BV$103,COLUMN(기본데이타!J$8),0))</f>
        <v/>
      </c>
      <c r="I159" s="633" t="str">
        <f>IF($A159="","",VLOOKUP($A159,기본데이타!$A$8:$BV$103,COLUMN(기본데이타!K$8),0))</f>
        <v/>
      </c>
      <c r="J159" s="633" t="str">
        <f>IF($A159="","",VLOOKUP($A159,기본데이타!$A$8:$BV$103,COLUMN(기본데이타!L$8),0))</f>
        <v/>
      </c>
      <c r="K159" s="633" t="str">
        <f>IF($A159="","",VLOOKUP($A159,기본데이타!$A$8:$BV$103,COLUMN(기본데이타!M$8),0))</f>
        <v/>
      </c>
      <c r="L159" s="634" t="str">
        <f>IF($A159="","",VLOOKUP($A159,기본데이타!$A$8:$BV$103,COLUMN(기본데이타!N$8),0))</f>
        <v/>
      </c>
      <c r="M159" s="633" t="str">
        <f>IF($A159="","",VLOOKUP($A159,기본데이타!$A$8:$BV$103,COLUMN(기본데이타!O$8),0))</f>
        <v/>
      </c>
      <c r="N159" s="634" t="str">
        <f>IF($A159="","",VLOOKUP($A159,기본데이타!$A$8:$BV$103,COLUMN(기본데이타!P$8),0))</f>
        <v/>
      </c>
      <c r="O159" s="634" t="str">
        <f>IF($A159="","",VLOOKUP($A159,기본데이타!$A$8:$BV$103,COLUMN(기본데이타!Q$8),0))</f>
        <v/>
      </c>
      <c r="P159" s="634" t="str">
        <f>IF($A159="","",VLOOKUP($A159,기본데이타!$A$8:$BV$103,COLUMN(기본데이타!R$8),0))</f>
        <v/>
      </c>
      <c r="Q159" s="634" t="str">
        <f>IF($A159="","",VLOOKUP($A159,기본데이타!$A$8:$BV$103,COLUMN(기본데이타!S$8),0))</f>
        <v/>
      </c>
      <c r="R159" s="634" t="str">
        <f>IF($A159="","",VLOOKUP($A159,기본데이타!$A$8:$BV$103,COLUMN(기본데이타!T$8),0))</f>
        <v/>
      </c>
      <c r="S159" s="634" t="str">
        <f>IF($A159="","",VLOOKUP($A159,기본데이타!$A$8:$BV$103,COLUMN(기본데이타!U$8),0))</f>
        <v/>
      </c>
      <c r="T159" s="634" t="str">
        <f>IF($A159="","",VLOOKUP($A159,기본데이타!$A$8:$BV$103,COLUMN(기본데이타!V$8),0))</f>
        <v/>
      </c>
      <c r="U159" s="634" t="str">
        <f>IF($A159="","",VLOOKUP($A159,기본데이타!$A$8:$BV$103,COLUMN(기본데이타!W$8),0))</f>
        <v/>
      </c>
      <c r="V159" s="634" t="str">
        <f>IF($A159="","",VLOOKUP($A159,기본데이타!$A$8:$BV$103,COLUMN(기본데이타!X$8),0))</f>
        <v/>
      </c>
      <c r="W159" s="634" t="str">
        <f>IF($A159="","",VLOOKUP($A159,기본데이타!$A$8:$BV$103,COLUMN(기본데이타!AA$8),0))</f>
        <v/>
      </c>
      <c r="X159" s="634" t="str">
        <f>IF($A159="","",VLOOKUP($A159,기본데이타!$A$8:$BV$103,COLUMN(기본데이타!AB$8),0))</f>
        <v/>
      </c>
      <c r="Y159" s="633" t="str">
        <f>IF($A159="","",VLOOKUP($A159,기본데이타!$A$8:$BV$103,COLUMN(기본데이타!AC$8),0))</f>
        <v/>
      </c>
      <c r="Z159" s="634" t="str">
        <f>IF($A159="","",VLOOKUP($A159,기본데이타!$A$8:$BV$103,COLUMN(기본데이타!AD$8),0))</f>
        <v/>
      </c>
      <c r="AA159" s="633" t="str">
        <f>IF($A159="","",VLOOKUP($A159,기본데이타!$A$8:$BV$103,COLUMN(기본데이타!AE$8),0))</f>
        <v/>
      </c>
      <c r="AB159" s="634" t="str">
        <f>IF($A159="","",VLOOKUP($A159,기본데이타!$A$8:$BV$103,COLUMN(기본데이타!AF$8),0))</f>
        <v/>
      </c>
      <c r="AC159" s="633" t="str">
        <f>IF($A159="","",VLOOKUP($A159,기본데이타!$A$8:$BV$103,COLUMN(기본데이타!AG$8),0))</f>
        <v/>
      </c>
      <c r="AD159" s="634" t="str">
        <f>IF($A159="","",VLOOKUP($A159,기본데이타!$A$8:$BV$103,COLUMN(기본데이타!AH$8),0))</f>
        <v/>
      </c>
      <c r="AE159" s="633" t="str">
        <f>IF($A159="","",VLOOKUP($A159,기본데이타!$A$8:$BV$103,COLUMN(기본데이타!AI$8),0))</f>
        <v/>
      </c>
      <c r="AF159" s="635" t="str">
        <f>IF($A159="","",VLOOKUP($A159,기본데이타!$A$8:$BV$103,COLUMN(기본데이타!AJ$8),0))</f>
        <v/>
      </c>
      <c r="AG159" s="580" t="str">
        <f>IF($A159="","",VLOOKUP($A159,기본데이타!$A$8:$BV$103,COLUMN(기본데이타!AK$8),0))</f>
        <v/>
      </c>
      <c r="AH159" s="580" t="str">
        <f>IF($A159="","",VLOOKUP($A159,기본데이타!$A$8:$BV$103,COLUMN(기본데이타!AL$8),0))</f>
        <v/>
      </c>
      <c r="AI159" s="580" t="str">
        <f>IF($A159="","",VLOOKUP($A159,기본데이타!$A$8:$BV$103,COLUMN(기본데이타!AM$8),0))</f>
        <v/>
      </c>
      <c r="AJ159" s="636" t="str">
        <f>IF($A159="","",VLOOKUP($A159,기본데이타!$A$8:$BV$103,COLUMN(기본데이타!AN$8),0))</f>
        <v/>
      </c>
      <c r="AK159" s="636" t="str">
        <f>IF($A159="","",VLOOKUP($A159,기본데이타!$A$8:$BV$103,COLUMN(기본데이타!AO$8),0))</f>
        <v/>
      </c>
      <c r="AL159" s="636" t="str">
        <f>IF($A159="","",VLOOKUP($A159,기본데이타!$A$8:$BV$103,COLUMN(기본데이타!AP$8),0))</f>
        <v/>
      </c>
      <c r="AM159" s="636" t="str">
        <f>IF($A159="","",VLOOKUP($A159,기본데이타!$A$8:$BV$103,COLUMN(기본데이타!AQ$8),0))</f>
        <v/>
      </c>
      <c r="AN159" s="636" t="str">
        <f>IF($A159="","",VLOOKUP($A159,기본데이타!$A$8:$BV$103,COLUMN(기본데이타!AR$8),0))</f>
        <v/>
      </c>
      <c r="AO159" s="636" t="str">
        <f>IF($A159="","",VLOOKUP($A159,기본데이타!$A$8:$BV$103,COLUMN(기본데이타!AS$8),0))</f>
        <v/>
      </c>
      <c r="AP159" s="636" t="str">
        <f>IF($A159="","",VLOOKUP($A159,기본데이타!$A$8:$BV$103,COLUMN(기본데이타!AT$8),0))</f>
        <v/>
      </c>
      <c r="AQ159" s="636" t="str">
        <f>IF($A159="","",VLOOKUP($A159,기본데이타!$A$8:$BV$103,COLUMN(기본데이타!AU$8),0))</f>
        <v/>
      </c>
      <c r="AR159" s="637" t="str">
        <f>IF($A159="","",VLOOKUP($A159,기본데이타!$A$8:$BV$103,COLUMN(기본데이타!AV$8),0))</f>
        <v/>
      </c>
      <c r="AS159" s="634" t="str">
        <f>IF($A159="","",VLOOKUP($A159,기본데이타!$A$8:$BV$103,COLUMN(기본데이타!AW$8),0))</f>
        <v/>
      </c>
      <c r="AT159" s="634" t="str">
        <f>IF($A159="","",VLOOKUP($A159,기본데이타!$A$8:$BV$103,COLUMN(기본데이타!AX$8),0))</f>
        <v/>
      </c>
      <c r="AU159" s="634" t="str">
        <f>IF($A159="","",VLOOKUP($A159,기본데이타!$A$8:$BV$103,COLUMN(기본데이타!AY$8),0))</f>
        <v/>
      </c>
      <c r="AV159" s="634" t="str">
        <f t="shared" si="24"/>
        <v/>
      </c>
      <c r="AW159" s="635" t="str">
        <f>IF($A159="","",VLOOKUP($A159,기본데이타!$A$8:$BV$103,COLUMN(기본데이타!BA$8),0))</f>
        <v/>
      </c>
      <c r="AX159" s="635" t="str">
        <f>IF($A159="","",VLOOKUP($A159,기본데이타!$A$8:$BV$103,COLUMN(기본데이타!BB$8),0))</f>
        <v/>
      </c>
      <c r="AY159" s="635" t="str">
        <f>IF($A159="","",VLOOKUP($A159,기본데이타!$A$8:$BV$103,COLUMN(기본데이타!BC$8),0))</f>
        <v/>
      </c>
      <c r="AZ159" s="635" t="str">
        <f>IF($A159="","",VLOOKUP($A159,기본데이타!$A$8:$BV$103,COLUMN(기본데이타!BD$8),0))</f>
        <v/>
      </c>
      <c r="BA159" s="635" t="str">
        <f>IF($A159="","",VLOOKUP($A159,기본데이타!$A$8:$BV$103,COLUMN(기본데이타!BE$8),0))</f>
        <v/>
      </c>
      <c r="BB159" s="635" t="str">
        <f>IF($A159="","",VLOOKUP($A159,기본데이타!$A$8:$BV$103,COLUMN(기본데이타!BF$8),0))</f>
        <v/>
      </c>
      <c r="BC159" s="635" t="str">
        <f>IF($A159="","",VLOOKUP($A159,기본데이타!$A$8:$BV$103,COLUMN(기본데이타!BG$8),0))</f>
        <v/>
      </c>
      <c r="BD159" s="635" t="str">
        <f>IF($A159="","",VLOOKUP($A159,기본데이타!$A$8:$BV$103,COLUMN(기본데이타!BH$8),0))</f>
        <v/>
      </c>
      <c r="BE159" s="635" t="str">
        <f>IF($A159="","",VLOOKUP($A159,기본데이타!$A$8:$BV$103,COLUMN(기본데이타!BI$8),0))</f>
        <v/>
      </c>
      <c r="BF159" s="635" t="str">
        <f>IF($A159="","",VLOOKUP($A159,기본데이타!$A$8:$BV$103,COLUMN(기본데이타!BJ$8),0))</f>
        <v/>
      </c>
      <c r="BG159" s="635" t="str">
        <f>IF($A159="","",VLOOKUP($A159,기본데이타!$A$8:$BV$103,COLUMN(기본데이타!BK$8),0))</f>
        <v/>
      </c>
      <c r="BH159" s="635" t="str">
        <f>IF($A159="","",VLOOKUP($A159,기본데이타!$A$8:$BV$103,COLUMN(기본데이타!BL$8),0))</f>
        <v/>
      </c>
      <c r="BI159" s="635" t="str">
        <f>IF($A159="","",VLOOKUP($A159,기본데이타!$A$8:$BV$103,COLUMN(기본데이타!BM$8),0))</f>
        <v/>
      </c>
      <c r="BJ159" s="635" t="str">
        <f>IF($A159="","",VLOOKUP($A159,기본데이타!$A$8:$BV$103,COLUMN(기본데이타!BN$8),0))</f>
        <v/>
      </c>
      <c r="BK159" s="635" t="str">
        <f>IF($A159="","",VLOOKUP($A159,기본데이타!$A$8:$BV$103,COLUMN(기본데이타!BO$8),0))</f>
        <v/>
      </c>
      <c r="BL159" s="635" t="str">
        <f>IF($A159="","",VLOOKUP($A159,기본데이타!$A$8:$BV$103,COLUMN(기본데이타!BP$8),0))</f>
        <v/>
      </c>
      <c r="BM159" s="635" t="str">
        <f>IF($A159="","",VLOOKUP($A159,기본데이타!$A$8:$BV$103,COLUMN(기본데이타!BQ$8),0))</f>
        <v/>
      </c>
      <c r="BN159" s="638" t="str">
        <f>IF($A159="","",VLOOKUP($A159,기본데이타!$A$8:$BV$103,COLUMN(기본데이타!BR$8),0))</f>
        <v/>
      </c>
      <c r="BO159" s="579" t="str">
        <f>IF($A159="","",VLOOKUP($A159,기본데이타!$A$8:$BV$103,COLUMN(기본데이타!BS$8),0))</f>
        <v/>
      </c>
      <c r="BP159" s="639" t="str">
        <f>IF($A159="","",VLOOKUP($A159,기본데이타!$A$8:$BV$103,COLUMN(기본데이타!BT$8),0))</f>
        <v/>
      </c>
      <c r="BQ159" s="640" t="str">
        <f>IF($A159="","",VLOOKUP($A159,기본데이타!$A$8:$BV$103,COLUMN(기본데이타!BU$8),0))</f>
        <v/>
      </c>
      <c r="BR159" s="625" t="str">
        <f t="shared" si="25"/>
        <v/>
      </c>
    </row>
    <row r="160" spans="1:70" s="571" customFormat="1" ht="61.5" hidden="1" customHeight="1">
      <c r="A160" s="578"/>
      <c r="B160" s="1642"/>
      <c r="C160" s="590"/>
      <c r="D160" s="673" t="str">
        <f>IF($A160="","",VLOOKUP($A160,기본데이타!$A$8:$BV$103,COLUMN(기본데이타!F$8),0))</f>
        <v/>
      </c>
      <c r="E160" s="630" t="str">
        <f>IF($A160="","",VLOOKUP($A160,기본데이타!$A$8:$BV$103,COLUMN(기본데이타!G$8),0))</f>
        <v/>
      </c>
      <c r="F160" s="631" t="str">
        <f>IF($A160="","",VLOOKUP($A160,기본데이타!$A$8:$BV$103,COLUMN(기본데이타!H$8),0))</f>
        <v/>
      </c>
      <c r="G160" s="632" t="str">
        <f>IF($A160="","",VLOOKUP($A160,기본데이타!$A$8:$BV$103,COLUMN(기본데이타!I$8),0))</f>
        <v/>
      </c>
      <c r="H160" s="632" t="str">
        <f>IF($A160="","",VLOOKUP($A160,기본데이타!$A$8:$BV$103,COLUMN(기본데이타!J$8),0))</f>
        <v/>
      </c>
      <c r="I160" s="633" t="str">
        <f>IF($A160="","",VLOOKUP($A160,기본데이타!$A$8:$BV$103,COLUMN(기본데이타!K$8),0))</f>
        <v/>
      </c>
      <c r="J160" s="633" t="str">
        <f>IF($A160="","",VLOOKUP($A160,기본데이타!$A$8:$BV$103,COLUMN(기본데이타!L$8),0))</f>
        <v/>
      </c>
      <c r="K160" s="633" t="str">
        <f>IF($A160="","",VLOOKUP($A160,기본데이타!$A$8:$BV$103,COLUMN(기본데이타!M$8),0))</f>
        <v/>
      </c>
      <c r="L160" s="634" t="str">
        <f>IF($A160="","",VLOOKUP($A160,기본데이타!$A$8:$BV$103,COLUMN(기본데이타!N$8),0))</f>
        <v/>
      </c>
      <c r="M160" s="633" t="str">
        <f>IF($A160="","",VLOOKUP($A160,기본데이타!$A$8:$BV$103,COLUMN(기본데이타!O$8),0))</f>
        <v/>
      </c>
      <c r="N160" s="634" t="str">
        <f>IF($A160="","",VLOOKUP($A160,기본데이타!$A$8:$BV$103,COLUMN(기본데이타!P$8),0))</f>
        <v/>
      </c>
      <c r="O160" s="634" t="str">
        <f>IF($A160="","",VLOOKUP($A160,기본데이타!$A$8:$BV$103,COLUMN(기본데이타!Q$8),0))</f>
        <v/>
      </c>
      <c r="P160" s="634" t="str">
        <f>IF($A160="","",VLOOKUP($A160,기본데이타!$A$8:$BV$103,COLUMN(기본데이타!R$8),0))</f>
        <v/>
      </c>
      <c r="Q160" s="634" t="str">
        <f>IF($A160="","",VLOOKUP($A160,기본데이타!$A$8:$BV$103,COLUMN(기본데이타!S$8),0))</f>
        <v/>
      </c>
      <c r="R160" s="634" t="str">
        <f>IF($A160="","",VLOOKUP($A160,기본데이타!$A$8:$BV$103,COLUMN(기본데이타!T$8),0))</f>
        <v/>
      </c>
      <c r="S160" s="634" t="str">
        <f>IF($A160="","",VLOOKUP($A160,기본데이타!$A$8:$BV$103,COLUMN(기본데이타!U$8),0))</f>
        <v/>
      </c>
      <c r="T160" s="634" t="str">
        <f>IF($A160="","",VLOOKUP($A160,기본데이타!$A$8:$BV$103,COLUMN(기본데이타!V$8),0))</f>
        <v/>
      </c>
      <c r="U160" s="634" t="str">
        <f>IF($A160="","",VLOOKUP($A160,기본데이타!$A$8:$BV$103,COLUMN(기본데이타!W$8),0))</f>
        <v/>
      </c>
      <c r="V160" s="634" t="str">
        <f>IF($A160="","",VLOOKUP($A160,기본데이타!$A$8:$BV$103,COLUMN(기본데이타!X$8),0))</f>
        <v/>
      </c>
      <c r="W160" s="634" t="str">
        <f>IF($A160="","",VLOOKUP($A160,기본데이타!$A$8:$BV$103,COLUMN(기본데이타!AA$8),0))</f>
        <v/>
      </c>
      <c r="X160" s="634" t="str">
        <f>IF($A160="","",VLOOKUP($A160,기본데이타!$A$8:$BV$103,COLUMN(기본데이타!AB$8),0))</f>
        <v/>
      </c>
      <c r="Y160" s="633" t="str">
        <f>IF($A160="","",VLOOKUP($A160,기본데이타!$A$8:$BV$103,COLUMN(기본데이타!AC$8),0))</f>
        <v/>
      </c>
      <c r="Z160" s="634" t="str">
        <f>IF($A160="","",VLOOKUP($A160,기본데이타!$A$8:$BV$103,COLUMN(기본데이타!AD$8),0))</f>
        <v/>
      </c>
      <c r="AA160" s="633" t="str">
        <f>IF($A160="","",VLOOKUP($A160,기본데이타!$A$8:$BV$103,COLUMN(기본데이타!AE$8),0))</f>
        <v/>
      </c>
      <c r="AB160" s="634" t="str">
        <f>IF($A160="","",VLOOKUP($A160,기본데이타!$A$8:$BV$103,COLUMN(기본데이타!AF$8),0))</f>
        <v/>
      </c>
      <c r="AC160" s="633" t="str">
        <f>IF($A160="","",VLOOKUP($A160,기본데이타!$A$8:$BV$103,COLUMN(기본데이타!AG$8),0))</f>
        <v/>
      </c>
      <c r="AD160" s="634" t="str">
        <f>IF($A160="","",VLOOKUP($A160,기본데이타!$A$8:$BV$103,COLUMN(기본데이타!AH$8),0))</f>
        <v/>
      </c>
      <c r="AE160" s="633" t="str">
        <f>IF($A160="","",VLOOKUP($A160,기본데이타!$A$8:$BV$103,COLUMN(기본데이타!AI$8),0))</f>
        <v/>
      </c>
      <c r="AF160" s="635" t="str">
        <f>IF($A160="","",VLOOKUP($A160,기본데이타!$A$8:$BV$103,COLUMN(기본데이타!AJ$8),0))</f>
        <v/>
      </c>
      <c r="AG160" s="580" t="str">
        <f>IF($A160="","",VLOOKUP($A160,기본데이타!$A$8:$BV$103,COLUMN(기본데이타!AK$8),0))</f>
        <v/>
      </c>
      <c r="AH160" s="580" t="str">
        <f>IF($A160="","",VLOOKUP($A160,기본데이타!$A$8:$BV$103,COLUMN(기본데이타!AL$8),0))</f>
        <v/>
      </c>
      <c r="AI160" s="580" t="str">
        <f>IF($A160="","",VLOOKUP($A160,기본데이타!$A$8:$BV$103,COLUMN(기본데이타!AM$8),0))</f>
        <v/>
      </c>
      <c r="AJ160" s="636" t="str">
        <f>IF($A160="","",VLOOKUP($A160,기본데이타!$A$8:$BV$103,COLUMN(기본데이타!AN$8),0))</f>
        <v/>
      </c>
      <c r="AK160" s="636" t="str">
        <f>IF($A160="","",VLOOKUP($A160,기본데이타!$A$8:$BV$103,COLUMN(기본데이타!AO$8),0))</f>
        <v/>
      </c>
      <c r="AL160" s="636" t="str">
        <f>IF($A160="","",VLOOKUP($A160,기본데이타!$A$8:$BV$103,COLUMN(기본데이타!AP$8),0))</f>
        <v/>
      </c>
      <c r="AM160" s="636" t="str">
        <f>IF($A160="","",VLOOKUP($A160,기본데이타!$A$8:$BV$103,COLUMN(기본데이타!AQ$8),0))</f>
        <v/>
      </c>
      <c r="AN160" s="636" t="str">
        <f>IF($A160="","",VLOOKUP($A160,기본데이타!$A$8:$BV$103,COLUMN(기본데이타!AR$8),0))</f>
        <v/>
      </c>
      <c r="AO160" s="636" t="str">
        <f>IF($A160="","",VLOOKUP($A160,기본데이타!$A$8:$BV$103,COLUMN(기본데이타!AS$8),0))</f>
        <v/>
      </c>
      <c r="AP160" s="636" t="str">
        <f>IF($A160="","",VLOOKUP($A160,기본데이타!$A$8:$BV$103,COLUMN(기본데이타!AT$8),0))</f>
        <v/>
      </c>
      <c r="AQ160" s="636" t="str">
        <f>IF($A160="","",VLOOKUP($A160,기본데이타!$A$8:$BV$103,COLUMN(기본데이타!AU$8),0))</f>
        <v/>
      </c>
      <c r="AR160" s="637" t="str">
        <f>IF($A160="","",VLOOKUP($A160,기본데이타!$A$8:$BV$103,COLUMN(기본데이타!AV$8),0))</f>
        <v/>
      </c>
      <c r="AS160" s="634" t="str">
        <f>IF($A160="","",VLOOKUP($A160,기본데이타!$A$8:$BV$103,COLUMN(기본데이타!AW$8),0))</f>
        <v/>
      </c>
      <c r="AT160" s="634" t="str">
        <f>IF($A160="","",VLOOKUP($A160,기본데이타!$A$8:$BV$103,COLUMN(기본데이타!AX$8),0))</f>
        <v/>
      </c>
      <c r="AU160" s="634" t="str">
        <f>IF($A160="","",VLOOKUP($A160,기본데이타!$A$8:$BV$103,COLUMN(기본데이타!AY$8),0))</f>
        <v/>
      </c>
      <c r="AV160" s="634" t="str">
        <f t="shared" si="24"/>
        <v/>
      </c>
      <c r="AW160" s="635" t="str">
        <f>IF($A160="","",VLOOKUP($A160,기본데이타!$A$8:$BV$103,COLUMN(기본데이타!BA$8),0))</f>
        <v/>
      </c>
      <c r="AX160" s="635" t="str">
        <f>IF($A160="","",VLOOKUP($A160,기본데이타!$A$8:$BV$103,COLUMN(기본데이타!BB$8),0))</f>
        <v/>
      </c>
      <c r="AY160" s="635" t="str">
        <f>IF($A160="","",VLOOKUP($A160,기본데이타!$A$8:$BV$103,COLUMN(기본데이타!BC$8),0))</f>
        <v/>
      </c>
      <c r="AZ160" s="635" t="str">
        <f>IF($A160="","",VLOOKUP($A160,기본데이타!$A$8:$BV$103,COLUMN(기본데이타!BD$8),0))</f>
        <v/>
      </c>
      <c r="BA160" s="635" t="str">
        <f>IF($A160="","",VLOOKUP($A160,기본데이타!$A$8:$BV$103,COLUMN(기본데이타!BE$8),0))</f>
        <v/>
      </c>
      <c r="BB160" s="635" t="str">
        <f>IF($A160="","",VLOOKUP($A160,기본데이타!$A$8:$BV$103,COLUMN(기본데이타!BF$8),0))</f>
        <v/>
      </c>
      <c r="BC160" s="635" t="str">
        <f>IF($A160="","",VLOOKUP($A160,기본데이타!$A$8:$BV$103,COLUMN(기본데이타!BG$8),0))</f>
        <v/>
      </c>
      <c r="BD160" s="635" t="str">
        <f>IF($A160="","",VLOOKUP($A160,기본데이타!$A$8:$BV$103,COLUMN(기본데이타!BH$8),0))</f>
        <v/>
      </c>
      <c r="BE160" s="635" t="str">
        <f>IF($A160="","",VLOOKUP($A160,기본데이타!$A$8:$BV$103,COLUMN(기본데이타!BI$8),0))</f>
        <v/>
      </c>
      <c r="BF160" s="635" t="str">
        <f>IF($A160="","",VLOOKUP($A160,기본데이타!$A$8:$BV$103,COLUMN(기본데이타!BJ$8),0))</f>
        <v/>
      </c>
      <c r="BG160" s="635" t="str">
        <f>IF($A160="","",VLOOKUP($A160,기본데이타!$A$8:$BV$103,COLUMN(기본데이타!BK$8),0))</f>
        <v/>
      </c>
      <c r="BH160" s="635" t="str">
        <f>IF($A160="","",VLOOKUP($A160,기본데이타!$A$8:$BV$103,COLUMN(기본데이타!BL$8),0))</f>
        <v/>
      </c>
      <c r="BI160" s="635" t="str">
        <f>IF($A160="","",VLOOKUP($A160,기본데이타!$A$8:$BV$103,COLUMN(기본데이타!BM$8),0))</f>
        <v/>
      </c>
      <c r="BJ160" s="635" t="str">
        <f>IF($A160="","",VLOOKUP($A160,기본데이타!$A$8:$BV$103,COLUMN(기본데이타!BN$8),0))</f>
        <v/>
      </c>
      <c r="BK160" s="635" t="str">
        <f>IF($A160="","",VLOOKUP($A160,기본데이타!$A$8:$BV$103,COLUMN(기본데이타!BO$8),0))</f>
        <v/>
      </c>
      <c r="BL160" s="635" t="str">
        <f>IF($A160="","",VLOOKUP($A160,기본데이타!$A$8:$BV$103,COLUMN(기본데이타!BP$8),0))</f>
        <v/>
      </c>
      <c r="BM160" s="635" t="str">
        <f>IF($A160="","",VLOOKUP($A160,기본데이타!$A$8:$BV$103,COLUMN(기본데이타!BQ$8),0))</f>
        <v/>
      </c>
      <c r="BN160" s="638" t="str">
        <f>IF($A160="","",VLOOKUP($A160,기본데이타!$A$8:$BV$103,COLUMN(기본데이타!BR$8),0))</f>
        <v/>
      </c>
      <c r="BO160" s="579" t="str">
        <f>IF($A160="","",VLOOKUP($A160,기본데이타!$A$8:$BV$103,COLUMN(기본데이타!BS$8),0))</f>
        <v/>
      </c>
      <c r="BP160" s="639" t="str">
        <f>IF($A160="","",VLOOKUP($A160,기본데이타!$A$8:$BV$103,COLUMN(기본데이타!BT$8),0))</f>
        <v/>
      </c>
      <c r="BQ160" s="640" t="str">
        <f>IF($A160="","",VLOOKUP($A160,기본데이타!$A$8:$BV$103,COLUMN(기본데이타!BU$8),0))</f>
        <v/>
      </c>
      <c r="BR160" s="625" t="str">
        <f t="shared" si="25"/>
        <v/>
      </c>
    </row>
    <row r="161" spans="1:70" s="571" customFormat="1" ht="61.5" hidden="1" customHeight="1">
      <c r="A161" s="578"/>
      <c r="B161" s="1642"/>
      <c r="C161" s="590"/>
      <c r="D161" s="607" t="str">
        <f>IF($A161="","",VLOOKUP($A161,기본데이타!$A$8:$BV$103,COLUMN(기본데이타!F$8),0))</f>
        <v/>
      </c>
      <c r="E161" s="608" t="str">
        <f>IF($A161="","",VLOOKUP($A161,기본데이타!$A$8:$BV$103,COLUMN(기본데이타!G$8),0))</f>
        <v/>
      </c>
      <c r="F161" s="609" t="str">
        <f>IF($A161="","",VLOOKUP($A161,기본데이타!$A$8:$BV$103,COLUMN(기본데이타!H$8),0))</f>
        <v/>
      </c>
      <c r="G161" s="610" t="str">
        <f>IF($A161="","",VLOOKUP($A161,기본데이타!$A$8:$BV$103,COLUMN(기본데이타!I$8),0))</f>
        <v/>
      </c>
      <c r="H161" s="610" t="str">
        <f>IF($A161="","",VLOOKUP($A161,기본데이타!$A$8:$BV$103,COLUMN(기본데이타!J$8),0))</f>
        <v/>
      </c>
      <c r="I161" s="611" t="str">
        <f>IF($A161="","",VLOOKUP($A161,기본데이타!$A$8:$BV$103,COLUMN(기본데이타!K$8),0))</f>
        <v/>
      </c>
      <c r="J161" s="611" t="str">
        <f>IF($A161="","",VLOOKUP($A161,기본데이타!$A$8:$BV$103,COLUMN(기본데이타!L$8),0))</f>
        <v/>
      </c>
      <c r="K161" s="611" t="str">
        <f>IF($A161="","",VLOOKUP($A161,기본데이타!$A$8:$BV$103,COLUMN(기본데이타!M$8),0))</f>
        <v/>
      </c>
      <c r="L161" s="612" t="str">
        <f>IF($A161="","",VLOOKUP($A161,기본데이타!$A$8:$BV$103,COLUMN(기본데이타!N$8),0))</f>
        <v/>
      </c>
      <c r="M161" s="611" t="str">
        <f>IF($A161="","",VLOOKUP($A161,기본데이타!$A$8:$BV$103,COLUMN(기본데이타!O$8),0))</f>
        <v/>
      </c>
      <c r="N161" s="612" t="str">
        <f>IF($A161="","",VLOOKUP($A161,기본데이타!$A$8:$BV$103,COLUMN(기본데이타!P$8),0))</f>
        <v/>
      </c>
      <c r="O161" s="612" t="str">
        <f>IF($A161="","",VLOOKUP($A161,기본데이타!$A$8:$BV$103,COLUMN(기본데이타!Q$8),0))</f>
        <v/>
      </c>
      <c r="P161" s="612" t="str">
        <f>IF($A161="","",VLOOKUP($A161,기본데이타!$A$8:$BV$103,COLUMN(기본데이타!R$8),0))</f>
        <v/>
      </c>
      <c r="Q161" s="612" t="str">
        <f>IF($A161="","",VLOOKUP($A161,기본데이타!$A$8:$BV$103,COLUMN(기본데이타!S$8),0))</f>
        <v/>
      </c>
      <c r="R161" s="612" t="str">
        <f>IF($A161="","",VLOOKUP($A161,기본데이타!$A$8:$BV$103,COLUMN(기본데이타!T$8),0))</f>
        <v/>
      </c>
      <c r="S161" s="612" t="str">
        <f>IF($A161="","",VLOOKUP($A161,기본데이타!$A$8:$BV$103,COLUMN(기본데이타!U$8),0))</f>
        <v/>
      </c>
      <c r="T161" s="612" t="str">
        <f>IF($A161="","",VLOOKUP($A161,기본데이타!$A$8:$BV$103,COLUMN(기본데이타!V$8),0))</f>
        <v/>
      </c>
      <c r="U161" s="612" t="str">
        <f>IF($A161="","",VLOOKUP($A161,기본데이타!$A$8:$BV$103,COLUMN(기본데이타!W$8),0))</f>
        <v/>
      </c>
      <c r="V161" s="612" t="str">
        <f>IF($A161="","",VLOOKUP($A161,기본데이타!$A$8:$BV$103,COLUMN(기본데이타!X$8),0))</f>
        <v/>
      </c>
      <c r="W161" s="612" t="str">
        <f>IF($A161="","",VLOOKUP($A161,기본데이타!$A$8:$BV$103,COLUMN(기본데이타!AA$8),0))</f>
        <v/>
      </c>
      <c r="X161" s="612" t="str">
        <f>IF($A161="","",VLOOKUP($A161,기본데이타!$A$8:$BV$103,COLUMN(기본데이타!AB$8),0))</f>
        <v/>
      </c>
      <c r="Y161" s="611" t="str">
        <f>IF($A161="","",VLOOKUP($A161,기본데이타!$A$8:$BV$103,COLUMN(기본데이타!AC$8),0))</f>
        <v/>
      </c>
      <c r="Z161" s="612" t="str">
        <f>IF($A161="","",VLOOKUP($A161,기본데이타!$A$8:$BV$103,COLUMN(기본데이타!AD$8),0))</f>
        <v/>
      </c>
      <c r="AA161" s="611" t="str">
        <f>IF($A161="","",VLOOKUP($A161,기본데이타!$A$8:$BV$103,COLUMN(기본데이타!AE$8),0))</f>
        <v/>
      </c>
      <c r="AB161" s="612" t="str">
        <f>IF($A161="","",VLOOKUP($A161,기본데이타!$A$8:$BV$103,COLUMN(기본데이타!AF$8),0))</f>
        <v/>
      </c>
      <c r="AC161" s="611" t="str">
        <f>IF($A161="","",VLOOKUP($A161,기본데이타!$A$8:$BV$103,COLUMN(기본데이타!AG$8),0))</f>
        <v/>
      </c>
      <c r="AD161" s="612" t="str">
        <f>IF($A161="","",VLOOKUP($A161,기본데이타!$A$8:$BV$103,COLUMN(기본데이타!AH$8),0))</f>
        <v/>
      </c>
      <c r="AE161" s="611" t="str">
        <f>IF($A161="","",VLOOKUP($A161,기본데이타!$A$8:$BV$103,COLUMN(기본데이타!AI$8),0))</f>
        <v/>
      </c>
      <c r="AF161" s="613" t="str">
        <f>IF($A161="","",VLOOKUP($A161,기본데이타!$A$8:$BV$103,COLUMN(기본데이타!AJ$8),0))</f>
        <v/>
      </c>
      <c r="AG161" s="621" t="str">
        <f>IF($A161="","",VLOOKUP($A161,기본데이타!$A$8:$BV$103,COLUMN(기본데이타!AK$8),0))</f>
        <v/>
      </c>
      <c r="AH161" s="621" t="str">
        <f>IF($A161="","",VLOOKUP($A161,기본데이타!$A$8:$BV$103,COLUMN(기본데이타!AL$8),0))</f>
        <v/>
      </c>
      <c r="AI161" s="621" t="str">
        <f>IF($A161="","",VLOOKUP($A161,기본데이타!$A$8:$BV$103,COLUMN(기본데이타!AM$8),0))</f>
        <v/>
      </c>
      <c r="AJ161" s="746" t="str">
        <f>IF($A161="","",VLOOKUP($A161,기본데이타!$A$8:$BV$103,COLUMN(기본데이타!AN$8),0))</f>
        <v/>
      </c>
      <c r="AK161" s="746" t="str">
        <f>IF($A161="","",VLOOKUP($A161,기본데이타!$A$8:$BV$103,COLUMN(기본데이타!AO$8),0))</f>
        <v/>
      </c>
      <c r="AL161" s="746" t="str">
        <f>IF($A161="","",VLOOKUP($A161,기본데이타!$A$8:$BV$103,COLUMN(기본데이타!AP$8),0))</f>
        <v/>
      </c>
      <c r="AM161" s="746" t="str">
        <f>IF($A161="","",VLOOKUP($A161,기본데이타!$A$8:$BV$103,COLUMN(기본데이타!AQ$8),0))</f>
        <v/>
      </c>
      <c r="AN161" s="746" t="str">
        <f>IF($A161="","",VLOOKUP($A161,기본데이타!$A$8:$BV$103,COLUMN(기본데이타!AR$8),0))</f>
        <v/>
      </c>
      <c r="AO161" s="746" t="str">
        <f>IF($A161="","",VLOOKUP($A161,기본데이타!$A$8:$BV$103,COLUMN(기본데이타!AS$8),0))</f>
        <v/>
      </c>
      <c r="AP161" s="746" t="str">
        <f>IF($A161="","",VLOOKUP($A161,기본데이타!$A$8:$BV$103,COLUMN(기본데이타!AT$8),0))</f>
        <v/>
      </c>
      <c r="AQ161" s="746" t="str">
        <f>IF($A161="","",VLOOKUP($A161,기본데이타!$A$8:$BV$103,COLUMN(기본데이타!AU$8),0))</f>
        <v/>
      </c>
      <c r="AR161" s="747" t="str">
        <f>IF($A161="","",VLOOKUP($A161,기본데이타!$A$8:$BV$103,COLUMN(기본데이타!AV$8),0))</f>
        <v/>
      </c>
      <c r="AS161" s="612" t="str">
        <f>IF($A161="","",VLOOKUP($A161,기본데이타!$A$8:$BV$103,COLUMN(기본데이타!AW$8),0))</f>
        <v/>
      </c>
      <c r="AT161" s="612" t="str">
        <f>IF($A161="","",VLOOKUP($A161,기본데이타!$A$8:$BV$103,COLUMN(기본데이타!AX$8),0))</f>
        <v/>
      </c>
      <c r="AU161" s="612" t="str">
        <f>IF($A161="","",VLOOKUP($A161,기본데이타!$A$8:$BV$103,COLUMN(기본데이타!AY$8),0))</f>
        <v/>
      </c>
      <c r="AV161" s="612" t="str">
        <f t="shared" si="24"/>
        <v/>
      </c>
      <c r="AW161" s="613" t="str">
        <f>IF($A161="","",VLOOKUP($A161,기본데이타!$A$8:$BV$103,COLUMN(기본데이타!BA$8),0))</f>
        <v/>
      </c>
      <c r="AX161" s="613" t="str">
        <f>IF($A161="","",VLOOKUP($A161,기본데이타!$A$8:$BV$103,COLUMN(기본데이타!BB$8),0))</f>
        <v/>
      </c>
      <c r="AY161" s="613" t="str">
        <f>IF($A161="","",VLOOKUP($A161,기본데이타!$A$8:$BV$103,COLUMN(기본데이타!BC$8),0))</f>
        <v/>
      </c>
      <c r="AZ161" s="613" t="str">
        <f>IF($A161="","",VLOOKUP($A161,기본데이타!$A$8:$BV$103,COLUMN(기본데이타!BD$8),0))</f>
        <v/>
      </c>
      <c r="BA161" s="613" t="str">
        <f>IF($A161="","",VLOOKUP($A161,기본데이타!$A$8:$BV$103,COLUMN(기본데이타!BE$8),0))</f>
        <v/>
      </c>
      <c r="BB161" s="613" t="str">
        <f>IF($A161="","",VLOOKUP($A161,기본데이타!$A$8:$BV$103,COLUMN(기본데이타!BF$8),0))</f>
        <v/>
      </c>
      <c r="BC161" s="613" t="str">
        <f>IF($A161="","",VLOOKUP($A161,기본데이타!$A$8:$BV$103,COLUMN(기본데이타!BG$8),0))</f>
        <v/>
      </c>
      <c r="BD161" s="613" t="str">
        <f>IF($A161="","",VLOOKUP($A161,기본데이타!$A$8:$BV$103,COLUMN(기본데이타!BH$8),0))</f>
        <v/>
      </c>
      <c r="BE161" s="613" t="str">
        <f>IF($A161="","",VLOOKUP($A161,기본데이타!$A$8:$BV$103,COLUMN(기본데이타!BI$8),0))</f>
        <v/>
      </c>
      <c r="BF161" s="613" t="str">
        <f>IF($A161="","",VLOOKUP($A161,기본데이타!$A$8:$BV$103,COLUMN(기본데이타!BJ$8),0))</f>
        <v/>
      </c>
      <c r="BG161" s="613" t="str">
        <f>IF($A161="","",VLOOKUP($A161,기본데이타!$A$8:$BV$103,COLUMN(기본데이타!BK$8),0))</f>
        <v/>
      </c>
      <c r="BH161" s="613" t="str">
        <f>IF($A161="","",VLOOKUP($A161,기본데이타!$A$8:$BV$103,COLUMN(기본데이타!BL$8),0))</f>
        <v/>
      </c>
      <c r="BI161" s="613" t="str">
        <f>IF($A161="","",VLOOKUP($A161,기본데이타!$A$8:$BV$103,COLUMN(기본데이타!BM$8),0))</f>
        <v/>
      </c>
      <c r="BJ161" s="613" t="str">
        <f>IF($A161="","",VLOOKUP($A161,기본데이타!$A$8:$BV$103,COLUMN(기본데이타!BN$8),0))</f>
        <v/>
      </c>
      <c r="BK161" s="613" t="str">
        <f>IF($A161="","",VLOOKUP($A161,기본데이타!$A$8:$BV$103,COLUMN(기본데이타!BO$8),0))</f>
        <v/>
      </c>
      <c r="BL161" s="613" t="str">
        <f>IF($A161="","",VLOOKUP($A161,기본데이타!$A$8:$BV$103,COLUMN(기본데이타!BP$8),0))</f>
        <v/>
      </c>
      <c r="BM161" s="613" t="str">
        <f>IF($A161="","",VLOOKUP($A161,기본데이타!$A$8:$BV$103,COLUMN(기본데이타!BQ$8),0))</f>
        <v/>
      </c>
      <c r="BN161" s="616" t="str">
        <f>IF($A161="","",VLOOKUP($A161,기본데이타!$A$8:$BV$103,COLUMN(기본데이타!BR$8),0))</f>
        <v/>
      </c>
      <c r="BO161" s="617" t="str">
        <f>IF($A161="","",VLOOKUP($A161,기본데이타!$A$8:$BV$103,COLUMN(기본데이타!BS$8),0))</f>
        <v/>
      </c>
      <c r="BP161" s="628" t="str">
        <f>IF($A161="","",VLOOKUP($A161,기본데이타!$A$8:$BV$103,COLUMN(기본데이타!BT$8),0))</f>
        <v/>
      </c>
      <c r="BQ161" s="619" t="str">
        <f>IF($A161="","",VLOOKUP($A161,기본데이타!$A$8:$BV$103,COLUMN(기본데이타!BU$8),0))</f>
        <v/>
      </c>
      <c r="BR161" s="620" t="str">
        <f t="shared" si="25"/>
        <v/>
      </c>
    </row>
    <row r="162" spans="1:70" s="571" customFormat="1" ht="61.5" hidden="1" customHeight="1">
      <c r="A162" s="578"/>
      <c r="B162" s="1642"/>
      <c r="C162" s="590"/>
      <c r="D162" s="629" t="str">
        <f>IF($A162="","",VLOOKUP($A162,기본데이타!$A$8:$BV$103,COLUMN(기본데이타!F$8),0))</f>
        <v/>
      </c>
      <c r="E162" s="630" t="str">
        <f>IF($A162="","",VLOOKUP($A162,기본데이타!$A$8:$BV$103,COLUMN(기본데이타!G$8),0))</f>
        <v/>
      </c>
      <c r="F162" s="631" t="str">
        <f>IF($A162="","",VLOOKUP($A162,기본데이타!$A$8:$BV$103,COLUMN(기본데이타!H$8),0))</f>
        <v/>
      </c>
      <c r="G162" s="632" t="str">
        <f>IF($A162="","",VLOOKUP($A162,기본데이타!$A$8:$BV$103,COLUMN(기본데이타!I$8),0))</f>
        <v/>
      </c>
      <c r="H162" s="632" t="str">
        <f>IF($A162="","",VLOOKUP($A162,기본데이타!$A$8:$BV$103,COLUMN(기본데이타!J$8),0))</f>
        <v/>
      </c>
      <c r="I162" s="633" t="str">
        <f>IF($A162="","",VLOOKUP($A162,기본데이타!$A$8:$BV$103,COLUMN(기본데이타!K$8),0))</f>
        <v/>
      </c>
      <c r="J162" s="633" t="str">
        <f>IF($A162="","",VLOOKUP($A162,기본데이타!$A$8:$BV$103,COLUMN(기본데이타!L$8),0))</f>
        <v/>
      </c>
      <c r="K162" s="633" t="str">
        <f>IF($A162="","",VLOOKUP($A162,기본데이타!$A$8:$BV$103,COLUMN(기본데이타!M$8),0))</f>
        <v/>
      </c>
      <c r="L162" s="634" t="str">
        <f>IF($A162="","",VLOOKUP($A162,기본데이타!$A$8:$BV$103,COLUMN(기본데이타!N$8),0))</f>
        <v/>
      </c>
      <c r="M162" s="633" t="str">
        <f>IF($A162="","",VLOOKUP($A162,기본데이타!$A$8:$BV$103,COLUMN(기본데이타!O$8),0))</f>
        <v/>
      </c>
      <c r="N162" s="634" t="str">
        <f>IF($A162="","",VLOOKUP($A162,기본데이타!$A$8:$BV$103,COLUMN(기본데이타!P$8),0))</f>
        <v/>
      </c>
      <c r="O162" s="634" t="str">
        <f>IF($A162="","",VLOOKUP($A162,기본데이타!$A$8:$BV$103,COLUMN(기본데이타!Q$8),0))</f>
        <v/>
      </c>
      <c r="P162" s="634" t="str">
        <f>IF($A162="","",VLOOKUP($A162,기본데이타!$A$8:$BV$103,COLUMN(기본데이타!R$8),0))</f>
        <v/>
      </c>
      <c r="Q162" s="634" t="str">
        <f>IF($A162="","",VLOOKUP($A162,기본데이타!$A$8:$BV$103,COLUMN(기본데이타!S$8),0))</f>
        <v/>
      </c>
      <c r="R162" s="634" t="str">
        <f>IF($A162="","",VLOOKUP($A162,기본데이타!$A$8:$BV$103,COLUMN(기본데이타!T$8),0))</f>
        <v/>
      </c>
      <c r="S162" s="634" t="str">
        <f>IF($A162="","",VLOOKUP($A162,기본데이타!$A$8:$BV$103,COLUMN(기본데이타!U$8),0))</f>
        <v/>
      </c>
      <c r="T162" s="634" t="str">
        <f>IF($A162="","",VLOOKUP($A162,기본데이타!$A$8:$BV$103,COLUMN(기본데이타!V$8),0))</f>
        <v/>
      </c>
      <c r="U162" s="634" t="str">
        <f>IF($A162="","",VLOOKUP($A162,기본데이타!$A$8:$BV$103,COLUMN(기본데이타!W$8),0))</f>
        <v/>
      </c>
      <c r="V162" s="634" t="str">
        <f>IF($A162="","",VLOOKUP($A162,기본데이타!$A$8:$BV$103,COLUMN(기본데이타!X$8),0))</f>
        <v/>
      </c>
      <c r="W162" s="634" t="str">
        <f>IF($A162="","",VLOOKUP($A162,기본데이타!$A$8:$BV$103,COLUMN(기본데이타!AA$8),0))</f>
        <v/>
      </c>
      <c r="X162" s="634" t="str">
        <f>IF($A162="","",VLOOKUP($A162,기본데이타!$A$8:$BV$103,COLUMN(기본데이타!AB$8),0))</f>
        <v/>
      </c>
      <c r="Y162" s="633" t="str">
        <f>IF($A162="","",VLOOKUP($A162,기본데이타!$A$8:$BV$103,COLUMN(기본데이타!AC$8),0))</f>
        <v/>
      </c>
      <c r="Z162" s="634" t="str">
        <f>IF($A162="","",VLOOKUP($A162,기본데이타!$A$8:$BV$103,COLUMN(기본데이타!AD$8),0))</f>
        <v/>
      </c>
      <c r="AA162" s="633" t="str">
        <f>IF($A162="","",VLOOKUP($A162,기본데이타!$A$8:$BV$103,COLUMN(기본데이타!AE$8),0))</f>
        <v/>
      </c>
      <c r="AB162" s="634" t="str">
        <f>IF($A162="","",VLOOKUP($A162,기본데이타!$A$8:$BV$103,COLUMN(기본데이타!AF$8),0))</f>
        <v/>
      </c>
      <c r="AC162" s="633" t="str">
        <f>IF($A162="","",VLOOKUP($A162,기본데이타!$A$8:$BV$103,COLUMN(기본데이타!AG$8),0))</f>
        <v/>
      </c>
      <c r="AD162" s="634" t="str">
        <f>IF($A162="","",VLOOKUP($A162,기본데이타!$A$8:$BV$103,COLUMN(기본데이타!AH$8),0))</f>
        <v/>
      </c>
      <c r="AE162" s="633" t="str">
        <f>IF($A162="","",VLOOKUP($A162,기본데이타!$A$8:$BV$103,COLUMN(기본데이타!AI$8),0))</f>
        <v/>
      </c>
      <c r="AF162" s="635" t="str">
        <f>IF($A162="","",VLOOKUP($A162,기본데이타!$A$8:$BV$103,COLUMN(기본데이타!AJ$8),0))</f>
        <v/>
      </c>
      <c r="AG162" s="580" t="str">
        <f>IF($A162="","",VLOOKUP($A162,기본데이타!$A$8:$BV$103,COLUMN(기본데이타!AK$8),0))</f>
        <v/>
      </c>
      <c r="AH162" s="580" t="str">
        <f>IF($A162="","",VLOOKUP($A162,기본데이타!$A$8:$BV$103,COLUMN(기본데이타!AL$8),0))</f>
        <v/>
      </c>
      <c r="AI162" s="580" t="str">
        <f>IF($A162="","",VLOOKUP($A162,기본데이타!$A$8:$BV$103,COLUMN(기본데이타!AM$8),0))</f>
        <v/>
      </c>
      <c r="AJ162" s="636" t="str">
        <f>IF($A162="","",VLOOKUP($A162,기본데이타!$A$8:$BV$103,COLUMN(기본데이타!AN$8),0))</f>
        <v/>
      </c>
      <c r="AK162" s="636" t="str">
        <f>IF($A162="","",VLOOKUP($A162,기본데이타!$A$8:$BV$103,COLUMN(기본데이타!AO$8),0))</f>
        <v/>
      </c>
      <c r="AL162" s="636" t="str">
        <f>IF($A162="","",VLOOKUP($A162,기본데이타!$A$8:$BV$103,COLUMN(기본데이타!AP$8),0))</f>
        <v/>
      </c>
      <c r="AM162" s="636" t="str">
        <f>IF($A162="","",VLOOKUP($A162,기본데이타!$A$8:$BV$103,COLUMN(기본데이타!AQ$8),0))</f>
        <v/>
      </c>
      <c r="AN162" s="636" t="str">
        <f>IF($A162="","",VLOOKUP($A162,기본데이타!$A$8:$BV$103,COLUMN(기본데이타!AR$8),0))</f>
        <v/>
      </c>
      <c r="AO162" s="636" t="str">
        <f>IF($A162="","",VLOOKUP($A162,기본데이타!$A$8:$BV$103,COLUMN(기본데이타!AS$8),0))</f>
        <v/>
      </c>
      <c r="AP162" s="636" t="str">
        <f>IF($A162="","",VLOOKUP($A162,기본데이타!$A$8:$BV$103,COLUMN(기본데이타!AT$8),0))</f>
        <v/>
      </c>
      <c r="AQ162" s="636" t="str">
        <f>IF($A162="","",VLOOKUP($A162,기본데이타!$A$8:$BV$103,COLUMN(기본데이타!AU$8),0))</f>
        <v/>
      </c>
      <c r="AR162" s="637" t="str">
        <f>IF($A162="","",VLOOKUP($A162,기본데이타!$A$8:$BV$103,COLUMN(기본데이타!AV$8),0))</f>
        <v/>
      </c>
      <c r="AS162" s="634" t="str">
        <f>IF($A162="","",VLOOKUP($A162,기본데이타!$A$8:$BV$103,COLUMN(기본데이타!AW$8),0))</f>
        <v/>
      </c>
      <c r="AT162" s="634" t="str">
        <f>IF($A162="","",VLOOKUP($A162,기본데이타!$A$8:$BV$103,COLUMN(기본데이타!AX$8),0))</f>
        <v/>
      </c>
      <c r="AU162" s="634" t="str">
        <f>IF($A162="","",VLOOKUP($A162,기본데이타!$A$8:$BV$103,COLUMN(기본데이타!AY$8),0))</f>
        <v/>
      </c>
      <c r="AV162" s="634" t="str">
        <f t="shared" si="24"/>
        <v/>
      </c>
      <c r="AW162" s="635" t="str">
        <f>IF($A162="","",VLOOKUP($A162,기본데이타!$A$8:$BV$103,COLUMN(기본데이타!BA$8),0))</f>
        <v/>
      </c>
      <c r="AX162" s="635" t="str">
        <f>IF($A162="","",VLOOKUP($A162,기본데이타!$A$8:$BV$103,COLUMN(기본데이타!BB$8),0))</f>
        <v/>
      </c>
      <c r="AY162" s="635" t="str">
        <f>IF($A162="","",VLOOKUP($A162,기본데이타!$A$8:$BV$103,COLUMN(기본데이타!BC$8),0))</f>
        <v/>
      </c>
      <c r="AZ162" s="635" t="str">
        <f>IF($A162="","",VLOOKUP($A162,기본데이타!$A$8:$BV$103,COLUMN(기본데이타!BD$8),0))</f>
        <v/>
      </c>
      <c r="BA162" s="635" t="str">
        <f>IF($A162="","",VLOOKUP($A162,기본데이타!$A$8:$BV$103,COLUMN(기본데이타!BE$8),0))</f>
        <v/>
      </c>
      <c r="BB162" s="635" t="str">
        <f>IF($A162="","",VLOOKUP($A162,기본데이타!$A$8:$BV$103,COLUMN(기본데이타!BF$8),0))</f>
        <v/>
      </c>
      <c r="BC162" s="635" t="str">
        <f>IF($A162="","",VLOOKUP($A162,기본데이타!$A$8:$BV$103,COLUMN(기본데이타!BG$8),0))</f>
        <v/>
      </c>
      <c r="BD162" s="635" t="str">
        <f>IF($A162="","",VLOOKUP($A162,기본데이타!$A$8:$BV$103,COLUMN(기본데이타!BH$8),0))</f>
        <v/>
      </c>
      <c r="BE162" s="635" t="str">
        <f>IF($A162="","",VLOOKUP($A162,기본데이타!$A$8:$BV$103,COLUMN(기본데이타!BI$8),0))</f>
        <v/>
      </c>
      <c r="BF162" s="635" t="str">
        <f>IF($A162="","",VLOOKUP($A162,기본데이타!$A$8:$BV$103,COLUMN(기본데이타!BJ$8),0))</f>
        <v/>
      </c>
      <c r="BG162" s="635" t="str">
        <f>IF($A162="","",VLOOKUP($A162,기본데이타!$A$8:$BV$103,COLUMN(기본데이타!BK$8),0))</f>
        <v/>
      </c>
      <c r="BH162" s="635" t="str">
        <f>IF($A162="","",VLOOKUP($A162,기본데이타!$A$8:$BV$103,COLUMN(기본데이타!BL$8),0))</f>
        <v/>
      </c>
      <c r="BI162" s="635" t="str">
        <f>IF($A162="","",VLOOKUP($A162,기본데이타!$A$8:$BV$103,COLUMN(기본데이타!BM$8),0))</f>
        <v/>
      </c>
      <c r="BJ162" s="635" t="str">
        <f>IF($A162="","",VLOOKUP($A162,기본데이타!$A$8:$BV$103,COLUMN(기본데이타!BN$8),0))</f>
        <v/>
      </c>
      <c r="BK162" s="635" t="str">
        <f>IF($A162="","",VLOOKUP($A162,기본데이타!$A$8:$BV$103,COLUMN(기본데이타!BO$8),0))</f>
        <v/>
      </c>
      <c r="BL162" s="635" t="str">
        <f>IF($A162="","",VLOOKUP($A162,기본데이타!$A$8:$BV$103,COLUMN(기본데이타!BP$8),0))</f>
        <v/>
      </c>
      <c r="BM162" s="635" t="str">
        <f>IF($A162="","",VLOOKUP($A162,기본데이타!$A$8:$BV$103,COLUMN(기본데이타!BQ$8),0))</f>
        <v/>
      </c>
      <c r="BN162" s="638" t="str">
        <f>IF($A162="","",VLOOKUP($A162,기본데이타!$A$8:$BV$103,COLUMN(기본데이타!BR$8),0))</f>
        <v/>
      </c>
      <c r="BO162" s="579" t="str">
        <f>IF($A162="","",VLOOKUP($A162,기본데이타!$A$8:$BV$103,COLUMN(기본데이타!BS$8),0))</f>
        <v/>
      </c>
      <c r="BP162" s="639" t="str">
        <f>IF($A162="","",VLOOKUP($A162,기본데이타!$A$8:$BV$103,COLUMN(기본데이타!BT$8),0))</f>
        <v/>
      </c>
      <c r="BQ162" s="640" t="str">
        <f>IF($A162="","",VLOOKUP($A162,기본데이타!$A$8:$BV$103,COLUMN(기본데이타!BU$8),0))</f>
        <v/>
      </c>
      <c r="BR162" s="625" t="str">
        <f t="shared" si="25"/>
        <v/>
      </c>
    </row>
    <row r="163" spans="1:70" s="571" customFormat="1" ht="61.5" hidden="1" customHeight="1">
      <c r="A163" s="578"/>
      <c r="B163" s="1642"/>
      <c r="C163" s="590"/>
      <c r="D163" s="591" t="str">
        <f>IF($A163="","",VLOOKUP($A163,기본데이타!$A$8:$BV$103,COLUMN(기본데이타!F$8),0))</f>
        <v/>
      </c>
      <c r="E163" s="608" t="str">
        <f>IF($A163="","",VLOOKUP($A163,기본데이타!$A$8:$BV$103,COLUMN(기본데이타!G$8),0))</f>
        <v/>
      </c>
      <c r="F163" s="609" t="str">
        <f>IF($A163="","",VLOOKUP($A163,기본데이타!$A$8:$BV$103,COLUMN(기본데이타!H$8),0))</f>
        <v/>
      </c>
      <c r="G163" s="610" t="str">
        <f>IF($A163="","",VLOOKUP($A163,기본데이타!$A$8:$BV$103,COLUMN(기본데이타!I$8),0))</f>
        <v/>
      </c>
      <c r="H163" s="610" t="str">
        <f>IF($A163="","",VLOOKUP($A163,기본데이타!$A$8:$BV$103,COLUMN(기본데이타!J$8),0))</f>
        <v/>
      </c>
      <c r="I163" s="611" t="str">
        <f>IF($A163="","",VLOOKUP($A163,기본데이타!$A$8:$BV$103,COLUMN(기본데이타!K$8),0))</f>
        <v/>
      </c>
      <c r="J163" s="611" t="str">
        <f>IF($A163="","",VLOOKUP($A163,기본데이타!$A$8:$BV$103,COLUMN(기본데이타!L$8),0))</f>
        <v/>
      </c>
      <c r="K163" s="611" t="str">
        <f>IF($A163="","",VLOOKUP($A163,기본데이타!$A$8:$BV$103,COLUMN(기본데이타!M$8),0))</f>
        <v/>
      </c>
      <c r="L163" s="612" t="str">
        <f>IF($A163="","",VLOOKUP($A163,기본데이타!$A$8:$BV$103,COLUMN(기본데이타!N$8),0))</f>
        <v/>
      </c>
      <c r="M163" s="611" t="str">
        <f>IF($A163="","",VLOOKUP($A163,기본데이타!$A$8:$BV$103,COLUMN(기본데이타!O$8),0))</f>
        <v/>
      </c>
      <c r="N163" s="612" t="str">
        <f>IF($A163="","",VLOOKUP($A163,기본데이타!$A$8:$BV$103,COLUMN(기본데이타!P$8),0))</f>
        <v/>
      </c>
      <c r="O163" s="612" t="str">
        <f>IF($A163="","",VLOOKUP($A163,기본데이타!$A$8:$BV$103,COLUMN(기본데이타!Q$8),0))</f>
        <v/>
      </c>
      <c r="P163" s="612" t="str">
        <f>IF($A163="","",VLOOKUP($A163,기본데이타!$A$8:$BV$103,COLUMN(기본데이타!R$8),0))</f>
        <v/>
      </c>
      <c r="Q163" s="612" t="str">
        <f>IF($A163="","",VLOOKUP($A163,기본데이타!$A$8:$BV$103,COLUMN(기본데이타!S$8),0))</f>
        <v/>
      </c>
      <c r="R163" s="612" t="str">
        <f>IF($A163="","",VLOOKUP($A163,기본데이타!$A$8:$BV$103,COLUMN(기본데이타!T$8),0))</f>
        <v/>
      </c>
      <c r="S163" s="612" t="str">
        <f>IF($A163="","",VLOOKUP($A163,기본데이타!$A$8:$BV$103,COLUMN(기본데이타!U$8),0))</f>
        <v/>
      </c>
      <c r="T163" s="612" t="str">
        <f>IF($A163="","",VLOOKUP($A163,기본데이타!$A$8:$BV$103,COLUMN(기본데이타!V$8),0))</f>
        <v/>
      </c>
      <c r="U163" s="612" t="str">
        <f>IF($A163="","",VLOOKUP($A163,기본데이타!$A$8:$BV$103,COLUMN(기본데이타!W$8),0))</f>
        <v/>
      </c>
      <c r="V163" s="612" t="str">
        <f>IF($A163="","",VLOOKUP($A163,기본데이타!$A$8:$BV$103,COLUMN(기본데이타!X$8),0))</f>
        <v/>
      </c>
      <c r="W163" s="612" t="str">
        <f>IF($A163="","",VLOOKUP($A163,기본데이타!$A$8:$BV$103,COLUMN(기본데이타!AA$8),0))</f>
        <v/>
      </c>
      <c r="X163" s="612" t="str">
        <f>IF($A163="","",VLOOKUP($A163,기본데이타!$A$8:$BV$103,COLUMN(기본데이타!AB$8),0))</f>
        <v/>
      </c>
      <c r="Y163" s="611" t="str">
        <f>IF($A163="","",VLOOKUP($A163,기본데이타!$A$8:$BV$103,COLUMN(기본데이타!AC$8),0))</f>
        <v/>
      </c>
      <c r="Z163" s="612" t="str">
        <f>IF($A163="","",VLOOKUP($A163,기본데이타!$A$8:$BV$103,COLUMN(기본데이타!AD$8),0))</f>
        <v/>
      </c>
      <c r="AA163" s="611" t="str">
        <f>IF($A163="","",VLOOKUP($A163,기본데이타!$A$8:$BV$103,COLUMN(기본데이타!AE$8),0))</f>
        <v/>
      </c>
      <c r="AB163" s="612" t="str">
        <f>IF($A163="","",VLOOKUP($A163,기본데이타!$A$8:$BV$103,COLUMN(기본데이타!AF$8),0))</f>
        <v/>
      </c>
      <c r="AC163" s="611" t="str">
        <f>IF($A163="","",VLOOKUP($A163,기본데이타!$A$8:$BV$103,COLUMN(기본데이타!AG$8),0))</f>
        <v/>
      </c>
      <c r="AD163" s="612" t="str">
        <f>IF($A163="","",VLOOKUP($A163,기본데이타!$A$8:$BV$103,COLUMN(기본데이타!AH$8),0))</f>
        <v/>
      </c>
      <c r="AE163" s="611" t="str">
        <f>IF($A163="","",VLOOKUP($A163,기본데이타!$A$8:$BV$103,COLUMN(기본데이타!AI$8),0))</f>
        <v/>
      </c>
      <c r="AF163" s="613" t="str">
        <f>IF($A163="","",VLOOKUP($A163,기본데이타!$A$8:$BV$103,COLUMN(기본데이타!AJ$8),0))</f>
        <v/>
      </c>
      <c r="AG163" s="621" t="str">
        <f>IF($A163="","",VLOOKUP($A163,기본데이타!$A$8:$BV$103,COLUMN(기본데이타!AK$8),0))</f>
        <v/>
      </c>
      <c r="AH163" s="621" t="str">
        <f>IF($A163="","",VLOOKUP($A163,기본데이타!$A$8:$BV$103,COLUMN(기본데이타!AL$8),0))</f>
        <v/>
      </c>
      <c r="AI163" s="621" t="str">
        <f>IF($A163="","",VLOOKUP($A163,기본데이타!$A$8:$BV$103,COLUMN(기본데이타!AM$8),0))</f>
        <v/>
      </c>
      <c r="AJ163" s="746" t="str">
        <f>IF($A163="","",VLOOKUP($A163,기본데이타!$A$8:$BV$103,COLUMN(기본데이타!AN$8),0))</f>
        <v/>
      </c>
      <c r="AK163" s="746" t="str">
        <f>IF($A163="","",VLOOKUP($A163,기본데이타!$A$8:$BV$103,COLUMN(기본데이타!AO$8),0))</f>
        <v/>
      </c>
      <c r="AL163" s="746" t="str">
        <f>IF($A163="","",VLOOKUP($A163,기본데이타!$A$8:$BV$103,COLUMN(기본데이타!AP$8),0))</f>
        <v/>
      </c>
      <c r="AM163" s="746" t="str">
        <f>IF($A163="","",VLOOKUP($A163,기본데이타!$A$8:$BV$103,COLUMN(기본데이타!AQ$8),0))</f>
        <v/>
      </c>
      <c r="AN163" s="746" t="str">
        <f>IF($A163="","",VLOOKUP($A163,기본데이타!$A$8:$BV$103,COLUMN(기본데이타!AR$8),0))</f>
        <v/>
      </c>
      <c r="AO163" s="746" t="str">
        <f>IF($A163="","",VLOOKUP($A163,기본데이타!$A$8:$BV$103,COLUMN(기본데이타!AS$8),0))</f>
        <v/>
      </c>
      <c r="AP163" s="746" t="str">
        <f>IF($A163="","",VLOOKUP($A163,기본데이타!$A$8:$BV$103,COLUMN(기본데이타!AT$8),0))</f>
        <v/>
      </c>
      <c r="AQ163" s="746" t="str">
        <f>IF($A163="","",VLOOKUP($A163,기본데이타!$A$8:$BV$103,COLUMN(기본데이타!AU$8),0))</f>
        <v/>
      </c>
      <c r="AR163" s="747" t="str">
        <f>IF($A163="","",VLOOKUP($A163,기본데이타!$A$8:$BV$103,COLUMN(기본데이타!AV$8),0))</f>
        <v/>
      </c>
      <c r="AS163" s="612" t="str">
        <f>IF($A163="","",VLOOKUP($A163,기본데이타!$A$8:$BV$103,COLUMN(기본데이타!AW$8),0))</f>
        <v/>
      </c>
      <c r="AT163" s="612" t="str">
        <f>IF($A163="","",VLOOKUP($A163,기본데이타!$A$8:$BV$103,COLUMN(기본데이타!AX$8),0))</f>
        <v/>
      </c>
      <c r="AU163" s="612" t="str">
        <f>IF($A163="","",VLOOKUP($A163,기본데이타!$A$8:$BV$103,COLUMN(기본데이타!AY$8),0))</f>
        <v/>
      </c>
      <c r="AV163" s="612" t="str">
        <f t="shared" si="24"/>
        <v/>
      </c>
      <c r="AW163" s="613" t="str">
        <f>IF($A163="","",VLOOKUP($A163,기본데이타!$A$8:$BV$103,COLUMN(기본데이타!BA$8),0))</f>
        <v/>
      </c>
      <c r="AX163" s="613" t="str">
        <f>IF($A163="","",VLOOKUP($A163,기본데이타!$A$8:$BV$103,COLUMN(기본데이타!BB$8),0))</f>
        <v/>
      </c>
      <c r="AY163" s="613" t="str">
        <f>IF($A163="","",VLOOKUP($A163,기본데이타!$A$8:$BV$103,COLUMN(기본데이타!BC$8),0))</f>
        <v/>
      </c>
      <c r="AZ163" s="613" t="str">
        <f>IF($A163="","",VLOOKUP($A163,기본데이타!$A$8:$BV$103,COLUMN(기본데이타!BD$8),0))</f>
        <v/>
      </c>
      <c r="BA163" s="613" t="str">
        <f>IF($A163="","",VLOOKUP($A163,기본데이타!$A$8:$BV$103,COLUMN(기본데이타!BE$8),0))</f>
        <v/>
      </c>
      <c r="BB163" s="613" t="str">
        <f>IF($A163="","",VLOOKUP($A163,기본데이타!$A$8:$BV$103,COLUMN(기본데이타!BF$8),0))</f>
        <v/>
      </c>
      <c r="BC163" s="613" t="str">
        <f>IF($A163="","",VLOOKUP($A163,기본데이타!$A$8:$BV$103,COLUMN(기본데이타!BG$8),0))</f>
        <v/>
      </c>
      <c r="BD163" s="613" t="str">
        <f>IF($A163="","",VLOOKUP($A163,기본데이타!$A$8:$BV$103,COLUMN(기본데이타!BH$8),0))</f>
        <v/>
      </c>
      <c r="BE163" s="613" t="str">
        <f>IF($A163="","",VLOOKUP($A163,기본데이타!$A$8:$BV$103,COLUMN(기본데이타!BI$8),0))</f>
        <v/>
      </c>
      <c r="BF163" s="613" t="str">
        <f>IF($A163="","",VLOOKUP($A163,기본데이타!$A$8:$BV$103,COLUMN(기본데이타!BJ$8),0))</f>
        <v/>
      </c>
      <c r="BG163" s="613" t="str">
        <f>IF($A163="","",VLOOKUP($A163,기본데이타!$A$8:$BV$103,COLUMN(기본데이타!BK$8),0))</f>
        <v/>
      </c>
      <c r="BH163" s="613" t="str">
        <f>IF($A163="","",VLOOKUP($A163,기본데이타!$A$8:$BV$103,COLUMN(기본데이타!BL$8),0))</f>
        <v/>
      </c>
      <c r="BI163" s="613" t="str">
        <f>IF($A163="","",VLOOKUP($A163,기본데이타!$A$8:$BV$103,COLUMN(기본데이타!BM$8),0))</f>
        <v/>
      </c>
      <c r="BJ163" s="613" t="str">
        <f>IF($A163="","",VLOOKUP($A163,기본데이타!$A$8:$BV$103,COLUMN(기본데이타!BN$8),0))</f>
        <v/>
      </c>
      <c r="BK163" s="613" t="str">
        <f>IF($A163="","",VLOOKUP($A163,기본데이타!$A$8:$BV$103,COLUMN(기본데이타!BO$8),0))</f>
        <v/>
      </c>
      <c r="BL163" s="613" t="str">
        <f>IF($A163="","",VLOOKUP($A163,기본데이타!$A$8:$BV$103,COLUMN(기본데이타!BP$8),0))</f>
        <v/>
      </c>
      <c r="BM163" s="613" t="str">
        <f>IF($A163="","",VLOOKUP($A163,기본데이타!$A$8:$BV$103,COLUMN(기본데이타!BQ$8),0))</f>
        <v/>
      </c>
      <c r="BN163" s="616" t="str">
        <f>IF($A163="","",VLOOKUP($A163,기본데이타!$A$8:$BV$103,COLUMN(기본데이타!BR$8),0))</f>
        <v/>
      </c>
      <c r="BO163" s="617" t="str">
        <f>IF($A163="","",VLOOKUP($A163,기본데이타!$A$8:$BV$103,COLUMN(기본데이타!BS$8),0))</f>
        <v/>
      </c>
      <c r="BP163" s="628" t="str">
        <f>IF($A163="","",VLOOKUP($A163,기본데이타!$A$8:$BV$103,COLUMN(기본데이타!BT$8),0))</f>
        <v/>
      </c>
      <c r="BQ163" s="619" t="str">
        <f>IF($A163="","",VLOOKUP($A163,기본데이타!$A$8:$BV$103,COLUMN(기본데이타!BU$8),0))</f>
        <v/>
      </c>
      <c r="BR163" s="620" t="str">
        <f t="shared" si="25"/>
        <v/>
      </c>
    </row>
    <row r="164" spans="1:70" s="571" customFormat="1" ht="61.5" hidden="1" customHeight="1">
      <c r="A164" s="578"/>
      <c r="B164" s="1642"/>
      <c r="C164" s="590"/>
      <c r="D164" s="658" t="str">
        <f>IF($A164="","",VLOOKUP($A164,기본데이타!$A$8:$BV$103,COLUMN(기본데이타!F$8),0))</f>
        <v/>
      </c>
      <c r="E164" s="659" t="str">
        <f>IF($A164="","",VLOOKUP($A164,기본데이타!$A$8:$BV$103,COLUMN(기본데이타!G$8),0))</f>
        <v/>
      </c>
      <c r="F164" s="660" t="str">
        <f>IF($A164="","",VLOOKUP($A164,기본데이타!$A$8:$BV$103,COLUMN(기본데이타!H$8),0))</f>
        <v/>
      </c>
      <c r="G164" s="661" t="str">
        <f>IF($A164="","",VLOOKUP($A164,기본데이타!$A$8:$BV$103,COLUMN(기본데이타!I$8),0))</f>
        <v/>
      </c>
      <c r="H164" s="661" t="str">
        <f>IF($A164="","",VLOOKUP($A164,기본데이타!$A$8:$BV$103,COLUMN(기본데이타!J$8),0))</f>
        <v/>
      </c>
      <c r="I164" s="662" t="str">
        <f>IF($A164="","",VLOOKUP($A164,기본데이타!$A$8:$BV$103,COLUMN(기본데이타!K$8),0))</f>
        <v/>
      </c>
      <c r="J164" s="662" t="str">
        <f>IF($A164="","",VLOOKUP($A164,기본데이타!$A$8:$BV$103,COLUMN(기본데이타!L$8),0))</f>
        <v/>
      </c>
      <c r="K164" s="662" t="str">
        <f>IF($A164="","",VLOOKUP($A164,기본데이타!$A$8:$BV$103,COLUMN(기본데이타!M$8),0))</f>
        <v/>
      </c>
      <c r="L164" s="663" t="str">
        <f>IF($A164="","",VLOOKUP($A164,기본데이타!$A$8:$BV$103,COLUMN(기본데이타!N$8),0))</f>
        <v/>
      </c>
      <c r="M164" s="662" t="str">
        <f>IF($A164="","",VLOOKUP($A164,기본데이타!$A$8:$BV$103,COLUMN(기본데이타!O$8),0))</f>
        <v/>
      </c>
      <c r="N164" s="663" t="str">
        <f>IF($A164="","",VLOOKUP($A164,기본데이타!$A$8:$BV$103,COLUMN(기본데이타!P$8),0))</f>
        <v/>
      </c>
      <c r="O164" s="663" t="str">
        <f>IF($A164="","",VLOOKUP($A164,기본데이타!$A$8:$BV$103,COLUMN(기본데이타!Q$8),0))</f>
        <v/>
      </c>
      <c r="P164" s="663" t="str">
        <f>IF($A164="","",VLOOKUP($A164,기본데이타!$A$8:$BV$103,COLUMN(기본데이타!R$8),0))</f>
        <v/>
      </c>
      <c r="Q164" s="663" t="str">
        <f>IF($A164="","",VLOOKUP($A164,기본데이타!$A$8:$BV$103,COLUMN(기본데이타!S$8),0))</f>
        <v/>
      </c>
      <c r="R164" s="663" t="str">
        <f>IF($A164="","",VLOOKUP($A164,기본데이타!$A$8:$BV$103,COLUMN(기본데이타!T$8),0))</f>
        <v/>
      </c>
      <c r="S164" s="663" t="str">
        <f>IF($A164="","",VLOOKUP($A164,기본데이타!$A$8:$BV$103,COLUMN(기본데이타!U$8),0))</f>
        <v/>
      </c>
      <c r="T164" s="663" t="str">
        <f>IF($A164="","",VLOOKUP($A164,기본데이타!$A$8:$BV$103,COLUMN(기본데이타!V$8),0))</f>
        <v/>
      </c>
      <c r="U164" s="663" t="str">
        <f>IF($A164="","",VLOOKUP($A164,기본데이타!$A$8:$BV$103,COLUMN(기본데이타!W$8),0))</f>
        <v/>
      </c>
      <c r="V164" s="663" t="str">
        <f>IF($A164="","",VLOOKUP($A164,기본데이타!$A$8:$BV$103,COLUMN(기본데이타!X$8),0))</f>
        <v/>
      </c>
      <c r="W164" s="663" t="str">
        <f>IF($A164="","",VLOOKUP($A164,기본데이타!$A$8:$BV$103,COLUMN(기본데이타!AA$8),0))</f>
        <v/>
      </c>
      <c r="X164" s="663" t="str">
        <f>IF($A164="","",VLOOKUP($A164,기본데이타!$A$8:$BV$103,COLUMN(기본데이타!AB$8),0))</f>
        <v/>
      </c>
      <c r="Y164" s="662" t="str">
        <f>IF($A164="","",VLOOKUP($A164,기본데이타!$A$8:$BV$103,COLUMN(기본데이타!AC$8),0))</f>
        <v/>
      </c>
      <c r="Z164" s="663" t="str">
        <f>IF($A164="","",VLOOKUP($A164,기본데이타!$A$8:$BV$103,COLUMN(기본데이타!AD$8),0))</f>
        <v/>
      </c>
      <c r="AA164" s="662" t="str">
        <f>IF($A164="","",VLOOKUP($A164,기본데이타!$A$8:$BV$103,COLUMN(기본데이타!AE$8),0))</f>
        <v/>
      </c>
      <c r="AB164" s="663" t="str">
        <f>IF($A164="","",VLOOKUP($A164,기본데이타!$A$8:$BV$103,COLUMN(기본데이타!AF$8),0))</f>
        <v/>
      </c>
      <c r="AC164" s="662" t="str">
        <f>IF($A164="","",VLOOKUP($A164,기본데이타!$A$8:$BV$103,COLUMN(기본데이타!AG$8),0))</f>
        <v/>
      </c>
      <c r="AD164" s="663" t="str">
        <f>IF($A164="","",VLOOKUP($A164,기본데이타!$A$8:$BV$103,COLUMN(기본데이타!AH$8),0))</f>
        <v/>
      </c>
      <c r="AE164" s="662" t="str">
        <f>IF($A164="","",VLOOKUP($A164,기본데이타!$A$8:$BV$103,COLUMN(기본데이타!AI$8),0))</f>
        <v/>
      </c>
      <c r="AF164" s="664" t="str">
        <f>IF($A164="","",VLOOKUP($A164,기본데이타!$A$8:$BV$103,COLUMN(기본데이타!AJ$8),0))</f>
        <v/>
      </c>
      <c r="AG164" s="614" t="str">
        <f>IF($A164="","",VLOOKUP($A164,기본데이타!$A$8:$BV$103,COLUMN(기본데이타!AK$8),0))</f>
        <v/>
      </c>
      <c r="AH164" s="614" t="str">
        <f>IF($A164="","",VLOOKUP($A164,기본데이타!$A$8:$BV$103,COLUMN(기본데이타!AL$8),0))</f>
        <v/>
      </c>
      <c r="AI164" s="614" t="str">
        <f>IF($A164="","",VLOOKUP($A164,기본데이타!$A$8:$BV$103,COLUMN(기본데이타!AM$8),0))</f>
        <v/>
      </c>
      <c r="AJ164" s="670" t="str">
        <f>IF($A164="","",VLOOKUP($A164,기본데이타!$A$8:$BV$103,COLUMN(기본데이타!AN$8),0))</f>
        <v/>
      </c>
      <c r="AK164" s="670" t="str">
        <f>IF($A164="","",VLOOKUP($A164,기본데이타!$A$8:$BV$103,COLUMN(기본데이타!AO$8),0))</f>
        <v/>
      </c>
      <c r="AL164" s="670" t="str">
        <f>IF($A164="","",VLOOKUP($A164,기본데이타!$A$8:$BV$103,COLUMN(기본데이타!AP$8),0))</f>
        <v/>
      </c>
      <c r="AM164" s="670" t="str">
        <f>IF($A164="","",VLOOKUP($A164,기본데이타!$A$8:$BV$103,COLUMN(기본데이타!AQ$8),0))</f>
        <v/>
      </c>
      <c r="AN164" s="670" t="str">
        <f>IF($A164="","",VLOOKUP($A164,기본데이타!$A$8:$BV$103,COLUMN(기본데이타!AR$8),0))</f>
        <v/>
      </c>
      <c r="AO164" s="670" t="str">
        <f>IF($A164="","",VLOOKUP($A164,기본데이타!$A$8:$BV$103,COLUMN(기본데이타!AS$8),0))</f>
        <v/>
      </c>
      <c r="AP164" s="670" t="str">
        <f>IF($A164="","",VLOOKUP($A164,기본데이타!$A$8:$BV$103,COLUMN(기본데이타!AT$8),0))</f>
        <v/>
      </c>
      <c r="AQ164" s="670" t="str">
        <f>IF($A164="","",VLOOKUP($A164,기본데이타!$A$8:$BV$103,COLUMN(기본데이타!AU$8),0))</f>
        <v/>
      </c>
      <c r="AR164" s="671" t="str">
        <f>IF($A164="","",VLOOKUP($A164,기본데이타!$A$8:$BV$103,COLUMN(기본데이타!AV$8),0))</f>
        <v/>
      </c>
      <c r="AS164" s="663" t="str">
        <f>IF($A164="","",VLOOKUP($A164,기본데이타!$A$8:$BV$103,COLUMN(기본데이타!AW$8),0))</f>
        <v/>
      </c>
      <c r="AT164" s="663" t="str">
        <f>IF($A164="","",VLOOKUP($A164,기본데이타!$A$8:$BV$103,COLUMN(기본데이타!AX$8),0))</f>
        <v/>
      </c>
      <c r="AU164" s="663" t="str">
        <f>IF($A164="","",VLOOKUP($A164,기본데이타!$A$8:$BV$103,COLUMN(기본데이타!AY$8),0))</f>
        <v/>
      </c>
      <c r="AV164" s="663" t="str">
        <f t="shared" si="24"/>
        <v/>
      </c>
      <c r="AW164" s="664" t="str">
        <f>IF($A164="","",VLOOKUP($A164,기본데이타!$A$8:$BV$103,COLUMN(기본데이타!BA$8),0))</f>
        <v/>
      </c>
      <c r="AX164" s="664" t="str">
        <f>IF($A164="","",VLOOKUP($A164,기본데이타!$A$8:$BV$103,COLUMN(기본데이타!BB$8),0))</f>
        <v/>
      </c>
      <c r="AY164" s="664" t="str">
        <f>IF($A164="","",VLOOKUP($A164,기본데이타!$A$8:$BV$103,COLUMN(기본데이타!BC$8),0))</f>
        <v/>
      </c>
      <c r="AZ164" s="664" t="str">
        <f>IF($A164="","",VLOOKUP($A164,기본데이타!$A$8:$BV$103,COLUMN(기본데이타!BD$8),0))</f>
        <v/>
      </c>
      <c r="BA164" s="664" t="str">
        <f>IF($A164="","",VLOOKUP($A164,기본데이타!$A$8:$BV$103,COLUMN(기본데이타!BE$8),0))</f>
        <v/>
      </c>
      <c r="BB164" s="664" t="str">
        <f>IF($A164="","",VLOOKUP($A164,기본데이타!$A$8:$BV$103,COLUMN(기본데이타!BF$8),0))</f>
        <v/>
      </c>
      <c r="BC164" s="664" t="str">
        <f>IF($A164="","",VLOOKUP($A164,기본데이타!$A$8:$BV$103,COLUMN(기본데이타!BG$8),0))</f>
        <v/>
      </c>
      <c r="BD164" s="664" t="str">
        <f>IF($A164="","",VLOOKUP($A164,기본데이타!$A$8:$BV$103,COLUMN(기본데이타!BH$8),0))</f>
        <v/>
      </c>
      <c r="BE164" s="664" t="str">
        <f>IF($A164="","",VLOOKUP($A164,기본데이타!$A$8:$BV$103,COLUMN(기본데이타!BI$8),0))</f>
        <v/>
      </c>
      <c r="BF164" s="664" t="str">
        <f>IF($A164="","",VLOOKUP($A164,기본데이타!$A$8:$BV$103,COLUMN(기본데이타!BJ$8),0))</f>
        <v/>
      </c>
      <c r="BG164" s="664" t="str">
        <f>IF($A164="","",VLOOKUP($A164,기본데이타!$A$8:$BV$103,COLUMN(기본데이타!BK$8),0))</f>
        <v/>
      </c>
      <c r="BH164" s="664" t="str">
        <f>IF($A164="","",VLOOKUP($A164,기본데이타!$A$8:$BV$103,COLUMN(기본데이타!BL$8),0))</f>
        <v/>
      </c>
      <c r="BI164" s="664" t="str">
        <f>IF($A164="","",VLOOKUP($A164,기본데이타!$A$8:$BV$103,COLUMN(기본데이타!BM$8),0))</f>
        <v/>
      </c>
      <c r="BJ164" s="664" t="str">
        <f>IF($A164="","",VLOOKUP($A164,기본데이타!$A$8:$BV$103,COLUMN(기본데이타!BN$8),0))</f>
        <v/>
      </c>
      <c r="BK164" s="664" t="str">
        <f>IF($A164="","",VLOOKUP($A164,기본데이타!$A$8:$BV$103,COLUMN(기본데이타!BO$8),0))</f>
        <v/>
      </c>
      <c r="BL164" s="664" t="str">
        <f>IF($A164="","",VLOOKUP($A164,기본데이타!$A$8:$BV$103,COLUMN(기본데이타!BP$8),0))</f>
        <v/>
      </c>
      <c r="BM164" s="664" t="str">
        <f>IF($A164="","",VLOOKUP($A164,기본데이타!$A$8:$BV$103,COLUMN(기본데이타!BQ$8),0))</f>
        <v/>
      </c>
      <c r="BN164" s="665" t="str">
        <f>IF($A164="","",VLOOKUP($A164,기본데이타!$A$8:$BV$103,COLUMN(기본데이타!BR$8),0))</f>
        <v/>
      </c>
      <c r="BO164" s="666" t="str">
        <f>IF($A164="","",VLOOKUP($A164,기본데이타!$A$8:$BV$103,COLUMN(기본데이타!BS$8),0))</f>
        <v/>
      </c>
      <c r="BP164" s="667" t="str">
        <f>IF($A164="","",VLOOKUP($A164,기본데이타!$A$8:$BV$103,COLUMN(기본데이타!BT$8),0))</f>
        <v/>
      </c>
      <c r="BQ164" s="668" t="str">
        <f>IF($A164="","",VLOOKUP($A164,기본데이타!$A$8:$BV$103,COLUMN(기본데이타!BU$8),0))</f>
        <v/>
      </c>
      <c r="BR164" s="669" t="str">
        <f t="shared" si="25"/>
        <v/>
      </c>
    </row>
    <row r="165" spans="1:70" s="571" customFormat="1" ht="61.5" hidden="1" customHeight="1">
      <c r="A165" s="578"/>
      <c r="B165" s="1642"/>
      <c r="C165" s="590"/>
      <c r="D165" s="658" t="str">
        <f>IF($A165="","",VLOOKUP($A165,기본데이타!$A$8:$BV$103,COLUMN(기본데이타!F$8),0))</f>
        <v/>
      </c>
      <c r="E165" s="659" t="str">
        <f>IF($A165="","",VLOOKUP($A165,기본데이타!$A$8:$BV$103,COLUMN(기본데이타!G$8),0))</f>
        <v/>
      </c>
      <c r="F165" s="660" t="str">
        <f>IF($A165="","",VLOOKUP($A165,기본데이타!$A$8:$BV$103,COLUMN(기본데이타!H$8),0))</f>
        <v/>
      </c>
      <c r="G165" s="661" t="str">
        <f>IF($A165="","",VLOOKUP($A165,기본데이타!$A$8:$BV$103,COLUMN(기본데이타!I$8),0))</f>
        <v/>
      </c>
      <c r="H165" s="661" t="str">
        <f>IF($A165="","",VLOOKUP($A165,기본데이타!$A$8:$BV$103,COLUMN(기본데이타!J$8),0))</f>
        <v/>
      </c>
      <c r="I165" s="662" t="str">
        <f>IF($A165="","",VLOOKUP($A165,기본데이타!$A$8:$BV$103,COLUMN(기본데이타!K$8),0))</f>
        <v/>
      </c>
      <c r="J165" s="662" t="str">
        <f>IF($A165="","",VLOOKUP($A165,기본데이타!$A$8:$BV$103,COLUMN(기본데이타!L$8),0))</f>
        <v/>
      </c>
      <c r="K165" s="662" t="str">
        <f>IF($A165="","",VLOOKUP($A165,기본데이타!$A$8:$BV$103,COLUMN(기본데이타!M$8),0))</f>
        <v/>
      </c>
      <c r="L165" s="663" t="str">
        <f>IF($A165="","",VLOOKUP($A165,기본데이타!$A$8:$BV$103,COLUMN(기본데이타!N$8),0))</f>
        <v/>
      </c>
      <c r="M165" s="662" t="str">
        <f>IF($A165="","",VLOOKUP($A165,기본데이타!$A$8:$BV$103,COLUMN(기본데이타!O$8),0))</f>
        <v/>
      </c>
      <c r="N165" s="663" t="str">
        <f>IF($A165="","",VLOOKUP($A165,기본데이타!$A$8:$BV$103,COLUMN(기본데이타!P$8),0))</f>
        <v/>
      </c>
      <c r="O165" s="663" t="str">
        <f>IF($A165="","",VLOOKUP($A165,기본데이타!$A$8:$BV$103,COLUMN(기본데이타!Q$8),0))</f>
        <v/>
      </c>
      <c r="P165" s="663" t="str">
        <f>IF($A165="","",VLOOKUP($A165,기본데이타!$A$8:$BV$103,COLUMN(기본데이타!R$8),0))</f>
        <v/>
      </c>
      <c r="Q165" s="663" t="str">
        <f>IF($A165="","",VLOOKUP($A165,기본데이타!$A$8:$BV$103,COLUMN(기본데이타!S$8),0))</f>
        <v/>
      </c>
      <c r="R165" s="663" t="str">
        <f>IF($A165="","",VLOOKUP($A165,기본데이타!$A$8:$BV$103,COLUMN(기본데이타!T$8),0))</f>
        <v/>
      </c>
      <c r="S165" s="663" t="str">
        <f>IF($A165="","",VLOOKUP($A165,기본데이타!$A$8:$BV$103,COLUMN(기본데이타!U$8),0))</f>
        <v/>
      </c>
      <c r="T165" s="663" t="str">
        <f>IF($A165="","",VLOOKUP($A165,기본데이타!$A$8:$BV$103,COLUMN(기본데이타!V$8),0))</f>
        <v/>
      </c>
      <c r="U165" s="663" t="str">
        <f>IF($A165="","",VLOOKUP($A165,기본데이타!$A$8:$BV$103,COLUMN(기본데이타!W$8),0))</f>
        <v/>
      </c>
      <c r="V165" s="663" t="str">
        <f>IF($A165="","",VLOOKUP($A165,기본데이타!$A$8:$BV$103,COLUMN(기본데이타!X$8),0))</f>
        <v/>
      </c>
      <c r="W165" s="663" t="str">
        <f>IF($A165="","",VLOOKUP($A165,기본데이타!$A$8:$BV$103,COLUMN(기본데이타!AA$8),0))</f>
        <v/>
      </c>
      <c r="X165" s="663" t="str">
        <f>IF($A165="","",VLOOKUP($A165,기본데이타!$A$8:$BV$103,COLUMN(기본데이타!AB$8),0))</f>
        <v/>
      </c>
      <c r="Y165" s="662" t="str">
        <f>IF($A165="","",VLOOKUP($A165,기본데이타!$A$8:$BV$103,COLUMN(기본데이타!AC$8),0))</f>
        <v/>
      </c>
      <c r="Z165" s="663" t="str">
        <f>IF($A165="","",VLOOKUP($A165,기본데이타!$A$8:$BV$103,COLUMN(기본데이타!AD$8),0))</f>
        <v/>
      </c>
      <c r="AA165" s="662" t="str">
        <f>IF($A165="","",VLOOKUP($A165,기본데이타!$A$8:$BV$103,COLUMN(기본데이타!AE$8),0))</f>
        <v/>
      </c>
      <c r="AB165" s="663" t="str">
        <f>IF($A165="","",VLOOKUP($A165,기본데이타!$A$8:$BV$103,COLUMN(기본데이타!AF$8),0))</f>
        <v/>
      </c>
      <c r="AC165" s="662" t="str">
        <f>IF($A165="","",VLOOKUP($A165,기본데이타!$A$8:$BV$103,COLUMN(기본데이타!AG$8),0))</f>
        <v/>
      </c>
      <c r="AD165" s="663" t="str">
        <f>IF($A165="","",VLOOKUP($A165,기본데이타!$A$8:$BV$103,COLUMN(기본데이타!AH$8),0))</f>
        <v/>
      </c>
      <c r="AE165" s="662" t="str">
        <f>IF($A165="","",VLOOKUP($A165,기본데이타!$A$8:$BV$103,COLUMN(기본데이타!AI$8),0))</f>
        <v/>
      </c>
      <c r="AF165" s="664" t="str">
        <f>IF($A165="","",VLOOKUP($A165,기본데이타!$A$8:$BV$103,COLUMN(기본데이타!AJ$8),0))</f>
        <v/>
      </c>
      <c r="AG165" s="614" t="str">
        <f>IF($A165="","",VLOOKUP($A165,기본데이타!$A$8:$BV$103,COLUMN(기본데이타!AK$8),0))</f>
        <v/>
      </c>
      <c r="AH165" s="614" t="str">
        <f>IF($A165="","",VLOOKUP($A165,기본데이타!$A$8:$BV$103,COLUMN(기본데이타!AL$8),0))</f>
        <v/>
      </c>
      <c r="AI165" s="614" t="str">
        <f>IF($A165="","",VLOOKUP($A165,기본데이타!$A$8:$BV$103,COLUMN(기본데이타!AM$8),0))</f>
        <v/>
      </c>
      <c r="AJ165" s="670" t="str">
        <f>IF($A165="","",VLOOKUP($A165,기본데이타!$A$8:$BV$103,COLUMN(기본데이타!AN$8),0))</f>
        <v/>
      </c>
      <c r="AK165" s="670" t="str">
        <f>IF($A165="","",VLOOKUP($A165,기본데이타!$A$8:$BV$103,COLUMN(기본데이타!AO$8),0))</f>
        <v/>
      </c>
      <c r="AL165" s="670" t="str">
        <f>IF($A165="","",VLOOKUP($A165,기본데이타!$A$8:$BV$103,COLUMN(기본데이타!AP$8),0))</f>
        <v/>
      </c>
      <c r="AM165" s="670" t="str">
        <f>IF($A165="","",VLOOKUP($A165,기본데이타!$A$8:$BV$103,COLUMN(기본데이타!AQ$8),0))</f>
        <v/>
      </c>
      <c r="AN165" s="670" t="str">
        <f>IF($A165="","",VLOOKUP($A165,기본데이타!$A$8:$BV$103,COLUMN(기본데이타!AR$8),0))</f>
        <v/>
      </c>
      <c r="AO165" s="670" t="str">
        <f>IF($A165="","",VLOOKUP($A165,기본데이타!$A$8:$BV$103,COLUMN(기본데이타!AS$8),0))</f>
        <v/>
      </c>
      <c r="AP165" s="670" t="str">
        <f>IF($A165="","",VLOOKUP($A165,기본데이타!$A$8:$BV$103,COLUMN(기본데이타!AT$8),0))</f>
        <v/>
      </c>
      <c r="AQ165" s="670" t="str">
        <f>IF($A165="","",VLOOKUP($A165,기본데이타!$A$8:$BV$103,COLUMN(기본데이타!AU$8),0))</f>
        <v/>
      </c>
      <c r="AR165" s="671" t="str">
        <f>IF($A165="","",VLOOKUP($A165,기본데이타!$A$8:$BV$103,COLUMN(기본데이타!AV$8),0))</f>
        <v/>
      </c>
      <c r="AS165" s="663" t="str">
        <f>IF($A165="","",VLOOKUP($A165,기본데이타!$A$8:$BV$103,COLUMN(기본데이타!AW$8),0))</f>
        <v/>
      </c>
      <c r="AT165" s="663" t="str">
        <f>IF($A165="","",VLOOKUP($A165,기본데이타!$A$8:$BV$103,COLUMN(기본데이타!AX$8),0))</f>
        <v/>
      </c>
      <c r="AU165" s="663" t="str">
        <f>IF($A165="","",VLOOKUP($A165,기본데이타!$A$8:$BV$103,COLUMN(기본데이타!AY$8),0))</f>
        <v/>
      </c>
      <c r="AV165" s="663" t="str">
        <f t="shared" si="24"/>
        <v/>
      </c>
      <c r="AW165" s="664" t="str">
        <f>IF($A165="","",VLOOKUP($A165,기본데이타!$A$8:$BV$103,COLUMN(기본데이타!BA$8),0))</f>
        <v/>
      </c>
      <c r="AX165" s="664" t="str">
        <f>IF($A165="","",VLOOKUP($A165,기본데이타!$A$8:$BV$103,COLUMN(기본데이타!BB$8),0))</f>
        <v/>
      </c>
      <c r="AY165" s="664" t="str">
        <f>IF($A165="","",VLOOKUP($A165,기본데이타!$A$8:$BV$103,COLUMN(기본데이타!BC$8),0))</f>
        <v/>
      </c>
      <c r="AZ165" s="664" t="str">
        <f>IF($A165="","",VLOOKUP($A165,기본데이타!$A$8:$BV$103,COLUMN(기본데이타!BD$8),0))</f>
        <v/>
      </c>
      <c r="BA165" s="664" t="str">
        <f>IF($A165="","",VLOOKUP($A165,기본데이타!$A$8:$BV$103,COLUMN(기본데이타!BE$8),0))</f>
        <v/>
      </c>
      <c r="BB165" s="664" t="str">
        <f>IF($A165="","",VLOOKUP($A165,기본데이타!$A$8:$BV$103,COLUMN(기본데이타!BF$8),0))</f>
        <v/>
      </c>
      <c r="BC165" s="664" t="str">
        <f>IF($A165="","",VLOOKUP($A165,기본데이타!$A$8:$BV$103,COLUMN(기본데이타!BG$8),0))</f>
        <v/>
      </c>
      <c r="BD165" s="664" t="str">
        <f>IF($A165="","",VLOOKUP($A165,기본데이타!$A$8:$BV$103,COLUMN(기본데이타!BH$8),0))</f>
        <v/>
      </c>
      <c r="BE165" s="664" t="str">
        <f>IF($A165="","",VLOOKUP($A165,기본데이타!$A$8:$BV$103,COLUMN(기본데이타!BI$8),0))</f>
        <v/>
      </c>
      <c r="BF165" s="664" t="str">
        <f>IF($A165="","",VLOOKUP($A165,기본데이타!$A$8:$BV$103,COLUMN(기본데이타!BJ$8),0))</f>
        <v/>
      </c>
      <c r="BG165" s="664" t="str">
        <f>IF($A165="","",VLOOKUP($A165,기본데이타!$A$8:$BV$103,COLUMN(기본데이타!BK$8),0))</f>
        <v/>
      </c>
      <c r="BH165" s="664" t="str">
        <f>IF($A165="","",VLOOKUP($A165,기본데이타!$A$8:$BV$103,COLUMN(기본데이타!BL$8),0))</f>
        <v/>
      </c>
      <c r="BI165" s="664" t="str">
        <f>IF($A165="","",VLOOKUP($A165,기본데이타!$A$8:$BV$103,COLUMN(기본데이타!BM$8),0))</f>
        <v/>
      </c>
      <c r="BJ165" s="664" t="str">
        <f>IF($A165="","",VLOOKUP($A165,기본데이타!$A$8:$BV$103,COLUMN(기본데이타!BN$8),0))</f>
        <v/>
      </c>
      <c r="BK165" s="664" t="str">
        <f>IF($A165="","",VLOOKUP($A165,기본데이타!$A$8:$BV$103,COLUMN(기본데이타!BO$8),0))</f>
        <v/>
      </c>
      <c r="BL165" s="664" t="str">
        <f>IF($A165="","",VLOOKUP($A165,기본데이타!$A$8:$BV$103,COLUMN(기본데이타!BP$8),0))</f>
        <v/>
      </c>
      <c r="BM165" s="664" t="str">
        <f>IF($A165="","",VLOOKUP($A165,기본데이타!$A$8:$BV$103,COLUMN(기본데이타!BQ$8),0))</f>
        <v/>
      </c>
      <c r="BN165" s="665" t="str">
        <f>IF($A165="","",VLOOKUP($A165,기본데이타!$A$8:$BV$103,COLUMN(기본데이타!BR$8),0))</f>
        <v/>
      </c>
      <c r="BO165" s="666" t="str">
        <f>IF($A165="","",VLOOKUP($A165,기본데이타!$A$8:$BV$103,COLUMN(기본데이타!BS$8),0))</f>
        <v/>
      </c>
      <c r="BP165" s="667" t="str">
        <f>IF($A165="","",VLOOKUP($A165,기본데이타!$A$8:$BV$103,COLUMN(기본데이타!BT$8),0))</f>
        <v/>
      </c>
      <c r="BQ165" s="668" t="str">
        <f>IF($A165="","",VLOOKUP($A165,기본데이타!$A$8:$BV$103,COLUMN(기본데이타!BU$8),0))</f>
        <v/>
      </c>
      <c r="BR165" s="669" t="str">
        <f t="shared" si="25"/>
        <v/>
      </c>
    </row>
    <row r="166" spans="1:70" s="571" customFormat="1" ht="61.5" hidden="1" customHeight="1">
      <c r="A166" s="578"/>
      <c r="B166" s="1642"/>
      <c r="C166" s="590"/>
      <c r="D166" s="1490" t="str">
        <f>IF($A166="","",VLOOKUP($A166,기본데이타!$A$8:$BV$103,COLUMN(기본데이타!F$8),0))</f>
        <v/>
      </c>
      <c r="E166" s="1491" t="str">
        <f>IF($A166="","",VLOOKUP($A166,기본데이타!$A$8:$BV$103,COLUMN(기본데이타!G$8),0))</f>
        <v/>
      </c>
      <c r="F166" s="1492" t="str">
        <f>IF($A166="","",VLOOKUP($A166,기본데이타!$A$8:$BV$103,COLUMN(기본데이타!H$8),0))</f>
        <v/>
      </c>
      <c r="G166" s="1493" t="str">
        <f>IF($A166="","",VLOOKUP($A166,기본데이타!$A$8:$BV$103,COLUMN(기본데이타!I$8),0))</f>
        <v/>
      </c>
      <c r="H166" s="1493" t="str">
        <f>IF($A166="","",VLOOKUP($A166,기본데이타!$A$8:$BV$103,COLUMN(기본데이타!J$8),0))</f>
        <v/>
      </c>
      <c r="I166" s="1494" t="str">
        <f>IF($A166="","",VLOOKUP($A166,기본데이타!$A$8:$BV$103,COLUMN(기본데이타!K$8),0))</f>
        <v/>
      </c>
      <c r="J166" s="1494" t="str">
        <f>IF($A166="","",VLOOKUP($A166,기본데이타!$A$8:$BV$103,COLUMN(기본데이타!L$8),0))</f>
        <v/>
      </c>
      <c r="K166" s="1494" t="str">
        <f>IF($A166="","",VLOOKUP($A166,기본데이타!$A$8:$BV$103,COLUMN(기본데이타!M$8),0))</f>
        <v/>
      </c>
      <c r="L166" s="1495" t="str">
        <f>IF($A166="","",VLOOKUP($A166,기본데이타!$A$8:$BV$103,COLUMN(기본데이타!N$8),0))</f>
        <v/>
      </c>
      <c r="M166" s="1494" t="str">
        <f>IF($A166="","",VLOOKUP($A166,기본데이타!$A$8:$BV$103,COLUMN(기본데이타!O$8),0))</f>
        <v/>
      </c>
      <c r="N166" s="1495" t="str">
        <f>IF($A166="","",VLOOKUP($A166,기본데이타!$A$8:$BV$103,COLUMN(기본데이타!P$8),0))</f>
        <v/>
      </c>
      <c r="O166" s="1495" t="str">
        <f>IF($A166="","",VLOOKUP($A166,기본데이타!$A$8:$BV$103,COLUMN(기본데이타!Q$8),0))</f>
        <v/>
      </c>
      <c r="P166" s="1495" t="str">
        <f>IF($A166="","",VLOOKUP($A166,기본데이타!$A$8:$BV$103,COLUMN(기본데이타!R$8),0))</f>
        <v/>
      </c>
      <c r="Q166" s="1495" t="str">
        <f>IF($A166="","",VLOOKUP($A166,기본데이타!$A$8:$BV$103,COLUMN(기본데이타!S$8),0))</f>
        <v/>
      </c>
      <c r="R166" s="1495" t="str">
        <f>IF($A166="","",VLOOKUP($A166,기본데이타!$A$8:$BV$103,COLUMN(기본데이타!T$8),0))</f>
        <v/>
      </c>
      <c r="S166" s="1495" t="str">
        <f>IF($A166="","",VLOOKUP($A166,기본데이타!$A$8:$BV$103,COLUMN(기본데이타!U$8),0))</f>
        <v/>
      </c>
      <c r="T166" s="1495" t="str">
        <f>IF($A166="","",VLOOKUP($A166,기본데이타!$A$8:$BV$103,COLUMN(기본데이타!V$8),0))</f>
        <v/>
      </c>
      <c r="U166" s="1495" t="str">
        <f>IF($A166="","",VLOOKUP($A166,기본데이타!$A$8:$BV$103,COLUMN(기본데이타!W$8),0))</f>
        <v/>
      </c>
      <c r="V166" s="1495" t="str">
        <f>IF($A166="","",VLOOKUP($A166,기본데이타!$A$8:$BV$103,COLUMN(기본데이타!X$8),0))</f>
        <v/>
      </c>
      <c r="W166" s="1495" t="str">
        <f>IF($A166="","",VLOOKUP($A166,기본데이타!$A$8:$BV$103,COLUMN(기본데이타!AA$8),0))</f>
        <v/>
      </c>
      <c r="X166" s="1495" t="str">
        <f>IF($A166="","",VLOOKUP($A166,기본데이타!$A$8:$BV$103,COLUMN(기본데이타!AB$8),0))</f>
        <v/>
      </c>
      <c r="Y166" s="1494" t="str">
        <f>IF($A166="","",VLOOKUP($A166,기본데이타!$A$8:$BV$103,COLUMN(기본데이타!AC$8),0))</f>
        <v/>
      </c>
      <c r="Z166" s="1495" t="str">
        <f>IF($A166="","",VLOOKUP($A166,기본데이타!$A$8:$BV$103,COLUMN(기본데이타!AD$8),0))</f>
        <v/>
      </c>
      <c r="AA166" s="1494" t="str">
        <f>IF($A166="","",VLOOKUP($A166,기본데이타!$A$8:$BV$103,COLUMN(기본데이타!AE$8),0))</f>
        <v/>
      </c>
      <c r="AB166" s="1495" t="str">
        <f>IF($A166="","",VLOOKUP($A166,기본데이타!$A$8:$BV$103,COLUMN(기본데이타!AF$8),0))</f>
        <v/>
      </c>
      <c r="AC166" s="1494" t="str">
        <f>IF($A166="","",VLOOKUP($A166,기본데이타!$A$8:$BV$103,COLUMN(기본데이타!AG$8),0))</f>
        <v/>
      </c>
      <c r="AD166" s="1495" t="str">
        <f>IF($A166="","",VLOOKUP($A166,기본데이타!$A$8:$BV$103,COLUMN(기본데이타!AH$8),0))</f>
        <v/>
      </c>
      <c r="AE166" s="1494" t="str">
        <f>IF($A166="","",VLOOKUP($A166,기본데이타!$A$8:$BV$103,COLUMN(기본데이타!AI$8),0))</f>
        <v/>
      </c>
      <c r="AF166" s="1496" t="str">
        <f>IF($A166="","",VLOOKUP($A166,기본데이타!$A$8:$BV$103,COLUMN(기본데이타!AJ$8),0))</f>
        <v/>
      </c>
      <c r="AG166" s="1609" t="str">
        <f>IF($A166="","",VLOOKUP($A166,기본데이타!$A$8:$BV$103,COLUMN(기본데이타!AK$8),0))</f>
        <v/>
      </c>
      <c r="AH166" s="1609" t="str">
        <f>IF($A166="","",VLOOKUP($A166,기본데이타!$A$8:$BV$103,COLUMN(기본데이타!AL$8),0))</f>
        <v/>
      </c>
      <c r="AI166" s="1609" t="str">
        <f>IF($A166="","",VLOOKUP($A166,기본데이타!$A$8:$BV$103,COLUMN(기본데이타!AM$8),0))</f>
        <v/>
      </c>
      <c r="AJ166" s="1497" t="str">
        <f>IF($A166="","",VLOOKUP($A166,기본데이타!$A$8:$BV$103,COLUMN(기본데이타!AN$8),0))</f>
        <v/>
      </c>
      <c r="AK166" s="1497" t="str">
        <f>IF($A166="","",VLOOKUP($A166,기본데이타!$A$8:$BV$103,COLUMN(기본데이타!AO$8),0))</f>
        <v/>
      </c>
      <c r="AL166" s="1497" t="str">
        <f>IF($A166="","",VLOOKUP($A166,기본데이타!$A$8:$BV$103,COLUMN(기본데이타!AP$8),0))</f>
        <v/>
      </c>
      <c r="AM166" s="1497" t="str">
        <f>IF($A166="","",VLOOKUP($A166,기본데이타!$A$8:$BV$103,COLUMN(기본데이타!AQ$8),0))</f>
        <v/>
      </c>
      <c r="AN166" s="1497" t="str">
        <f>IF($A166="","",VLOOKUP($A166,기본데이타!$A$8:$BV$103,COLUMN(기본데이타!AR$8),0))</f>
        <v/>
      </c>
      <c r="AO166" s="1497" t="str">
        <f>IF($A166="","",VLOOKUP($A166,기본데이타!$A$8:$BV$103,COLUMN(기본데이타!AS$8),0))</f>
        <v/>
      </c>
      <c r="AP166" s="1497" t="str">
        <f>IF($A166="","",VLOOKUP($A166,기본데이타!$A$8:$BV$103,COLUMN(기본데이타!AT$8),0))</f>
        <v/>
      </c>
      <c r="AQ166" s="1497" t="str">
        <f>IF($A166="","",VLOOKUP($A166,기본데이타!$A$8:$BV$103,COLUMN(기본데이타!AU$8),0))</f>
        <v/>
      </c>
      <c r="AR166" s="1498" t="str">
        <f>IF($A166="","",VLOOKUP($A166,기본데이타!$A$8:$BV$103,COLUMN(기본데이타!AV$8),0))</f>
        <v/>
      </c>
      <c r="AS166" s="1495" t="str">
        <f>IF($A166="","",VLOOKUP($A166,기본데이타!$A$8:$BV$103,COLUMN(기본데이타!AW$8),0))</f>
        <v/>
      </c>
      <c r="AT166" s="1495" t="str">
        <f>IF($A166="","",VLOOKUP($A166,기본데이타!$A$8:$BV$103,COLUMN(기본데이타!AX$8),0))</f>
        <v/>
      </c>
      <c r="AU166" s="1495" t="str">
        <f>IF($A166="","",VLOOKUP($A166,기본데이타!$A$8:$BV$103,COLUMN(기본데이타!AY$8),0))</f>
        <v/>
      </c>
      <c r="AV166" s="1495" t="str">
        <f t="shared" si="24"/>
        <v/>
      </c>
      <c r="AW166" s="1496" t="str">
        <f>IF($A166="","",VLOOKUP($A166,기본데이타!$A$8:$BV$103,COLUMN(기본데이타!BA$8),0))</f>
        <v/>
      </c>
      <c r="AX166" s="1496" t="str">
        <f>IF($A166="","",VLOOKUP($A166,기본데이타!$A$8:$BV$103,COLUMN(기본데이타!BB$8),0))</f>
        <v/>
      </c>
      <c r="AY166" s="1496" t="str">
        <f>IF($A166="","",VLOOKUP($A166,기본데이타!$A$8:$BV$103,COLUMN(기본데이타!BC$8),0))</f>
        <v/>
      </c>
      <c r="AZ166" s="1496" t="str">
        <f>IF($A166="","",VLOOKUP($A166,기본데이타!$A$8:$BV$103,COLUMN(기본데이타!BD$8),0))</f>
        <v/>
      </c>
      <c r="BA166" s="1496" t="str">
        <f>IF($A166="","",VLOOKUP($A166,기본데이타!$A$8:$BV$103,COLUMN(기본데이타!BE$8),0))</f>
        <v/>
      </c>
      <c r="BB166" s="1496" t="str">
        <f>IF($A166="","",VLOOKUP($A166,기본데이타!$A$8:$BV$103,COLUMN(기본데이타!BF$8),0))</f>
        <v/>
      </c>
      <c r="BC166" s="1496" t="str">
        <f>IF($A166="","",VLOOKUP($A166,기본데이타!$A$8:$BV$103,COLUMN(기본데이타!BG$8),0))</f>
        <v/>
      </c>
      <c r="BD166" s="1496" t="str">
        <f>IF($A166="","",VLOOKUP($A166,기본데이타!$A$8:$BV$103,COLUMN(기본데이타!BH$8),0))</f>
        <v/>
      </c>
      <c r="BE166" s="1496" t="str">
        <f>IF($A166="","",VLOOKUP($A166,기본데이타!$A$8:$BV$103,COLUMN(기본데이타!BI$8),0))</f>
        <v/>
      </c>
      <c r="BF166" s="1496" t="str">
        <f>IF($A166="","",VLOOKUP($A166,기본데이타!$A$8:$BV$103,COLUMN(기본데이타!BJ$8),0))</f>
        <v/>
      </c>
      <c r="BG166" s="1496" t="str">
        <f>IF($A166="","",VLOOKUP($A166,기본데이타!$A$8:$BV$103,COLUMN(기본데이타!BK$8),0))</f>
        <v/>
      </c>
      <c r="BH166" s="1496" t="str">
        <f>IF($A166="","",VLOOKUP($A166,기본데이타!$A$8:$BV$103,COLUMN(기본데이타!BL$8),0))</f>
        <v/>
      </c>
      <c r="BI166" s="1496" t="str">
        <f>IF($A166="","",VLOOKUP($A166,기본데이타!$A$8:$BV$103,COLUMN(기본데이타!BM$8),0))</f>
        <v/>
      </c>
      <c r="BJ166" s="1496" t="str">
        <f>IF($A166="","",VLOOKUP($A166,기본데이타!$A$8:$BV$103,COLUMN(기본데이타!BN$8),0))</f>
        <v/>
      </c>
      <c r="BK166" s="1496" t="str">
        <f>IF($A166="","",VLOOKUP($A166,기본데이타!$A$8:$BV$103,COLUMN(기본데이타!BO$8),0))</f>
        <v/>
      </c>
      <c r="BL166" s="1496" t="str">
        <f>IF($A166="","",VLOOKUP($A166,기본데이타!$A$8:$BV$103,COLUMN(기본데이타!BP$8),0))</f>
        <v/>
      </c>
      <c r="BM166" s="1496" t="str">
        <f>IF($A166="","",VLOOKUP($A166,기본데이타!$A$8:$BV$103,COLUMN(기본데이타!BQ$8),0))</f>
        <v/>
      </c>
      <c r="BN166" s="1499" t="str">
        <f>IF($A166="","",VLOOKUP($A166,기본데이타!$A$8:$BV$103,COLUMN(기본데이타!BR$8),0))</f>
        <v/>
      </c>
      <c r="BO166" s="1500" t="str">
        <f>IF($A166="","",VLOOKUP($A166,기본데이타!$A$8:$BV$103,COLUMN(기본데이타!BS$8),0))</f>
        <v/>
      </c>
      <c r="BP166" s="1501" t="str">
        <f>IF($A166="","",VLOOKUP($A166,기본데이타!$A$8:$BV$103,COLUMN(기본데이타!BT$8),0))</f>
        <v/>
      </c>
      <c r="BQ166" s="1502" t="str">
        <f>IF($A166="","",VLOOKUP($A166,기본데이타!$A$8:$BV$103,COLUMN(기본데이타!BU$8),0))</f>
        <v/>
      </c>
      <c r="BR166" s="1503" t="str">
        <f t="shared" si="25"/>
        <v/>
      </c>
    </row>
    <row r="167" spans="1:70" s="571" customFormat="1" ht="61.5" hidden="1" customHeight="1">
      <c r="A167" s="578"/>
      <c r="B167" s="1642"/>
      <c r="C167" s="590"/>
      <c r="D167" s="629" t="str">
        <f>IF($A167="","",VLOOKUP($A167,기본데이타!$A$8:$BV$103,COLUMN(기본데이타!F$8),0))</f>
        <v/>
      </c>
      <c r="E167" s="630" t="str">
        <f>IF($A167="","",VLOOKUP($A167,기본데이타!$A$8:$BV$103,COLUMN(기본데이타!G$8),0))</f>
        <v/>
      </c>
      <c r="F167" s="631" t="str">
        <f>IF($A167="","",VLOOKUP($A167,기본데이타!$A$8:$BV$103,COLUMN(기본데이타!H$8),0))</f>
        <v/>
      </c>
      <c r="G167" s="632" t="str">
        <f>IF($A167="","",VLOOKUP($A167,기본데이타!$A$8:$BV$103,COLUMN(기본데이타!I$8),0))</f>
        <v/>
      </c>
      <c r="H167" s="632" t="str">
        <f>IF($A167="","",VLOOKUP($A167,기본데이타!$A$8:$BV$103,COLUMN(기본데이타!J$8),0))</f>
        <v/>
      </c>
      <c r="I167" s="633" t="str">
        <f>IF($A167="","",VLOOKUP($A167,기본데이타!$A$8:$BV$103,COLUMN(기본데이타!K$8),0))</f>
        <v/>
      </c>
      <c r="J167" s="633" t="str">
        <f>IF($A167="","",VLOOKUP($A167,기본데이타!$A$8:$BV$103,COLUMN(기본데이타!L$8),0))</f>
        <v/>
      </c>
      <c r="K167" s="633" t="str">
        <f>IF($A167="","",VLOOKUP($A167,기본데이타!$A$8:$BV$103,COLUMN(기본데이타!M$8),0))</f>
        <v/>
      </c>
      <c r="L167" s="634" t="str">
        <f>IF($A167="","",VLOOKUP($A167,기본데이타!$A$8:$BV$103,COLUMN(기본데이타!N$8),0))</f>
        <v/>
      </c>
      <c r="M167" s="633" t="str">
        <f>IF($A167="","",VLOOKUP($A167,기본데이타!$A$8:$BV$103,COLUMN(기본데이타!O$8),0))</f>
        <v/>
      </c>
      <c r="N167" s="634" t="str">
        <f>IF($A167="","",VLOOKUP($A167,기본데이타!$A$8:$BV$103,COLUMN(기본데이타!P$8),0))</f>
        <v/>
      </c>
      <c r="O167" s="634" t="str">
        <f>IF($A167="","",VLOOKUP($A167,기본데이타!$A$8:$BV$103,COLUMN(기본데이타!Q$8),0))</f>
        <v/>
      </c>
      <c r="P167" s="634" t="str">
        <f>IF($A167="","",VLOOKUP($A167,기본데이타!$A$8:$BV$103,COLUMN(기본데이타!R$8),0))</f>
        <v/>
      </c>
      <c r="Q167" s="634" t="str">
        <f>IF($A167="","",VLOOKUP($A167,기본데이타!$A$8:$BV$103,COLUMN(기본데이타!S$8),0))</f>
        <v/>
      </c>
      <c r="R167" s="634" t="str">
        <f>IF($A167="","",VLOOKUP($A167,기본데이타!$A$8:$BV$103,COLUMN(기본데이타!T$8),0))</f>
        <v/>
      </c>
      <c r="S167" s="634" t="str">
        <f>IF($A167="","",VLOOKUP($A167,기본데이타!$A$8:$BV$103,COLUMN(기본데이타!U$8),0))</f>
        <v/>
      </c>
      <c r="T167" s="634" t="str">
        <f>IF($A167="","",VLOOKUP($A167,기본데이타!$A$8:$BV$103,COLUMN(기본데이타!V$8),0))</f>
        <v/>
      </c>
      <c r="U167" s="634" t="str">
        <f>IF($A167="","",VLOOKUP($A167,기본데이타!$A$8:$BV$103,COLUMN(기본데이타!W$8),0))</f>
        <v/>
      </c>
      <c r="V167" s="634" t="str">
        <f>IF($A167="","",VLOOKUP($A167,기본데이타!$A$8:$BV$103,COLUMN(기본데이타!X$8),0))</f>
        <v/>
      </c>
      <c r="W167" s="634" t="str">
        <f>IF($A167="","",VLOOKUP($A167,기본데이타!$A$8:$BV$103,COLUMN(기본데이타!AA$8),0))</f>
        <v/>
      </c>
      <c r="X167" s="634" t="str">
        <f>IF($A167="","",VLOOKUP($A167,기본데이타!$A$8:$BV$103,COLUMN(기본데이타!AB$8),0))</f>
        <v/>
      </c>
      <c r="Y167" s="633" t="str">
        <f>IF($A167="","",VLOOKUP($A167,기본데이타!$A$8:$BV$103,COLUMN(기본데이타!AC$8),0))</f>
        <v/>
      </c>
      <c r="Z167" s="634" t="str">
        <f>IF($A167="","",VLOOKUP($A167,기본데이타!$A$8:$BV$103,COLUMN(기본데이타!AD$8),0))</f>
        <v/>
      </c>
      <c r="AA167" s="633" t="str">
        <f>IF($A167="","",VLOOKUP($A167,기본데이타!$A$8:$BV$103,COLUMN(기본데이타!AE$8),0))</f>
        <v/>
      </c>
      <c r="AB167" s="634" t="str">
        <f>IF($A167="","",VLOOKUP($A167,기본데이타!$A$8:$BV$103,COLUMN(기본데이타!AF$8),0))</f>
        <v/>
      </c>
      <c r="AC167" s="633" t="str">
        <f>IF($A167="","",VLOOKUP($A167,기본데이타!$A$8:$BV$103,COLUMN(기본데이타!AG$8),0))</f>
        <v/>
      </c>
      <c r="AD167" s="634" t="str">
        <f>IF($A167="","",VLOOKUP($A167,기본데이타!$A$8:$BV$103,COLUMN(기본데이타!AH$8),0))</f>
        <v/>
      </c>
      <c r="AE167" s="633" t="str">
        <f>IF($A167="","",VLOOKUP($A167,기본데이타!$A$8:$BV$103,COLUMN(기본데이타!AI$8),0))</f>
        <v/>
      </c>
      <c r="AF167" s="635" t="str">
        <f>IF($A167="","",VLOOKUP($A167,기본데이타!$A$8:$BV$103,COLUMN(기본데이타!AJ$8),0))</f>
        <v/>
      </c>
      <c r="AG167" s="580" t="str">
        <f>IF($A167="","",VLOOKUP($A167,기본데이타!$A$8:$BV$103,COLUMN(기본데이타!AK$8),0))</f>
        <v/>
      </c>
      <c r="AH167" s="580" t="str">
        <f>IF($A167="","",VLOOKUP($A167,기본데이타!$A$8:$BV$103,COLUMN(기본데이타!AL$8),0))</f>
        <v/>
      </c>
      <c r="AI167" s="580" t="str">
        <f>IF($A167="","",VLOOKUP($A167,기본데이타!$A$8:$BV$103,COLUMN(기본데이타!AM$8),0))</f>
        <v/>
      </c>
      <c r="AJ167" s="636" t="str">
        <f>IF($A167="","",VLOOKUP($A167,기본데이타!$A$8:$BV$103,COLUMN(기본데이타!AN$8),0))</f>
        <v/>
      </c>
      <c r="AK167" s="636" t="str">
        <f>IF($A167="","",VLOOKUP($A167,기본데이타!$A$8:$BV$103,COLUMN(기본데이타!AO$8),0))</f>
        <v/>
      </c>
      <c r="AL167" s="636" t="str">
        <f>IF($A167="","",VLOOKUP($A167,기본데이타!$A$8:$BV$103,COLUMN(기본데이타!AP$8),0))</f>
        <v/>
      </c>
      <c r="AM167" s="636" t="str">
        <f>IF($A167="","",VLOOKUP($A167,기본데이타!$A$8:$BV$103,COLUMN(기본데이타!AQ$8),0))</f>
        <v/>
      </c>
      <c r="AN167" s="636" t="str">
        <f>IF($A167="","",VLOOKUP($A167,기본데이타!$A$8:$BV$103,COLUMN(기본데이타!AR$8),0))</f>
        <v/>
      </c>
      <c r="AO167" s="636" t="str">
        <f>IF($A167="","",VLOOKUP($A167,기본데이타!$A$8:$BV$103,COLUMN(기본데이타!AS$8),0))</f>
        <v/>
      </c>
      <c r="AP167" s="636" t="str">
        <f>IF($A167="","",VLOOKUP($A167,기본데이타!$A$8:$BV$103,COLUMN(기본데이타!AT$8),0))</f>
        <v/>
      </c>
      <c r="AQ167" s="636" t="str">
        <f>IF($A167="","",VLOOKUP($A167,기본데이타!$A$8:$BV$103,COLUMN(기본데이타!AU$8),0))</f>
        <v/>
      </c>
      <c r="AR167" s="637" t="str">
        <f>IF($A167="","",VLOOKUP($A167,기본데이타!$A$8:$BV$103,COLUMN(기본데이타!AV$8),0))</f>
        <v/>
      </c>
      <c r="AS167" s="634" t="str">
        <f>IF($A167="","",VLOOKUP($A167,기본데이타!$A$8:$BV$103,COLUMN(기본데이타!AW$8),0))</f>
        <v/>
      </c>
      <c r="AT167" s="634" t="str">
        <f>IF($A167="","",VLOOKUP($A167,기본데이타!$A$8:$BV$103,COLUMN(기본데이타!AX$8),0))</f>
        <v/>
      </c>
      <c r="AU167" s="634" t="str">
        <f>IF($A167="","",VLOOKUP($A167,기본데이타!$A$8:$BV$103,COLUMN(기본데이타!AY$8),0))</f>
        <v/>
      </c>
      <c r="AV167" s="634" t="str">
        <f>IF(AS167="","",SUM(AS167:AU167))</f>
        <v/>
      </c>
      <c r="AW167" s="635" t="str">
        <f>IF($A167="","",VLOOKUP($A167,기본데이타!$A$8:$BV$103,COLUMN(기본데이타!BA$8),0))</f>
        <v/>
      </c>
      <c r="AX167" s="635" t="str">
        <f>IF($A167="","",VLOOKUP($A167,기본데이타!$A$8:$BV$103,COLUMN(기본데이타!BB$8),0))</f>
        <v/>
      </c>
      <c r="AY167" s="635" t="str">
        <f>IF($A167="","",VLOOKUP($A167,기본데이타!$A$8:$BV$103,COLUMN(기본데이타!BC$8),0))</f>
        <v/>
      </c>
      <c r="AZ167" s="635" t="str">
        <f>IF($A167="","",VLOOKUP($A167,기본데이타!$A$8:$BV$103,COLUMN(기본데이타!BD$8),0))</f>
        <v/>
      </c>
      <c r="BA167" s="635" t="str">
        <f>IF($A167="","",VLOOKUP($A167,기본데이타!$A$8:$BV$103,COLUMN(기본데이타!BE$8),0))</f>
        <v/>
      </c>
      <c r="BB167" s="635" t="str">
        <f>IF($A167="","",VLOOKUP($A167,기본데이타!$A$8:$BV$103,COLUMN(기본데이타!BF$8),0))</f>
        <v/>
      </c>
      <c r="BC167" s="635" t="str">
        <f>IF($A167="","",VLOOKUP($A167,기본데이타!$A$8:$BV$103,COLUMN(기본데이타!BG$8),0))</f>
        <v/>
      </c>
      <c r="BD167" s="635" t="str">
        <f>IF($A167="","",VLOOKUP($A167,기본데이타!$A$8:$BV$103,COLUMN(기본데이타!BH$8),0))</f>
        <v/>
      </c>
      <c r="BE167" s="635" t="str">
        <f>IF($A167="","",VLOOKUP($A167,기본데이타!$A$8:$BV$103,COLUMN(기본데이타!BI$8),0))</f>
        <v/>
      </c>
      <c r="BF167" s="635" t="str">
        <f>IF($A167="","",VLOOKUP($A167,기본데이타!$A$8:$BV$103,COLUMN(기본데이타!BJ$8),0))</f>
        <v/>
      </c>
      <c r="BG167" s="635" t="str">
        <f>IF($A167="","",VLOOKUP($A167,기본데이타!$A$8:$BV$103,COLUMN(기본데이타!BK$8),0))</f>
        <v/>
      </c>
      <c r="BH167" s="635" t="str">
        <f>IF($A167="","",VLOOKUP($A167,기본데이타!$A$8:$BV$103,COLUMN(기본데이타!BL$8),0))</f>
        <v/>
      </c>
      <c r="BI167" s="635" t="str">
        <f>IF($A167="","",VLOOKUP($A167,기본데이타!$A$8:$BV$103,COLUMN(기본데이타!BM$8),0))</f>
        <v/>
      </c>
      <c r="BJ167" s="635" t="str">
        <f>IF($A167="","",VLOOKUP($A167,기본데이타!$A$8:$BV$103,COLUMN(기본데이타!BN$8),0))</f>
        <v/>
      </c>
      <c r="BK167" s="635" t="str">
        <f>IF($A167="","",VLOOKUP($A167,기본데이타!$A$8:$BV$103,COLUMN(기본데이타!BO$8),0))</f>
        <v/>
      </c>
      <c r="BL167" s="635" t="str">
        <f>IF($A167="","",VLOOKUP($A167,기본데이타!$A$8:$BV$103,COLUMN(기본데이타!BP$8),0))</f>
        <v/>
      </c>
      <c r="BM167" s="635" t="str">
        <f>IF($A167="","",VLOOKUP($A167,기본데이타!$A$8:$BV$103,COLUMN(기본데이타!BQ$8),0))</f>
        <v/>
      </c>
      <c r="BN167" s="638" t="str">
        <f>IF($A167="","",VLOOKUP($A167,기본데이타!$A$8:$BV$103,COLUMN(기본데이타!BR$8),0))</f>
        <v/>
      </c>
      <c r="BO167" s="579" t="str">
        <f>IF($A167="","",VLOOKUP($A167,기본데이타!$A$8:$BV$103,COLUMN(기본데이타!BS$8),0))</f>
        <v/>
      </c>
      <c r="BP167" s="639" t="str">
        <f>IF($A167="","",VLOOKUP($A167,기본데이타!$A$8:$BV$103,COLUMN(기본데이타!BT$8),0))</f>
        <v/>
      </c>
      <c r="BQ167" s="640" t="str">
        <f>IF($A167="","",VLOOKUP($A167,기본데이타!$A$8:$BV$103,COLUMN(기본데이타!BU$8),0))</f>
        <v/>
      </c>
      <c r="BR167" s="625" t="str">
        <f>IF($A167="","",A167)</f>
        <v/>
      </c>
    </row>
    <row r="168" spans="1:70" s="571" customFormat="1" ht="61.5" hidden="1" customHeight="1">
      <c r="A168" s="578"/>
      <c r="B168" s="1642"/>
      <c r="C168" s="590"/>
      <c r="D168" s="629" t="str">
        <f>IF($A168="","",VLOOKUP($A168,기본데이타!$A$8:$BV$103,COLUMN(기본데이타!F$8),0))</f>
        <v/>
      </c>
      <c r="E168" s="630" t="str">
        <f>IF($A168="","",VLOOKUP($A168,기본데이타!$A$8:$BV$103,COLUMN(기본데이타!G$8),0))</f>
        <v/>
      </c>
      <c r="F168" s="631" t="str">
        <f>IF($A168="","",VLOOKUP($A168,기본데이타!$A$8:$BV$103,COLUMN(기본데이타!H$8),0))</f>
        <v/>
      </c>
      <c r="G168" s="632" t="str">
        <f>IF($A168="","",VLOOKUP($A168,기본데이타!$A$8:$BV$103,COLUMN(기본데이타!I$8),0))</f>
        <v/>
      </c>
      <c r="H168" s="632" t="str">
        <f>IF($A168="","",VLOOKUP($A168,기본데이타!$A$8:$BV$103,COLUMN(기본데이타!J$8),0))</f>
        <v/>
      </c>
      <c r="I168" s="633" t="str">
        <f>IF($A168="","",VLOOKUP($A168,기본데이타!$A$8:$BV$103,COLUMN(기본데이타!K$8),0))</f>
        <v/>
      </c>
      <c r="J168" s="633" t="str">
        <f>IF($A168="","",VLOOKUP($A168,기본데이타!$A$8:$BV$103,COLUMN(기본데이타!L$8),0))</f>
        <v/>
      </c>
      <c r="K168" s="633" t="str">
        <f>IF($A168="","",VLOOKUP($A168,기본데이타!$A$8:$BV$103,COLUMN(기본데이타!M$8),0))</f>
        <v/>
      </c>
      <c r="L168" s="634" t="str">
        <f>IF($A168="","",VLOOKUP($A168,기본데이타!$A$8:$BV$103,COLUMN(기본데이타!N$8),0))</f>
        <v/>
      </c>
      <c r="M168" s="633" t="str">
        <f>IF($A168="","",VLOOKUP($A168,기본데이타!$A$8:$BV$103,COLUMN(기본데이타!O$8),0))</f>
        <v/>
      </c>
      <c r="N168" s="634" t="str">
        <f>IF($A168="","",VLOOKUP($A168,기본데이타!$A$8:$BV$103,COLUMN(기본데이타!P$8),0))</f>
        <v/>
      </c>
      <c r="O168" s="634" t="str">
        <f>IF($A168="","",VLOOKUP($A168,기본데이타!$A$8:$BV$103,COLUMN(기본데이타!Q$8),0))</f>
        <v/>
      </c>
      <c r="P168" s="634" t="str">
        <f>IF($A168="","",VLOOKUP($A168,기본데이타!$A$8:$BV$103,COLUMN(기본데이타!R$8),0))</f>
        <v/>
      </c>
      <c r="Q168" s="634" t="str">
        <f>IF($A168="","",VLOOKUP($A168,기본데이타!$A$8:$BV$103,COLUMN(기본데이타!S$8),0))</f>
        <v/>
      </c>
      <c r="R168" s="634" t="str">
        <f>IF($A168="","",VLOOKUP($A168,기본데이타!$A$8:$BV$103,COLUMN(기본데이타!T$8),0))</f>
        <v/>
      </c>
      <c r="S168" s="634" t="str">
        <f>IF($A168="","",VLOOKUP($A168,기본데이타!$A$8:$BV$103,COLUMN(기본데이타!U$8),0))</f>
        <v/>
      </c>
      <c r="T168" s="634" t="str">
        <f>IF($A168="","",VLOOKUP($A168,기본데이타!$A$8:$BV$103,COLUMN(기본데이타!V$8),0))</f>
        <v/>
      </c>
      <c r="U168" s="634" t="str">
        <f>IF($A168="","",VLOOKUP($A168,기본데이타!$A$8:$BV$103,COLUMN(기본데이타!W$8),0))</f>
        <v/>
      </c>
      <c r="V168" s="634" t="str">
        <f>IF($A168="","",VLOOKUP($A168,기본데이타!$A$8:$BV$103,COLUMN(기본데이타!X$8),0))</f>
        <v/>
      </c>
      <c r="W168" s="634" t="str">
        <f>IF($A168="","",VLOOKUP($A168,기본데이타!$A$8:$BV$103,COLUMN(기본데이타!AA$8),0))</f>
        <v/>
      </c>
      <c r="X168" s="634" t="str">
        <f>IF($A168="","",VLOOKUP($A168,기본데이타!$A$8:$BV$103,COLUMN(기본데이타!AB$8),0))</f>
        <v/>
      </c>
      <c r="Y168" s="633" t="str">
        <f>IF($A168="","",VLOOKUP($A168,기본데이타!$A$8:$BV$103,COLUMN(기본데이타!AC$8),0))</f>
        <v/>
      </c>
      <c r="Z168" s="634" t="str">
        <f>IF($A168="","",VLOOKUP($A168,기본데이타!$A$8:$BV$103,COLUMN(기본데이타!AD$8),0))</f>
        <v/>
      </c>
      <c r="AA168" s="633" t="str">
        <f>IF($A168="","",VLOOKUP($A168,기본데이타!$A$8:$BV$103,COLUMN(기본데이타!AE$8),0))</f>
        <v/>
      </c>
      <c r="AB168" s="634" t="str">
        <f>IF($A168="","",VLOOKUP($A168,기본데이타!$A$8:$BV$103,COLUMN(기본데이타!AF$8),0))</f>
        <v/>
      </c>
      <c r="AC168" s="633" t="str">
        <f>IF($A168="","",VLOOKUP($A168,기본데이타!$A$8:$BV$103,COLUMN(기본데이타!AG$8),0))</f>
        <v/>
      </c>
      <c r="AD168" s="634" t="str">
        <f>IF($A168="","",VLOOKUP($A168,기본데이타!$A$8:$BV$103,COLUMN(기본데이타!AH$8),0))</f>
        <v/>
      </c>
      <c r="AE168" s="633" t="str">
        <f>IF($A168="","",VLOOKUP($A168,기본데이타!$A$8:$BV$103,COLUMN(기본데이타!AI$8),0))</f>
        <v/>
      </c>
      <c r="AF168" s="635" t="str">
        <f>IF($A168="","",VLOOKUP($A168,기본데이타!$A$8:$BV$103,COLUMN(기본데이타!AJ$8),0))</f>
        <v/>
      </c>
      <c r="AG168" s="580" t="str">
        <f>IF($A168="","",VLOOKUP($A168,기본데이타!$A$8:$BV$103,COLUMN(기본데이타!AK$8),0))</f>
        <v/>
      </c>
      <c r="AH168" s="580" t="str">
        <f>IF($A168="","",VLOOKUP($A168,기본데이타!$A$8:$BV$103,COLUMN(기본데이타!AL$8),0))</f>
        <v/>
      </c>
      <c r="AI168" s="580" t="str">
        <f>IF($A168="","",VLOOKUP($A168,기본데이타!$A$8:$BV$103,COLUMN(기본데이타!AM$8),0))</f>
        <v/>
      </c>
      <c r="AJ168" s="636" t="str">
        <f>IF($A168="","",VLOOKUP($A168,기본데이타!$A$8:$BV$103,COLUMN(기본데이타!AN$8),0))</f>
        <v/>
      </c>
      <c r="AK168" s="636" t="str">
        <f>IF($A168="","",VLOOKUP($A168,기본데이타!$A$8:$BV$103,COLUMN(기본데이타!AO$8),0))</f>
        <v/>
      </c>
      <c r="AL168" s="636" t="str">
        <f>IF($A168="","",VLOOKUP($A168,기본데이타!$A$8:$BV$103,COLUMN(기본데이타!AP$8),0))</f>
        <v/>
      </c>
      <c r="AM168" s="636" t="str">
        <f>IF($A168="","",VLOOKUP($A168,기본데이타!$A$8:$BV$103,COLUMN(기본데이타!AQ$8),0))</f>
        <v/>
      </c>
      <c r="AN168" s="636" t="str">
        <f>IF($A168="","",VLOOKUP($A168,기본데이타!$A$8:$BV$103,COLUMN(기본데이타!AR$8),0))</f>
        <v/>
      </c>
      <c r="AO168" s="636" t="str">
        <f>IF($A168="","",VLOOKUP($A168,기본데이타!$A$8:$BV$103,COLUMN(기본데이타!AS$8),0))</f>
        <v/>
      </c>
      <c r="AP168" s="636" t="str">
        <f>IF($A168="","",VLOOKUP($A168,기본데이타!$A$8:$BV$103,COLUMN(기본데이타!AT$8),0))</f>
        <v/>
      </c>
      <c r="AQ168" s="636" t="str">
        <f>IF($A168="","",VLOOKUP($A168,기본데이타!$A$8:$BV$103,COLUMN(기본데이타!AU$8),0))</f>
        <v/>
      </c>
      <c r="AR168" s="637" t="str">
        <f>IF($A168="","",VLOOKUP($A168,기본데이타!$A$8:$BV$103,COLUMN(기본데이타!AV$8),0))</f>
        <v/>
      </c>
      <c r="AS168" s="634" t="str">
        <f>IF($A168="","",VLOOKUP($A168,기본데이타!$A$8:$BV$103,COLUMN(기본데이타!AW$8),0))</f>
        <v/>
      </c>
      <c r="AT168" s="634" t="str">
        <f>IF($A168="","",VLOOKUP($A168,기본데이타!$A$8:$BV$103,COLUMN(기본데이타!AX$8),0))</f>
        <v/>
      </c>
      <c r="AU168" s="634" t="str">
        <f>IF($A168="","",VLOOKUP($A168,기본데이타!$A$8:$BV$103,COLUMN(기본데이타!AY$8),0))</f>
        <v/>
      </c>
      <c r="AV168" s="634" t="str">
        <f>IF(AS168="","",SUM(AS168:AU168))</f>
        <v/>
      </c>
      <c r="AW168" s="635" t="str">
        <f>IF($A168="","",VLOOKUP($A168,기본데이타!$A$8:$BV$103,COLUMN(기본데이타!BA$8),0))</f>
        <v/>
      </c>
      <c r="AX168" s="635" t="str">
        <f>IF($A168="","",VLOOKUP($A168,기본데이타!$A$8:$BV$103,COLUMN(기본데이타!BB$8),0))</f>
        <v/>
      </c>
      <c r="AY168" s="635" t="str">
        <f>IF($A168="","",VLOOKUP($A168,기본데이타!$A$8:$BV$103,COLUMN(기본데이타!BC$8),0))</f>
        <v/>
      </c>
      <c r="AZ168" s="635" t="str">
        <f>IF($A168="","",VLOOKUP($A168,기본데이타!$A$8:$BV$103,COLUMN(기본데이타!BD$8),0))</f>
        <v/>
      </c>
      <c r="BA168" s="635" t="str">
        <f>IF($A168="","",VLOOKUP($A168,기본데이타!$A$8:$BV$103,COLUMN(기본데이타!BE$8),0))</f>
        <v/>
      </c>
      <c r="BB168" s="635" t="str">
        <f>IF($A168="","",VLOOKUP($A168,기본데이타!$A$8:$BV$103,COLUMN(기본데이타!BF$8),0))</f>
        <v/>
      </c>
      <c r="BC168" s="635" t="str">
        <f>IF($A168="","",VLOOKUP($A168,기본데이타!$A$8:$BV$103,COLUMN(기본데이타!BG$8),0))</f>
        <v/>
      </c>
      <c r="BD168" s="635" t="str">
        <f>IF($A168="","",VLOOKUP($A168,기본데이타!$A$8:$BV$103,COLUMN(기본데이타!BH$8),0))</f>
        <v/>
      </c>
      <c r="BE168" s="635" t="str">
        <f>IF($A168="","",VLOOKUP($A168,기본데이타!$A$8:$BV$103,COLUMN(기본데이타!BI$8),0))</f>
        <v/>
      </c>
      <c r="BF168" s="635" t="str">
        <f>IF($A168="","",VLOOKUP($A168,기본데이타!$A$8:$BV$103,COLUMN(기본데이타!BJ$8),0))</f>
        <v/>
      </c>
      <c r="BG168" s="635" t="str">
        <f>IF($A168="","",VLOOKUP($A168,기본데이타!$A$8:$BV$103,COLUMN(기본데이타!BK$8),0))</f>
        <v/>
      </c>
      <c r="BH168" s="635" t="str">
        <f>IF($A168="","",VLOOKUP($A168,기본데이타!$A$8:$BV$103,COLUMN(기본데이타!BL$8),0))</f>
        <v/>
      </c>
      <c r="BI168" s="635" t="str">
        <f>IF($A168="","",VLOOKUP($A168,기본데이타!$A$8:$BV$103,COLUMN(기본데이타!BM$8),0))</f>
        <v/>
      </c>
      <c r="BJ168" s="635" t="str">
        <f>IF($A168="","",VLOOKUP($A168,기본데이타!$A$8:$BV$103,COLUMN(기본데이타!BN$8),0))</f>
        <v/>
      </c>
      <c r="BK168" s="635" t="str">
        <f>IF($A168="","",VLOOKUP($A168,기본데이타!$A$8:$BV$103,COLUMN(기본데이타!BO$8),0))</f>
        <v/>
      </c>
      <c r="BL168" s="635" t="str">
        <f>IF($A168="","",VLOOKUP($A168,기본데이타!$A$8:$BV$103,COLUMN(기본데이타!BP$8),0))</f>
        <v/>
      </c>
      <c r="BM168" s="635" t="str">
        <f>IF($A168="","",VLOOKUP($A168,기본데이타!$A$8:$BV$103,COLUMN(기본데이타!BQ$8),0))</f>
        <v/>
      </c>
      <c r="BN168" s="638" t="str">
        <f>IF($A168="","",VLOOKUP($A168,기본데이타!$A$8:$BV$103,COLUMN(기본데이타!BR$8),0))</f>
        <v/>
      </c>
      <c r="BO168" s="579" t="str">
        <f>IF($A168="","",VLOOKUP($A168,기본데이타!$A$8:$BV$103,COLUMN(기본데이타!BS$8),0))</f>
        <v/>
      </c>
      <c r="BP168" s="639" t="str">
        <f>IF($A168="","",VLOOKUP($A168,기본데이타!$A$8:$BV$103,COLUMN(기본데이타!BT$8),0))</f>
        <v/>
      </c>
      <c r="BQ168" s="640" t="str">
        <f>IF($A168="","",VLOOKUP($A168,기본데이타!$A$8:$BV$103,COLUMN(기본데이타!BU$8),0))</f>
        <v/>
      </c>
      <c r="BR168" s="625" t="str">
        <f>IF($A168="","",A168)</f>
        <v/>
      </c>
    </row>
    <row r="169" spans="1:70" s="571" customFormat="1" ht="61.5" hidden="1" customHeight="1">
      <c r="A169" s="578"/>
      <c r="B169" s="1642"/>
      <c r="C169" s="590"/>
      <c r="D169" s="629" t="str">
        <f>IF($A169="","",VLOOKUP($A169,기본데이타!$A$8:$BV$103,COLUMN(기본데이타!F$8),0))</f>
        <v/>
      </c>
      <c r="E169" s="630" t="str">
        <f>IF($A169="","",VLOOKUP($A169,기본데이타!$A$8:$BV$103,COLUMN(기본데이타!G$8),0))</f>
        <v/>
      </c>
      <c r="F169" s="631" t="str">
        <f>IF($A169="","",VLOOKUP($A169,기본데이타!$A$8:$BV$103,COLUMN(기본데이타!H$8),0))</f>
        <v/>
      </c>
      <c r="G169" s="632" t="str">
        <f>IF($A169="","",VLOOKUP($A169,기본데이타!$A$8:$BV$103,COLUMN(기본데이타!I$8),0))</f>
        <v/>
      </c>
      <c r="H169" s="632" t="str">
        <f>IF($A169="","",VLOOKUP($A169,기본데이타!$A$8:$BV$103,COLUMN(기본데이타!J$8),0))</f>
        <v/>
      </c>
      <c r="I169" s="633" t="str">
        <f>IF($A169="","",VLOOKUP($A169,기본데이타!$A$8:$BV$103,COLUMN(기본데이타!K$8),0))</f>
        <v/>
      </c>
      <c r="J169" s="633" t="str">
        <f>IF($A169="","",VLOOKUP($A169,기본데이타!$A$8:$BV$103,COLUMN(기본데이타!L$8),0))</f>
        <v/>
      </c>
      <c r="K169" s="633" t="str">
        <f>IF($A169="","",VLOOKUP($A169,기본데이타!$A$8:$BV$103,COLUMN(기본데이타!M$8),0))</f>
        <v/>
      </c>
      <c r="L169" s="634" t="str">
        <f>IF($A169="","",VLOOKUP($A169,기본데이타!$A$8:$BV$103,COLUMN(기본데이타!N$8),0))</f>
        <v/>
      </c>
      <c r="M169" s="633" t="str">
        <f>IF($A169="","",VLOOKUP($A169,기본데이타!$A$8:$BV$103,COLUMN(기본데이타!O$8),0))</f>
        <v/>
      </c>
      <c r="N169" s="634" t="str">
        <f>IF($A169="","",VLOOKUP($A169,기본데이타!$A$8:$BV$103,COLUMN(기본데이타!P$8),0))</f>
        <v/>
      </c>
      <c r="O169" s="634" t="str">
        <f>IF($A169="","",VLOOKUP($A169,기본데이타!$A$8:$BV$103,COLUMN(기본데이타!Q$8),0))</f>
        <v/>
      </c>
      <c r="P169" s="634" t="str">
        <f>IF($A169="","",VLOOKUP($A169,기본데이타!$A$8:$BV$103,COLUMN(기본데이타!R$8),0))</f>
        <v/>
      </c>
      <c r="Q169" s="634" t="str">
        <f>IF($A169="","",VLOOKUP($A169,기본데이타!$A$8:$BV$103,COLUMN(기본데이타!S$8),0))</f>
        <v/>
      </c>
      <c r="R169" s="634" t="str">
        <f>IF($A169="","",VLOOKUP($A169,기본데이타!$A$8:$BV$103,COLUMN(기본데이타!T$8),0))</f>
        <v/>
      </c>
      <c r="S169" s="634" t="str">
        <f>IF($A169="","",VLOOKUP($A169,기본데이타!$A$8:$BV$103,COLUMN(기본데이타!U$8),0))</f>
        <v/>
      </c>
      <c r="T169" s="634" t="str">
        <f>IF($A169="","",VLOOKUP($A169,기본데이타!$A$8:$BV$103,COLUMN(기본데이타!V$8),0))</f>
        <v/>
      </c>
      <c r="U169" s="634" t="str">
        <f>IF($A169="","",VLOOKUP($A169,기본데이타!$A$8:$BV$103,COLUMN(기본데이타!W$8),0))</f>
        <v/>
      </c>
      <c r="V169" s="634" t="str">
        <f>IF($A169="","",VLOOKUP($A169,기본데이타!$A$8:$BV$103,COLUMN(기본데이타!X$8),0))</f>
        <v/>
      </c>
      <c r="W169" s="634" t="str">
        <f>IF($A169="","",VLOOKUP($A169,기본데이타!$A$8:$BV$103,COLUMN(기본데이타!AA$8),0))</f>
        <v/>
      </c>
      <c r="X169" s="634" t="str">
        <f>IF($A169="","",VLOOKUP($A169,기본데이타!$A$8:$BV$103,COLUMN(기본데이타!AB$8),0))</f>
        <v/>
      </c>
      <c r="Y169" s="633" t="str">
        <f>IF($A169="","",VLOOKUP($A169,기본데이타!$A$8:$BV$103,COLUMN(기본데이타!AC$8),0))</f>
        <v/>
      </c>
      <c r="Z169" s="634" t="str">
        <f>IF($A169="","",VLOOKUP($A169,기본데이타!$A$8:$BV$103,COLUMN(기본데이타!AD$8),0))</f>
        <v/>
      </c>
      <c r="AA169" s="633" t="str">
        <f>IF($A169="","",VLOOKUP($A169,기본데이타!$A$8:$BV$103,COLUMN(기본데이타!AE$8),0))</f>
        <v/>
      </c>
      <c r="AB169" s="634" t="str">
        <f>IF($A169="","",VLOOKUP($A169,기본데이타!$A$8:$BV$103,COLUMN(기본데이타!AF$8),0))</f>
        <v/>
      </c>
      <c r="AC169" s="633" t="str">
        <f>IF($A169="","",VLOOKUP($A169,기본데이타!$A$8:$BV$103,COLUMN(기본데이타!AG$8),0))</f>
        <v/>
      </c>
      <c r="AD169" s="634" t="str">
        <f>IF($A169="","",VLOOKUP($A169,기본데이타!$A$8:$BV$103,COLUMN(기본데이타!AH$8),0))</f>
        <v/>
      </c>
      <c r="AE169" s="633" t="str">
        <f>IF($A169="","",VLOOKUP($A169,기본데이타!$A$8:$BV$103,COLUMN(기본데이타!AI$8),0))</f>
        <v/>
      </c>
      <c r="AF169" s="635" t="str">
        <f>IF($A169="","",VLOOKUP($A169,기본데이타!$A$8:$BV$103,COLUMN(기본데이타!AJ$8),0))</f>
        <v/>
      </c>
      <c r="AG169" s="580" t="str">
        <f>IF($A169="","",VLOOKUP($A169,기본데이타!$A$8:$BV$103,COLUMN(기본데이타!AK$8),0))</f>
        <v/>
      </c>
      <c r="AH169" s="580" t="str">
        <f>IF($A169="","",VLOOKUP($A169,기본데이타!$A$8:$BV$103,COLUMN(기본데이타!AL$8),0))</f>
        <v/>
      </c>
      <c r="AI169" s="580" t="str">
        <f>IF($A169="","",VLOOKUP($A169,기본데이타!$A$8:$BV$103,COLUMN(기본데이타!AM$8),0))</f>
        <v/>
      </c>
      <c r="AJ169" s="636" t="str">
        <f>IF($A169="","",VLOOKUP($A169,기본데이타!$A$8:$BV$103,COLUMN(기본데이타!AN$8),0))</f>
        <v/>
      </c>
      <c r="AK169" s="636" t="str">
        <f>IF($A169="","",VLOOKUP($A169,기본데이타!$A$8:$BV$103,COLUMN(기본데이타!AO$8),0))</f>
        <v/>
      </c>
      <c r="AL169" s="636" t="str">
        <f>IF($A169="","",VLOOKUP($A169,기본데이타!$A$8:$BV$103,COLUMN(기본데이타!AP$8),0))</f>
        <v/>
      </c>
      <c r="AM169" s="636" t="str">
        <f>IF($A169="","",VLOOKUP($A169,기본데이타!$A$8:$BV$103,COLUMN(기본데이타!AQ$8),0))</f>
        <v/>
      </c>
      <c r="AN169" s="636" t="str">
        <f>IF($A169="","",VLOOKUP($A169,기본데이타!$A$8:$BV$103,COLUMN(기본데이타!AR$8),0))</f>
        <v/>
      </c>
      <c r="AO169" s="636" t="str">
        <f>IF($A169="","",VLOOKUP($A169,기본데이타!$A$8:$BV$103,COLUMN(기본데이타!AS$8),0))</f>
        <v/>
      </c>
      <c r="AP169" s="636" t="str">
        <f>IF($A169="","",VLOOKUP($A169,기본데이타!$A$8:$BV$103,COLUMN(기본데이타!AT$8),0))</f>
        <v/>
      </c>
      <c r="AQ169" s="636" t="str">
        <f>IF($A169="","",VLOOKUP($A169,기본데이타!$A$8:$BV$103,COLUMN(기본데이타!AU$8),0))</f>
        <v/>
      </c>
      <c r="AR169" s="637" t="str">
        <f>IF($A169="","",VLOOKUP($A169,기본데이타!$A$8:$BV$103,COLUMN(기본데이타!AV$8),0))</f>
        <v/>
      </c>
      <c r="AS169" s="634" t="str">
        <f>IF($A169="","",VLOOKUP($A169,기본데이타!$A$8:$BV$103,COLUMN(기본데이타!AW$8),0))</f>
        <v/>
      </c>
      <c r="AT169" s="634" t="str">
        <f>IF($A169="","",VLOOKUP($A169,기본데이타!$A$8:$BV$103,COLUMN(기본데이타!AX$8),0))</f>
        <v/>
      </c>
      <c r="AU169" s="634" t="str">
        <f>IF($A169="","",VLOOKUP($A169,기본데이타!$A$8:$BV$103,COLUMN(기본데이타!AY$8),0))</f>
        <v/>
      </c>
      <c r="AV169" s="634" t="str">
        <f t="shared" si="24"/>
        <v/>
      </c>
      <c r="AW169" s="635" t="str">
        <f>IF($A169="","",VLOOKUP($A169,기본데이타!$A$8:$BV$103,COLUMN(기본데이타!BA$8),0))</f>
        <v/>
      </c>
      <c r="AX169" s="635" t="str">
        <f>IF($A169="","",VLOOKUP($A169,기본데이타!$A$8:$BV$103,COLUMN(기본데이타!BB$8),0))</f>
        <v/>
      </c>
      <c r="AY169" s="635" t="str">
        <f>IF($A169="","",VLOOKUP($A169,기본데이타!$A$8:$BV$103,COLUMN(기본데이타!BC$8),0))</f>
        <v/>
      </c>
      <c r="AZ169" s="635" t="str">
        <f>IF($A169="","",VLOOKUP($A169,기본데이타!$A$8:$BV$103,COLUMN(기본데이타!BD$8),0))</f>
        <v/>
      </c>
      <c r="BA169" s="635" t="str">
        <f>IF($A169="","",VLOOKUP($A169,기본데이타!$A$8:$BV$103,COLUMN(기본데이타!BE$8),0))</f>
        <v/>
      </c>
      <c r="BB169" s="635" t="str">
        <f>IF($A169="","",VLOOKUP($A169,기본데이타!$A$8:$BV$103,COLUMN(기본데이타!BF$8),0))</f>
        <v/>
      </c>
      <c r="BC169" s="635" t="str">
        <f>IF($A169="","",VLOOKUP($A169,기본데이타!$A$8:$BV$103,COLUMN(기본데이타!BG$8),0))</f>
        <v/>
      </c>
      <c r="BD169" s="635" t="str">
        <f>IF($A169="","",VLOOKUP($A169,기본데이타!$A$8:$BV$103,COLUMN(기본데이타!BH$8),0))</f>
        <v/>
      </c>
      <c r="BE169" s="635" t="str">
        <f>IF($A169="","",VLOOKUP($A169,기본데이타!$A$8:$BV$103,COLUMN(기본데이타!BI$8),0))</f>
        <v/>
      </c>
      <c r="BF169" s="635" t="str">
        <f>IF($A169="","",VLOOKUP($A169,기본데이타!$A$8:$BV$103,COLUMN(기본데이타!BJ$8),0))</f>
        <v/>
      </c>
      <c r="BG169" s="635" t="str">
        <f>IF($A169="","",VLOOKUP($A169,기본데이타!$A$8:$BV$103,COLUMN(기본데이타!BK$8),0))</f>
        <v/>
      </c>
      <c r="BH169" s="635" t="str">
        <f>IF($A169="","",VLOOKUP($A169,기본데이타!$A$8:$BV$103,COLUMN(기본데이타!BL$8),0))</f>
        <v/>
      </c>
      <c r="BI169" s="635" t="str">
        <f>IF($A169="","",VLOOKUP($A169,기본데이타!$A$8:$BV$103,COLUMN(기본데이타!BM$8),0))</f>
        <v/>
      </c>
      <c r="BJ169" s="635" t="str">
        <f>IF($A169="","",VLOOKUP($A169,기본데이타!$A$8:$BV$103,COLUMN(기본데이타!BN$8),0))</f>
        <v/>
      </c>
      <c r="BK169" s="635" t="str">
        <f>IF($A169="","",VLOOKUP($A169,기본데이타!$A$8:$BV$103,COLUMN(기본데이타!BO$8),0))</f>
        <v/>
      </c>
      <c r="BL169" s="635" t="str">
        <f>IF($A169="","",VLOOKUP($A169,기본데이타!$A$8:$BV$103,COLUMN(기본데이타!BP$8),0))</f>
        <v/>
      </c>
      <c r="BM169" s="635" t="str">
        <f>IF($A169="","",VLOOKUP($A169,기본데이타!$A$8:$BV$103,COLUMN(기본데이타!BQ$8),0))</f>
        <v/>
      </c>
      <c r="BN169" s="638" t="str">
        <f>IF($A169="","",VLOOKUP($A169,기본데이타!$A$8:$BV$103,COLUMN(기본데이타!BR$8),0))</f>
        <v/>
      </c>
      <c r="BO169" s="579" t="str">
        <f>IF($A169="","",VLOOKUP($A169,기본데이타!$A$8:$BV$103,COLUMN(기본데이타!BS$8),0))</f>
        <v/>
      </c>
      <c r="BP169" s="639" t="str">
        <f>IF($A169="","",VLOOKUP($A169,기본데이타!$A$8:$BV$103,COLUMN(기본데이타!BT$8),0))</f>
        <v/>
      </c>
      <c r="BQ169" s="640" t="str">
        <f>IF($A169="","",VLOOKUP($A169,기본데이타!$A$8:$BV$103,COLUMN(기본데이타!BU$8),0))</f>
        <v/>
      </c>
      <c r="BR169" s="625" t="str">
        <f t="shared" si="25"/>
        <v/>
      </c>
    </row>
    <row r="170" spans="1:70" s="571" customFormat="1" ht="61.5" hidden="1" customHeight="1" thickBot="1">
      <c r="A170" s="1488"/>
      <c r="B170" s="1642"/>
      <c r="C170" s="657"/>
      <c r="D170" s="1041" t="str">
        <f>IF($A170="","",VLOOKUP($A170,기본데이타!$A$8:$BV$103,COLUMN(기본데이타!F$8),0))</f>
        <v/>
      </c>
      <c r="E170" s="1042" t="str">
        <f>IF($A170="","",VLOOKUP($A170,기본데이타!$A$8:$BV$103,COLUMN(기본데이타!G$8),0))</f>
        <v/>
      </c>
      <c r="F170" s="1043" t="str">
        <f>IF($A170="","",VLOOKUP($A170,기본데이타!$A$8:$BV$103,COLUMN(기본데이타!H$8),0))</f>
        <v/>
      </c>
      <c r="G170" s="1044" t="str">
        <f>IF($A170="","",VLOOKUP($A170,기본데이타!$A$8:$BV$103,COLUMN(기본데이타!I$8),0))</f>
        <v/>
      </c>
      <c r="H170" s="1044" t="str">
        <f>IF($A170="","",VLOOKUP($A170,기본데이타!$A$8:$BV$103,COLUMN(기본데이타!J$8),0))</f>
        <v/>
      </c>
      <c r="I170" s="1045" t="str">
        <f>IF($A170="","",VLOOKUP($A170,기본데이타!$A$8:$BV$103,COLUMN(기본데이타!K$8),0))</f>
        <v/>
      </c>
      <c r="J170" s="1045" t="str">
        <f>IF($A170="","",VLOOKUP($A170,기본데이타!$A$8:$BV$103,COLUMN(기본데이타!L$8),0))</f>
        <v/>
      </c>
      <c r="K170" s="1045" t="str">
        <f>IF($A170="","",VLOOKUP($A170,기본데이타!$A$8:$BV$103,COLUMN(기본데이타!M$8),0))</f>
        <v/>
      </c>
      <c r="L170" s="1046" t="str">
        <f>IF($A170="","",VLOOKUP($A170,기본데이타!$A$8:$BV$103,COLUMN(기본데이타!N$8),0))</f>
        <v/>
      </c>
      <c r="M170" s="1045" t="str">
        <f>IF($A170="","",VLOOKUP($A170,기본데이타!$A$8:$BV$103,COLUMN(기본데이타!O$8),0))</f>
        <v/>
      </c>
      <c r="N170" s="1046" t="str">
        <f>IF($A170="","",VLOOKUP($A170,기본데이타!$A$8:$BV$103,COLUMN(기본데이타!P$8),0))</f>
        <v/>
      </c>
      <c r="O170" s="1046" t="str">
        <f>IF($A170="","",VLOOKUP($A170,기본데이타!$A$8:$BV$103,COLUMN(기본데이타!Q$8),0))</f>
        <v/>
      </c>
      <c r="P170" s="1046" t="str">
        <f>IF($A170="","",VLOOKUP($A170,기본데이타!$A$8:$BV$103,COLUMN(기본데이타!R$8),0))</f>
        <v/>
      </c>
      <c r="Q170" s="1046" t="str">
        <f>IF($A170="","",VLOOKUP($A170,기본데이타!$A$8:$BV$103,COLUMN(기본데이타!S$8),0))</f>
        <v/>
      </c>
      <c r="R170" s="1046" t="str">
        <f>IF($A170="","",VLOOKUP($A170,기본데이타!$A$8:$BV$103,COLUMN(기본데이타!T$8),0))</f>
        <v/>
      </c>
      <c r="S170" s="1046" t="str">
        <f>IF($A170="","",VLOOKUP($A170,기본데이타!$A$8:$BV$103,COLUMN(기본데이타!U$8),0))</f>
        <v/>
      </c>
      <c r="T170" s="1046" t="str">
        <f>IF($A170="","",VLOOKUP($A170,기본데이타!$A$8:$BV$103,COLUMN(기본데이타!V$8),0))</f>
        <v/>
      </c>
      <c r="U170" s="1046" t="str">
        <f>IF($A170="","",VLOOKUP($A170,기본데이타!$A$8:$BV$103,COLUMN(기본데이타!W$8),0))</f>
        <v/>
      </c>
      <c r="V170" s="1046" t="str">
        <f>IF($A170="","",VLOOKUP($A170,기본데이타!$A$8:$BV$103,COLUMN(기본데이타!X$8),0))</f>
        <v/>
      </c>
      <c r="W170" s="1046" t="str">
        <f>IF($A170="","",VLOOKUP($A170,기본데이타!$A$8:$BV$103,COLUMN(기본데이타!AA$8),0))</f>
        <v/>
      </c>
      <c r="X170" s="1046" t="str">
        <f>IF($A170="","",VLOOKUP($A170,기본데이타!$A$8:$BV$103,COLUMN(기본데이타!AB$8),0))</f>
        <v/>
      </c>
      <c r="Y170" s="1045" t="str">
        <f>IF($A170="","",VLOOKUP($A170,기본데이타!$A$8:$BV$103,COLUMN(기본데이타!AC$8),0))</f>
        <v/>
      </c>
      <c r="Z170" s="1046" t="str">
        <f>IF($A170="","",VLOOKUP($A170,기본데이타!$A$8:$BV$103,COLUMN(기본데이타!AD$8),0))</f>
        <v/>
      </c>
      <c r="AA170" s="1045" t="str">
        <f>IF($A170="","",VLOOKUP($A170,기본데이타!$A$8:$BV$103,COLUMN(기본데이타!AE$8),0))</f>
        <v/>
      </c>
      <c r="AB170" s="1046" t="str">
        <f>IF($A170="","",VLOOKUP($A170,기본데이타!$A$8:$BV$103,COLUMN(기본데이타!AF$8),0))</f>
        <v/>
      </c>
      <c r="AC170" s="1045" t="str">
        <f>IF($A170="","",VLOOKUP($A170,기본데이타!$A$8:$BV$103,COLUMN(기본데이타!AG$8),0))</f>
        <v/>
      </c>
      <c r="AD170" s="1046" t="str">
        <f>IF($A170="","",VLOOKUP($A170,기본데이타!$A$8:$BV$103,COLUMN(기본데이타!AH$8),0))</f>
        <v/>
      </c>
      <c r="AE170" s="1045" t="str">
        <f>IF($A170="","",VLOOKUP($A170,기본데이타!$A$8:$BV$103,COLUMN(기본데이타!AI$8),0))</f>
        <v/>
      </c>
      <c r="AF170" s="1047" t="str">
        <f>IF($A170="","",VLOOKUP($A170,기본데이타!$A$8:$BV$103,COLUMN(기본데이타!AJ$8),0))</f>
        <v/>
      </c>
      <c r="AG170" s="1342" t="str">
        <f>IF($A170="","",VLOOKUP($A170,기본데이타!$A$8:$BV$103,COLUMN(기본데이타!AK$8),0))</f>
        <v/>
      </c>
      <c r="AH170" s="1342" t="str">
        <f>IF($A170="","",VLOOKUP($A170,기본데이타!$A$8:$BV$103,COLUMN(기본데이타!AL$8),0))</f>
        <v/>
      </c>
      <c r="AI170" s="1342" t="str">
        <f>IF($A170="","",VLOOKUP($A170,기본데이타!$A$8:$BV$103,COLUMN(기본데이타!AM$8),0))</f>
        <v/>
      </c>
      <c r="AJ170" s="1048" t="str">
        <f>IF($A170="","",VLOOKUP($A170,기본데이타!$A$8:$BV$103,COLUMN(기본데이타!AN$8),0))</f>
        <v/>
      </c>
      <c r="AK170" s="1048" t="str">
        <f>IF($A170="","",VLOOKUP($A170,기본데이타!$A$8:$BV$103,COLUMN(기본데이타!AO$8),0))</f>
        <v/>
      </c>
      <c r="AL170" s="1048" t="str">
        <f>IF($A170="","",VLOOKUP($A170,기본데이타!$A$8:$BV$103,COLUMN(기본데이타!AP$8),0))</f>
        <v/>
      </c>
      <c r="AM170" s="1048" t="str">
        <f>IF($A170="","",VLOOKUP($A170,기본데이타!$A$8:$BV$103,COLUMN(기본데이타!AQ$8),0))</f>
        <v/>
      </c>
      <c r="AN170" s="1048" t="str">
        <f>IF($A170="","",VLOOKUP($A170,기본데이타!$A$8:$BV$103,COLUMN(기본데이타!AR$8),0))</f>
        <v/>
      </c>
      <c r="AO170" s="1048" t="str">
        <f>IF($A170="","",VLOOKUP($A170,기본데이타!$A$8:$BV$103,COLUMN(기본데이타!AS$8),0))</f>
        <v/>
      </c>
      <c r="AP170" s="1048" t="str">
        <f>IF($A170="","",VLOOKUP($A170,기본데이타!$A$8:$BV$103,COLUMN(기본데이타!AT$8),0))</f>
        <v/>
      </c>
      <c r="AQ170" s="1048" t="str">
        <f>IF($A170="","",VLOOKUP($A170,기본데이타!$A$8:$BV$103,COLUMN(기본데이타!AU$8),0))</f>
        <v/>
      </c>
      <c r="AR170" s="1049" t="str">
        <f>IF($A170="","",VLOOKUP($A170,기본데이타!$A$8:$BV$103,COLUMN(기본데이타!AV$8),0))</f>
        <v/>
      </c>
      <c r="AS170" s="1046" t="str">
        <f>IF($A170="","",VLOOKUP($A170,기본데이타!$A$8:$BV$103,COLUMN(기본데이타!AW$8),0))</f>
        <v/>
      </c>
      <c r="AT170" s="1046" t="str">
        <f>IF($A170="","",VLOOKUP($A170,기본데이타!$A$8:$BV$103,COLUMN(기본데이타!AX$8),0))</f>
        <v/>
      </c>
      <c r="AU170" s="1046" t="str">
        <f>IF($A170="","",VLOOKUP($A170,기본데이타!$A$8:$BV$103,COLUMN(기본데이타!AY$8),0))</f>
        <v/>
      </c>
      <c r="AV170" s="1046" t="str">
        <f>IF(AS170="","",SUM(AS170:AU170))</f>
        <v/>
      </c>
      <c r="AW170" s="1047" t="str">
        <f>IF($A170="","",VLOOKUP($A170,기본데이타!$A$8:$BV$103,COLUMN(기본데이타!BA$8),0))</f>
        <v/>
      </c>
      <c r="AX170" s="1047" t="str">
        <f>IF($A170="","",VLOOKUP($A170,기본데이타!$A$8:$BV$103,COLUMN(기본데이타!BB$8),0))</f>
        <v/>
      </c>
      <c r="AY170" s="1047" t="str">
        <f>IF($A170="","",VLOOKUP($A170,기본데이타!$A$8:$BV$103,COLUMN(기본데이타!BC$8),0))</f>
        <v/>
      </c>
      <c r="AZ170" s="1047" t="str">
        <f>IF($A170="","",VLOOKUP($A170,기본데이타!$A$8:$BV$103,COLUMN(기본데이타!BD$8),0))</f>
        <v/>
      </c>
      <c r="BA170" s="1047" t="str">
        <f>IF($A170="","",VLOOKUP($A170,기본데이타!$A$8:$BV$103,COLUMN(기본데이타!BE$8),0))</f>
        <v/>
      </c>
      <c r="BB170" s="1047" t="str">
        <f>IF($A170="","",VLOOKUP($A170,기본데이타!$A$8:$BV$103,COLUMN(기본데이타!BF$8),0))</f>
        <v/>
      </c>
      <c r="BC170" s="1047" t="str">
        <f>IF($A170="","",VLOOKUP($A170,기본데이타!$A$8:$BV$103,COLUMN(기본데이타!BG$8),0))</f>
        <v/>
      </c>
      <c r="BD170" s="1047" t="str">
        <f>IF($A170="","",VLOOKUP($A170,기본데이타!$A$8:$BV$103,COLUMN(기본데이타!BH$8),0))</f>
        <v/>
      </c>
      <c r="BE170" s="1047" t="str">
        <f>IF($A170="","",VLOOKUP($A170,기본데이타!$A$8:$BV$103,COLUMN(기본데이타!BI$8),0))</f>
        <v/>
      </c>
      <c r="BF170" s="1047" t="str">
        <f>IF($A170="","",VLOOKUP($A170,기본데이타!$A$8:$BV$103,COLUMN(기본데이타!BJ$8),0))</f>
        <v/>
      </c>
      <c r="BG170" s="1047" t="str">
        <f>IF($A170="","",VLOOKUP($A170,기본데이타!$A$8:$BV$103,COLUMN(기본데이타!BK$8),0))</f>
        <v/>
      </c>
      <c r="BH170" s="1047" t="str">
        <f>IF($A170="","",VLOOKUP($A170,기본데이타!$A$8:$BV$103,COLUMN(기본데이타!BL$8),0))</f>
        <v/>
      </c>
      <c r="BI170" s="1047" t="str">
        <f>IF($A170="","",VLOOKUP($A170,기본데이타!$A$8:$BV$103,COLUMN(기본데이타!BM$8),0))</f>
        <v/>
      </c>
      <c r="BJ170" s="1047" t="str">
        <f>IF($A170="","",VLOOKUP($A170,기본데이타!$A$8:$BV$103,COLUMN(기본데이타!BN$8),0))</f>
        <v/>
      </c>
      <c r="BK170" s="1047" t="str">
        <f>IF($A170="","",VLOOKUP($A170,기본데이타!$A$8:$BV$103,COLUMN(기본데이타!BO$8),0))</f>
        <v/>
      </c>
      <c r="BL170" s="1047" t="str">
        <f>IF($A170="","",VLOOKUP($A170,기본데이타!$A$8:$BV$103,COLUMN(기본데이타!BP$8),0))</f>
        <v/>
      </c>
      <c r="BM170" s="1047" t="str">
        <f>IF($A170="","",VLOOKUP($A170,기본데이타!$A$8:$BV$103,COLUMN(기본데이타!BQ$8),0))</f>
        <v/>
      </c>
      <c r="BN170" s="1050" t="str">
        <f>IF($A170="","",VLOOKUP($A170,기본데이타!$A$8:$BV$103,COLUMN(기본데이타!BR$8),0))</f>
        <v/>
      </c>
      <c r="BO170" s="1051" t="str">
        <f>IF($A170="","",VLOOKUP($A170,기본데이타!$A$8:$BV$103,COLUMN(기본데이타!BS$8),0))</f>
        <v/>
      </c>
      <c r="BP170" s="1052" t="str">
        <f>IF($A170="","",VLOOKUP($A170,기본데이타!$A$8:$BV$103,COLUMN(기본데이타!BT$8),0))</f>
        <v/>
      </c>
      <c r="BQ170" s="1343" t="str">
        <f>IF($A170="","",VLOOKUP($A170,기본데이타!$A$8:$BV$103,COLUMN(기본데이타!BU$8),0))</f>
        <v/>
      </c>
      <c r="BR170" s="1053" t="str">
        <f>IF($A170="","",A170)</f>
        <v/>
      </c>
    </row>
    <row r="171" spans="1:70" s="571" customFormat="1" ht="61.5" customHeight="1">
      <c r="A171" s="1489">
        <v>2</v>
      </c>
      <c r="B171" s="1643"/>
      <c r="C171" s="1798" t="s">
        <v>328</v>
      </c>
      <c r="D171" s="1744" t="str">
        <f>IF($A171="","",VLOOKUP($A171,기본데이타!$A$8:$BV$103,COLUMN(기본데이타!F$8),0))</f>
        <v>비산동729-17번지R</v>
      </c>
      <c r="E171" s="1745">
        <f>IF($A171="","",VLOOKUP($A171,기본데이타!$A$8:$BV$103,COLUMN(기본데이타!G$8),0))</f>
        <v>51</v>
      </c>
      <c r="F171" s="1746">
        <f>IF($A171="","",VLOOKUP($A171,기본데이타!$A$8:$BV$103,COLUMN(기본데이타!H$8),0))</f>
        <v>35554000</v>
      </c>
      <c r="G171" s="1747">
        <f>IF($A171="","",VLOOKUP($A171,기본데이타!$A$8:$BV$103,COLUMN(기본데이타!I$8),0))</f>
        <v>0</v>
      </c>
      <c r="H171" s="1747">
        <f>IF($A171="","",VLOOKUP($A171,기본데이타!$A$8:$BV$103,COLUMN(기본데이타!J$8),0))</f>
        <v>35554000</v>
      </c>
      <c r="I171" s="1748">
        <f>IF($A171="","",VLOOKUP($A171,기본데이타!$A$8:$BV$103,COLUMN(기본데이타!K$8),0))</f>
        <v>0</v>
      </c>
      <c r="J171" s="1748">
        <f>IF($A171="","",VLOOKUP($A171,기본데이타!$A$8:$BV$103,COLUMN(기본데이타!L$8),0))</f>
        <v>0</v>
      </c>
      <c r="K171" s="1748">
        <f>IF($A171="","",VLOOKUP($A171,기본데이타!$A$8:$BV$103,COLUMN(기본데이타!M$8),0))</f>
        <v>0</v>
      </c>
      <c r="L171" s="1749">
        <f>IF($A171="","",VLOOKUP($A171,기본데이타!$A$8:$BV$103,COLUMN(기본데이타!N$8),0))</f>
        <v>0</v>
      </c>
      <c r="M171" s="1748">
        <f>IF($A171="","",VLOOKUP($A171,기본데이타!$A$8:$BV$103,COLUMN(기본데이타!O$8),0))</f>
        <v>0</v>
      </c>
      <c r="N171" s="1749">
        <f>IF($A171="","",VLOOKUP($A171,기본데이타!$A$8:$BV$103,COLUMN(기본데이타!P$8),0))</f>
        <v>0</v>
      </c>
      <c r="O171" s="1749">
        <f>IF($A171="","",VLOOKUP($A171,기본데이타!$A$8:$BV$103,COLUMN(기본데이타!Q$8),0))</f>
        <v>0</v>
      </c>
      <c r="P171" s="1749">
        <f>IF($A171="","",VLOOKUP($A171,기본데이타!$A$8:$BV$103,COLUMN(기본데이타!R$8),0))</f>
        <v>0</v>
      </c>
      <c r="Q171" s="1749">
        <f>IF($A171="","",VLOOKUP($A171,기본데이타!$A$8:$BV$103,COLUMN(기본데이타!S$8),0))</f>
        <v>0</v>
      </c>
      <c r="R171" s="1749">
        <f>IF($A171="","",VLOOKUP($A171,기본데이타!$A$8:$BV$103,COLUMN(기본데이타!T$8),0))</f>
        <v>0</v>
      </c>
      <c r="S171" s="1749">
        <f>IF($A171="","",VLOOKUP($A171,기본데이타!$A$8:$BV$103,COLUMN(기본데이타!U$8),0))</f>
        <v>0</v>
      </c>
      <c r="T171" s="1749">
        <f>IF($A171="","",VLOOKUP($A171,기본데이타!$A$8:$BV$103,COLUMN(기본데이타!V$8),0))</f>
        <v>0</v>
      </c>
      <c r="U171" s="1749">
        <f>IF($A171="","",VLOOKUP($A171,기본데이타!$A$8:$BV$103,COLUMN(기본데이타!W$8),0))</f>
        <v>0</v>
      </c>
      <c r="V171" s="1749">
        <f>IF($A171="","",VLOOKUP($A171,기본데이타!$A$8:$BV$103,COLUMN(기본데이타!X$8),0))</f>
        <v>0</v>
      </c>
      <c r="W171" s="1749">
        <f>IF($A171="","",VLOOKUP($A171,기본데이타!$A$8:$BV$103,COLUMN(기본데이타!AA$8),0))</f>
        <v>0</v>
      </c>
      <c r="X171" s="1749">
        <f>IF($A171="","",VLOOKUP($A171,기본데이타!$A$8:$BV$103,COLUMN(기본데이타!AB$8),0))</f>
        <v>0</v>
      </c>
      <c r="Y171" s="1748">
        <f>IF($A171="","",VLOOKUP($A171,기본데이타!$A$8:$BV$103,COLUMN(기본데이타!AC$8),0))</f>
        <v>0</v>
      </c>
      <c r="Z171" s="1749">
        <f>IF($A171="","",VLOOKUP($A171,기본데이타!$A$8:$BV$103,COLUMN(기본데이타!AD$8),0))</f>
        <v>0</v>
      </c>
      <c r="AA171" s="1748">
        <f>IF($A171="","",VLOOKUP($A171,기본데이타!$A$8:$BV$103,COLUMN(기본데이타!AE$8),0))</f>
        <v>0</v>
      </c>
      <c r="AB171" s="1749">
        <f>IF($A171="","",VLOOKUP($A171,기본데이타!$A$8:$BV$103,COLUMN(기본데이타!AF$8),0))</f>
        <v>0</v>
      </c>
      <c r="AC171" s="1748">
        <f>IF($A171="","",VLOOKUP($A171,기본데이타!$A$8:$BV$103,COLUMN(기본데이타!AG$8),0))</f>
        <v>0</v>
      </c>
      <c r="AD171" s="1749">
        <f>IF($A171="","",VLOOKUP($A171,기본데이타!$A$8:$BV$103,COLUMN(기본데이타!AH$8),0))</f>
        <v>0</v>
      </c>
      <c r="AE171" s="1748">
        <f>IF($A171="","",VLOOKUP($A171,기본데이타!$A$8:$BV$103,COLUMN(기본데이타!AI$8),0))</f>
        <v>0</v>
      </c>
      <c r="AF171" s="1750">
        <f>IF($A171="","",VLOOKUP($A171,기본데이타!$A$8:$BV$103,COLUMN(기본데이타!AJ$8),0))</f>
        <v>0</v>
      </c>
      <c r="AG171" s="1750">
        <f>IF($A171="","",VLOOKUP($A171,기본데이타!$A$8:$BV$103,COLUMN(기본데이타!AK$8),0))</f>
        <v>0</v>
      </c>
      <c r="AH171" s="1750">
        <f>IF($A171="","",VLOOKUP($A171,기본데이타!$A$8:$BV$103,COLUMN(기본데이타!AL$8),0))</f>
        <v>0</v>
      </c>
      <c r="AI171" s="1750">
        <f>IF($A171="","",VLOOKUP($A171,기본데이타!$A$8:$BV$103,COLUMN(기본데이타!AM$8),0))</f>
        <v>0</v>
      </c>
      <c r="AJ171" s="1751">
        <f>IF($A171="","",VLOOKUP($A171,기본데이타!$A$8:$BV$103,COLUMN(기본데이타!AN$8),0))</f>
        <v>0</v>
      </c>
      <c r="AK171" s="1751">
        <f>IF($A171="","",VLOOKUP($A171,기본데이타!$A$8:$BV$103,COLUMN(기본데이타!AO$8),0))</f>
        <v>0</v>
      </c>
      <c r="AL171" s="1751">
        <f>IF($A171="","",VLOOKUP($A171,기본데이타!$A$8:$BV$103,COLUMN(기본데이타!AP$8),0))</f>
        <v>0</v>
      </c>
      <c r="AM171" s="1751">
        <f>IF($A171="","",VLOOKUP($A171,기본데이타!$A$8:$BV$103,COLUMN(기본데이타!AQ$8),0))</f>
        <v>0</v>
      </c>
      <c r="AN171" s="1751">
        <f>IF($A171="","",VLOOKUP($A171,기본데이타!$A$8:$BV$103,COLUMN(기본데이타!AR$8),0))</f>
        <v>0</v>
      </c>
      <c r="AO171" s="1751">
        <f>IF($A171="","",VLOOKUP($A171,기본데이타!$A$8:$BV$103,COLUMN(기본데이타!AS$8),0))</f>
        <v>0</v>
      </c>
      <c r="AP171" s="1751">
        <f>IF($A171="","",VLOOKUP($A171,기본데이타!$A$8:$BV$103,COLUMN(기본데이타!AT$8),0))</f>
        <v>0</v>
      </c>
      <c r="AQ171" s="1751">
        <f>IF($A171="","",VLOOKUP($A171,기본데이타!$A$8:$BV$103,COLUMN(기본데이타!AU$8),0))</f>
        <v>0</v>
      </c>
      <c r="AR171" s="1752">
        <f>IF($A171="","",VLOOKUP($A171,기본데이타!$A$8:$BV$103,COLUMN(기본데이타!AV$8),0))</f>
        <v>0</v>
      </c>
      <c r="AS171" s="1749">
        <f>IF($A171="","",VLOOKUP($A171,기본데이타!$A$8:$BV$103,COLUMN(기본데이타!AW$8),0))</f>
        <v>1636560</v>
      </c>
      <c r="AT171" s="1749">
        <f>IF($A171="","",VLOOKUP($A171,기본데이타!$A$8:$BV$103,COLUMN(기본데이타!AX$8),0))</f>
        <v>0</v>
      </c>
      <c r="AU171" s="1749">
        <f>IF($A171="","",VLOOKUP($A171,기본데이타!$A$8:$BV$103,COLUMN(기본데이타!AY$8),0))</f>
        <v>89208</v>
      </c>
      <c r="AV171" s="1749">
        <f>IF(AS171="","",SUM(AS171:AU171))</f>
        <v>1725768</v>
      </c>
      <c r="AW171" s="1750">
        <f>IF($A171="","",VLOOKUP($A171,기본데이타!$A$8:$BV$103,COLUMN(기본데이타!BA$8),0))</f>
        <v>0</v>
      </c>
      <c r="AX171" s="1750">
        <f>IF($A171="","",VLOOKUP($A171,기본데이타!$A$8:$BV$103,COLUMN(기본데이타!BB$8),0))</f>
        <v>0</v>
      </c>
      <c r="AY171" s="1750">
        <f>IF($A171="","",VLOOKUP($A171,기본데이타!$A$8:$BV$103,COLUMN(기본데이타!BC$8),0))</f>
        <v>0</v>
      </c>
      <c r="AZ171" s="1750">
        <f>IF($A171="","",VLOOKUP($A171,기본데이타!$A$8:$BV$103,COLUMN(기본데이타!BD$8),0))</f>
        <v>0</v>
      </c>
      <c r="BA171" s="1750">
        <f>IF($A171="","",VLOOKUP($A171,기본데이타!$A$8:$BV$103,COLUMN(기본데이타!BE$8),0))</f>
        <v>0</v>
      </c>
      <c r="BB171" s="1750">
        <f>IF($A171="","",VLOOKUP($A171,기본데이타!$A$8:$BV$103,COLUMN(기본데이타!BF$8),0))</f>
        <v>0</v>
      </c>
      <c r="BC171" s="1750">
        <f>IF($A171="","",VLOOKUP($A171,기본데이타!$A$8:$BV$103,COLUMN(기본데이타!BG$8),0))</f>
        <v>0</v>
      </c>
      <c r="BD171" s="1750">
        <f>IF($A171="","",VLOOKUP($A171,기본데이타!$A$8:$BV$103,COLUMN(기본데이타!BH$8),0))</f>
        <v>0</v>
      </c>
      <c r="BE171" s="1750">
        <f>IF($A171="","",VLOOKUP($A171,기본데이타!$A$8:$BV$103,COLUMN(기본데이타!BI$8),0))</f>
        <v>0</v>
      </c>
      <c r="BF171" s="1750">
        <f>IF($A171="","",VLOOKUP($A171,기본데이타!$A$8:$BV$103,COLUMN(기본데이타!BJ$8),0))</f>
        <v>0</v>
      </c>
      <c r="BG171" s="1750">
        <f>IF($A171="","",VLOOKUP($A171,기본데이타!$A$8:$BV$103,COLUMN(기본데이타!BK$8),0))</f>
        <v>0</v>
      </c>
      <c r="BH171" s="1750">
        <f>IF($A171="","",VLOOKUP($A171,기본데이타!$A$8:$BV$103,COLUMN(기본데이타!BL$8),0))</f>
        <v>0</v>
      </c>
      <c r="BI171" s="1750">
        <f>IF($A171="","",VLOOKUP($A171,기본데이타!$A$8:$BV$103,COLUMN(기본데이타!BM$8),0))</f>
        <v>0</v>
      </c>
      <c r="BJ171" s="1750">
        <f>IF($A171="","",VLOOKUP($A171,기본데이타!$A$8:$BV$103,COLUMN(기본데이타!BN$8),0))</f>
        <v>0</v>
      </c>
      <c r="BK171" s="1750">
        <f>IF($A171="","",VLOOKUP($A171,기본데이타!$A$8:$BV$103,COLUMN(기본데이타!BO$8),0))</f>
        <v>0</v>
      </c>
      <c r="BL171" s="1750">
        <f>IF($A171="","",VLOOKUP($A171,기본데이타!$A$8:$BV$103,COLUMN(기본데이타!BP$8),0))</f>
        <v>0</v>
      </c>
      <c r="BM171" s="1750">
        <f>IF($A171="","",VLOOKUP($A171,기본데이타!$A$8:$BV$103,COLUMN(기본데이타!BQ$8),0))</f>
        <v>0</v>
      </c>
      <c r="BN171" s="1753">
        <f>IF($A171="","",VLOOKUP($A171,기본데이타!$A$8:$BV$103,COLUMN(기본데이타!BR$8),0))</f>
        <v>0</v>
      </c>
      <c r="BO171" s="1754">
        <f>IF($A171="","",VLOOKUP($A171,기본데이타!$A$8:$BV$103,COLUMN(기본데이타!BS$8),0))</f>
        <v>0</v>
      </c>
      <c r="BP171" s="1755">
        <f>IF($A171="","",VLOOKUP($A171,기본데이타!$A$8:$BV$103,COLUMN(기본데이타!BT$8),0))</f>
        <v>0</v>
      </c>
      <c r="BQ171" s="1756">
        <f>IF($A171="","",VLOOKUP($A171,기본데이타!$A$8:$BV$103,COLUMN(기본데이타!BU$8),0))</f>
        <v>0</v>
      </c>
      <c r="BR171" s="1757">
        <f>IF($A171="","",A171)</f>
        <v>2</v>
      </c>
    </row>
    <row r="172" spans="1:70" s="571" customFormat="1" ht="61.5" hidden="1" customHeight="1">
      <c r="A172" s="578"/>
      <c r="B172" s="1642"/>
      <c r="C172" s="1341"/>
      <c r="D172" s="591" t="str">
        <f>IF($A172="","",VLOOKUP($A172,기본데이타!$A$8:$BV$103,COLUMN(기본데이타!F$8),0))</f>
        <v/>
      </c>
      <c r="E172" s="592" t="str">
        <f>IF($A172="","",VLOOKUP($A172,기본데이타!$A$8:$BV$103,COLUMN(기본데이타!G$8),0))</f>
        <v/>
      </c>
      <c r="F172" s="593" t="str">
        <f>IF($A172="","",VLOOKUP($A172,기본데이타!$A$8:$BV$103,COLUMN(기본데이타!H$8),0))</f>
        <v/>
      </c>
      <c r="G172" s="594" t="str">
        <f>IF($A172="","",VLOOKUP($A172,기본데이타!$A$8:$BV$103,COLUMN(기본데이타!I$8),0))</f>
        <v/>
      </c>
      <c r="H172" s="594" t="str">
        <f>IF($A172="","",VLOOKUP($A172,기본데이타!$A$8:$BV$103,COLUMN(기본데이타!J$8),0))</f>
        <v/>
      </c>
      <c r="I172" s="595" t="str">
        <f>IF($A172="","",VLOOKUP($A172,기본데이타!$A$8:$BV$103,COLUMN(기본데이타!K$8),0))</f>
        <v/>
      </c>
      <c r="J172" s="595" t="str">
        <f>IF($A172="","",VLOOKUP($A172,기본데이타!$A$8:$BV$103,COLUMN(기본데이타!L$8),0))</f>
        <v/>
      </c>
      <c r="K172" s="595" t="str">
        <f>IF($A172="","",VLOOKUP($A172,기본데이타!$A$8:$BV$103,COLUMN(기본데이타!M$8),0))</f>
        <v/>
      </c>
      <c r="L172" s="596" t="str">
        <f>IF($A172="","",VLOOKUP($A172,기본데이타!$A$8:$BV$103,COLUMN(기본데이타!N$8),0))</f>
        <v/>
      </c>
      <c r="M172" s="595" t="str">
        <f>IF($A172="","",VLOOKUP($A172,기본데이타!$A$8:$BV$103,COLUMN(기본데이타!O$8),0))</f>
        <v/>
      </c>
      <c r="N172" s="596" t="str">
        <f>IF($A172="","",VLOOKUP($A172,기본데이타!$A$8:$BV$103,COLUMN(기본데이타!P$8),0))</f>
        <v/>
      </c>
      <c r="O172" s="596" t="str">
        <f>IF($A172="","",VLOOKUP($A172,기본데이타!$A$8:$BV$103,COLUMN(기본데이타!Q$8),0))</f>
        <v/>
      </c>
      <c r="P172" s="596" t="str">
        <f>IF($A172="","",VLOOKUP($A172,기본데이타!$A$8:$BV$103,COLUMN(기본데이타!R$8),0))</f>
        <v/>
      </c>
      <c r="Q172" s="596" t="str">
        <f>IF($A172="","",VLOOKUP($A172,기본데이타!$A$8:$BV$103,COLUMN(기본데이타!S$8),0))</f>
        <v/>
      </c>
      <c r="R172" s="596" t="str">
        <f>IF($A172="","",VLOOKUP($A172,기본데이타!$A$8:$BV$103,COLUMN(기본데이타!T$8),0))</f>
        <v/>
      </c>
      <c r="S172" s="596" t="str">
        <f>IF($A172="","",VLOOKUP($A172,기본데이타!$A$8:$BV$103,COLUMN(기본데이타!U$8),0))</f>
        <v/>
      </c>
      <c r="T172" s="596" t="str">
        <f>IF($A172="","",VLOOKUP($A172,기본데이타!$A$8:$BV$103,COLUMN(기본데이타!V$8),0))</f>
        <v/>
      </c>
      <c r="U172" s="596" t="str">
        <f>IF($A172="","",VLOOKUP($A172,기본데이타!$A$8:$BV$103,COLUMN(기본데이타!W$8),0))</f>
        <v/>
      </c>
      <c r="V172" s="596" t="str">
        <f>IF($A172="","",VLOOKUP($A172,기본데이타!$A$8:$BV$103,COLUMN(기본데이타!X$8),0))</f>
        <v/>
      </c>
      <c r="W172" s="596" t="str">
        <f>IF($A172="","",VLOOKUP($A172,기본데이타!$A$8:$BV$103,COLUMN(기본데이타!AA$8),0))</f>
        <v/>
      </c>
      <c r="X172" s="596" t="str">
        <f>IF($A172="","",VLOOKUP($A172,기본데이타!$A$8:$BV$103,COLUMN(기본데이타!AB$8),0))</f>
        <v/>
      </c>
      <c r="Y172" s="595" t="str">
        <f>IF($A172="","",VLOOKUP($A172,기본데이타!$A$8:$BV$103,COLUMN(기본데이타!AC$8),0))</f>
        <v/>
      </c>
      <c r="Z172" s="596" t="str">
        <f>IF($A172="","",VLOOKUP($A172,기본데이타!$A$8:$BV$103,COLUMN(기본데이타!AD$8),0))</f>
        <v/>
      </c>
      <c r="AA172" s="595" t="str">
        <f>IF($A172="","",VLOOKUP($A172,기본데이타!$A$8:$BV$103,COLUMN(기본데이타!AE$8),0))</f>
        <v/>
      </c>
      <c r="AB172" s="596" t="str">
        <f>IF($A172="","",VLOOKUP($A172,기본데이타!$A$8:$BV$103,COLUMN(기본데이타!AF$8),0))</f>
        <v/>
      </c>
      <c r="AC172" s="595" t="str">
        <f>IF($A172="","",VLOOKUP($A172,기본데이타!$A$8:$BV$103,COLUMN(기본데이타!AG$8),0))</f>
        <v/>
      </c>
      <c r="AD172" s="596" t="str">
        <f>IF($A172="","",VLOOKUP($A172,기본데이타!$A$8:$BV$103,COLUMN(기본데이타!AH$8),0))</f>
        <v/>
      </c>
      <c r="AE172" s="595" t="str">
        <f>IF($A172="","",VLOOKUP($A172,기본데이타!$A$8:$BV$103,COLUMN(기본데이타!AI$8),0))</f>
        <v/>
      </c>
      <c r="AF172" s="597" t="str">
        <f>IF($A172="","",VLOOKUP($A172,기본데이타!$A$8:$BV$103,COLUMN(기본데이타!AJ$8),0))</f>
        <v/>
      </c>
      <c r="AG172" s="597" t="str">
        <f>IF($A172="","",VLOOKUP($A172,기본데이타!$A$8:$BV$103,COLUMN(기본데이타!AK$8),0))</f>
        <v/>
      </c>
      <c r="AH172" s="597" t="str">
        <f>IF($A172="","",VLOOKUP($A172,기본데이타!$A$8:$BV$103,COLUMN(기본데이타!AL$8),0))</f>
        <v/>
      </c>
      <c r="AI172" s="597" t="str">
        <f>IF($A172="","",VLOOKUP($A172,기본데이타!$A$8:$BV$103,COLUMN(기본데이타!AM$8),0))</f>
        <v/>
      </c>
      <c r="AJ172" s="642" t="str">
        <f>IF($A172="","",VLOOKUP($A172,기본데이타!$A$8:$BV$103,COLUMN(기본데이타!AN$8),0))</f>
        <v/>
      </c>
      <c r="AK172" s="642" t="str">
        <f>IF($A172="","",VLOOKUP($A172,기본데이타!$A$8:$BV$103,COLUMN(기본데이타!AO$8),0))</f>
        <v/>
      </c>
      <c r="AL172" s="642" t="str">
        <f>IF($A172="","",VLOOKUP($A172,기본데이타!$A$8:$BV$103,COLUMN(기본데이타!AP$8),0))</f>
        <v/>
      </c>
      <c r="AM172" s="642" t="str">
        <f>IF($A172="","",VLOOKUP($A172,기본데이타!$A$8:$BV$103,COLUMN(기본데이타!AQ$8),0))</f>
        <v/>
      </c>
      <c r="AN172" s="642" t="str">
        <f>IF($A172="","",VLOOKUP($A172,기본데이타!$A$8:$BV$103,COLUMN(기본데이타!AR$8),0))</f>
        <v/>
      </c>
      <c r="AO172" s="642" t="str">
        <f>IF($A172="","",VLOOKUP($A172,기본데이타!$A$8:$BV$103,COLUMN(기본데이타!AS$8),0))</f>
        <v/>
      </c>
      <c r="AP172" s="642" t="str">
        <f>IF($A172="","",VLOOKUP($A172,기본데이타!$A$8:$BV$103,COLUMN(기본데이타!AT$8),0))</f>
        <v/>
      </c>
      <c r="AQ172" s="642" t="str">
        <f>IF($A172="","",VLOOKUP($A172,기본데이타!$A$8:$BV$103,COLUMN(기본데이타!AU$8),0))</f>
        <v/>
      </c>
      <c r="AR172" s="643" t="str">
        <f>IF($A172="","",VLOOKUP($A172,기본데이타!$A$8:$BV$103,COLUMN(기본데이타!AV$8),0))</f>
        <v/>
      </c>
      <c r="AS172" s="596" t="str">
        <f>IF($A172="","",VLOOKUP($A172,기본데이타!$A$8:$BV$103,COLUMN(기본데이타!AW$8),0))</f>
        <v/>
      </c>
      <c r="AT172" s="596" t="str">
        <f>IF($A172="","",VLOOKUP($A172,기본데이타!$A$8:$BV$103,COLUMN(기본데이타!AX$8),0))</f>
        <v/>
      </c>
      <c r="AU172" s="596" t="str">
        <f>IF($A172="","",VLOOKUP($A172,기본데이타!$A$8:$BV$103,COLUMN(기본데이타!AY$8),0))</f>
        <v/>
      </c>
      <c r="AV172" s="596" t="str">
        <f t="shared" si="24"/>
        <v/>
      </c>
      <c r="AW172" s="597" t="str">
        <f>IF($A172="","",VLOOKUP($A172,기본데이타!$A$8:$BV$103,COLUMN(기본데이타!BA$8),0))</f>
        <v/>
      </c>
      <c r="AX172" s="597" t="str">
        <f>IF($A172="","",VLOOKUP($A172,기본데이타!$A$8:$BV$103,COLUMN(기본데이타!BB$8),0))</f>
        <v/>
      </c>
      <c r="AY172" s="597" t="str">
        <f>IF($A172="","",VLOOKUP($A172,기본데이타!$A$8:$BV$103,COLUMN(기본데이타!BC$8),0))</f>
        <v/>
      </c>
      <c r="AZ172" s="597" t="str">
        <f>IF($A172="","",VLOOKUP($A172,기본데이타!$A$8:$BV$103,COLUMN(기본데이타!BD$8),0))</f>
        <v/>
      </c>
      <c r="BA172" s="597" t="str">
        <f>IF($A172="","",VLOOKUP($A172,기본데이타!$A$8:$BV$103,COLUMN(기본데이타!BE$8),0))</f>
        <v/>
      </c>
      <c r="BB172" s="597" t="str">
        <f>IF($A172="","",VLOOKUP($A172,기본데이타!$A$8:$BV$103,COLUMN(기본데이타!BF$8),0))</f>
        <v/>
      </c>
      <c r="BC172" s="597" t="str">
        <f>IF($A172="","",VLOOKUP($A172,기본데이타!$A$8:$BV$103,COLUMN(기본데이타!BG$8),0))</f>
        <v/>
      </c>
      <c r="BD172" s="597" t="str">
        <f>IF($A172="","",VLOOKUP($A172,기본데이타!$A$8:$BV$103,COLUMN(기본데이타!BH$8),0))</f>
        <v/>
      </c>
      <c r="BE172" s="597" t="str">
        <f>IF($A172="","",VLOOKUP($A172,기본데이타!$A$8:$BV$103,COLUMN(기본데이타!BI$8),0))</f>
        <v/>
      </c>
      <c r="BF172" s="597" t="str">
        <f>IF($A172="","",VLOOKUP($A172,기본데이타!$A$8:$BV$103,COLUMN(기본데이타!BJ$8),0))</f>
        <v/>
      </c>
      <c r="BG172" s="597" t="str">
        <f>IF($A172="","",VLOOKUP($A172,기본데이타!$A$8:$BV$103,COLUMN(기본데이타!BK$8),0))</f>
        <v/>
      </c>
      <c r="BH172" s="597" t="str">
        <f>IF($A172="","",VLOOKUP($A172,기본데이타!$A$8:$BV$103,COLUMN(기본데이타!BL$8),0))</f>
        <v/>
      </c>
      <c r="BI172" s="597" t="str">
        <f>IF($A172="","",VLOOKUP($A172,기본데이타!$A$8:$BV$103,COLUMN(기본데이타!BM$8),0))</f>
        <v/>
      </c>
      <c r="BJ172" s="597" t="str">
        <f>IF($A172="","",VLOOKUP($A172,기본데이타!$A$8:$BV$103,COLUMN(기본데이타!BN$8),0))</f>
        <v/>
      </c>
      <c r="BK172" s="597" t="str">
        <f>IF($A172="","",VLOOKUP($A172,기본데이타!$A$8:$BV$103,COLUMN(기본데이타!BO$8),0))</f>
        <v/>
      </c>
      <c r="BL172" s="597" t="str">
        <f>IF($A172="","",VLOOKUP($A172,기본데이타!$A$8:$BV$103,COLUMN(기본데이타!BP$8),0))</f>
        <v/>
      </c>
      <c r="BM172" s="597" t="str">
        <f>IF($A172="","",VLOOKUP($A172,기본데이타!$A$8:$BV$103,COLUMN(기본데이타!BQ$8),0))</f>
        <v/>
      </c>
      <c r="BN172" s="599" t="str">
        <f>IF($A172="","",VLOOKUP($A172,기본데이타!$A$8:$BV$103,COLUMN(기본데이타!BR$8),0))</f>
        <v/>
      </c>
      <c r="BO172" s="600" t="str">
        <f>IF($A172="","",VLOOKUP($A172,기본데이타!$A$8:$BV$103,COLUMN(기본데이타!BS$8),0))</f>
        <v/>
      </c>
      <c r="BP172" s="623" t="str">
        <f>IF($A172="","",VLOOKUP($A172,기본데이타!$A$8:$BV$103,COLUMN(기본데이타!BT$8),0))</f>
        <v/>
      </c>
      <c r="BQ172" s="602" t="str">
        <f>IF($A172="","",VLOOKUP($A172,기본데이타!$A$8:$BV$103,COLUMN(기본데이타!BU$8),0))</f>
        <v/>
      </c>
      <c r="BR172" s="603" t="str">
        <f t="shared" si="25"/>
        <v/>
      </c>
    </row>
    <row r="173" spans="1:70" s="571" customFormat="1" ht="61.5" hidden="1" customHeight="1">
      <c r="A173" s="578"/>
      <c r="B173" s="1642"/>
      <c r="C173" s="590"/>
      <c r="D173" s="591" t="str">
        <f>IF($A173="","",VLOOKUP($A173,기본데이타!$A$8:$BV$103,COLUMN(기본데이타!F$8),0))</f>
        <v/>
      </c>
      <c r="E173" s="592" t="str">
        <f>IF($A173="","",VLOOKUP($A173,기본데이타!$A$8:$BV$103,COLUMN(기본데이타!G$8),0))</f>
        <v/>
      </c>
      <c r="F173" s="593" t="str">
        <f>IF($A173="","",VLOOKUP($A173,기본데이타!$A$8:$BV$103,COLUMN(기본데이타!H$8),0))</f>
        <v/>
      </c>
      <c r="G173" s="594" t="str">
        <f>IF($A173="","",VLOOKUP($A173,기본데이타!$A$8:$BV$103,COLUMN(기본데이타!I$8),0))</f>
        <v/>
      </c>
      <c r="H173" s="594" t="str">
        <f>IF($A173="","",VLOOKUP($A173,기본데이타!$A$8:$BV$103,COLUMN(기본데이타!J$8),0))</f>
        <v/>
      </c>
      <c r="I173" s="595" t="str">
        <f>IF($A173="","",VLOOKUP($A173,기본데이타!$A$8:$BV$103,COLUMN(기본데이타!K$8),0))</f>
        <v/>
      </c>
      <c r="J173" s="595" t="str">
        <f>IF($A173="","",VLOOKUP($A173,기본데이타!$A$8:$BV$103,COLUMN(기본데이타!L$8),0))</f>
        <v/>
      </c>
      <c r="K173" s="595" t="str">
        <f>IF($A173="","",VLOOKUP($A173,기본데이타!$A$8:$BV$103,COLUMN(기본데이타!M$8),0))</f>
        <v/>
      </c>
      <c r="L173" s="596" t="str">
        <f>IF($A173="","",VLOOKUP($A173,기본데이타!$A$8:$BV$103,COLUMN(기본데이타!N$8),0))</f>
        <v/>
      </c>
      <c r="M173" s="595" t="str">
        <f>IF($A173="","",VLOOKUP($A173,기본데이타!$A$8:$BV$103,COLUMN(기본데이타!O$8),0))</f>
        <v/>
      </c>
      <c r="N173" s="596" t="str">
        <f>IF($A173="","",VLOOKUP($A173,기본데이타!$A$8:$BV$103,COLUMN(기본데이타!P$8),0))</f>
        <v/>
      </c>
      <c r="O173" s="596" t="str">
        <f>IF($A173="","",VLOOKUP($A173,기본데이타!$A$8:$BV$103,COLUMN(기본데이타!Q$8),0))</f>
        <v/>
      </c>
      <c r="P173" s="596" t="str">
        <f>IF($A173="","",VLOOKUP($A173,기본데이타!$A$8:$BV$103,COLUMN(기본데이타!R$8),0))</f>
        <v/>
      </c>
      <c r="Q173" s="596" t="str">
        <f>IF($A173="","",VLOOKUP($A173,기본데이타!$A$8:$BV$103,COLUMN(기본데이타!S$8),0))</f>
        <v/>
      </c>
      <c r="R173" s="596" t="str">
        <f>IF($A173="","",VLOOKUP($A173,기본데이타!$A$8:$BV$103,COLUMN(기본데이타!T$8),0))</f>
        <v/>
      </c>
      <c r="S173" s="596" t="str">
        <f>IF($A173="","",VLOOKUP($A173,기본데이타!$A$8:$BV$103,COLUMN(기본데이타!U$8),0))</f>
        <v/>
      </c>
      <c r="T173" s="596" t="str">
        <f>IF($A173="","",VLOOKUP($A173,기본데이타!$A$8:$BV$103,COLUMN(기본데이타!V$8),0))</f>
        <v/>
      </c>
      <c r="U173" s="596" t="str">
        <f>IF($A173="","",VLOOKUP($A173,기본데이타!$A$8:$BV$103,COLUMN(기본데이타!W$8),0))</f>
        <v/>
      </c>
      <c r="V173" s="596" t="str">
        <f>IF($A173="","",VLOOKUP($A173,기본데이타!$A$8:$BV$103,COLUMN(기본데이타!X$8),0))</f>
        <v/>
      </c>
      <c r="W173" s="596" t="str">
        <f>IF($A173="","",VLOOKUP($A173,기본데이타!$A$8:$BV$103,COLUMN(기본데이타!AA$8),0))</f>
        <v/>
      </c>
      <c r="X173" s="596" t="str">
        <f>IF($A173="","",VLOOKUP($A173,기본데이타!$A$8:$BV$103,COLUMN(기본데이타!AB$8),0))</f>
        <v/>
      </c>
      <c r="Y173" s="595" t="str">
        <f>IF($A173="","",VLOOKUP($A173,기본데이타!$A$8:$BV$103,COLUMN(기본데이타!AC$8),0))</f>
        <v/>
      </c>
      <c r="Z173" s="596" t="str">
        <f>IF($A173="","",VLOOKUP($A173,기본데이타!$A$8:$BV$103,COLUMN(기본데이타!AD$8),0))</f>
        <v/>
      </c>
      <c r="AA173" s="595" t="str">
        <f>IF($A173="","",VLOOKUP($A173,기본데이타!$A$8:$BV$103,COLUMN(기본데이타!AE$8),0))</f>
        <v/>
      </c>
      <c r="AB173" s="596" t="str">
        <f>IF($A173="","",VLOOKUP($A173,기본데이타!$A$8:$BV$103,COLUMN(기본데이타!AF$8),0))</f>
        <v/>
      </c>
      <c r="AC173" s="595" t="str">
        <f>IF($A173="","",VLOOKUP($A173,기본데이타!$A$8:$BV$103,COLUMN(기본데이타!AG$8),0))</f>
        <v/>
      </c>
      <c r="AD173" s="596" t="str">
        <f>IF($A173="","",VLOOKUP($A173,기본데이타!$A$8:$BV$103,COLUMN(기본데이타!AH$8),0))</f>
        <v/>
      </c>
      <c r="AE173" s="595" t="str">
        <f>IF($A173="","",VLOOKUP($A173,기본데이타!$A$8:$BV$103,COLUMN(기본데이타!AI$8),0))</f>
        <v/>
      </c>
      <c r="AF173" s="597" t="str">
        <f>IF($A173="","",VLOOKUP($A173,기본데이타!$A$8:$BV$103,COLUMN(기본데이타!AJ$8),0))</f>
        <v/>
      </c>
      <c r="AG173" s="597" t="str">
        <f>IF($A173="","",VLOOKUP($A173,기본데이타!$A$8:$BV$103,COLUMN(기본데이타!AK$8),0))</f>
        <v/>
      </c>
      <c r="AH173" s="597" t="str">
        <f>IF($A173="","",VLOOKUP($A173,기본데이타!$A$8:$BV$103,COLUMN(기본데이타!AL$8),0))</f>
        <v/>
      </c>
      <c r="AI173" s="597" t="str">
        <f>IF($A173="","",VLOOKUP($A173,기본데이타!$A$8:$BV$103,COLUMN(기본데이타!AM$8),0))</f>
        <v/>
      </c>
      <c r="AJ173" s="642" t="str">
        <f>IF($A173="","",VLOOKUP($A173,기본데이타!$A$8:$BV$103,COLUMN(기본데이타!AN$8),0))</f>
        <v/>
      </c>
      <c r="AK173" s="642" t="str">
        <f>IF($A173="","",VLOOKUP($A173,기본데이타!$A$8:$BV$103,COLUMN(기본데이타!AO$8),0))</f>
        <v/>
      </c>
      <c r="AL173" s="642" t="str">
        <f>IF($A173="","",VLOOKUP($A173,기본데이타!$A$8:$BV$103,COLUMN(기본데이타!AP$8),0))</f>
        <v/>
      </c>
      <c r="AM173" s="642" t="str">
        <f>IF($A173="","",VLOOKUP($A173,기본데이타!$A$8:$BV$103,COLUMN(기본데이타!AQ$8),0))</f>
        <v/>
      </c>
      <c r="AN173" s="642" t="str">
        <f>IF($A173="","",VLOOKUP($A173,기본데이타!$A$8:$BV$103,COLUMN(기본데이타!AR$8),0))</f>
        <v/>
      </c>
      <c r="AO173" s="642" t="str">
        <f>IF($A173="","",VLOOKUP($A173,기본데이타!$A$8:$BV$103,COLUMN(기본데이타!AS$8),0))</f>
        <v/>
      </c>
      <c r="AP173" s="642" t="str">
        <f>IF($A173="","",VLOOKUP($A173,기본데이타!$A$8:$BV$103,COLUMN(기본데이타!AT$8),0))</f>
        <v/>
      </c>
      <c r="AQ173" s="642" t="str">
        <f>IF($A173="","",VLOOKUP($A173,기본데이타!$A$8:$BV$103,COLUMN(기본데이타!AU$8),0))</f>
        <v/>
      </c>
      <c r="AR173" s="643" t="str">
        <f>IF($A173="","",VLOOKUP($A173,기본데이타!$A$8:$BV$103,COLUMN(기본데이타!AV$8),0))</f>
        <v/>
      </c>
      <c r="AS173" s="596" t="str">
        <f>IF($A173="","",VLOOKUP($A173,기본데이타!$A$8:$BV$103,COLUMN(기본데이타!AW$8),0))</f>
        <v/>
      </c>
      <c r="AT173" s="596" t="str">
        <f>IF($A173="","",VLOOKUP($A173,기본데이타!$A$8:$BV$103,COLUMN(기본데이타!AX$8),0))</f>
        <v/>
      </c>
      <c r="AU173" s="596" t="str">
        <f>IF($A173="","",VLOOKUP($A173,기본데이타!$A$8:$BV$103,COLUMN(기본데이타!AY$8),0))</f>
        <v/>
      </c>
      <c r="AV173" s="596" t="str">
        <f t="shared" ref="AV173:AV186" si="26">IF(AS173="","",SUM(AS173:AU173))</f>
        <v/>
      </c>
      <c r="AW173" s="597" t="str">
        <f>IF($A173="","",VLOOKUP($A173,기본데이타!$A$8:$BV$103,COLUMN(기본데이타!BA$8),0))</f>
        <v/>
      </c>
      <c r="AX173" s="597" t="str">
        <f>IF($A173="","",VLOOKUP($A173,기본데이타!$A$8:$BV$103,COLUMN(기본데이타!BB$8),0))</f>
        <v/>
      </c>
      <c r="AY173" s="597" t="str">
        <f>IF($A173="","",VLOOKUP($A173,기본데이타!$A$8:$BV$103,COLUMN(기본데이타!BC$8),0))</f>
        <v/>
      </c>
      <c r="AZ173" s="597" t="str">
        <f>IF($A173="","",VLOOKUP($A173,기본데이타!$A$8:$BV$103,COLUMN(기본데이타!BD$8),0))</f>
        <v/>
      </c>
      <c r="BA173" s="597" t="str">
        <f>IF($A173="","",VLOOKUP($A173,기본데이타!$A$8:$BV$103,COLUMN(기본데이타!BE$8),0))</f>
        <v/>
      </c>
      <c r="BB173" s="597" t="str">
        <f>IF($A173="","",VLOOKUP($A173,기본데이타!$A$8:$BV$103,COLUMN(기본데이타!BF$8),0))</f>
        <v/>
      </c>
      <c r="BC173" s="597" t="str">
        <f>IF($A173="","",VLOOKUP($A173,기본데이타!$A$8:$BV$103,COLUMN(기본데이타!BG$8),0))</f>
        <v/>
      </c>
      <c r="BD173" s="597" t="str">
        <f>IF($A173="","",VLOOKUP($A173,기본데이타!$A$8:$BV$103,COLUMN(기본데이타!BH$8),0))</f>
        <v/>
      </c>
      <c r="BE173" s="597" t="str">
        <f>IF($A173="","",VLOOKUP($A173,기본데이타!$A$8:$BV$103,COLUMN(기본데이타!BI$8),0))</f>
        <v/>
      </c>
      <c r="BF173" s="597" t="str">
        <f>IF($A173="","",VLOOKUP($A173,기본데이타!$A$8:$BV$103,COLUMN(기본데이타!BJ$8),0))</f>
        <v/>
      </c>
      <c r="BG173" s="597" t="str">
        <f>IF($A173="","",VLOOKUP($A173,기본데이타!$A$8:$BV$103,COLUMN(기본데이타!BK$8),0))</f>
        <v/>
      </c>
      <c r="BH173" s="597" t="str">
        <f>IF($A173="","",VLOOKUP($A173,기본데이타!$A$8:$BV$103,COLUMN(기본데이타!BL$8),0))</f>
        <v/>
      </c>
      <c r="BI173" s="597" t="str">
        <f>IF($A173="","",VLOOKUP($A173,기본데이타!$A$8:$BV$103,COLUMN(기본데이타!BM$8),0))</f>
        <v/>
      </c>
      <c r="BJ173" s="597" t="str">
        <f>IF($A173="","",VLOOKUP($A173,기본데이타!$A$8:$BV$103,COLUMN(기본데이타!BN$8),0))</f>
        <v/>
      </c>
      <c r="BK173" s="597" t="str">
        <f>IF($A173="","",VLOOKUP($A173,기본데이타!$A$8:$BV$103,COLUMN(기본데이타!BO$8),0))</f>
        <v/>
      </c>
      <c r="BL173" s="597" t="str">
        <f>IF($A173="","",VLOOKUP($A173,기본데이타!$A$8:$BV$103,COLUMN(기본데이타!BP$8),0))</f>
        <v/>
      </c>
      <c r="BM173" s="597" t="str">
        <f>IF($A173="","",VLOOKUP($A173,기본데이타!$A$8:$BV$103,COLUMN(기본데이타!BQ$8),0))</f>
        <v/>
      </c>
      <c r="BN173" s="599" t="str">
        <f>IF($A173="","",VLOOKUP($A173,기본데이타!$A$8:$BV$103,COLUMN(기본데이타!BR$8),0))</f>
        <v/>
      </c>
      <c r="BO173" s="600" t="str">
        <f>IF($A173="","",VLOOKUP($A173,기본데이타!$A$8:$BV$103,COLUMN(기본데이타!BS$8),0))</f>
        <v/>
      </c>
      <c r="BP173" s="623" t="str">
        <f>IF($A173="","",VLOOKUP($A173,기본데이타!$A$8:$BV$103,COLUMN(기본데이타!BT$8),0))</f>
        <v/>
      </c>
      <c r="BQ173" s="602" t="str">
        <f>IF($A173="","",VLOOKUP($A173,기본데이타!$A$8:$BV$103,COLUMN(기본데이타!BU$8),0))</f>
        <v/>
      </c>
      <c r="BR173" s="603" t="str">
        <f t="shared" ref="BR173:BR186" si="27">IF($A173="","",A173)</f>
        <v/>
      </c>
    </row>
    <row r="174" spans="1:70" s="571" customFormat="1" ht="61.5" hidden="1" customHeight="1">
      <c r="A174" s="578"/>
      <c r="B174" s="1642"/>
      <c r="C174" s="1340"/>
      <c r="D174" s="607" t="str">
        <f>IF($A174="","",VLOOKUP($A174,기본데이타!$A$8:$BV$103,COLUMN(기본데이타!F$8),0))</f>
        <v/>
      </c>
      <c r="E174" s="608" t="str">
        <f>IF($A174="","",VLOOKUP($A174,기본데이타!$A$8:$BV$103,COLUMN(기본데이타!G$8),0))</f>
        <v/>
      </c>
      <c r="F174" s="609" t="str">
        <f>IF($A174="","",VLOOKUP($A174,기본데이타!$A$8:$BV$103,COLUMN(기본데이타!H$8),0))</f>
        <v/>
      </c>
      <c r="G174" s="610" t="str">
        <f>IF($A174="","",VLOOKUP($A174,기본데이타!$A$8:$BV$103,COLUMN(기본데이타!I$8),0))</f>
        <v/>
      </c>
      <c r="H174" s="610" t="str">
        <f>IF($A174="","",VLOOKUP($A174,기본데이타!$A$8:$BV$103,COLUMN(기본데이타!J$8),0))</f>
        <v/>
      </c>
      <c r="I174" s="611" t="str">
        <f>IF($A174="","",VLOOKUP($A174,기본데이타!$A$8:$BV$103,COLUMN(기본데이타!K$8),0))</f>
        <v/>
      </c>
      <c r="J174" s="611" t="str">
        <f>IF($A174="","",VLOOKUP($A174,기본데이타!$A$8:$BV$103,COLUMN(기본데이타!L$8),0))</f>
        <v/>
      </c>
      <c r="K174" s="611" t="str">
        <f>IF($A174="","",VLOOKUP($A174,기본데이타!$A$8:$BV$103,COLUMN(기본데이타!M$8),0))</f>
        <v/>
      </c>
      <c r="L174" s="612" t="str">
        <f>IF($A174="","",VLOOKUP($A174,기본데이타!$A$8:$BV$103,COLUMN(기본데이타!N$8),0))</f>
        <v/>
      </c>
      <c r="M174" s="611" t="str">
        <f>IF($A174="","",VLOOKUP($A174,기본데이타!$A$8:$BV$103,COLUMN(기본데이타!O$8),0))</f>
        <v/>
      </c>
      <c r="N174" s="612" t="str">
        <f>IF($A174="","",VLOOKUP($A174,기본데이타!$A$8:$BV$103,COLUMN(기본데이타!P$8),0))</f>
        <v/>
      </c>
      <c r="O174" s="612" t="str">
        <f>IF($A174="","",VLOOKUP($A174,기본데이타!$A$8:$BV$103,COLUMN(기본데이타!Q$8),0))</f>
        <v/>
      </c>
      <c r="P174" s="612" t="str">
        <f>IF($A174="","",VLOOKUP($A174,기본데이타!$A$8:$BV$103,COLUMN(기본데이타!R$8),0))</f>
        <v/>
      </c>
      <c r="Q174" s="612" t="str">
        <f>IF($A174="","",VLOOKUP($A174,기본데이타!$A$8:$BV$103,COLUMN(기본데이타!S$8),0))</f>
        <v/>
      </c>
      <c r="R174" s="612" t="str">
        <f>IF($A174="","",VLOOKUP($A174,기본데이타!$A$8:$BV$103,COLUMN(기본데이타!T$8),0))</f>
        <v/>
      </c>
      <c r="S174" s="612" t="str">
        <f>IF($A174="","",VLOOKUP($A174,기본데이타!$A$8:$BV$103,COLUMN(기본데이타!U$8),0))</f>
        <v/>
      </c>
      <c r="T174" s="612" t="str">
        <f>IF($A174="","",VLOOKUP($A174,기본데이타!$A$8:$BV$103,COLUMN(기본데이타!V$8),0))</f>
        <v/>
      </c>
      <c r="U174" s="612" t="str">
        <f>IF($A174="","",VLOOKUP($A174,기본데이타!$A$8:$BV$103,COLUMN(기본데이타!W$8),0))</f>
        <v/>
      </c>
      <c r="V174" s="612" t="str">
        <f>IF($A174="","",VLOOKUP($A174,기본데이타!$A$8:$BV$103,COLUMN(기본데이타!X$8),0))</f>
        <v/>
      </c>
      <c r="W174" s="612" t="str">
        <f>IF($A174="","",VLOOKUP($A174,기본데이타!$A$8:$BV$103,COLUMN(기본데이타!AA$8),0))</f>
        <v/>
      </c>
      <c r="X174" s="612" t="str">
        <f>IF($A174="","",VLOOKUP($A174,기본데이타!$A$8:$BV$103,COLUMN(기본데이타!AB$8),0))</f>
        <v/>
      </c>
      <c r="Y174" s="611" t="str">
        <f>IF($A174="","",VLOOKUP($A174,기본데이타!$A$8:$BV$103,COLUMN(기본데이타!AC$8),0))</f>
        <v/>
      </c>
      <c r="Z174" s="612" t="str">
        <f>IF($A174="","",VLOOKUP($A174,기본데이타!$A$8:$BV$103,COLUMN(기본데이타!AD$8),0))</f>
        <v/>
      </c>
      <c r="AA174" s="611" t="str">
        <f>IF($A174="","",VLOOKUP($A174,기본데이타!$A$8:$BV$103,COLUMN(기본데이타!AE$8),0))</f>
        <v/>
      </c>
      <c r="AB174" s="612" t="str">
        <f>IF($A174="","",VLOOKUP($A174,기본데이타!$A$8:$BV$103,COLUMN(기본데이타!AF$8),0))</f>
        <v/>
      </c>
      <c r="AC174" s="611" t="str">
        <f>IF($A174="","",VLOOKUP($A174,기본데이타!$A$8:$BV$103,COLUMN(기본데이타!AG$8),0))</f>
        <v/>
      </c>
      <c r="AD174" s="612" t="str">
        <f>IF($A174="","",VLOOKUP($A174,기본데이타!$A$8:$BV$103,COLUMN(기본데이타!AH$8),0))</f>
        <v/>
      </c>
      <c r="AE174" s="611" t="str">
        <f>IF($A174="","",VLOOKUP($A174,기본데이타!$A$8:$BV$103,COLUMN(기본데이타!AI$8),0))</f>
        <v/>
      </c>
      <c r="AF174" s="613" t="str">
        <f>IF($A174="","",VLOOKUP($A174,기본데이타!$A$8:$BV$103,COLUMN(기본데이타!AJ$8),0))</f>
        <v/>
      </c>
      <c r="AG174" s="613" t="str">
        <f>IF($A174="","",VLOOKUP($A174,기본데이타!$A$8:$BV$103,COLUMN(기본데이타!AK$8),0))</f>
        <v/>
      </c>
      <c r="AH174" s="613" t="str">
        <f>IF($A174="","",VLOOKUP($A174,기본데이타!$A$8:$BV$103,COLUMN(기본데이타!AL$8),0))</f>
        <v/>
      </c>
      <c r="AI174" s="613" t="str">
        <f>IF($A174="","",VLOOKUP($A174,기본데이타!$A$8:$BV$103,COLUMN(기본데이타!AM$8),0))</f>
        <v/>
      </c>
      <c r="AJ174" s="746" t="str">
        <f>IF($A174="","",VLOOKUP($A174,기본데이타!$A$8:$BV$103,COLUMN(기본데이타!AN$8),0))</f>
        <v/>
      </c>
      <c r="AK174" s="746" t="str">
        <f>IF($A174="","",VLOOKUP($A174,기본데이타!$A$8:$BV$103,COLUMN(기본데이타!AO$8),0))</f>
        <v/>
      </c>
      <c r="AL174" s="746" t="str">
        <f>IF($A174="","",VLOOKUP($A174,기본데이타!$A$8:$BV$103,COLUMN(기본데이타!AP$8),0))</f>
        <v/>
      </c>
      <c r="AM174" s="746" t="str">
        <f>IF($A174="","",VLOOKUP($A174,기본데이타!$A$8:$BV$103,COLUMN(기본데이타!AQ$8),0))</f>
        <v/>
      </c>
      <c r="AN174" s="746" t="str">
        <f>IF($A174="","",VLOOKUP($A174,기본데이타!$A$8:$BV$103,COLUMN(기본데이타!AR$8),0))</f>
        <v/>
      </c>
      <c r="AO174" s="746" t="str">
        <f>IF($A174="","",VLOOKUP($A174,기본데이타!$A$8:$BV$103,COLUMN(기본데이타!AS$8),0))</f>
        <v/>
      </c>
      <c r="AP174" s="746" t="str">
        <f>IF($A174="","",VLOOKUP($A174,기본데이타!$A$8:$BV$103,COLUMN(기본데이타!AT$8),0))</f>
        <v/>
      </c>
      <c r="AQ174" s="746" t="str">
        <f>IF($A174="","",VLOOKUP($A174,기본데이타!$A$8:$BV$103,COLUMN(기본데이타!AU$8),0))</f>
        <v/>
      </c>
      <c r="AR174" s="747" t="str">
        <f>IF($A174="","",VLOOKUP($A174,기본데이타!$A$8:$BV$103,COLUMN(기본데이타!AV$8),0))</f>
        <v/>
      </c>
      <c r="AS174" s="612" t="str">
        <f>IF($A174="","",VLOOKUP($A174,기본데이타!$A$8:$BV$103,COLUMN(기본데이타!AW$8),0))</f>
        <v/>
      </c>
      <c r="AT174" s="612" t="str">
        <f>IF($A174="","",VLOOKUP($A174,기본데이타!$A$8:$BV$103,COLUMN(기본데이타!AX$8),0))</f>
        <v/>
      </c>
      <c r="AU174" s="612" t="str">
        <f>IF($A174="","",VLOOKUP($A174,기본데이타!$A$8:$BV$103,COLUMN(기본데이타!AY$8),0))</f>
        <v/>
      </c>
      <c r="AV174" s="612" t="str">
        <f>IF(AS174="","",SUM(AS174:AU174))</f>
        <v/>
      </c>
      <c r="AW174" s="613" t="str">
        <f>IF($A174="","",VLOOKUP($A174,기본데이타!$A$8:$BV$103,COLUMN(기본데이타!BA$8),0))</f>
        <v/>
      </c>
      <c r="AX174" s="613" t="str">
        <f>IF($A174="","",VLOOKUP($A174,기본데이타!$A$8:$BV$103,COLUMN(기본데이타!BB$8),0))</f>
        <v/>
      </c>
      <c r="AY174" s="613" t="str">
        <f>IF($A174="","",VLOOKUP($A174,기본데이타!$A$8:$BV$103,COLUMN(기본데이타!BC$8),0))</f>
        <v/>
      </c>
      <c r="AZ174" s="613" t="str">
        <f>IF($A174="","",VLOOKUP($A174,기본데이타!$A$8:$BV$103,COLUMN(기본데이타!BD$8),0))</f>
        <v/>
      </c>
      <c r="BA174" s="613" t="str">
        <f>IF($A174="","",VLOOKUP($A174,기본데이타!$A$8:$BV$103,COLUMN(기본데이타!BE$8),0))</f>
        <v/>
      </c>
      <c r="BB174" s="613" t="str">
        <f>IF($A174="","",VLOOKUP($A174,기본데이타!$A$8:$BV$103,COLUMN(기본데이타!BF$8),0))</f>
        <v/>
      </c>
      <c r="BC174" s="613" t="str">
        <f>IF($A174="","",VLOOKUP($A174,기본데이타!$A$8:$BV$103,COLUMN(기본데이타!BG$8),0))</f>
        <v/>
      </c>
      <c r="BD174" s="613" t="str">
        <f>IF($A174="","",VLOOKUP($A174,기본데이타!$A$8:$BV$103,COLUMN(기본데이타!BH$8),0))</f>
        <v/>
      </c>
      <c r="BE174" s="613" t="str">
        <f>IF($A174="","",VLOOKUP($A174,기본데이타!$A$8:$BV$103,COLUMN(기본데이타!BI$8),0))</f>
        <v/>
      </c>
      <c r="BF174" s="613" t="str">
        <f>IF($A174="","",VLOOKUP($A174,기본데이타!$A$8:$BV$103,COLUMN(기본데이타!BJ$8),0))</f>
        <v/>
      </c>
      <c r="BG174" s="613" t="str">
        <f>IF($A174="","",VLOOKUP($A174,기본데이타!$A$8:$BV$103,COLUMN(기본데이타!BK$8),0))</f>
        <v/>
      </c>
      <c r="BH174" s="613" t="str">
        <f>IF($A174="","",VLOOKUP($A174,기본데이타!$A$8:$BV$103,COLUMN(기본데이타!BL$8),0))</f>
        <v/>
      </c>
      <c r="BI174" s="613" t="str">
        <f>IF($A174="","",VLOOKUP($A174,기본데이타!$A$8:$BV$103,COLUMN(기본데이타!BM$8),0))</f>
        <v/>
      </c>
      <c r="BJ174" s="613" t="str">
        <f>IF($A174="","",VLOOKUP($A174,기본데이타!$A$8:$BV$103,COLUMN(기본데이타!BN$8),0))</f>
        <v/>
      </c>
      <c r="BK174" s="613" t="str">
        <f>IF($A174="","",VLOOKUP($A174,기본데이타!$A$8:$BV$103,COLUMN(기본데이타!BO$8),0))</f>
        <v/>
      </c>
      <c r="BL174" s="613" t="str">
        <f>IF($A174="","",VLOOKUP($A174,기본데이타!$A$8:$BV$103,COLUMN(기본데이타!BP$8),0))</f>
        <v/>
      </c>
      <c r="BM174" s="613" t="str">
        <f>IF($A174="","",VLOOKUP($A174,기본데이타!$A$8:$BV$103,COLUMN(기본데이타!BQ$8),0))</f>
        <v/>
      </c>
      <c r="BN174" s="616" t="str">
        <f>IF($A174="","",VLOOKUP($A174,기본데이타!$A$8:$BV$103,COLUMN(기본데이타!BR$8),0))</f>
        <v/>
      </c>
      <c r="BO174" s="617" t="str">
        <f>IF($A174="","",VLOOKUP($A174,기본데이타!$A$8:$BV$103,COLUMN(기본데이타!BS$8),0))</f>
        <v/>
      </c>
      <c r="BP174" s="628" t="str">
        <f>IF($A174="","",VLOOKUP($A174,기본데이타!$A$8:$BV$103,COLUMN(기본데이타!BT$8),0))</f>
        <v/>
      </c>
      <c r="BQ174" s="619" t="str">
        <f>IF($A174="","",VLOOKUP($A174,기본데이타!$A$8:$BV$103,COLUMN(기본데이타!BU$8),0))</f>
        <v/>
      </c>
      <c r="BR174" s="620" t="str">
        <f>IF($A174="","",A174)</f>
        <v/>
      </c>
    </row>
    <row r="175" spans="1:70" s="571" customFormat="1" ht="60" hidden="1" customHeight="1">
      <c r="A175" s="578"/>
      <c r="B175" s="1642"/>
      <c r="C175" s="1341"/>
      <c r="D175" s="629" t="str">
        <f>IF($A175="","",VLOOKUP($A175,기본데이타!$A$8:$BV$103,COLUMN(기본데이타!F$8),0))</f>
        <v/>
      </c>
      <c r="E175" s="630" t="str">
        <f>IF($A175="","",VLOOKUP($A175,기본데이타!$A$8:$BV$103,COLUMN(기본데이타!G$8),0))</f>
        <v/>
      </c>
      <c r="F175" s="631" t="str">
        <f>IF($A175="","",VLOOKUP($A175,기본데이타!$A$8:$BV$103,COLUMN(기본데이타!H$8),0))</f>
        <v/>
      </c>
      <c r="G175" s="632" t="str">
        <f>IF($A175="","",VLOOKUP($A175,기본데이타!$A$8:$BV$103,COLUMN(기본데이타!I$8),0))</f>
        <v/>
      </c>
      <c r="H175" s="632" t="str">
        <f>IF($A175="","",VLOOKUP($A175,기본데이타!$A$8:$BV$103,COLUMN(기본데이타!J$8),0))</f>
        <v/>
      </c>
      <c r="I175" s="633" t="str">
        <f>IF($A175="","",VLOOKUP($A175,기본데이타!$A$8:$BV$103,COLUMN(기본데이타!K$8),0))</f>
        <v/>
      </c>
      <c r="J175" s="633" t="str">
        <f>IF($A175="","",VLOOKUP($A175,기본데이타!$A$8:$BV$103,COLUMN(기본데이타!L$8),0))</f>
        <v/>
      </c>
      <c r="K175" s="633" t="str">
        <f>IF($A175="","",VLOOKUP($A175,기본데이타!$A$8:$BV$103,COLUMN(기본데이타!M$8),0))</f>
        <v/>
      </c>
      <c r="L175" s="634" t="str">
        <f>IF($A175="","",VLOOKUP($A175,기본데이타!$A$8:$BV$103,COLUMN(기본데이타!N$8),0))</f>
        <v/>
      </c>
      <c r="M175" s="633" t="str">
        <f>IF($A175="","",VLOOKUP($A175,기본데이타!$A$8:$BV$103,COLUMN(기본데이타!O$8),0))</f>
        <v/>
      </c>
      <c r="N175" s="634" t="str">
        <f>IF($A175="","",VLOOKUP($A175,기본데이타!$A$8:$BV$103,COLUMN(기본데이타!P$8),0))</f>
        <v/>
      </c>
      <c r="O175" s="634" t="str">
        <f>IF($A175="","",VLOOKUP($A175,기본데이타!$A$8:$BV$103,COLUMN(기본데이타!Q$8),0))</f>
        <v/>
      </c>
      <c r="P175" s="634" t="str">
        <f>IF($A175="","",VLOOKUP($A175,기본데이타!$A$8:$BV$103,COLUMN(기본데이타!R$8),0))</f>
        <v/>
      </c>
      <c r="Q175" s="634" t="str">
        <f>IF($A175="","",VLOOKUP($A175,기본데이타!$A$8:$BV$103,COLUMN(기본데이타!S$8),0))</f>
        <v/>
      </c>
      <c r="R175" s="634" t="str">
        <f>IF($A175="","",VLOOKUP($A175,기본데이타!$A$8:$BV$103,COLUMN(기본데이타!T$8),0))</f>
        <v/>
      </c>
      <c r="S175" s="634" t="str">
        <f>IF($A175="","",VLOOKUP($A175,기본데이타!$A$8:$BV$103,COLUMN(기본데이타!U$8),0))</f>
        <v/>
      </c>
      <c r="T175" s="634" t="str">
        <f>IF($A175="","",VLOOKUP($A175,기본데이타!$A$8:$BV$103,COLUMN(기본데이타!V$8),0))</f>
        <v/>
      </c>
      <c r="U175" s="634" t="str">
        <f>IF($A175="","",VLOOKUP($A175,기본데이타!$A$8:$BV$103,COLUMN(기본데이타!W$8),0))</f>
        <v/>
      </c>
      <c r="V175" s="634" t="str">
        <f>IF($A175="","",VLOOKUP($A175,기본데이타!$A$8:$BV$103,COLUMN(기본데이타!X$8),0))</f>
        <v/>
      </c>
      <c r="W175" s="634" t="str">
        <f>IF($A175="","",VLOOKUP($A175,기본데이타!$A$8:$BV$103,COLUMN(기본데이타!AA$8),0))</f>
        <v/>
      </c>
      <c r="X175" s="634" t="str">
        <f>IF($A175="","",VLOOKUP($A175,기본데이타!$A$8:$BV$103,COLUMN(기본데이타!AB$8),0))</f>
        <v/>
      </c>
      <c r="Y175" s="633" t="str">
        <f>IF($A175="","",VLOOKUP($A175,기본데이타!$A$8:$BV$103,COLUMN(기본데이타!AC$8),0))</f>
        <v/>
      </c>
      <c r="Z175" s="634" t="str">
        <f>IF($A175="","",VLOOKUP($A175,기본데이타!$A$8:$BV$103,COLUMN(기본데이타!AD$8),0))</f>
        <v/>
      </c>
      <c r="AA175" s="633" t="str">
        <f>IF($A175="","",VLOOKUP($A175,기본데이타!$A$8:$BV$103,COLUMN(기본데이타!AE$8),0))</f>
        <v/>
      </c>
      <c r="AB175" s="634" t="str">
        <f>IF($A175="","",VLOOKUP($A175,기본데이타!$A$8:$BV$103,COLUMN(기본데이타!AF$8),0))</f>
        <v/>
      </c>
      <c r="AC175" s="633" t="str">
        <f>IF($A175="","",VLOOKUP($A175,기본데이타!$A$8:$BV$103,COLUMN(기본데이타!AG$8),0))</f>
        <v/>
      </c>
      <c r="AD175" s="634" t="str">
        <f>IF($A175="","",VLOOKUP($A175,기본데이타!$A$8:$BV$103,COLUMN(기본데이타!AH$8),0))</f>
        <v/>
      </c>
      <c r="AE175" s="633" t="str">
        <f>IF($A175="","",VLOOKUP($A175,기본데이타!$A$8:$BV$103,COLUMN(기본데이타!AI$8),0))</f>
        <v/>
      </c>
      <c r="AF175" s="635" t="str">
        <f>IF($A175="","",VLOOKUP($A175,기본데이타!$A$8:$BV$103,COLUMN(기본데이타!AJ$8),0))</f>
        <v/>
      </c>
      <c r="AG175" s="635" t="str">
        <f>IF($A175="","",VLOOKUP($A175,기본데이타!$A$8:$BV$103,COLUMN(기본데이타!AK$8),0))</f>
        <v/>
      </c>
      <c r="AH175" s="635" t="str">
        <f>IF($A175="","",VLOOKUP($A175,기본데이타!$A$8:$BV$103,COLUMN(기본데이타!AL$8),0))</f>
        <v/>
      </c>
      <c r="AI175" s="635" t="str">
        <f>IF($A175="","",VLOOKUP($A175,기본데이타!$A$8:$BV$103,COLUMN(기본데이타!AM$8),0))</f>
        <v/>
      </c>
      <c r="AJ175" s="636" t="str">
        <f>IF($A175="","",VLOOKUP($A175,기본데이타!$A$8:$BV$103,COLUMN(기본데이타!AN$8),0))</f>
        <v/>
      </c>
      <c r="AK175" s="636" t="str">
        <f>IF($A175="","",VLOOKUP($A175,기본데이타!$A$8:$BV$103,COLUMN(기본데이타!AO$8),0))</f>
        <v/>
      </c>
      <c r="AL175" s="636" t="str">
        <f>IF($A175="","",VLOOKUP($A175,기본데이타!$A$8:$BV$103,COLUMN(기본데이타!AP$8),0))</f>
        <v/>
      </c>
      <c r="AM175" s="636" t="str">
        <f>IF($A175="","",VLOOKUP($A175,기본데이타!$A$8:$BV$103,COLUMN(기본데이타!AQ$8),0))</f>
        <v/>
      </c>
      <c r="AN175" s="636" t="str">
        <f>IF($A175="","",VLOOKUP($A175,기본데이타!$A$8:$BV$103,COLUMN(기본데이타!AR$8),0))</f>
        <v/>
      </c>
      <c r="AO175" s="636" t="str">
        <f>IF($A175="","",VLOOKUP($A175,기본데이타!$A$8:$BV$103,COLUMN(기본데이타!AS$8),0))</f>
        <v/>
      </c>
      <c r="AP175" s="636" t="str">
        <f>IF($A175="","",VLOOKUP($A175,기본데이타!$A$8:$BV$103,COLUMN(기본데이타!AT$8),0))</f>
        <v/>
      </c>
      <c r="AQ175" s="636" t="str">
        <f>IF($A175="","",VLOOKUP($A175,기본데이타!$A$8:$BV$103,COLUMN(기본데이타!AU$8),0))</f>
        <v/>
      </c>
      <c r="AR175" s="637" t="str">
        <f>IF($A175="","",VLOOKUP($A175,기본데이타!$A$8:$BV$103,COLUMN(기본데이타!AV$8),0))</f>
        <v/>
      </c>
      <c r="AS175" s="634" t="str">
        <f>IF($A175="","",VLOOKUP($A175,기본데이타!$A$8:$BV$103,COLUMN(기본데이타!AW$8),0))</f>
        <v/>
      </c>
      <c r="AT175" s="634" t="str">
        <f>IF($A175="","",VLOOKUP($A175,기본데이타!$A$8:$BV$103,COLUMN(기본데이타!AX$8),0))</f>
        <v/>
      </c>
      <c r="AU175" s="634" t="str">
        <f>IF($A175="","",VLOOKUP($A175,기본데이타!$A$8:$BV$103,COLUMN(기본데이타!AY$8),0))</f>
        <v/>
      </c>
      <c r="AV175" s="634" t="str">
        <f>IF(AS175="","",SUM(AS175:AU175))</f>
        <v/>
      </c>
      <c r="AW175" s="635" t="str">
        <f>IF($A175="","",VLOOKUP($A175,기본데이타!$A$8:$BV$103,COLUMN(기본데이타!BA$8),0))</f>
        <v/>
      </c>
      <c r="AX175" s="635" t="str">
        <f>IF($A175="","",VLOOKUP($A175,기본데이타!$A$8:$BV$103,COLUMN(기본데이타!BB$8),0))</f>
        <v/>
      </c>
      <c r="AY175" s="635" t="str">
        <f>IF($A175="","",VLOOKUP($A175,기본데이타!$A$8:$BV$103,COLUMN(기본데이타!BC$8),0))</f>
        <v/>
      </c>
      <c r="AZ175" s="635" t="str">
        <f>IF($A175="","",VLOOKUP($A175,기본데이타!$A$8:$BV$103,COLUMN(기본데이타!BD$8),0))</f>
        <v/>
      </c>
      <c r="BA175" s="635" t="str">
        <f>IF($A175="","",VLOOKUP($A175,기본데이타!$A$8:$BV$103,COLUMN(기본데이타!BE$8),0))</f>
        <v/>
      </c>
      <c r="BB175" s="635" t="str">
        <f>IF($A175="","",VLOOKUP($A175,기본데이타!$A$8:$BV$103,COLUMN(기본데이타!BF$8),0))</f>
        <v/>
      </c>
      <c r="BC175" s="635" t="str">
        <f>IF($A175="","",VLOOKUP($A175,기본데이타!$A$8:$BV$103,COLUMN(기본데이타!BG$8),0))</f>
        <v/>
      </c>
      <c r="BD175" s="635" t="str">
        <f>IF($A175="","",VLOOKUP($A175,기본데이타!$A$8:$BV$103,COLUMN(기본데이타!BH$8),0))</f>
        <v/>
      </c>
      <c r="BE175" s="635" t="str">
        <f>IF($A175="","",VLOOKUP($A175,기본데이타!$A$8:$BV$103,COLUMN(기본데이타!BI$8),0))</f>
        <v/>
      </c>
      <c r="BF175" s="635" t="str">
        <f>IF($A175="","",VLOOKUP($A175,기본데이타!$A$8:$BV$103,COLUMN(기본데이타!BJ$8),0))</f>
        <v/>
      </c>
      <c r="BG175" s="635" t="str">
        <f>IF($A175="","",VLOOKUP($A175,기본데이타!$A$8:$BV$103,COLUMN(기본데이타!BK$8),0))</f>
        <v/>
      </c>
      <c r="BH175" s="635" t="str">
        <f>IF($A175="","",VLOOKUP($A175,기본데이타!$A$8:$BV$103,COLUMN(기본데이타!BL$8),0))</f>
        <v/>
      </c>
      <c r="BI175" s="635" t="str">
        <f>IF($A175="","",VLOOKUP($A175,기본데이타!$A$8:$BV$103,COLUMN(기본데이타!BM$8),0))</f>
        <v/>
      </c>
      <c r="BJ175" s="635" t="str">
        <f>IF($A175="","",VLOOKUP($A175,기본데이타!$A$8:$BV$103,COLUMN(기본데이타!BN$8),0))</f>
        <v/>
      </c>
      <c r="BK175" s="635" t="str">
        <f>IF($A175="","",VLOOKUP($A175,기본데이타!$A$8:$BV$103,COLUMN(기본데이타!BO$8),0))</f>
        <v/>
      </c>
      <c r="BL175" s="635" t="str">
        <f>IF($A175="","",VLOOKUP($A175,기본데이타!$A$8:$BV$103,COLUMN(기본데이타!BP$8),0))</f>
        <v/>
      </c>
      <c r="BM175" s="635" t="str">
        <f>IF($A175="","",VLOOKUP($A175,기본데이타!$A$8:$BV$103,COLUMN(기본데이타!BQ$8),0))</f>
        <v/>
      </c>
      <c r="BN175" s="638" t="str">
        <f>IF($A175="","",VLOOKUP($A175,기본데이타!$A$8:$BV$103,COLUMN(기본데이타!BR$8),0))</f>
        <v/>
      </c>
      <c r="BO175" s="579" t="str">
        <f>IF($A175="","",VLOOKUP($A175,기본데이타!$A$8:$BV$103,COLUMN(기본데이타!BS$8),0))</f>
        <v/>
      </c>
      <c r="BP175" s="639" t="str">
        <f>IF($A175="","",VLOOKUP($A175,기본데이타!$A$8:$BV$103,COLUMN(기본데이타!BT$8),0))</f>
        <v/>
      </c>
      <c r="BQ175" s="640" t="str">
        <f>IF($A175="","",VLOOKUP($A175,기본데이타!$A$8:$BV$103,COLUMN(기본데이타!BU$8),0))</f>
        <v/>
      </c>
      <c r="BR175" s="625" t="str">
        <f>IF($A175="","",A175)</f>
        <v/>
      </c>
    </row>
    <row r="176" spans="1:70" s="571" customFormat="1" ht="60" customHeight="1" thickBot="1">
      <c r="A176" s="578"/>
      <c r="B176" s="1642"/>
      <c r="C176" s="1868"/>
      <c r="D176" s="1536" t="str">
        <f>IF($A176="","",VLOOKUP($A176,기본데이타!$A$8:$BV$103,COLUMN(기본데이타!F$8),0))</f>
        <v/>
      </c>
      <c r="E176" s="1537" t="str">
        <f>IF($A176="","",VLOOKUP($A176,기본데이타!$A$8:$BV$103,COLUMN(기본데이타!G$8),0))</f>
        <v/>
      </c>
      <c r="F176" s="1538" t="str">
        <f>IF($A176="","",VLOOKUP($A176,기본데이타!$A$8:$BV$103,COLUMN(기본데이타!H$8),0))</f>
        <v/>
      </c>
      <c r="G176" s="1539" t="str">
        <f>IF($A176="","",VLOOKUP($A176,기본데이타!$A$8:$BV$103,COLUMN(기본데이타!I$8),0))</f>
        <v/>
      </c>
      <c r="H176" s="1539" t="str">
        <f>IF($A176="","",VLOOKUP($A176,기본데이타!$A$8:$BV$103,COLUMN(기본데이타!J$8),0))</f>
        <v/>
      </c>
      <c r="I176" s="1540" t="str">
        <f>IF($A176="","",VLOOKUP($A176,기본데이타!$A$8:$BV$103,COLUMN(기본데이타!K$8),0))</f>
        <v/>
      </c>
      <c r="J176" s="1540" t="str">
        <f>IF($A176="","",VLOOKUP($A176,기본데이타!$A$8:$BV$103,COLUMN(기본데이타!L$8),0))</f>
        <v/>
      </c>
      <c r="K176" s="1540" t="str">
        <f>IF($A176="","",VLOOKUP($A176,기본데이타!$A$8:$BV$103,COLUMN(기본데이타!M$8),0))</f>
        <v/>
      </c>
      <c r="L176" s="1541" t="str">
        <f>IF($A176="","",VLOOKUP($A176,기본데이타!$A$8:$BV$103,COLUMN(기본데이타!N$8),0))</f>
        <v/>
      </c>
      <c r="M176" s="1540" t="str">
        <f>IF($A176="","",VLOOKUP($A176,기본데이타!$A$8:$BV$103,COLUMN(기본데이타!O$8),0))</f>
        <v/>
      </c>
      <c r="N176" s="1541" t="str">
        <f>IF($A176="","",VLOOKUP($A176,기본데이타!$A$8:$BV$103,COLUMN(기본데이타!P$8),0))</f>
        <v/>
      </c>
      <c r="O176" s="1541" t="str">
        <f>IF($A176="","",VLOOKUP($A176,기본데이타!$A$8:$BV$103,COLUMN(기본데이타!Q$8),0))</f>
        <v/>
      </c>
      <c r="P176" s="1541" t="str">
        <f>IF($A176="","",VLOOKUP($A176,기본데이타!$A$8:$BV$103,COLUMN(기본데이타!R$8),0))</f>
        <v/>
      </c>
      <c r="Q176" s="1541" t="str">
        <f>IF($A176="","",VLOOKUP($A176,기본데이타!$A$8:$BV$103,COLUMN(기본데이타!S$8),0))</f>
        <v/>
      </c>
      <c r="R176" s="1541" t="str">
        <f>IF($A176="","",VLOOKUP($A176,기본데이타!$A$8:$BV$103,COLUMN(기본데이타!T$8),0))</f>
        <v/>
      </c>
      <c r="S176" s="1541" t="str">
        <f>IF($A176="","",VLOOKUP($A176,기본데이타!$A$8:$BV$103,COLUMN(기본데이타!U$8),0))</f>
        <v/>
      </c>
      <c r="T176" s="1541" t="str">
        <f>IF($A176="","",VLOOKUP($A176,기본데이타!$A$8:$BV$103,COLUMN(기본데이타!V$8),0))</f>
        <v/>
      </c>
      <c r="U176" s="1541" t="str">
        <f>IF($A176="","",VLOOKUP($A176,기본데이타!$A$8:$BV$103,COLUMN(기본데이타!W$8),0))</f>
        <v/>
      </c>
      <c r="V176" s="1541" t="str">
        <f>IF($A176="","",VLOOKUP($A176,기본데이타!$A$8:$BV$103,COLUMN(기본데이타!X$8),0))</f>
        <v/>
      </c>
      <c r="W176" s="1541" t="str">
        <f>IF($A176="","",VLOOKUP($A176,기본데이타!$A$8:$BV$103,COLUMN(기본데이타!AA$8),0))</f>
        <v/>
      </c>
      <c r="X176" s="1541" t="str">
        <f>IF($A176="","",VLOOKUP($A176,기본데이타!$A$8:$BV$103,COLUMN(기본데이타!AB$8),0))</f>
        <v/>
      </c>
      <c r="Y176" s="1540" t="str">
        <f>IF($A176="","",VLOOKUP($A176,기본데이타!$A$8:$BV$103,COLUMN(기본데이타!AC$8),0))</f>
        <v/>
      </c>
      <c r="Z176" s="1541" t="str">
        <f>IF($A176="","",VLOOKUP($A176,기본데이타!$A$8:$BV$103,COLUMN(기본데이타!AD$8),0))</f>
        <v/>
      </c>
      <c r="AA176" s="1540" t="str">
        <f>IF($A176="","",VLOOKUP($A176,기본데이타!$A$8:$BV$103,COLUMN(기본데이타!AE$8),0))</f>
        <v/>
      </c>
      <c r="AB176" s="1541" t="str">
        <f>IF($A176="","",VLOOKUP($A176,기본데이타!$A$8:$BV$103,COLUMN(기본데이타!AF$8),0))</f>
        <v/>
      </c>
      <c r="AC176" s="1540" t="str">
        <f>IF($A176="","",VLOOKUP($A176,기본데이타!$A$8:$BV$103,COLUMN(기본데이타!AG$8),0))</f>
        <v/>
      </c>
      <c r="AD176" s="1541" t="str">
        <f>IF($A176="","",VLOOKUP($A176,기본데이타!$A$8:$BV$103,COLUMN(기본데이타!AH$8),0))</f>
        <v/>
      </c>
      <c r="AE176" s="1540" t="str">
        <f>IF($A176="","",VLOOKUP($A176,기본데이타!$A$8:$BV$103,COLUMN(기본데이타!AI$8),0))</f>
        <v/>
      </c>
      <c r="AF176" s="1542" t="str">
        <f>IF($A176="","",VLOOKUP($A176,기본데이타!$A$8:$BV$103,COLUMN(기본데이타!AJ$8),0))</f>
        <v/>
      </c>
      <c r="AG176" s="1542" t="str">
        <f>IF($A176="","",VLOOKUP($A176,기본데이타!$A$8:$BV$103,COLUMN(기본데이타!AK$8),0))</f>
        <v/>
      </c>
      <c r="AH176" s="1542" t="str">
        <f>IF($A176="","",VLOOKUP($A176,기본데이타!$A$8:$BV$103,COLUMN(기본데이타!AL$8),0))</f>
        <v/>
      </c>
      <c r="AI176" s="1542" t="str">
        <f>IF($A176="","",VLOOKUP($A176,기본데이타!$A$8:$BV$103,COLUMN(기본데이타!AM$8),0))</f>
        <v/>
      </c>
      <c r="AJ176" s="1543" t="str">
        <f>IF($A176="","",VLOOKUP($A176,기본데이타!$A$8:$BV$103,COLUMN(기본데이타!AN$8),0))</f>
        <v/>
      </c>
      <c r="AK176" s="1543" t="str">
        <f>IF($A176="","",VLOOKUP($A176,기본데이타!$A$8:$BV$103,COLUMN(기본데이타!AO$8),0))</f>
        <v/>
      </c>
      <c r="AL176" s="1543" t="str">
        <f>IF($A176="","",VLOOKUP($A176,기본데이타!$A$8:$BV$103,COLUMN(기본데이타!AP$8),0))</f>
        <v/>
      </c>
      <c r="AM176" s="1543" t="str">
        <f>IF($A176="","",VLOOKUP($A176,기본데이타!$A$8:$BV$103,COLUMN(기본데이타!AQ$8),0))</f>
        <v/>
      </c>
      <c r="AN176" s="1543" t="str">
        <f>IF($A176="","",VLOOKUP($A176,기본데이타!$A$8:$BV$103,COLUMN(기본데이타!AR$8),0))</f>
        <v/>
      </c>
      <c r="AO176" s="1543" t="str">
        <f>IF($A176="","",VLOOKUP($A176,기본데이타!$A$8:$BV$103,COLUMN(기본데이타!AS$8),0))</f>
        <v/>
      </c>
      <c r="AP176" s="1543" t="str">
        <f>IF($A176="","",VLOOKUP($A176,기본데이타!$A$8:$BV$103,COLUMN(기본데이타!AT$8),0))</f>
        <v/>
      </c>
      <c r="AQ176" s="1543" t="str">
        <f>IF($A176="","",VLOOKUP($A176,기본데이타!$A$8:$BV$103,COLUMN(기본데이타!AU$8),0))</f>
        <v/>
      </c>
      <c r="AR176" s="1544" t="str">
        <f>IF($A176="","",VLOOKUP($A176,기본데이타!$A$8:$BV$103,COLUMN(기본데이타!AV$8),0))</f>
        <v/>
      </c>
      <c r="AS176" s="1541" t="str">
        <f>IF($A176="","",VLOOKUP($A176,기본데이타!$A$8:$BV$103,COLUMN(기본데이타!AW$8),0))</f>
        <v/>
      </c>
      <c r="AT176" s="1541" t="str">
        <f>IF($A176="","",VLOOKUP($A176,기본데이타!$A$8:$BV$103,COLUMN(기본데이타!AX$8),0))</f>
        <v/>
      </c>
      <c r="AU176" s="1541" t="str">
        <f>IF($A176="","",VLOOKUP($A176,기본데이타!$A$8:$BV$103,COLUMN(기본데이타!AY$8),0))</f>
        <v/>
      </c>
      <c r="AV176" s="1541" t="str">
        <f t="shared" si="26"/>
        <v/>
      </c>
      <c r="AW176" s="1542" t="str">
        <f>IF($A176="","",VLOOKUP($A176,기본데이타!$A$8:$BV$103,COLUMN(기본데이타!BA$8),0))</f>
        <v/>
      </c>
      <c r="AX176" s="1542" t="str">
        <f>IF($A176="","",VLOOKUP($A176,기본데이타!$A$8:$BV$103,COLUMN(기본데이타!BB$8),0))</f>
        <v/>
      </c>
      <c r="AY176" s="1542" t="str">
        <f>IF($A176="","",VLOOKUP($A176,기본데이타!$A$8:$BV$103,COLUMN(기본데이타!BC$8),0))</f>
        <v/>
      </c>
      <c r="AZ176" s="1542" t="str">
        <f>IF($A176="","",VLOOKUP($A176,기본데이타!$A$8:$BV$103,COLUMN(기본데이타!BD$8),0))</f>
        <v/>
      </c>
      <c r="BA176" s="1542" t="str">
        <f>IF($A176="","",VLOOKUP($A176,기본데이타!$A$8:$BV$103,COLUMN(기본데이타!BE$8),0))</f>
        <v/>
      </c>
      <c r="BB176" s="1542" t="str">
        <f>IF($A176="","",VLOOKUP($A176,기본데이타!$A$8:$BV$103,COLUMN(기본데이타!BF$8),0))</f>
        <v/>
      </c>
      <c r="BC176" s="1542" t="str">
        <f>IF($A176="","",VLOOKUP($A176,기본데이타!$A$8:$BV$103,COLUMN(기본데이타!BG$8),0))</f>
        <v/>
      </c>
      <c r="BD176" s="1542" t="str">
        <f>IF($A176="","",VLOOKUP($A176,기본데이타!$A$8:$BV$103,COLUMN(기본데이타!BH$8),0))</f>
        <v/>
      </c>
      <c r="BE176" s="1542" t="str">
        <f>IF($A176="","",VLOOKUP($A176,기본데이타!$A$8:$BV$103,COLUMN(기본데이타!BI$8),0))</f>
        <v/>
      </c>
      <c r="BF176" s="1542" t="str">
        <f>IF($A176="","",VLOOKUP($A176,기본데이타!$A$8:$BV$103,COLUMN(기본데이타!BJ$8),0))</f>
        <v/>
      </c>
      <c r="BG176" s="1542" t="str">
        <f>IF($A176="","",VLOOKUP($A176,기본데이타!$A$8:$BV$103,COLUMN(기본데이타!BK$8),0))</f>
        <v/>
      </c>
      <c r="BH176" s="1542" t="str">
        <f>IF($A176="","",VLOOKUP($A176,기본데이타!$A$8:$BV$103,COLUMN(기본데이타!BL$8),0))</f>
        <v/>
      </c>
      <c r="BI176" s="1542" t="str">
        <f>IF($A176="","",VLOOKUP($A176,기본데이타!$A$8:$BV$103,COLUMN(기본데이타!BM$8),0))</f>
        <v/>
      </c>
      <c r="BJ176" s="1542" t="str">
        <f>IF($A176="","",VLOOKUP($A176,기본데이타!$A$8:$BV$103,COLUMN(기본데이타!BN$8),0))</f>
        <v/>
      </c>
      <c r="BK176" s="1542" t="str">
        <f>IF($A176="","",VLOOKUP($A176,기본데이타!$A$8:$BV$103,COLUMN(기본데이타!BO$8),0))</f>
        <v/>
      </c>
      <c r="BL176" s="1542" t="str">
        <f>IF($A176="","",VLOOKUP($A176,기본데이타!$A$8:$BV$103,COLUMN(기본데이타!BP$8),0))</f>
        <v/>
      </c>
      <c r="BM176" s="1542" t="str">
        <f>IF($A176="","",VLOOKUP($A176,기본데이타!$A$8:$BV$103,COLUMN(기본데이타!BQ$8),0))</f>
        <v/>
      </c>
      <c r="BN176" s="1545" t="str">
        <f>IF($A176="","",VLOOKUP($A176,기본데이타!$A$8:$BV$103,COLUMN(기본데이타!BR$8),0))</f>
        <v/>
      </c>
      <c r="BO176" s="1546" t="str">
        <f>IF($A176="","",VLOOKUP($A176,기본데이타!$A$8:$BV$103,COLUMN(기본데이타!BS$8),0))</f>
        <v/>
      </c>
      <c r="BP176" s="1547" t="str">
        <f>IF($A176="","",VLOOKUP($A176,기본데이타!$A$8:$BV$103,COLUMN(기본데이타!BT$8),0))</f>
        <v/>
      </c>
      <c r="BQ176" s="1548" t="str">
        <f>IF($A176="","",VLOOKUP($A176,기본데이타!$A$8:$BV$103,COLUMN(기본데이타!BU$8),0))</f>
        <v/>
      </c>
      <c r="BR176" s="1549" t="str">
        <f t="shared" si="27"/>
        <v/>
      </c>
    </row>
    <row r="177" spans="1:70" s="571" customFormat="1" ht="60" hidden="1" customHeight="1">
      <c r="A177" s="578"/>
      <c r="B177" s="1642"/>
      <c r="C177" s="1340"/>
      <c r="D177" s="591" t="str">
        <f>IF($A177="","",VLOOKUP($A177,기본데이타!$A$8:$BV$103,COLUMN(기본데이타!F$8),0))</f>
        <v/>
      </c>
      <c r="E177" s="592" t="str">
        <f>IF($A177="","",VLOOKUP($A177,기본데이타!$A$8:$BV$103,COLUMN(기본데이타!G$8),0))</f>
        <v/>
      </c>
      <c r="F177" s="593" t="str">
        <f>IF($A177="","",VLOOKUP($A177,기본데이타!$A$8:$BV$103,COLUMN(기본데이타!H$8),0))</f>
        <v/>
      </c>
      <c r="G177" s="594" t="str">
        <f>IF($A177="","",VLOOKUP($A177,기본데이타!$A$8:$BV$103,COLUMN(기본데이타!I$8),0))</f>
        <v/>
      </c>
      <c r="H177" s="594" t="str">
        <f>IF($A177="","",VLOOKUP($A177,기본데이타!$A$8:$BV$103,COLUMN(기본데이타!J$8),0))</f>
        <v/>
      </c>
      <c r="I177" s="595" t="str">
        <f>IF($A177="","",VLOOKUP($A177,기본데이타!$A$8:$BV$103,COLUMN(기본데이타!K$8),0))</f>
        <v/>
      </c>
      <c r="J177" s="595" t="str">
        <f>IF($A177="","",VLOOKUP($A177,기본데이타!$A$8:$BV$103,COLUMN(기본데이타!L$8),0))</f>
        <v/>
      </c>
      <c r="K177" s="595" t="str">
        <f>IF($A177="","",VLOOKUP($A177,기본데이타!$A$8:$BV$103,COLUMN(기본데이타!M$8),0))</f>
        <v/>
      </c>
      <c r="L177" s="596" t="str">
        <f>IF($A177="","",VLOOKUP($A177,기본데이타!$A$8:$BV$103,COLUMN(기본데이타!N$8),0))</f>
        <v/>
      </c>
      <c r="M177" s="595" t="str">
        <f>IF($A177="","",VLOOKUP($A177,기본데이타!$A$8:$BV$103,COLUMN(기본데이타!O$8),0))</f>
        <v/>
      </c>
      <c r="N177" s="596" t="str">
        <f>IF($A177="","",VLOOKUP($A177,기본데이타!$A$8:$BV$103,COLUMN(기본데이타!P$8),0))</f>
        <v/>
      </c>
      <c r="O177" s="596" t="str">
        <f>IF($A177="","",VLOOKUP($A177,기본데이타!$A$8:$BV$103,COLUMN(기본데이타!Q$8),0))</f>
        <v/>
      </c>
      <c r="P177" s="596" t="str">
        <f>IF($A177="","",VLOOKUP($A177,기본데이타!$A$8:$BV$103,COLUMN(기본데이타!R$8),0))</f>
        <v/>
      </c>
      <c r="Q177" s="596" t="str">
        <f>IF($A177="","",VLOOKUP($A177,기본데이타!$A$8:$BV$103,COLUMN(기본데이타!S$8),0))</f>
        <v/>
      </c>
      <c r="R177" s="596" t="str">
        <f>IF($A177="","",VLOOKUP($A177,기본데이타!$A$8:$BV$103,COLUMN(기본데이타!T$8),0))</f>
        <v/>
      </c>
      <c r="S177" s="596" t="str">
        <f>IF($A177="","",VLOOKUP($A177,기본데이타!$A$8:$BV$103,COLUMN(기본데이타!U$8),0))</f>
        <v/>
      </c>
      <c r="T177" s="596" t="str">
        <f>IF($A177="","",VLOOKUP($A177,기본데이타!$A$8:$BV$103,COLUMN(기본데이타!V$8),0))</f>
        <v/>
      </c>
      <c r="U177" s="596" t="str">
        <f>IF($A177="","",VLOOKUP($A177,기본데이타!$A$8:$BV$103,COLUMN(기본데이타!W$8),0))</f>
        <v/>
      </c>
      <c r="V177" s="596" t="str">
        <f>IF($A177="","",VLOOKUP($A177,기본데이타!$A$8:$BV$103,COLUMN(기본데이타!X$8),0))</f>
        <v/>
      </c>
      <c r="W177" s="596" t="str">
        <f>IF($A177="","",VLOOKUP($A177,기본데이타!$A$8:$BV$103,COLUMN(기본데이타!AA$8),0))</f>
        <v/>
      </c>
      <c r="X177" s="596" t="str">
        <f>IF($A177="","",VLOOKUP($A177,기본데이타!$A$8:$BV$103,COLUMN(기본데이타!AB$8),0))</f>
        <v/>
      </c>
      <c r="Y177" s="595" t="str">
        <f>IF($A177="","",VLOOKUP($A177,기본데이타!$A$8:$BV$103,COLUMN(기본데이타!AC$8),0))</f>
        <v/>
      </c>
      <c r="Z177" s="596" t="str">
        <f>IF($A177="","",VLOOKUP($A177,기본데이타!$A$8:$BV$103,COLUMN(기본데이타!AD$8),0))</f>
        <v/>
      </c>
      <c r="AA177" s="595" t="str">
        <f>IF($A177="","",VLOOKUP($A177,기본데이타!$A$8:$BV$103,COLUMN(기본데이타!AE$8),0))</f>
        <v/>
      </c>
      <c r="AB177" s="596" t="str">
        <f>IF($A177="","",VLOOKUP($A177,기본데이타!$A$8:$BV$103,COLUMN(기본데이타!AF$8),0))</f>
        <v/>
      </c>
      <c r="AC177" s="595" t="str">
        <f>IF($A177="","",VLOOKUP($A177,기본데이타!$A$8:$BV$103,COLUMN(기본데이타!AG$8),0))</f>
        <v/>
      </c>
      <c r="AD177" s="596" t="str">
        <f>IF($A177="","",VLOOKUP($A177,기본데이타!$A$8:$BV$103,COLUMN(기본데이타!AH$8),0))</f>
        <v/>
      </c>
      <c r="AE177" s="595" t="str">
        <f>IF($A177="","",VLOOKUP($A177,기본데이타!$A$8:$BV$103,COLUMN(기본데이타!AI$8),0))</f>
        <v/>
      </c>
      <c r="AF177" s="597" t="str">
        <f>IF($A177="","",VLOOKUP($A177,기본데이타!$A$8:$BV$103,COLUMN(기본데이타!AJ$8),0))</f>
        <v/>
      </c>
      <c r="AG177" s="597" t="str">
        <f>IF($A177="","",VLOOKUP($A177,기본데이타!$A$8:$BV$103,COLUMN(기본데이타!AK$8),0))</f>
        <v/>
      </c>
      <c r="AH177" s="597" t="str">
        <f>IF($A177="","",VLOOKUP($A177,기본데이타!$A$8:$BV$103,COLUMN(기본데이타!AL$8),0))</f>
        <v/>
      </c>
      <c r="AI177" s="597" t="str">
        <f>IF($A177="","",VLOOKUP($A177,기본데이타!$A$8:$BV$103,COLUMN(기본데이타!AM$8),0))</f>
        <v/>
      </c>
      <c r="AJ177" s="642" t="str">
        <f>IF($A177="","",VLOOKUP($A177,기본데이타!$A$8:$BV$103,COLUMN(기본데이타!AN$8),0))</f>
        <v/>
      </c>
      <c r="AK177" s="642" t="str">
        <f>IF($A177="","",VLOOKUP($A177,기본데이타!$A$8:$BV$103,COLUMN(기본데이타!AO$8),0))</f>
        <v/>
      </c>
      <c r="AL177" s="642" t="str">
        <f>IF($A177="","",VLOOKUP($A177,기본데이타!$A$8:$BV$103,COLUMN(기본데이타!AP$8),0))</f>
        <v/>
      </c>
      <c r="AM177" s="642" t="str">
        <f>IF($A177="","",VLOOKUP($A177,기본데이타!$A$8:$BV$103,COLUMN(기본데이타!AQ$8),0))</f>
        <v/>
      </c>
      <c r="AN177" s="642" t="str">
        <f>IF($A177="","",VLOOKUP($A177,기본데이타!$A$8:$BV$103,COLUMN(기본데이타!AR$8),0))</f>
        <v/>
      </c>
      <c r="AO177" s="642" t="str">
        <f>IF($A177="","",VLOOKUP($A177,기본데이타!$A$8:$BV$103,COLUMN(기본데이타!AS$8),0))</f>
        <v/>
      </c>
      <c r="AP177" s="642" t="str">
        <f>IF($A177="","",VLOOKUP($A177,기본데이타!$A$8:$BV$103,COLUMN(기본데이타!AT$8),0))</f>
        <v/>
      </c>
      <c r="AQ177" s="642" t="str">
        <f>IF($A177="","",VLOOKUP($A177,기본데이타!$A$8:$BV$103,COLUMN(기본데이타!AU$8),0))</f>
        <v/>
      </c>
      <c r="AR177" s="643" t="str">
        <f>IF($A177="","",VLOOKUP($A177,기본데이타!$A$8:$BV$103,COLUMN(기본데이타!AV$8),0))</f>
        <v/>
      </c>
      <c r="AS177" s="596" t="str">
        <f>IF($A177="","",VLOOKUP($A177,기본데이타!$A$8:$BV$103,COLUMN(기본데이타!AW$8),0))</f>
        <v/>
      </c>
      <c r="AT177" s="596" t="str">
        <f>IF($A177="","",VLOOKUP($A177,기본데이타!$A$8:$BV$103,COLUMN(기본데이타!AX$8),0))</f>
        <v/>
      </c>
      <c r="AU177" s="596" t="str">
        <f>IF($A177="","",VLOOKUP($A177,기본데이타!$A$8:$BV$103,COLUMN(기본데이타!AY$8),0))</f>
        <v/>
      </c>
      <c r="AV177" s="596" t="str">
        <f t="shared" si="26"/>
        <v/>
      </c>
      <c r="AW177" s="597" t="str">
        <f>IF($A177="","",VLOOKUP($A177,기본데이타!$A$8:$BV$103,COLUMN(기본데이타!BA$8),0))</f>
        <v/>
      </c>
      <c r="AX177" s="597" t="str">
        <f>IF($A177="","",VLOOKUP($A177,기본데이타!$A$8:$BV$103,COLUMN(기본데이타!BB$8),0))</f>
        <v/>
      </c>
      <c r="AY177" s="597" t="str">
        <f>IF($A177="","",VLOOKUP($A177,기본데이타!$A$8:$BV$103,COLUMN(기본데이타!BC$8),0))</f>
        <v/>
      </c>
      <c r="AZ177" s="597" t="str">
        <f>IF($A177="","",VLOOKUP($A177,기본데이타!$A$8:$BV$103,COLUMN(기본데이타!BD$8),0))</f>
        <v/>
      </c>
      <c r="BA177" s="597" t="str">
        <f>IF($A177="","",VLOOKUP($A177,기본데이타!$A$8:$BV$103,COLUMN(기본데이타!BE$8),0))</f>
        <v/>
      </c>
      <c r="BB177" s="597" t="str">
        <f>IF($A177="","",VLOOKUP($A177,기본데이타!$A$8:$BV$103,COLUMN(기본데이타!BF$8),0))</f>
        <v/>
      </c>
      <c r="BC177" s="597" t="str">
        <f>IF($A177="","",VLOOKUP($A177,기본데이타!$A$8:$BV$103,COLUMN(기본데이타!BG$8),0))</f>
        <v/>
      </c>
      <c r="BD177" s="597" t="str">
        <f>IF($A177="","",VLOOKUP($A177,기본데이타!$A$8:$BV$103,COLUMN(기본데이타!BH$8),0))</f>
        <v/>
      </c>
      <c r="BE177" s="597" t="str">
        <f>IF($A177="","",VLOOKUP($A177,기본데이타!$A$8:$BV$103,COLUMN(기본데이타!BI$8),0))</f>
        <v/>
      </c>
      <c r="BF177" s="597" t="str">
        <f>IF($A177="","",VLOOKUP($A177,기본데이타!$A$8:$BV$103,COLUMN(기본데이타!BJ$8),0))</f>
        <v/>
      </c>
      <c r="BG177" s="597" t="str">
        <f>IF($A177="","",VLOOKUP($A177,기본데이타!$A$8:$BV$103,COLUMN(기본데이타!BK$8),0))</f>
        <v/>
      </c>
      <c r="BH177" s="597" t="str">
        <f>IF($A177="","",VLOOKUP($A177,기본데이타!$A$8:$BV$103,COLUMN(기본데이타!BL$8),0))</f>
        <v/>
      </c>
      <c r="BI177" s="597" t="str">
        <f>IF($A177="","",VLOOKUP($A177,기본데이타!$A$8:$BV$103,COLUMN(기본데이타!BM$8),0))</f>
        <v/>
      </c>
      <c r="BJ177" s="597" t="str">
        <f>IF($A177="","",VLOOKUP($A177,기본데이타!$A$8:$BV$103,COLUMN(기본데이타!BN$8),0))</f>
        <v/>
      </c>
      <c r="BK177" s="597" t="str">
        <f>IF($A177="","",VLOOKUP($A177,기본데이타!$A$8:$BV$103,COLUMN(기본데이타!BO$8),0))</f>
        <v/>
      </c>
      <c r="BL177" s="597" t="str">
        <f>IF($A177="","",VLOOKUP($A177,기본데이타!$A$8:$BV$103,COLUMN(기본데이타!BP$8),0))</f>
        <v/>
      </c>
      <c r="BM177" s="597" t="str">
        <f>IF($A177="","",VLOOKUP($A177,기본데이타!$A$8:$BV$103,COLUMN(기본데이타!BQ$8),0))</f>
        <v/>
      </c>
      <c r="BN177" s="599" t="str">
        <f>IF($A177="","",VLOOKUP($A177,기본데이타!$A$8:$BV$103,COLUMN(기본데이타!BR$8),0))</f>
        <v/>
      </c>
      <c r="BO177" s="600" t="str">
        <f>IF($A177="","",VLOOKUP($A177,기본데이타!$A$8:$BV$103,COLUMN(기본데이타!BS$8),0))</f>
        <v/>
      </c>
      <c r="BP177" s="623" t="str">
        <f>IF($A177="","",VLOOKUP($A177,기본데이타!$A$8:$BV$103,COLUMN(기본데이타!BT$8),0))</f>
        <v/>
      </c>
      <c r="BQ177" s="602" t="str">
        <f>IF($A177="","",VLOOKUP($A177,기본데이타!$A$8:$BV$103,COLUMN(기본데이타!BU$8),0))</f>
        <v/>
      </c>
      <c r="BR177" s="603" t="str">
        <f t="shared" si="27"/>
        <v/>
      </c>
    </row>
    <row r="178" spans="1:70" s="571" customFormat="1" ht="57" hidden="1" customHeight="1">
      <c r="A178" s="578"/>
      <c r="B178" s="1642"/>
      <c r="C178" s="1341"/>
      <c r="D178" s="629" t="str">
        <f>IF($A178="","",VLOOKUP($A178,기본데이타!$A$8:$BV$103,COLUMN(기본데이타!F$8),0))</f>
        <v/>
      </c>
      <c r="E178" s="630" t="str">
        <f>IF($A178="","",VLOOKUP($A178,기본데이타!$A$8:$BV$103,COLUMN(기본데이타!G$8),0))</f>
        <v/>
      </c>
      <c r="F178" s="631" t="str">
        <f>IF($A178="","",VLOOKUP($A178,기본데이타!$A$8:$BV$103,COLUMN(기본데이타!H$8),0))</f>
        <v/>
      </c>
      <c r="G178" s="632" t="str">
        <f>IF($A178="","",VLOOKUP($A178,기본데이타!$A$8:$BV$103,COLUMN(기본데이타!I$8),0))</f>
        <v/>
      </c>
      <c r="H178" s="632" t="str">
        <f>IF($A178="","",VLOOKUP($A178,기본데이타!$A$8:$BV$103,COLUMN(기본데이타!J$8),0))</f>
        <v/>
      </c>
      <c r="I178" s="633" t="str">
        <f>IF($A178="","",VLOOKUP($A178,기본데이타!$A$8:$BV$103,COLUMN(기본데이타!K$8),0))</f>
        <v/>
      </c>
      <c r="J178" s="633" t="str">
        <f>IF($A178="","",VLOOKUP($A178,기본데이타!$A$8:$BV$103,COLUMN(기본데이타!L$8),0))</f>
        <v/>
      </c>
      <c r="K178" s="633" t="str">
        <f>IF($A178="","",VLOOKUP($A178,기본데이타!$A$8:$BV$103,COLUMN(기본데이타!M$8),0))</f>
        <v/>
      </c>
      <c r="L178" s="634" t="str">
        <f>IF($A178="","",VLOOKUP($A178,기본데이타!$A$8:$BV$103,COLUMN(기본데이타!N$8),0))</f>
        <v/>
      </c>
      <c r="M178" s="633" t="str">
        <f>IF($A178="","",VLOOKUP($A178,기본데이타!$A$8:$BV$103,COLUMN(기본데이타!O$8),0))</f>
        <v/>
      </c>
      <c r="N178" s="634" t="str">
        <f>IF($A178="","",VLOOKUP($A178,기본데이타!$A$8:$BV$103,COLUMN(기본데이타!P$8),0))</f>
        <v/>
      </c>
      <c r="O178" s="634" t="str">
        <f>IF($A178="","",VLOOKUP($A178,기본데이타!$A$8:$BV$103,COLUMN(기본데이타!Q$8),0))</f>
        <v/>
      </c>
      <c r="P178" s="634" t="str">
        <f>IF($A178="","",VLOOKUP($A178,기본데이타!$A$8:$BV$103,COLUMN(기본데이타!R$8),0))</f>
        <v/>
      </c>
      <c r="Q178" s="634" t="str">
        <f>IF($A178="","",VLOOKUP($A178,기본데이타!$A$8:$BV$103,COLUMN(기본데이타!S$8),0))</f>
        <v/>
      </c>
      <c r="R178" s="634" t="str">
        <f>IF($A178="","",VLOOKUP($A178,기본데이타!$A$8:$BV$103,COLUMN(기본데이타!T$8),0))</f>
        <v/>
      </c>
      <c r="S178" s="634" t="str">
        <f>IF($A178="","",VLOOKUP($A178,기본데이타!$A$8:$BV$103,COLUMN(기본데이타!U$8),0))</f>
        <v/>
      </c>
      <c r="T178" s="634" t="str">
        <f>IF($A178="","",VLOOKUP($A178,기본데이타!$A$8:$BV$103,COLUMN(기본데이타!V$8),0))</f>
        <v/>
      </c>
      <c r="U178" s="634" t="str">
        <f>IF($A178="","",VLOOKUP($A178,기본데이타!$A$8:$BV$103,COLUMN(기본데이타!W$8),0))</f>
        <v/>
      </c>
      <c r="V178" s="634" t="str">
        <f>IF($A178="","",VLOOKUP($A178,기본데이타!$A$8:$BV$103,COLUMN(기본데이타!X$8),0))</f>
        <v/>
      </c>
      <c r="W178" s="634" t="str">
        <f>IF($A178="","",VLOOKUP($A178,기본데이타!$A$8:$BV$103,COLUMN(기본데이타!AA$8),0))</f>
        <v/>
      </c>
      <c r="X178" s="634" t="str">
        <f>IF($A178="","",VLOOKUP($A178,기본데이타!$A$8:$BV$103,COLUMN(기본데이타!AB$8),0))</f>
        <v/>
      </c>
      <c r="Y178" s="633" t="str">
        <f>IF($A178="","",VLOOKUP($A178,기본데이타!$A$8:$BV$103,COLUMN(기본데이타!AC$8),0))</f>
        <v/>
      </c>
      <c r="Z178" s="634" t="str">
        <f>IF($A178="","",VLOOKUP($A178,기본데이타!$A$8:$BV$103,COLUMN(기본데이타!AD$8),0))</f>
        <v/>
      </c>
      <c r="AA178" s="633" t="str">
        <f>IF($A178="","",VLOOKUP($A178,기본데이타!$A$8:$BV$103,COLUMN(기본데이타!AE$8),0))</f>
        <v/>
      </c>
      <c r="AB178" s="634" t="str">
        <f>IF($A178="","",VLOOKUP($A178,기본데이타!$A$8:$BV$103,COLUMN(기본데이타!AF$8),0))</f>
        <v/>
      </c>
      <c r="AC178" s="633" t="str">
        <f>IF($A178="","",VLOOKUP($A178,기본데이타!$A$8:$BV$103,COLUMN(기본데이타!AG$8),0))</f>
        <v/>
      </c>
      <c r="AD178" s="634" t="str">
        <f>IF($A178="","",VLOOKUP($A178,기본데이타!$A$8:$BV$103,COLUMN(기본데이타!AH$8),0))</f>
        <v/>
      </c>
      <c r="AE178" s="633" t="str">
        <f>IF($A178="","",VLOOKUP($A178,기본데이타!$A$8:$BV$103,COLUMN(기본데이타!AI$8),0))</f>
        <v/>
      </c>
      <c r="AF178" s="635" t="str">
        <f>IF($A178="","",VLOOKUP($A178,기본데이타!$A$8:$BV$103,COLUMN(기본데이타!AJ$8),0))</f>
        <v/>
      </c>
      <c r="AG178" s="635" t="str">
        <f>IF($A178="","",VLOOKUP($A178,기본데이타!$A$8:$BV$103,COLUMN(기본데이타!AK$8),0))</f>
        <v/>
      </c>
      <c r="AH178" s="635" t="str">
        <f>IF($A178="","",VLOOKUP($A178,기본데이타!$A$8:$BV$103,COLUMN(기본데이타!AL$8),0))</f>
        <v/>
      </c>
      <c r="AI178" s="635" t="str">
        <f>IF($A178="","",VLOOKUP($A178,기본데이타!$A$8:$BV$103,COLUMN(기본데이타!AM$8),0))</f>
        <v/>
      </c>
      <c r="AJ178" s="636" t="str">
        <f>IF($A178="","",VLOOKUP($A178,기본데이타!$A$8:$BV$103,COLUMN(기본데이타!AN$8),0))</f>
        <v/>
      </c>
      <c r="AK178" s="636" t="str">
        <f>IF($A178="","",VLOOKUP($A178,기본데이타!$A$8:$BV$103,COLUMN(기본데이타!AO$8),0))</f>
        <v/>
      </c>
      <c r="AL178" s="636" t="str">
        <f>IF($A178="","",VLOOKUP($A178,기본데이타!$A$8:$BV$103,COLUMN(기본데이타!AP$8),0))</f>
        <v/>
      </c>
      <c r="AM178" s="636" t="str">
        <f>IF($A178="","",VLOOKUP($A178,기본데이타!$A$8:$BV$103,COLUMN(기본데이타!AQ$8),0))</f>
        <v/>
      </c>
      <c r="AN178" s="636" t="str">
        <f>IF($A178="","",VLOOKUP($A178,기본데이타!$A$8:$BV$103,COLUMN(기본데이타!AR$8),0))</f>
        <v/>
      </c>
      <c r="AO178" s="636" t="str">
        <f>IF($A178="","",VLOOKUP($A178,기본데이타!$A$8:$BV$103,COLUMN(기본데이타!AS$8),0))</f>
        <v/>
      </c>
      <c r="AP178" s="636" t="str">
        <f>IF($A178="","",VLOOKUP($A178,기본데이타!$A$8:$BV$103,COLUMN(기본데이타!AT$8),0))</f>
        <v/>
      </c>
      <c r="AQ178" s="636" t="str">
        <f>IF($A178="","",VLOOKUP($A178,기본데이타!$A$8:$BV$103,COLUMN(기본데이타!AU$8),0))</f>
        <v/>
      </c>
      <c r="AR178" s="637" t="str">
        <f>IF($A178="","",VLOOKUP($A178,기본데이타!$A$8:$BV$103,COLUMN(기본데이타!AV$8),0))</f>
        <v/>
      </c>
      <c r="AS178" s="634" t="str">
        <f>IF($A178="","",VLOOKUP($A178,기본데이타!$A$8:$BV$103,COLUMN(기본데이타!AW$8),0))</f>
        <v/>
      </c>
      <c r="AT178" s="634" t="str">
        <f>IF($A178="","",VLOOKUP($A178,기본데이타!$A$8:$BV$103,COLUMN(기본데이타!AX$8),0))</f>
        <v/>
      </c>
      <c r="AU178" s="634" t="str">
        <f>IF($A178="","",VLOOKUP($A178,기본데이타!$A$8:$BV$103,COLUMN(기본데이타!AY$8),0))</f>
        <v/>
      </c>
      <c r="AV178" s="634" t="str">
        <f>IF(AS178="","",SUM(AS178:AU178))</f>
        <v/>
      </c>
      <c r="AW178" s="635" t="str">
        <f>IF($A178="","",VLOOKUP($A178,기본데이타!$A$8:$BV$103,COLUMN(기본데이타!BA$8),0))</f>
        <v/>
      </c>
      <c r="AX178" s="635" t="str">
        <f>IF($A178="","",VLOOKUP($A178,기본데이타!$A$8:$BV$103,COLUMN(기본데이타!BB$8),0))</f>
        <v/>
      </c>
      <c r="AY178" s="635" t="str">
        <f>IF($A178="","",VLOOKUP($A178,기본데이타!$A$8:$BV$103,COLUMN(기본데이타!BC$8),0))</f>
        <v/>
      </c>
      <c r="AZ178" s="635" t="str">
        <f>IF($A178="","",VLOOKUP($A178,기본데이타!$A$8:$BV$103,COLUMN(기본데이타!BD$8),0))</f>
        <v/>
      </c>
      <c r="BA178" s="635" t="str">
        <f>IF($A178="","",VLOOKUP($A178,기본데이타!$A$8:$BV$103,COLUMN(기본데이타!BE$8),0))</f>
        <v/>
      </c>
      <c r="BB178" s="635" t="str">
        <f>IF($A178="","",VLOOKUP($A178,기본데이타!$A$8:$BV$103,COLUMN(기본데이타!BF$8),0))</f>
        <v/>
      </c>
      <c r="BC178" s="635" t="str">
        <f>IF($A178="","",VLOOKUP($A178,기본데이타!$A$8:$BV$103,COLUMN(기본데이타!BG$8),0))</f>
        <v/>
      </c>
      <c r="BD178" s="635" t="str">
        <f>IF($A178="","",VLOOKUP($A178,기본데이타!$A$8:$BV$103,COLUMN(기본데이타!BH$8),0))</f>
        <v/>
      </c>
      <c r="BE178" s="635" t="str">
        <f>IF($A178="","",VLOOKUP($A178,기본데이타!$A$8:$BV$103,COLUMN(기본데이타!BI$8),0))</f>
        <v/>
      </c>
      <c r="BF178" s="635" t="str">
        <f>IF($A178="","",VLOOKUP($A178,기본데이타!$A$8:$BV$103,COLUMN(기본데이타!BJ$8),0))</f>
        <v/>
      </c>
      <c r="BG178" s="635" t="str">
        <f>IF($A178="","",VLOOKUP($A178,기본데이타!$A$8:$BV$103,COLUMN(기본데이타!BK$8),0))</f>
        <v/>
      </c>
      <c r="BH178" s="635" t="str">
        <f>IF($A178="","",VLOOKUP($A178,기본데이타!$A$8:$BV$103,COLUMN(기본데이타!BL$8),0))</f>
        <v/>
      </c>
      <c r="BI178" s="635" t="str">
        <f>IF($A178="","",VLOOKUP($A178,기본데이타!$A$8:$BV$103,COLUMN(기본데이타!BM$8),0))</f>
        <v/>
      </c>
      <c r="BJ178" s="635" t="str">
        <f>IF($A178="","",VLOOKUP($A178,기본데이타!$A$8:$BV$103,COLUMN(기본데이타!BN$8),0))</f>
        <v/>
      </c>
      <c r="BK178" s="635" t="str">
        <f>IF($A178="","",VLOOKUP($A178,기본데이타!$A$8:$BV$103,COLUMN(기본데이타!BO$8),0))</f>
        <v/>
      </c>
      <c r="BL178" s="635" t="str">
        <f>IF($A178="","",VLOOKUP($A178,기본데이타!$A$8:$BV$103,COLUMN(기본데이타!BP$8),0))</f>
        <v/>
      </c>
      <c r="BM178" s="635" t="str">
        <f>IF($A178="","",VLOOKUP($A178,기본데이타!$A$8:$BV$103,COLUMN(기본데이타!BQ$8),0))</f>
        <v/>
      </c>
      <c r="BN178" s="638" t="str">
        <f>IF($A178="","",VLOOKUP($A178,기본데이타!$A$8:$BV$103,COLUMN(기본데이타!BR$8),0))</f>
        <v/>
      </c>
      <c r="BO178" s="579" t="str">
        <f>IF($A178="","",VLOOKUP($A178,기본데이타!$A$8:$BV$103,COLUMN(기본데이타!BS$8),0))</f>
        <v/>
      </c>
      <c r="BP178" s="639" t="str">
        <f>IF($A178="","",VLOOKUP($A178,기본데이타!$A$8:$BV$103,COLUMN(기본데이타!BT$8),0))</f>
        <v/>
      </c>
      <c r="BQ178" s="640" t="str">
        <f>IF($A178="","",VLOOKUP($A178,기본데이타!$A$8:$BV$103,COLUMN(기본데이타!BU$8),0))</f>
        <v/>
      </c>
      <c r="BR178" s="625" t="str">
        <f>IF($A178="","",A178)</f>
        <v/>
      </c>
    </row>
    <row r="179" spans="1:70" s="571" customFormat="1" ht="61.5" hidden="1" customHeight="1" thickBot="1">
      <c r="A179" s="578"/>
      <c r="B179" s="1642"/>
      <c r="C179" s="1785"/>
      <c r="D179" s="1536" t="str">
        <f>IF($A179="","",VLOOKUP($A179,기본데이타!$A$8:$BV$103,COLUMN(기본데이타!F$8),0))</f>
        <v/>
      </c>
      <c r="E179" s="1537" t="str">
        <f>IF($A179="","",VLOOKUP($A179,기본데이타!$A$8:$BV$103,COLUMN(기본데이타!G$8),0))</f>
        <v/>
      </c>
      <c r="F179" s="1538" t="str">
        <f>IF($A179="","",VLOOKUP($A179,기본데이타!$A$8:$BV$103,COLUMN(기본데이타!H$8),0))</f>
        <v/>
      </c>
      <c r="G179" s="1539" t="str">
        <f>IF($A179="","",VLOOKUP($A179,기본데이타!$A$8:$BV$103,COLUMN(기본데이타!I$8),0))</f>
        <v/>
      </c>
      <c r="H179" s="1539" t="str">
        <f>IF($A179="","",VLOOKUP($A179,기본데이타!$A$8:$BV$103,COLUMN(기본데이타!J$8),0))</f>
        <v/>
      </c>
      <c r="I179" s="1540" t="str">
        <f>IF($A179="","",VLOOKUP($A179,기본데이타!$A$8:$BV$103,COLUMN(기본데이타!K$8),0))</f>
        <v/>
      </c>
      <c r="J179" s="1540" t="str">
        <f>IF($A179="","",VLOOKUP($A179,기본데이타!$A$8:$BV$103,COLUMN(기본데이타!L$8),0))</f>
        <v/>
      </c>
      <c r="K179" s="1540" t="str">
        <f>IF($A179="","",VLOOKUP($A179,기본데이타!$A$8:$BV$103,COLUMN(기본데이타!M$8),0))</f>
        <v/>
      </c>
      <c r="L179" s="1541" t="str">
        <f>IF($A179="","",VLOOKUP($A179,기본데이타!$A$8:$BV$103,COLUMN(기본데이타!N$8),0))</f>
        <v/>
      </c>
      <c r="M179" s="1540" t="str">
        <f>IF($A179="","",VLOOKUP($A179,기본데이타!$A$8:$BV$103,COLUMN(기본데이타!O$8),0))</f>
        <v/>
      </c>
      <c r="N179" s="1541" t="str">
        <f>IF($A179="","",VLOOKUP($A179,기본데이타!$A$8:$BV$103,COLUMN(기본데이타!P$8),0))</f>
        <v/>
      </c>
      <c r="O179" s="1541" t="str">
        <f>IF($A179="","",VLOOKUP($A179,기본데이타!$A$8:$BV$103,COLUMN(기본데이타!Q$8),0))</f>
        <v/>
      </c>
      <c r="P179" s="1541" t="str">
        <f>IF($A179="","",VLOOKUP($A179,기본데이타!$A$8:$BV$103,COLUMN(기본데이타!R$8),0))</f>
        <v/>
      </c>
      <c r="Q179" s="1541" t="str">
        <f>IF($A179="","",VLOOKUP($A179,기본데이타!$A$8:$BV$103,COLUMN(기본데이타!S$8),0))</f>
        <v/>
      </c>
      <c r="R179" s="1541" t="str">
        <f>IF($A179="","",VLOOKUP($A179,기본데이타!$A$8:$BV$103,COLUMN(기본데이타!T$8),0))</f>
        <v/>
      </c>
      <c r="S179" s="1541" t="str">
        <f>IF($A179="","",VLOOKUP($A179,기본데이타!$A$8:$BV$103,COLUMN(기본데이타!U$8),0))</f>
        <v/>
      </c>
      <c r="T179" s="1541" t="str">
        <f>IF($A179="","",VLOOKUP($A179,기본데이타!$A$8:$BV$103,COLUMN(기본데이타!V$8),0))</f>
        <v/>
      </c>
      <c r="U179" s="1541" t="str">
        <f>IF($A179="","",VLOOKUP($A179,기본데이타!$A$8:$BV$103,COLUMN(기본데이타!W$8),0))</f>
        <v/>
      </c>
      <c r="V179" s="1541" t="str">
        <f>IF($A179="","",VLOOKUP($A179,기본데이타!$A$8:$BV$103,COLUMN(기본데이타!X$8),0))</f>
        <v/>
      </c>
      <c r="W179" s="1541" t="str">
        <f>IF($A179="","",VLOOKUP($A179,기본데이타!$A$8:$BV$103,COLUMN(기본데이타!AA$8),0))</f>
        <v/>
      </c>
      <c r="X179" s="1541" t="str">
        <f>IF($A179="","",VLOOKUP($A179,기본데이타!$A$8:$BV$103,COLUMN(기본데이타!AB$8),0))</f>
        <v/>
      </c>
      <c r="Y179" s="1540" t="str">
        <f>IF($A179="","",VLOOKUP($A179,기본데이타!$A$8:$BV$103,COLUMN(기본데이타!AC$8),0))</f>
        <v/>
      </c>
      <c r="Z179" s="1541" t="str">
        <f>IF($A179="","",VLOOKUP($A179,기본데이타!$A$8:$BV$103,COLUMN(기본데이타!AD$8),0))</f>
        <v/>
      </c>
      <c r="AA179" s="1540" t="str">
        <f>IF($A179="","",VLOOKUP($A179,기본데이타!$A$8:$BV$103,COLUMN(기본데이타!AE$8),0))</f>
        <v/>
      </c>
      <c r="AB179" s="1541" t="str">
        <f>IF($A179="","",VLOOKUP($A179,기본데이타!$A$8:$BV$103,COLUMN(기본데이타!AF$8),0))</f>
        <v/>
      </c>
      <c r="AC179" s="1540" t="str">
        <f>IF($A179="","",VLOOKUP($A179,기본데이타!$A$8:$BV$103,COLUMN(기본데이타!AG$8),0))</f>
        <v/>
      </c>
      <c r="AD179" s="1541" t="str">
        <f>IF($A179="","",VLOOKUP($A179,기본데이타!$A$8:$BV$103,COLUMN(기본데이타!AH$8),0))</f>
        <v/>
      </c>
      <c r="AE179" s="1540" t="str">
        <f>IF($A179="","",VLOOKUP($A179,기본데이타!$A$8:$BV$103,COLUMN(기본데이타!AI$8),0))</f>
        <v/>
      </c>
      <c r="AF179" s="1542" t="str">
        <f>IF($A179="","",VLOOKUP($A179,기본데이타!$A$8:$BV$103,COLUMN(기본데이타!AJ$8),0))</f>
        <v/>
      </c>
      <c r="AG179" s="1542" t="str">
        <f>IF($A179="","",VLOOKUP($A179,기본데이타!$A$8:$BV$103,COLUMN(기본데이타!AK$8),0))</f>
        <v/>
      </c>
      <c r="AH179" s="1542" t="str">
        <f>IF($A179="","",VLOOKUP($A179,기본데이타!$A$8:$BV$103,COLUMN(기본데이타!AL$8),0))</f>
        <v/>
      </c>
      <c r="AI179" s="1542" t="str">
        <f>IF($A179="","",VLOOKUP($A179,기본데이타!$A$8:$BV$103,COLUMN(기본데이타!AM$8),0))</f>
        <v/>
      </c>
      <c r="AJ179" s="1543" t="str">
        <f>IF($A179="","",VLOOKUP($A179,기본데이타!$A$8:$BV$103,COLUMN(기본데이타!AN$8),0))</f>
        <v/>
      </c>
      <c r="AK179" s="1543" t="str">
        <f>IF($A179="","",VLOOKUP($A179,기본데이타!$A$8:$BV$103,COLUMN(기본데이타!AO$8),0))</f>
        <v/>
      </c>
      <c r="AL179" s="1543" t="str">
        <f>IF($A179="","",VLOOKUP($A179,기본데이타!$A$8:$BV$103,COLUMN(기본데이타!AP$8),0))</f>
        <v/>
      </c>
      <c r="AM179" s="1543" t="str">
        <f>IF($A179="","",VLOOKUP($A179,기본데이타!$A$8:$BV$103,COLUMN(기본데이타!AQ$8),0))</f>
        <v/>
      </c>
      <c r="AN179" s="1543" t="str">
        <f>IF($A179="","",VLOOKUP($A179,기본데이타!$A$8:$BV$103,COLUMN(기본데이타!AR$8),0))</f>
        <v/>
      </c>
      <c r="AO179" s="1543" t="str">
        <f>IF($A179="","",VLOOKUP($A179,기본데이타!$A$8:$BV$103,COLUMN(기본데이타!AS$8),0))</f>
        <v/>
      </c>
      <c r="AP179" s="1543" t="str">
        <f>IF($A179="","",VLOOKUP($A179,기본데이타!$A$8:$BV$103,COLUMN(기본데이타!AT$8),0))</f>
        <v/>
      </c>
      <c r="AQ179" s="1543" t="str">
        <f>IF($A179="","",VLOOKUP($A179,기본데이타!$A$8:$BV$103,COLUMN(기본데이타!AU$8),0))</f>
        <v/>
      </c>
      <c r="AR179" s="1544" t="str">
        <f>IF($A179="","",VLOOKUP($A179,기본데이타!$A$8:$BV$103,COLUMN(기본데이타!AV$8),0))</f>
        <v/>
      </c>
      <c r="AS179" s="1541" t="str">
        <f>IF($A179="","",VLOOKUP($A179,기본데이타!$A$8:$BV$103,COLUMN(기본데이타!AW$8),0))</f>
        <v/>
      </c>
      <c r="AT179" s="1541" t="str">
        <f>IF($A179="","",VLOOKUP($A179,기본데이타!$A$8:$BV$103,COLUMN(기본데이타!AX$8),0))</f>
        <v/>
      </c>
      <c r="AU179" s="1541" t="str">
        <f>IF($A179="","",VLOOKUP($A179,기본데이타!$A$8:$BV$103,COLUMN(기본데이타!AY$8),0))</f>
        <v/>
      </c>
      <c r="AV179" s="1541" t="str">
        <f>IF(AS179="","",SUM(AS179:AU179))</f>
        <v/>
      </c>
      <c r="AW179" s="1542" t="str">
        <f>IF($A179="","",VLOOKUP($A179,기본데이타!$A$8:$BV$103,COLUMN(기본데이타!BA$8),0))</f>
        <v/>
      </c>
      <c r="AX179" s="1542" t="str">
        <f>IF($A179="","",VLOOKUP($A179,기본데이타!$A$8:$BV$103,COLUMN(기본데이타!BB$8),0))</f>
        <v/>
      </c>
      <c r="AY179" s="1542" t="str">
        <f>IF($A179="","",VLOOKUP($A179,기본데이타!$A$8:$BV$103,COLUMN(기본데이타!BC$8),0))</f>
        <v/>
      </c>
      <c r="AZ179" s="1542" t="str">
        <f>IF($A179="","",VLOOKUP($A179,기본데이타!$A$8:$BV$103,COLUMN(기본데이타!BD$8),0))</f>
        <v/>
      </c>
      <c r="BA179" s="1542" t="str">
        <f>IF($A179="","",VLOOKUP($A179,기본데이타!$A$8:$BV$103,COLUMN(기본데이타!BE$8),0))</f>
        <v/>
      </c>
      <c r="BB179" s="1542" t="str">
        <f>IF($A179="","",VLOOKUP($A179,기본데이타!$A$8:$BV$103,COLUMN(기본데이타!BF$8),0))</f>
        <v/>
      </c>
      <c r="BC179" s="1542" t="str">
        <f>IF($A179="","",VLOOKUP($A179,기본데이타!$A$8:$BV$103,COLUMN(기본데이타!BG$8),0))</f>
        <v/>
      </c>
      <c r="BD179" s="1542" t="str">
        <f>IF($A179="","",VLOOKUP($A179,기본데이타!$A$8:$BV$103,COLUMN(기본데이타!BH$8),0))</f>
        <v/>
      </c>
      <c r="BE179" s="1542" t="str">
        <f>IF($A179="","",VLOOKUP($A179,기본데이타!$A$8:$BV$103,COLUMN(기본데이타!BI$8),0))</f>
        <v/>
      </c>
      <c r="BF179" s="1542" t="str">
        <f>IF($A179="","",VLOOKUP($A179,기본데이타!$A$8:$BV$103,COLUMN(기본데이타!BJ$8),0))</f>
        <v/>
      </c>
      <c r="BG179" s="1542" t="str">
        <f>IF($A179="","",VLOOKUP($A179,기본데이타!$A$8:$BV$103,COLUMN(기본데이타!BK$8),0))</f>
        <v/>
      </c>
      <c r="BH179" s="1542" t="str">
        <f>IF($A179="","",VLOOKUP($A179,기본데이타!$A$8:$BV$103,COLUMN(기본데이타!BL$8),0))</f>
        <v/>
      </c>
      <c r="BI179" s="1542" t="str">
        <f>IF($A179="","",VLOOKUP($A179,기본데이타!$A$8:$BV$103,COLUMN(기본데이타!BM$8),0))</f>
        <v/>
      </c>
      <c r="BJ179" s="1542" t="str">
        <f>IF($A179="","",VLOOKUP($A179,기본데이타!$A$8:$BV$103,COLUMN(기본데이타!BN$8),0))</f>
        <v/>
      </c>
      <c r="BK179" s="1542" t="str">
        <f>IF($A179="","",VLOOKUP($A179,기본데이타!$A$8:$BV$103,COLUMN(기본데이타!BO$8),0))</f>
        <v/>
      </c>
      <c r="BL179" s="1542" t="str">
        <f>IF($A179="","",VLOOKUP($A179,기본데이타!$A$8:$BV$103,COLUMN(기본데이타!BP$8),0))</f>
        <v/>
      </c>
      <c r="BM179" s="1542" t="str">
        <f>IF($A179="","",VLOOKUP($A179,기본데이타!$A$8:$BV$103,COLUMN(기본데이타!BQ$8),0))</f>
        <v/>
      </c>
      <c r="BN179" s="1545" t="str">
        <f>IF($A179="","",VLOOKUP($A179,기본데이타!$A$8:$BV$103,COLUMN(기본데이타!BR$8),0))</f>
        <v/>
      </c>
      <c r="BO179" s="1546" t="str">
        <f>IF($A179="","",VLOOKUP($A179,기본데이타!$A$8:$BV$103,COLUMN(기본데이타!BS$8),0))</f>
        <v/>
      </c>
      <c r="BP179" s="1547" t="str">
        <f>IF($A179="","",VLOOKUP($A179,기본데이타!$A$8:$BV$103,COLUMN(기본데이타!BT$8),0))</f>
        <v/>
      </c>
      <c r="BQ179" s="1548" t="str">
        <f>IF($A179="","",VLOOKUP($A179,기본데이타!$A$8:$BV$103,COLUMN(기본데이타!BU$8),0))</f>
        <v/>
      </c>
      <c r="BR179" s="1549" t="str">
        <f>IF($A179="","",A179)</f>
        <v/>
      </c>
    </row>
    <row r="180" spans="1:70" s="571" customFormat="1" ht="89.25" hidden="1" customHeight="1">
      <c r="A180" s="578"/>
      <c r="B180" s="1642"/>
      <c r="C180" s="1340"/>
      <c r="D180" s="591" t="str">
        <f>IF($A180="","",VLOOKUP($A180,기본데이타!$A$8:$BV$103,COLUMN(기본데이타!F$8),0))</f>
        <v/>
      </c>
      <c r="E180" s="592" t="str">
        <f>IF($A180="","",VLOOKUP($A180,기본데이타!$A$8:$BV$103,COLUMN(기본데이타!G$8),0))</f>
        <v/>
      </c>
      <c r="F180" s="593" t="str">
        <f>IF($A180="","",VLOOKUP($A180,기본데이타!$A$8:$BV$103,COLUMN(기본데이타!H$8),0))</f>
        <v/>
      </c>
      <c r="G180" s="594" t="str">
        <f>IF($A180="","",VLOOKUP($A180,기본데이타!$A$8:$BV$103,COLUMN(기본데이타!I$8),0))</f>
        <v/>
      </c>
      <c r="H180" s="594" t="str">
        <f>IF($A180="","",VLOOKUP($A180,기본데이타!$A$8:$BV$103,COLUMN(기본데이타!J$8),0))</f>
        <v/>
      </c>
      <c r="I180" s="595" t="str">
        <f>IF($A180="","",VLOOKUP($A180,기본데이타!$A$8:$BV$103,COLUMN(기본데이타!K$8),0))</f>
        <v/>
      </c>
      <c r="J180" s="595" t="str">
        <f>IF($A180="","",VLOOKUP($A180,기본데이타!$A$8:$BV$103,COLUMN(기본데이타!L$8),0))</f>
        <v/>
      </c>
      <c r="K180" s="595" t="str">
        <f>IF($A180="","",VLOOKUP($A180,기본데이타!$A$8:$BV$103,COLUMN(기본데이타!M$8),0))</f>
        <v/>
      </c>
      <c r="L180" s="596" t="str">
        <f>IF($A180="","",VLOOKUP($A180,기본데이타!$A$8:$BV$103,COLUMN(기본데이타!N$8),0))</f>
        <v/>
      </c>
      <c r="M180" s="595" t="str">
        <f>IF($A180="","",VLOOKUP($A180,기본데이타!$A$8:$BV$103,COLUMN(기본데이타!O$8),0))</f>
        <v/>
      </c>
      <c r="N180" s="596" t="str">
        <f>IF($A180="","",VLOOKUP($A180,기본데이타!$A$8:$BV$103,COLUMN(기본데이타!P$8),0))</f>
        <v/>
      </c>
      <c r="O180" s="596" t="str">
        <f>IF($A180="","",VLOOKUP($A180,기본데이타!$A$8:$BV$103,COLUMN(기본데이타!Q$8),0))</f>
        <v/>
      </c>
      <c r="P180" s="596" t="str">
        <f>IF($A180="","",VLOOKUP($A180,기본데이타!$A$8:$BV$103,COLUMN(기본데이타!R$8),0))</f>
        <v/>
      </c>
      <c r="Q180" s="596" t="str">
        <f>IF($A180="","",VLOOKUP($A180,기본데이타!$A$8:$BV$103,COLUMN(기본데이타!S$8),0))</f>
        <v/>
      </c>
      <c r="R180" s="596" t="str">
        <f>IF($A180="","",VLOOKUP($A180,기본데이타!$A$8:$BV$103,COLUMN(기본데이타!T$8),0))</f>
        <v/>
      </c>
      <c r="S180" s="596" t="str">
        <f>IF($A180="","",VLOOKUP($A180,기본데이타!$A$8:$BV$103,COLUMN(기본데이타!U$8),0))</f>
        <v/>
      </c>
      <c r="T180" s="596" t="str">
        <f>IF($A180="","",VLOOKUP($A180,기본데이타!$A$8:$BV$103,COLUMN(기본데이타!V$8),0))</f>
        <v/>
      </c>
      <c r="U180" s="596" t="str">
        <f>IF($A180="","",VLOOKUP($A180,기본데이타!$A$8:$BV$103,COLUMN(기본데이타!W$8),0))</f>
        <v/>
      </c>
      <c r="V180" s="596" t="str">
        <f>IF($A180="","",VLOOKUP($A180,기본데이타!$A$8:$BV$103,COLUMN(기본데이타!X$8),0))</f>
        <v/>
      </c>
      <c r="W180" s="596" t="str">
        <f>IF($A180="","",VLOOKUP($A180,기본데이타!$A$8:$BV$103,COLUMN(기본데이타!AA$8),0))</f>
        <v/>
      </c>
      <c r="X180" s="596" t="str">
        <f>IF($A180="","",VLOOKUP($A180,기본데이타!$A$8:$BV$103,COLUMN(기본데이타!AB$8),0))</f>
        <v/>
      </c>
      <c r="Y180" s="595" t="str">
        <f>IF($A180="","",VLOOKUP($A180,기본데이타!$A$8:$BV$103,COLUMN(기본데이타!AC$8),0))</f>
        <v/>
      </c>
      <c r="Z180" s="596" t="str">
        <f>IF($A180="","",VLOOKUP($A180,기본데이타!$A$8:$BV$103,COLUMN(기본데이타!AD$8),0))</f>
        <v/>
      </c>
      <c r="AA180" s="595" t="str">
        <f>IF($A180="","",VLOOKUP($A180,기본데이타!$A$8:$BV$103,COLUMN(기본데이타!AE$8),0))</f>
        <v/>
      </c>
      <c r="AB180" s="596" t="str">
        <f>IF($A180="","",VLOOKUP($A180,기본데이타!$A$8:$BV$103,COLUMN(기본데이타!AF$8),0))</f>
        <v/>
      </c>
      <c r="AC180" s="595" t="str">
        <f>IF($A180="","",VLOOKUP($A180,기본데이타!$A$8:$BV$103,COLUMN(기본데이타!AG$8),0))</f>
        <v/>
      </c>
      <c r="AD180" s="596" t="str">
        <f>IF($A180="","",VLOOKUP($A180,기본데이타!$A$8:$BV$103,COLUMN(기본데이타!AH$8),0))</f>
        <v/>
      </c>
      <c r="AE180" s="595" t="str">
        <f>IF($A180="","",VLOOKUP($A180,기본데이타!$A$8:$BV$103,COLUMN(기본데이타!AI$8),0))</f>
        <v/>
      </c>
      <c r="AF180" s="597" t="str">
        <f>IF($A180="","",VLOOKUP($A180,기본데이타!$A$8:$BV$103,COLUMN(기본데이타!AJ$8),0))</f>
        <v/>
      </c>
      <c r="AG180" s="597" t="str">
        <f>IF($A180="","",VLOOKUP($A180,기본데이타!$A$8:$BV$103,COLUMN(기본데이타!AK$8),0))</f>
        <v/>
      </c>
      <c r="AH180" s="597" t="str">
        <f>IF($A180="","",VLOOKUP($A180,기본데이타!$A$8:$BV$103,COLUMN(기본데이타!AL$8),0))</f>
        <v/>
      </c>
      <c r="AI180" s="597" t="str">
        <f>IF($A180="","",VLOOKUP($A180,기본데이타!$A$8:$BV$103,COLUMN(기본데이타!AM$8),0))</f>
        <v/>
      </c>
      <c r="AJ180" s="642" t="str">
        <f>IF($A180="","",VLOOKUP($A180,기본데이타!$A$8:$BV$103,COLUMN(기본데이타!AN$8),0))</f>
        <v/>
      </c>
      <c r="AK180" s="642" t="str">
        <f>IF($A180="","",VLOOKUP($A180,기본데이타!$A$8:$BV$103,COLUMN(기본데이타!AO$8),0))</f>
        <v/>
      </c>
      <c r="AL180" s="642" t="str">
        <f>IF($A180="","",VLOOKUP($A180,기본데이타!$A$8:$BV$103,COLUMN(기본데이타!AP$8),0))</f>
        <v/>
      </c>
      <c r="AM180" s="642" t="str">
        <f>IF($A180="","",VLOOKUP($A180,기본데이타!$A$8:$BV$103,COLUMN(기본데이타!AQ$8),0))</f>
        <v/>
      </c>
      <c r="AN180" s="642" t="str">
        <f>IF($A180="","",VLOOKUP($A180,기본데이타!$A$8:$BV$103,COLUMN(기본데이타!AR$8),0))</f>
        <v/>
      </c>
      <c r="AO180" s="642" t="str">
        <f>IF($A180="","",VLOOKUP($A180,기본데이타!$A$8:$BV$103,COLUMN(기본데이타!AS$8),0))</f>
        <v/>
      </c>
      <c r="AP180" s="642" t="str">
        <f>IF($A180="","",VLOOKUP($A180,기본데이타!$A$8:$BV$103,COLUMN(기본데이타!AT$8),0))</f>
        <v/>
      </c>
      <c r="AQ180" s="642" t="str">
        <f>IF($A180="","",VLOOKUP($A180,기본데이타!$A$8:$BV$103,COLUMN(기본데이타!AU$8),0))</f>
        <v/>
      </c>
      <c r="AR180" s="643" t="str">
        <f>IF($A180="","",VLOOKUP($A180,기본데이타!$A$8:$BV$103,COLUMN(기본데이타!AV$8),0))</f>
        <v/>
      </c>
      <c r="AS180" s="596" t="str">
        <f>IF($A180="","",VLOOKUP($A180,기본데이타!$A$8:$BV$103,COLUMN(기본데이타!AW$8),0))</f>
        <v/>
      </c>
      <c r="AT180" s="596" t="str">
        <f>IF($A180="","",VLOOKUP($A180,기본데이타!$A$8:$BV$103,COLUMN(기본데이타!AX$8),0))</f>
        <v/>
      </c>
      <c r="AU180" s="596" t="str">
        <f>IF($A180="","",VLOOKUP($A180,기본데이타!$A$8:$BV$103,COLUMN(기본데이타!AY$8),0))</f>
        <v/>
      </c>
      <c r="AV180" s="596" t="str">
        <f>IF(AS180="","",SUM(AS180:AU180))</f>
        <v/>
      </c>
      <c r="AW180" s="597" t="str">
        <f>IF($A180="","",VLOOKUP($A180,기본데이타!$A$8:$BV$103,COLUMN(기본데이타!BA$8),0))</f>
        <v/>
      </c>
      <c r="AX180" s="597" t="str">
        <f>IF($A180="","",VLOOKUP($A180,기본데이타!$A$8:$BV$103,COLUMN(기본데이타!BB$8),0))</f>
        <v/>
      </c>
      <c r="AY180" s="597" t="str">
        <f>IF($A180="","",VLOOKUP($A180,기본데이타!$A$8:$BV$103,COLUMN(기본데이타!BC$8),0))</f>
        <v/>
      </c>
      <c r="AZ180" s="597" t="str">
        <f>IF($A180="","",VLOOKUP($A180,기본데이타!$A$8:$BV$103,COLUMN(기본데이타!BD$8),0))</f>
        <v/>
      </c>
      <c r="BA180" s="597" t="str">
        <f>IF($A180="","",VLOOKUP($A180,기본데이타!$A$8:$BV$103,COLUMN(기본데이타!BE$8),0))</f>
        <v/>
      </c>
      <c r="BB180" s="597" t="str">
        <f>IF($A180="","",VLOOKUP($A180,기본데이타!$A$8:$BV$103,COLUMN(기본데이타!BF$8),0))</f>
        <v/>
      </c>
      <c r="BC180" s="597" t="str">
        <f>IF($A180="","",VLOOKUP($A180,기본데이타!$A$8:$BV$103,COLUMN(기본데이타!BG$8),0))</f>
        <v/>
      </c>
      <c r="BD180" s="597" t="str">
        <f>IF($A180="","",VLOOKUP($A180,기본데이타!$A$8:$BV$103,COLUMN(기본데이타!BH$8),0))</f>
        <v/>
      </c>
      <c r="BE180" s="597" t="str">
        <f>IF($A180="","",VLOOKUP($A180,기본데이타!$A$8:$BV$103,COLUMN(기본데이타!BI$8),0))</f>
        <v/>
      </c>
      <c r="BF180" s="597" t="str">
        <f>IF($A180="","",VLOOKUP($A180,기본데이타!$A$8:$BV$103,COLUMN(기본데이타!BJ$8),0))</f>
        <v/>
      </c>
      <c r="BG180" s="597" t="str">
        <f>IF($A180="","",VLOOKUP($A180,기본데이타!$A$8:$BV$103,COLUMN(기본데이타!BK$8),0))</f>
        <v/>
      </c>
      <c r="BH180" s="597" t="str">
        <f>IF($A180="","",VLOOKUP($A180,기본데이타!$A$8:$BV$103,COLUMN(기본데이타!BL$8),0))</f>
        <v/>
      </c>
      <c r="BI180" s="597" t="str">
        <f>IF($A180="","",VLOOKUP($A180,기본데이타!$A$8:$BV$103,COLUMN(기본데이타!BM$8),0))</f>
        <v/>
      </c>
      <c r="BJ180" s="597" t="str">
        <f>IF($A180="","",VLOOKUP($A180,기본데이타!$A$8:$BV$103,COLUMN(기본데이타!BN$8),0))</f>
        <v/>
      </c>
      <c r="BK180" s="597" t="str">
        <f>IF($A180="","",VLOOKUP($A180,기본데이타!$A$8:$BV$103,COLUMN(기본데이타!BO$8),0))</f>
        <v/>
      </c>
      <c r="BL180" s="597" t="str">
        <f>IF($A180="","",VLOOKUP($A180,기본데이타!$A$8:$BV$103,COLUMN(기본데이타!BP$8),0))</f>
        <v/>
      </c>
      <c r="BM180" s="597" t="str">
        <f>IF($A180="","",VLOOKUP($A180,기본데이타!$A$8:$BV$103,COLUMN(기본데이타!BQ$8),0))</f>
        <v/>
      </c>
      <c r="BN180" s="599" t="str">
        <f>IF($A180="","",VLOOKUP($A180,기본데이타!$A$8:$BV$103,COLUMN(기본데이타!BR$8),0))</f>
        <v/>
      </c>
      <c r="BO180" s="600" t="str">
        <f>IF($A180="","",VLOOKUP($A180,기본데이타!$A$8:$BV$103,COLUMN(기본데이타!BS$8),0))</f>
        <v/>
      </c>
      <c r="BP180" s="623" t="str">
        <f>IF($A180="","",VLOOKUP($A180,기본데이타!$A$8:$BV$103,COLUMN(기본데이타!BT$8),0))</f>
        <v/>
      </c>
      <c r="BQ180" s="602" t="str">
        <f>IF($A180="","",VLOOKUP($A180,기본데이타!$A$8:$BV$103,COLUMN(기본데이타!BU$8),0))</f>
        <v/>
      </c>
      <c r="BR180" s="603" t="str">
        <f>IF($A180="","",A180)</f>
        <v/>
      </c>
    </row>
    <row r="181" spans="1:70" s="571" customFormat="1" ht="89.25" hidden="1" customHeight="1">
      <c r="A181" s="578"/>
      <c r="B181" s="1642"/>
      <c r="C181" s="1341"/>
      <c r="D181" s="591" t="str">
        <f>IF($A181="","",VLOOKUP($A181,기본데이타!$A$8:$BV$103,COLUMN(기본데이타!F$8),0))</f>
        <v/>
      </c>
      <c r="E181" s="592" t="str">
        <f>IF($A181="","",VLOOKUP($A181,기본데이타!$A$8:$BV$103,COLUMN(기본데이타!G$8),0))</f>
        <v/>
      </c>
      <c r="F181" s="593" t="str">
        <f>IF($A181="","",VLOOKUP($A181,기본데이타!$A$8:$BV$103,COLUMN(기본데이타!H$8),0))</f>
        <v/>
      </c>
      <c r="G181" s="594" t="str">
        <f>IF($A181="","",VLOOKUP($A181,기본데이타!$A$8:$BV$103,COLUMN(기본데이타!I$8),0))</f>
        <v/>
      </c>
      <c r="H181" s="594" t="str">
        <f>IF($A181="","",VLOOKUP($A181,기본데이타!$A$8:$BV$103,COLUMN(기본데이타!J$8),0))</f>
        <v/>
      </c>
      <c r="I181" s="595" t="str">
        <f>IF($A181="","",VLOOKUP($A181,기본데이타!$A$8:$BV$103,COLUMN(기본데이타!K$8),0))</f>
        <v/>
      </c>
      <c r="J181" s="595" t="str">
        <f>IF($A181="","",VLOOKUP($A181,기본데이타!$A$8:$BV$103,COLUMN(기본데이타!L$8),0))</f>
        <v/>
      </c>
      <c r="K181" s="595" t="str">
        <f>IF($A181="","",VLOOKUP($A181,기본데이타!$A$8:$BV$103,COLUMN(기본데이타!M$8),0))</f>
        <v/>
      </c>
      <c r="L181" s="596" t="str">
        <f>IF($A181="","",VLOOKUP($A181,기본데이타!$A$8:$BV$103,COLUMN(기본데이타!N$8),0))</f>
        <v/>
      </c>
      <c r="M181" s="595" t="str">
        <f>IF($A181="","",VLOOKUP($A181,기본데이타!$A$8:$BV$103,COLUMN(기본데이타!O$8),0))</f>
        <v/>
      </c>
      <c r="N181" s="596" t="str">
        <f>IF($A181="","",VLOOKUP($A181,기본데이타!$A$8:$BV$103,COLUMN(기본데이타!P$8),0))</f>
        <v/>
      </c>
      <c r="O181" s="596" t="str">
        <f>IF($A181="","",VLOOKUP($A181,기본데이타!$A$8:$BV$103,COLUMN(기본데이타!Q$8),0))</f>
        <v/>
      </c>
      <c r="P181" s="596" t="str">
        <f>IF($A181="","",VLOOKUP($A181,기본데이타!$A$8:$BV$103,COLUMN(기본데이타!R$8),0))</f>
        <v/>
      </c>
      <c r="Q181" s="596" t="str">
        <f>IF($A181="","",VLOOKUP($A181,기본데이타!$A$8:$BV$103,COLUMN(기본데이타!S$8),0))</f>
        <v/>
      </c>
      <c r="R181" s="596" t="str">
        <f>IF($A181="","",VLOOKUP($A181,기본데이타!$A$8:$BV$103,COLUMN(기본데이타!T$8),0))</f>
        <v/>
      </c>
      <c r="S181" s="596" t="str">
        <f>IF($A181="","",VLOOKUP($A181,기본데이타!$A$8:$BV$103,COLUMN(기본데이타!U$8),0))</f>
        <v/>
      </c>
      <c r="T181" s="596" t="str">
        <f>IF($A181="","",VLOOKUP($A181,기본데이타!$A$8:$BV$103,COLUMN(기본데이타!V$8),0))</f>
        <v/>
      </c>
      <c r="U181" s="596" t="str">
        <f>IF($A181="","",VLOOKUP($A181,기본데이타!$A$8:$BV$103,COLUMN(기본데이타!W$8),0))</f>
        <v/>
      </c>
      <c r="V181" s="596" t="str">
        <f>IF($A181="","",VLOOKUP($A181,기본데이타!$A$8:$BV$103,COLUMN(기본데이타!X$8),0))</f>
        <v/>
      </c>
      <c r="W181" s="596" t="str">
        <f>IF($A181="","",VLOOKUP($A181,기본데이타!$A$8:$BV$103,COLUMN(기본데이타!AA$8),0))</f>
        <v/>
      </c>
      <c r="X181" s="596" t="str">
        <f>IF($A181="","",VLOOKUP($A181,기본데이타!$A$8:$BV$103,COLUMN(기본데이타!AB$8),0))</f>
        <v/>
      </c>
      <c r="Y181" s="595" t="str">
        <f>IF($A181="","",VLOOKUP($A181,기본데이타!$A$8:$BV$103,COLUMN(기본데이타!AC$8),0))</f>
        <v/>
      </c>
      <c r="Z181" s="596" t="str">
        <f>IF($A181="","",VLOOKUP($A181,기본데이타!$A$8:$BV$103,COLUMN(기본데이타!AD$8),0))</f>
        <v/>
      </c>
      <c r="AA181" s="595" t="str">
        <f>IF($A181="","",VLOOKUP($A181,기본데이타!$A$8:$BV$103,COLUMN(기본데이타!AE$8),0))</f>
        <v/>
      </c>
      <c r="AB181" s="596" t="str">
        <f>IF($A181="","",VLOOKUP($A181,기본데이타!$A$8:$BV$103,COLUMN(기본데이타!AF$8),0))</f>
        <v/>
      </c>
      <c r="AC181" s="595" t="str">
        <f>IF($A181="","",VLOOKUP($A181,기본데이타!$A$8:$BV$103,COLUMN(기본데이타!AG$8),0))</f>
        <v/>
      </c>
      <c r="AD181" s="596" t="str">
        <f>IF($A181="","",VLOOKUP($A181,기본데이타!$A$8:$BV$103,COLUMN(기본데이타!AH$8),0))</f>
        <v/>
      </c>
      <c r="AE181" s="595" t="str">
        <f>IF($A181="","",VLOOKUP($A181,기본데이타!$A$8:$BV$103,COLUMN(기본데이타!AI$8),0))</f>
        <v/>
      </c>
      <c r="AF181" s="597" t="str">
        <f>IF($A181="","",VLOOKUP($A181,기본데이타!$A$8:$BV$103,COLUMN(기본데이타!AJ$8),0))</f>
        <v/>
      </c>
      <c r="AG181" s="597" t="str">
        <f>IF($A181="","",VLOOKUP($A181,기본데이타!$A$8:$BV$103,COLUMN(기본데이타!AK$8),0))</f>
        <v/>
      </c>
      <c r="AH181" s="597" t="str">
        <f>IF($A181="","",VLOOKUP($A181,기본데이타!$A$8:$BV$103,COLUMN(기본데이타!AL$8),0))</f>
        <v/>
      </c>
      <c r="AI181" s="597" t="str">
        <f>IF($A181="","",VLOOKUP($A181,기본데이타!$A$8:$BV$103,COLUMN(기본데이타!AM$8),0))</f>
        <v/>
      </c>
      <c r="AJ181" s="642" t="str">
        <f>IF($A181="","",VLOOKUP($A181,기본데이타!$A$8:$BV$103,COLUMN(기본데이타!AN$8),0))</f>
        <v/>
      </c>
      <c r="AK181" s="642" t="str">
        <f>IF($A181="","",VLOOKUP($A181,기본데이타!$A$8:$BV$103,COLUMN(기본데이타!AO$8),0))</f>
        <v/>
      </c>
      <c r="AL181" s="642" t="str">
        <f>IF($A181="","",VLOOKUP($A181,기본데이타!$A$8:$BV$103,COLUMN(기본데이타!AP$8),0))</f>
        <v/>
      </c>
      <c r="AM181" s="642" t="str">
        <f>IF($A181="","",VLOOKUP($A181,기본데이타!$A$8:$BV$103,COLUMN(기본데이타!AQ$8),0))</f>
        <v/>
      </c>
      <c r="AN181" s="642" t="str">
        <f>IF($A181="","",VLOOKUP($A181,기본데이타!$A$8:$BV$103,COLUMN(기본데이타!AR$8),0))</f>
        <v/>
      </c>
      <c r="AO181" s="642" t="str">
        <f>IF($A181="","",VLOOKUP($A181,기본데이타!$A$8:$BV$103,COLUMN(기본데이타!AS$8),0))</f>
        <v/>
      </c>
      <c r="AP181" s="642" t="str">
        <f>IF($A181="","",VLOOKUP($A181,기본데이타!$A$8:$BV$103,COLUMN(기본데이타!AT$8),0))</f>
        <v/>
      </c>
      <c r="AQ181" s="642" t="str">
        <f>IF($A181="","",VLOOKUP($A181,기본데이타!$A$8:$BV$103,COLUMN(기본데이타!AU$8),0))</f>
        <v/>
      </c>
      <c r="AR181" s="643" t="str">
        <f>IF($A181="","",VLOOKUP($A181,기본데이타!$A$8:$BV$103,COLUMN(기본데이타!AV$8),0))</f>
        <v/>
      </c>
      <c r="AS181" s="596" t="str">
        <f>IF($A181="","",VLOOKUP($A181,기본데이타!$A$8:$BV$103,COLUMN(기본데이타!AW$8),0))</f>
        <v/>
      </c>
      <c r="AT181" s="596" t="str">
        <f>IF($A181="","",VLOOKUP($A181,기본데이타!$A$8:$BV$103,COLUMN(기본데이타!AX$8),0))</f>
        <v/>
      </c>
      <c r="AU181" s="596" t="str">
        <f>IF($A181="","",VLOOKUP($A181,기본데이타!$A$8:$BV$103,COLUMN(기본데이타!AY$8),0))</f>
        <v/>
      </c>
      <c r="AV181" s="596" t="str">
        <f>IF(AS181="","",SUM(AS181:AU181))</f>
        <v/>
      </c>
      <c r="AW181" s="597" t="str">
        <f>IF($A181="","",VLOOKUP($A181,기본데이타!$A$8:$BV$103,COLUMN(기본데이타!BA$8),0))</f>
        <v/>
      </c>
      <c r="AX181" s="597" t="str">
        <f>IF($A181="","",VLOOKUP($A181,기본데이타!$A$8:$BV$103,COLUMN(기본데이타!BB$8),0))</f>
        <v/>
      </c>
      <c r="AY181" s="597" t="str">
        <f>IF($A181="","",VLOOKUP($A181,기본데이타!$A$8:$BV$103,COLUMN(기본데이타!BC$8),0))</f>
        <v/>
      </c>
      <c r="AZ181" s="597" t="str">
        <f>IF($A181="","",VLOOKUP($A181,기본데이타!$A$8:$BV$103,COLUMN(기본데이타!BD$8),0))</f>
        <v/>
      </c>
      <c r="BA181" s="597" t="str">
        <f>IF($A181="","",VLOOKUP($A181,기본데이타!$A$8:$BV$103,COLUMN(기본데이타!BE$8),0))</f>
        <v/>
      </c>
      <c r="BB181" s="597" t="str">
        <f>IF($A181="","",VLOOKUP($A181,기본데이타!$A$8:$BV$103,COLUMN(기본데이타!BF$8),0))</f>
        <v/>
      </c>
      <c r="BC181" s="597" t="str">
        <f>IF($A181="","",VLOOKUP($A181,기본데이타!$A$8:$BV$103,COLUMN(기본데이타!BG$8),0))</f>
        <v/>
      </c>
      <c r="BD181" s="597" t="str">
        <f>IF($A181="","",VLOOKUP($A181,기본데이타!$A$8:$BV$103,COLUMN(기본데이타!BH$8),0))</f>
        <v/>
      </c>
      <c r="BE181" s="597" t="str">
        <f>IF($A181="","",VLOOKUP($A181,기본데이타!$A$8:$BV$103,COLUMN(기본데이타!BI$8),0))</f>
        <v/>
      </c>
      <c r="BF181" s="597" t="str">
        <f>IF($A181="","",VLOOKUP($A181,기본데이타!$A$8:$BV$103,COLUMN(기본데이타!BJ$8),0))</f>
        <v/>
      </c>
      <c r="BG181" s="597" t="str">
        <f>IF($A181="","",VLOOKUP($A181,기본데이타!$A$8:$BV$103,COLUMN(기본데이타!BK$8),0))</f>
        <v/>
      </c>
      <c r="BH181" s="597" t="str">
        <f>IF($A181="","",VLOOKUP($A181,기본데이타!$A$8:$BV$103,COLUMN(기본데이타!BL$8),0))</f>
        <v/>
      </c>
      <c r="BI181" s="597" t="str">
        <f>IF($A181="","",VLOOKUP($A181,기본데이타!$A$8:$BV$103,COLUMN(기본데이타!BM$8),0))</f>
        <v/>
      </c>
      <c r="BJ181" s="597" t="str">
        <f>IF($A181="","",VLOOKUP($A181,기본데이타!$A$8:$BV$103,COLUMN(기본데이타!BN$8),0))</f>
        <v/>
      </c>
      <c r="BK181" s="597" t="str">
        <f>IF($A181="","",VLOOKUP($A181,기본데이타!$A$8:$BV$103,COLUMN(기본데이타!BO$8),0))</f>
        <v/>
      </c>
      <c r="BL181" s="597" t="str">
        <f>IF($A181="","",VLOOKUP($A181,기본데이타!$A$8:$BV$103,COLUMN(기본데이타!BP$8),0))</f>
        <v/>
      </c>
      <c r="BM181" s="597" t="str">
        <f>IF($A181="","",VLOOKUP($A181,기본데이타!$A$8:$BV$103,COLUMN(기본데이타!BQ$8),0))</f>
        <v/>
      </c>
      <c r="BN181" s="599" t="str">
        <f>IF($A181="","",VLOOKUP($A181,기본데이타!$A$8:$BV$103,COLUMN(기본데이타!BR$8),0))</f>
        <v/>
      </c>
      <c r="BO181" s="600" t="str">
        <f>IF($A181="","",VLOOKUP($A181,기본데이타!$A$8:$BV$103,COLUMN(기본데이타!BS$8),0))</f>
        <v/>
      </c>
      <c r="BP181" s="623" t="str">
        <f>IF($A181="","",VLOOKUP($A181,기본데이타!$A$8:$BV$103,COLUMN(기본데이타!BT$8),0))</f>
        <v/>
      </c>
      <c r="BQ181" s="602" t="str">
        <f>IF($A181="","",VLOOKUP($A181,기본데이타!$A$8:$BV$103,COLUMN(기본데이타!BU$8),0))</f>
        <v/>
      </c>
      <c r="BR181" s="603" t="str">
        <f>IF($A181="","",A181)</f>
        <v/>
      </c>
    </row>
    <row r="182" spans="1:70" s="571" customFormat="1" ht="89.25" hidden="1" customHeight="1">
      <c r="A182" s="578"/>
      <c r="B182" s="1642"/>
      <c r="C182" s="1340"/>
      <c r="D182" s="591" t="str">
        <f>IF($A182="","",VLOOKUP($A182,기본데이타!$A$8:$BV$103,COLUMN(기본데이타!F$8),0))</f>
        <v/>
      </c>
      <c r="E182" s="592" t="str">
        <f>IF($A182="","",VLOOKUP($A182,기본데이타!$A$8:$BV$103,COLUMN(기본데이타!G$8),0))</f>
        <v/>
      </c>
      <c r="F182" s="593" t="str">
        <f>IF($A182="","",VLOOKUP($A182,기본데이타!$A$8:$BV$103,COLUMN(기본데이타!H$8),0))</f>
        <v/>
      </c>
      <c r="G182" s="594" t="str">
        <f>IF($A182="","",VLOOKUP($A182,기본데이타!$A$8:$BV$103,COLUMN(기본데이타!I$8),0))</f>
        <v/>
      </c>
      <c r="H182" s="594" t="str">
        <f>IF($A182="","",VLOOKUP($A182,기본데이타!$A$8:$BV$103,COLUMN(기본데이타!J$8),0))</f>
        <v/>
      </c>
      <c r="I182" s="595" t="str">
        <f>IF($A182="","",VLOOKUP($A182,기본데이타!$A$8:$BV$103,COLUMN(기본데이타!K$8),0))</f>
        <v/>
      </c>
      <c r="J182" s="595" t="str">
        <f>IF($A182="","",VLOOKUP($A182,기본데이타!$A$8:$BV$103,COLUMN(기본데이타!L$8),0))</f>
        <v/>
      </c>
      <c r="K182" s="595" t="str">
        <f>IF($A182="","",VLOOKUP($A182,기본데이타!$A$8:$BV$103,COLUMN(기본데이타!M$8),0))</f>
        <v/>
      </c>
      <c r="L182" s="596" t="str">
        <f>IF($A182="","",VLOOKUP($A182,기본데이타!$A$8:$BV$103,COLUMN(기본데이타!N$8),0))</f>
        <v/>
      </c>
      <c r="M182" s="595" t="str">
        <f>IF($A182="","",VLOOKUP($A182,기본데이타!$A$8:$BV$103,COLUMN(기본데이타!O$8),0))</f>
        <v/>
      </c>
      <c r="N182" s="596" t="str">
        <f>IF($A182="","",VLOOKUP($A182,기본데이타!$A$8:$BV$103,COLUMN(기본데이타!P$8),0))</f>
        <v/>
      </c>
      <c r="O182" s="596" t="str">
        <f>IF($A182="","",VLOOKUP($A182,기본데이타!$A$8:$BV$103,COLUMN(기본데이타!Q$8),0))</f>
        <v/>
      </c>
      <c r="P182" s="596" t="str">
        <f>IF($A182="","",VLOOKUP($A182,기본데이타!$A$8:$BV$103,COLUMN(기본데이타!R$8),0))</f>
        <v/>
      </c>
      <c r="Q182" s="596" t="str">
        <f>IF($A182="","",VLOOKUP($A182,기본데이타!$A$8:$BV$103,COLUMN(기본데이타!S$8),0))</f>
        <v/>
      </c>
      <c r="R182" s="596" t="str">
        <f>IF($A182="","",VLOOKUP($A182,기본데이타!$A$8:$BV$103,COLUMN(기본데이타!T$8),0))</f>
        <v/>
      </c>
      <c r="S182" s="596" t="str">
        <f>IF($A182="","",VLOOKUP($A182,기본데이타!$A$8:$BV$103,COLUMN(기본데이타!U$8),0))</f>
        <v/>
      </c>
      <c r="T182" s="596" t="str">
        <f>IF($A182="","",VLOOKUP($A182,기본데이타!$A$8:$BV$103,COLUMN(기본데이타!V$8),0))</f>
        <v/>
      </c>
      <c r="U182" s="596" t="str">
        <f>IF($A182="","",VLOOKUP($A182,기본데이타!$A$8:$BV$103,COLUMN(기본데이타!W$8),0))</f>
        <v/>
      </c>
      <c r="V182" s="596" t="str">
        <f>IF($A182="","",VLOOKUP($A182,기본데이타!$A$8:$BV$103,COLUMN(기본데이타!X$8),0))</f>
        <v/>
      </c>
      <c r="W182" s="596" t="str">
        <f>IF($A182="","",VLOOKUP($A182,기본데이타!$A$8:$BV$103,COLUMN(기본데이타!AA$8),0))</f>
        <v/>
      </c>
      <c r="X182" s="596" t="str">
        <f>IF($A182="","",VLOOKUP($A182,기본데이타!$A$8:$BV$103,COLUMN(기본데이타!AB$8),0))</f>
        <v/>
      </c>
      <c r="Y182" s="595" t="str">
        <f>IF($A182="","",VLOOKUP($A182,기본데이타!$A$8:$BV$103,COLUMN(기본데이타!AC$8),0))</f>
        <v/>
      </c>
      <c r="Z182" s="596" t="str">
        <f>IF($A182="","",VLOOKUP($A182,기본데이타!$A$8:$BV$103,COLUMN(기본데이타!AD$8),0))</f>
        <v/>
      </c>
      <c r="AA182" s="595" t="str">
        <f>IF($A182="","",VLOOKUP($A182,기본데이타!$A$8:$BV$103,COLUMN(기본데이타!AE$8),0))</f>
        <v/>
      </c>
      <c r="AB182" s="596" t="str">
        <f>IF($A182="","",VLOOKUP($A182,기본데이타!$A$8:$BV$103,COLUMN(기본데이타!AF$8),0))</f>
        <v/>
      </c>
      <c r="AC182" s="595" t="str">
        <f>IF($A182="","",VLOOKUP($A182,기본데이타!$A$8:$BV$103,COLUMN(기본데이타!AG$8),0))</f>
        <v/>
      </c>
      <c r="AD182" s="596" t="str">
        <f>IF($A182="","",VLOOKUP($A182,기본데이타!$A$8:$BV$103,COLUMN(기본데이타!AH$8),0))</f>
        <v/>
      </c>
      <c r="AE182" s="595" t="str">
        <f>IF($A182="","",VLOOKUP($A182,기본데이타!$A$8:$BV$103,COLUMN(기본데이타!AI$8),0))</f>
        <v/>
      </c>
      <c r="AF182" s="597" t="str">
        <f>IF($A182="","",VLOOKUP($A182,기본데이타!$A$8:$BV$103,COLUMN(기본데이타!AJ$8),0))</f>
        <v/>
      </c>
      <c r="AG182" s="597" t="str">
        <f>IF($A182="","",VLOOKUP($A182,기본데이타!$A$8:$BV$103,COLUMN(기본데이타!AK$8),0))</f>
        <v/>
      </c>
      <c r="AH182" s="597" t="str">
        <f>IF($A182="","",VLOOKUP($A182,기본데이타!$A$8:$BV$103,COLUMN(기본데이타!AL$8),0))</f>
        <v/>
      </c>
      <c r="AI182" s="597" t="str">
        <f>IF($A182="","",VLOOKUP($A182,기본데이타!$A$8:$BV$103,COLUMN(기본데이타!AM$8),0))</f>
        <v/>
      </c>
      <c r="AJ182" s="642" t="str">
        <f>IF($A182="","",VLOOKUP($A182,기본데이타!$A$8:$BV$103,COLUMN(기본데이타!AN$8),0))</f>
        <v/>
      </c>
      <c r="AK182" s="642" t="str">
        <f>IF($A182="","",VLOOKUP($A182,기본데이타!$A$8:$BV$103,COLUMN(기본데이타!AO$8),0))</f>
        <v/>
      </c>
      <c r="AL182" s="642" t="str">
        <f>IF($A182="","",VLOOKUP($A182,기본데이타!$A$8:$BV$103,COLUMN(기본데이타!AP$8),0))</f>
        <v/>
      </c>
      <c r="AM182" s="642" t="str">
        <f>IF($A182="","",VLOOKUP($A182,기본데이타!$A$8:$BV$103,COLUMN(기본데이타!AQ$8),0))</f>
        <v/>
      </c>
      <c r="AN182" s="642" t="str">
        <f>IF($A182="","",VLOOKUP($A182,기본데이타!$A$8:$BV$103,COLUMN(기본데이타!AR$8),0))</f>
        <v/>
      </c>
      <c r="AO182" s="642" t="str">
        <f>IF($A182="","",VLOOKUP($A182,기본데이타!$A$8:$BV$103,COLUMN(기본데이타!AS$8),0))</f>
        <v/>
      </c>
      <c r="AP182" s="642" t="str">
        <f>IF($A182="","",VLOOKUP($A182,기본데이타!$A$8:$BV$103,COLUMN(기본데이타!AT$8),0))</f>
        <v/>
      </c>
      <c r="AQ182" s="642" t="str">
        <f>IF($A182="","",VLOOKUP($A182,기본데이타!$A$8:$BV$103,COLUMN(기본데이타!AU$8),0))</f>
        <v/>
      </c>
      <c r="AR182" s="643" t="str">
        <f>IF($A182="","",VLOOKUP($A182,기본데이타!$A$8:$BV$103,COLUMN(기본데이타!AV$8),0))</f>
        <v/>
      </c>
      <c r="AS182" s="596" t="str">
        <f>IF($A182="","",VLOOKUP($A182,기본데이타!$A$8:$BV$103,COLUMN(기본데이타!AW$8),0))</f>
        <v/>
      </c>
      <c r="AT182" s="596" t="str">
        <f>IF($A182="","",VLOOKUP($A182,기본데이타!$A$8:$BV$103,COLUMN(기본데이타!AX$8),0))</f>
        <v/>
      </c>
      <c r="AU182" s="596" t="str">
        <f>IF($A182="","",VLOOKUP($A182,기본데이타!$A$8:$BV$103,COLUMN(기본데이타!AY$8),0))</f>
        <v/>
      </c>
      <c r="AV182" s="596" t="str">
        <f t="shared" si="26"/>
        <v/>
      </c>
      <c r="AW182" s="597" t="str">
        <f>IF($A182="","",VLOOKUP($A182,기본데이타!$A$8:$BV$103,COLUMN(기본데이타!BA$8),0))</f>
        <v/>
      </c>
      <c r="AX182" s="597" t="str">
        <f>IF($A182="","",VLOOKUP($A182,기본데이타!$A$8:$BV$103,COLUMN(기본데이타!BB$8),0))</f>
        <v/>
      </c>
      <c r="AY182" s="597" t="str">
        <f>IF($A182="","",VLOOKUP($A182,기본데이타!$A$8:$BV$103,COLUMN(기본데이타!BC$8),0))</f>
        <v/>
      </c>
      <c r="AZ182" s="597" t="str">
        <f>IF($A182="","",VLOOKUP($A182,기본데이타!$A$8:$BV$103,COLUMN(기본데이타!BD$8),0))</f>
        <v/>
      </c>
      <c r="BA182" s="597" t="str">
        <f>IF($A182="","",VLOOKUP($A182,기본데이타!$A$8:$BV$103,COLUMN(기본데이타!BE$8),0))</f>
        <v/>
      </c>
      <c r="BB182" s="597" t="str">
        <f>IF($A182="","",VLOOKUP($A182,기본데이타!$A$8:$BV$103,COLUMN(기본데이타!BF$8),0))</f>
        <v/>
      </c>
      <c r="BC182" s="597" t="str">
        <f>IF($A182="","",VLOOKUP($A182,기본데이타!$A$8:$BV$103,COLUMN(기본데이타!BG$8),0))</f>
        <v/>
      </c>
      <c r="BD182" s="597" t="str">
        <f>IF($A182="","",VLOOKUP($A182,기본데이타!$A$8:$BV$103,COLUMN(기본데이타!BH$8),0))</f>
        <v/>
      </c>
      <c r="BE182" s="597" t="str">
        <f>IF($A182="","",VLOOKUP($A182,기본데이타!$A$8:$BV$103,COLUMN(기본데이타!BI$8),0))</f>
        <v/>
      </c>
      <c r="BF182" s="597" t="str">
        <f>IF($A182="","",VLOOKUP($A182,기본데이타!$A$8:$BV$103,COLUMN(기본데이타!BJ$8),0))</f>
        <v/>
      </c>
      <c r="BG182" s="597" t="str">
        <f>IF($A182="","",VLOOKUP($A182,기본데이타!$A$8:$BV$103,COLUMN(기본데이타!BK$8),0))</f>
        <v/>
      </c>
      <c r="BH182" s="597" t="str">
        <f>IF($A182="","",VLOOKUP($A182,기본데이타!$A$8:$BV$103,COLUMN(기본데이타!BL$8),0))</f>
        <v/>
      </c>
      <c r="BI182" s="597" t="str">
        <f>IF($A182="","",VLOOKUP($A182,기본데이타!$A$8:$BV$103,COLUMN(기본데이타!BM$8),0))</f>
        <v/>
      </c>
      <c r="BJ182" s="597" t="str">
        <f>IF($A182="","",VLOOKUP($A182,기본데이타!$A$8:$BV$103,COLUMN(기본데이타!BN$8),0))</f>
        <v/>
      </c>
      <c r="BK182" s="597" t="str">
        <f>IF($A182="","",VLOOKUP($A182,기본데이타!$A$8:$BV$103,COLUMN(기본데이타!BO$8),0))</f>
        <v/>
      </c>
      <c r="BL182" s="597" t="str">
        <f>IF($A182="","",VLOOKUP($A182,기본데이타!$A$8:$BV$103,COLUMN(기본데이타!BP$8),0))</f>
        <v/>
      </c>
      <c r="BM182" s="597" t="str">
        <f>IF($A182="","",VLOOKUP($A182,기본데이타!$A$8:$BV$103,COLUMN(기본데이타!BQ$8),0))</f>
        <v/>
      </c>
      <c r="BN182" s="599" t="str">
        <f>IF($A182="","",VLOOKUP($A182,기본데이타!$A$8:$BV$103,COLUMN(기본데이타!BR$8),0))</f>
        <v/>
      </c>
      <c r="BO182" s="600" t="str">
        <f>IF($A182="","",VLOOKUP($A182,기본데이타!$A$8:$BV$103,COLUMN(기본데이타!BS$8),0))</f>
        <v/>
      </c>
      <c r="BP182" s="623" t="str">
        <f>IF($A182="","",VLOOKUP($A182,기본데이타!$A$8:$BV$103,COLUMN(기본데이타!BT$8),0))</f>
        <v/>
      </c>
      <c r="BQ182" s="602" t="str">
        <f>IF($A182="","",VLOOKUP($A182,기본데이타!$A$8:$BV$103,COLUMN(기본데이타!BU$8),0))</f>
        <v/>
      </c>
      <c r="BR182" s="603" t="str">
        <f t="shared" si="27"/>
        <v/>
      </c>
    </row>
    <row r="183" spans="1:70" s="571" customFormat="1" ht="89.25" hidden="1" customHeight="1">
      <c r="A183" s="578"/>
      <c r="B183" s="1642"/>
      <c r="C183" s="1340"/>
      <c r="D183" s="629" t="str">
        <f>IF($A183="","",VLOOKUP($A183,기본데이타!$A$8:$BV$103,COLUMN(기본데이타!F$8),0))</f>
        <v/>
      </c>
      <c r="E183" s="630" t="str">
        <f>IF($A183="","",VLOOKUP($A183,기본데이타!$A$8:$BV$103,COLUMN(기본데이타!G$8),0))</f>
        <v/>
      </c>
      <c r="F183" s="631" t="str">
        <f>IF($A183="","",VLOOKUP($A183,기본데이타!$A$8:$BV$103,COLUMN(기본데이타!H$8),0))</f>
        <v/>
      </c>
      <c r="G183" s="632" t="str">
        <f>IF($A183="","",VLOOKUP($A183,기본데이타!$A$8:$BV$103,COLUMN(기본데이타!I$8),0))</f>
        <v/>
      </c>
      <c r="H183" s="632" t="str">
        <f>IF($A183="","",VLOOKUP($A183,기본데이타!$A$8:$BV$103,COLUMN(기본데이타!J$8),0))</f>
        <v/>
      </c>
      <c r="I183" s="633" t="str">
        <f>IF($A183="","",VLOOKUP($A183,기본데이타!$A$8:$BV$103,COLUMN(기본데이타!K$8),0))</f>
        <v/>
      </c>
      <c r="J183" s="633" t="str">
        <f>IF($A183="","",VLOOKUP($A183,기본데이타!$A$8:$BV$103,COLUMN(기본데이타!L$8),0))</f>
        <v/>
      </c>
      <c r="K183" s="633" t="str">
        <f>IF($A183="","",VLOOKUP($A183,기본데이타!$A$8:$BV$103,COLUMN(기본데이타!M$8),0))</f>
        <v/>
      </c>
      <c r="L183" s="634" t="str">
        <f>IF($A183="","",VLOOKUP($A183,기본데이타!$A$8:$BV$103,COLUMN(기본데이타!N$8),0))</f>
        <v/>
      </c>
      <c r="M183" s="633" t="str">
        <f>IF($A183="","",VLOOKUP($A183,기본데이타!$A$8:$BV$103,COLUMN(기본데이타!O$8),0))</f>
        <v/>
      </c>
      <c r="N183" s="634" t="str">
        <f>IF($A183="","",VLOOKUP($A183,기본데이타!$A$8:$BV$103,COLUMN(기본데이타!P$8),0))</f>
        <v/>
      </c>
      <c r="O183" s="634" t="str">
        <f>IF($A183="","",VLOOKUP($A183,기본데이타!$A$8:$BV$103,COLUMN(기본데이타!Q$8),0))</f>
        <v/>
      </c>
      <c r="P183" s="634" t="str">
        <f>IF($A183="","",VLOOKUP($A183,기본데이타!$A$8:$BV$103,COLUMN(기본데이타!R$8),0))</f>
        <v/>
      </c>
      <c r="Q183" s="634" t="str">
        <f>IF($A183="","",VLOOKUP($A183,기본데이타!$A$8:$BV$103,COLUMN(기본데이타!S$8),0))</f>
        <v/>
      </c>
      <c r="R183" s="634" t="str">
        <f>IF($A183="","",VLOOKUP($A183,기본데이타!$A$8:$BV$103,COLUMN(기본데이타!T$8),0))</f>
        <v/>
      </c>
      <c r="S183" s="634" t="str">
        <f>IF($A183="","",VLOOKUP($A183,기본데이타!$A$8:$BV$103,COLUMN(기본데이타!U$8),0))</f>
        <v/>
      </c>
      <c r="T183" s="634" t="str">
        <f>IF($A183="","",VLOOKUP($A183,기본데이타!$A$8:$BV$103,COLUMN(기본데이타!V$8),0))</f>
        <v/>
      </c>
      <c r="U183" s="634" t="str">
        <f>IF($A183="","",VLOOKUP($A183,기본데이타!$A$8:$BV$103,COLUMN(기본데이타!W$8),0))</f>
        <v/>
      </c>
      <c r="V183" s="634" t="str">
        <f>IF($A183="","",VLOOKUP($A183,기본데이타!$A$8:$BV$103,COLUMN(기본데이타!X$8),0))</f>
        <v/>
      </c>
      <c r="W183" s="634" t="str">
        <f>IF($A183="","",VLOOKUP($A183,기본데이타!$A$8:$BV$103,COLUMN(기본데이타!AA$8),0))</f>
        <v/>
      </c>
      <c r="X183" s="634" t="str">
        <f>IF($A183="","",VLOOKUP($A183,기본데이타!$A$8:$BV$103,COLUMN(기본데이타!AB$8),0))</f>
        <v/>
      </c>
      <c r="Y183" s="633" t="str">
        <f>IF($A183="","",VLOOKUP($A183,기본데이타!$A$8:$BV$103,COLUMN(기본데이타!AC$8),0))</f>
        <v/>
      </c>
      <c r="Z183" s="634" t="str">
        <f>IF($A183="","",VLOOKUP($A183,기본데이타!$A$8:$BV$103,COLUMN(기본데이타!AD$8),0))</f>
        <v/>
      </c>
      <c r="AA183" s="633" t="str">
        <f>IF($A183="","",VLOOKUP($A183,기본데이타!$A$8:$BV$103,COLUMN(기본데이타!AE$8),0))</f>
        <v/>
      </c>
      <c r="AB183" s="634" t="str">
        <f>IF($A183="","",VLOOKUP($A183,기본데이타!$A$8:$BV$103,COLUMN(기본데이타!AF$8),0))</f>
        <v/>
      </c>
      <c r="AC183" s="633" t="str">
        <f>IF($A183="","",VLOOKUP($A183,기본데이타!$A$8:$BV$103,COLUMN(기본데이타!AG$8),0))</f>
        <v/>
      </c>
      <c r="AD183" s="634" t="str">
        <f>IF($A183="","",VLOOKUP($A183,기본데이타!$A$8:$BV$103,COLUMN(기본데이타!AH$8),0))</f>
        <v/>
      </c>
      <c r="AE183" s="633" t="str">
        <f>IF($A183="","",VLOOKUP($A183,기본데이타!$A$8:$BV$103,COLUMN(기본데이타!AI$8),0))</f>
        <v/>
      </c>
      <c r="AF183" s="635" t="str">
        <f>IF($A183="","",VLOOKUP($A183,기본데이타!$A$8:$BV$103,COLUMN(기본데이타!AJ$8),0))</f>
        <v/>
      </c>
      <c r="AG183" s="635" t="str">
        <f>IF($A183="","",VLOOKUP($A183,기본데이타!$A$8:$BV$103,COLUMN(기본데이타!AK$8),0))</f>
        <v/>
      </c>
      <c r="AH183" s="635" t="str">
        <f>IF($A183="","",VLOOKUP($A183,기본데이타!$A$8:$BV$103,COLUMN(기본데이타!AL$8),0))</f>
        <v/>
      </c>
      <c r="AI183" s="635" t="str">
        <f>IF($A183="","",VLOOKUP($A183,기본데이타!$A$8:$BV$103,COLUMN(기본데이타!AM$8),0))</f>
        <v/>
      </c>
      <c r="AJ183" s="636" t="str">
        <f>IF($A183="","",VLOOKUP($A183,기본데이타!$A$8:$BV$103,COLUMN(기본데이타!AN$8),0))</f>
        <v/>
      </c>
      <c r="AK183" s="636" t="str">
        <f>IF($A183="","",VLOOKUP($A183,기본데이타!$A$8:$BV$103,COLUMN(기본데이타!AO$8),0))</f>
        <v/>
      </c>
      <c r="AL183" s="636" t="str">
        <f>IF($A183="","",VLOOKUP($A183,기본데이타!$A$8:$BV$103,COLUMN(기본데이타!AP$8),0))</f>
        <v/>
      </c>
      <c r="AM183" s="636" t="str">
        <f>IF($A183="","",VLOOKUP($A183,기본데이타!$A$8:$BV$103,COLUMN(기본데이타!AQ$8),0))</f>
        <v/>
      </c>
      <c r="AN183" s="636" t="str">
        <f>IF($A183="","",VLOOKUP($A183,기본데이타!$A$8:$BV$103,COLUMN(기본데이타!AR$8),0))</f>
        <v/>
      </c>
      <c r="AO183" s="636" t="str">
        <f>IF($A183="","",VLOOKUP($A183,기본데이타!$A$8:$BV$103,COLUMN(기본데이타!AS$8),0))</f>
        <v/>
      </c>
      <c r="AP183" s="636" t="str">
        <f>IF($A183="","",VLOOKUP($A183,기본데이타!$A$8:$BV$103,COLUMN(기본데이타!AT$8),0))</f>
        <v/>
      </c>
      <c r="AQ183" s="636" t="str">
        <f>IF($A183="","",VLOOKUP($A183,기본데이타!$A$8:$BV$103,COLUMN(기본데이타!AU$8),0))</f>
        <v/>
      </c>
      <c r="AR183" s="637" t="str">
        <f>IF($A183="","",VLOOKUP($A183,기본데이타!$A$8:$BV$103,COLUMN(기본데이타!AV$8),0))</f>
        <v/>
      </c>
      <c r="AS183" s="634" t="str">
        <f>IF($A183="","",VLOOKUP($A183,기본데이타!$A$8:$BV$103,COLUMN(기본데이타!AW$8),0))</f>
        <v/>
      </c>
      <c r="AT183" s="634" t="str">
        <f>IF($A183="","",VLOOKUP($A183,기본데이타!$A$8:$BV$103,COLUMN(기본데이타!AX$8),0))</f>
        <v/>
      </c>
      <c r="AU183" s="634" t="str">
        <f>IF($A183="","",VLOOKUP($A183,기본데이타!$A$8:$BV$103,COLUMN(기본데이타!AY$8),0))</f>
        <v/>
      </c>
      <c r="AV183" s="634" t="str">
        <f t="shared" si="26"/>
        <v/>
      </c>
      <c r="AW183" s="635" t="str">
        <f>IF($A183="","",VLOOKUP($A183,기본데이타!$A$8:$BV$103,COLUMN(기본데이타!BA$8),0))</f>
        <v/>
      </c>
      <c r="AX183" s="635" t="str">
        <f>IF($A183="","",VLOOKUP($A183,기본데이타!$A$8:$BV$103,COLUMN(기본데이타!BB$8),0))</f>
        <v/>
      </c>
      <c r="AY183" s="635" t="str">
        <f>IF($A183="","",VLOOKUP($A183,기본데이타!$A$8:$BV$103,COLUMN(기본데이타!BC$8),0))</f>
        <v/>
      </c>
      <c r="AZ183" s="635" t="str">
        <f>IF($A183="","",VLOOKUP($A183,기본데이타!$A$8:$BV$103,COLUMN(기본데이타!BD$8),0))</f>
        <v/>
      </c>
      <c r="BA183" s="635" t="str">
        <f>IF($A183="","",VLOOKUP($A183,기본데이타!$A$8:$BV$103,COLUMN(기본데이타!BE$8),0))</f>
        <v/>
      </c>
      <c r="BB183" s="635" t="str">
        <f>IF($A183="","",VLOOKUP($A183,기본데이타!$A$8:$BV$103,COLUMN(기본데이타!BF$8),0))</f>
        <v/>
      </c>
      <c r="BC183" s="635" t="str">
        <f>IF($A183="","",VLOOKUP($A183,기본데이타!$A$8:$BV$103,COLUMN(기본데이타!BG$8),0))</f>
        <v/>
      </c>
      <c r="BD183" s="635" t="str">
        <f>IF($A183="","",VLOOKUP($A183,기본데이타!$A$8:$BV$103,COLUMN(기본데이타!BH$8),0))</f>
        <v/>
      </c>
      <c r="BE183" s="635" t="str">
        <f>IF($A183="","",VLOOKUP($A183,기본데이타!$A$8:$BV$103,COLUMN(기본데이타!BI$8),0))</f>
        <v/>
      </c>
      <c r="BF183" s="635" t="str">
        <f>IF($A183="","",VLOOKUP($A183,기본데이타!$A$8:$BV$103,COLUMN(기본데이타!BJ$8),0))</f>
        <v/>
      </c>
      <c r="BG183" s="635" t="str">
        <f>IF($A183="","",VLOOKUP($A183,기본데이타!$A$8:$BV$103,COLUMN(기본데이타!BK$8),0))</f>
        <v/>
      </c>
      <c r="BH183" s="635" t="str">
        <f>IF($A183="","",VLOOKUP($A183,기본데이타!$A$8:$BV$103,COLUMN(기본데이타!BL$8),0))</f>
        <v/>
      </c>
      <c r="BI183" s="635" t="str">
        <f>IF($A183="","",VLOOKUP($A183,기본데이타!$A$8:$BV$103,COLUMN(기본데이타!BM$8),0))</f>
        <v/>
      </c>
      <c r="BJ183" s="635" t="str">
        <f>IF($A183="","",VLOOKUP($A183,기본데이타!$A$8:$BV$103,COLUMN(기본데이타!BN$8),0))</f>
        <v/>
      </c>
      <c r="BK183" s="635" t="str">
        <f>IF($A183="","",VLOOKUP($A183,기본데이타!$A$8:$BV$103,COLUMN(기본데이타!BO$8),0))</f>
        <v/>
      </c>
      <c r="BL183" s="635" t="str">
        <f>IF($A183="","",VLOOKUP($A183,기본데이타!$A$8:$BV$103,COLUMN(기본데이타!BP$8),0))</f>
        <v/>
      </c>
      <c r="BM183" s="635" t="str">
        <f>IF($A183="","",VLOOKUP($A183,기본데이타!$A$8:$BV$103,COLUMN(기본데이타!BQ$8),0))</f>
        <v/>
      </c>
      <c r="BN183" s="638" t="str">
        <f>IF($A183="","",VLOOKUP($A183,기본데이타!$A$8:$BV$103,COLUMN(기본데이타!BR$8),0))</f>
        <v/>
      </c>
      <c r="BO183" s="579" t="str">
        <f>IF($A183="","",VLOOKUP($A183,기본데이타!$A$8:$BV$103,COLUMN(기본데이타!BS$8),0))</f>
        <v/>
      </c>
      <c r="BP183" s="639" t="str">
        <f>IF($A183="","",VLOOKUP($A183,기본데이타!$A$8:$BV$103,COLUMN(기본데이타!BT$8),0))</f>
        <v/>
      </c>
      <c r="BQ183" s="640" t="str">
        <f>IF($A183="","",VLOOKUP($A183,기본데이타!$A$8:$BV$103,COLUMN(기본데이타!BU$8),0))</f>
        <v/>
      </c>
      <c r="BR183" s="625" t="str">
        <f t="shared" si="27"/>
        <v/>
      </c>
    </row>
    <row r="184" spans="1:70" s="571" customFormat="1" ht="89.25" hidden="1" customHeight="1">
      <c r="A184" s="578"/>
      <c r="B184" s="1642"/>
      <c r="C184" s="1341"/>
      <c r="D184" s="629" t="str">
        <f>IF($A184="","",VLOOKUP($A184,기본데이타!$A$8:$BV$103,COLUMN(기본데이타!F$8),0))</f>
        <v/>
      </c>
      <c r="E184" s="630" t="str">
        <f>IF($A184="","",VLOOKUP($A184,기본데이타!$A$8:$BV$103,COLUMN(기본데이타!G$8),0))</f>
        <v/>
      </c>
      <c r="F184" s="631" t="str">
        <f>IF($A184="","",VLOOKUP($A184,기본데이타!$A$8:$BV$103,COLUMN(기본데이타!H$8),0))</f>
        <v/>
      </c>
      <c r="G184" s="632" t="str">
        <f>IF($A184="","",VLOOKUP($A184,기본데이타!$A$8:$BV$103,COLUMN(기본데이타!I$8),0))</f>
        <v/>
      </c>
      <c r="H184" s="632" t="str">
        <f>IF($A184="","",VLOOKUP($A184,기본데이타!$A$8:$BV$103,COLUMN(기본데이타!J$8),0))</f>
        <v/>
      </c>
      <c r="I184" s="633" t="str">
        <f>IF($A184="","",VLOOKUP($A184,기본데이타!$A$8:$BV$103,COLUMN(기본데이타!K$8),0))</f>
        <v/>
      </c>
      <c r="J184" s="633" t="str">
        <f>IF($A184="","",VLOOKUP($A184,기본데이타!$A$8:$BV$103,COLUMN(기본데이타!L$8),0))</f>
        <v/>
      </c>
      <c r="K184" s="633" t="str">
        <f>IF($A184="","",VLOOKUP($A184,기본데이타!$A$8:$BV$103,COLUMN(기본데이타!M$8),0))</f>
        <v/>
      </c>
      <c r="L184" s="634" t="str">
        <f>IF($A184="","",VLOOKUP($A184,기본데이타!$A$8:$BV$103,COLUMN(기본데이타!N$8),0))</f>
        <v/>
      </c>
      <c r="M184" s="633" t="str">
        <f>IF($A184="","",VLOOKUP($A184,기본데이타!$A$8:$BV$103,COLUMN(기본데이타!O$8),0))</f>
        <v/>
      </c>
      <c r="N184" s="634" t="str">
        <f>IF($A184="","",VLOOKUP($A184,기본데이타!$A$8:$BV$103,COLUMN(기본데이타!P$8),0))</f>
        <v/>
      </c>
      <c r="O184" s="634" t="str">
        <f>IF($A184="","",VLOOKUP($A184,기본데이타!$A$8:$BV$103,COLUMN(기본데이타!Q$8),0))</f>
        <v/>
      </c>
      <c r="P184" s="634" t="str">
        <f>IF($A184="","",VLOOKUP($A184,기본데이타!$A$8:$BV$103,COLUMN(기본데이타!R$8),0))</f>
        <v/>
      </c>
      <c r="Q184" s="634" t="str">
        <f>IF($A184="","",VLOOKUP($A184,기본데이타!$A$8:$BV$103,COLUMN(기본데이타!S$8),0))</f>
        <v/>
      </c>
      <c r="R184" s="634" t="str">
        <f>IF($A184="","",VLOOKUP($A184,기본데이타!$A$8:$BV$103,COLUMN(기본데이타!T$8),0))</f>
        <v/>
      </c>
      <c r="S184" s="634" t="str">
        <f>IF($A184="","",VLOOKUP($A184,기본데이타!$A$8:$BV$103,COLUMN(기본데이타!U$8),0))</f>
        <v/>
      </c>
      <c r="T184" s="634" t="str">
        <f>IF($A184="","",VLOOKUP($A184,기본데이타!$A$8:$BV$103,COLUMN(기본데이타!V$8),0))</f>
        <v/>
      </c>
      <c r="U184" s="634" t="str">
        <f>IF($A184="","",VLOOKUP($A184,기본데이타!$A$8:$BV$103,COLUMN(기본데이타!W$8),0))</f>
        <v/>
      </c>
      <c r="V184" s="634" t="str">
        <f>IF($A184="","",VLOOKUP($A184,기본데이타!$A$8:$BV$103,COLUMN(기본데이타!X$8),0))</f>
        <v/>
      </c>
      <c r="W184" s="634" t="str">
        <f>IF($A184="","",VLOOKUP($A184,기본데이타!$A$8:$BV$103,COLUMN(기본데이타!AA$8),0))</f>
        <v/>
      </c>
      <c r="X184" s="634" t="str">
        <f>IF($A184="","",VLOOKUP($A184,기본데이타!$A$8:$BV$103,COLUMN(기본데이타!AB$8),0))</f>
        <v/>
      </c>
      <c r="Y184" s="633" t="str">
        <f>IF($A184="","",VLOOKUP($A184,기본데이타!$A$8:$BV$103,COLUMN(기본데이타!AC$8),0))</f>
        <v/>
      </c>
      <c r="Z184" s="634" t="str">
        <f>IF($A184="","",VLOOKUP($A184,기본데이타!$A$8:$BV$103,COLUMN(기본데이타!AD$8),0))</f>
        <v/>
      </c>
      <c r="AA184" s="633" t="str">
        <f>IF($A184="","",VLOOKUP($A184,기본데이타!$A$8:$BV$103,COLUMN(기본데이타!AE$8),0))</f>
        <v/>
      </c>
      <c r="AB184" s="634" t="str">
        <f>IF($A184="","",VLOOKUP($A184,기본데이타!$A$8:$BV$103,COLUMN(기본데이타!AF$8),0))</f>
        <v/>
      </c>
      <c r="AC184" s="633" t="str">
        <f>IF($A184="","",VLOOKUP($A184,기본데이타!$A$8:$BV$103,COLUMN(기본데이타!AG$8),0))</f>
        <v/>
      </c>
      <c r="AD184" s="634" t="str">
        <f>IF($A184="","",VLOOKUP($A184,기본데이타!$A$8:$BV$103,COLUMN(기본데이타!AH$8),0))</f>
        <v/>
      </c>
      <c r="AE184" s="633" t="str">
        <f>IF($A184="","",VLOOKUP($A184,기본데이타!$A$8:$BV$103,COLUMN(기본데이타!AI$8),0))</f>
        <v/>
      </c>
      <c r="AF184" s="635" t="str">
        <f>IF($A184="","",VLOOKUP($A184,기본데이타!$A$8:$BV$103,COLUMN(기본데이타!AJ$8),0))</f>
        <v/>
      </c>
      <c r="AG184" s="635" t="str">
        <f>IF($A184="","",VLOOKUP($A184,기본데이타!$A$8:$BV$103,COLUMN(기본데이타!AK$8),0))</f>
        <v/>
      </c>
      <c r="AH184" s="635" t="str">
        <f>IF($A184="","",VLOOKUP($A184,기본데이타!$A$8:$BV$103,COLUMN(기본데이타!AL$8),0))</f>
        <v/>
      </c>
      <c r="AI184" s="635" t="str">
        <f>IF($A184="","",VLOOKUP($A184,기본데이타!$A$8:$BV$103,COLUMN(기본데이타!AM$8),0))</f>
        <v/>
      </c>
      <c r="AJ184" s="636" t="str">
        <f>IF($A184="","",VLOOKUP($A184,기본데이타!$A$8:$BV$103,COLUMN(기본데이타!AN$8),0))</f>
        <v/>
      </c>
      <c r="AK184" s="636" t="str">
        <f>IF($A184="","",VLOOKUP($A184,기본데이타!$A$8:$BV$103,COLUMN(기본데이타!AO$8),0))</f>
        <v/>
      </c>
      <c r="AL184" s="636" t="str">
        <f>IF($A184="","",VLOOKUP($A184,기본데이타!$A$8:$BV$103,COLUMN(기본데이타!AP$8),0))</f>
        <v/>
      </c>
      <c r="AM184" s="636" t="str">
        <f>IF($A184="","",VLOOKUP($A184,기본데이타!$A$8:$BV$103,COLUMN(기본데이타!AQ$8),0))</f>
        <v/>
      </c>
      <c r="AN184" s="636" t="str">
        <f>IF($A184="","",VLOOKUP($A184,기본데이타!$A$8:$BV$103,COLUMN(기본데이타!AR$8),0))</f>
        <v/>
      </c>
      <c r="AO184" s="636" t="str">
        <f>IF($A184="","",VLOOKUP($A184,기본데이타!$A$8:$BV$103,COLUMN(기본데이타!AS$8),0))</f>
        <v/>
      </c>
      <c r="AP184" s="636" t="str">
        <f>IF($A184="","",VLOOKUP($A184,기본데이타!$A$8:$BV$103,COLUMN(기본데이타!AT$8),0))</f>
        <v/>
      </c>
      <c r="AQ184" s="636" t="str">
        <f>IF($A184="","",VLOOKUP($A184,기본데이타!$A$8:$BV$103,COLUMN(기본데이타!AU$8),0))</f>
        <v/>
      </c>
      <c r="AR184" s="637" t="str">
        <f>IF($A184="","",VLOOKUP($A184,기본데이타!$A$8:$BV$103,COLUMN(기본데이타!AV$8),0))</f>
        <v/>
      </c>
      <c r="AS184" s="634" t="str">
        <f>IF($A184="","",VLOOKUP($A184,기본데이타!$A$8:$BV$103,COLUMN(기본데이타!AW$8),0))</f>
        <v/>
      </c>
      <c r="AT184" s="634" t="str">
        <f>IF($A184="","",VLOOKUP($A184,기본데이타!$A$8:$BV$103,COLUMN(기본데이타!AX$8),0))</f>
        <v/>
      </c>
      <c r="AU184" s="634" t="str">
        <f>IF($A184="","",VLOOKUP($A184,기본데이타!$A$8:$BV$103,COLUMN(기본데이타!AY$8),0))</f>
        <v/>
      </c>
      <c r="AV184" s="634" t="str">
        <f t="shared" si="26"/>
        <v/>
      </c>
      <c r="AW184" s="635" t="str">
        <f>IF($A184="","",VLOOKUP($A184,기본데이타!$A$8:$BV$103,COLUMN(기본데이타!BA$8),0))</f>
        <v/>
      </c>
      <c r="AX184" s="635" t="str">
        <f>IF($A184="","",VLOOKUP($A184,기본데이타!$A$8:$BV$103,COLUMN(기본데이타!BB$8),0))</f>
        <v/>
      </c>
      <c r="AY184" s="635" t="str">
        <f>IF($A184="","",VLOOKUP($A184,기본데이타!$A$8:$BV$103,COLUMN(기본데이타!BC$8),0))</f>
        <v/>
      </c>
      <c r="AZ184" s="635" t="str">
        <f>IF($A184="","",VLOOKUP($A184,기본데이타!$A$8:$BV$103,COLUMN(기본데이타!BD$8),0))</f>
        <v/>
      </c>
      <c r="BA184" s="635" t="str">
        <f>IF($A184="","",VLOOKUP($A184,기본데이타!$A$8:$BV$103,COLUMN(기본데이타!BE$8),0))</f>
        <v/>
      </c>
      <c r="BB184" s="635" t="str">
        <f>IF($A184="","",VLOOKUP($A184,기본데이타!$A$8:$BV$103,COLUMN(기본데이타!BF$8),0))</f>
        <v/>
      </c>
      <c r="BC184" s="635" t="str">
        <f>IF($A184="","",VLOOKUP($A184,기본데이타!$A$8:$BV$103,COLUMN(기본데이타!BG$8),0))</f>
        <v/>
      </c>
      <c r="BD184" s="635" t="str">
        <f>IF($A184="","",VLOOKUP($A184,기본데이타!$A$8:$BV$103,COLUMN(기본데이타!BH$8),0))</f>
        <v/>
      </c>
      <c r="BE184" s="635" t="str">
        <f>IF($A184="","",VLOOKUP($A184,기본데이타!$A$8:$BV$103,COLUMN(기본데이타!BI$8),0))</f>
        <v/>
      </c>
      <c r="BF184" s="635" t="str">
        <f>IF($A184="","",VLOOKUP($A184,기본데이타!$A$8:$BV$103,COLUMN(기본데이타!BJ$8),0))</f>
        <v/>
      </c>
      <c r="BG184" s="635" t="str">
        <f>IF($A184="","",VLOOKUP($A184,기본데이타!$A$8:$BV$103,COLUMN(기본데이타!BK$8),0))</f>
        <v/>
      </c>
      <c r="BH184" s="635" t="str">
        <f>IF($A184="","",VLOOKUP($A184,기본데이타!$A$8:$BV$103,COLUMN(기본데이타!BL$8),0))</f>
        <v/>
      </c>
      <c r="BI184" s="635" t="str">
        <f>IF($A184="","",VLOOKUP($A184,기본데이타!$A$8:$BV$103,COLUMN(기본데이타!BM$8),0))</f>
        <v/>
      </c>
      <c r="BJ184" s="635" t="str">
        <f>IF($A184="","",VLOOKUP($A184,기본데이타!$A$8:$BV$103,COLUMN(기본데이타!BN$8),0))</f>
        <v/>
      </c>
      <c r="BK184" s="635" t="str">
        <f>IF($A184="","",VLOOKUP($A184,기본데이타!$A$8:$BV$103,COLUMN(기본데이타!BO$8),0))</f>
        <v/>
      </c>
      <c r="BL184" s="635" t="str">
        <f>IF($A184="","",VLOOKUP($A184,기본데이타!$A$8:$BV$103,COLUMN(기본데이타!BP$8),0))</f>
        <v/>
      </c>
      <c r="BM184" s="635" t="str">
        <f>IF($A184="","",VLOOKUP($A184,기본데이타!$A$8:$BV$103,COLUMN(기본데이타!BQ$8),0))</f>
        <v/>
      </c>
      <c r="BN184" s="638" t="str">
        <f>IF($A184="","",VLOOKUP($A184,기본데이타!$A$8:$BV$103,COLUMN(기본데이타!BR$8),0))</f>
        <v/>
      </c>
      <c r="BO184" s="579" t="str">
        <f>IF($A184="","",VLOOKUP($A184,기본데이타!$A$8:$BV$103,COLUMN(기본데이타!BS$8),0))</f>
        <v/>
      </c>
      <c r="BP184" s="639" t="str">
        <f>IF($A184="","",VLOOKUP($A184,기본데이타!$A$8:$BV$103,COLUMN(기본데이타!BT$8),0))</f>
        <v/>
      </c>
      <c r="BQ184" s="640" t="str">
        <f>IF($A184="","",VLOOKUP($A184,기본데이타!$A$8:$BV$103,COLUMN(기본데이타!BU$8),0))</f>
        <v/>
      </c>
      <c r="BR184" s="625" t="str">
        <f t="shared" si="27"/>
        <v/>
      </c>
    </row>
    <row r="185" spans="1:70" s="571" customFormat="1" ht="89.25" hidden="1" customHeight="1">
      <c r="A185" s="578"/>
      <c r="B185" s="1642"/>
      <c r="C185" s="590"/>
      <c r="D185" s="629" t="str">
        <f>IF($A185="","",VLOOKUP($A185,기본데이타!$A$8:$BV$103,COLUMN(기본데이타!F$8),0))</f>
        <v/>
      </c>
      <c r="E185" s="630" t="str">
        <f>IF($A185="","",VLOOKUP($A185,기본데이타!$A$8:$BV$103,COLUMN(기본데이타!G$8),0))</f>
        <v/>
      </c>
      <c r="F185" s="631" t="str">
        <f>IF($A185="","",VLOOKUP($A185,기본데이타!$A$8:$BV$103,COLUMN(기본데이타!H$8),0))</f>
        <v/>
      </c>
      <c r="G185" s="632" t="str">
        <f>IF($A185="","",VLOOKUP($A185,기본데이타!$A$8:$BV$103,COLUMN(기본데이타!I$8),0))</f>
        <v/>
      </c>
      <c r="H185" s="632" t="str">
        <f>IF($A185="","",VLOOKUP($A185,기본데이타!$A$8:$BV$103,COLUMN(기본데이타!J$8),0))</f>
        <v/>
      </c>
      <c r="I185" s="633" t="str">
        <f>IF($A185="","",VLOOKUP($A185,기본데이타!$A$8:$BV$103,COLUMN(기본데이타!K$8),0))</f>
        <v/>
      </c>
      <c r="J185" s="633" t="str">
        <f>IF($A185="","",VLOOKUP($A185,기본데이타!$A$8:$BV$103,COLUMN(기본데이타!L$8),0))</f>
        <v/>
      </c>
      <c r="K185" s="633" t="str">
        <f>IF($A185="","",VLOOKUP($A185,기본데이타!$A$8:$BV$103,COLUMN(기본데이타!M$8),0))</f>
        <v/>
      </c>
      <c r="L185" s="634" t="str">
        <f>IF($A185="","",VLOOKUP($A185,기본데이타!$A$8:$BV$103,COLUMN(기본데이타!N$8),0))</f>
        <v/>
      </c>
      <c r="M185" s="633" t="str">
        <f>IF($A185="","",VLOOKUP($A185,기본데이타!$A$8:$BV$103,COLUMN(기본데이타!O$8),0))</f>
        <v/>
      </c>
      <c r="N185" s="634" t="str">
        <f>IF($A185="","",VLOOKUP($A185,기본데이타!$A$8:$BV$103,COLUMN(기본데이타!P$8),0))</f>
        <v/>
      </c>
      <c r="O185" s="634" t="str">
        <f>IF($A185="","",VLOOKUP($A185,기본데이타!$A$8:$BV$103,COLUMN(기본데이타!Q$8),0))</f>
        <v/>
      </c>
      <c r="P185" s="634" t="str">
        <f>IF($A185="","",VLOOKUP($A185,기본데이타!$A$8:$BV$103,COLUMN(기본데이타!R$8),0))</f>
        <v/>
      </c>
      <c r="Q185" s="634" t="str">
        <f>IF($A185="","",VLOOKUP($A185,기본데이타!$A$8:$BV$103,COLUMN(기본데이타!S$8),0))</f>
        <v/>
      </c>
      <c r="R185" s="634" t="str">
        <f>IF($A185="","",VLOOKUP($A185,기본데이타!$A$8:$BV$103,COLUMN(기본데이타!T$8),0))</f>
        <v/>
      </c>
      <c r="S185" s="634" t="str">
        <f>IF($A185="","",VLOOKUP($A185,기본데이타!$A$8:$BV$103,COLUMN(기본데이타!U$8),0))</f>
        <v/>
      </c>
      <c r="T185" s="634" t="str">
        <f>IF($A185="","",VLOOKUP($A185,기본데이타!$A$8:$BV$103,COLUMN(기본데이타!V$8),0))</f>
        <v/>
      </c>
      <c r="U185" s="634" t="str">
        <f>IF($A185="","",VLOOKUP($A185,기본데이타!$A$8:$BV$103,COLUMN(기본데이타!W$8),0))</f>
        <v/>
      </c>
      <c r="V185" s="634" t="str">
        <f>IF($A185="","",VLOOKUP($A185,기본데이타!$A$8:$BV$103,COLUMN(기본데이타!X$8),0))</f>
        <v/>
      </c>
      <c r="W185" s="634" t="str">
        <f>IF($A185="","",VLOOKUP($A185,기본데이타!$A$8:$BV$103,COLUMN(기본데이타!AA$8),0))</f>
        <v/>
      </c>
      <c r="X185" s="634" t="str">
        <f>IF($A185="","",VLOOKUP($A185,기본데이타!$A$8:$BV$103,COLUMN(기본데이타!AB$8),0))</f>
        <v/>
      </c>
      <c r="Y185" s="633" t="str">
        <f>IF($A185="","",VLOOKUP($A185,기본데이타!$A$8:$BV$103,COLUMN(기본데이타!AC$8),0))</f>
        <v/>
      </c>
      <c r="Z185" s="634" t="str">
        <f>IF($A185="","",VLOOKUP($A185,기본데이타!$A$8:$BV$103,COLUMN(기본데이타!AD$8),0))</f>
        <v/>
      </c>
      <c r="AA185" s="633" t="str">
        <f>IF($A185="","",VLOOKUP($A185,기본데이타!$A$8:$BV$103,COLUMN(기본데이타!AE$8),0))</f>
        <v/>
      </c>
      <c r="AB185" s="634" t="str">
        <f>IF($A185="","",VLOOKUP($A185,기본데이타!$A$8:$BV$103,COLUMN(기본데이타!AF$8),0))</f>
        <v/>
      </c>
      <c r="AC185" s="633" t="str">
        <f>IF($A185="","",VLOOKUP($A185,기본데이타!$A$8:$BV$103,COLUMN(기본데이타!AG$8),0))</f>
        <v/>
      </c>
      <c r="AD185" s="634" t="str">
        <f>IF($A185="","",VLOOKUP($A185,기본데이타!$A$8:$BV$103,COLUMN(기본데이타!AH$8),0))</f>
        <v/>
      </c>
      <c r="AE185" s="633" t="str">
        <f>IF($A185="","",VLOOKUP($A185,기본데이타!$A$8:$BV$103,COLUMN(기본데이타!AI$8),0))</f>
        <v/>
      </c>
      <c r="AF185" s="635" t="str">
        <f>IF($A185="","",VLOOKUP($A185,기본데이타!$A$8:$BV$103,COLUMN(기본데이타!AJ$8),0))</f>
        <v/>
      </c>
      <c r="AG185" s="580" t="str">
        <f>IF($A185="","",VLOOKUP($A185,기본데이타!$A$8:$BV$103,COLUMN(기본데이타!AK$8),0))</f>
        <v/>
      </c>
      <c r="AH185" s="580" t="str">
        <f>IF($A185="","",VLOOKUP($A185,기본데이타!$A$8:$BV$103,COLUMN(기본데이타!AL$8),0))</f>
        <v/>
      </c>
      <c r="AI185" s="580" t="str">
        <f>IF($A185="","",VLOOKUP($A185,기본데이타!$A$8:$BV$103,COLUMN(기본데이타!AM$8),0))</f>
        <v/>
      </c>
      <c r="AJ185" s="636" t="str">
        <f>IF($A185="","",VLOOKUP($A185,기본데이타!$A$8:$BV$103,COLUMN(기본데이타!AN$8),0))</f>
        <v/>
      </c>
      <c r="AK185" s="636" t="str">
        <f>IF($A185="","",VLOOKUP($A185,기본데이타!$A$8:$BV$103,COLUMN(기본데이타!AO$8),0))</f>
        <v/>
      </c>
      <c r="AL185" s="636" t="str">
        <f>IF($A185="","",VLOOKUP($A185,기본데이타!$A$8:$BV$103,COLUMN(기본데이타!AP$8),0))</f>
        <v/>
      </c>
      <c r="AM185" s="636" t="str">
        <f>IF($A185="","",VLOOKUP($A185,기본데이타!$A$8:$BV$103,COLUMN(기본데이타!AQ$8),0))</f>
        <v/>
      </c>
      <c r="AN185" s="636" t="str">
        <f>IF($A185="","",VLOOKUP($A185,기본데이타!$A$8:$BV$103,COLUMN(기본데이타!AR$8),0))</f>
        <v/>
      </c>
      <c r="AO185" s="636" t="str">
        <f>IF($A185="","",VLOOKUP($A185,기본데이타!$A$8:$BV$103,COLUMN(기본데이타!AS$8),0))</f>
        <v/>
      </c>
      <c r="AP185" s="636" t="str">
        <f>IF($A185="","",VLOOKUP($A185,기본데이타!$A$8:$BV$103,COLUMN(기본데이타!AT$8),0))</f>
        <v/>
      </c>
      <c r="AQ185" s="636" t="str">
        <f>IF($A185="","",VLOOKUP($A185,기본데이타!$A$8:$BV$103,COLUMN(기본데이타!AU$8),0))</f>
        <v/>
      </c>
      <c r="AR185" s="637" t="str">
        <f>IF($A185="","",VLOOKUP($A185,기본데이타!$A$8:$BV$103,COLUMN(기본데이타!AV$8),0))</f>
        <v/>
      </c>
      <c r="AS185" s="634" t="str">
        <f>IF($A185="","",VLOOKUP($A185,기본데이타!$A$8:$BV$103,COLUMN(기본데이타!AW$8),0))</f>
        <v/>
      </c>
      <c r="AT185" s="634" t="str">
        <f>IF($A185="","",VLOOKUP($A185,기본데이타!$A$8:$BV$103,COLUMN(기본데이타!AX$8),0))</f>
        <v/>
      </c>
      <c r="AU185" s="634" t="str">
        <f>IF($A185="","",VLOOKUP($A185,기본데이타!$A$8:$BV$103,COLUMN(기본데이타!AY$8),0))</f>
        <v/>
      </c>
      <c r="AV185" s="634" t="str">
        <f t="shared" si="26"/>
        <v/>
      </c>
      <c r="AW185" s="635" t="str">
        <f>IF($A185="","",VLOOKUP($A185,기본데이타!$A$8:$BV$103,COLUMN(기본데이타!BA$8),0))</f>
        <v/>
      </c>
      <c r="AX185" s="635" t="str">
        <f>IF($A185="","",VLOOKUP($A185,기본데이타!$A$8:$BV$103,COLUMN(기본데이타!BB$8),0))</f>
        <v/>
      </c>
      <c r="AY185" s="635" t="str">
        <f>IF($A185="","",VLOOKUP($A185,기본데이타!$A$8:$BV$103,COLUMN(기본데이타!BC$8),0))</f>
        <v/>
      </c>
      <c r="AZ185" s="635" t="str">
        <f>IF($A185="","",VLOOKUP($A185,기본데이타!$A$8:$BV$103,COLUMN(기본데이타!BD$8),0))</f>
        <v/>
      </c>
      <c r="BA185" s="635" t="str">
        <f>IF($A185="","",VLOOKUP($A185,기본데이타!$A$8:$BV$103,COLUMN(기본데이타!BE$8),0))</f>
        <v/>
      </c>
      <c r="BB185" s="635" t="str">
        <f>IF($A185="","",VLOOKUP($A185,기본데이타!$A$8:$BV$103,COLUMN(기본데이타!BF$8),0))</f>
        <v/>
      </c>
      <c r="BC185" s="635" t="str">
        <f>IF($A185="","",VLOOKUP($A185,기본데이타!$A$8:$BV$103,COLUMN(기본데이타!BG$8),0))</f>
        <v/>
      </c>
      <c r="BD185" s="635" t="str">
        <f>IF($A185="","",VLOOKUP($A185,기본데이타!$A$8:$BV$103,COLUMN(기본데이타!BH$8),0))</f>
        <v/>
      </c>
      <c r="BE185" s="635" t="str">
        <f>IF($A185="","",VLOOKUP($A185,기본데이타!$A$8:$BV$103,COLUMN(기본데이타!BI$8),0))</f>
        <v/>
      </c>
      <c r="BF185" s="635" t="str">
        <f>IF($A185="","",VLOOKUP($A185,기본데이타!$A$8:$BV$103,COLUMN(기본데이타!BJ$8),0))</f>
        <v/>
      </c>
      <c r="BG185" s="635" t="str">
        <f>IF($A185="","",VLOOKUP($A185,기본데이타!$A$8:$BV$103,COLUMN(기본데이타!BK$8),0))</f>
        <v/>
      </c>
      <c r="BH185" s="635" t="str">
        <f>IF($A185="","",VLOOKUP($A185,기본데이타!$A$8:$BV$103,COLUMN(기본데이타!BL$8),0))</f>
        <v/>
      </c>
      <c r="BI185" s="635" t="str">
        <f>IF($A185="","",VLOOKUP($A185,기본데이타!$A$8:$BV$103,COLUMN(기본데이타!BM$8),0))</f>
        <v/>
      </c>
      <c r="BJ185" s="635" t="str">
        <f>IF($A185="","",VLOOKUP($A185,기본데이타!$A$8:$BV$103,COLUMN(기본데이타!BN$8),0))</f>
        <v/>
      </c>
      <c r="BK185" s="635" t="str">
        <f>IF($A185="","",VLOOKUP($A185,기본데이타!$A$8:$BV$103,COLUMN(기본데이타!BO$8),0))</f>
        <v/>
      </c>
      <c r="BL185" s="635" t="str">
        <f>IF($A185="","",VLOOKUP($A185,기본데이타!$A$8:$BV$103,COLUMN(기본데이타!BP$8),0))</f>
        <v/>
      </c>
      <c r="BM185" s="635" t="str">
        <f>IF($A185="","",VLOOKUP($A185,기본데이타!$A$8:$BV$103,COLUMN(기본데이타!BQ$8),0))</f>
        <v/>
      </c>
      <c r="BN185" s="638" t="str">
        <f>IF($A185="","",VLOOKUP($A185,기본데이타!$A$8:$BV$103,COLUMN(기본데이타!BR$8),0))</f>
        <v/>
      </c>
      <c r="BO185" s="579" t="str">
        <f>IF($A185="","",VLOOKUP($A185,기본데이타!$A$8:$BV$103,COLUMN(기본데이타!BS$8),0))</f>
        <v/>
      </c>
      <c r="BP185" s="639" t="str">
        <f>IF($A185="","",VLOOKUP($A185,기본데이타!$A$8:$BV$103,COLUMN(기본데이타!BT$8),0))</f>
        <v/>
      </c>
      <c r="BQ185" s="640" t="str">
        <f>IF($A185="","",VLOOKUP($A185,기본데이타!$A$8:$BV$103,COLUMN(기본데이타!BU$8),0))</f>
        <v/>
      </c>
      <c r="BR185" s="625" t="str">
        <f t="shared" si="27"/>
        <v/>
      </c>
    </row>
    <row r="186" spans="1:70" s="571" customFormat="1" ht="89.25" hidden="1" customHeight="1">
      <c r="A186" s="578"/>
      <c r="B186" s="1642"/>
      <c r="C186" s="590"/>
      <c r="D186" s="629" t="str">
        <f>IF($A186="","",VLOOKUP($A186,기본데이타!$A$8:$BV$103,COLUMN(기본데이타!F$8),0))</f>
        <v/>
      </c>
      <c r="E186" s="630" t="str">
        <f>IF($A186="","",VLOOKUP($A186,기본데이타!$A$8:$BV$103,COLUMN(기본데이타!G$8),0))</f>
        <v/>
      </c>
      <c r="F186" s="631" t="str">
        <f>IF($A186="","",VLOOKUP($A186,기본데이타!$A$8:$BV$103,COLUMN(기본데이타!H$8),0))</f>
        <v/>
      </c>
      <c r="G186" s="632" t="str">
        <f>IF($A186="","",VLOOKUP($A186,기본데이타!$A$8:$BV$103,COLUMN(기본데이타!I$8),0))</f>
        <v/>
      </c>
      <c r="H186" s="632" t="str">
        <f>IF($A186="","",VLOOKUP($A186,기본데이타!$A$8:$BV$103,COLUMN(기본데이타!J$8),0))</f>
        <v/>
      </c>
      <c r="I186" s="633" t="str">
        <f>IF($A186="","",VLOOKUP($A186,기본데이타!$A$8:$BV$103,COLUMN(기본데이타!K$8),0))</f>
        <v/>
      </c>
      <c r="J186" s="633" t="str">
        <f>IF($A186="","",VLOOKUP($A186,기본데이타!$A$8:$BV$103,COLUMN(기본데이타!L$8),0))</f>
        <v/>
      </c>
      <c r="K186" s="633" t="str">
        <f>IF($A186="","",VLOOKUP($A186,기본데이타!$A$8:$BV$103,COLUMN(기본데이타!M$8),0))</f>
        <v/>
      </c>
      <c r="L186" s="634" t="str">
        <f>IF($A186="","",VLOOKUP($A186,기본데이타!$A$8:$BV$103,COLUMN(기본데이타!N$8),0))</f>
        <v/>
      </c>
      <c r="M186" s="633" t="str">
        <f>IF($A186="","",VLOOKUP($A186,기본데이타!$A$8:$BV$103,COLUMN(기본데이타!O$8),0))</f>
        <v/>
      </c>
      <c r="N186" s="634" t="str">
        <f>IF($A186="","",VLOOKUP($A186,기본데이타!$A$8:$BV$103,COLUMN(기본데이타!P$8),0))</f>
        <v/>
      </c>
      <c r="O186" s="634" t="str">
        <f>IF($A186="","",VLOOKUP($A186,기본데이타!$A$8:$BV$103,COLUMN(기본데이타!Q$8),0))</f>
        <v/>
      </c>
      <c r="P186" s="634" t="str">
        <f>IF($A186="","",VLOOKUP($A186,기본데이타!$A$8:$BV$103,COLUMN(기본데이타!R$8),0))</f>
        <v/>
      </c>
      <c r="Q186" s="634" t="str">
        <f>IF($A186="","",VLOOKUP($A186,기본데이타!$A$8:$BV$103,COLUMN(기본데이타!S$8),0))</f>
        <v/>
      </c>
      <c r="R186" s="634" t="str">
        <f>IF($A186="","",VLOOKUP($A186,기본데이타!$A$8:$BV$103,COLUMN(기본데이타!T$8),0))</f>
        <v/>
      </c>
      <c r="S186" s="634" t="str">
        <f>IF($A186="","",VLOOKUP($A186,기본데이타!$A$8:$BV$103,COLUMN(기본데이타!U$8),0))</f>
        <v/>
      </c>
      <c r="T186" s="634" t="str">
        <f>IF($A186="","",VLOOKUP($A186,기본데이타!$A$8:$BV$103,COLUMN(기본데이타!V$8),0))</f>
        <v/>
      </c>
      <c r="U186" s="634" t="str">
        <f>IF($A186="","",VLOOKUP($A186,기본데이타!$A$8:$BV$103,COLUMN(기본데이타!W$8),0))</f>
        <v/>
      </c>
      <c r="V186" s="634" t="str">
        <f>IF($A186="","",VLOOKUP($A186,기본데이타!$A$8:$BV$103,COLUMN(기본데이타!X$8),0))</f>
        <v/>
      </c>
      <c r="W186" s="634" t="str">
        <f>IF($A186="","",VLOOKUP($A186,기본데이타!$A$8:$BV$103,COLUMN(기본데이타!AA$8),0))</f>
        <v/>
      </c>
      <c r="X186" s="634" t="str">
        <f>IF($A186="","",VLOOKUP($A186,기본데이타!$A$8:$BV$103,COLUMN(기본데이타!AB$8),0))</f>
        <v/>
      </c>
      <c r="Y186" s="633" t="str">
        <f>IF($A186="","",VLOOKUP($A186,기본데이타!$A$8:$BV$103,COLUMN(기본데이타!AC$8),0))</f>
        <v/>
      </c>
      <c r="Z186" s="634" t="str">
        <f>IF($A186="","",VLOOKUP($A186,기본데이타!$A$8:$BV$103,COLUMN(기본데이타!AD$8),0))</f>
        <v/>
      </c>
      <c r="AA186" s="633" t="str">
        <f>IF($A186="","",VLOOKUP($A186,기본데이타!$A$8:$BV$103,COLUMN(기본데이타!AE$8),0))</f>
        <v/>
      </c>
      <c r="AB186" s="634" t="str">
        <f>IF($A186="","",VLOOKUP($A186,기본데이타!$A$8:$BV$103,COLUMN(기본데이타!AF$8),0))</f>
        <v/>
      </c>
      <c r="AC186" s="633" t="str">
        <f>IF($A186="","",VLOOKUP($A186,기본데이타!$A$8:$BV$103,COLUMN(기본데이타!AG$8),0))</f>
        <v/>
      </c>
      <c r="AD186" s="634" t="str">
        <f>IF($A186="","",VLOOKUP($A186,기본데이타!$A$8:$BV$103,COLUMN(기본데이타!AH$8),0))</f>
        <v/>
      </c>
      <c r="AE186" s="633" t="str">
        <f>IF($A186="","",VLOOKUP($A186,기본데이타!$A$8:$BV$103,COLUMN(기본데이타!AI$8),0))</f>
        <v/>
      </c>
      <c r="AF186" s="635" t="str">
        <f>IF($A186="","",VLOOKUP($A186,기본데이타!$A$8:$BV$103,COLUMN(기본데이타!AJ$8),0))</f>
        <v/>
      </c>
      <c r="AG186" s="580" t="str">
        <f>IF($A186="","",VLOOKUP($A186,기본데이타!$A$8:$BV$103,COLUMN(기본데이타!AK$8),0))</f>
        <v/>
      </c>
      <c r="AH186" s="580" t="str">
        <f>IF($A186="","",VLOOKUP($A186,기본데이타!$A$8:$BV$103,COLUMN(기본데이타!AL$8),0))</f>
        <v/>
      </c>
      <c r="AI186" s="580" t="str">
        <f>IF($A186="","",VLOOKUP($A186,기본데이타!$A$8:$BV$103,COLUMN(기본데이타!AM$8),0))</f>
        <v/>
      </c>
      <c r="AJ186" s="636" t="str">
        <f>IF($A186="","",VLOOKUP($A186,기본데이타!$A$8:$BV$103,COLUMN(기본데이타!AN$8),0))</f>
        <v/>
      </c>
      <c r="AK186" s="636" t="str">
        <f>IF($A186="","",VLOOKUP($A186,기본데이타!$A$8:$BV$103,COLUMN(기본데이타!AO$8),0))</f>
        <v/>
      </c>
      <c r="AL186" s="636" t="str">
        <f>IF($A186="","",VLOOKUP($A186,기본데이타!$A$8:$BV$103,COLUMN(기본데이타!AP$8),0))</f>
        <v/>
      </c>
      <c r="AM186" s="636" t="str">
        <f>IF($A186="","",VLOOKUP($A186,기본데이타!$A$8:$BV$103,COLUMN(기본데이타!AQ$8),0))</f>
        <v/>
      </c>
      <c r="AN186" s="636" t="str">
        <f>IF($A186="","",VLOOKUP($A186,기본데이타!$A$8:$BV$103,COLUMN(기본데이타!AR$8),0))</f>
        <v/>
      </c>
      <c r="AO186" s="636" t="str">
        <f>IF($A186="","",VLOOKUP($A186,기본데이타!$A$8:$BV$103,COLUMN(기본데이타!AS$8),0))</f>
        <v/>
      </c>
      <c r="AP186" s="636" t="str">
        <f>IF($A186="","",VLOOKUP($A186,기본데이타!$A$8:$BV$103,COLUMN(기본데이타!AT$8),0))</f>
        <v/>
      </c>
      <c r="AQ186" s="636" t="str">
        <f>IF($A186="","",VLOOKUP($A186,기본데이타!$A$8:$BV$103,COLUMN(기본데이타!AU$8),0))</f>
        <v/>
      </c>
      <c r="AR186" s="637" t="str">
        <f>IF($A186="","",VLOOKUP($A186,기본데이타!$A$8:$BV$103,COLUMN(기본데이타!AV$8),0))</f>
        <v/>
      </c>
      <c r="AS186" s="634" t="str">
        <f>IF($A186="","",VLOOKUP($A186,기본데이타!$A$8:$BV$103,COLUMN(기본데이타!AW$8),0))</f>
        <v/>
      </c>
      <c r="AT186" s="634" t="str">
        <f>IF($A186="","",VLOOKUP($A186,기본데이타!$A$8:$BV$103,COLUMN(기본데이타!AX$8),0))</f>
        <v/>
      </c>
      <c r="AU186" s="634" t="str">
        <f>IF($A186="","",VLOOKUP($A186,기본데이타!$A$8:$BV$103,COLUMN(기본데이타!AY$8),0))</f>
        <v/>
      </c>
      <c r="AV186" s="634" t="str">
        <f t="shared" si="26"/>
        <v/>
      </c>
      <c r="AW186" s="635" t="str">
        <f>IF($A186="","",VLOOKUP($A186,기본데이타!$A$8:$BV$103,COLUMN(기본데이타!BA$8),0))</f>
        <v/>
      </c>
      <c r="AX186" s="635" t="str">
        <f>IF($A186="","",VLOOKUP($A186,기본데이타!$A$8:$BV$103,COLUMN(기본데이타!BB$8),0))</f>
        <v/>
      </c>
      <c r="AY186" s="635" t="str">
        <f>IF($A186="","",VLOOKUP($A186,기본데이타!$A$8:$BV$103,COLUMN(기본데이타!BC$8),0))</f>
        <v/>
      </c>
      <c r="AZ186" s="635" t="str">
        <f>IF($A186="","",VLOOKUP($A186,기본데이타!$A$8:$BV$103,COLUMN(기본데이타!BD$8),0))</f>
        <v/>
      </c>
      <c r="BA186" s="635" t="str">
        <f>IF($A186="","",VLOOKUP($A186,기본데이타!$A$8:$BV$103,COLUMN(기본데이타!BE$8),0))</f>
        <v/>
      </c>
      <c r="BB186" s="635" t="str">
        <f>IF($A186="","",VLOOKUP($A186,기본데이타!$A$8:$BV$103,COLUMN(기본데이타!BF$8),0))</f>
        <v/>
      </c>
      <c r="BC186" s="635" t="str">
        <f>IF($A186="","",VLOOKUP($A186,기본데이타!$A$8:$BV$103,COLUMN(기본데이타!BG$8),0))</f>
        <v/>
      </c>
      <c r="BD186" s="635" t="str">
        <f>IF($A186="","",VLOOKUP($A186,기본데이타!$A$8:$BV$103,COLUMN(기본데이타!BH$8),0))</f>
        <v/>
      </c>
      <c r="BE186" s="635" t="str">
        <f>IF($A186="","",VLOOKUP($A186,기본데이타!$A$8:$BV$103,COLUMN(기본데이타!BI$8),0))</f>
        <v/>
      </c>
      <c r="BF186" s="635" t="str">
        <f>IF($A186="","",VLOOKUP($A186,기본데이타!$A$8:$BV$103,COLUMN(기본데이타!BJ$8),0))</f>
        <v/>
      </c>
      <c r="BG186" s="635" t="str">
        <f>IF($A186="","",VLOOKUP($A186,기본데이타!$A$8:$BV$103,COLUMN(기본데이타!BK$8),0))</f>
        <v/>
      </c>
      <c r="BH186" s="635" t="str">
        <f>IF($A186="","",VLOOKUP($A186,기본데이타!$A$8:$BV$103,COLUMN(기본데이타!BL$8),0))</f>
        <v/>
      </c>
      <c r="BI186" s="635" t="str">
        <f>IF($A186="","",VLOOKUP($A186,기본데이타!$A$8:$BV$103,COLUMN(기본데이타!BM$8),0))</f>
        <v/>
      </c>
      <c r="BJ186" s="635" t="str">
        <f>IF($A186="","",VLOOKUP($A186,기본데이타!$A$8:$BV$103,COLUMN(기본데이타!BN$8),0))</f>
        <v/>
      </c>
      <c r="BK186" s="635" t="str">
        <f>IF($A186="","",VLOOKUP($A186,기본데이타!$A$8:$BV$103,COLUMN(기본데이타!BO$8),0))</f>
        <v/>
      </c>
      <c r="BL186" s="635" t="str">
        <f>IF($A186="","",VLOOKUP($A186,기본데이타!$A$8:$BV$103,COLUMN(기본데이타!BP$8),0))</f>
        <v/>
      </c>
      <c r="BM186" s="635" t="str">
        <f>IF($A186="","",VLOOKUP($A186,기본데이타!$A$8:$BV$103,COLUMN(기본데이타!BQ$8),0))</f>
        <v/>
      </c>
      <c r="BN186" s="638" t="str">
        <f>IF($A186="","",VLOOKUP($A186,기본데이타!$A$8:$BV$103,COLUMN(기본데이타!BR$8),0))</f>
        <v/>
      </c>
      <c r="BO186" s="579" t="str">
        <f>IF($A186="","",VLOOKUP($A186,기본데이타!$A$8:$BV$103,COLUMN(기본데이타!BS$8),0))</f>
        <v/>
      </c>
      <c r="BP186" s="639" t="str">
        <f>IF($A186="","",VLOOKUP($A186,기본데이타!$A$8:$BV$103,COLUMN(기본데이타!BT$8),0))</f>
        <v/>
      </c>
      <c r="BQ186" s="640" t="str">
        <f>IF($A186="","",VLOOKUP($A186,기본데이타!$A$8:$BV$103,COLUMN(기본데이타!BU$8),0))</f>
        <v/>
      </c>
      <c r="BR186" s="625" t="str">
        <f t="shared" si="27"/>
        <v/>
      </c>
    </row>
    <row r="187" spans="1:70" s="571" customFormat="1" ht="89.25" hidden="1" customHeight="1">
      <c r="A187" s="578"/>
      <c r="B187" s="1642"/>
      <c r="C187" s="590"/>
      <c r="D187" s="629" t="str">
        <f>IF($A187="","",VLOOKUP($A187,기본데이타!$A$8:$BV$103,COLUMN(기본데이타!F$8),0))</f>
        <v/>
      </c>
      <c r="E187" s="630" t="str">
        <f>IF($A187="","",VLOOKUP($A187,기본데이타!$A$8:$BV$103,COLUMN(기본데이타!G$8),0))</f>
        <v/>
      </c>
      <c r="F187" s="631" t="str">
        <f>IF($A187="","",VLOOKUP($A187,기본데이타!$A$8:$BV$103,COLUMN(기본데이타!H$8),0))</f>
        <v/>
      </c>
      <c r="G187" s="632" t="str">
        <f>IF($A187="","",VLOOKUP($A187,기본데이타!$A$8:$BV$103,COLUMN(기본데이타!I$8),0))</f>
        <v/>
      </c>
      <c r="H187" s="632" t="str">
        <f>IF($A187="","",VLOOKUP($A187,기본데이타!$A$8:$BV$103,COLUMN(기본데이타!J$8),0))</f>
        <v/>
      </c>
      <c r="I187" s="633" t="str">
        <f>IF($A187="","",VLOOKUP($A187,기본데이타!$A$8:$BV$103,COLUMN(기본데이타!K$8),0))</f>
        <v/>
      </c>
      <c r="J187" s="633" t="str">
        <f>IF($A187="","",VLOOKUP($A187,기본데이타!$A$8:$BV$103,COLUMN(기본데이타!L$8),0))</f>
        <v/>
      </c>
      <c r="K187" s="633" t="str">
        <f>IF($A187="","",VLOOKUP($A187,기본데이타!$A$8:$BV$103,COLUMN(기본데이타!M$8),0))</f>
        <v/>
      </c>
      <c r="L187" s="634" t="str">
        <f>IF($A187="","",VLOOKUP($A187,기본데이타!$A$8:$BV$103,COLUMN(기본데이타!N$8),0))</f>
        <v/>
      </c>
      <c r="M187" s="633" t="str">
        <f>IF($A187="","",VLOOKUP($A187,기본데이타!$A$8:$BV$103,COLUMN(기본데이타!O$8),0))</f>
        <v/>
      </c>
      <c r="N187" s="634" t="str">
        <f>IF($A187="","",VLOOKUP($A187,기본데이타!$A$8:$BV$103,COLUMN(기본데이타!P$8),0))</f>
        <v/>
      </c>
      <c r="O187" s="634" t="str">
        <f>IF($A187="","",VLOOKUP($A187,기본데이타!$A$8:$BV$103,COLUMN(기본데이타!Q$8),0))</f>
        <v/>
      </c>
      <c r="P187" s="634" t="str">
        <f>IF($A187="","",VLOOKUP($A187,기본데이타!$A$8:$BV$103,COLUMN(기본데이타!R$8),0))</f>
        <v/>
      </c>
      <c r="Q187" s="634" t="str">
        <f>IF($A187="","",VLOOKUP($A187,기본데이타!$A$8:$BV$103,COLUMN(기본데이타!S$8),0))</f>
        <v/>
      </c>
      <c r="R187" s="634" t="str">
        <f>IF($A187="","",VLOOKUP($A187,기본데이타!$A$8:$BV$103,COLUMN(기본데이타!T$8),0))</f>
        <v/>
      </c>
      <c r="S187" s="634" t="str">
        <f>IF($A187="","",VLOOKUP($A187,기본데이타!$A$8:$BV$103,COLUMN(기본데이타!U$8),0))</f>
        <v/>
      </c>
      <c r="T187" s="634" t="str">
        <f>IF($A187="","",VLOOKUP($A187,기본데이타!$A$8:$BV$103,COLUMN(기본데이타!V$8),0))</f>
        <v/>
      </c>
      <c r="U187" s="634" t="str">
        <f>IF($A187="","",VLOOKUP($A187,기본데이타!$A$8:$BV$103,COLUMN(기본데이타!W$8),0))</f>
        <v/>
      </c>
      <c r="V187" s="634" t="str">
        <f>IF($A187="","",VLOOKUP($A187,기본데이타!$A$8:$BV$103,COLUMN(기본데이타!X$8),0))</f>
        <v/>
      </c>
      <c r="W187" s="634" t="str">
        <f>IF($A187="","",VLOOKUP($A187,기본데이타!$A$8:$BV$103,COLUMN(기본데이타!AA$8),0))</f>
        <v/>
      </c>
      <c r="X187" s="634" t="str">
        <f>IF($A187="","",VLOOKUP($A187,기본데이타!$A$8:$BV$103,COLUMN(기본데이타!AB$8),0))</f>
        <v/>
      </c>
      <c r="Y187" s="633" t="str">
        <f>IF($A187="","",VLOOKUP($A187,기본데이타!$A$8:$BV$103,COLUMN(기본데이타!AC$8),0))</f>
        <v/>
      </c>
      <c r="Z187" s="634" t="str">
        <f>IF($A187="","",VLOOKUP($A187,기본데이타!$A$8:$BV$103,COLUMN(기본데이타!AD$8),0))</f>
        <v/>
      </c>
      <c r="AA187" s="633" t="str">
        <f>IF($A187="","",VLOOKUP($A187,기본데이타!$A$8:$BV$103,COLUMN(기본데이타!AE$8),0))</f>
        <v/>
      </c>
      <c r="AB187" s="634" t="str">
        <f>IF($A187="","",VLOOKUP($A187,기본데이타!$A$8:$BV$103,COLUMN(기본데이타!AF$8),0))</f>
        <v/>
      </c>
      <c r="AC187" s="633" t="str">
        <f>IF($A187="","",VLOOKUP($A187,기본데이타!$A$8:$BV$103,COLUMN(기본데이타!AG$8),0))</f>
        <v/>
      </c>
      <c r="AD187" s="634" t="str">
        <f>IF($A187="","",VLOOKUP($A187,기본데이타!$A$8:$BV$103,COLUMN(기본데이타!AH$8),0))</f>
        <v/>
      </c>
      <c r="AE187" s="633" t="str">
        <f>IF($A187="","",VLOOKUP($A187,기본데이타!$A$8:$BV$103,COLUMN(기본데이타!AI$8),0))</f>
        <v/>
      </c>
      <c r="AF187" s="635" t="str">
        <f>IF($A187="","",VLOOKUP($A187,기본데이타!$A$8:$BV$103,COLUMN(기본데이타!AJ$8),0))</f>
        <v/>
      </c>
      <c r="AG187" s="580" t="str">
        <f>IF($A187="","",VLOOKUP($A187,기본데이타!$A$8:$BV$103,COLUMN(기본데이타!AK$8),0))</f>
        <v/>
      </c>
      <c r="AH187" s="580" t="str">
        <f>IF($A187="","",VLOOKUP($A187,기본데이타!$A$8:$BV$103,COLUMN(기본데이타!AL$8),0))</f>
        <v/>
      </c>
      <c r="AI187" s="580" t="str">
        <f>IF($A187="","",VLOOKUP($A187,기본데이타!$A$8:$BV$103,COLUMN(기본데이타!AM$8),0))</f>
        <v/>
      </c>
      <c r="AJ187" s="636" t="str">
        <f>IF($A187="","",VLOOKUP($A187,기본데이타!$A$8:$BV$103,COLUMN(기본데이타!AN$8),0))</f>
        <v/>
      </c>
      <c r="AK187" s="636" t="str">
        <f>IF($A187="","",VLOOKUP($A187,기본데이타!$A$8:$BV$103,COLUMN(기본데이타!AO$8),0))</f>
        <v/>
      </c>
      <c r="AL187" s="636" t="str">
        <f>IF($A187="","",VLOOKUP($A187,기본데이타!$A$8:$BV$103,COLUMN(기본데이타!AP$8),0))</f>
        <v/>
      </c>
      <c r="AM187" s="636" t="str">
        <f>IF($A187="","",VLOOKUP($A187,기본데이타!$A$8:$BV$103,COLUMN(기본데이타!AQ$8),0))</f>
        <v/>
      </c>
      <c r="AN187" s="636" t="str">
        <f>IF($A187="","",VLOOKUP($A187,기본데이타!$A$8:$BV$103,COLUMN(기본데이타!AR$8),0))</f>
        <v/>
      </c>
      <c r="AO187" s="636" t="str">
        <f>IF($A187="","",VLOOKUP($A187,기본데이타!$A$8:$BV$103,COLUMN(기본데이타!AS$8),0))</f>
        <v/>
      </c>
      <c r="AP187" s="636" t="str">
        <f>IF($A187="","",VLOOKUP($A187,기본데이타!$A$8:$BV$103,COLUMN(기본데이타!AT$8),0))</f>
        <v/>
      </c>
      <c r="AQ187" s="636" t="str">
        <f>IF($A187="","",VLOOKUP($A187,기본데이타!$A$8:$BV$103,COLUMN(기본데이타!AU$8),0))</f>
        <v/>
      </c>
      <c r="AR187" s="637" t="str">
        <f>IF($A187="","",VLOOKUP($A187,기본데이타!$A$8:$BV$103,COLUMN(기본데이타!AV$8),0))</f>
        <v/>
      </c>
      <c r="AS187" s="634" t="str">
        <f>IF($A187="","",VLOOKUP($A187,기본데이타!$A$8:$BV$103,COLUMN(기본데이타!AW$8),0))</f>
        <v/>
      </c>
      <c r="AT187" s="634" t="str">
        <f>IF($A187="","",VLOOKUP($A187,기본데이타!$A$8:$BV$103,COLUMN(기본데이타!AX$8),0))</f>
        <v/>
      </c>
      <c r="AU187" s="634" t="str">
        <f>IF($A187="","",VLOOKUP($A187,기본데이타!$A$8:$BV$103,COLUMN(기본데이타!AY$8),0))</f>
        <v/>
      </c>
      <c r="AV187" s="634" t="str">
        <f t="shared" ref="AV187:AV214" si="28">IF(AS187="","",SUM(AS187:AU187))</f>
        <v/>
      </c>
      <c r="AW187" s="635" t="str">
        <f>IF($A187="","",VLOOKUP($A187,기본데이타!$A$8:$BV$103,COLUMN(기본데이타!BA$8),0))</f>
        <v/>
      </c>
      <c r="AX187" s="635" t="str">
        <f>IF($A187="","",VLOOKUP($A187,기본데이타!$A$8:$BV$103,COLUMN(기본데이타!BB$8),0))</f>
        <v/>
      </c>
      <c r="AY187" s="635" t="str">
        <f>IF($A187="","",VLOOKUP($A187,기본데이타!$A$8:$BV$103,COLUMN(기본데이타!BC$8),0))</f>
        <v/>
      </c>
      <c r="AZ187" s="635" t="str">
        <f>IF($A187="","",VLOOKUP($A187,기본데이타!$A$8:$BV$103,COLUMN(기본데이타!BD$8),0))</f>
        <v/>
      </c>
      <c r="BA187" s="635" t="str">
        <f>IF($A187="","",VLOOKUP($A187,기본데이타!$A$8:$BV$103,COLUMN(기본데이타!BE$8),0))</f>
        <v/>
      </c>
      <c r="BB187" s="635" t="str">
        <f>IF($A187="","",VLOOKUP($A187,기본데이타!$A$8:$BV$103,COLUMN(기본데이타!BF$8),0))</f>
        <v/>
      </c>
      <c r="BC187" s="635" t="str">
        <f>IF($A187="","",VLOOKUP($A187,기본데이타!$A$8:$BV$103,COLUMN(기본데이타!BG$8),0))</f>
        <v/>
      </c>
      <c r="BD187" s="635" t="str">
        <f>IF($A187="","",VLOOKUP($A187,기본데이타!$A$8:$BV$103,COLUMN(기본데이타!BH$8),0))</f>
        <v/>
      </c>
      <c r="BE187" s="635" t="str">
        <f>IF($A187="","",VLOOKUP($A187,기본데이타!$A$8:$BV$103,COLUMN(기본데이타!BI$8),0))</f>
        <v/>
      </c>
      <c r="BF187" s="635" t="str">
        <f>IF($A187="","",VLOOKUP($A187,기본데이타!$A$8:$BV$103,COLUMN(기본데이타!BJ$8),0))</f>
        <v/>
      </c>
      <c r="BG187" s="635" t="str">
        <f>IF($A187="","",VLOOKUP($A187,기본데이타!$A$8:$BV$103,COLUMN(기본데이타!BK$8),0))</f>
        <v/>
      </c>
      <c r="BH187" s="635" t="str">
        <f>IF($A187="","",VLOOKUP($A187,기본데이타!$A$8:$BV$103,COLUMN(기본데이타!BL$8),0))</f>
        <v/>
      </c>
      <c r="BI187" s="635" t="str">
        <f>IF($A187="","",VLOOKUP($A187,기본데이타!$A$8:$BV$103,COLUMN(기본데이타!BM$8),0))</f>
        <v/>
      </c>
      <c r="BJ187" s="635" t="str">
        <f>IF($A187="","",VLOOKUP($A187,기본데이타!$A$8:$BV$103,COLUMN(기본데이타!BN$8),0))</f>
        <v/>
      </c>
      <c r="BK187" s="635" t="str">
        <f>IF($A187="","",VLOOKUP($A187,기본데이타!$A$8:$BV$103,COLUMN(기본데이타!BO$8),0))</f>
        <v/>
      </c>
      <c r="BL187" s="635" t="str">
        <f>IF($A187="","",VLOOKUP($A187,기본데이타!$A$8:$BV$103,COLUMN(기본데이타!BP$8),0))</f>
        <v/>
      </c>
      <c r="BM187" s="635" t="str">
        <f>IF($A187="","",VLOOKUP($A187,기본데이타!$A$8:$BV$103,COLUMN(기본데이타!BQ$8),0))</f>
        <v/>
      </c>
      <c r="BN187" s="638" t="str">
        <f>IF($A187="","",VLOOKUP($A187,기본데이타!$A$8:$BV$103,COLUMN(기본데이타!BR$8),0))</f>
        <v/>
      </c>
      <c r="BO187" s="579" t="str">
        <f>IF($A187="","",VLOOKUP($A187,기본데이타!$A$8:$BV$103,COLUMN(기본데이타!BS$8),0))</f>
        <v/>
      </c>
      <c r="BP187" s="639" t="str">
        <f>IF($A187="","",VLOOKUP($A187,기본데이타!$A$8:$BV$103,COLUMN(기본데이타!BT$8),0))</f>
        <v/>
      </c>
      <c r="BQ187" s="999" t="str">
        <f>IF($A187="","",VLOOKUP($A187,기본데이타!$A$8:$BV$103,COLUMN(기본데이타!BU$8),0))</f>
        <v/>
      </c>
      <c r="BR187" s="625" t="str">
        <f t="shared" ref="BR187:BR214" si="29">IF($A187="","",A187)</f>
        <v/>
      </c>
    </row>
    <row r="188" spans="1:70" s="571" customFormat="1" ht="89.25" hidden="1" customHeight="1">
      <c r="A188" s="578"/>
      <c r="B188" s="1642"/>
      <c r="C188" s="590"/>
      <c r="D188" s="629" t="str">
        <f>IF($A188="","",VLOOKUP($A188,기본데이타!$A$8:$BV$103,COLUMN(기본데이타!F$8),0))</f>
        <v/>
      </c>
      <c r="E188" s="630" t="str">
        <f>IF($A188="","",VLOOKUP($A188,기본데이타!$A$8:$BV$103,COLUMN(기본데이타!G$8),0))</f>
        <v/>
      </c>
      <c r="F188" s="631" t="str">
        <f>IF($A188="","",VLOOKUP($A188,기본데이타!$A$8:$BV$103,COLUMN(기본데이타!H$8),0))</f>
        <v/>
      </c>
      <c r="G188" s="632" t="str">
        <f>IF($A188="","",VLOOKUP($A188,기본데이타!$A$8:$BV$103,COLUMN(기본데이타!I$8),0))</f>
        <v/>
      </c>
      <c r="H188" s="632" t="str">
        <f>IF($A188="","",VLOOKUP($A188,기본데이타!$A$8:$BV$103,COLUMN(기본데이타!J$8),0))</f>
        <v/>
      </c>
      <c r="I188" s="633" t="str">
        <f>IF($A188="","",VLOOKUP($A188,기본데이타!$A$8:$BV$103,COLUMN(기본데이타!K$8),0))</f>
        <v/>
      </c>
      <c r="J188" s="633" t="str">
        <f>IF($A188="","",VLOOKUP($A188,기본데이타!$A$8:$BV$103,COLUMN(기본데이타!L$8),0))</f>
        <v/>
      </c>
      <c r="K188" s="633" t="str">
        <f>IF($A188="","",VLOOKUP($A188,기본데이타!$A$8:$BV$103,COLUMN(기본데이타!M$8),0))</f>
        <v/>
      </c>
      <c r="L188" s="634" t="str">
        <f>IF($A188="","",VLOOKUP($A188,기본데이타!$A$8:$BV$103,COLUMN(기본데이타!N$8),0))</f>
        <v/>
      </c>
      <c r="M188" s="633" t="str">
        <f>IF($A188="","",VLOOKUP($A188,기본데이타!$A$8:$BV$103,COLUMN(기본데이타!O$8),0))</f>
        <v/>
      </c>
      <c r="N188" s="634" t="str">
        <f>IF($A188="","",VLOOKUP($A188,기본데이타!$A$8:$BV$103,COLUMN(기본데이타!P$8),0))</f>
        <v/>
      </c>
      <c r="O188" s="634" t="str">
        <f>IF($A188="","",VLOOKUP($A188,기본데이타!$A$8:$BV$103,COLUMN(기본데이타!Q$8),0))</f>
        <v/>
      </c>
      <c r="P188" s="634" t="str">
        <f>IF($A188="","",VLOOKUP($A188,기본데이타!$A$8:$BV$103,COLUMN(기본데이타!R$8),0))</f>
        <v/>
      </c>
      <c r="Q188" s="634" t="str">
        <f>IF($A188="","",VLOOKUP($A188,기본데이타!$A$8:$BV$103,COLUMN(기본데이타!S$8),0))</f>
        <v/>
      </c>
      <c r="R188" s="634" t="str">
        <f>IF($A188="","",VLOOKUP($A188,기본데이타!$A$8:$BV$103,COLUMN(기본데이타!T$8),0))</f>
        <v/>
      </c>
      <c r="S188" s="634" t="str">
        <f>IF($A188="","",VLOOKUP($A188,기본데이타!$A$8:$BV$103,COLUMN(기본데이타!U$8),0))</f>
        <v/>
      </c>
      <c r="T188" s="634" t="str">
        <f>IF($A188="","",VLOOKUP($A188,기본데이타!$A$8:$BV$103,COLUMN(기본데이타!V$8),0))</f>
        <v/>
      </c>
      <c r="U188" s="634" t="str">
        <f>IF($A188="","",VLOOKUP($A188,기본데이타!$A$8:$BV$103,COLUMN(기본데이타!W$8),0))</f>
        <v/>
      </c>
      <c r="V188" s="634" t="str">
        <f>IF($A188="","",VLOOKUP($A188,기본데이타!$A$8:$BV$103,COLUMN(기본데이타!X$8),0))</f>
        <v/>
      </c>
      <c r="W188" s="634" t="str">
        <f>IF($A188="","",VLOOKUP($A188,기본데이타!$A$8:$BV$103,COLUMN(기본데이타!AA$8),0))</f>
        <v/>
      </c>
      <c r="X188" s="634" t="str">
        <f>IF($A188="","",VLOOKUP($A188,기본데이타!$A$8:$BV$103,COLUMN(기본데이타!AB$8),0))</f>
        <v/>
      </c>
      <c r="Y188" s="633" t="str">
        <f>IF($A188="","",VLOOKUP($A188,기본데이타!$A$8:$BV$103,COLUMN(기본데이타!AC$8),0))</f>
        <v/>
      </c>
      <c r="Z188" s="634" t="str">
        <f>IF($A188="","",VLOOKUP($A188,기본데이타!$A$8:$BV$103,COLUMN(기본데이타!AD$8),0))</f>
        <v/>
      </c>
      <c r="AA188" s="633" t="str">
        <f>IF($A188="","",VLOOKUP($A188,기본데이타!$A$8:$BV$103,COLUMN(기본데이타!AE$8),0))</f>
        <v/>
      </c>
      <c r="AB188" s="634" t="str">
        <f>IF($A188="","",VLOOKUP($A188,기본데이타!$A$8:$BV$103,COLUMN(기본데이타!AF$8),0))</f>
        <v/>
      </c>
      <c r="AC188" s="633" t="str">
        <f>IF($A188="","",VLOOKUP($A188,기본데이타!$A$8:$BV$103,COLUMN(기본데이타!AG$8),0))</f>
        <v/>
      </c>
      <c r="AD188" s="634" t="str">
        <f>IF($A188="","",VLOOKUP($A188,기본데이타!$A$8:$BV$103,COLUMN(기본데이타!AH$8),0))</f>
        <v/>
      </c>
      <c r="AE188" s="633" t="str">
        <f>IF($A188="","",VLOOKUP($A188,기본데이타!$A$8:$BV$103,COLUMN(기본데이타!AI$8),0))</f>
        <v/>
      </c>
      <c r="AF188" s="635" t="str">
        <f>IF($A188="","",VLOOKUP($A188,기본데이타!$A$8:$BV$103,COLUMN(기본데이타!AJ$8),0))</f>
        <v/>
      </c>
      <c r="AG188" s="580" t="str">
        <f>IF($A188="","",VLOOKUP($A188,기본데이타!$A$8:$BV$103,COLUMN(기본데이타!AK$8),0))</f>
        <v/>
      </c>
      <c r="AH188" s="580" t="str">
        <f>IF($A188="","",VLOOKUP($A188,기본데이타!$A$8:$BV$103,COLUMN(기본데이타!AL$8),0))</f>
        <v/>
      </c>
      <c r="AI188" s="580" t="str">
        <f>IF($A188="","",VLOOKUP($A188,기본데이타!$A$8:$BV$103,COLUMN(기본데이타!AM$8),0))</f>
        <v/>
      </c>
      <c r="AJ188" s="636" t="str">
        <f>IF($A188="","",VLOOKUP($A188,기본데이타!$A$8:$BV$103,COLUMN(기본데이타!AN$8),0))</f>
        <v/>
      </c>
      <c r="AK188" s="636" t="str">
        <f>IF($A188="","",VLOOKUP($A188,기본데이타!$A$8:$BV$103,COLUMN(기본데이타!AO$8),0))</f>
        <v/>
      </c>
      <c r="AL188" s="636" t="str">
        <f>IF($A188="","",VLOOKUP($A188,기본데이타!$A$8:$BV$103,COLUMN(기본데이타!AP$8),0))</f>
        <v/>
      </c>
      <c r="AM188" s="636" t="str">
        <f>IF($A188="","",VLOOKUP($A188,기본데이타!$A$8:$BV$103,COLUMN(기본데이타!AQ$8),0))</f>
        <v/>
      </c>
      <c r="AN188" s="636" t="str">
        <f>IF($A188="","",VLOOKUP($A188,기본데이타!$A$8:$BV$103,COLUMN(기본데이타!AR$8),0))</f>
        <v/>
      </c>
      <c r="AO188" s="636" t="str">
        <f>IF($A188="","",VLOOKUP($A188,기본데이타!$A$8:$BV$103,COLUMN(기본데이타!AS$8),0))</f>
        <v/>
      </c>
      <c r="AP188" s="636" t="str">
        <f>IF($A188="","",VLOOKUP($A188,기본데이타!$A$8:$BV$103,COLUMN(기본데이타!AT$8),0))</f>
        <v/>
      </c>
      <c r="AQ188" s="636" t="str">
        <f>IF($A188="","",VLOOKUP($A188,기본데이타!$A$8:$BV$103,COLUMN(기본데이타!AU$8),0))</f>
        <v/>
      </c>
      <c r="AR188" s="637" t="str">
        <f>IF($A188="","",VLOOKUP($A188,기본데이타!$A$8:$BV$103,COLUMN(기본데이타!AV$8),0))</f>
        <v/>
      </c>
      <c r="AS188" s="634" t="str">
        <f>IF($A188="","",VLOOKUP($A188,기본데이타!$A$8:$BV$103,COLUMN(기본데이타!AW$8),0))</f>
        <v/>
      </c>
      <c r="AT188" s="634" t="str">
        <f>IF($A188="","",VLOOKUP($A188,기본데이타!$A$8:$BV$103,COLUMN(기본데이타!AX$8),0))</f>
        <v/>
      </c>
      <c r="AU188" s="634" t="str">
        <f>IF($A188="","",VLOOKUP($A188,기본데이타!$A$8:$BV$103,COLUMN(기본데이타!AY$8),0))</f>
        <v/>
      </c>
      <c r="AV188" s="634" t="str">
        <f t="shared" ref="AV188:AV197" si="30">IF(AS188="","",SUM(AS188:AU188))</f>
        <v/>
      </c>
      <c r="AW188" s="635" t="str">
        <f>IF($A188="","",VLOOKUP($A188,기본데이타!$A$8:$BV$103,COLUMN(기본데이타!BA$8),0))</f>
        <v/>
      </c>
      <c r="AX188" s="635" t="str">
        <f>IF($A188="","",VLOOKUP($A188,기본데이타!$A$8:$BV$103,COLUMN(기본데이타!BB$8),0))</f>
        <v/>
      </c>
      <c r="AY188" s="635" t="str">
        <f>IF($A188="","",VLOOKUP($A188,기본데이타!$A$8:$BV$103,COLUMN(기본데이타!BC$8),0))</f>
        <v/>
      </c>
      <c r="AZ188" s="635" t="str">
        <f>IF($A188="","",VLOOKUP($A188,기본데이타!$A$8:$BV$103,COLUMN(기본데이타!BD$8),0))</f>
        <v/>
      </c>
      <c r="BA188" s="635" t="str">
        <f>IF($A188="","",VLOOKUP($A188,기본데이타!$A$8:$BV$103,COLUMN(기본데이타!BE$8),0))</f>
        <v/>
      </c>
      <c r="BB188" s="635" t="str">
        <f>IF($A188="","",VLOOKUP($A188,기본데이타!$A$8:$BV$103,COLUMN(기본데이타!BF$8),0))</f>
        <v/>
      </c>
      <c r="BC188" s="635" t="str">
        <f>IF($A188="","",VLOOKUP($A188,기본데이타!$A$8:$BV$103,COLUMN(기본데이타!BG$8),0))</f>
        <v/>
      </c>
      <c r="BD188" s="635" t="str">
        <f>IF($A188="","",VLOOKUP($A188,기본데이타!$A$8:$BV$103,COLUMN(기본데이타!BH$8),0))</f>
        <v/>
      </c>
      <c r="BE188" s="635" t="str">
        <f>IF($A188="","",VLOOKUP($A188,기본데이타!$A$8:$BV$103,COLUMN(기본데이타!BI$8),0))</f>
        <v/>
      </c>
      <c r="BF188" s="635" t="str">
        <f>IF($A188="","",VLOOKUP($A188,기본데이타!$A$8:$BV$103,COLUMN(기본데이타!BJ$8),0))</f>
        <v/>
      </c>
      <c r="BG188" s="635" t="str">
        <f>IF($A188="","",VLOOKUP($A188,기본데이타!$A$8:$BV$103,COLUMN(기본데이타!BK$8),0))</f>
        <v/>
      </c>
      <c r="BH188" s="635" t="str">
        <f>IF($A188="","",VLOOKUP($A188,기본데이타!$A$8:$BV$103,COLUMN(기본데이타!BL$8),0))</f>
        <v/>
      </c>
      <c r="BI188" s="635" t="str">
        <f>IF($A188="","",VLOOKUP($A188,기본데이타!$A$8:$BV$103,COLUMN(기본데이타!BM$8),0))</f>
        <v/>
      </c>
      <c r="BJ188" s="635" t="str">
        <f>IF($A188="","",VLOOKUP($A188,기본데이타!$A$8:$BV$103,COLUMN(기본데이타!BN$8),0))</f>
        <v/>
      </c>
      <c r="BK188" s="635" t="str">
        <f>IF($A188="","",VLOOKUP($A188,기본데이타!$A$8:$BV$103,COLUMN(기본데이타!BO$8),0))</f>
        <v/>
      </c>
      <c r="BL188" s="635" t="str">
        <f>IF($A188="","",VLOOKUP($A188,기본데이타!$A$8:$BV$103,COLUMN(기본데이타!BP$8),0))</f>
        <v/>
      </c>
      <c r="BM188" s="635" t="str">
        <f>IF($A188="","",VLOOKUP($A188,기본데이타!$A$8:$BV$103,COLUMN(기본데이타!BQ$8),0))</f>
        <v/>
      </c>
      <c r="BN188" s="638" t="str">
        <f>IF($A188="","",VLOOKUP($A188,기본데이타!$A$8:$BV$103,COLUMN(기본데이타!BR$8),0))</f>
        <v/>
      </c>
      <c r="BO188" s="579" t="str">
        <f>IF($A188="","",VLOOKUP($A188,기본데이타!$A$8:$BV$103,COLUMN(기본데이타!BS$8),0))</f>
        <v/>
      </c>
      <c r="BP188" s="639" t="str">
        <f>IF($A188="","",VLOOKUP($A188,기본데이타!$A$8:$BV$103,COLUMN(기본데이타!BT$8),0))</f>
        <v/>
      </c>
      <c r="BQ188" s="999" t="str">
        <f>IF($A188="","",VLOOKUP($A188,기본데이타!$A$8:$BV$103,COLUMN(기본데이타!BU$8),0))</f>
        <v/>
      </c>
      <c r="BR188" s="625" t="str">
        <f t="shared" ref="BR188:BR197" si="31">IF($A188="","",A188)</f>
        <v/>
      </c>
    </row>
    <row r="189" spans="1:70" s="571" customFormat="1" ht="89.25" hidden="1" customHeight="1">
      <c r="A189" s="578"/>
      <c r="B189" s="1642"/>
      <c r="C189" s="590"/>
      <c r="D189" s="629" t="str">
        <f>IF($A189="","",VLOOKUP($A189,기본데이타!$A$8:$BV$103,COLUMN(기본데이타!F$8),0))</f>
        <v/>
      </c>
      <c r="E189" s="630" t="str">
        <f>IF($A189="","",VLOOKUP($A189,기본데이타!$A$8:$BV$103,COLUMN(기본데이타!G$8),0))</f>
        <v/>
      </c>
      <c r="F189" s="631" t="str">
        <f>IF($A189="","",VLOOKUP($A189,기본데이타!$A$8:$BV$103,COLUMN(기본데이타!H$8),0))</f>
        <v/>
      </c>
      <c r="G189" s="632" t="str">
        <f>IF($A189="","",VLOOKUP($A189,기본데이타!$A$8:$BV$103,COLUMN(기본데이타!I$8),0))</f>
        <v/>
      </c>
      <c r="H189" s="632" t="str">
        <f>IF($A189="","",VLOOKUP($A189,기본데이타!$A$8:$BV$103,COLUMN(기본데이타!J$8),0))</f>
        <v/>
      </c>
      <c r="I189" s="633" t="str">
        <f>IF($A189="","",VLOOKUP($A189,기본데이타!$A$8:$BV$103,COLUMN(기본데이타!K$8),0))</f>
        <v/>
      </c>
      <c r="J189" s="633" t="str">
        <f>IF($A189="","",VLOOKUP($A189,기본데이타!$A$8:$BV$103,COLUMN(기본데이타!L$8),0))</f>
        <v/>
      </c>
      <c r="K189" s="633" t="str">
        <f>IF($A189="","",VLOOKUP($A189,기본데이타!$A$8:$BV$103,COLUMN(기본데이타!M$8),0))</f>
        <v/>
      </c>
      <c r="L189" s="634" t="str">
        <f>IF($A189="","",VLOOKUP($A189,기본데이타!$A$8:$BV$103,COLUMN(기본데이타!N$8),0))</f>
        <v/>
      </c>
      <c r="M189" s="633" t="str">
        <f>IF($A189="","",VLOOKUP($A189,기본데이타!$A$8:$BV$103,COLUMN(기본데이타!O$8),0))</f>
        <v/>
      </c>
      <c r="N189" s="634" t="str">
        <f>IF($A189="","",VLOOKUP($A189,기본데이타!$A$8:$BV$103,COLUMN(기본데이타!P$8),0))</f>
        <v/>
      </c>
      <c r="O189" s="634" t="str">
        <f>IF($A189="","",VLOOKUP($A189,기본데이타!$A$8:$BV$103,COLUMN(기본데이타!Q$8),0))</f>
        <v/>
      </c>
      <c r="P189" s="634" t="str">
        <f>IF($A189="","",VLOOKUP($A189,기본데이타!$A$8:$BV$103,COLUMN(기본데이타!R$8),0))</f>
        <v/>
      </c>
      <c r="Q189" s="634" t="str">
        <f>IF($A189="","",VLOOKUP($A189,기본데이타!$A$8:$BV$103,COLUMN(기본데이타!S$8),0))</f>
        <v/>
      </c>
      <c r="R189" s="634" t="str">
        <f>IF($A189="","",VLOOKUP($A189,기본데이타!$A$8:$BV$103,COLUMN(기본데이타!T$8),0))</f>
        <v/>
      </c>
      <c r="S189" s="634" t="str">
        <f>IF($A189="","",VLOOKUP($A189,기본데이타!$A$8:$BV$103,COLUMN(기본데이타!U$8),0))</f>
        <v/>
      </c>
      <c r="T189" s="634" t="str">
        <f>IF($A189="","",VLOOKUP($A189,기본데이타!$A$8:$BV$103,COLUMN(기본데이타!V$8),0))</f>
        <v/>
      </c>
      <c r="U189" s="634" t="str">
        <f>IF($A189="","",VLOOKUP($A189,기본데이타!$A$8:$BV$103,COLUMN(기본데이타!W$8),0))</f>
        <v/>
      </c>
      <c r="V189" s="634" t="str">
        <f>IF($A189="","",VLOOKUP($A189,기본데이타!$A$8:$BV$103,COLUMN(기본데이타!X$8),0))</f>
        <v/>
      </c>
      <c r="W189" s="634" t="str">
        <f>IF($A189="","",VLOOKUP($A189,기본데이타!$A$8:$BV$103,COLUMN(기본데이타!AA$8),0))</f>
        <v/>
      </c>
      <c r="X189" s="634" t="str">
        <f>IF($A189="","",VLOOKUP($A189,기본데이타!$A$8:$BV$103,COLUMN(기본데이타!AB$8),0))</f>
        <v/>
      </c>
      <c r="Y189" s="633" t="str">
        <f>IF($A189="","",VLOOKUP($A189,기본데이타!$A$8:$BV$103,COLUMN(기본데이타!AC$8),0))</f>
        <v/>
      </c>
      <c r="Z189" s="634" t="str">
        <f>IF($A189="","",VLOOKUP($A189,기본데이타!$A$8:$BV$103,COLUMN(기본데이타!AD$8),0))</f>
        <v/>
      </c>
      <c r="AA189" s="633" t="str">
        <f>IF($A189="","",VLOOKUP($A189,기본데이타!$A$8:$BV$103,COLUMN(기본데이타!AE$8),0))</f>
        <v/>
      </c>
      <c r="AB189" s="634" t="str">
        <f>IF($A189="","",VLOOKUP($A189,기본데이타!$A$8:$BV$103,COLUMN(기본데이타!AF$8),0))</f>
        <v/>
      </c>
      <c r="AC189" s="633" t="str">
        <f>IF($A189="","",VLOOKUP($A189,기본데이타!$A$8:$BV$103,COLUMN(기본데이타!AG$8),0))</f>
        <v/>
      </c>
      <c r="AD189" s="634" t="str">
        <f>IF($A189="","",VLOOKUP($A189,기본데이타!$A$8:$BV$103,COLUMN(기본데이타!AH$8),0))</f>
        <v/>
      </c>
      <c r="AE189" s="633" t="str">
        <f>IF($A189="","",VLOOKUP($A189,기본데이타!$A$8:$BV$103,COLUMN(기본데이타!AI$8),0))</f>
        <v/>
      </c>
      <c r="AF189" s="635" t="str">
        <f>IF($A189="","",VLOOKUP($A189,기본데이타!$A$8:$BV$103,COLUMN(기본데이타!AJ$8),0))</f>
        <v/>
      </c>
      <c r="AG189" s="580" t="str">
        <f>IF($A189="","",VLOOKUP($A189,기본데이타!$A$8:$BV$103,COLUMN(기본데이타!AK$8),0))</f>
        <v/>
      </c>
      <c r="AH189" s="580" t="str">
        <f>IF($A189="","",VLOOKUP($A189,기본데이타!$A$8:$BV$103,COLUMN(기본데이타!AL$8),0))</f>
        <v/>
      </c>
      <c r="AI189" s="580" t="str">
        <f>IF($A189="","",VLOOKUP($A189,기본데이타!$A$8:$BV$103,COLUMN(기본데이타!AM$8),0))</f>
        <v/>
      </c>
      <c r="AJ189" s="636" t="str">
        <f>IF($A189="","",VLOOKUP($A189,기본데이타!$A$8:$BV$103,COLUMN(기본데이타!AN$8),0))</f>
        <v/>
      </c>
      <c r="AK189" s="636" t="str">
        <f>IF($A189="","",VLOOKUP($A189,기본데이타!$A$8:$BV$103,COLUMN(기본데이타!AO$8),0))</f>
        <v/>
      </c>
      <c r="AL189" s="636" t="str">
        <f>IF($A189="","",VLOOKUP($A189,기본데이타!$A$8:$BV$103,COLUMN(기본데이타!AP$8),0))</f>
        <v/>
      </c>
      <c r="AM189" s="636" t="str">
        <f>IF($A189="","",VLOOKUP($A189,기본데이타!$A$8:$BV$103,COLUMN(기본데이타!AQ$8),0))</f>
        <v/>
      </c>
      <c r="AN189" s="636" t="str">
        <f>IF($A189="","",VLOOKUP($A189,기본데이타!$A$8:$BV$103,COLUMN(기본데이타!AR$8),0))</f>
        <v/>
      </c>
      <c r="AO189" s="636" t="str">
        <f>IF($A189="","",VLOOKUP($A189,기본데이타!$A$8:$BV$103,COLUMN(기본데이타!AS$8),0))</f>
        <v/>
      </c>
      <c r="AP189" s="636" t="str">
        <f>IF($A189="","",VLOOKUP($A189,기본데이타!$A$8:$BV$103,COLUMN(기본데이타!AT$8),0))</f>
        <v/>
      </c>
      <c r="AQ189" s="636" t="str">
        <f>IF($A189="","",VLOOKUP($A189,기본데이타!$A$8:$BV$103,COLUMN(기본데이타!AU$8),0))</f>
        <v/>
      </c>
      <c r="AR189" s="637" t="str">
        <f>IF($A189="","",VLOOKUP($A189,기본데이타!$A$8:$BV$103,COLUMN(기본데이타!AV$8),0))</f>
        <v/>
      </c>
      <c r="AS189" s="634" t="str">
        <f>IF($A189="","",VLOOKUP($A189,기본데이타!$A$8:$BV$103,COLUMN(기본데이타!AW$8),0))</f>
        <v/>
      </c>
      <c r="AT189" s="634" t="str">
        <f>IF($A189="","",VLOOKUP($A189,기본데이타!$A$8:$BV$103,COLUMN(기본데이타!AX$8),0))</f>
        <v/>
      </c>
      <c r="AU189" s="634" t="str">
        <f>IF($A189="","",VLOOKUP($A189,기본데이타!$A$8:$BV$103,COLUMN(기본데이타!AY$8),0))</f>
        <v/>
      </c>
      <c r="AV189" s="634" t="str">
        <f t="shared" si="30"/>
        <v/>
      </c>
      <c r="AW189" s="635" t="str">
        <f>IF($A189="","",VLOOKUP($A189,기본데이타!$A$8:$BV$103,COLUMN(기본데이타!BA$8),0))</f>
        <v/>
      </c>
      <c r="AX189" s="635" t="str">
        <f>IF($A189="","",VLOOKUP($A189,기본데이타!$A$8:$BV$103,COLUMN(기본데이타!BB$8),0))</f>
        <v/>
      </c>
      <c r="AY189" s="635" t="str">
        <f>IF($A189="","",VLOOKUP($A189,기본데이타!$A$8:$BV$103,COLUMN(기본데이타!BC$8),0))</f>
        <v/>
      </c>
      <c r="AZ189" s="635" t="str">
        <f>IF($A189="","",VLOOKUP($A189,기본데이타!$A$8:$BV$103,COLUMN(기본데이타!BD$8),0))</f>
        <v/>
      </c>
      <c r="BA189" s="635" t="str">
        <f>IF($A189="","",VLOOKUP($A189,기본데이타!$A$8:$BV$103,COLUMN(기본데이타!BE$8),0))</f>
        <v/>
      </c>
      <c r="BB189" s="635" t="str">
        <f>IF($A189="","",VLOOKUP($A189,기본데이타!$A$8:$BV$103,COLUMN(기본데이타!BF$8),0))</f>
        <v/>
      </c>
      <c r="BC189" s="635" t="str">
        <f>IF($A189="","",VLOOKUP($A189,기본데이타!$A$8:$BV$103,COLUMN(기본데이타!BG$8),0))</f>
        <v/>
      </c>
      <c r="BD189" s="635" t="str">
        <f>IF($A189="","",VLOOKUP($A189,기본데이타!$A$8:$BV$103,COLUMN(기본데이타!BH$8),0))</f>
        <v/>
      </c>
      <c r="BE189" s="635" t="str">
        <f>IF($A189="","",VLOOKUP($A189,기본데이타!$A$8:$BV$103,COLUMN(기본데이타!BI$8),0))</f>
        <v/>
      </c>
      <c r="BF189" s="635" t="str">
        <f>IF($A189="","",VLOOKUP($A189,기본데이타!$A$8:$BV$103,COLUMN(기본데이타!BJ$8),0))</f>
        <v/>
      </c>
      <c r="BG189" s="635" t="str">
        <f>IF($A189="","",VLOOKUP($A189,기본데이타!$A$8:$BV$103,COLUMN(기본데이타!BK$8),0))</f>
        <v/>
      </c>
      <c r="BH189" s="635" t="str">
        <f>IF($A189="","",VLOOKUP($A189,기본데이타!$A$8:$BV$103,COLUMN(기본데이타!BL$8),0))</f>
        <v/>
      </c>
      <c r="BI189" s="635" t="str">
        <f>IF($A189="","",VLOOKUP($A189,기본데이타!$A$8:$BV$103,COLUMN(기본데이타!BM$8),0))</f>
        <v/>
      </c>
      <c r="BJ189" s="635" t="str">
        <f>IF($A189="","",VLOOKUP($A189,기본데이타!$A$8:$BV$103,COLUMN(기본데이타!BN$8),0))</f>
        <v/>
      </c>
      <c r="BK189" s="635" t="str">
        <f>IF($A189="","",VLOOKUP($A189,기본데이타!$A$8:$BV$103,COLUMN(기본데이타!BO$8),0))</f>
        <v/>
      </c>
      <c r="BL189" s="635" t="str">
        <f>IF($A189="","",VLOOKUP($A189,기본데이타!$A$8:$BV$103,COLUMN(기본데이타!BP$8),0))</f>
        <v/>
      </c>
      <c r="BM189" s="635" t="str">
        <f>IF($A189="","",VLOOKUP($A189,기본데이타!$A$8:$BV$103,COLUMN(기본데이타!BQ$8),0))</f>
        <v/>
      </c>
      <c r="BN189" s="638" t="str">
        <f>IF($A189="","",VLOOKUP($A189,기본데이타!$A$8:$BV$103,COLUMN(기본데이타!BR$8),0))</f>
        <v/>
      </c>
      <c r="BO189" s="579" t="str">
        <f>IF($A189="","",VLOOKUP($A189,기본데이타!$A$8:$BV$103,COLUMN(기본데이타!BS$8),0))</f>
        <v/>
      </c>
      <c r="BP189" s="639" t="str">
        <f>IF($A189="","",VLOOKUP($A189,기본데이타!$A$8:$BV$103,COLUMN(기본데이타!BT$8),0))</f>
        <v/>
      </c>
      <c r="BQ189" s="999" t="str">
        <f>IF($A189="","",VLOOKUP($A189,기본데이타!$A$8:$BV$103,COLUMN(기본데이타!BU$8),0))</f>
        <v/>
      </c>
      <c r="BR189" s="625" t="str">
        <f t="shared" si="31"/>
        <v/>
      </c>
    </row>
    <row r="190" spans="1:70" s="571" customFormat="1" ht="89.25" hidden="1" customHeight="1">
      <c r="A190" s="578"/>
      <c r="B190" s="1642"/>
      <c r="C190" s="590"/>
      <c r="D190" s="629" t="str">
        <f>IF($A190="","",VLOOKUP($A190,기본데이타!$A$8:$BV$103,COLUMN(기본데이타!F$8),0))</f>
        <v/>
      </c>
      <c r="E190" s="630" t="str">
        <f>IF($A190="","",VLOOKUP($A190,기본데이타!$A$8:$BV$103,COLUMN(기본데이타!G$8),0))</f>
        <v/>
      </c>
      <c r="F190" s="631" t="str">
        <f>IF($A190="","",VLOOKUP($A190,기본데이타!$A$8:$BV$103,COLUMN(기본데이타!H$8),0))</f>
        <v/>
      </c>
      <c r="G190" s="632" t="str">
        <f>IF($A190="","",VLOOKUP($A190,기본데이타!$A$8:$BV$103,COLUMN(기본데이타!I$8),0))</f>
        <v/>
      </c>
      <c r="H190" s="632" t="str">
        <f>IF($A190="","",VLOOKUP($A190,기본데이타!$A$8:$BV$103,COLUMN(기본데이타!J$8),0))</f>
        <v/>
      </c>
      <c r="I190" s="633" t="str">
        <f>IF($A190="","",VLOOKUP($A190,기본데이타!$A$8:$BV$103,COLUMN(기본데이타!K$8),0))</f>
        <v/>
      </c>
      <c r="J190" s="633" t="str">
        <f>IF($A190="","",VLOOKUP($A190,기본데이타!$A$8:$BV$103,COLUMN(기본데이타!L$8),0))</f>
        <v/>
      </c>
      <c r="K190" s="633" t="str">
        <f>IF($A190="","",VLOOKUP($A190,기본데이타!$A$8:$BV$103,COLUMN(기본데이타!M$8),0))</f>
        <v/>
      </c>
      <c r="L190" s="634" t="str">
        <f>IF($A190="","",VLOOKUP($A190,기본데이타!$A$8:$BV$103,COLUMN(기본데이타!N$8),0))</f>
        <v/>
      </c>
      <c r="M190" s="633" t="str">
        <f>IF($A190="","",VLOOKUP($A190,기본데이타!$A$8:$BV$103,COLUMN(기본데이타!O$8),0))</f>
        <v/>
      </c>
      <c r="N190" s="634" t="str">
        <f>IF($A190="","",VLOOKUP($A190,기본데이타!$A$8:$BV$103,COLUMN(기본데이타!P$8),0))</f>
        <v/>
      </c>
      <c r="O190" s="634" t="str">
        <f>IF($A190="","",VLOOKUP($A190,기본데이타!$A$8:$BV$103,COLUMN(기본데이타!Q$8),0))</f>
        <v/>
      </c>
      <c r="P190" s="634" t="str">
        <f>IF($A190="","",VLOOKUP($A190,기본데이타!$A$8:$BV$103,COLUMN(기본데이타!R$8),0))</f>
        <v/>
      </c>
      <c r="Q190" s="634" t="str">
        <f>IF($A190="","",VLOOKUP($A190,기본데이타!$A$8:$BV$103,COLUMN(기본데이타!S$8),0))</f>
        <v/>
      </c>
      <c r="R190" s="634" t="str">
        <f>IF($A190="","",VLOOKUP($A190,기본데이타!$A$8:$BV$103,COLUMN(기본데이타!T$8),0))</f>
        <v/>
      </c>
      <c r="S190" s="634" t="str">
        <f>IF($A190="","",VLOOKUP($A190,기본데이타!$A$8:$BV$103,COLUMN(기본데이타!U$8),0))</f>
        <v/>
      </c>
      <c r="T190" s="634" t="str">
        <f>IF($A190="","",VLOOKUP($A190,기본데이타!$A$8:$BV$103,COLUMN(기본데이타!V$8),0))</f>
        <v/>
      </c>
      <c r="U190" s="634" t="str">
        <f>IF($A190="","",VLOOKUP($A190,기본데이타!$A$8:$BV$103,COLUMN(기본데이타!W$8),0))</f>
        <v/>
      </c>
      <c r="V190" s="634" t="str">
        <f>IF($A190="","",VLOOKUP($A190,기본데이타!$A$8:$BV$103,COLUMN(기본데이타!X$8),0))</f>
        <v/>
      </c>
      <c r="W190" s="634" t="str">
        <f>IF($A190="","",VLOOKUP($A190,기본데이타!$A$8:$BV$103,COLUMN(기본데이타!AA$8),0))</f>
        <v/>
      </c>
      <c r="X190" s="634" t="str">
        <f>IF($A190="","",VLOOKUP($A190,기본데이타!$A$8:$BV$103,COLUMN(기본데이타!AB$8),0))</f>
        <v/>
      </c>
      <c r="Y190" s="633" t="str">
        <f>IF($A190="","",VLOOKUP($A190,기본데이타!$A$8:$BV$103,COLUMN(기본데이타!AC$8),0))</f>
        <v/>
      </c>
      <c r="Z190" s="634" t="str">
        <f>IF($A190="","",VLOOKUP($A190,기본데이타!$A$8:$BV$103,COLUMN(기본데이타!AD$8),0))</f>
        <v/>
      </c>
      <c r="AA190" s="633" t="str">
        <f>IF($A190="","",VLOOKUP($A190,기본데이타!$A$8:$BV$103,COLUMN(기본데이타!AE$8),0))</f>
        <v/>
      </c>
      <c r="AB190" s="634" t="str">
        <f>IF($A190="","",VLOOKUP($A190,기본데이타!$A$8:$BV$103,COLUMN(기본데이타!AF$8),0))</f>
        <v/>
      </c>
      <c r="AC190" s="633" t="str">
        <f>IF($A190="","",VLOOKUP($A190,기본데이타!$A$8:$BV$103,COLUMN(기본데이타!AG$8),0))</f>
        <v/>
      </c>
      <c r="AD190" s="634" t="str">
        <f>IF($A190="","",VLOOKUP($A190,기본데이타!$A$8:$BV$103,COLUMN(기본데이타!AH$8),0))</f>
        <v/>
      </c>
      <c r="AE190" s="633" t="str">
        <f>IF($A190="","",VLOOKUP($A190,기본데이타!$A$8:$BV$103,COLUMN(기본데이타!AI$8),0))</f>
        <v/>
      </c>
      <c r="AF190" s="635" t="str">
        <f>IF($A190="","",VLOOKUP($A190,기본데이타!$A$8:$BV$103,COLUMN(기본데이타!AJ$8),0))</f>
        <v/>
      </c>
      <c r="AG190" s="580" t="str">
        <f>IF($A190="","",VLOOKUP($A190,기본데이타!$A$8:$BV$103,COLUMN(기본데이타!AK$8),0))</f>
        <v/>
      </c>
      <c r="AH190" s="580" t="str">
        <f>IF($A190="","",VLOOKUP($A190,기본데이타!$A$8:$BV$103,COLUMN(기본데이타!AL$8),0))</f>
        <v/>
      </c>
      <c r="AI190" s="580" t="str">
        <f>IF($A190="","",VLOOKUP($A190,기본데이타!$A$8:$BV$103,COLUMN(기본데이타!AM$8),0))</f>
        <v/>
      </c>
      <c r="AJ190" s="636" t="str">
        <f>IF($A190="","",VLOOKUP($A190,기본데이타!$A$8:$BV$103,COLUMN(기본데이타!AN$8),0))</f>
        <v/>
      </c>
      <c r="AK190" s="636" t="str">
        <f>IF($A190="","",VLOOKUP($A190,기본데이타!$A$8:$BV$103,COLUMN(기본데이타!AO$8),0))</f>
        <v/>
      </c>
      <c r="AL190" s="636" t="str">
        <f>IF($A190="","",VLOOKUP($A190,기본데이타!$A$8:$BV$103,COLUMN(기본데이타!AP$8),0))</f>
        <v/>
      </c>
      <c r="AM190" s="636" t="str">
        <f>IF($A190="","",VLOOKUP($A190,기본데이타!$A$8:$BV$103,COLUMN(기본데이타!AQ$8),0))</f>
        <v/>
      </c>
      <c r="AN190" s="636" t="str">
        <f>IF($A190="","",VLOOKUP($A190,기본데이타!$A$8:$BV$103,COLUMN(기본데이타!AR$8),0))</f>
        <v/>
      </c>
      <c r="AO190" s="636" t="str">
        <f>IF($A190="","",VLOOKUP($A190,기본데이타!$A$8:$BV$103,COLUMN(기본데이타!AS$8),0))</f>
        <v/>
      </c>
      <c r="AP190" s="636" t="str">
        <f>IF($A190="","",VLOOKUP($A190,기본데이타!$A$8:$BV$103,COLUMN(기본데이타!AT$8),0))</f>
        <v/>
      </c>
      <c r="AQ190" s="636" t="str">
        <f>IF($A190="","",VLOOKUP($A190,기본데이타!$A$8:$BV$103,COLUMN(기본데이타!AU$8),0))</f>
        <v/>
      </c>
      <c r="AR190" s="637" t="str">
        <f>IF($A190="","",VLOOKUP($A190,기본데이타!$A$8:$BV$103,COLUMN(기본데이타!AV$8),0))</f>
        <v/>
      </c>
      <c r="AS190" s="634" t="str">
        <f>IF($A190="","",VLOOKUP($A190,기본데이타!$A$8:$BV$103,COLUMN(기본데이타!AW$8),0))</f>
        <v/>
      </c>
      <c r="AT190" s="634" t="str">
        <f>IF($A190="","",VLOOKUP($A190,기본데이타!$A$8:$BV$103,COLUMN(기본데이타!AX$8),0))</f>
        <v/>
      </c>
      <c r="AU190" s="634" t="str">
        <f>IF($A190="","",VLOOKUP($A190,기본데이타!$A$8:$BV$103,COLUMN(기본데이타!AY$8),0))</f>
        <v/>
      </c>
      <c r="AV190" s="634" t="str">
        <f t="shared" si="30"/>
        <v/>
      </c>
      <c r="AW190" s="635" t="str">
        <f>IF($A190="","",VLOOKUP($A190,기본데이타!$A$8:$BV$103,COLUMN(기본데이타!BA$8),0))</f>
        <v/>
      </c>
      <c r="AX190" s="635" t="str">
        <f>IF($A190="","",VLOOKUP($A190,기본데이타!$A$8:$BV$103,COLUMN(기본데이타!BB$8),0))</f>
        <v/>
      </c>
      <c r="AY190" s="635" t="str">
        <f>IF($A190="","",VLOOKUP($A190,기본데이타!$A$8:$BV$103,COLUMN(기본데이타!BC$8),0))</f>
        <v/>
      </c>
      <c r="AZ190" s="635" t="str">
        <f>IF($A190="","",VLOOKUP($A190,기본데이타!$A$8:$BV$103,COLUMN(기본데이타!BD$8),0))</f>
        <v/>
      </c>
      <c r="BA190" s="635" t="str">
        <f>IF($A190="","",VLOOKUP($A190,기본데이타!$A$8:$BV$103,COLUMN(기본데이타!BE$8),0))</f>
        <v/>
      </c>
      <c r="BB190" s="635" t="str">
        <f>IF($A190="","",VLOOKUP($A190,기본데이타!$A$8:$BV$103,COLUMN(기본데이타!BF$8),0))</f>
        <v/>
      </c>
      <c r="BC190" s="635" t="str">
        <f>IF($A190="","",VLOOKUP($A190,기본데이타!$A$8:$BV$103,COLUMN(기본데이타!BG$8),0))</f>
        <v/>
      </c>
      <c r="BD190" s="635" t="str">
        <f>IF($A190="","",VLOOKUP($A190,기본데이타!$A$8:$BV$103,COLUMN(기본데이타!BH$8),0))</f>
        <v/>
      </c>
      <c r="BE190" s="635" t="str">
        <f>IF($A190="","",VLOOKUP($A190,기본데이타!$A$8:$BV$103,COLUMN(기본데이타!BI$8),0))</f>
        <v/>
      </c>
      <c r="BF190" s="635" t="str">
        <f>IF($A190="","",VLOOKUP($A190,기본데이타!$A$8:$BV$103,COLUMN(기본데이타!BJ$8),0))</f>
        <v/>
      </c>
      <c r="BG190" s="635" t="str">
        <f>IF($A190="","",VLOOKUP($A190,기본데이타!$A$8:$BV$103,COLUMN(기본데이타!BK$8),0))</f>
        <v/>
      </c>
      <c r="BH190" s="635" t="str">
        <f>IF($A190="","",VLOOKUP($A190,기본데이타!$A$8:$BV$103,COLUMN(기본데이타!BL$8),0))</f>
        <v/>
      </c>
      <c r="BI190" s="635" t="str">
        <f>IF($A190="","",VLOOKUP($A190,기본데이타!$A$8:$BV$103,COLUMN(기본데이타!BM$8),0))</f>
        <v/>
      </c>
      <c r="BJ190" s="635" t="str">
        <f>IF($A190="","",VLOOKUP($A190,기본데이타!$A$8:$BV$103,COLUMN(기본데이타!BN$8),0))</f>
        <v/>
      </c>
      <c r="BK190" s="635" t="str">
        <f>IF($A190="","",VLOOKUP($A190,기본데이타!$A$8:$BV$103,COLUMN(기본데이타!BO$8),0))</f>
        <v/>
      </c>
      <c r="BL190" s="635" t="str">
        <f>IF($A190="","",VLOOKUP($A190,기본데이타!$A$8:$BV$103,COLUMN(기본데이타!BP$8),0))</f>
        <v/>
      </c>
      <c r="BM190" s="635" t="str">
        <f>IF($A190="","",VLOOKUP($A190,기본데이타!$A$8:$BV$103,COLUMN(기본데이타!BQ$8),0))</f>
        <v/>
      </c>
      <c r="BN190" s="638" t="str">
        <f>IF($A190="","",VLOOKUP($A190,기본데이타!$A$8:$BV$103,COLUMN(기본데이타!BR$8),0))</f>
        <v/>
      </c>
      <c r="BO190" s="579" t="str">
        <f>IF($A190="","",VLOOKUP($A190,기본데이타!$A$8:$BV$103,COLUMN(기본데이타!BS$8),0))</f>
        <v/>
      </c>
      <c r="BP190" s="639" t="str">
        <f>IF($A190="","",VLOOKUP($A190,기본데이타!$A$8:$BV$103,COLUMN(기본데이타!BT$8),0))</f>
        <v/>
      </c>
      <c r="BQ190" s="999" t="str">
        <f>IF($A190="","",VLOOKUP($A190,기본데이타!$A$8:$BV$103,COLUMN(기본데이타!BU$8),0))</f>
        <v/>
      </c>
      <c r="BR190" s="625" t="str">
        <f t="shared" si="31"/>
        <v/>
      </c>
    </row>
    <row r="191" spans="1:70" s="571" customFormat="1" ht="89.25" hidden="1" customHeight="1">
      <c r="A191" s="578"/>
      <c r="B191" s="1642"/>
      <c r="C191" s="590"/>
      <c r="D191" s="629" t="str">
        <f>IF($A191="","",VLOOKUP($A191,기본데이타!$A$8:$BV$103,COLUMN(기본데이타!F$8),0))</f>
        <v/>
      </c>
      <c r="E191" s="630" t="str">
        <f>IF($A191="","",VLOOKUP($A191,기본데이타!$A$8:$BV$103,COLUMN(기본데이타!G$8),0))</f>
        <v/>
      </c>
      <c r="F191" s="631" t="str">
        <f>IF($A191="","",VLOOKUP($A191,기본데이타!$A$8:$BV$103,COLUMN(기본데이타!H$8),0))</f>
        <v/>
      </c>
      <c r="G191" s="632" t="str">
        <f>IF($A191="","",VLOOKUP($A191,기본데이타!$A$8:$BV$103,COLUMN(기본데이타!I$8),0))</f>
        <v/>
      </c>
      <c r="H191" s="632" t="str">
        <f>IF($A191="","",VLOOKUP($A191,기본데이타!$A$8:$BV$103,COLUMN(기본데이타!J$8),0))</f>
        <v/>
      </c>
      <c r="I191" s="633" t="str">
        <f>IF($A191="","",VLOOKUP($A191,기본데이타!$A$8:$BV$103,COLUMN(기본데이타!K$8),0))</f>
        <v/>
      </c>
      <c r="J191" s="633" t="str">
        <f>IF($A191="","",VLOOKUP($A191,기본데이타!$A$8:$BV$103,COLUMN(기본데이타!L$8),0))</f>
        <v/>
      </c>
      <c r="K191" s="633" t="str">
        <f>IF($A191="","",VLOOKUP($A191,기본데이타!$A$8:$BV$103,COLUMN(기본데이타!M$8),0))</f>
        <v/>
      </c>
      <c r="L191" s="634" t="str">
        <f>IF($A191="","",VLOOKUP($A191,기본데이타!$A$8:$BV$103,COLUMN(기본데이타!N$8),0))</f>
        <v/>
      </c>
      <c r="M191" s="633" t="str">
        <f>IF($A191="","",VLOOKUP($A191,기본데이타!$A$8:$BV$103,COLUMN(기본데이타!O$8),0))</f>
        <v/>
      </c>
      <c r="N191" s="634" t="str">
        <f>IF($A191="","",VLOOKUP($A191,기본데이타!$A$8:$BV$103,COLUMN(기본데이타!P$8),0))</f>
        <v/>
      </c>
      <c r="O191" s="634" t="str">
        <f>IF($A191="","",VLOOKUP($A191,기본데이타!$A$8:$BV$103,COLUMN(기본데이타!Q$8),0))</f>
        <v/>
      </c>
      <c r="P191" s="634" t="str">
        <f>IF($A191="","",VLOOKUP($A191,기본데이타!$A$8:$BV$103,COLUMN(기본데이타!R$8),0))</f>
        <v/>
      </c>
      <c r="Q191" s="634" t="str">
        <f>IF($A191="","",VLOOKUP($A191,기본데이타!$A$8:$BV$103,COLUMN(기본데이타!S$8),0))</f>
        <v/>
      </c>
      <c r="R191" s="634" t="str">
        <f>IF($A191="","",VLOOKUP($A191,기본데이타!$A$8:$BV$103,COLUMN(기본데이타!T$8),0))</f>
        <v/>
      </c>
      <c r="S191" s="634" t="str">
        <f>IF($A191="","",VLOOKUP($A191,기본데이타!$A$8:$BV$103,COLUMN(기본데이타!U$8),0))</f>
        <v/>
      </c>
      <c r="T191" s="634" t="str">
        <f>IF($A191="","",VLOOKUP($A191,기본데이타!$A$8:$BV$103,COLUMN(기본데이타!V$8),0))</f>
        <v/>
      </c>
      <c r="U191" s="634" t="str">
        <f>IF($A191="","",VLOOKUP($A191,기본데이타!$A$8:$BV$103,COLUMN(기본데이타!W$8),0))</f>
        <v/>
      </c>
      <c r="V191" s="634" t="str">
        <f>IF($A191="","",VLOOKUP($A191,기본데이타!$A$8:$BV$103,COLUMN(기본데이타!X$8),0))</f>
        <v/>
      </c>
      <c r="W191" s="634" t="str">
        <f>IF($A191="","",VLOOKUP($A191,기본데이타!$A$8:$BV$103,COLUMN(기본데이타!AA$8),0))</f>
        <v/>
      </c>
      <c r="X191" s="634" t="str">
        <f>IF($A191="","",VLOOKUP($A191,기본데이타!$A$8:$BV$103,COLUMN(기본데이타!AB$8),0))</f>
        <v/>
      </c>
      <c r="Y191" s="633" t="str">
        <f>IF($A191="","",VLOOKUP($A191,기본데이타!$A$8:$BV$103,COLUMN(기본데이타!AC$8),0))</f>
        <v/>
      </c>
      <c r="Z191" s="634" t="str">
        <f>IF($A191="","",VLOOKUP($A191,기본데이타!$A$8:$BV$103,COLUMN(기본데이타!AD$8),0))</f>
        <v/>
      </c>
      <c r="AA191" s="633" t="str">
        <f>IF($A191="","",VLOOKUP($A191,기본데이타!$A$8:$BV$103,COLUMN(기본데이타!AE$8),0))</f>
        <v/>
      </c>
      <c r="AB191" s="634" t="str">
        <f>IF($A191="","",VLOOKUP($A191,기본데이타!$A$8:$BV$103,COLUMN(기본데이타!AF$8),0))</f>
        <v/>
      </c>
      <c r="AC191" s="633" t="str">
        <f>IF($A191="","",VLOOKUP($A191,기본데이타!$A$8:$BV$103,COLUMN(기본데이타!AG$8),0))</f>
        <v/>
      </c>
      <c r="AD191" s="634" t="str">
        <f>IF($A191="","",VLOOKUP($A191,기본데이타!$A$8:$BV$103,COLUMN(기본데이타!AH$8),0))</f>
        <v/>
      </c>
      <c r="AE191" s="633" t="str">
        <f>IF($A191="","",VLOOKUP($A191,기본데이타!$A$8:$BV$103,COLUMN(기본데이타!AI$8),0))</f>
        <v/>
      </c>
      <c r="AF191" s="635" t="str">
        <f>IF($A191="","",VLOOKUP($A191,기본데이타!$A$8:$BV$103,COLUMN(기본데이타!AJ$8),0))</f>
        <v/>
      </c>
      <c r="AG191" s="580" t="str">
        <f>IF($A191="","",VLOOKUP($A191,기본데이타!$A$8:$BV$103,COLUMN(기본데이타!AK$8),0))</f>
        <v/>
      </c>
      <c r="AH191" s="580" t="str">
        <f>IF($A191="","",VLOOKUP($A191,기본데이타!$A$8:$BV$103,COLUMN(기본데이타!AL$8),0))</f>
        <v/>
      </c>
      <c r="AI191" s="580" t="str">
        <f>IF($A191="","",VLOOKUP($A191,기본데이타!$A$8:$BV$103,COLUMN(기본데이타!AM$8),0))</f>
        <v/>
      </c>
      <c r="AJ191" s="636" t="str">
        <f>IF($A191="","",VLOOKUP($A191,기본데이타!$A$8:$BV$103,COLUMN(기본데이타!AN$8),0))</f>
        <v/>
      </c>
      <c r="AK191" s="636" t="str">
        <f>IF($A191="","",VLOOKUP($A191,기본데이타!$A$8:$BV$103,COLUMN(기본데이타!AO$8),0))</f>
        <v/>
      </c>
      <c r="AL191" s="636" t="str">
        <f>IF($A191="","",VLOOKUP($A191,기본데이타!$A$8:$BV$103,COLUMN(기본데이타!AP$8),0))</f>
        <v/>
      </c>
      <c r="AM191" s="636" t="str">
        <f>IF($A191="","",VLOOKUP($A191,기본데이타!$A$8:$BV$103,COLUMN(기본데이타!AQ$8),0))</f>
        <v/>
      </c>
      <c r="AN191" s="636" t="str">
        <f>IF($A191="","",VLOOKUP($A191,기본데이타!$A$8:$BV$103,COLUMN(기본데이타!AR$8),0))</f>
        <v/>
      </c>
      <c r="AO191" s="636" t="str">
        <f>IF($A191="","",VLOOKUP($A191,기본데이타!$A$8:$BV$103,COLUMN(기본데이타!AS$8),0))</f>
        <v/>
      </c>
      <c r="AP191" s="636" t="str">
        <f>IF($A191="","",VLOOKUP($A191,기본데이타!$A$8:$BV$103,COLUMN(기본데이타!AT$8),0))</f>
        <v/>
      </c>
      <c r="AQ191" s="636" t="str">
        <f>IF($A191="","",VLOOKUP($A191,기본데이타!$A$8:$BV$103,COLUMN(기본데이타!AU$8),0))</f>
        <v/>
      </c>
      <c r="AR191" s="637" t="str">
        <f>IF($A191="","",VLOOKUP($A191,기본데이타!$A$8:$BV$103,COLUMN(기본데이타!AV$8),0))</f>
        <v/>
      </c>
      <c r="AS191" s="634" t="str">
        <f>IF($A191="","",VLOOKUP($A191,기본데이타!$A$8:$BV$103,COLUMN(기본데이타!AW$8),0))</f>
        <v/>
      </c>
      <c r="AT191" s="634" t="str">
        <f>IF($A191="","",VLOOKUP($A191,기본데이타!$A$8:$BV$103,COLUMN(기본데이타!AX$8),0))</f>
        <v/>
      </c>
      <c r="AU191" s="634" t="str">
        <f>IF($A191="","",VLOOKUP($A191,기본데이타!$A$8:$BV$103,COLUMN(기본데이타!AY$8),0))</f>
        <v/>
      </c>
      <c r="AV191" s="634" t="str">
        <f t="shared" si="30"/>
        <v/>
      </c>
      <c r="AW191" s="635" t="str">
        <f>IF($A191="","",VLOOKUP($A191,기본데이타!$A$8:$BV$103,COLUMN(기본데이타!BA$8),0))</f>
        <v/>
      </c>
      <c r="AX191" s="635" t="str">
        <f>IF($A191="","",VLOOKUP($A191,기본데이타!$A$8:$BV$103,COLUMN(기본데이타!BB$8),0))</f>
        <v/>
      </c>
      <c r="AY191" s="635" t="str">
        <f>IF($A191="","",VLOOKUP($A191,기본데이타!$A$8:$BV$103,COLUMN(기본데이타!BC$8),0))</f>
        <v/>
      </c>
      <c r="AZ191" s="635" t="str">
        <f>IF($A191="","",VLOOKUP($A191,기본데이타!$A$8:$BV$103,COLUMN(기본데이타!BD$8),0))</f>
        <v/>
      </c>
      <c r="BA191" s="635" t="str">
        <f>IF($A191="","",VLOOKUP($A191,기본데이타!$A$8:$BV$103,COLUMN(기본데이타!BE$8),0))</f>
        <v/>
      </c>
      <c r="BB191" s="635" t="str">
        <f>IF($A191="","",VLOOKUP($A191,기본데이타!$A$8:$BV$103,COLUMN(기본데이타!BF$8),0))</f>
        <v/>
      </c>
      <c r="BC191" s="635" t="str">
        <f>IF($A191="","",VLOOKUP($A191,기본데이타!$A$8:$BV$103,COLUMN(기본데이타!BG$8),0))</f>
        <v/>
      </c>
      <c r="BD191" s="635" t="str">
        <f>IF($A191="","",VLOOKUP($A191,기본데이타!$A$8:$BV$103,COLUMN(기본데이타!BH$8),0))</f>
        <v/>
      </c>
      <c r="BE191" s="635" t="str">
        <f>IF($A191="","",VLOOKUP($A191,기본데이타!$A$8:$BV$103,COLUMN(기본데이타!BI$8),0))</f>
        <v/>
      </c>
      <c r="BF191" s="635" t="str">
        <f>IF($A191="","",VLOOKUP($A191,기본데이타!$A$8:$BV$103,COLUMN(기본데이타!BJ$8),0))</f>
        <v/>
      </c>
      <c r="BG191" s="635" t="str">
        <f>IF($A191="","",VLOOKUP($A191,기본데이타!$A$8:$BV$103,COLUMN(기본데이타!BK$8),0))</f>
        <v/>
      </c>
      <c r="BH191" s="635" t="str">
        <f>IF($A191="","",VLOOKUP($A191,기본데이타!$A$8:$BV$103,COLUMN(기본데이타!BL$8),0))</f>
        <v/>
      </c>
      <c r="BI191" s="635" t="str">
        <f>IF($A191="","",VLOOKUP($A191,기본데이타!$A$8:$BV$103,COLUMN(기본데이타!BM$8),0))</f>
        <v/>
      </c>
      <c r="BJ191" s="635" t="str">
        <f>IF($A191="","",VLOOKUP($A191,기본데이타!$A$8:$BV$103,COLUMN(기본데이타!BN$8),0))</f>
        <v/>
      </c>
      <c r="BK191" s="635" t="str">
        <f>IF($A191="","",VLOOKUP($A191,기본데이타!$A$8:$BV$103,COLUMN(기본데이타!BO$8),0))</f>
        <v/>
      </c>
      <c r="BL191" s="635" t="str">
        <f>IF($A191="","",VLOOKUP($A191,기본데이타!$A$8:$BV$103,COLUMN(기본데이타!BP$8),0))</f>
        <v/>
      </c>
      <c r="BM191" s="635" t="str">
        <f>IF($A191="","",VLOOKUP($A191,기본데이타!$A$8:$BV$103,COLUMN(기본데이타!BQ$8),0))</f>
        <v/>
      </c>
      <c r="BN191" s="638" t="str">
        <f>IF($A191="","",VLOOKUP($A191,기본데이타!$A$8:$BV$103,COLUMN(기본데이타!BR$8),0))</f>
        <v/>
      </c>
      <c r="BO191" s="579" t="str">
        <f>IF($A191="","",VLOOKUP($A191,기본데이타!$A$8:$BV$103,COLUMN(기본데이타!BS$8),0))</f>
        <v/>
      </c>
      <c r="BP191" s="639" t="str">
        <f>IF($A191="","",VLOOKUP($A191,기본데이타!$A$8:$BV$103,COLUMN(기본데이타!BT$8),0))</f>
        <v/>
      </c>
      <c r="BQ191" s="999" t="str">
        <f>IF($A191="","",VLOOKUP($A191,기본데이타!$A$8:$BV$103,COLUMN(기본데이타!BU$8),0))</f>
        <v/>
      </c>
      <c r="BR191" s="625" t="str">
        <f t="shared" si="31"/>
        <v/>
      </c>
    </row>
    <row r="192" spans="1:70" s="571" customFormat="1" ht="89.25" hidden="1" customHeight="1">
      <c r="A192" s="578"/>
      <c r="B192" s="1642"/>
      <c r="C192" s="590"/>
      <c r="D192" s="629" t="str">
        <f>IF($A192="","",VLOOKUP($A192,기본데이타!$A$8:$BV$103,COLUMN(기본데이타!F$8),0))</f>
        <v/>
      </c>
      <c r="E192" s="630" t="str">
        <f>IF($A192="","",VLOOKUP($A192,기본데이타!$A$8:$BV$103,COLUMN(기본데이타!G$8),0))</f>
        <v/>
      </c>
      <c r="F192" s="631" t="str">
        <f>IF($A192="","",VLOOKUP($A192,기본데이타!$A$8:$BV$103,COLUMN(기본데이타!H$8),0))</f>
        <v/>
      </c>
      <c r="G192" s="632" t="str">
        <f>IF($A192="","",VLOOKUP($A192,기본데이타!$A$8:$BV$103,COLUMN(기본데이타!I$8),0))</f>
        <v/>
      </c>
      <c r="H192" s="632" t="str">
        <f>IF($A192="","",VLOOKUP($A192,기본데이타!$A$8:$BV$103,COLUMN(기본데이타!J$8),0))</f>
        <v/>
      </c>
      <c r="I192" s="633" t="str">
        <f>IF($A192="","",VLOOKUP($A192,기본데이타!$A$8:$BV$103,COLUMN(기본데이타!K$8),0))</f>
        <v/>
      </c>
      <c r="J192" s="633" t="str">
        <f>IF($A192="","",VLOOKUP($A192,기본데이타!$A$8:$BV$103,COLUMN(기본데이타!L$8),0))</f>
        <v/>
      </c>
      <c r="K192" s="633" t="str">
        <f>IF($A192="","",VLOOKUP($A192,기본데이타!$A$8:$BV$103,COLUMN(기본데이타!M$8),0))</f>
        <v/>
      </c>
      <c r="L192" s="634" t="str">
        <f>IF($A192="","",VLOOKUP($A192,기본데이타!$A$8:$BV$103,COLUMN(기본데이타!N$8),0))</f>
        <v/>
      </c>
      <c r="M192" s="633" t="str">
        <f>IF($A192="","",VLOOKUP($A192,기본데이타!$A$8:$BV$103,COLUMN(기본데이타!O$8),0))</f>
        <v/>
      </c>
      <c r="N192" s="634" t="str">
        <f>IF($A192="","",VLOOKUP($A192,기본데이타!$A$8:$BV$103,COLUMN(기본데이타!P$8),0))</f>
        <v/>
      </c>
      <c r="O192" s="634" t="str">
        <f>IF($A192="","",VLOOKUP($A192,기본데이타!$A$8:$BV$103,COLUMN(기본데이타!Q$8),0))</f>
        <v/>
      </c>
      <c r="P192" s="634" t="str">
        <f>IF($A192="","",VLOOKUP($A192,기본데이타!$A$8:$BV$103,COLUMN(기본데이타!R$8),0))</f>
        <v/>
      </c>
      <c r="Q192" s="634" t="str">
        <f>IF($A192="","",VLOOKUP($A192,기본데이타!$A$8:$BV$103,COLUMN(기본데이타!S$8),0))</f>
        <v/>
      </c>
      <c r="R192" s="634" t="str">
        <f>IF($A192="","",VLOOKUP($A192,기본데이타!$A$8:$BV$103,COLUMN(기본데이타!T$8),0))</f>
        <v/>
      </c>
      <c r="S192" s="634" t="str">
        <f>IF($A192="","",VLOOKUP($A192,기본데이타!$A$8:$BV$103,COLUMN(기본데이타!U$8),0))</f>
        <v/>
      </c>
      <c r="T192" s="634" t="str">
        <f>IF($A192="","",VLOOKUP($A192,기본데이타!$A$8:$BV$103,COLUMN(기본데이타!V$8),0))</f>
        <v/>
      </c>
      <c r="U192" s="634" t="str">
        <f>IF($A192="","",VLOOKUP($A192,기본데이타!$A$8:$BV$103,COLUMN(기본데이타!W$8),0))</f>
        <v/>
      </c>
      <c r="V192" s="634" t="str">
        <f>IF($A192="","",VLOOKUP($A192,기본데이타!$A$8:$BV$103,COLUMN(기본데이타!X$8),0))</f>
        <v/>
      </c>
      <c r="W192" s="634" t="str">
        <f>IF($A192="","",VLOOKUP($A192,기본데이타!$A$8:$BV$103,COLUMN(기본데이타!AA$8),0))</f>
        <v/>
      </c>
      <c r="X192" s="634" t="str">
        <f>IF($A192="","",VLOOKUP($A192,기본데이타!$A$8:$BV$103,COLUMN(기본데이타!AB$8),0))</f>
        <v/>
      </c>
      <c r="Y192" s="633" t="str">
        <f>IF($A192="","",VLOOKUP($A192,기본데이타!$A$8:$BV$103,COLUMN(기본데이타!AC$8),0))</f>
        <v/>
      </c>
      <c r="Z192" s="634" t="str">
        <f>IF($A192="","",VLOOKUP($A192,기본데이타!$A$8:$BV$103,COLUMN(기본데이타!AD$8),0))</f>
        <v/>
      </c>
      <c r="AA192" s="633" t="str">
        <f>IF($A192="","",VLOOKUP($A192,기본데이타!$A$8:$BV$103,COLUMN(기본데이타!AE$8),0))</f>
        <v/>
      </c>
      <c r="AB192" s="634" t="str">
        <f>IF($A192="","",VLOOKUP($A192,기본데이타!$A$8:$BV$103,COLUMN(기본데이타!AF$8),0))</f>
        <v/>
      </c>
      <c r="AC192" s="633" t="str">
        <f>IF($A192="","",VLOOKUP($A192,기본데이타!$A$8:$BV$103,COLUMN(기본데이타!AG$8),0))</f>
        <v/>
      </c>
      <c r="AD192" s="634" t="str">
        <f>IF($A192="","",VLOOKUP($A192,기본데이타!$A$8:$BV$103,COLUMN(기본데이타!AH$8),0))</f>
        <v/>
      </c>
      <c r="AE192" s="633" t="str">
        <f>IF($A192="","",VLOOKUP($A192,기본데이타!$A$8:$BV$103,COLUMN(기본데이타!AI$8),0))</f>
        <v/>
      </c>
      <c r="AF192" s="635" t="str">
        <f>IF($A192="","",VLOOKUP($A192,기본데이타!$A$8:$BV$103,COLUMN(기본데이타!AJ$8),0))</f>
        <v/>
      </c>
      <c r="AG192" s="580" t="str">
        <f>IF($A192="","",VLOOKUP($A192,기본데이타!$A$8:$BV$103,COLUMN(기본데이타!AK$8),0))</f>
        <v/>
      </c>
      <c r="AH192" s="580" t="str">
        <f>IF($A192="","",VLOOKUP($A192,기본데이타!$A$8:$BV$103,COLUMN(기본데이타!AL$8),0))</f>
        <v/>
      </c>
      <c r="AI192" s="580" t="str">
        <f>IF($A192="","",VLOOKUP($A192,기본데이타!$A$8:$BV$103,COLUMN(기본데이타!AM$8),0))</f>
        <v/>
      </c>
      <c r="AJ192" s="636" t="str">
        <f>IF($A192="","",VLOOKUP($A192,기본데이타!$A$8:$BV$103,COLUMN(기본데이타!AN$8),0))</f>
        <v/>
      </c>
      <c r="AK192" s="636" t="str">
        <f>IF($A192="","",VLOOKUP($A192,기본데이타!$A$8:$BV$103,COLUMN(기본데이타!AO$8),0))</f>
        <v/>
      </c>
      <c r="AL192" s="636" t="str">
        <f>IF($A192="","",VLOOKUP($A192,기본데이타!$A$8:$BV$103,COLUMN(기본데이타!AP$8),0))</f>
        <v/>
      </c>
      <c r="AM192" s="636" t="str">
        <f>IF($A192="","",VLOOKUP($A192,기본데이타!$A$8:$BV$103,COLUMN(기본데이타!AQ$8),0))</f>
        <v/>
      </c>
      <c r="AN192" s="636" t="str">
        <f>IF($A192="","",VLOOKUP($A192,기본데이타!$A$8:$BV$103,COLUMN(기본데이타!AR$8),0))</f>
        <v/>
      </c>
      <c r="AO192" s="636" t="str">
        <f>IF($A192="","",VLOOKUP($A192,기본데이타!$A$8:$BV$103,COLUMN(기본데이타!AS$8),0))</f>
        <v/>
      </c>
      <c r="AP192" s="636" t="str">
        <f>IF($A192="","",VLOOKUP($A192,기본데이타!$A$8:$BV$103,COLUMN(기본데이타!AT$8),0))</f>
        <v/>
      </c>
      <c r="AQ192" s="636" t="str">
        <f>IF($A192="","",VLOOKUP($A192,기본데이타!$A$8:$BV$103,COLUMN(기본데이타!AU$8),0))</f>
        <v/>
      </c>
      <c r="AR192" s="637" t="str">
        <f>IF($A192="","",VLOOKUP($A192,기본데이타!$A$8:$BV$103,COLUMN(기본데이타!AV$8),0))</f>
        <v/>
      </c>
      <c r="AS192" s="634" t="str">
        <f>IF($A192="","",VLOOKUP($A192,기본데이타!$A$8:$BV$103,COLUMN(기본데이타!AW$8),0))</f>
        <v/>
      </c>
      <c r="AT192" s="634" t="str">
        <f>IF($A192="","",VLOOKUP($A192,기본데이타!$A$8:$BV$103,COLUMN(기본데이타!AX$8),0))</f>
        <v/>
      </c>
      <c r="AU192" s="634" t="str">
        <f>IF($A192="","",VLOOKUP($A192,기본데이타!$A$8:$BV$103,COLUMN(기본데이타!AY$8),0))</f>
        <v/>
      </c>
      <c r="AV192" s="634" t="str">
        <f t="shared" si="30"/>
        <v/>
      </c>
      <c r="AW192" s="635" t="str">
        <f>IF($A192="","",VLOOKUP($A192,기본데이타!$A$8:$BV$103,COLUMN(기본데이타!BA$8),0))</f>
        <v/>
      </c>
      <c r="AX192" s="635" t="str">
        <f>IF($A192="","",VLOOKUP($A192,기본데이타!$A$8:$BV$103,COLUMN(기본데이타!BB$8),0))</f>
        <v/>
      </c>
      <c r="AY192" s="635" t="str">
        <f>IF($A192="","",VLOOKUP($A192,기본데이타!$A$8:$BV$103,COLUMN(기본데이타!BC$8),0))</f>
        <v/>
      </c>
      <c r="AZ192" s="635" t="str">
        <f>IF($A192="","",VLOOKUP($A192,기본데이타!$A$8:$BV$103,COLUMN(기본데이타!BD$8),0))</f>
        <v/>
      </c>
      <c r="BA192" s="635" t="str">
        <f>IF($A192="","",VLOOKUP($A192,기본데이타!$A$8:$BV$103,COLUMN(기본데이타!BE$8),0))</f>
        <v/>
      </c>
      <c r="BB192" s="635" t="str">
        <f>IF($A192="","",VLOOKUP($A192,기본데이타!$A$8:$BV$103,COLUMN(기본데이타!BF$8),0))</f>
        <v/>
      </c>
      <c r="BC192" s="635" t="str">
        <f>IF($A192="","",VLOOKUP($A192,기본데이타!$A$8:$BV$103,COLUMN(기본데이타!BG$8),0))</f>
        <v/>
      </c>
      <c r="BD192" s="635" t="str">
        <f>IF($A192="","",VLOOKUP($A192,기본데이타!$A$8:$BV$103,COLUMN(기본데이타!BH$8),0))</f>
        <v/>
      </c>
      <c r="BE192" s="635" t="str">
        <f>IF($A192="","",VLOOKUP($A192,기본데이타!$A$8:$BV$103,COLUMN(기본데이타!BI$8),0))</f>
        <v/>
      </c>
      <c r="BF192" s="635" t="str">
        <f>IF($A192="","",VLOOKUP($A192,기본데이타!$A$8:$BV$103,COLUMN(기본데이타!BJ$8),0))</f>
        <v/>
      </c>
      <c r="BG192" s="635" t="str">
        <f>IF($A192="","",VLOOKUP($A192,기본데이타!$A$8:$BV$103,COLUMN(기본데이타!BK$8),0))</f>
        <v/>
      </c>
      <c r="BH192" s="635" t="str">
        <f>IF($A192="","",VLOOKUP($A192,기본데이타!$A$8:$BV$103,COLUMN(기본데이타!BL$8),0))</f>
        <v/>
      </c>
      <c r="BI192" s="635" t="str">
        <f>IF($A192="","",VLOOKUP($A192,기본데이타!$A$8:$BV$103,COLUMN(기본데이타!BM$8),0))</f>
        <v/>
      </c>
      <c r="BJ192" s="635" t="str">
        <f>IF($A192="","",VLOOKUP($A192,기본데이타!$A$8:$BV$103,COLUMN(기본데이타!BN$8),0))</f>
        <v/>
      </c>
      <c r="BK192" s="635" t="str">
        <f>IF($A192="","",VLOOKUP($A192,기본데이타!$A$8:$BV$103,COLUMN(기본데이타!BO$8),0))</f>
        <v/>
      </c>
      <c r="BL192" s="635" t="str">
        <f>IF($A192="","",VLOOKUP($A192,기본데이타!$A$8:$BV$103,COLUMN(기본데이타!BP$8),0))</f>
        <v/>
      </c>
      <c r="BM192" s="635" t="str">
        <f>IF($A192="","",VLOOKUP($A192,기본데이타!$A$8:$BV$103,COLUMN(기본데이타!BQ$8),0))</f>
        <v/>
      </c>
      <c r="BN192" s="638" t="str">
        <f>IF($A192="","",VLOOKUP($A192,기본데이타!$A$8:$BV$103,COLUMN(기본데이타!BR$8),0))</f>
        <v/>
      </c>
      <c r="BO192" s="579" t="str">
        <f>IF($A192="","",VLOOKUP($A192,기본데이타!$A$8:$BV$103,COLUMN(기본데이타!BS$8),0))</f>
        <v/>
      </c>
      <c r="BP192" s="639" t="str">
        <f>IF($A192="","",VLOOKUP($A192,기본데이타!$A$8:$BV$103,COLUMN(기본데이타!BT$8),0))</f>
        <v/>
      </c>
      <c r="BQ192" s="999" t="str">
        <f>IF($A192="","",VLOOKUP($A192,기본데이타!$A$8:$BV$103,COLUMN(기본데이타!BU$8),0))</f>
        <v/>
      </c>
      <c r="BR192" s="625" t="str">
        <f t="shared" si="31"/>
        <v/>
      </c>
    </row>
    <row r="193" spans="1:70" s="571" customFormat="1" ht="89.25" hidden="1" customHeight="1">
      <c r="A193" s="578"/>
      <c r="B193" s="1642"/>
      <c r="C193" s="590"/>
      <c r="D193" s="629" t="str">
        <f>IF($A193="","",VLOOKUP($A193,기본데이타!$A$8:$BV$103,COLUMN(기본데이타!F$8),0))</f>
        <v/>
      </c>
      <c r="E193" s="630" t="str">
        <f>IF($A193="","",VLOOKUP($A193,기본데이타!$A$8:$BV$103,COLUMN(기본데이타!G$8),0))</f>
        <v/>
      </c>
      <c r="F193" s="631" t="str">
        <f>IF($A193="","",VLOOKUP($A193,기본데이타!$A$8:$BV$103,COLUMN(기본데이타!H$8),0))</f>
        <v/>
      </c>
      <c r="G193" s="632" t="str">
        <f>IF($A193="","",VLOOKUP($A193,기본데이타!$A$8:$BV$103,COLUMN(기본데이타!I$8),0))</f>
        <v/>
      </c>
      <c r="H193" s="632" t="str">
        <f>IF($A193="","",VLOOKUP($A193,기본데이타!$A$8:$BV$103,COLUMN(기본데이타!J$8),0))</f>
        <v/>
      </c>
      <c r="I193" s="633" t="str">
        <f>IF($A193="","",VLOOKUP($A193,기본데이타!$A$8:$BV$103,COLUMN(기본데이타!K$8),0))</f>
        <v/>
      </c>
      <c r="J193" s="633" t="str">
        <f>IF($A193="","",VLOOKUP($A193,기본데이타!$A$8:$BV$103,COLUMN(기본데이타!L$8),0))</f>
        <v/>
      </c>
      <c r="K193" s="633" t="str">
        <f>IF($A193="","",VLOOKUP($A193,기본데이타!$A$8:$BV$103,COLUMN(기본데이타!M$8),0))</f>
        <v/>
      </c>
      <c r="L193" s="634" t="str">
        <f>IF($A193="","",VLOOKUP($A193,기본데이타!$A$8:$BV$103,COLUMN(기본데이타!N$8),0))</f>
        <v/>
      </c>
      <c r="M193" s="633" t="str">
        <f>IF($A193="","",VLOOKUP($A193,기본데이타!$A$8:$BV$103,COLUMN(기본데이타!O$8),0))</f>
        <v/>
      </c>
      <c r="N193" s="634" t="str">
        <f>IF($A193="","",VLOOKUP($A193,기본데이타!$A$8:$BV$103,COLUMN(기본데이타!P$8),0))</f>
        <v/>
      </c>
      <c r="O193" s="634" t="str">
        <f>IF($A193="","",VLOOKUP($A193,기본데이타!$A$8:$BV$103,COLUMN(기본데이타!Q$8),0))</f>
        <v/>
      </c>
      <c r="P193" s="634" t="str">
        <f>IF($A193="","",VLOOKUP($A193,기본데이타!$A$8:$BV$103,COLUMN(기본데이타!R$8),0))</f>
        <v/>
      </c>
      <c r="Q193" s="634" t="str">
        <f>IF($A193="","",VLOOKUP($A193,기본데이타!$A$8:$BV$103,COLUMN(기본데이타!S$8),0))</f>
        <v/>
      </c>
      <c r="R193" s="634" t="str">
        <f>IF($A193="","",VLOOKUP($A193,기본데이타!$A$8:$BV$103,COLUMN(기본데이타!T$8),0))</f>
        <v/>
      </c>
      <c r="S193" s="634" t="str">
        <f>IF($A193="","",VLOOKUP($A193,기본데이타!$A$8:$BV$103,COLUMN(기본데이타!U$8),0))</f>
        <v/>
      </c>
      <c r="T193" s="634" t="str">
        <f>IF($A193="","",VLOOKUP($A193,기본데이타!$A$8:$BV$103,COLUMN(기본데이타!V$8),0))</f>
        <v/>
      </c>
      <c r="U193" s="634" t="str">
        <f>IF($A193="","",VLOOKUP($A193,기본데이타!$A$8:$BV$103,COLUMN(기본데이타!W$8),0))</f>
        <v/>
      </c>
      <c r="V193" s="634" t="str">
        <f>IF($A193="","",VLOOKUP($A193,기본데이타!$A$8:$BV$103,COLUMN(기본데이타!X$8),0))</f>
        <v/>
      </c>
      <c r="W193" s="634" t="str">
        <f>IF($A193="","",VLOOKUP($A193,기본데이타!$A$8:$BV$103,COLUMN(기본데이타!AA$8),0))</f>
        <v/>
      </c>
      <c r="X193" s="634" t="str">
        <f>IF($A193="","",VLOOKUP($A193,기본데이타!$A$8:$BV$103,COLUMN(기본데이타!AB$8),0))</f>
        <v/>
      </c>
      <c r="Y193" s="633" t="str">
        <f>IF($A193="","",VLOOKUP($A193,기본데이타!$A$8:$BV$103,COLUMN(기본데이타!AC$8),0))</f>
        <v/>
      </c>
      <c r="Z193" s="634" t="str">
        <f>IF($A193="","",VLOOKUP($A193,기본데이타!$A$8:$BV$103,COLUMN(기본데이타!AD$8),0))</f>
        <v/>
      </c>
      <c r="AA193" s="633" t="str">
        <f>IF($A193="","",VLOOKUP($A193,기본데이타!$A$8:$BV$103,COLUMN(기본데이타!AE$8),0))</f>
        <v/>
      </c>
      <c r="AB193" s="634" t="str">
        <f>IF($A193="","",VLOOKUP($A193,기본데이타!$A$8:$BV$103,COLUMN(기본데이타!AF$8),0))</f>
        <v/>
      </c>
      <c r="AC193" s="633" t="str">
        <f>IF($A193="","",VLOOKUP($A193,기본데이타!$A$8:$BV$103,COLUMN(기본데이타!AG$8),0))</f>
        <v/>
      </c>
      <c r="AD193" s="634" t="str">
        <f>IF($A193="","",VLOOKUP($A193,기본데이타!$A$8:$BV$103,COLUMN(기본데이타!AH$8),0))</f>
        <v/>
      </c>
      <c r="AE193" s="633" t="str">
        <f>IF($A193="","",VLOOKUP($A193,기본데이타!$A$8:$BV$103,COLUMN(기본데이타!AI$8),0))</f>
        <v/>
      </c>
      <c r="AF193" s="635" t="str">
        <f>IF($A193="","",VLOOKUP($A193,기본데이타!$A$8:$BV$103,COLUMN(기본데이타!AJ$8),0))</f>
        <v/>
      </c>
      <c r="AG193" s="580" t="str">
        <f>IF($A193="","",VLOOKUP($A193,기본데이타!$A$8:$BV$103,COLUMN(기본데이타!AK$8),0))</f>
        <v/>
      </c>
      <c r="AH193" s="580" t="str">
        <f>IF($A193="","",VLOOKUP($A193,기본데이타!$A$8:$BV$103,COLUMN(기본데이타!AL$8),0))</f>
        <v/>
      </c>
      <c r="AI193" s="580" t="str">
        <f>IF($A193="","",VLOOKUP($A193,기본데이타!$A$8:$BV$103,COLUMN(기본데이타!AM$8),0))</f>
        <v/>
      </c>
      <c r="AJ193" s="636" t="str">
        <f>IF($A193="","",VLOOKUP($A193,기본데이타!$A$8:$BV$103,COLUMN(기본데이타!AN$8),0))</f>
        <v/>
      </c>
      <c r="AK193" s="636" t="str">
        <f>IF($A193="","",VLOOKUP($A193,기본데이타!$A$8:$BV$103,COLUMN(기본데이타!AO$8),0))</f>
        <v/>
      </c>
      <c r="AL193" s="636" t="str">
        <f>IF($A193="","",VLOOKUP($A193,기본데이타!$A$8:$BV$103,COLUMN(기본데이타!AP$8),0))</f>
        <v/>
      </c>
      <c r="AM193" s="636" t="str">
        <f>IF($A193="","",VLOOKUP($A193,기본데이타!$A$8:$BV$103,COLUMN(기본데이타!AQ$8),0))</f>
        <v/>
      </c>
      <c r="AN193" s="636" t="str">
        <f>IF($A193="","",VLOOKUP($A193,기본데이타!$A$8:$BV$103,COLUMN(기본데이타!AR$8),0))</f>
        <v/>
      </c>
      <c r="AO193" s="636" t="str">
        <f>IF($A193="","",VLOOKUP($A193,기본데이타!$A$8:$BV$103,COLUMN(기본데이타!AS$8),0))</f>
        <v/>
      </c>
      <c r="AP193" s="636" t="str">
        <f>IF($A193="","",VLOOKUP($A193,기본데이타!$A$8:$BV$103,COLUMN(기본데이타!AT$8),0))</f>
        <v/>
      </c>
      <c r="AQ193" s="636" t="str">
        <f>IF($A193="","",VLOOKUP($A193,기본데이타!$A$8:$BV$103,COLUMN(기본데이타!AU$8),0))</f>
        <v/>
      </c>
      <c r="AR193" s="637" t="str">
        <f>IF($A193="","",VLOOKUP($A193,기본데이타!$A$8:$BV$103,COLUMN(기본데이타!AV$8),0))</f>
        <v/>
      </c>
      <c r="AS193" s="634" t="str">
        <f>IF($A193="","",VLOOKUP($A193,기본데이타!$A$8:$BV$103,COLUMN(기본데이타!AW$8),0))</f>
        <v/>
      </c>
      <c r="AT193" s="634" t="str">
        <f>IF($A193="","",VLOOKUP($A193,기본데이타!$A$8:$BV$103,COLUMN(기본데이타!AX$8),0))</f>
        <v/>
      </c>
      <c r="AU193" s="634" t="str">
        <f>IF($A193="","",VLOOKUP($A193,기본데이타!$A$8:$BV$103,COLUMN(기본데이타!AY$8),0))</f>
        <v/>
      </c>
      <c r="AV193" s="634" t="str">
        <f t="shared" si="30"/>
        <v/>
      </c>
      <c r="AW193" s="635" t="str">
        <f>IF($A193="","",VLOOKUP($A193,기본데이타!$A$8:$BV$103,COLUMN(기본데이타!BA$8),0))</f>
        <v/>
      </c>
      <c r="AX193" s="635" t="str">
        <f>IF($A193="","",VLOOKUP($A193,기본데이타!$A$8:$BV$103,COLUMN(기본데이타!BB$8),0))</f>
        <v/>
      </c>
      <c r="AY193" s="635" t="str">
        <f>IF($A193="","",VLOOKUP($A193,기본데이타!$A$8:$BV$103,COLUMN(기본데이타!BC$8),0))</f>
        <v/>
      </c>
      <c r="AZ193" s="635" t="str">
        <f>IF($A193="","",VLOOKUP($A193,기본데이타!$A$8:$BV$103,COLUMN(기본데이타!BD$8),0))</f>
        <v/>
      </c>
      <c r="BA193" s="635" t="str">
        <f>IF($A193="","",VLOOKUP($A193,기본데이타!$A$8:$BV$103,COLUMN(기본데이타!BE$8),0))</f>
        <v/>
      </c>
      <c r="BB193" s="635" t="str">
        <f>IF($A193="","",VLOOKUP($A193,기본데이타!$A$8:$BV$103,COLUMN(기본데이타!BF$8),0))</f>
        <v/>
      </c>
      <c r="BC193" s="635" t="str">
        <f>IF($A193="","",VLOOKUP($A193,기본데이타!$A$8:$BV$103,COLUMN(기본데이타!BG$8),0))</f>
        <v/>
      </c>
      <c r="BD193" s="635" t="str">
        <f>IF($A193="","",VLOOKUP($A193,기본데이타!$A$8:$BV$103,COLUMN(기본데이타!BH$8),0))</f>
        <v/>
      </c>
      <c r="BE193" s="635" t="str">
        <f>IF($A193="","",VLOOKUP($A193,기본데이타!$A$8:$BV$103,COLUMN(기본데이타!BI$8),0))</f>
        <v/>
      </c>
      <c r="BF193" s="635" t="str">
        <f>IF($A193="","",VLOOKUP($A193,기본데이타!$A$8:$BV$103,COLUMN(기본데이타!BJ$8),0))</f>
        <v/>
      </c>
      <c r="BG193" s="635" t="str">
        <f>IF($A193="","",VLOOKUP($A193,기본데이타!$A$8:$BV$103,COLUMN(기본데이타!BK$8),0))</f>
        <v/>
      </c>
      <c r="BH193" s="635" t="str">
        <f>IF($A193="","",VLOOKUP($A193,기본데이타!$A$8:$BV$103,COLUMN(기본데이타!BL$8),0))</f>
        <v/>
      </c>
      <c r="BI193" s="635" t="str">
        <f>IF($A193="","",VLOOKUP($A193,기본데이타!$A$8:$BV$103,COLUMN(기본데이타!BM$8),0))</f>
        <v/>
      </c>
      <c r="BJ193" s="635" t="str">
        <f>IF($A193="","",VLOOKUP($A193,기본데이타!$A$8:$BV$103,COLUMN(기본데이타!BN$8),0))</f>
        <v/>
      </c>
      <c r="BK193" s="635" t="str">
        <f>IF($A193="","",VLOOKUP($A193,기본데이타!$A$8:$BV$103,COLUMN(기본데이타!BO$8),0))</f>
        <v/>
      </c>
      <c r="BL193" s="635" t="str">
        <f>IF($A193="","",VLOOKUP($A193,기본데이타!$A$8:$BV$103,COLUMN(기본데이타!BP$8),0))</f>
        <v/>
      </c>
      <c r="BM193" s="635" t="str">
        <f>IF($A193="","",VLOOKUP($A193,기본데이타!$A$8:$BV$103,COLUMN(기본데이타!BQ$8),0))</f>
        <v/>
      </c>
      <c r="BN193" s="638" t="str">
        <f>IF($A193="","",VLOOKUP($A193,기본데이타!$A$8:$BV$103,COLUMN(기본데이타!BR$8),0))</f>
        <v/>
      </c>
      <c r="BO193" s="579" t="str">
        <f>IF($A193="","",VLOOKUP($A193,기본데이타!$A$8:$BV$103,COLUMN(기본데이타!BS$8),0))</f>
        <v/>
      </c>
      <c r="BP193" s="639" t="str">
        <f>IF($A193="","",VLOOKUP($A193,기본데이타!$A$8:$BV$103,COLUMN(기본데이타!BT$8),0))</f>
        <v/>
      </c>
      <c r="BQ193" s="999" t="str">
        <f>IF($A193="","",VLOOKUP($A193,기본데이타!$A$8:$BV$103,COLUMN(기본데이타!BU$8),0))</f>
        <v/>
      </c>
      <c r="BR193" s="625" t="str">
        <f t="shared" si="31"/>
        <v/>
      </c>
    </row>
    <row r="194" spans="1:70" s="571" customFormat="1" ht="89.25" hidden="1" customHeight="1">
      <c r="A194" s="578"/>
      <c r="B194" s="1642"/>
      <c r="C194" s="590"/>
      <c r="D194" s="629" t="str">
        <f>IF($A194="","",VLOOKUP($A194,기본데이타!$A$8:$BV$103,COLUMN(기본데이타!F$8),0))</f>
        <v/>
      </c>
      <c r="E194" s="630" t="str">
        <f>IF($A194="","",VLOOKUP($A194,기본데이타!$A$8:$BV$103,COLUMN(기본데이타!G$8),0))</f>
        <v/>
      </c>
      <c r="F194" s="631" t="str">
        <f>IF($A194="","",VLOOKUP($A194,기본데이타!$A$8:$BV$103,COLUMN(기본데이타!H$8),0))</f>
        <v/>
      </c>
      <c r="G194" s="632" t="str">
        <f>IF($A194="","",VLOOKUP($A194,기본데이타!$A$8:$BV$103,COLUMN(기본데이타!I$8),0))</f>
        <v/>
      </c>
      <c r="H194" s="632" t="str">
        <f>IF($A194="","",VLOOKUP($A194,기본데이타!$A$8:$BV$103,COLUMN(기본데이타!J$8),0))</f>
        <v/>
      </c>
      <c r="I194" s="633" t="str">
        <f>IF($A194="","",VLOOKUP($A194,기본데이타!$A$8:$BV$103,COLUMN(기본데이타!K$8),0))</f>
        <v/>
      </c>
      <c r="J194" s="633" t="str">
        <f>IF($A194="","",VLOOKUP($A194,기본데이타!$A$8:$BV$103,COLUMN(기본데이타!L$8),0))</f>
        <v/>
      </c>
      <c r="K194" s="633" t="str">
        <f>IF($A194="","",VLOOKUP($A194,기본데이타!$A$8:$BV$103,COLUMN(기본데이타!M$8),0))</f>
        <v/>
      </c>
      <c r="L194" s="634" t="str">
        <f>IF($A194="","",VLOOKUP($A194,기본데이타!$A$8:$BV$103,COLUMN(기본데이타!N$8),0))</f>
        <v/>
      </c>
      <c r="M194" s="633" t="str">
        <f>IF($A194="","",VLOOKUP($A194,기본데이타!$A$8:$BV$103,COLUMN(기본데이타!O$8),0))</f>
        <v/>
      </c>
      <c r="N194" s="634" t="str">
        <f>IF($A194="","",VLOOKUP($A194,기본데이타!$A$8:$BV$103,COLUMN(기본데이타!P$8),0))</f>
        <v/>
      </c>
      <c r="O194" s="634" t="str">
        <f>IF($A194="","",VLOOKUP($A194,기본데이타!$A$8:$BV$103,COLUMN(기본데이타!Q$8),0))</f>
        <v/>
      </c>
      <c r="P194" s="634" t="str">
        <f>IF($A194="","",VLOOKUP($A194,기본데이타!$A$8:$BV$103,COLUMN(기본데이타!R$8),0))</f>
        <v/>
      </c>
      <c r="Q194" s="634" t="str">
        <f>IF($A194="","",VLOOKUP($A194,기본데이타!$A$8:$BV$103,COLUMN(기본데이타!S$8),0))</f>
        <v/>
      </c>
      <c r="R194" s="634" t="str">
        <f>IF($A194="","",VLOOKUP($A194,기본데이타!$A$8:$BV$103,COLUMN(기본데이타!T$8),0))</f>
        <v/>
      </c>
      <c r="S194" s="634" t="str">
        <f>IF($A194="","",VLOOKUP($A194,기본데이타!$A$8:$BV$103,COLUMN(기본데이타!U$8),0))</f>
        <v/>
      </c>
      <c r="T194" s="634" t="str">
        <f>IF($A194="","",VLOOKUP($A194,기본데이타!$A$8:$BV$103,COLUMN(기본데이타!V$8),0))</f>
        <v/>
      </c>
      <c r="U194" s="634" t="str">
        <f>IF($A194="","",VLOOKUP($A194,기본데이타!$A$8:$BV$103,COLUMN(기본데이타!W$8),0))</f>
        <v/>
      </c>
      <c r="V194" s="634" t="str">
        <f>IF($A194="","",VLOOKUP($A194,기본데이타!$A$8:$BV$103,COLUMN(기본데이타!X$8),0))</f>
        <v/>
      </c>
      <c r="W194" s="634" t="str">
        <f>IF($A194="","",VLOOKUP($A194,기본데이타!$A$8:$BV$103,COLUMN(기본데이타!AA$8),0))</f>
        <v/>
      </c>
      <c r="X194" s="634" t="str">
        <f>IF($A194="","",VLOOKUP($A194,기본데이타!$A$8:$BV$103,COLUMN(기본데이타!AB$8),0))</f>
        <v/>
      </c>
      <c r="Y194" s="633" t="str">
        <f>IF($A194="","",VLOOKUP($A194,기본데이타!$A$8:$BV$103,COLUMN(기본데이타!AC$8),0))</f>
        <v/>
      </c>
      <c r="Z194" s="634" t="str">
        <f>IF($A194="","",VLOOKUP($A194,기본데이타!$A$8:$BV$103,COLUMN(기본데이타!AD$8),0))</f>
        <v/>
      </c>
      <c r="AA194" s="633" t="str">
        <f>IF($A194="","",VLOOKUP($A194,기본데이타!$A$8:$BV$103,COLUMN(기본데이타!AE$8),0))</f>
        <v/>
      </c>
      <c r="AB194" s="634" t="str">
        <f>IF($A194="","",VLOOKUP($A194,기본데이타!$A$8:$BV$103,COLUMN(기본데이타!AF$8),0))</f>
        <v/>
      </c>
      <c r="AC194" s="633" t="str">
        <f>IF($A194="","",VLOOKUP($A194,기본데이타!$A$8:$BV$103,COLUMN(기본데이타!AG$8),0))</f>
        <v/>
      </c>
      <c r="AD194" s="634" t="str">
        <f>IF($A194="","",VLOOKUP($A194,기본데이타!$A$8:$BV$103,COLUMN(기본데이타!AH$8),0))</f>
        <v/>
      </c>
      <c r="AE194" s="633" t="str">
        <f>IF($A194="","",VLOOKUP($A194,기본데이타!$A$8:$BV$103,COLUMN(기본데이타!AI$8),0))</f>
        <v/>
      </c>
      <c r="AF194" s="635" t="str">
        <f>IF($A194="","",VLOOKUP($A194,기본데이타!$A$8:$BV$103,COLUMN(기본데이타!AJ$8),0))</f>
        <v/>
      </c>
      <c r="AG194" s="580" t="str">
        <f>IF($A194="","",VLOOKUP($A194,기본데이타!$A$8:$BV$103,COLUMN(기본데이타!AK$8),0))</f>
        <v/>
      </c>
      <c r="AH194" s="580" t="str">
        <f>IF($A194="","",VLOOKUP($A194,기본데이타!$A$8:$BV$103,COLUMN(기본데이타!AL$8),0))</f>
        <v/>
      </c>
      <c r="AI194" s="580" t="str">
        <f>IF($A194="","",VLOOKUP($A194,기본데이타!$A$8:$BV$103,COLUMN(기본데이타!AM$8),0))</f>
        <v/>
      </c>
      <c r="AJ194" s="636" t="str">
        <f>IF($A194="","",VLOOKUP($A194,기본데이타!$A$8:$BV$103,COLUMN(기본데이타!AN$8),0))</f>
        <v/>
      </c>
      <c r="AK194" s="636" t="str">
        <f>IF($A194="","",VLOOKUP($A194,기본데이타!$A$8:$BV$103,COLUMN(기본데이타!AO$8),0))</f>
        <v/>
      </c>
      <c r="AL194" s="636" t="str">
        <f>IF($A194="","",VLOOKUP($A194,기본데이타!$A$8:$BV$103,COLUMN(기본데이타!AP$8),0))</f>
        <v/>
      </c>
      <c r="AM194" s="636" t="str">
        <f>IF($A194="","",VLOOKUP($A194,기본데이타!$A$8:$BV$103,COLUMN(기본데이타!AQ$8),0))</f>
        <v/>
      </c>
      <c r="AN194" s="636" t="str">
        <f>IF($A194="","",VLOOKUP($A194,기본데이타!$A$8:$BV$103,COLUMN(기본데이타!AR$8),0))</f>
        <v/>
      </c>
      <c r="AO194" s="636" t="str">
        <f>IF($A194="","",VLOOKUP($A194,기본데이타!$A$8:$BV$103,COLUMN(기본데이타!AS$8),0))</f>
        <v/>
      </c>
      <c r="AP194" s="636" t="str">
        <f>IF($A194="","",VLOOKUP($A194,기본데이타!$A$8:$BV$103,COLUMN(기본데이타!AT$8),0))</f>
        <v/>
      </c>
      <c r="AQ194" s="636" t="str">
        <f>IF($A194="","",VLOOKUP($A194,기본데이타!$A$8:$BV$103,COLUMN(기본데이타!AU$8),0))</f>
        <v/>
      </c>
      <c r="AR194" s="637" t="str">
        <f>IF($A194="","",VLOOKUP($A194,기본데이타!$A$8:$BV$103,COLUMN(기본데이타!AV$8),0))</f>
        <v/>
      </c>
      <c r="AS194" s="634" t="str">
        <f>IF($A194="","",VLOOKUP($A194,기본데이타!$A$8:$BV$103,COLUMN(기본데이타!AW$8),0))</f>
        <v/>
      </c>
      <c r="AT194" s="634" t="str">
        <f>IF($A194="","",VLOOKUP($A194,기본데이타!$A$8:$BV$103,COLUMN(기본데이타!AX$8),0))</f>
        <v/>
      </c>
      <c r="AU194" s="634" t="str">
        <f>IF($A194="","",VLOOKUP($A194,기본데이타!$A$8:$BV$103,COLUMN(기본데이타!AY$8),0))</f>
        <v/>
      </c>
      <c r="AV194" s="634" t="str">
        <f t="shared" si="30"/>
        <v/>
      </c>
      <c r="AW194" s="635" t="str">
        <f>IF($A194="","",VLOOKUP($A194,기본데이타!$A$8:$BV$103,COLUMN(기본데이타!BA$8),0))</f>
        <v/>
      </c>
      <c r="AX194" s="635" t="str">
        <f>IF($A194="","",VLOOKUP($A194,기본데이타!$A$8:$BV$103,COLUMN(기본데이타!BB$8),0))</f>
        <v/>
      </c>
      <c r="AY194" s="635" t="str">
        <f>IF($A194="","",VLOOKUP($A194,기본데이타!$A$8:$BV$103,COLUMN(기본데이타!BC$8),0))</f>
        <v/>
      </c>
      <c r="AZ194" s="635" t="str">
        <f>IF($A194="","",VLOOKUP($A194,기본데이타!$A$8:$BV$103,COLUMN(기본데이타!BD$8),0))</f>
        <v/>
      </c>
      <c r="BA194" s="635" t="str">
        <f>IF($A194="","",VLOOKUP($A194,기본데이타!$A$8:$BV$103,COLUMN(기본데이타!BE$8),0))</f>
        <v/>
      </c>
      <c r="BB194" s="635" t="str">
        <f>IF($A194="","",VLOOKUP($A194,기본데이타!$A$8:$BV$103,COLUMN(기본데이타!BF$8),0))</f>
        <v/>
      </c>
      <c r="BC194" s="635" t="str">
        <f>IF($A194="","",VLOOKUP($A194,기본데이타!$A$8:$BV$103,COLUMN(기본데이타!BG$8),0))</f>
        <v/>
      </c>
      <c r="BD194" s="635" t="str">
        <f>IF($A194="","",VLOOKUP($A194,기본데이타!$A$8:$BV$103,COLUMN(기본데이타!BH$8),0))</f>
        <v/>
      </c>
      <c r="BE194" s="635" t="str">
        <f>IF($A194="","",VLOOKUP($A194,기본데이타!$A$8:$BV$103,COLUMN(기본데이타!BI$8),0))</f>
        <v/>
      </c>
      <c r="BF194" s="635" t="str">
        <f>IF($A194="","",VLOOKUP($A194,기본데이타!$A$8:$BV$103,COLUMN(기본데이타!BJ$8),0))</f>
        <v/>
      </c>
      <c r="BG194" s="635" t="str">
        <f>IF($A194="","",VLOOKUP($A194,기본데이타!$A$8:$BV$103,COLUMN(기본데이타!BK$8),0))</f>
        <v/>
      </c>
      <c r="BH194" s="635" t="str">
        <f>IF($A194="","",VLOOKUP($A194,기본데이타!$A$8:$BV$103,COLUMN(기본데이타!BL$8),0))</f>
        <v/>
      </c>
      <c r="BI194" s="635" t="str">
        <f>IF($A194="","",VLOOKUP($A194,기본데이타!$A$8:$BV$103,COLUMN(기본데이타!BM$8),0))</f>
        <v/>
      </c>
      <c r="BJ194" s="635" t="str">
        <f>IF($A194="","",VLOOKUP($A194,기본데이타!$A$8:$BV$103,COLUMN(기본데이타!BN$8),0))</f>
        <v/>
      </c>
      <c r="BK194" s="635" t="str">
        <f>IF($A194="","",VLOOKUP($A194,기본데이타!$A$8:$BV$103,COLUMN(기본데이타!BO$8),0))</f>
        <v/>
      </c>
      <c r="BL194" s="635" t="str">
        <f>IF($A194="","",VLOOKUP($A194,기본데이타!$A$8:$BV$103,COLUMN(기본데이타!BP$8),0))</f>
        <v/>
      </c>
      <c r="BM194" s="635" t="str">
        <f>IF($A194="","",VLOOKUP($A194,기본데이타!$A$8:$BV$103,COLUMN(기본데이타!BQ$8),0))</f>
        <v/>
      </c>
      <c r="BN194" s="638" t="str">
        <f>IF($A194="","",VLOOKUP($A194,기본데이타!$A$8:$BV$103,COLUMN(기본데이타!BR$8),0))</f>
        <v/>
      </c>
      <c r="BO194" s="579" t="str">
        <f>IF($A194="","",VLOOKUP($A194,기본데이타!$A$8:$BV$103,COLUMN(기본데이타!BS$8),0))</f>
        <v/>
      </c>
      <c r="BP194" s="639" t="str">
        <f>IF($A194="","",VLOOKUP($A194,기본데이타!$A$8:$BV$103,COLUMN(기본데이타!BT$8),0))</f>
        <v/>
      </c>
      <c r="BQ194" s="999" t="str">
        <f>IF($A194="","",VLOOKUP($A194,기본데이타!$A$8:$BV$103,COLUMN(기본데이타!BU$8),0))</f>
        <v/>
      </c>
      <c r="BR194" s="625" t="str">
        <f t="shared" si="31"/>
        <v/>
      </c>
    </row>
    <row r="195" spans="1:70" s="571" customFormat="1" ht="89.25" hidden="1" customHeight="1">
      <c r="A195" s="578"/>
      <c r="B195" s="1642"/>
      <c r="C195" s="590"/>
      <c r="D195" s="629" t="str">
        <f>IF($A195="","",VLOOKUP($A195,기본데이타!$A$8:$BV$103,COLUMN(기본데이타!F$8),0))</f>
        <v/>
      </c>
      <c r="E195" s="630" t="str">
        <f>IF($A195="","",VLOOKUP($A195,기본데이타!$A$8:$BV$103,COLUMN(기본데이타!G$8),0))</f>
        <v/>
      </c>
      <c r="F195" s="631" t="str">
        <f>IF($A195="","",VLOOKUP($A195,기본데이타!$A$8:$BV$103,COLUMN(기본데이타!H$8),0))</f>
        <v/>
      </c>
      <c r="G195" s="632" t="str">
        <f>IF($A195="","",VLOOKUP($A195,기본데이타!$A$8:$BV$103,COLUMN(기본데이타!I$8),0))</f>
        <v/>
      </c>
      <c r="H195" s="632" t="str">
        <f>IF($A195="","",VLOOKUP($A195,기본데이타!$A$8:$BV$103,COLUMN(기본데이타!J$8),0))</f>
        <v/>
      </c>
      <c r="I195" s="633" t="str">
        <f>IF($A195="","",VLOOKUP($A195,기본데이타!$A$8:$BV$103,COLUMN(기본데이타!K$8),0))</f>
        <v/>
      </c>
      <c r="J195" s="633" t="str">
        <f>IF($A195="","",VLOOKUP($A195,기본데이타!$A$8:$BV$103,COLUMN(기본데이타!L$8),0))</f>
        <v/>
      </c>
      <c r="K195" s="633" t="str">
        <f>IF($A195="","",VLOOKUP($A195,기본데이타!$A$8:$BV$103,COLUMN(기본데이타!M$8),0))</f>
        <v/>
      </c>
      <c r="L195" s="634" t="str">
        <f>IF($A195="","",VLOOKUP($A195,기본데이타!$A$8:$BV$103,COLUMN(기본데이타!N$8),0))</f>
        <v/>
      </c>
      <c r="M195" s="633" t="str">
        <f>IF($A195="","",VLOOKUP($A195,기본데이타!$A$8:$BV$103,COLUMN(기본데이타!O$8),0))</f>
        <v/>
      </c>
      <c r="N195" s="634" t="str">
        <f>IF($A195="","",VLOOKUP($A195,기본데이타!$A$8:$BV$103,COLUMN(기본데이타!P$8),0))</f>
        <v/>
      </c>
      <c r="O195" s="634" t="str">
        <f>IF($A195="","",VLOOKUP($A195,기본데이타!$A$8:$BV$103,COLUMN(기본데이타!Q$8),0))</f>
        <v/>
      </c>
      <c r="P195" s="634" t="str">
        <f>IF($A195="","",VLOOKUP($A195,기본데이타!$A$8:$BV$103,COLUMN(기본데이타!R$8),0))</f>
        <v/>
      </c>
      <c r="Q195" s="634" t="str">
        <f>IF($A195="","",VLOOKUP($A195,기본데이타!$A$8:$BV$103,COLUMN(기본데이타!S$8),0))</f>
        <v/>
      </c>
      <c r="R195" s="634" t="str">
        <f>IF($A195="","",VLOOKUP($A195,기본데이타!$A$8:$BV$103,COLUMN(기본데이타!T$8),0))</f>
        <v/>
      </c>
      <c r="S195" s="634" t="str">
        <f>IF($A195="","",VLOOKUP($A195,기본데이타!$A$8:$BV$103,COLUMN(기본데이타!U$8),0))</f>
        <v/>
      </c>
      <c r="T195" s="634" t="str">
        <f>IF($A195="","",VLOOKUP($A195,기본데이타!$A$8:$BV$103,COLUMN(기본데이타!V$8),0))</f>
        <v/>
      </c>
      <c r="U195" s="634" t="str">
        <f>IF($A195="","",VLOOKUP($A195,기본데이타!$A$8:$BV$103,COLUMN(기본데이타!W$8),0))</f>
        <v/>
      </c>
      <c r="V195" s="634" t="str">
        <f>IF($A195="","",VLOOKUP($A195,기본데이타!$A$8:$BV$103,COLUMN(기본데이타!X$8),0))</f>
        <v/>
      </c>
      <c r="W195" s="634" t="str">
        <f>IF($A195="","",VLOOKUP($A195,기본데이타!$A$8:$BV$103,COLUMN(기본데이타!AA$8),0))</f>
        <v/>
      </c>
      <c r="X195" s="634" t="str">
        <f>IF($A195="","",VLOOKUP($A195,기본데이타!$A$8:$BV$103,COLUMN(기본데이타!AB$8),0))</f>
        <v/>
      </c>
      <c r="Y195" s="633" t="str">
        <f>IF($A195="","",VLOOKUP($A195,기본데이타!$A$8:$BV$103,COLUMN(기본데이타!AC$8),0))</f>
        <v/>
      </c>
      <c r="Z195" s="634" t="str">
        <f>IF($A195="","",VLOOKUP($A195,기본데이타!$A$8:$BV$103,COLUMN(기본데이타!AD$8),0))</f>
        <v/>
      </c>
      <c r="AA195" s="633" t="str">
        <f>IF($A195="","",VLOOKUP($A195,기본데이타!$A$8:$BV$103,COLUMN(기본데이타!AE$8),0))</f>
        <v/>
      </c>
      <c r="AB195" s="634" t="str">
        <f>IF($A195="","",VLOOKUP($A195,기본데이타!$A$8:$BV$103,COLUMN(기본데이타!AF$8),0))</f>
        <v/>
      </c>
      <c r="AC195" s="633" t="str">
        <f>IF($A195="","",VLOOKUP($A195,기본데이타!$A$8:$BV$103,COLUMN(기본데이타!AG$8),0))</f>
        <v/>
      </c>
      <c r="AD195" s="634" t="str">
        <f>IF($A195="","",VLOOKUP($A195,기본데이타!$A$8:$BV$103,COLUMN(기본데이타!AH$8),0))</f>
        <v/>
      </c>
      <c r="AE195" s="633" t="str">
        <f>IF($A195="","",VLOOKUP($A195,기본데이타!$A$8:$BV$103,COLUMN(기본데이타!AI$8),0))</f>
        <v/>
      </c>
      <c r="AF195" s="635" t="str">
        <f>IF($A195="","",VLOOKUP($A195,기본데이타!$A$8:$BV$103,COLUMN(기본데이타!AJ$8),0))</f>
        <v/>
      </c>
      <c r="AG195" s="580" t="str">
        <f>IF($A195="","",VLOOKUP($A195,기본데이타!$A$8:$BV$103,COLUMN(기본데이타!AK$8),0))</f>
        <v/>
      </c>
      <c r="AH195" s="580" t="str">
        <f>IF($A195="","",VLOOKUP($A195,기본데이타!$A$8:$BV$103,COLUMN(기본데이타!AL$8),0))</f>
        <v/>
      </c>
      <c r="AI195" s="580" t="str">
        <f>IF($A195="","",VLOOKUP($A195,기본데이타!$A$8:$BV$103,COLUMN(기본데이타!AM$8),0))</f>
        <v/>
      </c>
      <c r="AJ195" s="636" t="str">
        <f>IF($A195="","",VLOOKUP($A195,기본데이타!$A$8:$BV$103,COLUMN(기본데이타!AN$8),0))</f>
        <v/>
      </c>
      <c r="AK195" s="636" t="str">
        <f>IF($A195="","",VLOOKUP($A195,기본데이타!$A$8:$BV$103,COLUMN(기본데이타!AO$8),0))</f>
        <v/>
      </c>
      <c r="AL195" s="636" t="str">
        <f>IF($A195="","",VLOOKUP($A195,기본데이타!$A$8:$BV$103,COLUMN(기본데이타!AP$8),0))</f>
        <v/>
      </c>
      <c r="AM195" s="636" t="str">
        <f>IF($A195="","",VLOOKUP($A195,기본데이타!$A$8:$BV$103,COLUMN(기본데이타!AQ$8),0))</f>
        <v/>
      </c>
      <c r="AN195" s="636" t="str">
        <f>IF($A195="","",VLOOKUP($A195,기본데이타!$A$8:$BV$103,COLUMN(기본데이타!AR$8),0))</f>
        <v/>
      </c>
      <c r="AO195" s="636" t="str">
        <f>IF($A195="","",VLOOKUP($A195,기본데이타!$A$8:$BV$103,COLUMN(기본데이타!AS$8),0))</f>
        <v/>
      </c>
      <c r="AP195" s="636" t="str">
        <f>IF($A195="","",VLOOKUP($A195,기본데이타!$A$8:$BV$103,COLUMN(기본데이타!AT$8),0))</f>
        <v/>
      </c>
      <c r="AQ195" s="636" t="str">
        <f>IF($A195="","",VLOOKUP($A195,기본데이타!$A$8:$BV$103,COLUMN(기본데이타!AU$8),0))</f>
        <v/>
      </c>
      <c r="AR195" s="637" t="str">
        <f>IF($A195="","",VLOOKUP($A195,기본데이타!$A$8:$BV$103,COLUMN(기본데이타!AV$8),0))</f>
        <v/>
      </c>
      <c r="AS195" s="634" t="str">
        <f>IF($A195="","",VLOOKUP($A195,기본데이타!$A$8:$BV$103,COLUMN(기본데이타!AW$8),0))</f>
        <v/>
      </c>
      <c r="AT195" s="634" t="str">
        <f>IF($A195="","",VLOOKUP($A195,기본데이타!$A$8:$BV$103,COLUMN(기본데이타!AX$8),0))</f>
        <v/>
      </c>
      <c r="AU195" s="634" t="str">
        <f>IF($A195="","",VLOOKUP($A195,기본데이타!$A$8:$BV$103,COLUMN(기본데이타!AY$8),0))</f>
        <v/>
      </c>
      <c r="AV195" s="634" t="str">
        <f t="shared" si="30"/>
        <v/>
      </c>
      <c r="AW195" s="635" t="str">
        <f>IF($A195="","",VLOOKUP($A195,기본데이타!$A$8:$BV$103,COLUMN(기본데이타!BA$8),0))</f>
        <v/>
      </c>
      <c r="AX195" s="635" t="str">
        <f>IF($A195="","",VLOOKUP($A195,기본데이타!$A$8:$BV$103,COLUMN(기본데이타!BB$8),0))</f>
        <v/>
      </c>
      <c r="AY195" s="635" t="str">
        <f>IF($A195="","",VLOOKUP($A195,기본데이타!$A$8:$BV$103,COLUMN(기본데이타!BC$8),0))</f>
        <v/>
      </c>
      <c r="AZ195" s="635" t="str">
        <f>IF($A195="","",VLOOKUP($A195,기본데이타!$A$8:$BV$103,COLUMN(기본데이타!BD$8),0))</f>
        <v/>
      </c>
      <c r="BA195" s="635" t="str">
        <f>IF($A195="","",VLOOKUP($A195,기본데이타!$A$8:$BV$103,COLUMN(기본데이타!BE$8),0))</f>
        <v/>
      </c>
      <c r="BB195" s="635" t="str">
        <f>IF($A195="","",VLOOKUP($A195,기본데이타!$A$8:$BV$103,COLUMN(기본데이타!BF$8),0))</f>
        <v/>
      </c>
      <c r="BC195" s="635" t="str">
        <f>IF($A195="","",VLOOKUP($A195,기본데이타!$A$8:$BV$103,COLUMN(기본데이타!BG$8),0))</f>
        <v/>
      </c>
      <c r="BD195" s="635" t="str">
        <f>IF($A195="","",VLOOKUP($A195,기본데이타!$A$8:$BV$103,COLUMN(기본데이타!BH$8),0))</f>
        <v/>
      </c>
      <c r="BE195" s="635" t="str">
        <f>IF($A195="","",VLOOKUP($A195,기본데이타!$A$8:$BV$103,COLUMN(기본데이타!BI$8),0))</f>
        <v/>
      </c>
      <c r="BF195" s="635" t="str">
        <f>IF($A195="","",VLOOKUP($A195,기본데이타!$A$8:$BV$103,COLUMN(기본데이타!BJ$8),0))</f>
        <v/>
      </c>
      <c r="BG195" s="635" t="str">
        <f>IF($A195="","",VLOOKUP($A195,기본데이타!$A$8:$BV$103,COLUMN(기본데이타!BK$8),0))</f>
        <v/>
      </c>
      <c r="BH195" s="635" t="str">
        <f>IF($A195="","",VLOOKUP($A195,기본데이타!$A$8:$BV$103,COLUMN(기본데이타!BL$8),0))</f>
        <v/>
      </c>
      <c r="BI195" s="635" t="str">
        <f>IF($A195="","",VLOOKUP($A195,기본데이타!$A$8:$BV$103,COLUMN(기본데이타!BM$8),0))</f>
        <v/>
      </c>
      <c r="BJ195" s="635" t="str">
        <f>IF($A195="","",VLOOKUP($A195,기본데이타!$A$8:$BV$103,COLUMN(기본데이타!BN$8),0))</f>
        <v/>
      </c>
      <c r="BK195" s="635" t="str">
        <f>IF($A195="","",VLOOKUP($A195,기본데이타!$A$8:$BV$103,COLUMN(기본데이타!BO$8),0))</f>
        <v/>
      </c>
      <c r="BL195" s="635" t="str">
        <f>IF($A195="","",VLOOKUP($A195,기본데이타!$A$8:$BV$103,COLUMN(기본데이타!BP$8),0))</f>
        <v/>
      </c>
      <c r="BM195" s="635" t="str">
        <f>IF($A195="","",VLOOKUP($A195,기본데이타!$A$8:$BV$103,COLUMN(기본데이타!BQ$8),0))</f>
        <v/>
      </c>
      <c r="BN195" s="638" t="str">
        <f>IF($A195="","",VLOOKUP($A195,기본데이타!$A$8:$BV$103,COLUMN(기본데이타!BR$8),0))</f>
        <v/>
      </c>
      <c r="BO195" s="579" t="str">
        <f>IF($A195="","",VLOOKUP($A195,기본데이타!$A$8:$BV$103,COLUMN(기본데이타!BS$8),0))</f>
        <v/>
      </c>
      <c r="BP195" s="639" t="str">
        <f>IF($A195="","",VLOOKUP($A195,기본데이타!$A$8:$BV$103,COLUMN(기본데이타!BT$8),0))</f>
        <v/>
      </c>
      <c r="BQ195" s="999" t="str">
        <f>IF($A195="","",VLOOKUP($A195,기본데이타!$A$8:$BV$103,COLUMN(기본데이타!BU$8),0))</f>
        <v/>
      </c>
      <c r="BR195" s="625" t="str">
        <f t="shared" si="31"/>
        <v/>
      </c>
    </row>
    <row r="196" spans="1:70" s="571" customFormat="1" ht="89.25" hidden="1" customHeight="1">
      <c r="A196" s="578"/>
      <c r="B196" s="1642"/>
      <c r="C196" s="590"/>
      <c r="D196" s="629" t="str">
        <f>IF($A196="","",VLOOKUP($A196,기본데이타!$A$8:$BV$103,COLUMN(기본데이타!F$8),0))</f>
        <v/>
      </c>
      <c r="E196" s="630" t="str">
        <f>IF($A196="","",VLOOKUP($A196,기본데이타!$A$8:$BV$103,COLUMN(기본데이타!G$8),0))</f>
        <v/>
      </c>
      <c r="F196" s="631" t="str">
        <f>IF($A196="","",VLOOKUP($A196,기본데이타!$A$8:$BV$103,COLUMN(기본데이타!H$8),0))</f>
        <v/>
      </c>
      <c r="G196" s="632" t="str">
        <f>IF($A196="","",VLOOKUP($A196,기본데이타!$A$8:$BV$103,COLUMN(기본데이타!I$8),0))</f>
        <v/>
      </c>
      <c r="H196" s="632" t="str">
        <f>IF($A196="","",VLOOKUP($A196,기본데이타!$A$8:$BV$103,COLUMN(기본데이타!J$8),0))</f>
        <v/>
      </c>
      <c r="I196" s="633" t="str">
        <f>IF($A196="","",VLOOKUP($A196,기본데이타!$A$8:$BV$103,COLUMN(기본데이타!K$8),0))</f>
        <v/>
      </c>
      <c r="J196" s="633" t="str">
        <f>IF($A196="","",VLOOKUP($A196,기본데이타!$A$8:$BV$103,COLUMN(기본데이타!L$8),0))</f>
        <v/>
      </c>
      <c r="K196" s="633" t="str">
        <f>IF($A196="","",VLOOKUP($A196,기본데이타!$A$8:$BV$103,COLUMN(기본데이타!M$8),0))</f>
        <v/>
      </c>
      <c r="L196" s="634" t="str">
        <f>IF($A196="","",VLOOKUP($A196,기본데이타!$A$8:$BV$103,COLUMN(기본데이타!N$8),0))</f>
        <v/>
      </c>
      <c r="M196" s="633" t="str">
        <f>IF($A196="","",VLOOKUP($A196,기본데이타!$A$8:$BV$103,COLUMN(기본데이타!O$8),0))</f>
        <v/>
      </c>
      <c r="N196" s="634" t="str">
        <f>IF($A196="","",VLOOKUP($A196,기본데이타!$A$8:$BV$103,COLUMN(기본데이타!P$8),0))</f>
        <v/>
      </c>
      <c r="O196" s="634" t="str">
        <f>IF($A196="","",VLOOKUP($A196,기본데이타!$A$8:$BV$103,COLUMN(기본데이타!Q$8),0))</f>
        <v/>
      </c>
      <c r="P196" s="634" t="str">
        <f>IF($A196="","",VLOOKUP($A196,기본데이타!$A$8:$BV$103,COLUMN(기본데이타!R$8),0))</f>
        <v/>
      </c>
      <c r="Q196" s="634" t="str">
        <f>IF($A196="","",VLOOKUP($A196,기본데이타!$A$8:$BV$103,COLUMN(기본데이타!S$8),0))</f>
        <v/>
      </c>
      <c r="R196" s="634" t="str">
        <f>IF($A196="","",VLOOKUP($A196,기본데이타!$A$8:$BV$103,COLUMN(기본데이타!T$8),0))</f>
        <v/>
      </c>
      <c r="S196" s="634" t="str">
        <f>IF($A196="","",VLOOKUP($A196,기본데이타!$A$8:$BV$103,COLUMN(기본데이타!U$8),0))</f>
        <v/>
      </c>
      <c r="T196" s="634" t="str">
        <f>IF($A196="","",VLOOKUP($A196,기본데이타!$A$8:$BV$103,COLUMN(기본데이타!V$8),0))</f>
        <v/>
      </c>
      <c r="U196" s="634" t="str">
        <f>IF($A196="","",VLOOKUP($A196,기본데이타!$A$8:$BV$103,COLUMN(기본데이타!W$8),0))</f>
        <v/>
      </c>
      <c r="V196" s="634" t="str">
        <f>IF($A196="","",VLOOKUP($A196,기본데이타!$A$8:$BV$103,COLUMN(기본데이타!X$8),0))</f>
        <v/>
      </c>
      <c r="W196" s="634" t="str">
        <f>IF($A196="","",VLOOKUP($A196,기본데이타!$A$8:$BV$103,COLUMN(기본데이타!AA$8),0))</f>
        <v/>
      </c>
      <c r="X196" s="634" t="str">
        <f>IF($A196="","",VLOOKUP($A196,기본데이타!$A$8:$BV$103,COLUMN(기본데이타!AB$8),0))</f>
        <v/>
      </c>
      <c r="Y196" s="633" t="str">
        <f>IF($A196="","",VLOOKUP($A196,기본데이타!$A$8:$BV$103,COLUMN(기본데이타!AC$8),0))</f>
        <v/>
      </c>
      <c r="Z196" s="634" t="str">
        <f>IF($A196="","",VLOOKUP($A196,기본데이타!$A$8:$BV$103,COLUMN(기본데이타!AD$8),0))</f>
        <v/>
      </c>
      <c r="AA196" s="633" t="str">
        <f>IF($A196="","",VLOOKUP($A196,기본데이타!$A$8:$BV$103,COLUMN(기본데이타!AE$8),0))</f>
        <v/>
      </c>
      <c r="AB196" s="634" t="str">
        <f>IF($A196="","",VLOOKUP($A196,기본데이타!$A$8:$BV$103,COLUMN(기본데이타!AF$8),0))</f>
        <v/>
      </c>
      <c r="AC196" s="633" t="str">
        <f>IF($A196="","",VLOOKUP($A196,기본데이타!$A$8:$BV$103,COLUMN(기본데이타!AG$8),0))</f>
        <v/>
      </c>
      <c r="AD196" s="634" t="str">
        <f>IF($A196="","",VLOOKUP($A196,기본데이타!$A$8:$BV$103,COLUMN(기본데이타!AH$8),0))</f>
        <v/>
      </c>
      <c r="AE196" s="633" t="str">
        <f>IF($A196="","",VLOOKUP($A196,기본데이타!$A$8:$BV$103,COLUMN(기본데이타!AI$8),0))</f>
        <v/>
      </c>
      <c r="AF196" s="635" t="str">
        <f>IF($A196="","",VLOOKUP($A196,기본데이타!$A$8:$BV$103,COLUMN(기본데이타!AJ$8),0))</f>
        <v/>
      </c>
      <c r="AG196" s="580" t="str">
        <f>IF($A196="","",VLOOKUP($A196,기본데이타!$A$8:$BV$103,COLUMN(기본데이타!AK$8),0))</f>
        <v/>
      </c>
      <c r="AH196" s="580" t="str">
        <f>IF($A196="","",VLOOKUP($A196,기본데이타!$A$8:$BV$103,COLUMN(기본데이타!AL$8),0))</f>
        <v/>
      </c>
      <c r="AI196" s="580" t="str">
        <f>IF($A196="","",VLOOKUP($A196,기본데이타!$A$8:$BV$103,COLUMN(기본데이타!AM$8),0))</f>
        <v/>
      </c>
      <c r="AJ196" s="636" t="str">
        <f>IF($A196="","",VLOOKUP($A196,기본데이타!$A$8:$BV$103,COLUMN(기본데이타!AN$8),0))</f>
        <v/>
      </c>
      <c r="AK196" s="636" t="str">
        <f>IF($A196="","",VLOOKUP($A196,기본데이타!$A$8:$BV$103,COLUMN(기본데이타!AO$8),0))</f>
        <v/>
      </c>
      <c r="AL196" s="636" t="str">
        <f>IF($A196="","",VLOOKUP($A196,기본데이타!$A$8:$BV$103,COLUMN(기본데이타!AP$8),0))</f>
        <v/>
      </c>
      <c r="AM196" s="636" t="str">
        <f>IF($A196="","",VLOOKUP($A196,기본데이타!$A$8:$BV$103,COLUMN(기본데이타!AQ$8),0))</f>
        <v/>
      </c>
      <c r="AN196" s="636" t="str">
        <f>IF($A196="","",VLOOKUP($A196,기본데이타!$A$8:$BV$103,COLUMN(기본데이타!AR$8),0))</f>
        <v/>
      </c>
      <c r="AO196" s="636" t="str">
        <f>IF($A196="","",VLOOKUP($A196,기본데이타!$A$8:$BV$103,COLUMN(기본데이타!AS$8),0))</f>
        <v/>
      </c>
      <c r="AP196" s="636" t="str">
        <f>IF($A196="","",VLOOKUP($A196,기본데이타!$A$8:$BV$103,COLUMN(기본데이타!AT$8),0))</f>
        <v/>
      </c>
      <c r="AQ196" s="636" t="str">
        <f>IF($A196="","",VLOOKUP($A196,기본데이타!$A$8:$BV$103,COLUMN(기본데이타!AU$8),0))</f>
        <v/>
      </c>
      <c r="AR196" s="637" t="str">
        <f>IF($A196="","",VLOOKUP($A196,기본데이타!$A$8:$BV$103,COLUMN(기본데이타!AV$8),0))</f>
        <v/>
      </c>
      <c r="AS196" s="634" t="str">
        <f>IF($A196="","",VLOOKUP($A196,기본데이타!$A$8:$BV$103,COLUMN(기본데이타!AW$8),0))</f>
        <v/>
      </c>
      <c r="AT196" s="634" t="str">
        <f>IF($A196="","",VLOOKUP($A196,기본데이타!$A$8:$BV$103,COLUMN(기본데이타!AX$8),0))</f>
        <v/>
      </c>
      <c r="AU196" s="634" t="str">
        <f>IF($A196="","",VLOOKUP($A196,기본데이타!$A$8:$BV$103,COLUMN(기본데이타!AY$8),0))</f>
        <v/>
      </c>
      <c r="AV196" s="634" t="str">
        <f t="shared" si="30"/>
        <v/>
      </c>
      <c r="AW196" s="635" t="str">
        <f>IF($A196="","",VLOOKUP($A196,기본데이타!$A$8:$BV$103,COLUMN(기본데이타!BA$8),0))</f>
        <v/>
      </c>
      <c r="AX196" s="635" t="str">
        <f>IF($A196="","",VLOOKUP($A196,기본데이타!$A$8:$BV$103,COLUMN(기본데이타!BB$8),0))</f>
        <v/>
      </c>
      <c r="AY196" s="635" t="str">
        <f>IF($A196="","",VLOOKUP($A196,기본데이타!$A$8:$BV$103,COLUMN(기본데이타!BC$8),0))</f>
        <v/>
      </c>
      <c r="AZ196" s="635" t="str">
        <f>IF($A196="","",VLOOKUP($A196,기본데이타!$A$8:$BV$103,COLUMN(기본데이타!BD$8),0))</f>
        <v/>
      </c>
      <c r="BA196" s="635" t="str">
        <f>IF($A196="","",VLOOKUP($A196,기본데이타!$A$8:$BV$103,COLUMN(기본데이타!BE$8),0))</f>
        <v/>
      </c>
      <c r="BB196" s="635" t="str">
        <f>IF($A196="","",VLOOKUP($A196,기본데이타!$A$8:$BV$103,COLUMN(기본데이타!BF$8),0))</f>
        <v/>
      </c>
      <c r="BC196" s="635" t="str">
        <f>IF($A196="","",VLOOKUP($A196,기본데이타!$A$8:$BV$103,COLUMN(기본데이타!BG$8),0))</f>
        <v/>
      </c>
      <c r="BD196" s="635" t="str">
        <f>IF($A196="","",VLOOKUP($A196,기본데이타!$A$8:$BV$103,COLUMN(기본데이타!BH$8),0))</f>
        <v/>
      </c>
      <c r="BE196" s="635" t="str">
        <f>IF($A196="","",VLOOKUP($A196,기본데이타!$A$8:$BV$103,COLUMN(기본데이타!BI$8),0))</f>
        <v/>
      </c>
      <c r="BF196" s="635" t="str">
        <f>IF($A196="","",VLOOKUP($A196,기본데이타!$A$8:$BV$103,COLUMN(기본데이타!BJ$8),0))</f>
        <v/>
      </c>
      <c r="BG196" s="635" t="str">
        <f>IF($A196="","",VLOOKUP($A196,기본데이타!$A$8:$BV$103,COLUMN(기본데이타!BK$8),0))</f>
        <v/>
      </c>
      <c r="BH196" s="635" t="str">
        <f>IF($A196="","",VLOOKUP($A196,기본데이타!$A$8:$BV$103,COLUMN(기본데이타!BL$8),0))</f>
        <v/>
      </c>
      <c r="BI196" s="635" t="str">
        <f>IF($A196="","",VLOOKUP($A196,기본데이타!$A$8:$BV$103,COLUMN(기본데이타!BM$8),0))</f>
        <v/>
      </c>
      <c r="BJ196" s="635" t="str">
        <f>IF($A196="","",VLOOKUP($A196,기본데이타!$A$8:$BV$103,COLUMN(기본데이타!BN$8),0))</f>
        <v/>
      </c>
      <c r="BK196" s="635" t="str">
        <f>IF($A196="","",VLOOKUP($A196,기본데이타!$A$8:$BV$103,COLUMN(기본데이타!BO$8),0))</f>
        <v/>
      </c>
      <c r="BL196" s="635" t="str">
        <f>IF($A196="","",VLOOKUP($A196,기본데이타!$A$8:$BV$103,COLUMN(기본데이타!BP$8),0))</f>
        <v/>
      </c>
      <c r="BM196" s="635" t="str">
        <f>IF($A196="","",VLOOKUP($A196,기본데이타!$A$8:$BV$103,COLUMN(기본데이타!BQ$8),0))</f>
        <v/>
      </c>
      <c r="BN196" s="638" t="str">
        <f>IF($A196="","",VLOOKUP($A196,기본데이타!$A$8:$BV$103,COLUMN(기본데이타!BR$8),0))</f>
        <v/>
      </c>
      <c r="BO196" s="579" t="str">
        <f>IF($A196="","",VLOOKUP($A196,기본데이타!$A$8:$BV$103,COLUMN(기본데이타!BS$8),0))</f>
        <v/>
      </c>
      <c r="BP196" s="639" t="str">
        <f>IF($A196="","",VLOOKUP($A196,기본데이타!$A$8:$BV$103,COLUMN(기본데이타!BT$8),0))</f>
        <v/>
      </c>
      <c r="BQ196" s="999" t="str">
        <f>IF($A196="","",VLOOKUP($A196,기본데이타!$A$8:$BV$103,COLUMN(기본데이타!BU$8),0))</f>
        <v/>
      </c>
      <c r="BR196" s="625" t="str">
        <f t="shared" si="31"/>
        <v/>
      </c>
    </row>
    <row r="197" spans="1:70" s="571" customFormat="1" ht="50.1" hidden="1" customHeight="1" thickBot="1">
      <c r="A197" s="578"/>
      <c r="B197" s="1642"/>
      <c r="C197" s="657"/>
      <c r="D197" s="1041" t="str">
        <f>IF($A197="","",VLOOKUP($A197,기본데이타!$A$8:$BV$103,COLUMN(기본데이타!F$8),0))</f>
        <v/>
      </c>
      <c r="E197" s="1042" t="str">
        <f>IF($A197="","",VLOOKUP($A197,기본데이타!$A$8:$BV$103,COLUMN(기본데이타!G$8),0))</f>
        <v/>
      </c>
      <c r="F197" s="1043" t="str">
        <f>IF($A197="","",VLOOKUP($A197,기본데이타!$A$8:$BV$103,COLUMN(기본데이타!H$8),0))</f>
        <v/>
      </c>
      <c r="G197" s="1044" t="str">
        <f>IF($A197="","",VLOOKUP($A197,기본데이타!$A$8:$BV$103,COLUMN(기본데이타!I$8),0))</f>
        <v/>
      </c>
      <c r="H197" s="1044" t="str">
        <f>IF($A197="","",VLOOKUP($A197,기본데이타!$A$8:$BV$103,COLUMN(기본데이타!J$8),0))</f>
        <v/>
      </c>
      <c r="I197" s="1045" t="str">
        <f>IF($A197="","",VLOOKUP($A197,기본데이타!$A$8:$BV$103,COLUMN(기본데이타!K$8),0))</f>
        <v/>
      </c>
      <c r="J197" s="1045" t="str">
        <f>IF($A197="","",VLOOKUP($A197,기본데이타!$A$8:$BV$103,COLUMN(기본데이타!L$8),0))</f>
        <v/>
      </c>
      <c r="K197" s="1045" t="str">
        <f>IF($A197="","",VLOOKUP($A197,기본데이타!$A$8:$BV$103,COLUMN(기본데이타!M$8),0))</f>
        <v/>
      </c>
      <c r="L197" s="1046" t="str">
        <f>IF($A197="","",VLOOKUP($A197,기본데이타!$A$8:$BV$103,COLUMN(기본데이타!N$8),0))</f>
        <v/>
      </c>
      <c r="M197" s="1045" t="str">
        <f>IF($A197="","",VLOOKUP($A197,기본데이타!$A$8:$BV$103,COLUMN(기본데이타!O$8),0))</f>
        <v/>
      </c>
      <c r="N197" s="1046" t="str">
        <f>IF($A197="","",VLOOKUP($A197,기본데이타!$A$8:$BV$103,COLUMN(기본데이타!P$8),0))</f>
        <v/>
      </c>
      <c r="O197" s="1046" t="str">
        <f>IF($A197="","",VLOOKUP($A197,기본데이타!$A$8:$BV$103,COLUMN(기본데이타!Q$8),0))</f>
        <v/>
      </c>
      <c r="P197" s="1046" t="str">
        <f>IF($A197="","",VLOOKUP($A197,기본데이타!$A$8:$BV$103,COLUMN(기본데이타!R$8),0))</f>
        <v/>
      </c>
      <c r="Q197" s="1046" t="str">
        <f>IF($A197="","",VLOOKUP($A197,기본데이타!$A$8:$BV$103,COLUMN(기본데이타!S$8),0))</f>
        <v/>
      </c>
      <c r="R197" s="1046" t="str">
        <f>IF($A197="","",VLOOKUP($A197,기본데이타!$A$8:$BV$103,COLUMN(기본데이타!T$8),0))</f>
        <v/>
      </c>
      <c r="S197" s="1046" t="str">
        <f>IF($A197="","",VLOOKUP($A197,기본데이타!$A$8:$BV$103,COLUMN(기본데이타!U$8),0))</f>
        <v/>
      </c>
      <c r="T197" s="1046" t="str">
        <f>IF($A197="","",VLOOKUP($A197,기본데이타!$A$8:$BV$103,COLUMN(기본데이타!V$8),0))</f>
        <v/>
      </c>
      <c r="U197" s="1046" t="str">
        <f>IF($A197="","",VLOOKUP($A197,기본데이타!$A$8:$BV$103,COLUMN(기본데이타!W$8),0))</f>
        <v/>
      </c>
      <c r="V197" s="1046" t="str">
        <f>IF($A197="","",VLOOKUP($A197,기본데이타!$A$8:$BV$103,COLUMN(기본데이타!X$8),0))</f>
        <v/>
      </c>
      <c r="W197" s="1046" t="str">
        <f>IF($A197="","",VLOOKUP($A197,기본데이타!$A$8:$BV$103,COLUMN(기본데이타!AA$8),0))</f>
        <v/>
      </c>
      <c r="X197" s="1046" t="str">
        <f>IF($A197="","",VLOOKUP($A197,기본데이타!$A$8:$BV$103,COLUMN(기본데이타!AB$8),0))</f>
        <v/>
      </c>
      <c r="Y197" s="1045" t="str">
        <f>IF($A197="","",VLOOKUP($A197,기본데이타!$A$8:$BV$103,COLUMN(기본데이타!AC$8),0))</f>
        <v/>
      </c>
      <c r="Z197" s="1046" t="str">
        <f>IF($A197="","",VLOOKUP($A197,기본데이타!$A$8:$BV$103,COLUMN(기본데이타!AD$8),0))</f>
        <v/>
      </c>
      <c r="AA197" s="1045" t="str">
        <f>IF($A197="","",VLOOKUP($A197,기본데이타!$A$8:$BV$103,COLUMN(기본데이타!AE$8),0))</f>
        <v/>
      </c>
      <c r="AB197" s="1046" t="str">
        <f>IF($A197="","",VLOOKUP($A197,기본데이타!$A$8:$BV$103,COLUMN(기본데이타!AF$8),0))</f>
        <v/>
      </c>
      <c r="AC197" s="1045" t="str">
        <f>IF($A197="","",VLOOKUP($A197,기본데이타!$A$8:$BV$103,COLUMN(기본데이타!AG$8),0))</f>
        <v/>
      </c>
      <c r="AD197" s="1046" t="str">
        <f>IF($A197="","",VLOOKUP($A197,기본데이타!$A$8:$BV$103,COLUMN(기본데이타!AH$8),0))</f>
        <v/>
      </c>
      <c r="AE197" s="1045" t="str">
        <f>IF($A197="","",VLOOKUP($A197,기본데이타!$A$8:$BV$103,COLUMN(기본데이타!AI$8),0))</f>
        <v/>
      </c>
      <c r="AF197" s="1047" t="str">
        <f>IF($A197="","",VLOOKUP($A197,기본데이타!$A$8:$BV$103,COLUMN(기본데이타!AJ$8),0))</f>
        <v/>
      </c>
      <c r="AG197" s="1342" t="str">
        <f>IF($A197="","",VLOOKUP($A197,기본데이타!$A$8:$BV$103,COLUMN(기본데이타!AK$8),0))</f>
        <v/>
      </c>
      <c r="AH197" s="1342" t="str">
        <f>IF($A197="","",VLOOKUP($A197,기본데이타!$A$8:$BV$103,COLUMN(기본데이타!AL$8),0))</f>
        <v/>
      </c>
      <c r="AI197" s="1342" t="str">
        <f>IF($A197="","",VLOOKUP($A197,기본데이타!$A$8:$BV$103,COLUMN(기본데이타!AM$8),0))</f>
        <v/>
      </c>
      <c r="AJ197" s="1048" t="str">
        <f>IF($A197="","",VLOOKUP($A197,기본데이타!$A$8:$BV$103,COLUMN(기본데이타!AN$8),0))</f>
        <v/>
      </c>
      <c r="AK197" s="1048" t="str">
        <f>IF($A197="","",VLOOKUP($A197,기본데이타!$A$8:$BV$103,COLUMN(기본데이타!AO$8),0))</f>
        <v/>
      </c>
      <c r="AL197" s="1048" t="str">
        <f>IF($A197="","",VLOOKUP($A197,기본데이타!$A$8:$BV$103,COLUMN(기본데이타!AP$8),0))</f>
        <v/>
      </c>
      <c r="AM197" s="1048" t="str">
        <f>IF($A197="","",VLOOKUP($A197,기본데이타!$A$8:$BV$103,COLUMN(기본데이타!AQ$8),0))</f>
        <v/>
      </c>
      <c r="AN197" s="1048" t="str">
        <f>IF($A197="","",VLOOKUP($A197,기본데이타!$A$8:$BV$103,COLUMN(기본데이타!AR$8),0))</f>
        <v/>
      </c>
      <c r="AO197" s="1048" t="str">
        <f>IF($A197="","",VLOOKUP($A197,기본데이타!$A$8:$BV$103,COLUMN(기본데이타!AS$8),0))</f>
        <v/>
      </c>
      <c r="AP197" s="1048" t="str">
        <f>IF($A197="","",VLOOKUP($A197,기본데이타!$A$8:$BV$103,COLUMN(기본데이타!AT$8),0))</f>
        <v/>
      </c>
      <c r="AQ197" s="1048" t="str">
        <f>IF($A197="","",VLOOKUP($A197,기본데이타!$A$8:$BV$103,COLUMN(기본데이타!AU$8),0))</f>
        <v/>
      </c>
      <c r="AR197" s="1049" t="str">
        <f>IF($A197="","",VLOOKUP($A197,기본데이타!$A$8:$BV$103,COLUMN(기본데이타!AV$8),0))</f>
        <v/>
      </c>
      <c r="AS197" s="1046" t="str">
        <f>IF($A197="","",VLOOKUP($A197,기본데이타!$A$8:$BV$103,COLUMN(기본데이타!AW$8),0))</f>
        <v/>
      </c>
      <c r="AT197" s="1046" t="str">
        <f>IF($A197="","",VLOOKUP($A197,기본데이타!$A$8:$BV$103,COLUMN(기본데이타!AX$8),0))</f>
        <v/>
      </c>
      <c r="AU197" s="1046" t="str">
        <f>IF($A197="","",VLOOKUP($A197,기본데이타!$A$8:$BV$103,COLUMN(기본데이타!AY$8),0))</f>
        <v/>
      </c>
      <c r="AV197" s="1046" t="str">
        <f t="shared" si="30"/>
        <v/>
      </c>
      <c r="AW197" s="1047" t="str">
        <f>IF($A197="","",VLOOKUP($A197,기본데이타!$A$8:$BV$103,COLUMN(기본데이타!BA$8),0))</f>
        <v/>
      </c>
      <c r="AX197" s="1047" t="str">
        <f>IF($A197="","",VLOOKUP($A197,기본데이타!$A$8:$BV$103,COLUMN(기본데이타!BB$8),0))</f>
        <v/>
      </c>
      <c r="AY197" s="1047" t="str">
        <f>IF($A197="","",VLOOKUP($A197,기본데이타!$A$8:$BV$103,COLUMN(기본데이타!BC$8),0))</f>
        <v/>
      </c>
      <c r="AZ197" s="1047" t="str">
        <f>IF($A197="","",VLOOKUP($A197,기본데이타!$A$8:$BV$103,COLUMN(기본데이타!BD$8),0))</f>
        <v/>
      </c>
      <c r="BA197" s="1047" t="str">
        <f>IF($A197="","",VLOOKUP($A197,기본데이타!$A$8:$BV$103,COLUMN(기본데이타!BE$8),0))</f>
        <v/>
      </c>
      <c r="BB197" s="1047" t="str">
        <f>IF($A197="","",VLOOKUP($A197,기본데이타!$A$8:$BV$103,COLUMN(기본데이타!BF$8),0))</f>
        <v/>
      </c>
      <c r="BC197" s="1047" t="str">
        <f>IF($A197="","",VLOOKUP($A197,기본데이타!$A$8:$BV$103,COLUMN(기본데이타!BG$8),0))</f>
        <v/>
      </c>
      <c r="BD197" s="1047" t="str">
        <f>IF($A197="","",VLOOKUP($A197,기본데이타!$A$8:$BV$103,COLUMN(기본데이타!BH$8),0))</f>
        <v/>
      </c>
      <c r="BE197" s="1047" t="str">
        <f>IF($A197="","",VLOOKUP($A197,기본데이타!$A$8:$BV$103,COLUMN(기본데이타!BI$8),0))</f>
        <v/>
      </c>
      <c r="BF197" s="1047" t="str">
        <f>IF($A197="","",VLOOKUP($A197,기본데이타!$A$8:$BV$103,COLUMN(기본데이타!BJ$8),0))</f>
        <v/>
      </c>
      <c r="BG197" s="1047" t="str">
        <f>IF($A197="","",VLOOKUP($A197,기본데이타!$A$8:$BV$103,COLUMN(기본데이타!BK$8),0))</f>
        <v/>
      </c>
      <c r="BH197" s="1047" t="str">
        <f>IF($A197="","",VLOOKUP($A197,기본데이타!$A$8:$BV$103,COLUMN(기본데이타!BL$8),0))</f>
        <v/>
      </c>
      <c r="BI197" s="1047" t="str">
        <f>IF($A197="","",VLOOKUP($A197,기본데이타!$A$8:$BV$103,COLUMN(기본데이타!BM$8),0))</f>
        <v/>
      </c>
      <c r="BJ197" s="1047" t="str">
        <f>IF($A197="","",VLOOKUP($A197,기본데이타!$A$8:$BV$103,COLUMN(기본데이타!BN$8),0))</f>
        <v/>
      </c>
      <c r="BK197" s="1047" t="str">
        <f>IF($A197="","",VLOOKUP($A197,기본데이타!$A$8:$BV$103,COLUMN(기본데이타!BO$8),0))</f>
        <v/>
      </c>
      <c r="BL197" s="1047" t="str">
        <f>IF($A197="","",VLOOKUP($A197,기본데이타!$A$8:$BV$103,COLUMN(기본데이타!BP$8),0))</f>
        <v/>
      </c>
      <c r="BM197" s="1047" t="str">
        <f>IF($A197="","",VLOOKUP($A197,기본데이타!$A$8:$BV$103,COLUMN(기본데이타!BQ$8),0))</f>
        <v/>
      </c>
      <c r="BN197" s="1050" t="str">
        <f>IF($A197="","",VLOOKUP($A197,기본데이타!$A$8:$BV$103,COLUMN(기본데이타!BR$8),0))</f>
        <v/>
      </c>
      <c r="BO197" s="1051" t="str">
        <f>IF($A197="","",VLOOKUP($A197,기본데이타!$A$8:$BV$103,COLUMN(기본데이타!BS$8),0))</f>
        <v/>
      </c>
      <c r="BP197" s="1052" t="str">
        <f>IF($A197="","",VLOOKUP($A197,기본데이타!$A$8:$BV$103,COLUMN(기본데이타!BT$8),0))</f>
        <v/>
      </c>
      <c r="BQ197" s="1713" t="str">
        <f>IF($A197="","",VLOOKUP($A197,기본데이타!$A$8:$BV$103,COLUMN(기본데이타!BU$8),0))</f>
        <v/>
      </c>
      <c r="BR197" s="1053" t="str">
        <f t="shared" si="31"/>
        <v/>
      </c>
    </row>
    <row r="198" spans="1:70" s="571" customFormat="1" ht="50.1" hidden="1" customHeight="1">
      <c r="A198" s="578"/>
      <c r="B198" s="1642"/>
      <c r="C198" s="590" t="s">
        <v>346</v>
      </c>
      <c r="D198" s="591" t="str">
        <f>IF($A198="","",VLOOKUP($A198,기본데이타!$A$8:$BV$103,COLUMN(기본데이타!F$8),0))</f>
        <v/>
      </c>
      <c r="E198" s="592" t="str">
        <f>IF($A198="","",VLOOKUP($A198,기본데이타!$A$8:$BV$103,COLUMN(기본데이타!G$8),0))</f>
        <v/>
      </c>
      <c r="F198" s="593" t="str">
        <f>IF($A198="","",VLOOKUP($A198,기본데이타!$A$8:$BV$103,COLUMN(기본데이타!H$8),0))</f>
        <v/>
      </c>
      <c r="G198" s="594" t="str">
        <f>IF($A198="","",VLOOKUP($A198,기본데이타!$A$8:$BV$103,COLUMN(기본데이타!I$8),0))</f>
        <v/>
      </c>
      <c r="H198" s="594" t="str">
        <f>IF($A198="","",VLOOKUP($A198,기본데이타!$A$8:$BV$103,COLUMN(기본데이타!J$8),0))</f>
        <v/>
      </c>
      <c r="I198" s="595" t="str">
        <f>IF($A198="","",VLOOKUP($A198,기본데이타!$A$8:$BV$103,COLUMN(기본데이타!K$8),0))</f>
        <v/>
      </c>
      <c r="J198" s="595" t="str">
        <f>IF($A198="","",VLOOKUP($A198,기본데이타!$A$8:$BV$103,COLUMN(기본데이타!L$8),0))</f>
        <v/>
      </c>
      <c r="K198" s="595" t="str">
        <f>IF($A198="","",VLOOKUP($A198,기본데이타!$A$8:$BV$103,COLUMN(기본데이타!M$8),0))</f>
        <v/>
      </c>
      <c r="L198" s="596" t="str">
        <f>IF($A198="","",VLOOKUP($A198,기본데이타!$A$8:$BV$103,COLUMN(기본데이타!N$8),0))</f>
        <v/>
      </c>
      <c r="M198" s="595" t="str">
        <f>IF($A198="","",VLOOKUP($A198,기본데이타!$A$8:$BV$103,COLUMN(기본데이타!O$8),0))</f>
        <v/>
      </c>
      <c r="N198" s="596" t="str">
        <f>IF($A198="","",VLOOKUP($A198,기본데이타!$A$8:$BV$103,COLUMN(기본데이타!P$8),0))</f>
        <v/>
      </c>
      <c r="O198" s="596" t="str">
        <f>IF($A198="","",VLOOKUP($A198,기본데이타!$A$8:$BV$103,COLUMN(기본데이타!Q$8),0))</f>
        <v/>
      </c>
      <c r="P198" s="596" t="str">
        <f>IF($A198="","",VLOOKUP($A198,기본데이타!$A$8:$BV$103,COLUMN(기본데이타!R$8),0))</f>
        <v/>
      </c>
      <c r="Q198" s="596" t="str">
        <f>IF($A198="","",VLOOKUP($A198,기본데이타!$A$8:$BV$103,COLUMN(기본데이타!S$8),0))</f>
        <v/>
      </c>
      <c r="R198" s="596" t="str">
        <f>IF($A198="","",VLOOKUP($A198,기본데이타!$A$8:$BV$103,COLUMN(기본데이타!T$8),0))</f>
        <v/>
      </c>
      <c r="S198" s="596" t="str">
        <f>IF($A198="","",VLOOKUP($A198,기본데이타!$A$8:$BV$103,COLUMN(기본데이타!U$8),0))</f>
        <v/>
      </c>
      <c r="T198" s="596" t="str">
        <f>IF($A198="","",VLOOKUP($A198,기본데이타!$A$8:$BV$103,COLUMN(기본데이타!V$8),0))</f>
        <v/>
      </c>
      <c r="U198" s="596" t="str">
        <f>IF($A198="","",VLOOKUP($A198,기본데이타!$A$8:$BV$103,COLUMN(기본데이타!W$8),0))</f>
        <v/>
      </c>
      <c r="V198" s="596" t="str">
        <f>IF($A198="","",VLOOKUP($A198,기본데이타!$A$8:$BV$103,COLUMN(기본데이타!X$8),0))</f>
        <v/>
      </c>
      <c r="W198" s="596" t="str">
        <f>IF($A198="","",VLOOKUP($A198,기본데이타!$A$8:$BV$103,COLUMN(기본데이타!AA$8),0))</f>
        <v/>
      </c>
      <c r="X198" s="596" t="str">
        <f>IF($A198="","",VLOOKUP($A198,기본데이타!$A$8:$BV$103,COLUMN(기본데이타!AB$8),0))</f>
        <v/>
      </c>
      <c r="Y198" s="595" t="str">
        <f>IF($A198="","",VLOOKUP($A198,기본데이타!$A$8:$BV$103,COLUMN(기본데이타!AC$8),0))</f>
        <v/>
      </c>
      <c r="Z198" s="596" t="str">
        <f>IF($A198="","",VLOOKUP($A198,기본데이타!$A$8:$BV$103,COLUMN(기본데이타!AD$8),0))</f>
        <v/>
      </c>
      <c r="AA198" s="595" t="str">
        <f>IF($A198="","",VLOOKUP($A198,기본데이타!$A$8:$BV$103,COLUMN(기본데이타!AE$8),0))</f>
        <v/>
      </c>
      <c r="AB198" s="596" t="str">
        <f>IF($A198="","",VLOOKUP($A198,기본데이타!$A$8:$BV$103,COLUMN(기본데이타!AF$8),0))</f>
        <v/>
      </c>
      <c r="AC198" s="595" t="str">
        <f>IF($A198="","",VLOOKUP($A198,기본데이타!$A$8:$BV$103,COLUMN(기본데이타!AG$8),0))</f>
        <v/>
      </c>
      <c r="AD198" s="596" t="str">
        <f>IF($A198="","",VLOOKUP($A198,기본데이타!$A$8:$BV$103,COLUMN(기본데이타!AH$8),0))</f>
        <v/>
      </c>
      <c r="AE198" s="595" t="str">
        <f>IF($A198="","",VLOOKUP($A198,기본데이타!$A$8:$BV$103,COLUMN(기본데이타!AI$8),0))</f>
        <v/>
      </c>
      <c r="AF198" s="597" t="str">
        <f>IF($A198="","",VLOOKUP($A198,기본데이타!$A$8:$BV$103,COLUMN(기본데이타!AJ$8),0))</f>
        <v/>
      </c>
      <c r="AG198" s="597" t="str">
        <f>IF($A198="","",VLOOKUP($A198,기본데이타!$A$8:$BV$103,COLUMN(기본데이타!AK$8),0))</f>
        <v/>
      </c>
      <c r="AH198" s="597" t="str">
        <f>IF($A198="","",VLOOKUP($A198,기본데이타!$A$8:$BV$103,COLUMN(기본데이타!AL$8),0))</f>
        <v/>
      </c>
      <c r="AI198" s="597" t="str">
        <f>IF($A198="","",VLOOKUP($A198,기본데이타!$A$8:$BV$103,COLUMN(기본데이타!AM$8),0))</f>
        <v/>
      </c>
      <c r="AJ198" s="642" t="str">
        <f>IF($A198="","",VLOOKUP($A198,기본데이타!$A$8:$BV$103,COLUMN(기본데이타!AN$8),0))</f>
        <v/>
      </c>
      <c r="AK198" s="642" t="str">
        <f>IF($A198="","",VLOOKUP($A198,기본데이타!$A$8:$BV$103,COLUMN(기본데이타!AO$8),0))</f>
        <v/>
      </c>
      <c r="AL198" s="642" t="str">
        <f>IF($A198="","",VLOOKUP($A198,기본데이타!$A$8:$BV$103,COLUMN(기본데이타!AP$8),0))</f>
        <v/>
      </c>
      <c r="AM198" s="642" t="str">
        <f>IF($A198="","",VLOOKUP($A198,기본데이타!$A$8:$BV$103,COLUMN(기본데이타!AQ$8),0))</f>
        <v/>
      </c>
      <c r="AN198" s="642" t="str">
        <f>IF($A198="","",VLOOKUP($A198,기본데이타!$A$8:$BV$103,COLUMN(기본데이타!AR$8),0))</f>
        <v/>
      </c>
      <c r="AO198" s="642" t="str">
        <f>IF($A198="","",VLOOKUP($A198,기본데이타!$A$8:$BV$103,COLUMN(기본데이타!AS$8),0))</f>
        <v/>
      </c>
      <c r="AP198" s="642" t="str">
        <f>IF($A198="","",VLOOKUP($A198,기본데이타!$A$8:$BV$103,COLUMN(기본데이타!AT$8),0))</f>
        <v/>
      </c>
      <c r="AQ198" s="642" t="str">
        <f>IF($A198="","",VLOOKUP($A198,기본데이타!$A$8:$BV$103,COLUMN(기본데이타!AU$8),0))</f>
        <v/>
      </c>
      <c r="AR198" s="643" t="str">
        <f>IF($A198="","",VLOOKUP($A198,기본데이타!$A$8:$BV$103,COLUMN(기본데이타!AV$8),0))</f>
        <v/>
      </c>
      <c r="AS198" s="596" t="str">
        <f>IF($A198="","",VLOOKUP($A198,기본데이타!$A$8:$BV$103,COLUMN(기본데이타!AW$8),0))</f>
        <v/>
      </c>
      <c r="AT198" s="596" t="str">
        <f>IF($A198="","",VLOOKUP($A198,기본데이타!$A$8:$BV$103,COLUMN(기본데이타!AX$8),0))</f>
        <v/>
      </c>
      <c r="AU198" s="596" t="str">
        <f>IF($A198="","",VLOOKUP($A198,기본데이타!$A$8:$BV$103,COLUMN(기본데이타!AY$8),0))</f>
        <v/>
      </c>
      <c r="AV198" s="596" t="str">
        <f t="shared" si="28"/>
        <v/>
      </c>
      <c r="AW198" s="597" t="str">
        <f>IF($A198="","",VLOOKUP($A198,기본데이타!$A$8:$BV$103,COLUMN(기본데이타!BA$8),0))</f>
        <v/>
      </c>
      <c r="AX198" s="597" t="str">
        <f>IF($A198="","",VLOOKUP($A198,기본데이타!$A$8:$BV$103,COLUMN(기본데이타!BB$8),0))</f>
        <v/>
      </c>
      <c r="AY198" s="597" t="str">
        <f>IF($A198="","",VLOOKUP($A198,기본데이타!$A$8:$BV$103,COLUMN(기본데이타!BC$8),0))</f>
        <v/>
      </c>
      <c r="AZ198" s="597" t="str">
        <f>IF($A198="","",VLOOKUP($A198,기본데이타!$A$8:$BV$103,COLUMN(기본데이타!BD$8),0))</f>
        <v/>
      </c>
      <c r="BA198" s="597" t="str">
        <f>IF($A198="","",VLOOKUP($A198,기본데이타!$A$8:$BV$103,COLUMN(기본데이타!BE$8),0))</f>
        <v/>
      </c>
      <c r="BB198" s="597" t="str">
        <f>IF($A198="","",VLOOKUP($A198,기본데이타!$A$8:$BV$103,COLUMN(기본데이타!BF$8),0))</f>
        <v/>
      </c>
      <c r="BC198" s="597" t="str">
        <f>IF($A198="","",VLOOKUP($A198,기본데이타!$A$8:$BV$103,COLUMN(기본데이타!BG$8),0))</f>
        <v/>
      </c>
      <c r="BD198" s="597" t="str">
        <f>IF($A198="","",VLOOKUP($A198,기본데이타!$A$8:$BV$103,COLUMN(기본데이타!BH$8),0))</f>
        <v/>
      </c>
      <c r="BE198" s="597" t="str">
        <f>IF($A198="","",VLOOKUP($A198,기본데이타!$A$8:$BV$103,COLUMN(기본데이타!BI$8),0))</f>
        <v/>
      </c>
      <c r="BF198" s="597" t="str">
        <f>IF($A198="","",VLOOKUP($A198,기본데이타!$A$8:$BV$103,COLUMN(기본데이타!BJ$8),0))</f>
        <v/>
      </c>
      <c r="BG198" s="597" t="str">
        <f>IF($A198="","",VLOOKUP($A198,기본데이타!$A$8:$BV$103,COLUMN(기본데이타!BK$8),0))</f>
        <v/>
      </c>
      <c r="BH198" s="597" t="str">
        <f>IF($A198="","",VLOOKUP($A198,기본데이타!$A$8:$BV$103,COLUMN(기본데이타!BL$8),0))</f>
        <v/>
      </c>
      <c r="BI198" s="597" t="str">
        <f>IF($A198="","",VLOOKUP($A198,기본데이타!$A$8:$BV$103,COLUMN(기본데이타!BM$8),0))</f>
        <v/>
      </c>
      <c r="BJ198" s="597" t="str">
        <f>IF($A198="","",VLOOKUP($A198,기본데이타!$A$8:$BV$103,COLUMN(기본데이타!BN$8),0))</f>
        <v/>
      </c>
      <c r="BK198" s="597" t="str">
        <f>IF($A198="","",VLOOKUP($A198,기본데이타!$A$8:$BV$103,COLUMN(기본데이타!BO$8),0))</f>
        <v/>
      </c>
      <c r="BL198" s="597" t="str">
        <f>IF($A198="","",VLOOKUP($A198,기본데이타!$A$8:$BV$103,COLUMN(기본데이타!BP$8),0))</f>
        <v/>
      </c>
      <c r="BM198" s="597" t="str">
        <f>IF($A198="","",VLOOKUP($A198,기본데이타!$A$8:$BV$103,COLUMN(기본데이타!BQ$8),0))</f>
        <v/>
      </c>
      <c r="BN198" s="599" t="str">
        <f>IF($A198="","",VLOOKUP($A198,기본데이타!$A$8:$BV$103,COLUMN(기본데이타!BR$8),0))</f>
        <v/>
      </c>
      <c r="BO198" s="600" t="str">
        <f>IF($A198="","",VLOOKUP($A198,기본데이타!$A$8:$BV$103,COLUMN(기본데이타!BS$8),0))</f>
        <v/>
      </c>
      <c r="BP198" s="623" t="str">
        <f>IF($A198="","",VLOOKUP($A198,기본데이타!$A$8:$BV$103,COLUMN(기본데이타!BT$8),0))</f>
        <v/>
      </c>
      <c r="BQ198" s="602" t="str">
        <f>IF($A198="","",VLOOKUP($A198,기본데이타!$A$8:$BV$103,COLUMN(기본데이타!BU$8),0))</f>
        <v/>
      </c>
      <c r="BR198" s="603" t="str">
        <f t="shared" si="29"/>
        <v/>
      </c>
    </row>
    <row r="199" spans="1:70" s="571" customFormat="1" ht="50.1" hidden="1" customHeight="1">
      <c r="A199" s="578"/>
      <c r="B199" s="1642"/>
      <c r="C199" s="590"/>
      <c r="D199" s="629" t="str">
        <f>IF($A199="","",VLOOKUP($A199,기본데이타!$A$8:$BV$103,COLUMN(기본데이타!F$8),0))</f>
        <v/>
      </c>
      <c r="E199" s="630" t="str">
        <f>IF($A199="","",VLOOKUP($A199,기본데이타!$A$8:$BV$103,COLUMN(기본데이타!G$8),0))</f>
        <v/>
      </c>
      <c r="F199" s="631" t="str">
        <f>IF($A199="","",VLOOKUP($A199,기본데이타!$A$8:$BV$103,COLUMN(기본데이타!H$8),0))</f>
        <v/>
      </c>
      <c r="G199" s="632" t="str">
        <f>IF($A199="","",VLOOKUP($A199,기본데이타!$A$8:$BV$103,COLUMN(기본데이타!I$8),0))</f>
        <v/>
      </c>
      <c r="H199" s="632" t="str">
        <f>IF($A199="","",VLOOKUP($A199,기본데이타!$A$8:$BV$103,COLUMN(기본데이타!J$8),0))</f>
        <v/>
      </c>
      <c r="I199" s="633" t="str">
        <f>IF($A199="","",VLOOKUP($A199,기본데이타!$A$8:$BV$103,COLUMN(기본데이타!K$8),0))</f>
        <v/>
      </c>
      <c r="J199" s="633" t="str">
        <f>IF($A199="","",VLOOKUP($A199,기본데이타!$A$8:$BV$103,COLUMN(기본데이타!L$8),0))</f>
        <v/>
      </c>
      <c r="K199" s="633" t="str">
        <f>IF($A199="","",VLOOKUP($A199,기본데이타!$A$8:$BV$103,COLUMN(기본데이타!M$8),0))</f>
        <v/>
      </c>
      <c r="L199" s="634" t="str">
        <f>IF($A199="","",VLOOKUP($A199,기본데이타!$A$8:$BV$103,COLUMN(기본데이타!N$8),0))</f>
        <v/>
      </c>
      <c r="M199" s="633" t="str">
        <f>IF($A199="","",VLOOKUP($A199,기본데이타!$A$8:$BV$103,COLUMN(기본데이타!O$8),0))</f>
        <v/>
      </c>
      <c r="N199" s="634" t="str">
        <f>IF($A199="","",VLOOKUP($A199,기본데이타!$A$8:$BV$103,COLUMN(기본데이타!P$8),0))</f>
        <v/>
      </c>
      <c r="O199" s="634" t="str">
        <f>IF($A199="","",VLOOKUP($A199,기본데이타!$A$8:$BV$103,COLUMN(기본데이타!Q$8),0))</f>
        <v/>
      </c>
      <c r="P199" s="634" t="str">
        <f>IF($A199="","",VLOOKUP($A199,기본데이타!$A$8:$BV$103,COLUMN(기본데이타!R$8),0))</f>
        <v/>
      </c>
      <c r="Q199" s="634" t="str">
        <f>IF($A199="","",VLOOKUP($A199,기본데이타!$A$8:$BV$103,COLUMN(기본데이타!S$8),0))</f>
        <v/>
      </c>
      <c r="R199" s="634" t="str">
        <f>IF($A199="","",VLOOKUP($A199,기본데이타!$A$8:$BV$103,COLUMN(기본데이타!T$8),0))</f>
        <v/>
      </c>
      <c r="S199" s="634" t="str">
        <f>IF($A199="","",VLOOKUP($A199,기본데이타!$A$8:$BV$103,COLUMN(기본데이타!U$8),0))</f>
        <v/>
      </c>
      <c r="T199" s="634" t="str">
        <f>IF($A199="","",VLOOKUP($A199,기본데이타!$A$8:$BV$103,COLUMN(기본데이타!V$8),0))</f>
        <v/>
      </c>
      <c r="U199" s="634" t="str">
        <f>IF($A199="","",VLOOKUP($A199,기본데이타!$A$8:$BV$103,COLUMN(기본데이타!W$8),0))</f>
        <v/>
      </c>
      <c r="V199" s="634" t="str">
        <f>IF($A199="","",VLOOKUP($A199,기본데이타!$A$8:$BV$103,COLUMN(기본데이타!X$8),0))</f>
        <v/>
      </c>
      <c r="W199" s="634" t="str">
        <f>IF($A199="","",VLOOKUP($A199,기본데이타!$A$8:$BV$103,COLUMN(기본데이타!AA$8),0))</f>
        <v/>
      </c>
      <c r="X199" s="634" t="str">
        <f>IF($A199="","",VLOOKUP($A199,기본데이타!$A$8:$BV$103,COLUMN(기본데이타!AB$8),0))</f>
        <v/>
      </c>
      <c r="Y199" s="633" t="str">
        <f>IF($A199="","",VLOOKUP($A199,기본데이타!$A$8:$BV$103,COLUMN(기본데이타!AC$8),0))</f>
        <v/>
      </c>
      <c r="Z199" s="634" t="str">
        <f>IF($A199="","",VLOOKUP($A199,기본데이타!$A$8:$BV$103,COLUMN(기본데이타!AD$8),0))</f>
        <v/>
      </c>
      <c r="AA199" s="633" t="str">
        <f>IF($A199="","",VLOOKUP($A199,기본데이타!$A$8:$BV$103,COLUMN(기본데이타!AE$8),0))</f>
        <v/>
      </c>
      <c r="AB199" s="634" t="str">
        <f>IF($A199="","",VLOOKUP($A199,기본데이타!$A$8:$BV$103,COLUMN(기본데이타!AF$8),0))</f>
        <v/>
      </c>
      <c r="AC199" s="633" t="str">
        <f>IF($A199="","",VLOOKUP($A199,기본데이타!$A$8:$BV$103,COLUMN(기본데이타!AG$8),0))</f>
        <v/>
      </c>
      <c r="AD199" s="634" t="str">
        <f>IF($A199="","",VLOOKUP($A199,기본데이타!$A$8:$BV$103,COLUMN(기본데이타!AH$8),0))</f>
        <v/>
      </c>
      <c r="AE199" s="633" t="str">
        <f>IF($A199="","",VLOOKUP($A199,기본데이타!$A$8:$BV$103,COLUMN(기본데이타!AI$8),0))</f>
        <v/>
      </c>
      <c r="AF199" s="635" t="str">
        <f>IF($A199="","",VLOOKUP($A199,기본데이타!$A$8:$BV$103,COLUMN(기본데이타!AJ$8),0))</f>
        <v/>
      </c>
      <c r="AG199" s="635" t="str">
        <f>IF($A199="","",VLOOKUP($A199,기본데이타!$A$8:$BV$103,COLUMN(기본데이타!AK$8),0))</f>
        <v/>
      </c>
      <c r="AH199" s="635" t="str">
        <f>IF($A199="","",VLOOKUP($A199,기본데이타!$A$8:$BV$103,COLUMN(기본데이타!AL$8),0))</f>
        <v/>
      </c>
      <c r="AI199" s="635" t="str">
        <f>IF($A199="","",VLOOKUP($A199,기본데이타!$A$8:$BV$103,COLUMN(기본데이타!AM$8),0))</f>
        <v/>
      </c>
      <c r="AJ199" s="636" t="str">
        <f>IF($A199="","",VLOOKUP($A199,기본데이타!$A$8:$BV$103,COLUMN(기본데이타!AN$8),0))</f>
        <v/>
      </c>
      <c r="AK199" s="636" t="str">
        <f>IF($A199="","",VLOOKUP($A199,기본데이타!$A$8:$BV$103,COLUMN(기본데이타!AO$8),0))</f>
        <v/>
      </c>
      <c r="AL199" s="636" t="str">
        <f>IF($A199="","",VLOOKUP($A199,기본데이타!$A$8:$BV$103,COLUMN(기본데이타!AP$8),0))</f>
        <v/>
      </c>
      <c r="AM199" s="636" t="str">
        <f>IF($A199="","",VLOOKUP($A199,기본데이타!$A$8:$BV$103,COLUMN(기본데이타!AQ$8),0))</f>
        <v/>
      </c>
      <c r="AN199" s="636" t="str">
        <f>IF($A199="","",VLOOKUP($A199,기본데이타!$A$8:$BV$103,COLUMN(기본데이타!AR$8),0))</f>
        <v/>
      </c>
      <c r="AO199" s="636" t="str">
        <f>IF($A199="","",VLOOKUP($A199,기본데이타!$A$8:$BV$103,COLUMN(기본데이타!AS$8),0))</f>
        <v/>
      </c>
      <c r="AP199" s="636" t="str">
        <f>IF($A199="","",VLOOKUP($A199,기본데이타!$A$8:$BV$103,COLUMN(기본데이타!AT$8),0))</f>
        <v/>
      </c>
      <c r="AQ199" s="636" t="str">
        <f>IF($A199="","",VLOOKUP($A199,기본데이타!$A$8:$BV$103,COLUMN(기본데이타!AU$8),0))</f>
        <v/>
      </c>
      <c r="AR199" s="637" t="str">
        <f>IF($A199="","",VLOOKUP($A199,기본데이타!$A$8:$BV$103,COLUMN(기본데이타!AV$8),0))</f>
        <v/>
      </c>
      <c r="AS199" s="634" t="str">
        <f>IF($A199="","",VLOOKUP($A199,기본데이타!$A$8:$BV$103,COLUMN(기본데이타!AW$8),0))</f>
        <v/>
      </c>
      <c r="AT199" s="634" t="str">
        <f>IF($A199="","",VLOOKUP($A199,기본데이타!$A$8:$BV$103,COLUMN(기본데이타!AX$8),0))</f>
        <v/>
      </c>
      <c r="AU199" s="634" t="str">
        <f>IF($A199="","",VLOOKUP($A199,기본데이타!$A$8:$BV$103,COLUMN(기본데이타!AY$8),0))</f>
        <v/>
      </c>
      <c r="AV199" s="634" t="str">
        <f t="shared" si="28"/>
        <v/>
      </c>
      <c r="AW199" s="635" t="str">
        <f>IF($A199="","",VLOOKUP($A199,기본데이타!$A$8:$BV$103,COLUMN(기본데이타!BA$8),0))</f>
        <v/>
      </c>
      <c r="AX199" s="635" t="str">
        <f>IF($A199="","",VLOOKUP($A199,기본데이타!$A$8:$BV$103,COLUMN(기본데이타!BB$8),0))</f>
        <v/>
      </c>
      <c r="AY199" s="635" t="str">
        <f>IF($A199="","",VLOOKUP($A199,기본데이타!$A$8:$BV$103,COLUMN(기본데이타!BC$8),0))</f>
        <v/>
      </c>
      <c r="AZ199" s="635" t="str">
        <f>IF($A199="","",VLOOKUP($A199,기본데이타!$A$8:$BV$103,COLUMN(기본데이타!BD$8),0))</f>
        <v/>
      </c>
      <c r="BA199" s="635" t="str">
        <f>IF($A199="","",VLOOKUP($A199,기본데이타!$A$8:$BV$103,COLUMN(기본데이타!BE$8),0))</f>
        <v/>
      </c>
      <c r="BB199" s="635" t="str">
        <f>IF($A199="","",VLOOKUP($A199,기본데이타!$A$8:$BV$103,COLUMN(기본데이타!BF$8),0))</f>
        <v/>
      </c>
      <c r="BC199" s="635" t="str">
        <f>IF($A199="","",VLOOKUP($A199,기본데이타!$A$8:$BV$103,COLUMN(기본데이타!BG$8),0))</f>
        <v/>
      </c>
      <c r="BD199" s="635" t="str">
        <f>IF($A199="","",VLOOKUP($A199,기본데이타!$A$8:$BV$103,COLUMN(기본데이타!BH$8),0))</f>
        <v/>
      </c>
      <c r="BE199" s="635" t="str">
        <f>IF($A199="","",VLOOKUP($A199,기본데이타!$A$8:$BV$103,COLUMN(기본데이타!BI$8),0))</f>
        <v/>
      </c>
      <c r="BF199" s="635" t="str">
        <f>IF($A199="","",VLOOKUP($A199,기본데이타!$A$8:$BV$103,COLUMN(기본데이타!BJ$8),0))</f>
        <v/>
      </c>
      <c r="BG199" s="635" t="str">
        <f>IF($A199="","",VLOOKUP($A199,기본데이타!$A$8:$BV$103,COLUMN(기본데이타!BK$8),0))</f>
        <v/>
      </c>
      <c r="BH199" s="635" t="str">
        <f>IF($A199="","",VLOOKUP($A199,기본데이타!$A$8:$BV$103,COLUMN(기본데이타!BL$8),0))</f>
        <v/>
      </c>
      <c r="BI199" s="635" t="str">
        <f>IF($A199="","",VLOOKUP($A199,기본데이타!$A$8:$BV$103,COLUMN(기본데이타!BM$8),0))</f>
        <v/>
      </c>
      <c r="BJ199" s="635" t="str">
        <f>IF($A199="","",VLOOKUP($A199,기본데이타!$A$8:$BV$103,COLUMN(기본데이타!BN$8),0))</f>
        <v/>
      </c>
      <c r="BK199" s="635" t="str">
        <f>IF($A199="","",VLOOKUP($A199,기본데이타!$A$8:$BV$103,COLUMN(기본데이타!BO$8),0))</f>
        <v/>
      </c>
      <c r="BL199" s="635" t="str">
        <f>IF($A199="","",VLOOKUP($A199,기본데이타!$A$8:$BV$103,COLUMN(기본데이타!BP$8),0))</f>
        <v/>
      </c>
      <c r="BM199" s="635" t="str">
        <f>IF($A199="","",VLOOKUP($A199,기본데이타!$A$8:$BV$103,COLUMN(기본데이타!BQ$8),0))</f>
        <v/>
      </c>
      <c r="BN199" s="638" t="str">
        <f>IF($A199="","",VLOOKUP($A199,기본데이타!$A$8:$BV$103,COLUMN(기본데이타!BR$8),0))</f>
        <v/>
      </c>
      <c r="BO199" s="579" t="str">
        <f>IF($A199="","",VLOOKUP($A199,기본데이타!$A$8:$BV$103,COLUMN(기본데이타!BS$8),0))</f>
        <v/>
      </c>
      <c r="BP199" s="639" t="str">
        <f>IF($A199="","",VLOOKUP($A199,기본데이타!$A$8:$BV$103,COLUMN(기본데이타!BT$8),0))</f>
        <v/>
      </c>
      <c r="BQ199" s="640" t="str">
        <f>IF($A199="","",VLOOKUP($A199,기본데이타!$A$8:$BV$103,COLUMN(기본데이타!BU$8),0))</f>
        <v/>
      </c>
      <c r="BR199" s="625" t="str">
        <f t="shared" si="29"/>
        <v/>
      </c>
    </row>
    <row r="200" spans="1:70" s="571" customFormat="1" ht="50.1" hidden="1" customHeight="1">
      <c r="A200" s="578"/>
      <c r="B200" s="1642"/>
      <c r="C200" s="590"/>
      <c r="D200" s="629" t="str">
        <f>IF($A200="","",VLOOKUP($A200,기본데이타!$A$8:$BV$103,COLUMN(기본데이타!F$8),0))</f>
        <v/>
      </c>
      <c r="E200" s="630" t="str">
        <f>IF($A200="","",VLOOKUP($A200,기본데이타!$A$8:$BV$103,COLUMN(기본데이타!G$8),0))</f>
        <v/>
      </c>
      <c r="F200" s="631" t="str">
        <f>IF($A200="","",VLOOKUP($A200,기본데이타!$A$8:$BV$103,COLUMN(기본데이타!H$8),0))</f>
        <v/>
      </c>
      <c r="G200" s="632" t="str">
        <f>IF($A200="","",VLOOKUP($A200,기본데이타!$A$8:$BV$103,COLUMN(기본데이타!I$8),0))</f>
        <v/>
      </c>
      <c r="H200" s="632" t="str">
        <f>IF($A200="","",VLOOKUP($A200,기본데이타!$A$8:$BV$103,COLUMN(기본데이타!J$8),0))</f>
        <v/>
      </c>
      <c r="I200" s="633" t="str">
        <f>IF($A200="","",VLOOKUP($A200,기본데이타!$A$8:$BV$103,COLUMN(기본데이타!K$8),0))</f>
        <v/>
      </c>
      <c r="J200" s="633" t="str">
        <f>IF($A200="","",VLOOKUP($A200,기본데이타!$A$8:$BV$103,COLUMN(기본데이타!L$8),0))</f>
        <v/>
      </c>
      <c r="K200" s="633" t="str">
        <f>IF($A200="","",VLOOKUP($A200,기본데이타!$A$8:$BV$103,COLUMN(기본데이타!M$8),0))</f>
        <v/>
      </c>
      <c r="L200" s="634" t="str">
        <f>IF($A200="","",VLOOKUP($A200,기본데이타!$A$8:$BV$103,COLUMN(기본데이타!N$8),0))</f>
        <v/>
      </c>
      <c r="M200" s="633" t="str">
        <f>IF($A200="","",VLOOKUP($A200,기본데이타!$A$8:$BV$103,COLUMN(기본데이타!O$8),0))</f>
        <v/>
      </c>
      <c r="N200" s="634" t="str">
        <f>IF($A200="","",VLOOKUP($A200,기본데이타!$A$8:$BV$103,COLUMN(기본데이타!P$8),0))</f>
        <v/>
      </c>
      <c r="O200" s="634" t="str">
        <f>IF($A200="","",VLOOKUP($A200,기본데이타!$A$8:$BV$103,COLUMN(기본데이타!Q$8),0))</f>
        <v/>
      </c>
      <c r="P200" s="634" t="str">
        <f>IF($A200="","",VLOOKUP($A200,기본데이타!$A$8:$BV$103,COLUMN(기본데이타!R$8),0))</f>
        <v/>
      </c>
      <c r="Q200" s="634" t="str">
        <f>IF($A200="","",VLOOKUP($A200,기본데이타!$A$8:$BV$103,COLUMN(기본데이타!S$8),0))</f>
        <v/>
      </c>
      <c r="R200" s="634" t="str">
        <f>IF($A200="","",VLOOKUP($A200,기본데이타!$A$8:$BV$103,COLUMN(기본데이타!T$8),0))</f>
        <v/>
      </c>
      <c r="S200" s="634" t="str">
        <f>IF($A200="","",VLOOKUP($A200,기본데이타!$A$8:$BV$103,COLUMN(기본데이타!U$8),0))</f>
        <v/>
      </c>
      <c r="T200" s="634" t="str">
        <f>IF($A200="","",VLOOKUP($A200,기본데이타!$A$8:$BV$103,COLUMN(기본데이타!V$8),0))</f>
        <v/>
      </c>
      <c r="U200" s="634" t="str">
        <f>IF($A200="","",VLOOKUP($A200,기본데이타!$A$8:$BV$103,COLUMN(기본데이타!W$8),0))</f>
        <v/>
      </c>
      <c r="V200" s="634" t="str">
        <f>IF($A200="","",VLOOKUP($A200,기본데이타!$A$8:$BV$103,COLUMN(기본데이타!X$8),0))</f>
        <v/>
      </c>
      <c r="W200" s="634" t="str">
        <f>IF($A200="","",VLOOKUP($A200,기본데이타!$A$8:$BV$103,COLUMN(기본데이타!AA$8),0))</f>
        <v/>
      </c>
      <c r="X200" s="634" t="str">
        <f>IF($A200="","",VLOOKUP($A200,기본데이타!$A$8:$BV$103,COLUMN(기본데이타!AB$8),0))</f>
        <v/>
      </c>
      <c r="Y200" s="633" t="str">
        <f>IF($A200="","",VLOOKUP($A200,기본데이타!$A$8:$BV$103,COLUMN(기본데이타!AC$8),0))</f>
        <v/>
      </c>
      <c r="Z200" s="634" t="str">
        <f>IF($A200="","",VLOOKUP($A200,기본데이타!$A$8:$BV$103,COLUMN(기본데이타!AD$8),0))</f>
        <v/>
      </c>
      <c r="AA200" s="633" t="str">
        <f>IF($A200="","",VLOOKUP($A200,기본데이타!$A$8:$BV$103,COLUMN(기본데이타!AE$8),0))</f>
        <v/>
      </c>
      <c r="AB200" s="634" t="str">
        <f>IF($A200="","",VLOOKUP($A200,기본데이타!$A$8:$BV$103,COLUMN(기본데이타!AF$8),0))</f>
        <v/>
      </c>
      <c r="AC200" s="633" t="str">
        <f>IF($A200="","",VLOOKUP($A200,기본데이타!$A$8:$BV$103,COLUMN(기본데이타!AG$8),0))</f>
        <v/>
      </c>
      <c r="AD200" s="634" t="str">
        <f>IF($A200="","",VLOOKUP($A200,기본데이타!$A$8:$BV$103,COLUMN(기본데이타!AH$8),0))</f>
        <v/>
      </c>
      <c r="AE200" s="633" t="str">
        <f>IF($A200="","",VLOOKUP($A200,기본데이타!$A$8:$BV$103,COLUMN(기본데이타!AI$8),0))</f>
        <v/>
      </c>
      <c r="AF200" s="635" t="str">
        <f>IF($A200="","",VLOOKUP($A200,기본데이타!$A$8:$BV$103,COLUMN(기본데이타!AJ$8),0))</f>
        <v/>
      </c>
      <c r="AG200" s="635" t="str">
        <f>IF($A200="","",VLOOKUP($A200,기본데이타!$A$8:$BV$103,COLUMN(기본데이타!AK$8),0))</f>
        <v/>
      </c>
      <c r="AH200" s="635" t="str">
        <f>IF($A200="","",VLOOKUP($A200,기본데이타!$A$8:$BV$103,COLUMN(기본데이타!AL$8),0))</f>
        <v/>
      </c>
      <c r="AI200" s="635" t="str">
        <f>IF($A200="","",VLOOKUP($A200,기본데이타!$A$8:$BV$103,COLUMN(기본데이타!AM$8),0))</f>
        <v/>
      </c>
      <c r="AJ200" s="636" t="str">
        <f>IF($A200="","",VLOOKUP($A200,기본데이타!$A$8:$BV$103,COLUMN(기본데이타!AN$8),0))</f>
        <v/>
      </c>
      <c r="AK200" s="636" t="str">
        <f>IF($A200="","",VLOOKUP($A200,기본데이타!$A$8:$BV$103,COLUMN(기본데이타!AO$8),0))</f>
        <v/>
      </c>
      <c r="AL200" s="636" t="str">
        <f>IF($A200="","",VLOOKUP($A200,기본데이타!$A$8:$BV$103,COLUMN(기본데이타!AP$8),0))</f>
        <v/>
      </c>
      <c r="AM200" s="636" t="str">
        <f>IF($A200="","",VLOOKUP($A200,기본데이타!$A$8:$BV$103,COLUMN(기본데이타!AQ$8),0))</f>
        <v/>
      </c>
      <c r="AN200" s="636" t="str">
        <f>IF($A200="","",VLOOKUP($A200,기본데이타!$A$8:$BV$103,COLUMN(기본데이타!AR$8),0))</f>
        <v/>
      </c>
      <c r="AO200" s="636" t="str">
        <f>IF($A200="","",VLOOKUP($A200,기본데이타!$A$8:$BV$103,COLUMN(기본데이타!AS$8),0))</f>
        <v/>
      </c>
      <c r="AP200" s="636" t="str">
        <f>IF($A200="","",VLOOKUP($A200,기본데이타!$A$8:$BV$103,COLUMN(기본데이타!AT$8),0))</f>
        <v/>
      </c>
      <c r="AQ200" s="636" t="str">
        <f>IF($A200="","",VLOOKUP($A200,기본데이타!$A$8:$BV$103,COLUMN(기본데이타!AU$8),0))</f>
        <v/>
      </c>
      <c r="AR200" s="637" t="str">
        <f>IF($A200="","",VLOOKUP($A200,기본데이타!$A$8:$BV$103,COLUMN(기본데이타!AV$8),0))</f>
        <v/>
      </c>
      <c r="AS200" s="634" t="str">
        <f>IF($A200="","",VLOOKUP($A200,기본데이타!$A$8:$BV$103,COLUMN(기본데이타!AW$8),0))</f>
        <v/>
      </c>
      <c r="AT200" s="634" t="str">
        <f>IF($A200="","",VLOOKUP($A200,기본데이타!$A$8:$BV$103,COLUMN(기본데이타!AX$8),0))</f>
        <v/>
      </c>
      <c r="AU200" s="634" t="str">
        <f>IF($A200="","",VLOOKUP($A200,기본데이타!$A$8:$BV$103,COLUMN(기본데이타!AY$8),0))</f>
        <v/>
      </c>
      <c r="AV200" s="634" t="str">
        <f t="shared" si="28"/>
        <v/>
      </c>
      <c r="AW200" s="635" t="str">
        <f>IF($A200="","",VLOOKUP($A200,기본데이타!$A$8:$BV$103,COLUMN(기본데이타!BA$8),0))</f>
        <v/>
      </c>
      <c r="AX200" s="635" t="str">
        <f>IF($A200="","",VLOOKUP($A200,기본데이타!$A$8:$BV$103,COLUMN(기본데이타!BB$8),0))</f>
        <v/>
      </c>
      <c r="AY200" s="635" t="str">
        <f>IF($A200="","",VLOOKUP($A200,기본데이타!$A$8:$BV$103,COLUMN(기본데이타!BC$8),0))</f>
        <v/>
      </c>
      <c r="AZ200" s="635" t="str">
        <f>IF($A200="","",VLOOKUP($A200,기본데이타!$A$8:$BV$103,COLUMN(기본데이타!BD$8),0))</f>
        <v/>
      </c>
      <c r="BA200" s="635" t="str">
        <f>IF($A200="","",VLOOKUP($A200,기본데이타!$A$8:$BV$103,COLUMN(기본데이타!BE$8),0))</f>
        <v/>
      </c>
      <c r="BB200" s="635" t="str">
        <f>IF($A200="","",VLOOKUP($A200,기본데이타!$A$8:$BV$103,COLUMN(기본데이타!BF$8),0))</f>
        <v/>
      </c>
      <c r="BC200" s="635" t="str">
        <f>IF($A200="","",VLOOKUP($A200,기본데이타!$A$8:$BV$103,COLUMN(기본데이타!BG$8),0))</f>
        <v/>
      </c>
      <c r="BD200" s="635" t="str">
        <f>IF($A200="","",VLOOKUP($A200,기본데이타!$A$8:$BV$103,COLUMN(기본데이타!BH$8),0))</f>
        <v/>
      </c>
      <c r="BE200" s="635" t="str">
        <f>IF($A200="","",VLOOKUP($A200,기본데이타!$A$8:$BV$103,COLUMN(기본데이타!BI$8),0))</f>
        <v/>
      </c>
      <c r="BF200" s="635" t="str">
        <f>IF($A200="","",VLOOKUP($A200,기본데이타!$A$8:$BV$103,COLUMN(기본데이타!BJ$8),0))</f>
        <v/>
      </c>
      <c r="BG200" s="635" t="str">
        <f>IF($A200="","",VLOOKUP($A200,기본데이타!$A$8:$BV$103,COLUMN(기본데이타!BK$8),0))</f>
        <v/>
      </c>
      <c r="BH200" s="635" t="str">
        <f>IF($A200="","",VLOOKUP($A200,기본데이타!$A$8:$BV$103,COLUMN(기본데이타!BL$8),0))</f>
        <v/>
      </c>
      <c r="BI200" s="635" t="str">
        <f>IF($A200="","",VLOOKUP($A200,기본데이타!$A$8:$BV$103,COLUMN(기본데이타!BM$8),0))</f>
        <v/>
      </c>
      <c r="BJ200" s="635" t="str">
        <f>IF($A200="","",VLOOKUP($A200,기본데이타!$A$8:$BV$103,COLUMN(기본데이타!BN$8),0))</f>
        <v/>
      </c>
      <c r="BK200" s="635" t="str">
        <f>IF($A200="","",VLOOKUP($A200,기본데이타!$A$8:$BV$103,COLUMN(기본데이타!BO$8),0))</f>
        <v/>
      </c>
      <c r="BL200" s="635" t="str">
        <f>IF($A200="","",VLOOKUP($A200,기본데이타!$A$8:$BV$103,COLUMN(기본데이타!BP$8),0))</f>
        <v/>
      </c>
      <c r="BM200" s="635" t="str">
        <f>IF($A200="","",VLOOKUP($A200,기본데이타!$A$8:$BV$103,COLUMN(기본데이타!BQ$8),0))</f>
        <v/>
      </c>
      <c r="BN200" s="638" t="str">
        <f>IF($A200="","",VLOOKUP($A200,기본데이타!$A$8:$BV$103,COLUMN(기본데이타!BR$8),0))</f>
        <v/>
      </c>
      <c r="BO200" s="579" t="str">
        <f>IF($A200="","",VLOOKUP($A200,기본데이타!$A$8:$BV$103,COLUMN(기본데이타!BS$8),0))</f>
        <v/>
      </c>
      <c r="BP200" s="639" t="str">
        <f>IF($A200="","",VLOOKUP($A200,기본데이타!$A$8:$BV$103,COLUMN(기본데이타!BT$8),0))</f>
        <v/>
      </c>
      <c r="BQ200" s="640" t="str">
        <f>IF($A200="","",VLOOKUP($A200,기본데이타!$A$8:$BV$103,COLUMN(기본데이타!BU$8),0))</f>
        <v/>
      </c>
      <c r="BR200" s="625" t="str">
        <f t="shared" si="29"/>
        <v/>
      </c>
    </row>
    <row r="201" spans="1:70" s="571" customFormat="1" ht="50.1" hidden="1" customHeight="1">
      <c r="A201" s="578"/>
      <c r="B201" s="1642"/>
      <c r="C201" s="590"/>
      <c r="D201" s="591" t="str">
        <f>IF($A201="","",VLOOKUP($A201,기본데이타!$A$8:$BV$103,COLUMN(기본데이타!F$8),0))</f>
        <v/>
      </c>
      <c r="E201" s="630" t="str">
        <f>IF($A201="","",VLOOKUP($A201,기본데이타!$A$8:$BV$103,COLUMN(기본데이타!G$8),0))</f>
        <v/>
      </c>
      <c r="F201" s="631" t="str">
        <f>IF($A201="","",VLOOKUP($A201,기본데이타!$A$8:$BV$103,COLUMN(기본데이타!H$8),0))</f>
        <v/>
      </c>
      <c r="G201" s="632" t="str">
        <f>IF($A201="","",VLOOKUP($A201,기본데이타!$A$8:$BV$103,COLUMN(기본데이타!I$8),0))</f>
        <v/>
      </c>
      <c r="H201" s="632" t="str">
        <f>IF($A201="","",VLOOKUP($A201,기본데이타!$A$8:$BV$103,COLUMN(기본데이타!J$8),0))</f>
        <v/>
      </c>
      <c r="I201" s="595" t="str">
        <f>IF($A201="","",VLOOKUP($A201,기본데이타!$A$8:$BV$103,COLUMN(기본데이타!K$8),0))</f>
        <v/>
      </c>
      <c r="J201" s="595" t="str">
        <f>IF($A201="","",VLOOKUP($A201,기본데이타!$A$8:$BV$103,COLUMN(기본데이타!L$8),0))</f>
        <v/>
      </c>
      <c r="K201" s="595" t="str">
        <f>IF($A201="","",VLOOKUP($A201,기본데이타!$A$8:$BV$103,COLUMN(기본데이타!M$8),0))</f>
        <v/>
      </c>
      <c r="L201" s="596" t="str">
        <f>IF($A201="","",VLOOKUP($A201,기본데이타!$A$8:$BV$103,COLUMN(기본데이타!N$8),0))</f>
        <v/>
      </c>
      <c r="M201" s="595" t="str">
        <f>IF($A201="","",VLOOKUP($A201,기본데이타!$A$8:$BV$103,COLUMN(기본데이타!O$8),0))</f>
        <v/>
      </c>
      <c r="N201" s="596" t="str">
        <f>IF($A201="","",VLOOKUP($A201,기본데이타!$A$8:$BV$103,COLUMN(기본데이타!P$8),0))</f>
        <v/>
      </c>
      <c r="O201" s="596" t="str">
        <f>IF($A201="","",VLOOKUP($A201,기본데이타!$A$8:$BV$103,COLUMN(기본데이타!Q$8),0))</f>
        <v/>
      </c>
      <c r="P201" s="596" t="str">
        <f>IF($A201="","",VLOOKUP($A201,기본데이타!$A$8:$BV$103,COLUMN(기본데이타!R$8),0))</f>
        <v/>
      </c>
      <c r="Q201" s="596" t="str">
        <f>IF($A201="","",VLOOKUP($A201,기본데이타!$A$8:$BV$103,COLUMN(기본데이타!S$8),0))</f>
        <v/>
      </c>
      <c r="R201" s="596" t="str">
        <f>IF($A201="","",VLOOKUP($A201,기본데이타!$A$8:$BV$103,COLUMN(기본데이타!T$8),0))</f>
        <v/>
      </c>
      <c r="S201" s="596" t="str">
        <f>IF($A201="","",VLOOKUP($A201,기본데이타!$A$8:$BV$103,COLUMN(기본데이타!U$8),0))</f>
        <v/>
      </c>
      <c r="T201" s="596" t="str">
        <f>IF($A201="","",VLOOKUP($A201,기본데이타!$A$8:$BV$103,COLUMN(기본데이타!V$8),0))</f>
        <v/>
      </c>
      <c r="U201" s="596" t="str">
        <f>IF($A201="","",VLOOKUP($A201,기본데이타!$A$8:$BV$103,COLUMN(기본데이타!W$8),0))</f>
        <v/>
      </c>
      <c r="V201" s="596" t="str">
        <f>IF($A201="","",VLOOKUP($A201,기본데이타!$A$8:$BV$103,COLUMN(기본데이타!X$8),0))</f>
        <v/>
      </c>
      <c r="W201" s="596" t="str">
        <f>IF($A201="","",VLOOKUP($A201,기본데이타!$A$8:$BV$103,COLUMN(기본데이타!AA$8),0))</f>
        <v/>
      </c>
      <c r="X201" s="596" t="str">
        <f>IF($A201="","",VLOOKUP($A201,기본데이타!$A$8:$BV$103,COLUMN(기본데이타!AB$8),0))</f>
        <v/>
      </c>
      <c r="Y201" s="595" t="str">
        <f>IF($A201="","",VLOOKUP($A201,기본데이타!$A$8:$BV$103,COLUMN(기본데이타!AC$8),0))</f>
        <v/>
      </c>
      <c r="Z201" s="596" t="str">
        <f>IF($A201="","",VLOOKUP($A201,기본데이타!$A$8:$BV$103,COLUMN(기본데이타!AD$8),0))</f>
        <v/>
      </c>
      <c r="AA201" s="595" t="str">
        <f>IF($A201="","",VLOOKUP($A201,기본데이타!$A$8:$BV$103,COLUMN(기본데이타!AE$8),0))</f>
        <v/>
      </c>
      <c r="AB201" s="596" t="str">
        <f>IF($A201="","",VLOOKUP($A201,기본데이타!$A$8:$BV$103,COLUMN(기본데이타!AF$8),0))</f>
        <v/>
      </c>
      <c r="AC201" s="595" t="str">
        <f>IF($A201="","",VLOOKUP($A201,기본데이타!$A$8:$BV$103,COLUMN(기본데이타!AG$8),0))</f>
        <v/>
      </c>
      <c r="AD201" s="596" t="str">
        <f>IF($A201="","",VLOOKUP($A201,기본데이타!$A$8:$BV$103,COLUMN(기본데이타!AH$8),0))</f>
        <v/>
      </c>
      <c r="AE201" s="595" t="str">
        <f>IF($A201="","",VLOOKUP($A201,기본데이타!$A$8:$BV$103,COLUMN(기본데이타!AI$8),0))</f>
        <v/>
      </c>
      <c r="AF201" s="597" t="str">
        <f>IF($A201="","",VLOOKUP($A201,기본데이타!$A$8:$BV$103,COLUMN(기본데이타!AJ$8),0))</f>
        <v/>
      </c>
      <c r="AG201" s="621" t="str">
        <f>IF($A201="","",VLOOKUP($A201,기본데이타!$A$8:$BV$103,COLUMN(기본데이타!AK$8),0))</f>
        <v/>
      </c>
      <c r="AH201" s="621" t="str">
        <f>IF($A201="","",VLOOKUP($A201,기본데이타!$A$8:$BV$103,COLUMN(기본데이타!AL$8),0))</f>
        <v/>
      </c>
      <c r="AI201" s="621" t="str">
        <f>IF($A201="","",VLOOKUP($A201,기본데이타!$A$8:$BV$103,COLUMN(기본데이타!AM$8),0))</f>
        <v/>
      </c>
      <c r="AJ201" s="642" t="str">
        <f>IF($A201="","",VLOOKUP($A201,기본데이타!$A$8:$BV$103,COLUMN(기본데이타!AN$8),0))</f>
        <v/>
      </c>
      <c r="AK201" s="642" t="str">
        <f>IF($A201="","",VLOOKUP($A201,기본데이타!$A$8:$BV$103,COLUMN(기본데이타!AO$8),0))</f>
        <v/>
      </c>
      <c r="AL201" s="642" t="str">
        <f>IF($A201="","",VLOOKUP($A201,기본데이타!$A$8:$BV$103,COLUMN(기본데이타!AP$8),0))</f>
        <v/>
      </c>
      <c r="AM201" s="642" t="str">
        <f>IF($A201="","",VLOOKUP($A201,기본데이타!$A$8:$BV$103,COLUMN(기본데이타!AQ$8),0))</f>
        <v/>
      </c>
      <c r="AN201" s="642" t="str">
        <f>IF($A201="","",VLOOKUP($A201,기본데이타!$A$8:$BV$103,COLUMN(기본데이타!AR$8),0))</f>
        <v/>
      </c>
      <c r="AO201" s="642" t="str">
        <f>IF($A201="","",VLOOKUP($A201,기본데이타!$A$8:$BV$103,COLUMN(기본데이타!AS$8),0))</f>
        <v/>
      </c>
      <c r="AP201" s="642" t="str">
        <f>IF($A201="","",VLOOKUP($A201,기본데이타!$A$8:$BV$103,COLUMN(기본데이타!AT$8),0))</f>
        <v/>
      </c>
      <c r="AQ201" s="642" t="str">
        <f>IF($A201="","",VLOOKUP($A201,기본데이타!$A$8:$BV$103,COLUMN(기본데이타!AU$8),0))</f>
        <v/>
      </c>
      <c r="AR201" s="643" t="str">
        <f>IF($A201="","",VLOOKUP($A201,기본데이타!$A$8:$BV$103,COLUMN(기본데이타!AV$8),0))</f>
        <v/>
      </c>
      <c r="AS201" s="596" t="str">
        <f>IF($A201="","",VLOOKUP($A201,기본데이타!$A$8:$BV$103,COLUMN(기본데이타!AW$8),0))</f>
        <v/>
      </c>
      <c r="AT201" s="596" t="str">
        <f>IF($A201="","",VLOOKUP($A201,기본데이타!$A$8:$BV$103,COLUMN(기본데이타!AX$8),0))</f>
        <v/>
      </c>
      <c r="AU201" s="596" t="str">
        <f>IF($A201="","",VLOOKUP($A201,기본데이타!$A$8:$BV$103,COLUMN(기본데이타!AY$8),0))</f>
        <v/>
      </c>
      <c r="AV201" s="596" t="str">
        <f t="shared" si="28"/>
        <v/>
      </c>
      <c r="AW201" s="597" t="str">
        <f>IF($A201="","",VLOOKUP($A201,기본데이타!$A$8:$BV$103,COLUMN(기본데이타!BA$8),0))</f>
        <v/>
      </c>
      <c r="AX201" s="597" t="str">
        <f>IF($A201="","",VLOOKUP($A201,기본데이타!$A$8:$BV$103,COLUMN(기본데이타!BB$8),0))</f>
        <v/>
      </c>
      <c r="AY201" s="597" t="str">
        <f>IF($A201="","",VLOOKUP($A201,기본데이타!$A$8:$BV$103,COLUMN(기본데이타!BC$8),0))</f>
        <v/>
      </c>
      <c r="AZ201" s="597" t="str">
        <f>IF($A201="","",VLOOKUP($A201,기본데이타!$A$8:$BV$103,COLUMN(기본데이타!BD$8),0))</f>
        <v/>
      </c>
      <c r="BA201" s="597" t="str">
        <f>IF($A201="","",VLOOKUP($A201,기본데이타!$A$8:$BV$103,COLUMN(기본데이타!BE$8),0))</f>
        <v/>
      </c>
      <c r="BB201" s="597" t="str">
        <f>IF($A201="","",VLOOKUP($A201,기본데이타!$A$8:$BV$103,COLUMN(기본데이타!BF$8),0))</f>
        <v/>
      </c>
      <c r="BC201" s="597" t="str">
        <f>IF($A201="","",VLOOKUP($A201,기본데이타!$A$8:$BV$103,COLUMN(기본데이타!BG$8),0))</f>
        <v/>
      </c>
      <c r="BD201" s="597" t="str">
        <f>IF($A201="","",VLOOKUP($A201,기본데이타!$A$8:$BV$103,COLUMN(기본데이타!BH$8),0))</f>
        <v/>
      </c>
      <c r="BE201" s="597" t="str">
        <f>IF($A201="","",VLOOKUP($A201,기본데이타!$A$8:$BV$103,COLUMN(기본데이타!BI$8),0))</f>
        <v/>
      </c>
      <c r="BF201" s="597" t="str">
        <f>IF($A201="","",VLOOKUP($A201,기본데이타!$A$8:$BV$103,COLUMN(기본데이타!BJ$8),0))</f>
        <v/>
      </c>
      <c r="BG201" s="597" t="str">
        <f>IF($A201="","",VLOOKUP($A201,기본데이타!$A$8:$BV$103,COLUMN(기본데이타!BK$8),0))</f>
        <v/>
      </c>
      <c r="BH201" s="597" t="str">
        <f>IF($A201="","",VLOOKUP($A201,기본데이타!$A$8:$BV$103,COLUMN(기본데이타!BL$8),0))</f>
        <v/>
      </c>
      <c r="BI201" s="597" t="str">
        <f>IF($A201="","",VLOOKUP($A201,기본데이타!$A$8:$BV$103,COLUMN(기본데이타!BM$8),0))</f>
        <v/>
      </c>
      <c r="BJ201" s="597" t="str">
        <f>IF($A201="","",VLOOKUP($A201,기본데이타!$A$8:$BV$103,COLUMN(기본데이타!BN$8),0))</f>
        <v/>
      </c>
      <c r="BK201" s="597" t="str">
        <f>IF($A201="","",VLOOKUP($A201,기본데이타!$A$8:$BV$103,COLUMN(기본데이타!BO$8),0))</f>
        <v/>
      </c>
      <c r="BL201" s="597" t="str">
        <f>IF($A201="","",VLOOKUP($A201,기본데이타!$A$8:$BV$103,COLUMN(기본데이타!BP$8),0))</f>
        <v/>
      </c>
      <c r="BM201" s="597" t="str">
        <f>IF($A201="","",VLOOKUP($A201,기본데이타!$A$8:$BV$103,COLUMN(기본데이타!BQ$8),0))</f>
        <v/>
      </c>
      <c r="BN201" s="599" t="str">
        <f>IF($A201="","",VLOOKUP($A201,기본데이타!$A$8:$BV$103,COLUMN(기본데이타!BR$8),0))</f>
        <v/>
      </c>
      <c r="BO201" s="600" t="str">
        <f>IF($A201="","",VLOOKUP($A201,기본데이타!$A$8:$BV$103,COLUMN(기본데이타!BS$8),0))</f>
        <v/>
      </c>
      <c r="BP201" s="623" t="str">
        <f>IF($A201="","",VLOOKUP($A201,기본데이타!$A$8:$BV$103,COLUMN(기본데이타!BT$8),0))</f>
        <v/>
      </c>
      <c r="BQ201" s="602" t="str">
        <f>IF($A201="","",VLOOKUP($A201,기본데이타!$A$8:$BV$103,COLUMN(기본데이타!BU$8),0))</f>
        <v/>
      </c>
      <c r="BR201" s="603" t="str">
        <f t="shared" si="29"/>
        <v/>
      </c>
    </row>
    <row r="202" spans="1:70" s="571" customFormat="1" ht="50.1" hidden="1" customHeight="1">
      <c r="A202" s="578"/>
      <c r="B202" s="1642"/>
      <c r="C202" s="590"/>
      <c r="D202" s="591" t="str">
        <f>IF($A202="","",VLOOKUP($A202,기본데이타!$A$8:$BV$103,COLUMN(기본데이타!F$8),0))</f>
        <v/>
      </c>
      <c r="E202" s="630" t="str">
        <f>IF($A202="","",VLOOKUP($A202,기본데이타!$A$8:$BV$103,COLUMN(기본데이타!G$8),0))</f>
        <v/>
      </c>
      <c r="F202" s="631" t="str">
        <f>IF($A202="","",VLOOKUP($A202,기본데이타!$A$8:$BV$103,COLUMN(기본데이타!H$8),0))</f>
        <v/>
      </c>
      <c r="G202" s="632" t="str">
        <f>IF($A202="","",VLOOKUP($A202,기본데이타!$A$8:$BV$103,COLUMN(기본데이타!I$8),0))</f>
        <v/>
      </c>
      <c r="H202" s="632" t="str">
        <f>IF($A202="","",VLOOKUP($A202,기본데이타!$A$8:$BV$103,COLUMN(기본데이타!J$8),0))</f>
        <v/>
      </c>
      <c r="I202" s="595" t="str">
        <f>IF($A202="","",VLOOKUP($A202,기본데이타!$A$8:$BV$103,COLUMN(기본데이타!K$8),0))</f>
        <v/>
      </c>
      <c r="J202" s="595" t="str">
        <f>IF($A202="","",VLOOKUP($A202,기본데이타!$A$8:$BV$103,COLUMN(기본데이타!L$8),0))</f>
        <v/>
      </c>
      <c r="K202" s="595" t="str">
        <f>IF($A202="","",VLOOKUP($A202,기본데이타!$A$8:$BV$103,COLUMN(기본데이타!M$8),0))</f>
        <v/>
      </c>
      <c r="L202" s="596" t="str">
        <f>IF($A202="","",VLOOKUP($A202,기본데이타!$A$8:$BV$103,COLUMN(기본데이타!N$8),0))</f>
        <v/>
      </c>
      <c r="M202" s="595" t="str">
        <f>IF($A202="","",VLOOKUP($A202,기본데이타!$A$8:$BV$103,COLUMN(기본데이타!O$8),0))</f>
        <v/>
      </c>
      <c r="N202" s="596" t="str">
        <f>IF($A202="","",VLOOKUP($A202,기본데이타!$A$8:$BV$103,COLUMN(기본데이타!P$8),0))</f>
        <v/>
      </c>
      <c r="O202" s="596" t="str">
        <f>IF($A202="","",VLOOKUP($A202,기본데이타!$A$8:$BV$103,COLUMN(기본데이타!Q$8),0))</f>
        <v/>
      </c>
      <c r="P202" s="596" t="str">
        <f>IF($A202="","",VLOOKUP($A202,기본데이타!$A$8:$BV$103,COLUMN(기본데이타!R$8),0))</f>
        <v/>
      </c>
      <c r="Q202" s="596" t="str">
        <f>IF($A202="","",VLOOKUP($A202,기본데이타!$A$8:$BV$103,COLUMN(기본데이타!S$8),0))</f>
        <v/>
      </c>
      <c r="R202" s="596" t="str">
        <f>IF($A202="","",VLOOKUP($A202,기본데이타!$A$8:$BV$103,COLUMN(기본데이타!T$8),0))</f>
        <v/>
      </c>
      <c r="S202" s="596" t="str">
        <f>IF($A202="","",VLOOKUP($A202,기본데이타!$A$8:$BV$103,COLUMN(기본데이타!U$8),0))</f>
        <v/>
      </c>
      <c r="T202" s="596" t="str">
        <f>IF($A202="","",VLOOKUP($A202,기본데이타!$A$8:$BV$103,COLUMN(기본데이타!V$8),0))</f>
        <v/>
      </c>
      <c r="U202" s="596" t="str">
        <f>IF($A202="","",VLOOKUP($A202,기본데이타!$A$8:$BV$103,COLUMN(기본데이타!W$8),0))</f>
        <v/>
      </c>
      <c r="V202" s="596" t="str">
        <f>IF($A202="","",VLOOKUP($A202,기본데이타!$A$8:$BV$103,COLUMN(기본데이타!X$8),0))</f>
        <v/>
      </c>
      <c r="W202" s="596" t="str">
        <f>IF($A202="","",VLOOKUP($A202,기본데이타!$A$8:$BV$103,COLUMN(기본데이타!AA$8),0))</f>
        <v/>
      </c>
      <c r="X202" s="596" t="str">
        <f>IF($A202="","",VLOOKUP($A202,기본데이타!$A$8:$BV$103,COLUMN(기본데이타!AB$8),0))</f>
        <v/>
      </c>
      <c r="Y202" s="595" t="str">
        <f>IF($A202="","",VLOOKUP($A202,기본데이타!$A$8:$BV$103,COLUMN(기본데이타!AC$8),0))</f>
        <v/>
      </c>
      <c r="Z202" s="596" t="str">
        <f>IF($A202="","",VLOOKUP($A202,기본데이타!$A$8:$BV$103,COLUMN(기본데이타!AD$8),0))</f>
        <v/>
      </c>
      <c r="AA202" s="595" t="str">
        <f>IF($A202="","",VLOOKUP($A202,기본데이타!$A$8:$BV$103,COLUMN(기본데이타!AE$8),0))</f>
        <v/>
      </c>
      <c r="AB202" s="596" t="str">
        <f>IF($A202="","",VLOOKUP($A202,기본데이타!$A$8:$BV$103,COLUMN(기본데이타!AF$8),0))</f>
        <v/>
      </c>
      <c r="AC202" s="595" t="str">
        <f>IF($A202="","",VLOOKUP($A202,기본데이타!$A$8:$BV$103,COLUMN(기본데이타!AG$8),0))</f>
        <v/>
      </c>
      <c r="AD202" s="596" t="str">
        <f>IF($A202="","",VLOOKUP($A202,기본데이타!$A$8:$BV$103,COLUMN(기본데이타!AH$8),0))</f>
        <v/>
      </c>
      <c r="AE202" s="595" t="str">
        <f>IF($A202="","",VLOOKUP($A202,기본데이타!$A$8:$BV$103,COLUMN(기본데이타!AI$8),0))</f>
        <v/>
      </c>
      <c r="AF202" s="597" t="str">
        <f>IF($A202="","",VLOOKUP($A202,기본데이타!$A$8:$BV$103,COLUMN(기본데이타!AJ$8),0))</f>
        <v/>
      </c>
      <c r="AG202" s="621" t="str">
        <f>IF($A202="","",VLOOKUP($A202,기본데이타!$A$8:$BV$103,COLUMN(기본데이타!AK$8),0))</f>
        <v/>
      </c>
      <c r="AH202" s="621" t="str">
        <f>IF($A202="","",VLOOKUP($A202,기본데이타!$A$8:$BV$103,COLUMN(기본데이타!AL$8),0))</f>
        <v/>
      </c>
      <c r="AI202" s="621" t="str">
        <f>IF($A202="","",VLOOKUP($A202,기본데이타!$A$8:$BV$103,COLUMN(기본데이타!AM$8),0))</f>
        <v/>
      </c>
      <c r="AJ202" s="642" t="str">
        <f>IF($A202="","",VLOOKUP($A202,기본데이타!$A$8:$BV$103,COLUMN(기본데이타!AN$8),0))</f>
        <v/>
      </c>
      <c r="AK202" s="642" t="str">
        <f>IF($A202="","",VLOOKUP($A202,기본데이타!$A$8:$BV$103,COLUMN(기본데이타!AO$8),0))</f>
        <v/>
      </c>
      <c r="AL202" s="642" t="str">
        <f>IF($A202="","",VLOOKUP($A202,기본데이타!$A$8:$BV$103,COLUMN(기본데이타!AP$8),0))</f>
        <v/>
      </c>
      <c r="AM202" s="642" t="str">
        <f>IF($A202="","",VLOOKUP($A202,기본데이타!$A$8:$BV$103,COLUMN(기본데이타!AQ$8),0))</f>
        <v/>
      </c>
      <c r="AN202" s="642" t="str">
        <f>IF($A202="","",VLOOKUP($A202,기본데이타!$A$8:$BV$103,COLUMN(기본데이타!AR$8),0))</f>
        <v/>
      </c>
      <c r="AO202" s="642" t="str">
        <f>IF($A202="","",VLOOKUP($A202,기본데이타!$A$8:$BV$103,COLUMN(기본데이타!AS$8),0))</f>
        <v/>
      </c>
      <c r="AP202" s="642" t="str">
        <f>IF($A202="","",VLOOKUP($A202,기본데이타!$A$8:$BV$103,COLUMN(기본데이타!AT$8),0))</f>
        <v/>
      </c>
      <c r="AQ202" s="642" t="str">
        <f>IF($A202="","",VLOOKUP($A202,기본데이타!$A$8:$BV$103,COLUMN(기본데이타!AU$8),0))</f>
        <v/>
      </c>
      <c r="AR202" s="643" t="str">
        <f>IF($A202="","",VLOOKUP($A202,기본데이타!$A$8:$BV$103,COLUMN(기본데이타!AV$8),0))</f>
        <v/>
      </c>
      <c r="AS202" s="596" t="str">
        <f>IF($A202="","",VLOOKUP($A202,기본데이타!$A$8:$BV$103,COLUMN(기본데이타!AW$8),0))</f>
        <v/>
      </c>
      <c r="AT202" s="596" t="str">
        <f>IF($A202="","",VLOOKUP($A202,기본데이타!$A$8:$BV$103,COLUMN(기본데이타!AX$8),0))</f>
        <v/>
      </c>
      <c r="AU202" s="596" t="str">
        <f>IF($A202="","",VLOOKUP($A202,기본데이타!$A$8:$BV$103,COLUMN(기본데이타!AY$8),0))</f>
        <v/>
      </c>
      <c r="AV202" s="596" t="str">
        <f t="shared" si="28"/>
        <v/>
      </c>
      <c r="AW202" s="597" t="str">
        <f>IF($A202="","",VLOOKUP($A202,기본데이타!$A$8:$BV$103,COLUMN(기본데이타!BA$8),0))</f>
        <v/>
      </c>
      <c r="AX202" s="597" t="str">
        <f>IF($A202="","",VLOOKUP($A202,기본데이타!$A$8:$BV$103,COLUMN(기본데이타!BB$8),0))</f>
        <v/>
      </c>
      <c r="AY202" s="597" t="str">
        <f>IF($A202="","",VLOOKUP($A202,기본데이타!$A$8:$BV$103,COLUMN(기본데이타!BC$8),0))</f>
        <v/>
      </c>
      <c r="AZ202" s="597" t="str">
        <f>IF($A202="","",VLOOKUP($A202,기본데이타!$A$8:$BV$103,COLUMN(기본데이타!BD$8),0))</f>
        <v/>
      </c>
      <c r="BA202" s="597" t="str">
        <f>IF($A202="","",VLOOKUP($A202,기본데이타!$A$8:$BV$103,COLUMN(기본데이타!BE$8),0))</f>
        <v/>
      </c>
      <c r="BB202" s="597" t="str">
        <f>IF($A202="","",VLOOKUP($A202,기본데이타!$A$8:$BV$103,COLUMN(기본데이타!BF$8),0))</f>
        <v/>
      </c>
      <c r="BC202" s="597" t="str">
        <f>IF($A202="","",VLOOKUP($A202,기본데이타!$A$8:$BV$103,COLUMN(기본데이타!BG$8),0))</f>
        <v/>
      </c>
      <c r="BD202" s="597" t="str">
        <f>IF($A202="","",VLOOKUP($A202,기본데이타!$A$8:$BV$103,COLUMN(기본데이타!BH$8),0))</f>
        <v/>
      </c>
      <c r="BE202" s="597" t="str">
        <f>IF($A202="","",VLOOKUP($A202,기본데이타!$A$8:$BV$103,COLUMN(기본데이타!BI$8),0))</f>
        <v/>
      </c>
      <c r="BF202" s="597" t="str">
        <f>IF($A202="","",VLOOKUP($A202,기본데이타!$A$8:$BV$103,COLUMN(기본데이타!BJ$8),0))</f>
        <v/>
      </c>
      <c r="BG202" s="597" t="str">
        <f>IF($A202="","",VLOOKUP($A202,기본데이타!$A$8:$BV$103,COLUMN(기본데이타!BK$8),0))</f>
        <v/>
      </c>
      <c r="BH202" s="597" t="str">
        <f>IF($A202="","",VLOOKUP($A202,기본데이타!$A$8:$BV$103,COLUMN(기본데이타!BL$8),0))</f>
        <v/>
      </c>
      <c r="BI202" s="597" t="str">
        <f>IF($A202="","",VLOOKUP($A202,기본데이타!$A$8:$BV$103,COLUMN(기본데이타!BM$8),0))</f>
        <v/>
      </c>
      <c r="BJ202" s="597" t="str">
        <f>IF($A202="","",VLOOKUP($A202,기본데이타!$A$8:$BV$103,COLUMN(기본데이타!BN$8),0))</f>
        <v/>
      </c>
      <c r="BK202" s="597" t="str">
        <f>IF($A202="","",VLOOKUP($A202,기본데이타!$A$8:$BV$103,COLUMN(기본데이타!BO$8),0))</f>
        <v/>
      </c>
      <c r="BL202" s="597" t="str">
        <f>IF($A202="","",VLOOKUP($A202,기본데이타!$A$8:$BV$103,COLUMN(기본데이타!BP$8),0))</f>
        <v/>
      </c>
      <c r="BM202" s="597" t="str">
        <f>IF($A202="","",VLOOKUP($A202,기본데이타!$A$8:$BV$103,COLUMN(기본데이타!BQ$8),0))</f>
        <v/>
      </c>
      <c r="BN202" s="599" t="str">
        <f>IF($A202="","",VLOOKUP($A202,기본데이타!$A$8:$BV$103,COLUMN(기본데이타!BR$8),0))</f>
        <v/>
      </c>
      <c r="BO202" s="600" t="str">
        <f>IF($A202="","",VLOOKUP($A202,기본데이타!$A$8:$BV$103,COLUMN(기본데이타!BS$8),0))</f>
        <v/>
      </c>
      <c r="BP202" s="623" t="str">
        <f>IF($A202="","",VLOOKUP($A202,기본데이타!$A$8:$BV$103,COLUMN(기본데이타!BT$8),0))</f>
        <v/>
      </c>
      <c r="BQ202" s="602" t="str">
        <f>IF($A202="","",VLOOKUP($A202,기본데이타!$A$8:$BV$103,COLUMN(기본데이타!BU$8),0))</f>
        <v/>
      </c>
      <c r="BR202" s="603" t="str">
        <f t="shared" si="29"/>
        <v/>
      </c>
    </row>
    <row r="203" spans="1:70" s="571" customFormat="1" ht="50.1" hidden="1" customHeight="1">
      <c r="A203" s="578"/>
      <c r="B203" s="1642"/>
      <c r="C203" s="590"/>
      <c r="D203" s="591" t="str">
        <f>IF($A203="","",VLOOKUP($A203,기본데이타!$A$8:$BV$103,COLUMN(기본데이타!F$8),0))</f>
        <v/>
      </c>
      <c r="E203" s="592" t="str">
        <f>IF($A203="","",VLOOKUP($A203,기본데이타!$A$8:$BV$103,COLUMN(기본데이타!G$8),0))</f>
        <v/>
      </c>
      <c r="F203" s="593" t="str">
        <f>IF($A203="","",VLOOKUP($A203,기본데이타!$A$8:$BV$103,COLUMN(기본데이타!H$8),0))</f>
        <v/>
      </c>
      <c r="G203" s="594" t="str">
        <f>IF($A203="","",VLOOKUP($A203,기본데이타!$A$8:$BV$103,COLUMN(기본데이타!I$8),0))</f>
        <v/>
      </c>
      <c r="H203" s="594" t="str">
        <f>IF($A203="","",VLOOKUP($A203,기본데이타!$A$8:$BV$103,COLUMN(기본데이타!J$8),0))</f>
        <v/>
      </c>
      <c r="I203" s="595" t="str">
        <f>IF($A203="","",VLOOKUP($A203,기본데이타!$A$8:$BV$103,COLUMN(기본데이타!K$8),0))</f>
        <v/>
      </c>
      <c r="J203" s="595" t="str">
        <f>IF($A203="","",VLOOKUP($A203,기본데이타!$A$8:$BV$103,COLUMN(기본데이타!L$8),0))</f>
        <v/>
      </c>
      <c r="K203" s="595" t="str">
        <f>IF($A203="","",VLOOKUP($A203,기본데이타!$A$8:$BV$103,COLUMN(기본데이타!M$8),0))</f>
        <v/>
      </c>
      <c r="L203" s="596" t="str">
        <f>IF($A203="","",VLOOKUP($A203,기본데이타!$A$8:$BV$103,COLUMN(기본데이타!N$8),0))</f>
        <v/>
      </c>
      <c r="M203" s="595" t="str">
        <f>IF($A203="","",VLOOKUP($A203,기본데이타!$A$8:$BV$103,COLUMN(기본데이타!O$8),0))</f>
        <v/>
      </c>
      <c r="N203" s="596" t="str">
        <f>IF($A203="","",VLOOKUP($A203,기본데이타!$A$8:$BV$103,COLUMN(기본데이타!P$8),0))</f>
        <v/>
      </c>
      <c r="O203" s="596" t="str">
        <f>IF($A203="","",VLOOKUP($A203,기본데이타!$A$8:$BV$103,COLUMN(기본데이타!Q$8),0))</f>
        <v/>
      </c>
      <c r="P203" s="596" t="str">
        <f>IF($A203="","",VLOOKUP($A203,기본데이타!$A$8:$BV$103,COLUMN(기본데이타!R$8),0))</f>
        <v/>
      </c>
      <c r="Q203" s="596" t="str">
        <f>IF($A203="","",VLOOKUP($A203,기본데이타!$A$8:$BV$103,COLUMN(기본데이타!S$8),0))</f>
        <v/>
      </c>
      <c r="R203" s="596" t="str">
        <f>IF($A203="","",VLOOKUP($A203,기본데이타!$A$8:$BV$103,COLUMN(기본데이타!T$8),0))</f>
        <v/>
      </c>
      <c r="S203" s="596" t="str">
        <f>IF($A203="","",VLOOKUP($A203,기본데이타!$A$8:$BV$103,COLUMN(기본데이타!U$8),0))</f>
        <v/>
      </c>
      <c r="T203" s="596" t="str">
        <f>IF($A203="","",VLOOKUP($A203,기본데이타!$A$8:$BV$103,COLUMN(기본데이타!V$8),0))</f>
        <v/>
      </c>
      <c r="U203" s="596" t="str">
        <f>IF($A203="","",VLOOKUP($A203,기본데이타!$A$8:$BV$103,COLUMN(기본데이타!W$8),0))</f>
        <v/>
      </c>
      <c r="V203" s="596" t="str">
        <f>IF($A203="","",VLOOKUP($A203,기본데이타!$A$8:$BV$103,COLUMN(기본데이타!X$8),0))</f>
        <v/>
      </c>
      <c r="W203" s="596" t="str">
        <f>IF($A203="","",VLOOKUP($A203,기본데이타!$A$8:$BV$103,COLUMN(기본데이타!AA$8),0))</f>
        <v/>
      </c>
      <c r="X203" s="596" t="str">
        <f>IF($A203="","",VLOOKUP($A203,기본데이타!$A$8:$BV$103,COLUMN(기본데이타!AB$8),0))</f>
        <v/>
      </c>
      <c r="Y203" s="595" t="str">
        <f>IF($A203="","",VLOOKUP($A203,기본데이타!$A$8:$BV$103,COLUMN(기본데이타!AC$8),0))</f>
        <v/>
      </c>
      <c r="Z203" s="596" t="str">
        <f>IF($A203="","",VLOOKUP($A203,기본데이타!$A$8:$BV$103,COLUMN(기본데이타!AD$8),0))</f>
        <v/>
      </c>
      <c r="AA203" s="595" t="str">
        <f>IF($A203="","",VLOOKUP($A203,기본데이타!$A$8:$BV$103,COLUMN(기본데이타!AE$8),0))</f>
        <v/>
      </c>
      <c r="AB203" s="596" t="str">
        <f>IF($A203="","",VLOOKUP($A203,기본데이타!$A$8:$BV$103,COLUMN(기본데이타!AF$8),0))</f>
        <v/>
      </c>
      <c r="AC203" s="595" t="str">
        <f>IF($A203="","",VLOOKUP($A203,기본데이타!$A$8:$BV$103,COLUMN(기본데이타!AG$8),0))</f>
        <v/>
      </c>
      <c r="AD203" s="596" t="str">
        <f>IF($A203="","",VLOOKUP($A203,기본데이타!$A$8:$BV$103,COLUMN(기본데이타!AH$8),0))</f>
        <v/>
      </c>
      <c r="AE203" s="595" t="str">
        <f>IF($A203="","",VLOOKUP($A203,기본데이타!$A$8:$BV$103,COLUMN(기본데이타!AI$8),0))</f>
        <v/>
      </c>
      <c r="AF203" s="597" t="str">
        <f>IF($A203="","",VLOOKUP($A203,기본데이타!$A$8:$BV$103,COLUMN(기본데이타!AJ$8),0))</f>
        <v/>
      </c>
      <c r="AG203" s="621" t="str">
        <f>IF($A203="","",VLOOKUP($A203,기본데이타!$A$8:$BV$103,COLUMN(기본데이타!AK$8),0))</f>
        <v/>
      </c>
      <c r="AH203" s="621" t="str">
        <f>IF($A203="","",VLOOKUP($A203,기본데이타!$A$8:$BV$103,COLUMN(기본데이타!AL$8),0))</f>
        <v/>
      </c>
      <c r="AI203" s="621" t="str">
        <f>IF($A203="","",VLOOKUP($A203,기본데이타!$A$8:$BV$103,COLUMN(기본데이타!AM$8),0))</f>
        <v/>
      </c>
      <c r="AJ203" s="642" t="str">
        <f>IF($A203="","",VLOOKUP($A203,기본데이타!$A$8:$BV$103,COLUMN(기본데이타!AN$8),0))</f>
        <v/>
      </c>
      <c r="AK203" s="642" t="str">
        <f>IF($A203="","",VLOOKUP($A203,기본데이타!$A$8:$BV$103,COLUMN(기본데이타!AO$8),0))</f>
        <v/>
      </c>
      <c r="AL203" s="642" t="str">
        <f>IF($A203="","",VLOOKUP($A203,기본데이타!$A$8:$BV$103,COLUMN(기본데이타!AP$8),0))</f>
        <v/>
      </c>
      <c r="AM203" s="642" t="str">
        <f>IF($A203="","",VLOOKUP($A203,기본데이타!$A$8:$BV$103,COLUMN(기본데이타!AQ$8),0))</f>
        <v/>
      </c>
      <c r="AN203" s="642" t="str">
        <f>IF($A203="","",VLOOKUP($A203,기본데이타!$A$8:$BV$103,COLUMN(기본데이타!AR$8),0))</f>
        <v/>
      </c>
      <c r="AO203" s="642" t="str">
        <f>IF($A203="","",VLOOKUP($A203,기본데이타!$A$8:$BV$103,COLUMN(기본데이타!AS$8),0))</f>
        <v/>
      </c>
      <c r="AP203" s="642" t="str">
        <f>IF($A203="","",VLOOKUP($A203,기본데이타!$A$8:$BV$103,COLUMN(기본데이타!AT$8),0))</f>
        <v/>
      </c>
      <c r="AQ203" s="642" t="str">
        <f>IF($A203="","",VLOOKUP($A203,기본데이타!$A$8:$BV$103,COLUMN(기본데이타!AU$8),0))</f>
        <v/>
      </c>
      <c r="AR203" s="643" t="str">
        <f>IF($A203="","",VLOOKUP($A203,기본데이타!$A$8:$BV$103,COLUMN(기본데이타!AV$8),0))</f>
        <v/>
      </c>
      <c r="AS203" s="596" t="str">
        <f>IF($A203="","",VLOOKUP($A203,기본데이타!$A$8:$BV$103,COLUMN(기본데이타!AW$8),0))</f>
        <v/>
      </c>
      <c r="AT203" s="596" t="str">
        <f>IF($A203="","",VLOOKUP($A203,기본데이타!$A$8:$BV$103,COLUMN(기본데이타!AX$8),0))</f>
        <v/>
      </c>
      <c r="AU203" s="596" t="str">
        <f>IF($A203="","",VLOOKUP($A203,기본데이타!$A$8:$BV$103,COLUMN(기본데이타!AY$8),0))</f>
        <v/>
      </c>
      <c r="AV203" s="596" t="str">
        <f t="shared" si="28"/>
        <v/>
      </c>
      <c r="AW203" s="597" t="str">
        <f>IF($A203="","",VLOOKUP($A203,기본데이타!$A$8:$BV$103,COLUMN(기본데이타!BA$8),0))</f>
        <v/>
      </c>
      <c r="AX203" s="597" t="str">
        <f>IF($A203="","",VLOOKUP($A203,기본데이타!$A$8:$BV$103,COLUMN(기본데이타!BB$8),0))</f>
        <v/>
      </c>
      <c r="AY203" s="597" t="str">
        <f>IF($A203="","",VLOOKUP($A203,기본데이타!$A$8:$BV$103,COLUMN(기본데이타!BC$8),0))</f>
        <v/>
      </c>
      <c r="AZ203" s="597" t="str">
        <f>IF($A203="","",VLOOKUP($A203,기본데이타!$A$8:$BV$103,COLUMN(기본데이타!BD$8),0))</f>
        <v/>
      </c>
      <c r="BA203" s="597" t="str">
        <f>IF($A203="","",VLOOKUP($A203,기본데이타!$A$8:$BV$103,COLUMN(기본데이타!BE$8),0))</f>
        <v/>
      </c>
      <c r="BB203" s="597" t="str">
        <f>IF($A203="","",VLOOKUP($A203,기본데이타!$A$8:$BV$103,COLUMN(기본데이타!BF$8),0))</f>
        <v/>
      </c>
      <c r="BC203" s="597" t="str">
        <f>IF($A203="","",VLOOKUP($A203,기본데이타!$A$8:$BV$103,COLUMN(기본데이타!BG$8),0))</f>
        <v/>
      </c>
      <c r="BD203" s="597" t="str">
        <f>IF($A203="","",VLOOKUP($A203,기본데이타!$A$8:$BV$103,COLUMN(기본데이타!BH$8),0))</f>
        <v/>
      </c>
      <c r="BE203" s="597" t="str">
        <f>IF($A203="","",VLOOKUP($A203,기본데이타!$A$8:$BV$103,COLUMN(기본데이타!BI$8),0))</f>
        <v/>
      </c>
      <c r="BF203" s="597" t="str">
        <f>IF($A203="","",VLOOKUP($A203,기본데이타!$A$8:$BV$103,COLUMN(기본데이타!BJ$8),0))</f>
        <v/>
      </c>
      <c r="BG203" s="597" t="str">
        <f>IF($A203="","",VLOOKUP($A203,기본데이타!$A$8:$BV$103,COLUMN(기본데이타!BK$8),0))</f>
        <v/>
      </c>
      <c r="BH203" s="597" t="str">
        <f>IF($A203="","",VLOOKUP($A203,기본데이타!$A$8:$BV$103,COLUMN(기본데이타!BL$8),0))</f>
        <v/>
      </c>
      <c r="BI203" s="597" t="str">
        <f>IF($A203="","",VLOOKUP($A203,기본데이타!$A$8:$BV$103,COLUMN(기본데이타!BM$8),0))</f>
        <v/>
      </c>
      <c r="BJ203" s="597" t="str">
        <f>IF($A203="","",VLOOKUP($A203,기본데이타!$A$8:$BV$103,COLUMN(기본데이타!BN$8),0))</f>
        <v/>
      </c>
      <c r="BK203" s="597" t="str">
        <f>IF($A203="","",VLOOKUP($A203,기본데이타!$A$8:$BV$103,COLUMN(기본데이타!BO$8),0))</f>
        <v/>
      </c>
      <c r="BL203" s="597" t="str">
        <f>IF($A203="","",VLOOKUP($A203,기본데이타!$A$8:$BV$103,COLUMN(기본데이타!BP$8),0))</f>
        <v/>
      </c>
      <c r="BM203" s="597" t="str">
        <f>IF($A203="","",VLOOKUP($A203,기본데이타!$A$8:$BV$103,COLUMN(기본데이타!BQ$8),0))</f>
        <v/>
      </c>
      <c r="BN203" s="599" t="str">
        <f>IF($A203="","",VLOOKUP($A203,기본데이타!$A$8:$BV$103,COLUMN(기본데이타!BR$8),0))</f>
        <v/>
      </c>
      <c r="BO203" s="600" t="str">
        <f>IF($A203="","",VLOOKUP($A203,기본데이타!$A$8:$BV$103,COLUMN(기본데이타!BS$8),0))</f>
        <v/>
      </c>
      <c r="BP203" s="623" t="str">
        <f>IF($A203="","",VLOOKUP($A203,기본데이타!$A$8:$BV$103,COLUMN(기본데이타!BT$8),0))</f>
        <v/>
      </c>
      <c r="BQ203" s="602" t="str">
        <f>IF($A203="","",VLOOKUP($A203,기본데이타!$A$8:$BV$103,COLUMN(기본데이타!BU$8),0))</f>
        <v/>
      </c>
      <c r="BR203" s="603" t="str">
        <f t="shared" si="29"/>
        <v/>
      </c>
    </row>
    <row r="204" spans="1:70" s="571" customFormat="1" ht="50.1" hidden="1" customHeight="1">
      <c r="A204" s="578"/>
      <c r="B204" s="1642"/>
      <c r="C204" s="590"/>
      <c r="D204" s="591" t="str">
        <f>IF($A204="","",VLOOKUP($A204,기본데이타!$A$8:$BV$103,COLUMN(기본데이타!F$8),0))</f>
        <v/>
      </c>
      <c r="E204" s="592" t="str">
        <f>IF($A204="","",VLOOKUP($A204,기본데이타!$A$8:$BV$103,COLUMN(기본데이타!G$8),0))</f>
        <v/>
      </c>
      <c r="F204" s="593" t="str">
        <f>IF($A204="","",VLOOKUP($A204,기본데이타!$A$8:$BV$103,COLUMN(기본데이타!H$8),0))</f>
        <v/>
      </c>
      <c r="G204" s="594" t="str">
        <f>IF($A204="","",VLOOKUP($A204,기본데이타!$A$8:$BV$103,COLUMN(기본데이타!I$8),0))</f>
        <v/>
      </c>
      <c r="H204" s="594" t="str">
        <f>IF($A204="","",VLOOKUP($A204,기본데이타!$A$8:$BV$103,COLUMN(기본데이타!J$8),0))</f>
        <v/>
      </c>
      <c r="I204" s="595" t="str">
        <f>IF($A204="","",VLOOKUP($A204,기본데이타!$A$8:$BV$103,COLUMN(기본데이타!K$8),0))</f>
        <v/>
      </c>
      <c r="J204" s="595" t="str">
        <f>IF($A204="","",VLOOKUP($A204,기본데이타!$A$8:$BV$103,COLUMN(기본데이타!L$8),0))</f>
        <v/>
      </c>
      <c r="K204" s="595" t="str">
        <f>IF($A204="","",VLOOKUP($A204,기본데이타!$A$8:$BV$103,COLUMN(기본데이타!M$8),0))</f>
        <v/>
      </c>
      <c r="L204" s="596" t="str">
        <f>IF($A204="","",VLOOKUP($A204,기본데이타!$A$8:$BV$103,COLUMN(기본데이타!N$8),0))</f>
        <v/>
      </c>
      <c r="M204" s="595" t="str">
        <f>IF($A204="","",VLOOKUP($A204,기본데이타!$A$8:$BV$103,COLUMN(기본데이타!O$8),0))</f>
        <v/>
      </c>
      <c r="N204" s="596" t="str">
        <f>IF($A204="","",VLOOKUP($A204,기본데이타!$A$8:$BV$103,COLUMN(기본데이타!P$8),0))</f>
        <v/>
      </c>
      <c r="O204" s="596" t="str">
        <f>IF($A204="","",VLOOKUP($A204,기본데이타!$A$8:$BV$103,COLUMN(기본데이타!Q$8),0))</f>
        <v/>
      </c>
      <c r="P204" s="596" t="str">
        <f>IF($A204="","",VLOOKUP($A204,기본데이타!$A$8:$BV$103,COLUMN(기본데이타!R$8),0))</f>
        <v/>
      </c>
      <c r="Q204" s="596" t="str">
        <f>IF($A204="","",VLOOKUP($A204,기본데이타!$A$8:$BV$103,COLUMN(기본데이타!S$8),0))</f>
        <v/>
      </c>
      <c r="R204" s="596" t="str">
        <f>IF($A204="","",VLOOKUP($A204,기본데이타!$A$8:$BV$103,COLUMN(기본데이타!T$8),0))</f>
        <v/>
      </c>
      <c r="S204" s="596" t="str">
        <f>IF($A204="","",VLOOKUP($A204,기본데이타!$A$8:$BV$103,COLUMN(기본데이타!U$8),0))</f>
        <v/>
      </c>
      <c r="T204" s="596" t="str">
        <f>IF($A204="","",VLOOKUP($A204,기본데이타!$A$8:$BV$103,COLUMN(기본데이타!V$8),0))</f>
        <v/>
      </c>
      <c r="U204" s="596" t="str">
        <f>IF($A204="","",VLOOKUP($A204,기본데이타!$A$8:$BV$103,COLUMN(기본데이타!W$8),0))</f>
        <v/>
      </c>
      <c r="V204" s="596" t="str">
        <f>IF($A204="","",VLOOKUP($A204,기본데이타!$A$8:$BV$103,COLUMN(기본데이타!X$8),0))</f>
        <v/>
      </c>
      <c r="W204" s="596" t="str">
        <f>IF($A204="","",VLOOKUP($A204,기본데이타!$A$8:$BV$103,COLUMN(기본데이타!AA$8),0))</f>
        <v/>
      </c>
      <c r="X204" s="596" t="str">
        <f>IF($A204="","",VLOOKUP($A204,기본데이타!$A$8:$BV$103,COLUMN(기본데이타!AB$8),0))</f>
        <v/>
      </c>
      <c r="Y204" s="595" t="str">
        <f>IF($A204="","",VLOOKUP($A204,기본데이타!$A$8:$BV$103,COLUMN(기본데이타!AC$8),0))</f>
        <v/>
      </c>
      <c r="Z204" s="596" t="str">
        <f>IF($A204="","",VLOOKUP($A204,기본데이타!$A$8:$BV$103,COLUMN(기본데이타!AD$8),0))</f>
        <v/>
      </c>
      <c r="AA204" s="595" t="str">
        <f>IF($A204="","",VLOOKUP($A204,기본데이타!$A$8:$BV$103,COLUMN(기본데이타!AE$8),0))</f>
        <v/>
      </c>
      <c r="AB204" s="596" t="str">
        <f>IF($A204="","",VLOOKUP($A204,기본데이타!$A$8:$BV$103,COLUMN(기본데이타!AF$8),0))</f>
        <v/>
      </c>
      <c r="AC204" s="595" t="str">
        <f>IF($A204="","",VLOOKUP($A204,기본데이타!$A$8:$BV$103,COLUMN(기본데이타!AG$8),0))</f>
        <v/>
      </c>
      <c r="AD204" s="596" t="str">
        <f>IF($A204="","",VLOOKUP($A204,기본데이타!$A$8:$BV$103,COLUMN(기본데이타!AH$8),0))</f>
        <v/>
      </c>
      <c r="AE204" s="595" t="str">
        <f>IF($A204="","",VLOOKUP($A204,기본데이타!$A$8:$BV$103,COLUMN(기본데이타!AI$8),0))</f>
        <v/>
      </c>
      <c r="AF204" s="597" t="str">
        <f>IF($A204="","",VLOOKUP($A204,기본데이타!$A$8:$BV$103,COLUMN(기본데이타!AJ$8),0))</f>
        <v/>
      </c>
      <c r="AG204" s="621" t="str">
        <f>IF($A204="","",VLOOKUP($A204,기본데이타!$A$8:$BV$103,COLUMN(기본데이타!AK$8),0))</f>
        <v/>
      </c>
      <c r="AH204" s="621" t="str">
        <f>IF($A204="","",VLOOKUP($A204,기본데이타!$A$8:$BV$103,COLUMN(기본데이타!AL$8),0))</f>
        <v/>
      </c>
      <c r="AI204" s="621" t="str">
        <f>IF($A204="","",VLOOKUP($A204,기본데이타!$A$8:$BV$103,COLUMN(기본데이타!AM$8),0))</f>
        <v/>
      </c>
      <c r="AJ204" s="642" t="str">
        <f>IF($A204="","",VLOOKUP($A204,기본데이타!$A$8:$BV$103,COLUMN(기본데이타!AN$8),0))</f>
        <v/>
      </c>
      <c r="AK204" s="642" t="str">
        <f>IF($A204="","",VLOOKUP($A204,기본데이타!$A$8:$BV$103,COLUMN(기본데이타!AO$8),0))</f>
        <v/>
      </c>
      <c r="AL204" s="642" t="str">
        <f>IF($A204="","",VLOOKUP($A204,기본데이타!$A$8:$BV$103,COLUMN(기본데이타!AP$8),0))</f>
        <v/>
      </c>
      <c r="AM204" s="642" t="str">
        <f>IF($A204="","",VLOOKUP($A204,기본데이타!$A$8:$BV$103,COLUMN(기본데이타!AQ$8),0))</f>
        <v/>
      </c>
      <c r="AN204" s="642" t="str">
        <f>IF($A204="","",VLOOKUP($A204,기본데이타!$A$8:$BV$103,COLUMN(기본데이타!AR$8),0))</f>
        <v/>
      </c>
      <c r="AO204" s="642" t="str">
        <f>IF($A204="","",VLOOKUP($A204,기본데이타!$A$8:$BV$103,COLUMN(기본데이타!AS$8),0))</f>
        <v/>
      </c>
      <c r="AP204" s="642" t="str">
        <f>IF($A204="","",VLOOKUP($A204,기본데이타!$A$8:$BV$103,COLUMN(기본데이타!AT$8),0))</f>
        <v/>
      </c>
      <c r="AQ204" s="642" t="str">
        <f>IF($A204="","",VLOOKUP($A204,기본데이타!$A$8:$BV$103,COLUMN(기본데이타!AU$8),0))</f>
        <v/>
      </c>
      <c r="AR204" s="643" t="str">
        <f>IF($A204="","",VLOOKUP($A204,기본데이타!$A$8:$BV$103,COLUMN(기본데이타!AV$8),0))</f>
        <v/>
      </c>
      <c r="AS204" s="596" t="str">
        <f>IF($A204="","",VLOOKUP($A204,기본데이타!$A$8:$BV$103,COLUMN(기본데이타!AW$8),0))</f>
        <v/>
      </c>
      <c r="AT204" s="596" t="str">
        <f>IF($A204="","",VLOOKUP($A204,기본데이타!$A$8:$BV$103,COLUMN(기본데이타!AX$8),0))</f>
        <v/>
      </c>
      <c r="AU204" s="596" t="str">
        <f>IF($A204="","",VLOOKUP($A204,기본데이타!$A$8:$BV$103,COLUMN(기본데이타!AY$8),0))</f>
        <v/>
      </c>
      <c r="AV204" s="596" t="str">
        <f t="shared" si="28"/>
        <v/>
      </c>
      <c r="AW204" s="597" t="str">
        <f>IF($A204="","",VLOOKUP($A204,기본데이타!$A$8:$BV$103,COLUMN(기본데이타!BA$8),0))</f>
        <v/>
      </c>
      <c r="AX204" s="597" t="str">
        <f>IF($A204="","",VLOOKUP($A204,기본데이타!$A$8:$BV$103,COLUMN(기본데이타!BB$8),0))</f>
        <v/>
      </c>
      <c r="AY204" s="597" t="str">
        <f>IF($A204="","",VLOOKUP($A204,기본데이타!$A$8:$BV$103,COLUMN(기본데이타!BC$8),0))</f>
        <v/>
      </c>
      <c r="AZ204" s="597" t="str">
        <f>IF($A204="","",VLOOKUP($A204,기본데이타!$A$8:$BV$103,COLUMN(기본데이타!BD$8),0))</f>
        <v/>
      </c>
      <c r="BA204" s="597" t="str">
        <f>IF($A204="","",VLOOKUP($A204,기본데이타!$A$8:$BV$103,COLUMN(기본데이타!BE$8),0))</f>
        <v/>
      </c>
      <c r="BB204" s="597" t="str">
        <f>IF($A204="","",VLOOKUP($A204,기본데이타!$A$8:$BV$103,COLUMN(기본데이타!BF$8),0))</f>
        <v/>
      </c>
      <c r="BC204" s="597" t="str">
        <f>IF($A204="","",VLOOKUP($A204,기본데이타!$A$8:$BV$103,COLUMN(기본데이타!BG$8),0))</f>
        <v/>
      </c>
      <c r="BD204" s="597" t="str">
        <f>IF($A204="","",VLOOKUP($A204,기본데이타!$A$8:$BV$103,COLUMN(기본데이타!BH$8),0))</f>
        <v/>
      </c>
      <c r="BE204" s="597" t="str">
        <f>IF($A204="","",VLOOKUP($A204,기본데이타!$A$8:$BV$103,COLUMN(기본데이타!BI$8),0))</f>
        <v/>
      </c>
      <c r="BF204" s="597" t="str">
        <f>IF($A204="","",VLOOKUP($A204,기본데이타!$A$8:$BV$103,COLUMN(기본데이타!BJ$8),0))</f>
        <v/>
      </c>
      <c r="BG204" s="597" t="str">
        <f>IF($A204="","",VLOOKUP($A204,기본데이타!$A$8:$BV$103,COLUMN(기본데이타!BK$8),0))</f>
        <v/>
      </c>
      <c r="BH204" s="597" t="str">
        <f>IF($A204="","",VLOOKUP($A204,기본데이타!$A$8:$BV$103,COLUMN(기본데이타!BL$8),0))</f>
        <v/>
      </c>
      <c r="BI204" s="597" t="str">
        <f>IF($A204="","",VLOOKUP($A204,기본데이타!$A$8:$BV$103,COLUMN(기본데이타!BM$8),0))</f>
        <v/>
      </c>
      <c r="BJ204" s="597" t="str">
        <f>IF($A204="","",VLOOKUP($A204,기본데이타!$A$8:$BV$103,COLUMN(기본데이타!BN$8),0))</f>
        <v/>
      </c>
      <c r="BK204" s="597" t="str">
        <f>IF($A204="","",VLOOKUP($A204,기본데이타!$A$8:$BV$103,COLUMN(기본데이타!BO$8),0))</f>
        <v/>
      </c>
      <c r="BL204" s="597" t="str">
        <f>IF($A204="","",VLOOKUP($A204,기본데이타!$A$8:$BV$103,COLUMN(기본데이타!BP$8),0))</f>
        <v/>
      </c>
      <c r="BM204" s="597" t="str">
        <f>IF($A204="","",VLOOKUP($A204,기본데이타!$A$8:$BV$103,COLUMN(기본데이타!BQ$8),0))</f>
        <v/>
      </c>
      <c r="BN204" s="599" t="str">
        <f>IF($A204="","",VLOOKUP($A204,기본데이타!$A$8:$BV$103,COLUMN(기본데이타!BR$8),0))</f>
        <v/>
      </c>
      <c r="BO204" s="600" t="str">
        <f>IF($A204="","",VLOOKUP($A204,기본데이타!$A$8:$BV$103,COLUMN(기본데이타!BS$8),0))</f>
        <v/>
      </c>
      <c r="BP204" s="623" t="str">
        <f>IF($A204="","",VLOOKUP($A204,기본데이타!$A$8:$BV$103,COLUMN(기본데이타!BT$8),0))</f>
        <v/>
      </c>
      <c r="BQ204" s="602" t="str">
        <f>IF($A204="","",VLOOKUP($A204,기본데이타!$A$8:$BV$103,COLUMN(기본데이타!BU$8),0))</f>
        <v/>
      </c>
      <c r="BR204" s="603" t="str">
        <f t="shared" si="29"/>
        <v/>
      </c>
    </row>
    <row r="205" spans="1:70" s="571" customFormat="1" ht="50.1" hidden="1" customHeight="1">
      <c r="A205" s="578"/>
      <c r="B205" s="1642"/>
      <c r="C205" s="590"/>
      <c r="D205" s="629" t="str">
        <f>IF($A205="","",VLOOKUP($A205,기본데이타!$A$8:$BV$103,COLUMN(기본데이타!F$8),0))</f>
        <v/>
      </c>
      <c r="E205" s="630" t="str">
        <f>IF($A205="","",VLOOKUP($A205,기본데이타!$A$8:$BV$103,COLUMN(기본데이타!G$8),0))</f>
        <v/>
      </c>
      <c r="F205" s="631" t="str">
        <f>IF($A205="","",VLOOKUP($A205,기본데이타!$A$8:$BV$103,COLUMN(기본데이타!H$8),0))</f>
        <v/>
      </c>
      <c r="G205" s="632" t="str">
        <f>IF($A205="","",VLOOKUP($A205,기본데이타!$A$8:$BV$103,COLUMN(기본데이타!I$8),0))</f>
        <v/>
      </c>
      <c r="H205" s="632" t="str">
        <f>IF($A205="","",VLOOKUP($A205,기본데이타!$A$8:$BV$103,COLUMN(기본데이타!J$8),0))</f>
        <v/>
      </c>
      <c r="I205" s="633" t="str">
        <f>IF($A205="","",VLOOKUP($A205,기본데이타!$A$8:$BV$103,COLUMN(기본데이타!K$8),0))</f>
        <v/>
      </c>
      <c r="J205" s="633" t="str">
        <f>IF($A205="","",VLOOKUP($A205,기본데이타!$A$8:$BV$103,COLUMN(기본데이타!L$8),0))</f>
        <v/>
      </c>
      <c r="K205" s="633" t="str">
        <f>IF($A205="","",VLOOKUP($A205,기본데이타!$A$8:$BV$103,COLUMN(기본데이타!M$8),0))</f>
        <v/>
      </c>
      <c r="L205" s="634" t="str">
        <f>IF($A205="","",VLOOKUP($A205,기본데이타!$A$8:$BV$103,COLUMN(기본데이타!N$8),0))</f>
        <v/>
      </c>
      <c r="M205" s="633" t="str">
        <f>IF($A205="","",VLOOKUP($A205,기본데이타!$A$8:$BV$103,COLUMN(기본데이타!O$8),0))</f>
        <v/>
      </c>
      <c r="N205" s="634" t="str">
        <f>IF($A205="","",VLOOKUP($A205,기본데이타!$A$8:$BV$103,COLUMN(기본데이타!P$8),0))</f>
        <v/>
      </c>
      <c r="O205" s="634" t="str">
        <f>IF($A205="","",VLOOKUP($A205,기본데이타!$A$8:$BV$103,COLUMN(기본데이타!Q$8),0))</f>
        <v/>
      </c>
      <c r="P205" s="634" t="str">
        <f>IF($A205="","",VLOOKUP($A205,기본데이타!$A$8:$BV$103,COLUMN(기본데이타!R$8),0))</f>
        <v/>
      </c>
      <c r="Q205" s="634" t="str">
        <f>IF($A205="","",VLOOKUP($A205,기본데이타!$A$8:$BV$103,COLUMN(기본데이타!S$8),0))</f>
        <v/>
      </c>
      <c r="R205" s="634" t="str">
        <f>IF($A205="","",VLOOKUP($A205,기본데이타!$A$8:$BV$103,COLUMN(기본데이타!T$8),0))</f>
        <v/>
      </c>
      <c r="S205" s="634" t="str">
        <f>IF($A205="","",VLOOKUP($A205,기본데이타!$A$8:$BV$103,COLUMN(기본데이타!U$8),0))</f>
        <v/>
      </c>
      <c r="T205" s="634" t="str">
        <f>IF($A205="","",VLOOKUP($A205,기본데이타!$A$8:$BV$103,COLUMN(기본데이타!V$8),0))</f>
        <v/>
      </c>
      <c r="U205" s="634" t="str">
        <f>IF($A205="","",VLOOKUP($A205,기본데이타!$A$8:$BV$103,COLUMN(기본데이타!W$8),0))</f>
        <v/>
      </c>
      <c r="V205" s="634" t="str">
        <f>IF($A205="","",VLOOKUP($A205,기본데이타!$A$8:$BV$103,COLUMN(기본데이타!X$8),0))</f>
        <v/>
      </c>
      <c r="W205" s="634" t="str">
        <f>IF($A205="","",VLOOKUP($A205,기본데이타!$A$8:$BV$103,COLUMN(기본데이타!AA$8),0))</f>
        <v/>
      </c>
      <c r="X205" s="634" t="str">
        <f>IF($A205="","",VLOOKUP($A205,기본데이타!$A$8:$BV$103,COLUMN(기본데이타!AB$8),0))</f>
        <v/>
      </c>
      <c r="Y205" s="633" t="str">
        <f>IF($A205="","",VLOOKUP($A205,기본데이타!$A$8:$BV$103,COLUMN(기본데이타!AC$8),0))</f>
        <v/>
      </c>
      <c r="Z205" s="634" t="str">
        <f>IF($A205="","",VLOOKUP($A205,기본데이타!$A$8:$BV$103,COLUMN(기본데이타!AD$8),0))</f>
        <v/>
      </c>
      <c r="AA205" s="633" t="str">
        <f>IF($A205="","",VLOOKUP($A205,기본데이타!$A$8:$BV$103,COLUMN(기본데이타!AE$8),0))</f>
        <v/>
      </c>
      <c r="AB205" s="634" t="str">
        <f>IF($A205="","",VLOOKUP($A205,기본데이타!$A$8:$BV$103,COLUMN(기본데이타!AF$8),0))</f>
        <v/>
      </c>
      <c r="AC205" s="633" t="str">
        <f>IF($A205="","",VLOOKUP($A205,기본데이타!$A$8:$BV$103,COLUMN(기본데이타!AG$8),0))</f>
        <v/>
      </c>
      <c r="AD205" s="634" t="str">
        <f>IF($A205="","",VLOOKUP($A205,기본데이타!$A$8:$BV$103,COLUMN(기본데이타!AH$8),0))</f>
        <v/>
      </c>
      <c r="AE205" s="633" t="str">
        <f>IF($A205="","",VLOOKUP($A205,기본데이타!$A$8:$BV$103,COLUMN(기본데이타!AI$8),0))</f>
        <v/>
      </c>
      <c r="AF205" s="635" t="str">
        <f>IF($A205="","",VLOOKUP($A205,기본데이타!$A$8:$BV$103,COLUMN(기본데이타!AJ$8),0))</f>
        <v/>
      </c>
      <c r="AG205" s="580" t="str">
        <f>IF($A205="","",VLOOKUP($A205,기본데이타!$A$8:$BV$103,COLUMN(기본데이타!AK$8),0))</f>
        <v/>
      </c>
      <c r="AH205" s="580" t="str">
        <f>IF($A205="","",VLOOKUP($A205,기본데이타!$A$8:$BV$103,COLUMN(기본데이타!AL$8),0))</f>
        <v/>
      </c>
      <c r="AI205" s="580" t="str">
        <f>IF($A205="","",VLOOKUP($A205,기본데이타!$A$8:$BV$103,COLUMN(기본데이타!AM$8),0))</f>
        <v/>
      </c>
      <c r="AJ205" s="636" t="str">
        <f>IF($A205="","",VLOOKUP($A205,기본데이타!$A$8:$BV$103,COLUMN(기본데이타!AN$8),0))</f>
        <v/>
      </c>
      <c r="AK205" s="636" t="str">
        <f>IF($A205="","",VLOOKUP($A205,기본데이타!$A$8:$BV$103,COLUMN(기본데이타!AO$8),0))</f>
        <v/>
      </c>
      <c r="AL205" s="636" t="str">
        <f>IF($A205="","",VLOOKUP($A205,기본데이타!$A$8:$BV$103,COLUMN(기본데이타!AP$8),0))</f>
        <v/>
      </c>
      <c r="AM205" s="636" t="str">
        <f>IF($A205="","",VLOOKUP($A205,기본데이타!$A$8:$BV$103,COLUMN(기본데이타!AQ$8),0))</f>
        <v/>
      </c>
      <c r="AN205" s="636" t="str">
        <f>IF($A205="","",VLOOKUP($A205,기본데이타!$A$8:$BV$103,COLUMN(기본데이타!AR$8),0))</f>
        <v/>
      </c>
      <c r="AO205" s="636" t="str">
        <f>IF($A205="","",VLOOKUP($A205,기본데이타!$A$8:$BV$103,COLUMN(기본데이타!AS$8),0))</f>
        <v/>
      </c>
      <c r="AP205" s="636" t="str">
        <f>IF($A205="","",VLOOKUP($A205,기본데이타!$A$8:$BV$103,COLUMN(기본데이타!AT$8),0))</f>
        <v/>
      </c>
      <c r="AQ205" s="636" t="str">
        <f>IF($A205="","",VLOOKUP($A205,기본데이타!$A$8:$BV$103,COLUMN(기본데이타!AU$8),0))</f>
        <v/>
      </c>
      <c r="AR205" s="637" t="str">
        <f>IF($A205="","",VLOOKUP($A205,기본데이타!$A$8:$BV$103,COLUMN(기본데이타!AV$8),0))</f>
        <v/>
      </c>
      <c r="AS205" s="634" t="str">
        <f>IF($A205="","",VLOOKUP($A205,기본데이타!$A$8:$BV$103,COLUMN(기본데이타!AW$8),0))</f>
        <v/>
      </c>
      <c r="AT205" s="634" t="str">
        <f>IF($A205="","",VLOOKUP($A205,기본데이타!$A$8:$BV$103,COLUMN(기본데이타!AX$8),0))</f>
        <v/>
      </c>
      <c r="AU205" s="634" t="str">
        <f>IF($A205="","",VLOOKUP($A205,기본데이타!$A$8:$BV$103,COLUMN(기본데이타!AY$8),0))</f>
        <v/>
      </c>
      <c r="AV205" s="634" t="str">
        <f t="shared" si="28"/>
        <v/>
      </c>
      <c r="AW205" s="635" t="str">
        <f>IF($A205="","",VLOOKUP($A205,기본데이타!$A$8:$BV$103,COLUMN(기본데이타!BA$8),0))</f>
        <v/>
      </c>
      <c r="AX205" s="635" t="str">
        <f>IF($A205="","",VLOOKUP($A205,기본데이타!$A$8:$BV$103,COLUMN(기본데이타!BB$8),0))</f>
        <v/>
      </c>
      <c r="AY205" s="635" t="str">
        <f>IF($A205="","",VLOOKUP($A205,기본데이타!$A$8:$BV$103,COLUMN(기본데이타!BC$8),0))</f>
        <v/>
      </c>
      <c r="AZ205" s="635" t="str">
        <f>IF($A205="","",VLOOKUP($A205,기본데이타!$A$8:$BV$103,COLUMN(기본데이타!BD$8),0))</f>
        <v/>
      </c>
      <c r="BA205" s="635" t="str">
        <f>IF($A205="","",VLOOKUP($A205,기본데이타!$A$8:$BV$103,COLUMN(기본데이타!BE$8),0))</f>
        <v/>
      </c>
      <c r="BB205" s="635" t="str">
        <f>IF($A205="","",VLOOKUP($A205,기본데이타!$A$8:$BV$103,COLUMN(기본데이타!BF$8),0))</f>
        <v/>
      </c>
      <c r="BC205" s="635" t="str">
        <f>IF($A205="","",VLOOKUP($A205,기본데이타!$A$8:$BV$103,COLUMN(기본데이타!BG$8),0))</f>
        <v/>
      </c>
      <c r="BD205" s="635" t="str">
        <f>IF($A205="","",VLOOKUP($A205,기본데이타!$A$8:$BV$103,COLUMN(기본데이타!BH$8),0))</f>
        <v/>
      </c>
      <c r="BE205" s="635" t="str">
        <f>IF($A205="","",VLOOKUP($A205,기본데이타!$A$8:$BV$103,COLUMN(기본데이타!BI$8),0))</f>
        <v/>
      </c>
      <c r="BF205" s="635" t="str">
        <f>IF($A205="","",VLOOKUP($A205,기본데이타!$A$8:$BV$103,COLUMN(기본데이타!BJ$8),0))</f>
        <v/>
      </c>
      <c r="BG205" s="635" t="str">
        <f>IF($A205="","",VLOOKUP($A205,기본데이타!$A$8:$BV$103,COLUMN(기본데이타!BK$8),0))</f>
        <v/>
      </c>
      <c r="BH205" s="635" t="str">
        <f>IF($A205="","",VLOOKUP($A205,기본데이타!$A$8:$BV$103,COLUMN(기본데이타!BL$8),0))</f>
        <v/>
      </c>
      <c r="BI205" s="635" t="str">
        <f>IF($A205="","",VLOOKUP($A205,기본데이타!$A$8:$BV$103,COLUMN(기본데이타!BM$8),0))</f>
        <v/>
      </c>
      <c r="BJ205" s="635" t="str">
        <f>IF($A205="","",VLOOKUP($A205,기본데이타!$A$8:$BV$103,COLUMN(기본데이타!BN$8),0))</f>
        <v/>
      </c>
      <c r="BK205" s="635" t="str">
        <f>IF($A205="","",VLOOKUP($A205,기본데이타!$A$8:$BV$103,COLUMN(기본데이타!BO$8),0))</f>
        <v/>
      </c>
      <c r="BL205" s="635" t="str">
        <f>IF($A205="","",VLOOKUP($A205,기본데이타!$A$8:$BV$103,COLUMN(기본데이타!BP$8),0))</f>
        <v/>
      </c>
      <c r="BM205" s="635" t="str">
        <f>IF($A205="","",VLOOKUP($A205,기본데이타!$A$8:$BV$103,COLUMN(기본데이타!BQ$8),0))</f>
        <v/>
      </c>
      <c r="BN205" s="638" t="str">
        <f>IF($A205="","",VLOOKUP($A205,기본데이타!$A$8:$BV$103,COLUMN(기본데이타!BR$8),0))</f>
        <v/>
      </c>
      <c r="BO205" s="579" t="str">
        <f>IF($A205="","",VLOOKUP($A205,기본데이타!$A$8:$BV$103,COLUMN(기본데이타!BS$8),0))</f>
        <v/>
      </c>
      <c r="BP205" s="639" t="str">
        <f>IF($A205="","",VLOOKUP($A205,기본데이타!$A$8:$BV$103,COLUMN(기본데이타!BT$8),0))</f>
        <v/>
      </c>
      <c r="BQ205" s="640" t="str">
        <f>IF($A205="","",VLOOKUP($A205,기본데이타!$A$8:$BV$103,COLUMN(기본데이타!BU$8),0))</f>
        <v/>
      </c>
      <c r="BR205" s="625" t="str">
        <f t="shared" si="29"/>
        <v/>
      </c>
    </row>
    <row r="206" spans="1:70" s="571" customFormat="1" ht="50.1" hidden="1" customHeight="1">
      <c r="A206" s="578"/>
      <c r="B206" s="1642"/>
      <c r="C206" s="590"/>
      <c r="D206" s="629" t="str">
        <f>IF($A206="","",VLOOKUP($A206,기본데이타!$A$8:$BV$103,COLUMN(기본데이타!F$8),0))</f>
        <v/>
      </c>
      <c r="E206" s="630" t="str">
        <f>IF($A206="","",VLOOKUP($A206,기본데이타!$A$8:$BV$103,COLUMN(기본데이타!G$8),0))</f>
        <v/>
      </c>
      <c r="F206" s="631" t="str">
        <f>IF($A206="","",VLOOKUP($A206,기본데이타!$A$8:$BV$103,COLUMN(기본데이타!H$8),0))</f>
        <v/>
      </c>
      <c r="G206" s="632" t="str">
        <f>IF($A206="","",VLOOKUP($A206,기본데이타!$A$8:$BV$103,COLUMN(기본데이타!I$8),0))</f>
        <v/>
      </c>
      <c r="H206" s="632" t="str">
        <f>IF($A206="","",VLOOKUP($A206,기본데이타!$A$8:$BV$103,COLUMN(기본데이타!J$8),0))</f>
        <v/>
      </c>
      <c r="I206" s="633" t="str">
        <f>IF($A206="","",VLOOKUP($A206,기본데이타!$A$8:$BV$103,COLUMN(기본데이타!K$8),0))</f>
        <v/>
      </c>
      <c r="J206" s="633" t="str">
        <f>IF($A206="","",VLOOKUP($A206,기본데이타!$A$8:$BV$103,COLUMN(기본데이타!L$8),0))</f>
        <v/>
      </c>
      <c r="K206" s="633" t="str">
        <f>IF($A206="","",VLOOKUP($A206,기본데이타!$A$8:$BV$103,COLUMN(기본데이타!M$8),0))</f>
        <v/>
      </c>
      <c r="L206" s="634" t="str">
        <f>IF($A206="","",VLOOKUP($A206,기본데이타!$A$8:$BV$103,COLUMN(기본데이타!N$8),0))</f>
        <v/>
      </c>
      <c r="M206" s="633" t="str">
        <f>IF($A206="","",VLOOKUP($A206,기본데이타!$A$8:$BV$103,COLUMN(기본데이타!O$8),0))</f>
        <v/>
      </c>
      <c r="N206" s="634" t="str">
        <f>IF($A206="","",VLOOKUP($A206,기본데이타!$A$8:$BV$103,COLUMN(기본데이타!P$8),0))</f>
        <v/>
      </c>
      <c r="O206" s="634" t="str">
        <f>IF($A206="","",VLOOKUP($A206,기본데이타!$A$8:$BV$103,COLUMN(기본데이타!Q$8),0))</f>
        <v/>
      </c>
      <c r="P206" s="634" t="str">
        <f>IF($A206="","",VLOOKUP($A206,기본데이타!$A$8:$BV$103,COLUMN(기본데이타!R$8),0))</f>
        <v/>
      </c>
      <c r="Q206" s="634" t="str">
        <f>IF($A206="","",VLOOKUP($A206,기본데이타!$A$8:$BV$103,COLUMN(기본데이타!S$8),0))</f>
        <v/>
      </c>
      <c r="R206" s="634" t="str">
        <f>IF($A206="","",VLOOKUP($A206,기본데이타!$A$8:$BV$103,COLUMN(기본데이타!T$8),0))</f>
        <v/>
      </c>
      <c r="S206" s="634" t="str">
        <f>IF($A206="","",VLOOKUP($A206,기본데이타!$A$8:$BV$103,COLUMN(기본데이타!U$8),0))</f>
        <v/>
      </c>
      <c r="T206" s="634" t="str">
        <f>IF($A206="","",VLOOKUP($A206,기본데이타!$A$8:$BV$103,COLUMN(기본데이타!V$8),0))</f>
        <v/>
      </c>
      <c r="U206" s="634" t="str">
        <f>IF($A206="","",VLOOKUP($A206,기본데이타!$A$8:$BV$103,COLUMN(기본데이타!W$8),0))</f>
        <v/>
      </c>
      <c r="V206" s="634" t="str">
        <f>IF($A206="","",VLOOKUP($A206,기본데이타!$A$8:$BV$103,COLUMN(기본데이타!X$8),0))</f>
        <v/>
      </c>
      <c r="W206" s="634" t="str">
        <f>IF($A206="","",VLOOKUP($A206,기본데이타!$A$8:$BV$103,COLUMN(기본데이타!AA$8),0))</f>
        <v/>
      </c>
      <c r="X206" s="634" t="str">
        <f>IF($A206="","",VLOOKUP($A206,기본데이타!$A$8:$BV$103,COLUMN(기본데이타!AB$8),0))</f>
        <v/>
      </c>
      <c r="Y206" s="633" t="str">
        <f>IF($A206="","",VLOOKUP($A206,기본데이타!$A$8:$BV$103,COLUMN(기본데이타!AC$8),0))</f>
        <v/>
      </c>
      <c r="Z206" s="634" t="str">
        <f>IF($A206="","",VLOOKUP($A206,기본데이타!$A$8:$BV$103,COLUMN(기본데이타!AD$8),0))</f>
        <v/>
      </c>
      <c r="AA206" s="633" t="str">
        <f>IF($A206="","",VLOOKUP($A206,기본데이타!$A$8:$BV$103,COLUMN(기본데이타!AE$8),0))</f>
        <v/>
      </c>
      <c r="AB206" s="634" t="str">
        <f>IF($A206="","",VLOOKUP($A206,기본데이타!$A$8:$BV$103,COLUMN(기본데이타!AF$8),0))</f>
        <v/>
      </c>
      <c r="AC206" s="633" t="str">
        <f>IF($A206="","",VLOOKUP($A206,기본데이타!$A$8:$BV$103,COLUMN(기본데이타!AG$8),0))</f>
        <v/>
      </c>
      <c r="AD206" s="634" t="str">
        <f>IF($A206="","",VLOOKUP($A206,기본데이타!$A$8:$BV$103,COLUMN(기본데이타!AH$8),0))</f>
        <v/>
      </c>
      <c r="AE206" s="633" t="str">
        <f>IF($A206="","",VLOOKUP($A206,기본데이타!$A$8:$BV$103,COLUMN(기본데이타!AI$8),0))</f>
        <v/>
      </c>
      <c r="AF206" s="635" t="str">
        <f>IF($A206="","",VLOOKUP($A206,기본데이타!$A$8:$BV$103,COLUMN(기본데이타!AJ$8),0))</f>
        <v/>
      </c>
      <c r="AG206" s="580" t="str">
        <f>IF($A206="","",VLOOKUP($A206,기본데이타!$A$8:$BV$103,COLUMN(기본데이타!AK$8),0))</f>
        <v/>
      </c>
      <c r="AH206" s="580" t="str">
        <f>IF($A206="","",VLOOKUP($A206,기본데이타!$A$8:$BV$103,COLUMN(기본데이타!AL$8),0))</f>
        <v/>
      </c>
      <c r="AI206" s="580" t="str">
        <f>IF($A206="","",VLOOKUP($A206,기본데이타!$A$8:$BV$103,COLUMN(기본데이타!AM$8),0))</f>
        <v/>
      </c>
      <c r="AJ206" s="636" t="str">
        <f>IF($A206="","",VLOOKUP($A206,기본데이타!$A$8:$BV$103,COLUMN(기본데이타!AN$8),0))</f>
        <v/>
      </c>
      <c r="AK206" s="636" t="str">
        <f>IF($A206="","",VLOOKUP($A206,기본데이타!$A$8:$BV$103,COLUMN(기본데이타!AO$8),0))</f>
        <v/>
      </c>
      <c r="AL206" s="636" t="str">
        <f>IF($A206="","",VLOOKUP($A206,기본데이타!$A$8:$BV$103,COLUMN(기본데이타!AP$8),0))</f>
        <v/>
      </c>
      <c r="AM206" s="636" t="str">
        <f>IF($A206="","",VLOOKUP($A206,기본데이타!$A$8:$BV$103,COLUMN(기본데이타!AQ$8),0))</f>
        <v/>
      </c>
      <c r="AN206" s="636" t="str">
        <f>IF($A206="","",VLOOKUP($A206,기본데이타!$A$8:$BV$103,COLUMN(기본데이타!AR$8),0))</f>
        <v/>
      </c>
      <c r="AO206" s="636" t="str">
        <f>IF($A206="","",VLOOKUP($A206,기본데이타!$A$8:$BV$103,COLUMN(기본데이타!AS$8),0))</f>
        <v/>
      </c>
      <c r="AP206" s="636" t="str">
        <f>IF($A206="","",VLOOKUP($A206,기본데이타!$A$8:$BV$103,COLUMN(기본데이타!AT$8),0))</f>
        <v/>
      </c>
      <c r="AQ206" s="636" t="str">
        <f>IF($A206="","",VLOOKUP($A206,기본데이타!$A$8:$BV$103,COLUMN(기본데이타!AU$8),0))</f>
        <v/>
      </c>
      <c r="AR206" s="637" t="str">
        <f>IF($A206="","",VLOOKUP($A206,기본데이타!$A$8:$BV$103,COLUMN(기본데이타!AV$8),0))</f>
        <v/>
      </c>
      <c r="AS206" s="634" t="str">
        <f>IF($A206="","",VLOOKUP($A206,기본데이타!$A$8:$BV$103,COLUMN(기본데이타!AW$8),0))</f>
        <v/>
      </c>
      <c r="AT206" s="634" t="str">
        <f>IF($A206="","",VLOOKUP($A206,기본데이타!$A$8:$BV$103,COLUMN(기본데이타!AX$8),0))</f>
        <v/>
      </c>
      <c r="AU206" s="634" t="str">
        <f>IF($A206="","",VLOOKUP($A206,기본데이타!$A$8:$BV$103,COLUMN(기본데이타!AY$8),0))</f>
        <v/>
      </c>
      <c r="AV206" s="634" t="str">
        <f t="shared" si="28"/>
        <v/>
      </c>
      <c r="AW206" s="635" t="str">
        <f>IF($A206="","",VLOOKUP($A206,기본데이타!$A$8:$BV$103,COLUMN(기본데이타!BA$8),0))</f>
        <v/>
      </c>
      <c r="AX206" s="635" t="str">
        <f>IF($A206="","",VLOOKUP($A206,기본데이타!$A$8:$BV$103,COLUMN(기본데이타!BB$8),0))</f>
        <v/>
      </c>
      <c r="AY206" s="635" t="str">
        <f>IF($A206="","",VLOOKUP($A206,기본데이타!$A$8:$BV$103,COLUMN(기본데이타!BC$8),0))</f>
        <v/>
      </c>
      <c r="AZ206" s="635" t="str">
        <f>IF($A206="","",VLOOKUP($A206,기본데이타!$A$8:$BV$103,COLUMN(기본데이타!BD$8),0))</f>
        <v/>
      </c>
      <c r="BA206" s="635" t="str">
        <f>IF($A206="","",VLOOKUP($A206,기본데이타!$A$8:$BV$103,COLUMN(기본데이타!BE$8),0))</f>
        <v/>
      </c>
      <c r="BB206" s="635" t="str">
        <f>IF($A206="","",VLOOKUP($A206,기본데이타!$A$8:$BV$103,COLUMN(기본데이타!BF$8),0))</f>
        <v/>
      </c>
      <c r="BC206" s="635" t="str">
        <f>IF($A206="","",VLOOKUP($A206,기본데이타!$A$8:$BV$103,COLUMN(기본데이타!BG$8),0))</f>
        <v/>
      </c>
      <c r="BD206" s="635" t="str">
        <f>IF($A206="","",VLOOKUP($A206,기본데이타!$A$8:$BV$103,COLUMN(기본데이타!BH$8),0))</f>
        <v/>
      </c>
      <c r="BE206" s="635" t="str">
        <f>IF($A206="","",VLOOKUP($A206,기본데이타!$A$8:$BV$103,COLUMN(기본데이타!BI$8),0))</f>
        <v/>
      </c>
      <c r="BF206" s="635" t="str">
        <f>IF($A206="","",VLOOKUP($A206,기본데이타!$A$8:$BV$103,COLUMN(기본데이타!BJ$8),0))</f>
        <v/>
      </c>
      <c r="BG206" s="635" t="str">
        <f>IF($A206="","",VLOOKUP($A206,기본데이타!$A$8:$BV$103,COLUMN(기본데이타!BK$8),0))</f>
        <v/>
      </c>
      <c r="BH206" s="635" t="str">
        <f>IF($A206="","",VLOOKUP($A206,기본데이타!$A$8:$BV$103,COLUMN(기본데이타!BL$8),0))</f>
        <v/>
      </c>
      <c r="BI206" s="635" t="str">
        <f>IF($A206="","",VLOOKUP($A206,기본데이타!$A$8:$BV$103,COLUMN(기본데이타!BM$8),0))</f>
        <v/>
      </c>
      <c r="BJ206" s="635" t="str">
        <f>IF($A206="","",VLOOKUP($A206,기본데이타!$A$8:$BV$103,COLUMN(기본데이타!BN$8),0))</f>
        <v/>
      </c>
      <c r="BK206" s="635" t="str">
        <f>IF($A206="","",VLOOKUP($A206,기본데이타!$A$8:$BV$103,COLUMN(기본데이타!BO$8),0))</f>
        <v/>
      </c>
      <c r="BL206" s="635" t="str">
        <f>IF($A206="","",VLOOKUP($A206,기본데이타!$A$8:$BV$103,COLUMN(기본데이타!BP$8),0))</f>
        <v/>
      </c>
      <c r="BM206" s="635" t="str">
        <f>IF($A206="","",VLOOKUP($A206,기본데이타!$A$8:$BV$103,COLUMN(기본데이타!BQ$8),0))</f>
        <v/>
      </c>
      <c r="BN206" s="638" t="str">
        <f>IF($A206="","",VLOOKUP($A206,기본데이타!$A$8:$BV$103,COLUMN(기본데이타!BR$8),0))</f>
        <v/>
      </c>
      <c r="BO206" s="579" t="str">
        <f>IF($A206="","",VLOOKUP($A206,기본데이타!$A$8:$BV$103,COLUMN(기본데이타!BS$8),0))</f>
        <v/>
      </c>
      <c r="BP206" s="639" t="str">
        <f>IF($A206="","",VLOOKUP($A206,기본데이타!$A$8:$BV$103,COLUMN(기본데이타!BT$8),0))</f>
        <v/>
      </c>
      <c r="BQ206" s="640" t="str">
        <f>IF($A206="","",VLOOKUP($A206,기본데이타!$A$8:$BV$103,COLUMN(기본데이타!BU$8),0))</f>
        <v/>
      </c>
      <c r="BR206" s="625" t="str">
        <f t="shared" si="29"/>
        <v/>
      </c>
    </row>
    <row r="207" spans="1:70" s="571" customFormat="1" ht="50.1" hidden="1" customHeight="1">
      <c r="A207" s="578"/>
      <c r="B207" s="1642"/>
      <c r="C207" s="590"/>
      <c r="D207" s="629" t="str">
        <f>IF($A207="","",VLOOKUP($A207,기본데이타!$A$8:$BV$103,COLUMN(기본데이타!F$8),0))</f>
        <v/>
      </c>
      <c r="E207" s="630" t="str">
        <f>IF($A207="","",VLOOKUP($A207,기본데이타!$A$8:$BV$103,COLUMN(기본데이타!G$8),0))</f>
        <v/>
      </c>
      <c r="F207" s="631" t="str">
        <f>IF($A207="","",VLOOKUP($A207,기본데이타!$A$8:$BV$103,COLUMN(기본데이타!H$8),0))</f>
        <v/>
      </c>
      <c r="G207" s="632" t="str">
        <f>IF($A207="","",VLOOKUP($A207,기본데이타!$A$8:$BV$103,COLUMN(기본데이타!I$8),0))</f>
        <v/>
      </c>
      <c r="H207" s="632" t="str">
        <f>IF($A207="","",VLOOKUP($A207,기본데이타!$A$8:$BV$103,COLUMN(기본데이타!J$8),0))</f>
        <v/>
      </c>
      <c r="I207" s="633" t="str">
        <f>IF($A207="","",VLOOKUP($A207,기본데이타!$A$8:$BV$103,COLUMN(기본데이타!K$8),0))</f>
        <v/>
      </c>
      <c r="J207" s="633" t="str">
        <f>IF($A207="","",VLOOKUP($A207,기본데이타!$A$8:$BV$103,COLUMN(기본데이타!L$8),0))</f>
        <v/>
      </c>
      <c r="K207" s="633" t="str">
        <f>IF($A207="","",VLOOKUP($A207,기본데이타!$A$8:$BV$103,COLUMN(기본데이타!M$8),0))</f>
        <v/>
      </c>
      <c r="L207" s="634" t="str">
        <f>IF($A207="","",VLOOKUP($A207,기본데이타!$A$8:$BV$103,COLUMN(기본데이타!N$8),0))</f>
        <v/>
      </c>
      <c r="M207" s="633" t="str">
        <f>IF($A207="","",VLOOKUP($A207,기본데이타!$A$8:$BV$103,COLUMN(기본데이타!O$8),0))</f>
        <v/>
      </c>
      <c r="N207" s="634" t="str">
        <f>IF($A207="","",VLOOKUP($A207,기본데이타!$A$8:$BV$103,COLUMN(기본데이타!P$8),0))</f>
        <v/>
      </c>
      <c r="O207" s="634" t="str">
        <f>IF($A207="","",VLOOKUP($A207,기본데이타!$A$8:$BV$103,COLUMN(기본데이타!Q$8),0))</f>
        <v/>
      </c>
      <c r="P207" s="634" t="str">
        <f>IF($A207="","",VLOOKUP($A207,기본데이타!$A$8:$BV$103,COLUMN(기본데이타!R$8),0))</f>
        <v/>
      </c>
      <c r="Q207" s="634" t="str">
        <f>IF($A207="","",VLOOKUP($A207,기본데이타!$A$8:$BV$103,COLUMN(기본데이타!S$8),0))</f>
        <v/>
      </c>
      <c r="R207" s="634" t="str">
        <f>IF($A207="","",VLOOKUP($A207,기본데이타!$A$8:$BV$103,COLUMN(기본데이타!T$8),0))</f>
        <v/>
      </c>
      <c r="S207" s="634" t="str">
        <f>IF($A207="","",VLOOKUP($A207,기본데이타!$A$8:$BV$103,COLUMN(기본데이타!U$8),0))</f>
        <v/>
      </c>
      <c r="T207" s="634" t="str">
        <f>IF($A207="","",VLOOKUP($A207,기본데이타!$A$8:$BV$103,COLUMN(기본데이타!V$8),0))</f>
        <v/>
      </c>
      <c r="U207" s="634" t="str">
        <f>IF($A207="","",VLOOKUP($A207,기본데이타!$A$8:$BV$103,COLUMN(기본데이타!W$8),0))</f>
        <v/>
      </c>
      <c r="V207" s="634" t="str">
        <f>IF($A207="","",VLOOKUP($A207,기본데이타!$A$8:$BV$103,COLUMN(기본데이타!X$8),0))</f>
        <v/>
      </c>
      <c r="W207" s="634" t="str">
        <f>IF($A207="","",VLOOKUP($A207,기본데이타!$A$8:$BV$103,COLUMN(기본데이타!AA$8),0))</f>
        <v/>
      </c>
      <c r="X207" s="634" t="str">
        <f>IF($A207="","",VLOOKUP($A207,기본데이타!$A$8:$BV$103,COLUMN(기본데이타!AB$8),0))</f>
        <v/>
      </c>
      <c r="Y207" s="633" t="str">
        <f>IF($A207="","",VLOOKUP($A207,기본데이타!$A$8:$BV$103,COLUMN(기본데이타!AC$8),0))</f>
        <v/>
      </c>
      <c r="Z207" s="634" t="str">
        <f>IF($A207="","",VLOOKUP($A207,기본데이타!$A$8:$BV$103,COLUMN(기본데이타!AD$8),0))</f>
        <v/>
      </c>
      <c r="AA207" s="633" t="str">
        <f>IF($A207="","",VLOOKUP($A207,기본데이타!$A$8:$BV$103,COLUMN(기본데이타!AE$8),0))</f>
        <v/>
      </c>
      <c r="AB207" s="634" t="str">
        <f>IF($A207="","",VLOOKUP($A207,기본데이타!$A$8:$BV$103,COLUMN(기본데이타!AF$8),0))</f>
        <v/>
      </c>
      <c r="AC207" s="633" t="str">
        <f>IF($A207="","",VLOOKUP($A207,기본데이타!$A$8:$BV$103,COLUMN(기본데이타!AG$8),0))</f>
        <v/>
      </c>
      <c r="AD207" s="634" t="str">
        <f>IF($A207="","",VLOOKUP($A207,기본데이타!$A$8:$BV$103,COLUMN(기본데이타!AH$8),0))</f>
        <v/>
      </c>
      <c r="AE207" s="633" t="str">
        <f>IF($A207="","",VLOOKUP($A207,기본데이타!$A$8:$BV$103,COLUMN(기본데이타!AI$8),0))</f>
        <v/>
      </c>
      <c r="AF207" s="635" t="str">
        <f>IF($A207="","",VLOOKUP($A207,기본데이타!$A$8:$BV$103,COLUMN(기본데이타!AJ$8),0))</f>
        <v/>
      </c>
      <c r="AG207" s="580" t="str">
        <f>IF($A207="","",VLOOKUP($A207,기본데이타!$A$8:$BV$103,COLUMN(기본데이타!AK$8),0))</f>
        <v/>
      </c>
      <c r="AH207" s="580" t="str">
        <f>IF($A207="","",VLOOKUP($A207,기본데이타!$A$8:$BV$103,COLUMN(기본데이타!AL$8),0))</f>
        <v/>
      </c>
      <c r="AI207" s="580" t="str">
        <f>IF($A207="","",VLOOKUP($A207,기본데이타!$A$8:$BV$103,COLUMN(기본데이타!AM$8),0))</f>
        <v/>
      </c>
      <c r="AJ207" s="636" t="str">
        <f>IF($A207="","",VLOOKUP($A207,기본데이타!$A$8:$BV$103,COLUMN(기본데이타!AN$8),0))</f>
        <v/>
      </c>
      <c r="AK207" s="636" t="str">
        <f>IF($A207="","",VLOOKUP($A207,기본데이타!$A$8:$BV$103,COLUMN(기본데이타!AO$8),0))</f>
        <v/>
      </c>
      <c r="AL207" s="636" t="str">
        <f>IF($A207="","",VLOOKUP($A207,기본데이타!$A$8:$BV$103,COLUMN(기본데이타!AP$8),0))</f>
        <v/>
      </c>
      <c r="AM207" s="636" t="str">
        <f>IF($A207="","",VLOOKUP($A207,기본데이타!$A$8:$BV$103,COLUMN(기본데이타!AQ$8),0))</f>
        <v/>
      </c>
      <c r="AN207" s="636" t="str">
        <f>IF($A207="","",VLOOKUP($A207,기본데이타!$A$8:$BV$103,COLUMN(기본데이타!AR$8),0))</f>
        <v/>
      </c>
      <c r="AO207" s="636" t="str">
        <f>IF($A207="","",VLOOKUP($A207,기본데이타!$A$8:$BV$103,COLUMN(기본데이타!AS$8),0))</f>
        <v/>
      </c>
      <c r="AP207" s="636" t="str">
        <f>IF($A207="","",VLOOKUP($A207,기본데이타!$A$8:$BV$103,COLUMN(기본데이타!AT$8),0))</f>
        <v/>
      </c>
      <c r="AQ207" s="636" t="str">
        <f>IF($A207="","",VLOOKUP($A207,기본데이타!$A$8:$BV$103,COLUMN(기본데이타!AU$8),0))</f>
        <v/>
      </c>
      <c r="AR207" s="637" t="str">
        <f>IF($A207="","",VLOOKUP($A207,기본데이타!$A$8:$BV$103,COLUMN(기본데이타!AV$8),0))</f>
        <v/>
      </c>
      <c r="AS207" s="634" t="str">
        <f>IF($A207="","",VLOOKUP($A207,기본데이타!$A$8:$BV$103,COLUMN(기본데이타!AW$8),0))</f>
        <v/>
      </c>
      <c r="AT207" s="634" t="str">
        <f>IF($A207="","",VLOOKUP($A207,기본데이타!$A$8:$BV$103,COLUMN(기본데이타!AX$8),0))</f>
        <v/>
      </c>
      <c r="AU207" s="634" t="str">
        <f>IF($A207="","",VLOOKUP($A207,기본데이타!$A$8:$BV$103,COLUMN(기본데이타!AY$8),0))</f>
        <v/>
      </c>
      <c r="AV207" s="634" t="str">
        <f t="shared" si="28"/>
        <v/>
      </c>
      <c r="AW207" s="635" t="str">
        <f>IF($A207="","",VLOOKUP($A207,기본데이타!$A$8:$BV$103,COLUMN(기본데이타!BA$8),0))</f>
        <v/>
      </c>
      <c r="AX207" s="635" t="str">
        <f>IF($A207="","",VLOOKUP($A207,기본데이타!$A$8:$BV$103,COLUMN(기본데이타!BB$8),0))</f>
        <v/>
      </c>
      <c r="AY207" s="635" t="str">
        <f>IF($A207="","",VLOOKUP($A207,기본데이타!$A$8:$BV$103,COLUMN(기본데이타!BC$8),0))</f>
        <v/>
      </c>
      <c r="AZ207" s="635" t="str">
        <f>IF($A207="","",VLOOKUP($A207,기본데이타!$A$8:$BV$103,COLUMN(기본데이타!BD$8),0))</f>
        <v/>
      </c>
      <c r="BA207" s="635" t="str">
        <f>IF($A207="","",VLOOKUP($A207,기본데이타!$A$8:$BV$103,COLUMN(기본데이타!BE$8),0))</f>
        <v/>
      </c>
      <c r="BB207" s="635" t="str">
        <f>IF($A207="","",VLOOKUP($A207,기본데이타!$A$8:$BV$103,COLUMN(기본데이타!BF$8),0))</f>
        <v/>
      </c>
      <c r="BC207" s="635" t="str">
        <f>IF($A207="","",VLOOKUP($A207,기본데이타!$A$8:$BV$103,COLUMN(기본데이타!BG$8),0))</f>
        <v/>
      </c>
      <c r="BD207" s="635" t="str">
        <f>IF($A207="","",VLOOKUP($A207,기본데이타!$A$8:$BV$103,COLUMN(기본데이타!BH$8),0))</f>
        <v/>
      </c>
      <c r="BE207" s="635" t="str">
        <f>IF($A207="","",VLOOKUP($A207,기본데이타!$A$8:$BV$103,COLUMN(기본데이타!BI$8),0))</f>
        <v/>
      </c>
      <c r="BF207" s="635" t="str">
        <f>IF($A207="","",VLOOKUP($A207,기본데이타!$A$8:$BV$103,COLUMN(기본데이타!BJ$8),0))</f>
        <v/>
      </c>
      <c r="BG207" s="635" t="str">
        <f>IF($A207="","",VLOOKUP($A207,기본데이타!$A$8:$BV$103,COLUMN(기본데이타!BK$8),0))</f>
        <v/>
      </c>
      <c r="BH207" s="635" t="str">
        <f>IF($A207="","",VLOOKUP($A207,기본데이타!$A$8:$BV$103,COLUMN(기본데이타!BL$8),0))</f>
        <v/>
      </c>
      <c r="BI207" s="635" t="str">
        <f>IF($A207="","",VLOOKUP($A207,기본데이타!$A$8:$BV$103,COLUMN(기본데이타!BM$8),0))</f>
        <v/>
      </c>
      <c r="BJ207" s="635" t="str">
        <f>IF($A207="","",VLOOKUP($A207,기본데이타!$A$8:$BV$103,COLUMN(기본데이타!BN$8),0))</f>
        <v/>
      </c>
      <c r="BK207" s="635" t="str">
        <f>IF($A207="","",VLOOKUP($A207,기본데이타!$A$8:$BV$103,COLUMN(기본데이타!BO$8),0))</f>
        <v/>
      </c>
      <c r="BL207" s="635" t="str">
        <f>IF($A207="","",VLOOKUP($A207,기본데이타!$A$8:$BV$103,COLUMN(기본데이타!BP$8),0))</f>
        <v/>
      </c>
      <c r="BM207" s="635" t="str">
        <f>IF($A207="","",VLOOKUP($A207,기본데이타!$A$8:$BV$103,COLUMN(기본데이타!BQ$8),0))</f>
        <v/>
      </c>
      <c r="BN207" s="638" t="str">
        <f>IF($A207="","",VLOOKUP($A207,기본데이타!$A$8:$BV$103,COLUMN(기본데이타!BR$8),0))</f>
        <v/>
      </c>
      <c r="BO207" s="579" t="str">
        <f>IF($A207="","",VLOOKUP($A207,기본데이타!$A$8:$BV$103,COLUMN(기본데이타!BS$8),0))</f>
        <v/>
      </c>
      <c r="BP207" s="639" t="str">
        <f>IF($A207="","",VLOOKUP($A207,기본데이타!$A$8:$BV$103,COLUMN(기본데이타!BT$8),0))</f>
        <v/>
      </c>
      <c r="BQ207" s="640" t="str">
        <f>IF($A207="","",VLOOKUP($A207,기본데이타!$A$8:$BV$103,COLUMN(기본데이타!BU$8),0))</f>
        <v/>
      </c>
      <c r="BR207" s="625" t="str">
        <f t="shared" si="29"/>
        <v/>
      </c>
    </row>
    <row r="208" spans="1:70" s="571" customFormat="1" ht="50.1" hidden="1" customHeight="1">
      <c r="A208" s="578"/>
      <c r="B208" s="1642"/>
      <c r="C208" s="590" t="s">
        <v>241</v>
      </c>
      <c r="D208" s="629" t="str">
        <f>IF($A208="","",VLOOKUP($A208,기본데이타!$A$8:$BV$103,COLUMN(기본데이타!F$8),0))</f>
        <v/>
      </c>
      <c r="E208" s="630" t="str">
        <f>IF($A208="","",VLOOKUP($A208,기본데이타!$A$8:$BV$103,COLUMN(기본데이타!G$8),0))</f>
        <v/>
      </c>
      <c r="F208" s="631" t="str">
        <f>IF($A208="","",VLOOKUP($A208,기본데이타!$A$8:$BV$103,COLUMN(기본데이타!H$8),0))</f>
        <v/>
      </c>
      <c r="G208" s="632" t="str">
        <f>IF($A208="","",VLOOKUP($A208,기본데이타!$A$8:$BV$103,COLUMN(기본데이타!I$8),0))</f>
        <v/>
      </c>
      <c r="H208" s="632" t="str">
        <f>IF($A208="","",VLOOKUP($A208,기본데이타!$A$8:$BV$103,COLUMN(기본데이타!J$8),0))</f>
        <v/>
      </c>
      <c r="I208" s="633" t="str">
        <f>IF($A208="","",VLOOKUP($A208,기본데이타!$A$8:$BV$103,COLUMN(기본데이타!K$8),0))</f>
        <v/>
      </c>
      <c r="J208" s="633" t="str">
        <f>IF($A208="","",VLOOKUP($A208,기본데이타!$A$8:$BV$103,COLUMN(기본데이타!L$8),0))</f>
        <v/>
      </c>
      <c r="K208" s="633" t="str">
        <f>IF($A208="","",VLOOKUP($A208,기본데이타!$A$8:$BV$103,COLUMN(기본데이타!M$8),0))</f>
        <v/>
      </c>
      <c r="L208" s="634" t="str">
        <f>IF($A208="","",VLOOKUP($A208,기본데이타!$A$8:$BV$103,COLUMN(기본데이타!N$8),0))</f>
        <v/>
      </c>
      <c r="M208" s="633" t="str">
        <f>IF($A208="","",VLOOKUP($A208,기본데이타!$A$8:$BV$103,COLUMN(기본데이타!O$8),0))</f>
        <v/>
      </c>
      <c r="N208" s="634" t="str">
        <f>IF($A208="","",VLOOKUP($A208,기본데이타!$A$8:$BV$103,COLUMN(기본데이타!P$8),0))</f>
        <v/>
      </c>
      <c r="O208" s="634" t="str">
        <f>IF($A208="","",VLOOKUP($A208,기본데이타!$A$8:$BV$103,COLUMN(기본데이타!Q$8),0))</f>
        <v/>
      </c>
      <c r="P208" s="634" t="str">
        <f>IF($A208="","",VLOOKUP($A208,기본데이타!$A$8:$BV$103,COLUMN(기본데이타!R$8),0))</f>
        <v/>
      </c>
      <c r="Q208" s="634" t="str">
        <f>IF($A208="","",VLOOKUP($A208,기본데이타!$A$8:$BV$103,COLUMN(기본데이타!S$8),0))</f>
        <v/>
      </c>
      <c r="R208" s="634" t="str">
        <f>IF($A208="","",VLOOKUP($A208,기본데이타!$A$8:$BV$103,COLUMN(기본데이타!T$8),0))</f>
        <v/>
      </c>
      <c r="S208" s="634" t="str">
        <f>IF($A208="","",VLOOKUP($A208,기본데이타!$A$8:$BV$103,COLUMN(기본데이타!U$8),0))</f>
        <v/>
      </c>
      <c r="T208" s="634" t="str">
        <f>IF($A208="","",VLOOKUP($A208,기본데이타!$A$8:$BV$103,COLUMN(기본데이타!V$8),0))</f>
        <v/>
      </c>
      <c r="U208" s="634" t="str">
        <f>IF($A208="","",VLOOKUP($A208,기본데이타!$A$8:$BV$103,COLUMN(기본데이타!W$8),0))</f>
        <v/>
      </c>
      <c r="V208" s="634" t="str">
        <f>IF($A208="","",VLOOKUP($A208,기본데이타!$A$8:$BV$103,COLUMN(기본데이타!X$8),0))</f>
        <v/>
      </c>
      <c r="W208" s="634" t="str">
        <f>IF($A208="","",VLOOKUP($A208,기본데이타!$A$8:$BV$103,COLUMN(기본데이타!AA$8),0))</f>
        <v/>
      </c>
      <c r="X208" s="634" t="str">
        <f>IF($A208="","",VLOOKUP($A208,기본데이타!$A$8:$BV$103,COLUMN(기본데이타!AB$8),0))</f>
        <v/>
      </c>
      <c r="Y208" s="633" t="str">
        <f>IF($A208="","",VLOOKUP($A208,기본데이타!$A$8:$BV$103,COLUMN(기본데이타!AC$8),0))</f>
        <v/>
      </c>
      <c r="Z208" s="634" t="str">
        <f>IF($A208="","",VLOOKUP($A208,기본데이타!$A$8:$BV$103,COLUMN(기본데이타!AD$8),0))</f>
        <v/>
      </c>
      <c r="AA208" s="633" t="str">
        <f>IF($A208="","",VLOOKUP($A208,기본데이타!$A$8:$BV$103,COLUMN(기본데이타!AE$8),0))</f>
        <v/>
      </c>
      <c r="AB208" s="634" t="str">
        <f>IF($A208="","",VLOOKUP($A208,기본데이타!$A$8:$BV$103,COLUMN(기본데이타!AF$8),0))</f>
        <v/>
      </c>
      <c r="AC208" s="633" t="str">
        <f>IF($A208="","",VLOOKUP($A208,기본데이타!$A$8:$BV$103,COLUMN(기본데이타!AG$8),0))</f>
        <v/>
      </c>
      <c r="AD208" s="634" t="str">
        <f>IF($A208="","",VLOOKUP($A208,기본데이타!$A$8:$BV$103,COLUMN(기본데이타!AH$8),0))</f>
        <v/>
      </c>
      <c r="AE208" s="633" t="str">
        <f>IF($A208="","",VLOOKUP($A208,기본데이타!$A$8:$BV$103,COLUMN(기본데이타!AI$8),0))</f>
        <v/>
      </c>
      <c r="AF208" s="635" t="str">
        <f>IF($A208="","",VLOOKUP($A208,기본데이타!$A$8:$BV$103,COLUMN(기본데이타!AJ$8),0))</f>
        <v/>
      </c>
      <c r="AG208" s="580" t="str">
        <f>IF($A208="","",VLOOKUP($A208,기본데이타!$A$8:$BV$103,COLUMN(기본데이타!AK$8),0))</f>
        <v/>
      </c>
      <c r="AH208" s="580" t="str">
        <f>IF($A208="","",VLOOKUP($A208,기본데이타!$A$8:$BV$103,COLUMN(기본데이타!AL$8),0))</f>
        <v/>
      </c>
      <c r="AI208" s="580" t="str">
        <f>IF($A208="","",VLOOKUP($A208,기본데이타!$A$8:$BV$103,COLUMN(기본데이타!AM$8),0))</f>
        <v/>
      </c>
      <c r="AJ208" s="636" t="str">
        <f>IF($A208="","",VLOOKUP($A208,기본데이타!$A$8:$BV$103,COLUMN(기본데이타!AN$8),0))</f>
        <v/>
      </c>
      <c r="AK208" s="636" t="str">
        <f>IF($A208="","",VLOOKUP($A208,기본데이타!$A$8:$BV$103,COLUMN(기본데이타!AO$8),0))</f>
        <v/>
      </c>
      <c r="AL208" s="636" t="str">
        <f>IF($A208="","",VLOOKUP($A208,기본데이타!$A$8:$BV$103,COLUMN(기본데이타!AP$8),0))</f>
        <v/>
      </c>
      <c r="AM208" s="636" t="str">
        <f>IF($A208="","",VLOOKUP($A208,기본데이타!$A$8:$BV$103,COLUMN(기본데이타!AQ$8),0))</f>
        <v/>
      </c>
      <c r="AN208" s="636" t="str">
        <f>IF($A208="","",VLOOKUP($A208,기본데이타!$A$8:$BV$103,COLUMN(기본데이타!AR$8),0))</f>
        <v/>
      </c>
      <c r="AO208" s="636" t="str">
        <f>IF($A208="","",VLOOKUP($A208,기본데이타!$A$8:$BV$103,COLUMN(기본데이타!AS$8),0))</f>
        <v/>
      </c>
      <c r="AP208" s="636" t="str">
        <f>IF($A208="","",VLOOKUP($A208,기본데이타!$A$8:$BV$103,COLUMN(기본데이타!AT$8),0))</f>
        <v/>
      </c>
      <c r="AQ208" s="636" t="str">
        <f>IF($A208="","",VLOOKUP($A208,기본데이타!$A$8:$BV$103,COLUMN(기본데이타!AU$8),0))</f>
        <v/>
      </c>
      <c r="AR208" s="637" t="str">
        <f>IF($A208="","",VLOOKUP($A208,기본데이타!$A$8:$BV$103,COLUMN(기본데이타!AV$8),0))</f>
        <v/>
      </c>
      <c r="AS208" s="634" t="str">
        <f>IF($A208="","",VLOOKUP($A208,기본데이타!$A$8:$BV$103,COLUMN(기본데이타!AW$8),0))</f>
        <v/>
      </c>
      <c r="AT208" s="634" t="str">
        <f>IF($A208="","",VLOOKUP($A208,기본데이타!$A$8:$BV$103,COLUMN(기본데이타!AX$8),0))</f>
        <v/>
      </c>
      <c r="AU208" s="634" t="str">
        <f>IF($A208="","",VLOOKUP($A208,기본데이타!$A$8:$BV$103,COLUMN(기본데이타!AY$8),0))</f>
        <v/>
      </c>
      <c r="AV208" s="634" t="str">
        <f t="shared" si="28"/>
        <v/>
      </c>
      <c r="AW208" s="635" t="str">
        <f>IF($A208="","",VLOOKUP($A208,기본데이타!$A$8:$BV$103,COLUMN(기본데이타!BA$8),0))</f>
        <v/>
      </c>
      <c r="AX208" s="635" t="str">
        <f>IF($A208="","",VLOOKUP($A208,기본데이타!$A$8:$BV$103,COLUMN(기본데이타!BB$8),0))</f>
        <v/>
      </c>
      <c r="AY208" s="635" t="str">
        <f>IF($A208="","",VLOOKUP($A208,기본데이타!$A$8:$BV$103,COLUMN(기본데이타!BC$8),0))</f>
        <v/>
      </c>
      <c r="AZ208" s="635" t="str">
        <f>IF($A208="","",VLOOKUP($A208,기본데이타!$A$8:$BV$103,COLUMN(기본데이타!BD$8),0))</f>
        <v/>
      </c>
      <c r="BA208" s="635" t="str">
        <f>IF($A208="","",VLOOKUP($A208,기본데이타!$A$8:$BV$103,COLUMN(기본데이타!BE$8),0))</f>
        <v/>
      </c>
      <c r="BB208" s="635" t="str">
        <f>IF($A208="","",VLOOKUP($A208,기본데이타!$A$8:$BV$103,COLUMN(기본데이타!BF$8),0))</f>
        <v/>
      </c>
      <c r="BC208" s="635" t="str">
        <f>IF($A208="","",VLOOKUP($A208,기본데이타!$A$8:$BV$103,COLUMN(기본데이타!BG$8),0))</f>
        <v/>
      </c>
      <c r="BD208" s="635" t="str">
        <f>IF($A208="","",VLOOKUP($A208,기본데이타!$A$8:$BV$103,COLUMN(기본데이타!BH$8),0))</f>
        <v/>
      </c>
      <c r="BE208" s="635" t="str">
        <f>IF($A208="","",VLOOKUP($A208,기본데이타!$A$8:$BV$103,COLUMN(기본데이타!BI$8),0))</f>
        <v/>
      </c>
      <c r="BF208" s="635" t="str">
        <f>IF($A208="","",VLOOKUP($A208,기본데이타!$A$8:$BV$103,COLUMN(기본데이타!BJ$8),0))</f>
        <v/>
      </c>
      <c r="BG208" s="635" t="str">
        <f>IF($A208="","",VLOOKUP($A208,기본데이타!$A$8:$BV$103,COLUMN(기본데이타!BK$8),0))</f>
        <v/>
      </c>
      <c r="BH208" s="635" t="str">
        <f>IF($A208="","",VLOOKUP($A208,기본데이타!$A$8:$BV$103,COLUMN(기본데이타!BL$8),0))</f>
        <v/>
      </c>
      <c r="BI208" s="635" t="str">
        <f>IF($A208="","",VLOOKUP($A208,기본데이타!$A$8:$BV$103,COLUMN(기본데이타!BM$8),0))</f>
        <v/>
      </c>
      <c r="BJ208" s="635" t="str">
        <f>IF($A208="","",VLOOKUP($A208,기본데이타!$A$8:$BV$103,COLUMN(기본데이타!BN$8),0))</f>
        <v/>
      </c>
      <c r="BK208" s="635" t="str">
        <f>IF($A208="","",VLOOKUP($A208,기본데이타!$A$8:$BV$103,COLUMN(기본데이타!BO$8),0))</f>
        <v/>
      </c>
      <c r="BL208" s="635" t="str">
        <f>IF($A208="","",VLOOKUP($A208,기본데이타!$A$8:$BV$103,COLUMN(기본데이타!BP$8),0))</f>
        <v/>
      </c>
      <c r="BM208" s="635" t="str">
        <f>IF($A208="","",VLOOKUP($A208,기본데이타!$A$8:$BV$103,COLUMN(기본데이타!BQ$8),0))</f>
        <v/>
      </c>
      <c r="BN208" s="638" t="str">
        <f>IF($A208="","",VLOOKUP($A208,기본데이타!$A$8:$BV$103,COLUMN(기본데이타!BR$8),0))</f>
        <v/>
      </c>
      <c r="BO208" s="579" t="str">
        <f>IF($A208="","",VLOOKUP($A208,기본데이타!$A$8:$BV$103,COLUMN(기본데이타!BS$8),0))</f>
        <v/>
      </c>
      <c r="BP208" s="639" t="str">
        <f>IF($A208="","",VLOOKUP($A208,기본데이타!$A$8:$BV$103,COLUMN(기본데이타!BT$8),0))</f>
        <v/>
      </c>
      <c r="BQ208" s="640" t="str">
        <f>IF($A208="","",VLOOKUP($A208,기본데이타!$A$8:$BV$103,COLUMN(기본데이타!BU$8),0))</f>
        <v/>
      </c>
      <c r="BR208" s="625" t="str">
        <f t="shared" si="29"/>
        <v/>
      </c>
    </row>
    <row r="209" spans="1:70" s="571" customFormat="1" ht="50.1" hidden="1" customHeight="1">
      <c r="A209" s="578"/>
      <c r="B209" s="1642"/>
      <c r="C209" s="590"/>
      <c r="D209" s="629" t="str">
        <f>IF($A209="","",VLOOKUP($A209,기본데이타!$A$8:$BV$103,COLUMN(기본데이타!F$8),0))</f>
        <v/>
      </c>
      <c r="E209" s="630" t="str">
        <f>IF($A209="","",VLOOKUP($A209,기본데이타!$A$8:$BV$103,COLUMN(기본데이타!G$8),0))</f>
        <v/>
      </c>
      <c r="F209" s="631" t="str">
        <f>IF($A209="","",VLOOKUP($A209,기본데이타!$A$8:$BV$103,COLUMN(기본데이타!H$8),0))</f>
        <v/>
      </c>
      <c r="G209" s="632" t="str">
        <f>IF($A209="","",VLOOKUP($A209,기본데이타!$A$8:$BV$103,COLUMN(기본데이타!I$8),0))</f>
        <v/>
      </c>
      <c r="H209" s="632" t="str">
        <f>IF($A209="","",VLOOKUP($A209,기본데이타!$A$8:$BV$103,COLUMN(기본데이타!J$8),0))</f>
        <v/>
      </c>
      <c r="I209" s="633" t="str">
        <f>IF($A209="","",VLOOKUP($A209,기본데이타!$A$8:$BV$103,COLUMN(기본데이타!K$8),0))</f>
        <v/>
      </c>
      <c r="J209" s="633" t="str">
        <f>IF($A209="","",VLOOKUP($A209,기본데이타!$A$8:$BV$103,COLUMN(기본데이타!L$8),0))</f>
        <v/>
      </c>
      <c r="K209" s="633" t="str">
        <f>IF($A209="","",VLOOKUP($A209,기본데이타!$A$8:$BV$103,COLUMN(기본데이타!M$8),0))</f>
        <v/>
      </c>
      <c r="L209" s="634" t="str">
        <f>IF($A209="","",VLOOKUP($A209,기본데이타!$A$8:$BV$103,COLUMN(기본데이타!N$8),0))</f>
        <v/>
      </c>
      <c r="M209" s="633" t="str">
        <f>IF($A209="","",VLOOKUP($A209,기본데이타!$A$8:$BV$103,COLUMN(기본데이타!O$8),0))</f>
        <v/>
      </c>
      <c r="N209" s="634" t="str">
        <f>IF($A209="","",VLOOKUP($A209,기본데이타!$A$8:$BV$103,COLUMN(기본데이타!P$8),0))</f>
        <v/>
      </c>
      <c r="O209" s="634" t="str">
        <f>IF($A209="","",VLOOKUP($A209,기본데이타!$A$8:$BV$103,COLUMN(기본데이타!Q$8),0))</f>
        <v/>
      </c>
      <c r="P209" s="634" t="str">
        <f>IF($A209="","",VLOOKUP($A209,기본데이타!$A$8:$BV$103,COLUMN(기본데이타!R$8),0))</f>
        <v/>
      </c>
      <c r="Q209" s="634" t="str">
        <f>IF($A209="","",VLOOKUP($A209,기본데이타!$A$8:$BV$103,COLUMN(기본데이타!S$8),0))</f>
        <v/>
      </c>
      <c r="R209" s="634" t="str">
        <f>IF($A209="","",VLOOKUP($A209,기본데이타!$A$8:$BV$103,COLUMN(기본데이타!T$8),0))</f>
        <v/>
      </c>
      <c r="S209" s="634" t="str">
        <f>IF($A209="","",VLOOKUP($A209,기본데이타!$A$8:$BV$103,COLUMN(기본데이타!U$8),0))</f>
        <v/>
      </c>
      <c r="T209" s="634" t="str">
        <f>IF($A209="","",VLOOKUP($A209,기본데이타!$A$8:$BV$103,COLUMN(기본데이타!V$8),0))</f>
        <v/>
      </c>
      <c r="U209" s="634" t="str">
        <f>IF($A209="","",VLOOKUP($A209,기본데이타!$A$8:$BV$103,COLUMN(기본데이타!W$8),0))</f>
        <v/>
      </c>
      <c r="V209" s="634" t="str">
        <f>IF($A209="","",VLOOKUP($A209,기본데이타!$A$8:$BV$103,COLUMN(기본데이타!X$8),0))</f>
        <v/>
      </c>
      <c r="W209" s="634" t="str">
        <f>IF($A209="","",VLOOKUP($A209,기본데이타!$A$8:$BV$103,COLUMN(기본데이타!AA$8),0))</f>
        <v/>
      </c>
      <c r="X209" s="634" t="str">
        <f>IF($A209="","",VLOOKUP($A209,기본데이타!$A$8:$BV$103,COLUMN(기본데이타!AB$8),0))</f>
        <v/>
      </c>
      <c r="Y209" s="633" t="str">
        <f>IF($A209="","",VLOOKUP($A209,기본데이타!$A$8:$BV$103,COLUMN(기본데이타!AC$8),0))</f>
        <v/>
      </c>
      <c r="Z209" s="634" t="str">
        <f>IF($A209="","",VLOOKUP($A209,기본데이타!$A$8:$BV$103,COLUMN(기본데이타!AD$8),0))</f>
        <v/>
      </c>
      <c r="AA209" s="633" t="str">
        <f>IF($A209="","",VLOOKUP($A209,기본데이타!$A$8:$BV$103,COLUMN(기본데이타!AE$8),0))</f>
        <v/>
      </c>
      <c r="AB209" s="634" t="str">
        <f>IF($A209="","",VLOOKUP($A209,기본데이타!$A$8:$BV$103,COLUMN(기본데이타!AF$8),0))</f>
        <v/>
      </c>
      <c r="AC209" s="633" t="str">
        <f>IF($A209="","",VLOOKUP($A209,기본데이타!$A$8:$BV$103,COLUMN(기본데이타!AG$8),0))</f>
        <v/>
      </c>
      <c r="AD209" s="634" t="str">
        <f>IF($A209="","",VLOOKUP($A209,기본데이타!$A$8:$BV$103,COLUMN(기본데이타!AH$8),0))</f>
        <v/>
      </c>
      <c r="AE209" s="633" t="str">
        <f>IF($A209="","",VLOOKUP($A209,기본데이타!$A$8:$BV$103,COLUMN(기본데이타!AI$8),0))</f>
        <v/>
      </c>
      <c r="AF209" s="635" t="str">
        <f>IF($A209="","",VLOOKUP($A209,기본데이타!$A$8:$BV$103,COLUMN(기본데이타!AJ$8),0))</f>
        <v/>
      </c>
      <c r="AG209" s="580" t="str">
        <f>IF($A209="","",VLOOKUP($A209,기본데이타!$A$8:$BV$103,COLUMN(기본데이타!AK$8),0))</f>
        <v/>
      </c>
      <c r="AH209" s="580" t="str">
        <f>IF($A209="","",VLOOKUP($A209,기본데이타!$A$8:$BV$103,COLUMN(기본데이타!AL$8),0))</f>
        <v/>
      </c>
      <c r="AI209" s="580" t="str">
        <f>IF($A209="","",VLOOKUP($A209,기본데이타!$A$8:$BV$103,COLUMN(기본데이타!AM$8),0))</f>
        <v/>
      </c>
      <c r="AJ209" s="636" t="str">
        <f>IF($A209="","",VLOOKUP($A209,기본데이타!$A$8:$BV$103,COLUMN(기본데이타!AN$8),0))</f>
        <v/>
      </c>
      <c r="AK209" s="636" t="str">
        <f>IF($A209="","",VLOOKUP($A209,기본데이타!$A$8:$BV$103,COLUMN(기본데이타!AO$8),0))</f>
        <v/>
      </c>
      <c r="AL209" s="636" t="str">
        <f>IF($A209="","",VLOOKUP($A209,기본데이타!$A$8:$BV$103,COLUMN(기본데이타!AP$8),0))</f>
        <v/>
      </c>
      <c r="AM209" s="636" t="str">
        <f>IF($A209="","",VLOOKUP($A209,기본데이타!$A$8:$BV$103,COLUMN(기본데이타!AQ$8),0))</f>
        <v/>
      </c>
      <c r="AN209" s="636" t="str">
        <f>IF($A209="","",VLOOKUP($A209,기본데이타!$A$8:$BV$103,COLUMN(기본데이타!AR$8),0))</f>
        <v/>
      </c>
      <c r="AO209" s="636" t="str">
        <f>IF($A209="","",VLOOKUP($A209,기본데이타!$A$8:$BV$103,COLUMN(기본데이타!AS$8),0))</f>
        <v/>
      </c>
      <c r="AP209" s="636" t="str">
        <f>IF($A209="","",VLOOKUP($A209,기본데이타!$A$8:$BV$103,COLUMN(기본데이타!AT$8),0))</f>
        <v/>
      </c>
      <c r="AQ209" s="636" t="str">
        <f>IF($A209="","",VLOOKUP($A209,기본데이타!$A$8:$BV$103,COLUMN(기본데이타!AU$8),0))</f>
        <v/>
      </c>
      <c r="AR209" s="637" t="str">
        <f>IF($A209="","",VLOOKUP($A209,기본데이타!$A$8:$BV$103,COLUMN(기본데이타!AV$8),0))</f>
        <v/>
      </c>
      <c r="AS209" s="634" t="str">
        <f>IF($A209="","",VLOOKUP($A209,기본데이타!$A$8:$BV$103,COLUMN(기본데이타!AW$8),0))</f>
        <v/>
      </c>
      <c r="AT209" s="634" t="str">
        <f>IF($A209="","",VLOOKUP($A209,기본데이타!$A$8:$BV$103,COLUMN(기본데이타!AX$8),0))</f>
        <v/>
      </c>
      <c r="AU209" s="634" t="str">
        <f>IF($A209="","",VLOOKUP($A209,기본데이타!$A$8:$BV$103,COLUMN(기본데이타!AY$8),0))</f>
        <v/>
      </c>
      <c r="AV209" s="634" t="str">
        <f t="shared" si="28"/>
        <v/>
      </c>
      <c r="AW209" s="635" t="str">
        <f>IF($A209="","",VLOOKUP($A209,기본데이타!$A$8:$BV$103,COLUMN(기본데이타!BA$8),0))</f>
        <v/>
      </c>
      <c r="AX209" s="635" t="str">
        <f>IF($A209="","",VLOOKUP($A209,기본데이타!$A$8:$BV$103,COLUMN(기본데이타!BB$8),0))</f>
        <v/>
      </c>
      <c r="AY209" s="635" t="str">
        <f>IF($A209="","",VLOOKUP($A209,기본데이타!$A$8:$BV$103,COLUMN(기본데이타!BC$8),0))</f>
        <v/>
      </c>
      <c r="AZ209" s="635" t="str">
        <f>IF($A209="","",VLOOKUP($A209,기본데이타!$A$8:$BV$103,COLUMN(기본데이타!BD$8),0))</f>
        <v/>
      </c>
      <c r="BA209" s="635" t="str">
        <f>IF($A209="","",VLOOKUP($A209,기본데이타!$A$8:$BV$103,COLUMN(기본데이타!BE$8),0))</f>
        <v/>
      </c>
      <c r="BB209" s="635" t="str">
        <f>IF($A209="","",VLOOKUP($A209,기본데이타!$A$8:$BV$103,COLUMN(기본데이타!BF$8),0))</f>
        <v/>
      </c>
      <c r="BC209" s="635" t="str">
        <f>IF($A209="","",VLOOKUP($A209,기본데이타!$A$8:$BV$103,COLUMN(기본데이타!BG$8),0))</f>
        <v/>
      </c>
      <c r="BD209" s="635" t="str">
        <f>IF($A209="","",VLOOKUP($A209,기본데이타!$A$8:$BV$103,COLUMN(기본데이타!BH$8),0))</f>
        <v/>
      </c>
      <c r="BE209" s="635" t="str">
        <f>IF($A209="","",VLOOKUP($A209,기본데이타!$A$8:$BV$103,COLUMN(기본데이타!BI$8),0))</f>
        <v/>
      </c>
      <c r="BF209" s="635" t="str">
        <f>IF($A209="","",VLOOKUP($A209,기본데이타!$A$8:$BV$103,COLUMN(기본데이타!BJ$8),0))</f>
        <v/>
      </c>
      <c r="BG209" s="635" t="str">
        <f>IF($A209="","",VLOOKUP($A209,기본데이타!$A$8:$BV$103,COLUMN(기본데이타!BK$8),0))</f>
        <v/>
      </c>
      <c r="BH209" s="635" t="str">
        <f>IF($A209="","",VLOOKUP($A209,기본데이타!$A$8:$BV$103,COLUMN(기본데이타!BL$8),0))</f>
        <v/>
      </c>
      <c r="BI209" s="635" t="str">
        <f>IF($A209="","",VLOOKUP($A209,기본데이타!$A$8:$BV$103,COLUMN(기본데이타!BM$8),0))</f>
        <v/>
      </c>
      <c r="BJ209" s="635" t="str">
        <f>IF($A209="","",VLOOKUP($A209,기본데이타!$A$8:$BV$103,COLUMN(기본데이타!BN$8),0))</f>
        <v/>
      </c>
      <c r="BK209" s="635" t="str">
        <f>IF($A209="","",VLOOKUP($A209,기본데이타!$A$8:$BV$103,COLUMN(기본데이타!BO$8),0))</f>
        <v/>
      </c>
      <c r="BL209" s="635" t="str">
        <f>IF($A209="","",VLOOKUP($A209,기본데이타!$A$8:$BV$103,COLUMN(기본데이타!BP$8),0))</f>
        <v/>
      </c>
      <c r="BM209" s="635" t="str">
        <f>IF($A209="","",VLOOKUP($A209,기본데이타!$A$8:$BV$103,COLUMN(기본데이타!BQ$8),0))</f>
        <v/>
      </c>
      <c r="BN209" s="638" t="str">
        <f>IF($A209="","",VLOOKUP($A209,기본데이타!$A$8:$BV$103,COLUMN(기본데이타!BR$8),0))</f>
        <v/>
      </c>
      <c r="BO209" s="579" t="str">
        <f>IF($A209="","",VLOOKUP($A209,기본데이타!$A$8:$BV$103,COLUMN(기본데이타!BS$8),0))</f>
        <v/>
      </c>
      <c r="BP209" s="639" t="str">
        <f>IF($A209="","",VLOOKUP($A209,기본데이타!$A$8:$BV$103,COLUMN(기본데이타!BT$8),0))</f>
        <v/>
      </c>
      <c r="BQ209" s="640" t="str">
        <f>IF($A209="","",VLOOKUP($A209,기본데이타!$A$8:$BV$103,COLUMN(기본데이타!BU$8),0))</f>
        <v/>
      </c>
      <c r="BR209" s="625" t="str">
        <f t="shared" si="29"/>
        <v/>
      </c>
    </row>
    <row r="210" spans="1:70" s="571" customFormat="1" ht="50.1" hidden="1" customHeight="1">
      <c r="A210" s="578"/>
      <c r="B210" s="1642"/>
      <c r="C210" s="590"/>
      <c r="D210" s="629" t="str">
        <f>IF($A210="","",VLOOKUP($A210,기본데이타!$A$8:$BV$103,COLUMN(기본데이타!F$8),0))</f>
        <v/>
      </c>
      <c r="E210" s="630" t="str">
        <f>IF($A210="","",VLOOKUP($A210,기본데이타!$A$8:$BV$103,COLUMN(기본데이타!G$8),0))</f>
        <v/>
      </c>
      <c r="F210" s="631" t="str">
        <f>IF($A210="","",VLOOKUP($A210,기본데이타!$A$8:$BV$103,COLUMN(기본데이타!H$8),0))</f>
        <v/>
      </c>
      <c r="G210" s="632" t="str">
        <f>IF($A210="","",VLOOKUP($A210,기본데이타!$A$8:$BV$103,COLUMN(기본데이타!I$8),0))</f>
        <v/>
      </c>
      <c r="H210" s="632" t="str">
        <f>IF($A210="","",VLOOKUP($A210,기본데이타!$A$8:$BV$103,COLUMN(기본데이타!J$8),0))</f>
        <v/>
      </c>
      <c r="I210" s="633" t="str">
        <f>IF($A210="","",VLOOKUP($A210,기본데이타!$A$8:$BV$103,COLUMN(기본데이타!K$8),0))</f>
        <v/>
      </c>
      <c r="J210" s="633" t="str">
        <f>IF($A210="","",VLOOKUP($A210,기본데이타!$A$8:$BV$103,COLUMN(기본데이타!L$8),0))</f>
        <v/>
      </c>
      <c r="K210" s="633" t="str">
        <f>IF($A210="","",VLOOKUP($A210,기본데이타!$A$8:$BV$103,COLUMN(기본데이타!M$8),0))</f>
        <v/>
      </c>
      <c r="L210" s="634" t="str">
        <f>IF($A210="","",VLOOKUP($A210,기본데이타!$A$8:$BV$103,COLUMN(기본데이타!N$8),0))</f>
        <v/>
      </c>
      <c r="M210" s="633" t="str">
        <f>IF($A210="","",VLOOKUP($A210,기본데이타!$A$8:$BV$103,COLUMN(기본데이타!O$8),0))</f>
        <v/>
      </c>
      <c r="N210" s="634" t="str">
        <f>IF($A210="","",VLOOKUP($A210,기본데이타!$A$8:$BV$103,COLUMN(기본데이타!P$8),0))</f>
        <v/>
      </c>
      <c r="O210" s="634" t="str">
        <f>IF($A210="","",VLOOKUP($A210,기본데이타!$A$8:$BV$103,COLUMN(기본데이타!Q$8),0))</f>
        <v/>
      </c>
      <c r="P210" s="634" t="str">
        <f>IF($A210="","",VLOOKUP($A210,기본데이타!$A$8:$BV$103,COLUMN(기본데이타!R$8),0))</f>
        <v/>
      </c>
      <c r="Q210" s="634" t="str">
        <f>IF($A210="","",VLOOKUP($A210,기본데이타!$A$8:$BV$103,COLUMN(기본데이타!S$8),0))</f>
        <v/>
      </c>
      <c r="R210" s="634" t="str">
        <f>IF($A210="","",VLOOKUP($A210,기본데이타!$A$8:$BV$103,COLUMN(기본데이타!T$8),0))</f>
        <v/>
      </c>
      <c r="S210" s="634" t="str">
        <f>IF($A210="","",VLOOKUP($A210,기본데이타!$A$8:$BV$103,COLUMN(기본데이타!U$8),0))</f>
        <v/>
      </c>
      <c r="T210" s="634" t="str">
        <f>IF($A210="","",VLOOKUP($A210,기본데이타!$A$8:$BV$103,COLUMN(기본데이타!V$8),0))</f>
        <v/>
      </c>
      <c r="U210" s="634" t="str">
        <f>IF($A210="","",VLOOKUP($A210,기본데이타!$A$8:$BV$103,COLUMN(기본데이타!W$8),0))</f>
        <v/>
      </c>
      <c r="V210" s="634" t="str">
        <f>IF($A210="","",VLOOKUP($A210,기본데이타!$A$8:$BV$103,COLUMN(기본데이타!X$8),0))</f>
        <v/>
      </c>
      <c r="W210" s="634" t="str">
        <f>IF($A210="","",VLOOKUP($A210,기본데이타!$A$8:$BV$103,COLUMN(기본데이타!AA$8),0))</f>
        <v/>
      </c>
      <c r="X210" s="634" t="str">
        <f>IF($A210="","",VLOOKUP($A210,기본데이타!$A$8:$BV$103,COLUMN(기본데이타!AB$8),0))</f>
        <v/>
      </c>
      <c r="Y210" s="633" t="str">
        <f>IF($A210="","",VLOOKUP($A210,기본데이타!$A$8:$BV$103,COLUMN(기본데이타!AC$8),0))</f>
        <v/>
      </c>
      <c r="Z210" s="634" t="str">
        <f>IF($A210="","",VLOOKUP($A210,기본데이타!$A$8:$BV$103,COLUMN(기본데이타!AD$8),0))</f>
        <v/>
      </c>
      <c r="AA210" s="633" t="str">
        <f>IF($A210="","",VLOOKUP($A210,기본데이타!$A$8:$BV$103,COLUMN(기본데이타!AE$8),0))</f>
        <v/>
      </c>
      <c r="AB210" s="634" t="str">
        <f>IF($A210="","",VLOOKUP($A210,기본데이타!$A$8:$BV$103,COLUMN(기본데이타!AF$8),0))</f>
        <v/>
      </c>
      <c r="AC210" s="633" t="str">
        <f>IF($A210="","",VLOOKUP($A210,기본데이타!$A$8:$BV$103,COLUMN(기본데이타!AG$8),0))</f>
        <v/>
      </c>
      <c r="AD210" s="634" t="str">
        <f>IF($A210="","",VLOOKUP($A210,기본데이타!$A$8:$BV$103,COLUMN(기본데이타!AH$8),0))</f>
        <v/>
      </c>
      <c r="AE210" s="633" t="str">
        <f>IF($A210="","",VLOOKUP($A210,기본데이타!$A$8:$BV$103,COLUMN(기본데이타!AI$8),0))</f>
        <v/>
      </c>
      <c r="AF210" s="635" t="str">
        <f>IF($A210="","",VLOOKUP($A210,기본데이타!$A$8:$BV$103,COLUMN(기본데이타!AJ$8),0))</f>
        <v/>
      </c>
      <c r="AG210" s="580" t="str">
        <f>IF($A210="","",VLOOKUP($A210,기본데이타!$A$8:$BV$103,COLUMN(기본데이타!AK$8),0))</f>
        <v/>
      </c>
      <c r="AH210" s="580" t="str">
        <f>IF($A210="","",VLOOKUP($A210,기본데이타!$A$8:$BV$103,COLUMN(기본데이타!AL$8),0))</f>
        <v/>
      </c>
      <c r="AI210" s="580" t="str">
        <f>IF($A210="","",VLOOKUP($A210,기본데이타!$A$8:$BV$103,COLUMN(기본데이타!AM$8),0))</f>
        <v/>
      </c>
      <c r="AJ210" s="636" t="str">
        <f>IF($A210="","",VLOOKUP($A210,기본데이타!$A$8:$BV$103,COLUMN(기본데이타!AN$8),0))</f>
        <v/>
      </c>
      <c r="AK210" s="636" t="str">
        <f>IF($A210="","",VLOOKUP($A210,기본데이타!$A$8:$BV$103,COLUMN(기본데이타!AO$8),0))</f>
        <v/>
      </c>
      <c r="AL210" s="636" t="str">
        <f>IF($A210="","",VLOOKUP($A210,기본데이타!$A$8:$BV$103,COLUMN(기본데이타!AP$8),0))</f>
        <v/>
      </c>
      <c r="AM210" s="636" t="str">
        <f>IF($A210="","",VLOOKUP($A210,기본데이타!$A$8:$BV$103,COLUMN(기본데이타!AQ$8),0))</f>
        <v/>
      </c>
      <c r="AN210" s="636" t="str">
        <f>IF($A210="","",VLOOKUP($A210,기본데이타!$A$8:$BV$103,COLUMN(기본데이타!AR$8),0))</f>
        <v/>
      </c>
      <c r="AO210" s="636" t="str">
        <f>IF($A210="","",VLOOKUP($A210,기본데이타!$A$8:$BV$103,COLUMN(기본데이타!AS$8),0))</f>
        <v/>
      </c>
      <c r="AP210" s="636" t="str">
        <f>IF($A210="","",VLOOKUP($A210,기본데이타!$A$8:$BV$103,COLUMN(기본데이타!AT$8),0))</f>
        <v/>
      </c>
      <c r="AQ210" s="636" t="str">
        <f>IF($A210="","",VLOOKUP($A210,기본데이타!$A$8:$BV$103,COLUMN(기본데이타!AU$8),0))</f>
        <v/>
      </c>
      <c r="AR210" s="637" t="str">
        <f>IF($A210="","",VLOOKUP($A210,기본데이타!$A$8:$BV$103,COLUMN(기본데이타!AV$8),0))</f>
        <v/>
      </c>
      <c r="AS210" s="634" t="str">
        <f>IF($A210="","",VLOOKUP($A210,기본데이타!$A$8:$BV$103,COLUMN(기본데이타!AW$8),0))</f>
        <v/>
      </c>
      <c r="AT210" s="634" t="str">
        <f>IF($A210="","",VLOOKUP($A210,기본데이타!$A$8:$BV$103,COLUMN(기본데이타!AX$8),0))</f>
        <v/>
      </c>
      <c r="AU210" s="634" t="str">
        <f>IF($A210="","",VLOOKUP($A210,기본데이타!$A$8:$BV$103,COLUMN(기본데이타!AY$8),0))</f>
        <v/>
      </c>
      <c r="AV210" s="634" t="str">
        <f t="shared" si="28"/>
        <v/>
      </c>
      <c r="AW210" s="635" t="str">
        <f>IF($A210="","",VLOOKUP($A210,기본데이타!$A$8:$BV$103,COLUMN(기본데이타!BA$8),0))</f>
        <v/>
      </c>
      <c r="AX210" s="635" t="str">
        <f>IF($A210="","",VLOOKUP($A210,기본데이타!$A$8:$BV$103,COLUMN(기본데이타!BB$8),0))</f>
        <v/>
      </c>
      <c r="AY210" s="635" t="str">
        <f>IF($A210="","",VLOOKUP($A210,기본데이타!$A$8:$BV$103,COLUMN(기본데이타!BC$8),0))</f>
        <v/>
      </c>
      <c r="AZ210" s="635" t="str">
        <f>IF($A210="","",VLOOKUP($A210,기본데이타!$A$8:$BV$103,COLUMN(기본데이타!BD$8),0))</f>
        <v/>
      </c>
      <c r="BA210" s="635" t="str">
        <f>IF($A210="","",VLOOKUP($A210,기본데이타!$A$8:$BV$103,COLUMN(기본데이타!BE$8),0))</f>
        <v/>
      </c>
      <c r="BB210" s="635" t="str">
        <f>IF($A210="","",VLOOKUP($A210,기본데이타!$A$8:$BV$103,COLUMN(기본데이타!BF$8),0))</f>
        <v/>
      </c>
      <c r="BC210" s="635" t="str">
        <f>IF($A210="","",VLOOKUP($A210,기본데이타!$A$8:$BV$103,COLUMN(기본데이타!BG$8),0))</f>
        <v/>
      </c>
      <c r="BD210" s="635" t="str">
        <f>IF($A210="","",VLOOKUP($A210,기본데이타!$A$8:$BV$103,COLUMN(기본데이타!BH$8),0))</f>
        <v/>
      </c>
      <c r="BE210" s="635" t="str">
        <f>IF($A210="","",VLOOKUP($A210,기본데이타!$A$8:$BV$103,COLUMN(기본데이타!BI$8),0))</f>
        <v/>
      </c>
      <c r="BF210" s="635" t="str">
        <f>IF($A210="","",VLOOKUP($A210,기본데이타!$A$8:$BV$103,COLUMN(기본데이타!BJ$8),0))</f>
        <v/>
      </c>
      <c r="BG210" s="635" t="str">
        <f>IF($A210="","",VLOOKUP($A210,기본데이타!$A$8:$BV$103,COLUMN(기본데이타!BK$8),0))</f>
        <v/>
      </c>
      <c r="BH210" s="635" t="str">
        <f>IF($A210="","",VLOOKUP($A210,기본데이타!$A$8:$BV$103,COLUMN(기본데이타!BL$8),0))</f>
        <v/>
      </c>
      <c r="BI210" s="635" t="str">
        <f>IF($A210="","",VLOOKUP($A210,기본데이타!$A$8:$BV$103,COLUMN(기본데이타!BM$8),0))</f>
        <v/>
      </c>
      <c r="BJ210" s="635" t="str">
        <f>IF($A210="","",VLOOKUP($A210,기본데이타!$A$8:$BV$103,COLUMN(기본데이타!BN$8),0))</f>
        <v/>
      </c>
      <c r="BK210" s="635" t="str">
        <f>IF($A210="","",VLOOKUP($A210,기본데이타!$A$8:$BV$103,COLUMN(기본데이타!BO$8),0))</f>
        <v/>
      </c>
      <c r="BL210" s="635" t="str">
        <f>IF($A210="","",VLOOKUP($A210,기본데이타!$A$8:$BV$103,COLUMN(기본데이타!BP$8),0))</f>
        <v/>
      </c>
      <c r="BM210" s="635" t="str">
        <f>IF($A210="","",VLOOKUP($A210,기본데이타!$A$8:$BV$103,COLUMN(기본데이타!BQ$8),0))</f>
        <v/>
      </c>
      <c r="BN210" s="638" t="str">
        <f>IF($A210="","",VLOOKUP($A210,기본데이타!$A$8:$BV$103,COLUMN(기본데이타!BR$8),0))</f>
        <v/>
      </c>
      <c r="BO210" s="579" t="str">
        <f>IF($A210="","",VLOOKUP($A210,기본데이타!$A$8:$BV$103,COLUMN(기본데이타!BS$8),0))</f>
        <v/>
      </c>
      <c r="BP210" s="639" t="str">
        <f>IF($A210="","",VLOOKUP($A210,기본데이타!$A$8:$BV$103,COLUMN(기본데이타!BT$8),0))</f>
        <v/>
      </c>
      <c r="BQ210" s="640" t="str">
        <f>IF($A210="","",VLOOKUP($A210,기본데이타!$A$8:$BV$103,COLUMN(기본데이타!BU$8),0))</f>
        <v/>
      </c>
      <c r="BR210" s="625" t="str">
        <f t="shared" si="29"/>
        <v/>
      </c>
    </row>
    <row r="211" spans="1:70" s="571" customFormat="1" ht="50.1" hidden="1" customHeight="1">
      <c r="A211" s="578"/>
      <c r="B211" s="1642"/>
      <c r="C211" s="590"/>
      <c r="D211" s="629" t="str">
        <f>IF($A211="","",VLOOKUP($A211,기본데이타!$A$8:$BV$103,COLUMN(기본데이타!F$8),0))</f>
        <v/>
      </c>
      <c r="E211" s="630" t="str">
        <f>IF($A211="","",VLOOKUP($A211,기본데이타!$A$8:$BV$103,COLUMN(기본데이타!G$8),0))</f>
        <v/>
      </c>
      <c r="F211" s="631" t="str">
        <f>IF($A211="","",VLOOKUP($A211,기본데이타!$A$8:$BV$103,COLUMN(기본데이타!H$8),0))</f>
        <v/>
      </c>
      <c r="G211" s="632" t="str">
        <f>IF($A211="","",VLOOKUP($A211,기본데이타!$A$8:$BV$103,COLUMN(기본데이타!I$8),0))</f>
        <v/>
      </c>
      <c r="H211" s="632" t="str">
        <f>IF($A211="","",VLOOKUP($A211,기본데이타!$A$8:$BV$103,COLUMN(기본데이타!J$8),0))</f>
        <v/>
      </c>
      <c r="I211" s="633" t="str">
        <f>IF($A211="","",VLOOKUP($A211,기본데이타!$A$8:$BV$103,COLUMN(기본데이타!K$8),0))</f>
        <v/>
      </c>
      <c r="J211" s="633" t="str">
        <f>IF($A211="","",VLOOKUP($A211,기본데이타!$A$8:$BV$103,COLUMN(기본데이타!L$8),0))</f>
        <v/>
      </c>
      <c r="K211" s="633" t="str">
        <f>IF($A211="","",VLOOKUP($A211,기본데이타!$A$8:$BV$103,COLUMN(기본데이타!M$8),0))</f>
        <v/>
      </c>
      <c r="L211" s="634" t="str">
        <f>IF($A211="","",VLOOKUP($A211,기본데이타!$A$8:$BV$103,COLUMN(기본데이타!N$8),0))</f>
        <v/>
      </c>
      <c r="M211" s="633" t="str">
        <f>IF($A211="","",VLOOKUP($A211,기본데이타!$A$8:$BV$103,COLUMN(기본데이타!O$8),0))</f>
        <v/>
      </c>
      <c r="N211" s="634" t="str">
        <f>IF($A211="","",VLOOKUP($A211,기본데이타!$A$8:$BV$103,COLUMN(기본데이타!P$8),0))</f>
        <v/>
      </c>
      <c r="O211" s="634" t="str">
        <f>IF($A211="","",VLOOKUP($A211,기본데이타!$A$8:$BV$103,COLUMN(기본데이타!Q$8),0))</f>
        <v/>
      </c>
      <c r="P211" s="634" t="str">
        <f>IF($A211="","",VLOOKUP($A211,기본데이타!$A$8:$BV$103,COLUMN(기본데이타!R$8),0))</f>
        <v/>
      </c>
      <c r="Q211" s="634" t="str">
        <f>IF($A211="","",VLOOKUP($A211,기본데이타!$A$8:$BV$103,COLUMN(기본데이타!S$8),0))</f>
        <v/>
      </c>
      <c r="R211" s="634" t="str">
        <f>IF($A211="","",VLOOKUP($A211,기본데이타!$A$8:$BV$103,COLUMN(기본데이타!T$8),0))</f>
        <v/>
      </c>
      <c r="S211" s="634" t="str">
        <f>IF($A211="","",VLOOKUP($A211,기본데이타!$A$8:$BV$103,COLUMN(기본데이타!U$8),0))</f>
        <v/>
      </c>
      <c r="T211" s="634" t="str">
        <f>IF($A211="","",VLOOKUP($A211,기본데이타!$A$8:$BV$103,COLUMN(기본데이타!V$8),0))</f>
        <v/>
      </c>
      <c r="U211" s="634" t="str">
        <f>IF($A211="","",VLOOKUP($A211,기본데이타!$A$8:$BV$103,COLUMN(기본데이타!W$8),0))</f>
        <v/>
      </c>
      <c r="V211" s="634" t="str">
        <f>IF($A211="","",VLOOKUP($A211,기본데이타!$A$8:$BV$103,COLUMN(기본데이타!X$8),0))</f>
        <v/>
      </c>
      <c r="W211" s="634" t="str">
        <f>IF($A211="","",VLOOKUP($A211,기본데이타!$A$8:$BV$103,COLUMN(기본데이타!AA$8),0))</f>
        <v/>
      </c>
      <c r="X211" s="634" t="str">
        <f>IF($A211="","",VLOOKUP($A211,기본데이타!$A$8:$BV$103,COLUMN(기본데이타!AB$8),0))</f>
        <v/>
      </c>
      <c r="Y211" s="633" t="str">
        <f>IF($A211="","",VLOOKUP($A211,기본데이타!$A$8:$BV$103,COLUMN(기본데이타!AC$8),0))</f>
        <v/>
      </c>
      <c r="Z211" s="634" t="str">
        <f>IF($A211="","",VLOOKUP($A211,기본데이타!$A$8:$BV$103,COLUMN(기본데이타!AD$8),0))</f>
        <v/>
      </c>
      <c r="AA211" s="633" t="str">
        <f>IF($A211="","",VLOOKUP($A211,기본데이타!$A$8:$BV$103,COLUMN(기본데이타!AE$8),0))</f>
        <v/>
      </c>
      <c r="AB211" s="634" t="str">
        <f>IF($A211="","",VLOOKUP($A211,기본데이타!$A$8:$BV$103,COLUMN(기본데이타!AF$8),0))</f>
        <v/>
      </c>
      <c r="AC211" s="633" t="str">
        <f>IF($A211="","",VLOOKUP($A211,기본데이타!$A$8:$BV$103,COLUMN(기본데이타!AG$8),0))</f>
        <v/>
      </c>
      <c r="AD211" s="634" t="str">
        <f>IF($A211="","",VLOOKUP($A211,기본데이타!$A$8:$BV$103,COLUMN(기본데이타!AH$8),0))</f>
        <v/>
      </c>
      <c r="AE211" s="633" t="str">
        <f>IF($A211="","",VLOOKUP($A211,기본데이타!$A$8:$BV$103,COLUMN(기본데이타!AI$8),0))</f>
        <v/>
      </c>
      <c r="AF211" s="635" t="str">
        <f>IF($A211="","",VLOOKUP($A211,기본데이타!$A$8:$BV$103,COLUMN(기본데이타!AJ$8),0))</f>
        <v/>
      </c>
      <c r="AG211" s="580" t="str">
        <f>IF($A211="","",VLOOKUP($A211,기본데이타!$A$8:$BV$103,COLUMN(기본데이타!AK$8),0))</f>
        <v/>
      </c>
      <c r="AH211" s="580" t="str">
        <f>IF($A211="","",VLOOKUP($A211,기본데이타!$A$8:$BV$103,COLUMN(기본데이타!AL$8),0))</f>
        <v/>
      </c>
      <c r="AI211" s="580" t="str">
        <f>IF($A211="","",VLOOKUP($A211,기본데이타!$A$8:$BV$103,COLUMN(기본데이타!AM$8),0))</f>
        <v/>
      </c>
      <c r="AJ211" s="636" t="str">
        <f>IF($A211="","",VLOOKUP($A211,기본데이타!$A$8:$BV$103,COLUMN(기본데이타!AN$8),0))</f>
        <v/>
      </c>
      <c r="AK211" s="636" t="str">
        <f>IF($A211="","",VLOOKUP($A211,기본데이타!$A$8:$BV$103,COLUMN(기본데이타!AO$8),0))</f>
        <v/>
      </c>
      <c r="AL211" s="636" t="str">
        <f>IF($A211="","",VLOOKUP($A211,기본데이타!$A$8:$BV$103,COLUMN(기본데이타!AP$8),0))</f>
        <v/>
      </c>
      <c r="AM211" s="636" t="str">
        <f>IF($A211="","",VLOOKUP($A211,기본데이타!$A$8:$BV$103,COLUMN(기본데이타!AQ$8),0))</f>
        <v/>
      </c>
      <c r="AN211" s="636" t="str">
        <f>IF($A211="","",VLOOKUP($A211,기본데이타!$A$8:$BV$103,COLUMN(기본데이타!AR$8),0))</f>
        <v/>
      </c>
      <c r="AO211" s="636" t="str">
        <f>IF($A211="","",VLOOKUP($A211,기본데이타!$A$8:$BV$103,COLUMN(기본데이타!AS$8),0))</f>
        <v/>
      </c>
      <c r="AP211" s="636" t="str">
        <f>IF($A211="","",VLOOKUP($A211,기본데이타!$A$8:$BV$103,COLUMN(기본데이타!AT$8),0))</f>
        <v/>
      </c>
      <c r="AQ211" s="636" t="str">
        <f>IF($A211="","",VLOOKUP($A211,기본데이타!$A$8:$BV$103,COLUMN(기본데이타!AU$8),0))</f>
        <v/>
      </c>
      <c r="AR211" s="637" t="str">
        <f>IF($A211="","",VLOOKUP($A211,기본데이타!$A$8:$BV$103,COLUMN(기본데이타!AV$8),0))</f>
        <v/>
      </c>
      <c r="AS211" s="634" t="str">
        <f>IF($A211="","",VLOOKUP($A211,기본데이타!$A$8:$BV$103,COLUMN(기본데이타!AW$8),0))</f>
        <v/>
      </c>
      <c r="AT211" s="634" t="str">
        <f>IF($A211="","",VLOOKUP($A211,기본데이타!$A$8:$BV$103,COLUMN(기본데이타!AX$8),0))</f>
        <v/>
      </c>
      <c r="AU211" s="634" t="str">
        <f>IF($A211="","",VLOOKUP($A211,기본데이타!$A$8:$BV$103,COLUMN(기본데이타!AY$8),0))</f>
        <v/>
      </c>
      <c r="AV211" s="634" t="str">
        <f t="shared" si="28"/>
        <v/>
      </c>
      <c r="AW211" s="635" t="str">
        <f>IF($A211="","",VLOOKUP($A211,기본데이타!$A$8:$BV$103,COLUMN(기본데이타!BA$8),0))</f>
        <v/>
      </c>
      <c r="AX211" s="635" t="str">
        <f>IF($A211="","",VLOOKUP($A211,기본데이타!$A$8:$BV$103,COLUMN(기본데이타!BB$8),0))</f>
        <v/>
      </c>
      <c r="AY211" s="635" t="str">
        <f>IF($A211="","",VLOOKUP($A211,기본데이타!$A$8:$BV$103,COLUMN(기본데이타!BC$8),0))</f>
        <v/>
      </c>
      <c r="AZ211" s="635" t="str">
        <f>IF($A211="","",VLOOKUP($A211,기본데이타!$A$8:$BV$103,COLUMN(기본데이타!BD$8),0))</f>
        <v/>
      </c>
      <c r="BA211" s="635" t="str">
        <f>IF($A211="","",VLOOKUP($A211,기본데이타!$A$8:$BV$103,COLUMN(기본데이타!BE$8),0))</f>
        <v/>
      </c>
      <c r="BB211" s="635" t="str">
        <f>IF($A211="","",VLOOKUP($A211,기본데이타!$A$8:$BV$103,COLUMN(기본데이타!BF$8),0))</f>
        <v/>
      </c>
      <c r="BC211" s="635" t="str">
        <f>IF($A211="","",VLOOKUP($A211,기본데이타!$A$8:$BV$103,COLUMN(기본데이타!BG$8),0))</f>
        <v/>
      </c>
      <c r="BD211" s="635" t="str">
        <f>IF($A211="","",VLOOKUP($A211,기본데이타!$A$8:$BV$103,COLUMN(기본데이타!BH$8),0))</f>
        <v/>
      </c>
      <c r="BE211" s="635" t="str">
        <f>IF($A211="","",VLOOKUP($A211,기본데이타!$A$8:$BV$103,COLUMN(기본데이타!BI$8),0))</f>
        <v/>
      </c>
      <c r="BF211" s="635" t="str">
        <f>IF($A211="","",VLOOKUP($A211,기본데이타!$A$8:$BV$103,COLUMN(기본데이타!BJ$8),0))</f>
        <v/>
      </c>
      <c r="BG211" s="635" t="str">
        <f>IF($A211="","",VLOOKUP($A211,기본데이타!$A$8:$BV$103,COLUMN(기본데이타!BK$8),0))</f>
        <v/>
      </c>
      <c r="BH211" s="635" t="str">
        <f>IF($A211="","",VLOOKUP($A211,기본데이타!$A$8:$BV$103,COLUMN(기본데이타!BL$8),0))</f>
        <v/>
      </c>
      <c r="BI211" s="635" t="str">
        <f>IF($A211="","",VLOOKUP($A211,기본데이타!$A$8:$BV$103,COLUMN(기본데이타!BM$8),0))</f>
        <v/>
      </c>
      <c r="BJ211" s="635" t="str">
        <f>IF($A211="","",VLOOKUP($A211,기본데이타!$A$8:$BV$103,COLUMN(기본데이타!BN$8),0))</f>
        <v/>
      </c>
      <c r="BK211" s="635" t="str">
        <f>IF($A211="","",VLOOKUP($A211,기본데이타!$A$8:$BV$103,COLUMN(기본데이타!BO$8),0))</f>
        <v/>
      </c>
      <c r="BL211" s="635" t="str">
        <f>IF($A211="","",VLOOKUP($A211,기본데이타!$A$8:$BV$103,COLUMN(기본데이타!BP$8),0))</f>
        <v/>
      </c>
      <c r="BM211" s="635" t="str">
        <f>IF($A211="","",VLOOKUP($A211,기본데이타!$A$8:$BV$103,COLUMN(기본데이타!BQ$8),0))</f>
        <v/>
      </c>
      <c r="BN211" s="638" t="str">
        <f>IF($A211="","",VLOOKUP($A211,기본데이타!$A$8:$BV$103,COLUMN(기본데이타!BR$8),0))</f>
        <v/>
      </c>
      <c r="BO211" s="579" t="str">
        <f>IF($A211="","",VLOOKUP($A211,기본데이타!$A$8:$BV$103,COLUMN(기본데이타!BS$8),0))</f>
        <v/>
      </c>
      <c r="BP211" s="639" t="str">
        <f>IF($A211="","",VLOOKUP($A211,기본데이타!$A$8:$BV$103,COLUMN(기본데이타!BT$8),0))</f>
        <v/>
      </c>
      <c r="BQ211" s="640" t="str">
        <f>IF($A211="","",VLOOKUP($A211,기본데이타!$A$8:$BV$103,COLUMN(기본데이타!BU$8),0))</f>
        <v/>
      </c>
      <c r="BR211" s="625" t="str">
        <f t="shared" si="29"/>
        <v/>
      </c>
    </row>
    <row r="212" spans="1:70" s="571" customFormat="1" ht="50.1" hidden="1" customHeight="1">
      <c r="A212" s="578"/>
      <c r="B212" s="1642"/>
      <c r="C212" s="590"/>
      <c r="D212" s="629" t="str">
        <f>IF($A212="","",VLOOKUP($A212,기본데이타!$A$8:$BV$103,COLUMN(기본데이타!F$8),0))</f>
        <v/>
      </c>
      <c r="E212" s="630" t="str">
        <f>IF($A212="","",VLOOKUP($A212,기본데이타!$A$8:$BV$103,COLUMN(기본데이타!G$8),0))</f>
        <v/>
      </c>
      <c r="F212" s="631" t="str">
        <f>IF($A212="","",VLOOKUP($A212,기본데이타!$A$8:$BV$103,COLUMN(기본데이타!H$8),0))</f>
        <v/>
      </c>
      <c r="G212" s="632" t="str">
        <f>IF($A212="","",VLOOKUP($A212,기본데이타!$A$8:$BV$103,COLUMN(기본데이타!I$8),0))</f>
        <v/>
      </c>
      <c r="H212" s="632" t="str">
        <f>IF($A212="","",VLOOKUP($A212,기본데이타!$A$8:$BV$103,COLUMN(기본데이타!J$8),0))</f>
        <v/>
      </c>
      <c r="I212" s="633" t="str">
        <f>IF($A212="","",VLOOKUP($A212,기본데이타!$A$8:$BV$103,COLUMN(기본데이타!K$8),0))</f>
        <v/>
      </c>
      <c r="J212" s="633" t="str">
        <f>IF($A212="","",VLOOKUP($A212,기본데이타!$A$8:$BV$103,COLUMN(기본데이타!L$8),0))</f>
        <v/>
      </c>
      <c r="K212" s="633" t="str">
        <f>IF($A212="","",VLOOKUP($A212,기본데이타!$A$8:$BV$103,COLUMN(기본데이타!M$8),0))</f>
        <v/>
      </c>
      <c r="L212" s="634" t="str">
        <f>IF($A212="","",VLOOKUP($A212,기본데이타!$A$8:$BV$103,COLUMN(기본데이타!N$8),0))</f>
        <v/>
      </c>
      <c r="M212" s="633" t="str">
        <f>IF($A212="","",VLOOKUP($A212,기본데이타!$A$8:$BV$103,COLUMN(기본데이타!O$8),0))</f>
        <v/>
      </c>
      <c r="N212" s="634" t="str">
        <f>IF($A212="","",VLOOKUP($A212,기본데이타!$A$8:$BV$103,COLUMN(기본데이타!P$8),0))</f>
        <v/>
      </c>
      <c r="O212" s="634" t="str">
        <f>IF($A212="","",VLOOKUP($A212,기본데이타!$A$8:$BV$103,COLUMN(기본데이타!Q$8),0))</f>
        <v/>
      </c>
      <c r="P212" s="634" t="str">
        <f>IF($A212="","",VLOOKUP($A212,기본데이타!$A$8:$BV$103,COLUMN(기본데이타!R$8),0))</f>
        <v/>
      </c>
      <c r="Q212" s="634" t="str">
        <f>IF($A212="","",VLOOKUP($A212,기본데이타!$A$8:$BV$103,COLUMN(기본데이타!S$8),0))</f>
        <v/>
      </c>
      <c r="R212" s="634" t="str">
        <f>IF($A212="","",VLOOKUP($A212,기본데이타!$A$8:$BV$103,COLUMN(기본데이타!T$8),0))</f>
        <v/>
      </c>
      <c r="S212" s="634" t="str">
        <f>IF($A212="","",VLOOKUP($A212,기본데이타!$A$8:$BV$103,COLUMN(기본데이타!U$8),0))</f>
        <v/>
      </c>
      <c r="T212" s="634" t="str">
        <f>IF($A212="","",VLOOKUP($A212,기본데이타!$A$8:$BV$103,COLUMN(기본데이타!V$8),0))</f>
        <v/>
      </c>
      <c r="U212" s="634" t="str">
        <f>IF($A212="","",VLOOKUP($A212,기본데이타!$A$8:$BV$103,COLUMN(기본데이타!W$8),0))</f>
        <v/>
      </c>
      <c r="V212" s="634" t="str">
        <f>IF($A212="","",VLOOKUP($A212,기본데이타!$A$8:$BV$103,COLUMN(기본데이타!X$8),0))</f>
        <v/>
      </c>
      <c r="W212" s="634" t="str">
        <f>IF($A212="","",VLOOKUP($A212,기본데이타!$A$8:$BV$103,COLUMN(기본데이타!AA$8),0))</f>
        <v/>
      </c>
      <c r="X212" s="634" t="str">
        <f>IF($A212="","",VLOOKUP($A212,기본데이타!$A$8:$BV$103,COLUMN(기본데이타!AB$8),0))</f>
        <v/>
      </c>
      <c r="Y212" s="633" t="str">
        <f>IF($A212="","",VLOOKUP($A212,기본데이타!$A$8:$BV$103,COLUMN(기본데이타!AC$8),0))</f>
        <v/>
      </c>
      <c r="Z212" s="634" t="str">
        <f>IF($A212="","",VLOOKUP($A212,기본데이타!$A$8:$BV$103,COLUMN(기본데이타!AD$8),0))</f>
        <v/>
      </c>
      <c r="AA212" s="633" t="str">
        <f>IF($A212="","",VLOOKUP($A212,기본데이타!$A$8:$BV$103,COLUMN(기본데이타!AE$8),0))</f>
        <v/>
      </c>
      <c r="AB212" s="634" t="str">
        <f>IF($A212="","",VLOOKUP($A212,기본데이타!$A$8:$BV$103,COLUMN(기본데이타!AF$8),0))</f>
        <v/>
      </c>
      <c r="AC212" s="633" t="str">
        <f>IF($A212="","",VLOOKUP($A212,기본데이타!$A$8:$BV$103,COLUMN(기본데이타!AG$8),0))</f>
        <v/>
      </c>
      <c r="AD212" s="634" t="str">
        <f>IF($A212="","",VLOOKUP($A212,기본데이타!$A$8:$BV$103,COLUMN(기본데이타!AH$8),0))</f>
        <v/>
      </c>
      <c r="AE212" s="633" t="str">
        <f>IF($A212="","",VLOOKUP($A212,기본데이타!$A$8:$BV$103,COLUMN(기본데이타!AI$8),0))</f>
        <v/>
      </c>
      <c r="AF212" s="635" t="str">
        <f>IF($A212="","",VLOOKUP($A212,기본데이타!$A$8:$BV$103,COLUMN(기본데이타!AJ$8),0))</f>
        <v/>
      </c>
      <c r="AG212" s="580" t="str">
        <f>IF($A212="","",VLOOKUP($A212,기본데이타!$A$8:$BV$103,COLUMN(기본데이타!AK$8),0))</f>
        <v/>
      </c>
      <c r="AH212" s="580" t="str">
        <f>IF($A212="","",VLOOKUP($A212,기본데이타!$A$8:$BV$103,COLUMN(기본데이타!AL$8),0))</f>
        <v/>
      </c>
      <c r="AI212" s="580" t="str">
        <f>IF($A212="","",VLOOKUP($A212,기본데이타!$A$8:$BV$103,COLUMN(기본데이타!AM$8),0))</f>
        <v/>
      </c>
      <c r="AJ212" s="636" t="str">
        <f>IF($A212="","",VLOOKUP($A212,기본데이타!$A$8:$BV$103,COLUMN(기본데이타!AN$8),0))</f>
        <v/>
      </c>
      <c r="AK212" s="636" t="str">
        <f>IF($A212="","",VLOOKUP($A212,기본데이타!$A$8:$BV$103,COLUMN(기본데이타!AO$8),0))</f>
        <v/>
      </c>
      <c r="AL212" s="636" t="str">
        <f>IF($A212="","",VLOOKUP($A212,기본데이타!$A$8:$BV$103,COLUMN(기본데이타!AP$8),0))</f>
        <v/>
      </c>
      <c r="AM212" s="636" t="str">
        <f>IF($A212="","",VLOOKUP($A212,기본데이타!$A$8:$BV$103,COLUMN(기본데이타!AQ$8),0))</f>
        <v/>
      </c>
      <c r="AN212" s="636" t="str">
        <f>IF($A212="","",VLOOKUP($A212,기본데이타!$A$8:$BV$103,COLUMN(기본데이타!AR$8),0))</f>
        <v/>
      </c>
      <c r="AO212" s="636" t="str">
        <f>IF($A212="","",VLOOKUP($A212,기본데이타!$A$8:$BV$103,COLUMN(기본데이타!AS$8),0))</f>
        <v/>
      </c>
      <c r="AP212" s="636" t="str">
        <f>IF($A212="","",VLOOKUP($A212,기본데이타!$A$8:$BV$103,COLUMN(기본데이타!AT$8),0))</f>
        <v/>
      </c>
      <c r="AQ212" s="636" t="str">
        <f>IF($A212="","",VLOOKUP($A212,기본데이타!$A$8:$BV$103,COLUMN(기본데이타!AU$8),0))</f>
        <v/>
      </c>
      <c r="AR212" s="637" t="str">
        <f>IF($A212="","",VLOOKUP($A212,기본데이타!$A$8:$BV$103,COLUMN(기본데이타!AV$8),0))</f>
        <v/>
      </c>
      <c r="AS212" s="634" t="str">
        <f>IF($A212="","",VLOOKUP($A212,기본데이타!$A$8:$BV$103,COLUMN(기본데이타!AW$8),0))</f>
        <v/>
      </c>
      <c r="AT212" s="634" t="str">
        <f>IF($A212="","",VLOOKUP($A212,기본데이타!$A$8:$BV$103,COLUMN(기본데이타!AX$8),0))</f>
        <v/>
      </c>
      <c r="AU212" s="634" t="str">
        <f>IF($A212="","",VLOOKUP($A212,기본데이타!$A$8:$BV$103,COLUMN(기본데이타!AY$8),0))</f>
        <v/>
      </c>
      <c r="AV212" s="634" t="str">
        <f t="shared" si="28"/>
        <v/>
      </c>
      <c r="AW212" s="635" t="str">
        <f>IF($A212="","",VLOOKUP($A212,기본데이타!$A$8:$BV$103,COLUMN(기본데이타!BA$8),0))</f>
        <v/>
      </c>
      <c r="AX212" s="635" t="str">
        <f>IF($A212="","",VLOOKUP($A212,기본데이타!$A$8:$BV$103,COLUMN(기본데이타!BB$8),0))</f>
        <v/>
      </c>
      <c r="AY212" s="635" t="str">
        <f>IF($A212="","",VLOOKUP($A212,기본데이타!$A$8:$BV$103,COLUMN(기본데이타!BC$8),0))</f>
        <v/>
      </c>
      <c r="AZ212" s="635" t="str">
        <f>IF($A212="","",VLOOKUP($A212,기본데이타!$A$8:$BV$103,COLUMN(기본데이타!BD$8),0))</f>
        <v/>
      </c>
      <c r="BA212" s="635" t="str">
        <f>IF($A212="","",VLOOKUP($A212,기본데이타!$A$8:$BV$103,COLUMN(기본데이타!BE$8),0))</f>
        <v/>
      </c>
      <c r="BB212" s="635" t="str">
        <f>IF($A212="","",VLOOKUP($A212,기본데이타!$A$8:$BV$103,COLUMN(기본데이타!BF$8),0))</f>
        <v/>
      </c>
      <c r="BC212" s="635" t="str">
        <f>IF($A212="","",VLOOKUP($A212,기본데이타!$A$8:$BV$103,COLUMN(기본데이타!BG$8),0))</f>
        <v/>
      </c>
      <c r="BD212" s="635" t="str">
        <f>IF($A212="","",VLOOKUP($A212,기본데이타!$A$8:$BV$103,COLUMN(기본데이타!BH$8),0))</f>
        <v/>
      </c>
      <c r="BE212" s="635" t="str">
        <f>IF($A212="","",VLOOKUP($A212,기본데이타!$A$8:$BV$103,COLUMN(기본데이타!BI$8),0))</f>
        <v/>
      </c>
      <c r="BF212" s="635" t="str">
        <f>IF($A212="","",VLOOKUP($A212,기본데이타!$A$8:$BV$103,COLUMN(기본데이타!BJ$8),0))</f>
        <v/>
      </c>
      <c r="BG212" s="635" t="str">
        <f>IF($A212="","",VLOOKUP($A212,기본데이타!$A$8:$BV$103,COLUMN(기본데이타!BK$8),0))</f>
        <v/>
      </c>
      <c r="BH212" s="635" t="str">
        <f>IF($A212="","",VLOOKUP($A212,기본데이타!$A$8:$BV$103,COLUMN(기본데이타!BL$8),0))</f>
        <v/>
      </c>
      <c r="BI212" s="635" t="str">
        <f>IF($A212="","",VLOOKUP($A212,기본데이타!$A$8:$BV$103,COLUMN(기본데이타!BM$8),0))</f>
        <v/>
      </c>
      <c r="BJ212" s="635" t="str">
        <f>IF($A212="","",VLOOKUP($A212,기본데이타!$A$8:$BV$103,COLUMN(기본데이타!BN$8),0))</f>
        <v/>
      </c>
      <c r="BK212" s="635" t="str">
        <f>IF($A212="","",VLOOKUP($A212,기본데이타!$A$8:$BV$103,COLUMN(기본데이타!BO$8),0))</f>
        <v/>
      </c>
      <c r="BL212" s="635" t="str">
        <f>IF($A212="","",VLOOKUP($A212,기본데이타!$A$8:$BV$103,COLUMN(기본데이타!BP$8),0))</f>
        <v/>
      </c>
      <c r="BM212" s="635" t="str">
        <f>IF($A212="","",VLOOKUP($A212,기본데이타!$A$8:$BV$103,COLUMN(기본데이타!BQ$8),0))</f>
        <v/>
      </c>
      <c r="BN212" s="638" t="str">
        <f>IF($A212="","",VLOOKUP($A212,기본데이타!$A$8:$BV$103,COLUMN(기본데이타!BR$8),0))</f>
        <v/>
      </c>
      <c r="BO212" s="579" t="str">
        <f>IF($A212="","",VLOOKUP($A212,기본데이타!$A$8:$BV$103,COLUMN(기본데이타!BS$8),0))</f>
        <v/>
      </c>
      <c r="BP212" s="639" t="str">
        <f>IF($A212="","",VLOOKUP($A212,기본데이타!$A$8:$BV$103,COLUMN(기본데이타!BT$8),0))</f>
        <v/>
      </c>
      <c r="BQ212" s="640" t="str">
        <f>IF($A212="","",VLOOKUP($A212,기본데이타!$A$8:$BV$103,COLUMN(기본데이타!BU$8),0))</f>
        <v/>
      </c>
      <c r="BR212" s="625" t="str">
        <f t="shared" si="29"/>
        <v/>
      </c>
    </row>
    <row r="213" spans="1:70" s="571" customFormat="1" ht="50.1" hidden="1" customHeight="1">
      <c r="A213" s="578"/>
      <c r="B213" s="1642"/>
      <c r="C213" s="590"/>
      <c r="D213" s="629" t="str">
        <f>IF($A213="","",VLOOKUP($A213,기본데이타!$A$8:$BV$103,COLUMN(기본데이타!F$8),0))</f>
        <v/>
      </c>
      <c r="E213" s="630" t="str">
        <f>IF($A213="","",VLOOKUP($A213,기본데이타!$A$8:$BV$103,COLUMN(기본데이타!G$8),0))</f>
        <v/>
      </c>
      <c r="F213" s="631" t="str">
        <f>IF($A213="","",VLOOKUP($A213,기본데이타!$A$8:$BV$103,COLUMN(기본데이타!H$8),0))</f>
        <v/>
      </c>
      <c r="G213" s="632" t="str">
        <f>IF($A213="","",VLOOKUP($A213,기본데이타!$A$8:$BV$103,COLUMN(기본데이타!I$8),0))</f>
        <v/>
      </c>
      <c r="H213" s="632" t="str">
        <f>IF($A213="","",VLOOKUP($A213,기본데이타!$A$8:$BV$103,COLUMN(기본데이타!J$8),0))</f>
        <v/>
      </c>
      <c r="I213" s="633" t="str">
        <f>IF($A213="","",VLOOKUP($A213,기본데이타!$A$8:$BV$103,COLUMN(기본데이타!K$8),0))</f>
        <v/>
      </c>
      <c r="J213" s="633" t="str">
        <f>IF($A213="","",VLOOKUP($A213,기본데이타!$A$8:$BV$103,COLUMN(기본데이타!L$8),0))</f>
        <v/>
      </c>
      <c r="K213" s="633" t="str">
        <f>IF($A213="","",VLOOKUP($A213,기본데이타!$A$8:$BV$103,COLUMN(기본데이타!M$8),0))</f>
        <v/>
      </c>
      <c r="L213" s="634" t="str">
        <f>IF($A213="","",VLOOKUP($A213,기본데이타!$A$8:$BV$103,COLUMN(기본데이타!N$8),0))</f>
        <v/>
      </c>
      <c r="M213" s="633" t="str">
        <f>IF($A213="","",VLOOKUP($A213,기본데이타!$A$8:$BV$103,COLUMN(기본데이타!O$8),0))</f>
        <v/>
      </c>
      <c r="N213" s="634" t="str">
        <f>IF($A213="","",VLOOKUP($A213,기본데이타!$A$8:$BV$103,COLUMN(기본데이타!P$8),0))</f>
        <v/>
      </c>
      <c r="O213" s="634" t="str">
        <f>IF($A213="","",VLOOKUP($A213,기본데이타!$A$8:$BV$103,COLUMN(기본데이타!Q$8),0))</f>
        <v/>
      </c>
      <c r="P213" s="634" t="str">
        <f>IF($A213="","",VLOOKUP($A213,기본데이타!$A$8:$BV$103,COLUMN(기본데이타!R$8),0))</f>
        <v/>
      </c>
      <c r="Q213" s="634" t="str">
        <f>IF($A213="","",VLOOKUP($A213,기본데이타!$A$8:$BV$103,COLUMN(기본데이타!S$8),0))</f>
        <v/>
      </c>
      <c r="R213" s="634" t="str">
        <f>IF($A213="","",VLOOKUP($A213,기본데이타!$A$8:$BV$103,COLUMN(기본데이타!T$8),0))</f>
        <v/>
      </c>
      <c r="S213" s="634" t="str">
        <f>IF($A213="","",VLOOKUP($A213,기본데이타!$A$8:$BV$103,COLUMN(기본데이타!U$8),0))</f>
        <v/>
      </c>
      <c r="T213" s="634" t="str">
        <f>IF($A213="","",VLOOKUP($A213,기본데이타!$A$8:$BV$103,COLUMN(기본데이타!V$8),0))</f>
        <v/>
      </c>
      <c r="U213" s="634" t="str">
        <f>IF($A213="","",VLOOKUP($A213,기본데이타!$A$8:$BV$103,COLUMN(기본데이타!W$8),0))</f>
        <v/>
      </c>
      <c r="V213" s="634" t="str">
        <f>IF($A213="","",VLOOKUP($A213,기본데이타!$A$8:$BV$103,COLUMN(기본데이타!X$8),0))</f>
        <v/>
      </c>
      <c r="W213" s="634" t="str">
        <f>IF($A213="","",VLOOKUP($A213,기본데이타!$A$8:$BV$103,COLUMN(기본데이타!AA$8),0))</f>
        <v/>
      </c>
      <c r="X213" s="634" t="str">
        <f>IF($A213="","",VLOOKUP($A213,기본데이타!$A$8:$BV$103,COLUMN(기본데이타!AB$8),0))</f>
        <v/>
      </c>
      <c r="Y213" s="633" t="str">
        <f>IF($A213="","",VLOOKUP($A213,기본데이타!$A$8:$BV$103,COLUMN(기본데이타!AC$8),0))</f>
        <v/>
      </c>
      <c r="Z213" s="634" t="str">
        <f>IF($A213="","",VLOOKUP($A213,기본데이타!$A$8:$BV$103,COLUMN(기본데이타!AD$8),0))</f>
        <v/>
      </c>
      <c r="AA213" s="633" t="str">
        <f>IF($A213="","",VLOOKUP($A213,기본데이타!$A$8:$BV$103,COLUMN(기본데이타!AE$8),0))</f>
        <v/>
      </c>
      <c r="AB213" s="634" t="str">
        <f>IF($A213="","",VLOOKUP($A213,기본데이타!$A$8:$BV$103,COLUMN(기본데이타!AF$8),0))</f>
        <v/>
      </c>
      <c r="AC213" s="633" t="str">
        <f>IF($A213="","",VLOOKUP($A213,기본데이타!$A$8:$BV$103,COLUMN(기본데이타!AG$8),0))</f>
        <v/>
      </c>
      <c r="AD213" s="634" t="str">
        <f>IF($A213="","",VLOOKUP($A213,기본데이타!$A$8:$BV$103,COLUMN(기본데이타!AH$8),0))</f>
        <v/>
      </c>
      <c r="AE213" s="633" t="str">
        <f>IF($A213="","",VLOOKUP($A213,기본데이타!$A$8:$BV$103,COLUMN(기본데이타!AI$8),0))</f>
        <v/>
      </c>
      <c r="AF213" s="635" t="str">
        <f>IF($A213="","",VLOOKUP($A213,기본데이타!$A$8:$BV$103,COLUMN(기본데이타!AJ$8),0))</f>
        <v/>
      </c>
      <c r="AG213" s="580" t="str">
        <f>IF($A213="","",VLOOKUP($A213,기본데이타!$A$8:$BV$103,COLUMN(기본데이타!AK$8),0))</f>
        <v/>
      </c>
      <c r="AH213" s="580" t="str">
        <f>IF($A213="","",VLOOKUP($A213,기본데이타!$A$8:$BV$103,COLUMN(기본데이타!AL$8),0))</f>
        <v/>
      </c>
      <c r="AI213" s="580" t="str">
        <f>IF($A213="","",VLOOKUP($A213,기본데이타!$A$8:$BV$103,COLUMN(기본데이타!AM$8),0))</f>
        <v/>
      </c>
      <c r="AJ213" s="636" t="str">
        <f>IF($A213="","",VLOOKUP($A213,기본데이타!$A$8:$BV$103,COLUMN(기본데이타!AN$8),0))</f>
        <v/>
      </c>
      <c r="AK213" s="636" t="str">
        <f>IF($A213="","",VLOOKUP($A213,기본데이타!$A$8:$BV$103,COLUMN(기본데이타!AO$8),0))</f>
        <v/>
      </c>
      <c r="AL213" s="636" t="str">
        <f>IF($A213="","",VLOOKUP($A213,기본데이타!$A$8:$BV$103,COLUMN(기본데이타!AP$8),0))</f>
        <v/>
      </c>
      <c r="AM213" s="636" t="str">
        <f>IF($A213="","",VLOOKUP($A213,기본데이타!$A$8:$BV$103,COLUMN(기본데이타!AQ$8),0))</f>
        <v/>
      </c>
      <c r="AN213" s="636" t="str">
        <f>IF($A213="","",VLOOKUP($A213,기본데이타!$A$8:$BV$103,COLUMN(기본데이타!AR$8),0))</f>
        <v/>
      </c>
      <c r="AO213" s="636" t="str">
        <f>IF($A213="","",VLOOKUP($A213,기본데이타!$A$8:$BV$103,COLUMN(기본데이타!AS$8),0))</f>
        <v/>
      </c>
      <c r="AP213" s="636" t="str">
        <f>IF($A213="","",VLOOKUP($A213,기본데이타!$A$8:$BV$103,COLUMN(기본데이타!AT$8),0))</f>
        <v/>
      </c>
      <c r="AQ213" s="636" t="str">
        <f>IF($A213="","",VLOOKUP($A213,기본데이타!$A$8:$BV$103,COLUMN(기본데이타!AU$8),0))</f>
        <v/>
      </c>
      <c r="AR213" s="637" t="str">
        <f>IF($A213="","",VLOOKUP($A213,기본데이타!$A$8:$BV$103,COLUMN(기본데이타!AV$8),0))</f>
        <v/>
      </c>
      <c r="AS213" s="634" t="str">
        <f>IF($A213="","",VLOOKUP($A213,기본데이타!$A$8:$BV$103,COLUMN(기본데이타!AW$8),0))</f>
        <v/>
      </c>
      <c r="AT213" s="634" t="str">
        <f>IF($A213="","",VLOOKUP($A213,기본데이타!$A$8:$BV$103,COLUMN(기본데이타!AX$8),0))</f>
        <v/>
      </c>
      <c r="AU213" s="634" t="str">
        <f>IF($A213="","",VLOOKUP($A213,기본데이타!$A$8:$BV$103,COLUMN(기본데이타!AY$8),0))</f>
        <v/>
      </c>
      <c r="AV213" s="634" t="str">
        <f t="shared" si="28"/>
        <v/>
      </c>
      <c r="AW213" s="635" t="str">
        <f>IF($A213="","",VLOOKUP($A213,기본데이타!$A$8:$BV$103,COLUMN(기본데이타!BA$8),0))</f>
        <v/>
      </c>
      <c r="AX213" s="635" t="str">
        <f>IF($A213="","",VLOOKUP($A213,기본데이타!$A$8:$BV$103,COLUMN(기본데이타!BB$8),0))</f>
        <v/>
      </c>
      <c r="AY213" s="635" t="str">
        <f>IF($A213="","",VLOOKUP($A213,기본데이타!$A$8:$BV$103,COLUMN(기본데이타!BC$8),0))</f>
        <v/>
      </c>
      <c r="AZ213" s="635" t="str">
        <f>IF($A213="","",VLOOKUP($A213,기본데이타!$A$8:$BV$103,COLUMN(기본데이타!BD$8),0))</f>
        <v/>
      </c>
      <c r="BA213" s="635" t="str">
        <f>IF($A213="","",VLOOKUP($A213,기본데이타!$A$8:$BV$103,COLUMN(기본데이타!BE$8),0))</f>
        <v/>
      </c>
      <c r="BB213" s="635" t="str">
        <f>IF($A213="","",VLOOKUP($A213,기본데이타!$A$8:$BV$103,COLUMN(기본데이타!BF$8),0))</f>
        <v/>
      </c>
      <c r="BC213" s="635" t="str">
        <f>IF($A213="","",VLOOKUP($A213,기본데이타!$A$8:$BV$103,COLUMN(기본데이타!BG$8),0))</f>
        <v/>
      </c>
      <c r="BD213" s="635" t="str">
        <f>IF($A213="","",VLOOKUP($A213,기본데이타!$A$8:$BV$103,COLUMN(기본데이타!BH$8),0))</f>
        <v/>
      </c>
      <c r="BE213" s="635" t="str">
        <f>IF($A213="","",VLOOKUP($A213,기본데이타!$A$8:$BV$103,COLUMN(기본데이타!BI$8),0))</f>
        <v/>
      </c>
      <c r="BF213" s="635" t="str">
        <f>IF($A213="","",VLOOKUP($A213,기본데이타!$A$8:$BV$103,COLUMN(기본데이타!BJ$8),0))</f>
        <v/>
      </c>
      <c r="BG213" s="635" t="str">
        <f>IF($A213="","",VLOOKUP($A213,기본데이타!$A$8:$BV$103,COLUMN(기본데이타!BK$8),0))</f>
        <v/>
      </c>
      <c r="BH213" s="635" t="str">
        <f>IF($A213="","",VLOOKUP($A213,기본데이타!$A$8:$BV$103,COLUMN(기본데이타!BL$8),0))</f>
        <v/>
      </c>
      <c r="BI213" s="635" t="str">
        <f>IF($A213="","",VLOOKUP($A213,기본데이타!$A$8:$BV$103,COLUMN(기본데이타!BM$8),0))</f>
        <v/>
      </c>
      <c r="BJ213" s="635" t="str">
        <f>IF($A213="","",VLOOKUP($A213,기본데이타!$A$8:$BV$103,COLUMN(기본데이타!BN$8),0))</f>
        <v/>
      </c>
      <c r="BK213" s="635" t="str">
        <f>IF($A213="","",VLOOKUP($A213,기본데이타!$A$8:$BV$103,COLUMN(기본데이타!BO$8),0))</f>
        <v/>
      </c>
      <c r="BL213" s="635" t="str">
        <f>IF($A213="","",VLOOKUP($A213,기본데이타!$A$8:$BV$103,COLUMN(기본데이타!BP$8),0))</f>
        <v/>
      </c>
      <c r="BM213" s="635" t="str">
        <f>IF($A213="","",VLOOKUP($A213,기본데이타!$A$8:$BV$103,COLUMN(기본데이타!BQ$8),0))</f>
        <v/>
      </c>
      <c r="BN213" s="638" t="str">
        <f>IF($A213="","",VLOOKUP($A213,기본데이타!$A$8:$BV$103,COLUMN(기본데이타!BR$8),0))</f>
        <v/>
      </c>
      <c r="BO213" s="579" t="str">
        <f>IF($A213="","",VLOOKUP($A213,기본데이타!$A$8:$BV$103,COLUMN(기본데이타!BS$8),0))</f>
        <v/>
      </c>
      <c r="BP213" s="639" t="str">
        <f>IF($A213="","",VLOOKUP($A213,기본데이타!$A$8:$BV$103,COLUMN(기본데이타!BT$8),0))</f>
        <v/>
      </c>
      <c r="BQ213" s="640" t="str">
        <f>IF($A213="","",VLOOKUP($A213,기본데이타!$A$8:$BV$103,COLUMN(기본데이타!BU$8),0))</f>
        <v/>
      </c>
      <c r="BR213" s="625" t="str">
        <f t="shared" si="29"/>
        <v/>
      </c>
    </row>
    <row r="214" spans="1:70" s="571" customFormat="1" ht="49.5" hidden="1" customHeight="1">
      <c r="A214" s="578"/>
      <c r="B214" s="1642"/>
      <c r="C214" s="590"/>
      <c r="D214" s="658" t="str">
        <f>IF($A214="","",VLOOKUP($A214,기본데이타!$A$8:$BV$103,COLUMN(기본데이타!F$8),0))</f>
        <v/>
      </c>
      <c r="E214" s="659" t="str">
        <f>IF($A214="","",VLOOKUP($A214,기본데이타!$A$8:$BV$103,COLUMN(기본데이타!G$8),0))</f>
        <v/>
      </c>
      <c r="F214" s="660" t="str">
        <f>IF($A214="","",VLOOKUP($A214,기본데이타!$A$8:$BV$103,COLUMN(기본데이타!H$8),0))</f>
        <v/>
      </c>
      <c r="G214" s="661" t="str">
        <f>IF($A214="","",VLOOKUP($A214,기본데이타!$A$8:$BV$103,COLUMN(기본데이타!I$8),0))</f>
        <v/>
      </c>
      <c r="H214" s="661" t="str">
        <f>IF($A214="","",VLOOKUP($A214,기본데이타!$A$8:$BV$103,COLUMN(기본데이타!J$8),0))</f>
        <v/>
      </c>
      <c r="I214" s="662" t="str">
        <f>IF($A214="","",VLOOKUP($A214,기본데이타!$A$8:$BV$103,COLUMN(기본데이타!K$8),0))</f>
        <v/>
      </c>
      <c r="J214" s="662" t="str">
        <f>IF($A214="","",VLOOKUP($A214,기본데이타!$A$8:$BV$103,COLUMN(기본데이타!L$8),0))</f>
        <v/>
      </c>
      <c r="K214" s="662" t="str">
        <f>IF($A214="","",VLOOKUP($A214,기본데이타!$A$8:$BV$103,COLUMN(기본데이타!M$8),0))</f>
        <v/>
      </c>
      <c r="L214" s="663" t="str">
        <f>IF($A214="","",VLOOKUP($A214,기본데이타!$A$8:$BV$103,COLUMN(기본데이타!N$8),0))</f>
        <v/>
      </c>
      <c r="M214" s="662" t="str">
        <f>IF($A214="","",VLOOKUP($A214,기본데이타!$A$8:$BV$103,COLUMN(기본데이타!O$8),0))</f>
        <v/>
      </c>
      <c r="N214" s="663" t="str">
        <f>IF($A214="","",VLOOKUP($A214,기본데이타!$A$8:$BV$103,COLUMN(기본데이타!P$8),0))</f>
        <v/>
      </c>
      <c r="O214" s="663" t="str">
        <f>IF($A214="","",VLOOKUP($A214,기본데이타!$A$8:$BV$103,COLUMN(기본데이타!Q$8),0))</f>
        <v/>
      </c>
      <c r="P214" s="663" t="str">
        <f>IF($A214="","",VLOOKUP($A214,기본데이타!$A$8:$BV$103,COLUMN(기본데이타!R$8),0))</f>
        <v/>
      </c>
      <c r="Q214" s="663" t="str">
        <f>IF($A214="","",VLOOKUP($A214,기본데이타!$A$8:$BV$103,COLUMN(기본데이타!S$8),0))</f>
        <v/>
      </c>
      <c r="R214" s="663" t="str">
        <f>IF($A214="","",VLOOKUP($A214,기본데이타!$A$8:$BV$103,COLUMN(기본데이타!T$8),0))</f>
        <v/>
      </c>
      <c r="S214" s="663" t="str">
        <f>IF($A214="","",VLOOKUP($A214,기본데이타!$A$8:$BV$103,COLUMN(기본데이타!U$8),0))</f>
        <v/>
      </c>
      <c r="T214" s="663" t="str">
        <f>IF($A214="","",VLOOKUP($A214,기본데이타!$A$8:$BV$103,COLUMN(기본데이타!V$8),0))</f>
        <v/>
      </c>
      <c r="U214" s="663" t="str">
        <f>IF($A214="","",VLOOKUP($A214,기본데이타!$A$8:$BV$103,COLUMN(기본데이타!W$8),0))</f>
        <v/>
      </c>
      <c r="V214" s="663" t="str">
        <f>IF($A214="","",VLOOKUP($A214,기본데이타!$A$8:$BV$103,COLUMN(기본데이타!X$8),0))</f>
        <v/>
      </c>
      <c r="W214" s="663" t="str">
        <f>IF($A214="","",VLOOKUP($A214,기본데이타!$A$8:$BV$103,COLUMN(기본데이타!AA$8),0))</f>
        <v/>
      </c>
      <c r="X214" s="663" t="str">
        <f>IF($A214="","",VLOOKUP($A214,기본데이타!$A$8:$BV$103,COLUMN(기본데이타!AB$8),0))</f>
        <v/>
      </c>
      <c r="Y214" s="662" t="str">
        <f>IF($A214="","",VLOOKUP($A214,기본데이타!$A$8:$BV$103,COLUMN(기본데이타!AC$8),0))</f>
        <v/>
      </c>
      <c r="Z214" s="663" t="str">
        <f>IF($A214="","",VLOOKUP($A214,기본데이타!$A$8:$BV$103,COLUMN(기본데이타!AD$8),0))</f>
        <v/>
      </c>
      <c r="AA214" s="662" t="str">
        <f>IF($A214="","",VLOOKUP($A214,기본데이타!$A$8:$BV$103,COLUMN(기본데이타!AE$8),0))</f>
        <v/>
      </c>
      <c r="AB214" s="663" t="str">
        <f>IF($A214="","",VLOOKUP($A214,기본데이타!$A$8:$BV$103,COLUMN(기본데이타!AF$8),0))</f>
        <v/>
      </c>
      <c r="AC214" s="662" t="str">
        <f>IF($A214="","",VLOOKUP($A214,기본데이타!$A$8:$BV$103,COLUMN(기본데이타!AG$8),0))</f>
        <v/>
      </c>
      <c r="AD214" s="663" t="str">
        <f>IF($A214="","",VLOOKUP($A214,기본데이타!$A$8:$BV$103,COLUMN(기본데이타!AH$8),0))</f>
        <v/>
      </c>
      <c r="AE214" s="662" t="str">
        <f>IF($A214="","",VLOOKUP($A214,기본데이타!$A$8:$BV$103,COLUMN(기본데이타!AI$8),0))</f>
        <v/>
      </c>
      <c r="AF214" s="664" t="str">
        <f>IF($A214="","",VLOOKUP($A214,기본데이타!$A$8:$BV$103,COLUMN(기본데이타!AJ$8),0))</f>
        <v/>
      </c>
      <c r="AG214" s="614" t="str">
        <f>IF($A214="","",VLOOKUP($A214,기본데이타!$A$8:$BV$103,COLUMN(기본데이타!AK$8),0))</f>
        <v/>
      </c>
      <c r="AH214" s="614" t="str">
        <f>IF($A214="","",VLOOKUP($A214,기본데이타!$A$8:$BV$103,COLUMN(기본데이타!AL$8),0))</f>
        <v/>
      </c>
      <c r="AI214" s="614" t="str">
        <f>IF($A214="","",VLOOKUP($A214,기본데이타!$A$8:$BV$103,COLUMN(기본데이타!AM$8),0))</f>
        <v/>
      </c>
      <c r="AJ214" s="670" t="str">
        <f>IF($A214="","",VLOOKUP($A214,기본데이타!$A$8:$BV$103,COLUMN(기본데이타!AN$8),0))</f>
        <v/>
      </c>
      <c r="AK214" s="670" t="str">
        <f>IF($A214="","",VLOOKUP($A214,기본데이타!$A$8:$BV$103,COLUMN(기본데이타!AO$8),0))</f>
        <v/>
      </c>
      <c r="AL214" s="670" t="str">
        <f>IF($A214="","",VLOOKUP($A214,기본데이타!$A$8:$BV$103,COLUMN(기본데이타!AP$8),0))</f>
        <v/>
      </c>
      <c r="AM214" s="670" t="str">
        <f>IF($A214="","",VLOOKUP($A214,기본데이타!$A$8:$BV$103,COLUMN(기본데이타!AQ$8),0))</f>
        <v/>
      </c>
      <c r="AN214" s="670" t="str">
        <f>IF($A214="","",VLOOKUP($A214,기본데이타!$A$8:$BV$103,COLUMN(기본데이타!AR$8),0))</f>
        <v/>
      </c>
      <c r="AO214" s="670" t="str">
        <f>IF($A214="","",VLOOKUP($A214,기본데이타!$A$8:$BV$103,COLUMN(기본데이타!AS$8),0))</f>
        <v/>
      </c>
      <c r="AP214" s="670" t="str">
        <f>IF($A214="","",VLOOKUP($A214,기본데이타!$A$8:$BV$103,COLUMN(기본데이타!AT$8),0))</f>
        <v/>
      </c>
      <c r="AQ214" s="670" t="str">
        <f>IF($A214="","",VLOOKUP($A214,기본데이타!$A$8:$BV$103,COLUMN(기본데이타!AU$8),0))</f>
        <v/>
      </c>
      <c r="AR214" s="671" t="str">
        <f>IF($A214="","",VLOOKUP($A214,기본데이타!$A$8:$BV$103,COLUMN(기본데이타!AV$8),0))</f>
        <v/>
      </c>
      <c r="AS214" s="663" t="str">
        <f>IF($A214="","",VLOOKUP($A214,기본데이타!$A$8:$BV$103,COLUMN(기본데이타!AW$8),0))</f>
        <v/>
      </c>
      <c r="AT214" s="663" t="str">
        <f>IF($A214="","",VLOOKUP($A214,기본데이타!$A$8:$BV$103,COLUMN(기본데이타!AX$8),0))</f>
        <v/>
      </c>
      <c r="AU214" s="663" t="str">
        <f>IF($A214="","",VLOOKUP($A214,기본데이타!$A$8:$BV$103,COLUMN(기본데이타!AY$8),0))</f>
        <v/>
      </c>
      <c r="AV214" s="663" t="str">
        <f t="shared" si="28"/>
        <v/>
      </c>
      <c r="AW214" s="664" t="str">
        <f>IF($A214="","",VLOOKUP($A214,기본데이타!$A$8:$BV$103,COLUMN(기본데이타!BA$8),0))</f>
        <v/>
      </c>
      <c r="AX214" s="664" t="str">
        <f>IF($A214="","",VLOOKUP($A214,기본데이타!$A$8:$BV$103,COLUMN(기본데이타!BB$8),0))</f>
        <v/>
      </c>
      <c r="AY214" s="664" t="str">
        <f>IF($A214="","",VLOOKUP($A214,기본데이타!$A$8:$BV$103,COLUMN(기본데이타!BC$8),0))</f>
        <v/>
      </c>
      <c r="AZ214" s="664" t="str">
        <f>IF($A214="","",VLOOKUP($A214,기본데이타!$A$8:$BV$103,COLUMN(기본데이타!BD$8),0))</f>
        <v/>
      </c>
      <c r="BA214" s="664" t="str">
        <f>IF($A214="","",VLOOKUP($A214,기본데이타!$A$8:$BV$103,COLUMN(기본데이타!BE$8),0))</f>
        <v/>
      </c>
      <c r="BB214" s="664" t="str">
        <f>IF($A214="","",VLOOKUP($A214,기본데이타!$A$8:$BV$103,COLUMN(기본데이타!BF$8),0))</f>
        <v/>
      </c>
      <c r="BC214" s="664" t="str">
        <f>IF($A214="","",VLOOKUP($A214,기본데이타!$A$8:$BV$103,COLUMN(기본데이타!BG$8),0))</f>
        <v/>
      </c>
      <c r="BD214" s="664" t="str">
        <f>IF($A214="","",VLOOKUP($A214,기본데이타!$A$8:$BV$103,COLUMN(기본데이타!BH$8),0))</f>
        <v/>
      </c>
      <c r="BE214" s="664" t="str">
        <f>IF($A214="","",VLOOKUP($A214,기본데이타!$A$8:$BV$103,COLUMN(기본데이타!BI$8),0))</f>
        <v/>
      </c>
      <c r="BF214" s="664" t="str">
        <f>IF($A214="","",VLOOKUP($A214,기본데이타!$A$8:$BV$103,COLUMN(기본데이타!BJ$8),0))</f>
        <v/>
      </c>
      <c r="BG214" s="664" t="str">
        <f>IF($A214="","",VLOOKUP($A214,기본데이타!$A$8:$BV$103,COLUMN(기본데이타!BK$8),0))</f>
        <v/>
      </c>
      <c r="BH214" s="664" t="str">
        <f>IF($A214="","",VLOOKUP($A214,기본데이타!$A$8:$BV$103,COLUMN(기본데이타!BL$8),0))</f>
        <v/>
      </c>
      <c r="BI214" s="664" t="str">
        <f>IF($A214="","",VLOOKUP($A214,기본데이타!$A$8:$BV$103,COLUMN(기본데이타!BM$8),0))</f>
        <v/>
      </c>
      <c r="BJ214" s="664" t="str">
        <f>IF($A214="","",VLOOKUP($A214,기본데이타!$A$8:$BV$103,COLUMN(기본데이타!BN$8),0))</f>
        <v/>
      </c>
      <c r="BK214" s="664" t="str">
        <f>IF($A214="","",VLOOKUP($A214,기본데이타!$A$8:$BV$103,COLUMN(기본데이타!BO$8),0))</f>
        <v/>
      </c>
      <c r="BL214" s="664" t="str">
        <f>IF($A214="","",VLOOKUP($A214,기본데이타!$A$8:$BV$103,COLUMN(기본데이타!BP$8),0))</f>
        <v/>
      </c>
      <c r="BM214" s="664" t="str">
        <f>IF($A214="","",VLOOKUP($A214,기본데이타!$A$8:$BV$103,COLUMN(기본데이타!BQ$8),0))</f>
        <v/>
      </c>
      <c r="BN214" s="665" t="str">
        <f>IF($A214="","",VLOOKUP($A214,기본데이타!$A$8:$BV$103,COLUMN(기본데이타!BR$8),0))</f>
        <v/>
      </c>
      <c r="BO214" s="666" t="str">
        <f>IF($A214="","",VLOOKUP($A214,기본데이타!$A$8:$BV$103,COLUMN(기본데이타!BS$8),0))</f>
        <v/>
      </c>
      <c r="BP214" s="667" t="str">
        <f>IF($A214="","",VLOOKUP($A214,기본데이타!$A$8:$BV$103,COLUMN(기본데이타!BT$8),0))</f>
        <v/>
      </c>
      <c r="BQ214" s="1344" t="str">
        <f>IF($A214="","",VLOOKUP($A214,기본데이타!$A$8:$BV$103,COLUMN(기본데이타!BU$8),0))</f>
        <v/>
      </c>
      <c r="BR214" s="669" t="str">
        <f t="shared" si="29"/>
        <v/>
      </c>
    </row>
    <row r="215" spans="1:70" s="571" customFormat="1" ht="50.1" hidden="1" customHeight="1">
      <c r="A215" s="578"/>
      <c r="B215" s="1642"/>
      <c r="C215" s="590"/>
      <c r="D215" s="629" t="str">
        <f>IF($A215="","",VLOOKUP($A215,기본데이타!$A$8:$BV$103,COLUMN(기본데이타!F$8),0))</f>
        <v/>
      </c>
      <c r="E215" s="630" t="str">
        <f>IF($A215="","",VLOOKUP($A215,기본데이타!$A$8:$BV$103,COLUMN(기본데이타!G$8),0))</f>
        <v/>
      </c>
      <c r="F215" s="631" t="str">
        <f>IF($A215="","",VLOOKUP($A215,기본데이타!$A$8:$BV$103,COLUMN(기본데이타!H$8),0))</f>
        <v/>
      </c>
      <c r="G215" s="632" t="str">
        <f>IF($A215="","",VLOOKUP($A215,기본데이타!$A$8:$BV$103,COLUMN(기본데이타!I$8),0))</f>
        <v/>
      </c>
      <c r="H215" s="632" t="str">
        <f>IF($A215="","",VLOOKUP($A215,기본데이타!$A$8:$BV$103,COLUMN(기본데이타!J$8),0))</f>
        <v/>
      </c>
      <c r="I215" s="633" t="str">
        <f>IF($A215="","",VLOOKUP($A215,기본데이타!$A$8:$BV$103,COLUMN(기본데이타!K$8),0))</f>
        <v/>
      </c>
      <c r="J215" s="633" t="str">
        <f>IF($A215="","",VLOOKUP($A215,기본데이타!$A$8:$BV$103,COLUMN(기본데이타!L$8),0))</f>
        <v/>
      </c>
      <c r="K215" s="633" t="str">
        <f>IF($A215="","",VLOOKUP($A215,기본데이타!$A$8:$BV$103,COLUMN(기본데이타!M$8),0))</f>
        <v/>
      </c>
      <c r="L215" s="634" t="str">
        <f>IF($A215="","",VLOOKUP($A215,기본데이타!$A$8:$BV$103,COLUMN(기본데이타!N$8),0))</f>
        <v/>
      </c>
      <c r="M215" s="633" t="str">
        <f>IF($A215="","",VLOOKUP($A215,기본데이타!$A$8:$BV$103,COLUMN(기본데이타!O$8),0))</f>
        <v/>
      </c>
      <c r="N215" s="634" t="str">
        <f>IF($A215="","",VLOOKUP($A215,기본데이타!$A$8:$BV$103,COLUMN(기본데이타!P$8),0))</f>
        <v/>
      </c>
      <c r="O215" s="634" t="str">
        <f>IF($A215="","",VLOOKUP($A215,기본데이타!$A$8:$BV$103,COLUMN(기본데이타!Q$8),0))</f>
        <v/>
      </c>
      <c r="P215" s="634" t="str">
        <f>IF($A215="","",VLOOKUP($A215,기본데이타!$A$8:$BV$103,COLUMN(기본데이타!R$8),0))</f>
        <v/>
      </c>
      <c r="Q215" s="634" t="str">
        <f>IF($A215="","",VLOOKUP($A215,기본데이타!$A$8:$BV$103,COLUMN(기본데이타!S$8),0))</f>
        <v/>
      </c>
      <c r="R215" s="634" t="str">
        <f>IF($A215="","",VLOOKUP($A215,기본데이타!$A$8:$BV$103,COLUMN(기본데이타!T$8),0))</f>
        <v/>
      </c>
      <c r="S215" s="634" t="str">
        <f>IF($A215="","",VLOOKUP($A215,기본데이타!$A$8:$BV$103,COLUMN(기본데이타!U$8),0))</f>
        <v/>
      </c>
      <c r="T215" s="634" t="str">
        <f>IF($A215="","",VLOOKUP($A215,기본데이타!$A$8:$BV$103,COLUMN(기본데이타!V$8),0))</f>
        <v/>
      </c>
      <c r="U215" s="634" t="str">
        <f>IF($A215="","",VLOOKUP($A215,기본데이타!$A$8:$BV$103,COLUMN(기본데이타!W$8),0))</f>
        <v/>
      </c>
      <c r="V215" s="634" t="str">
        <f>IF($A215="","",VLOOKUP($A215,기본데이타!$A$8:$BV$103,COLUMN(기본데이타!X$8),0))</f>
        <v/>
      </c>
      <c r="W215" s="634" t="str">
        <f>IF($A215="","",VLOOKUP($A215,기본데이타!$A$8:$BV$103,COLUMN(기본데이타!AA$8),0))</f>
        <v/>
      </c>
      <c r="X215" s="634" t="str">
        <f>IF($A215="","",VLOOKUP($A215,기본데이타!$A$8:$BV$103,COLUMN(기본데이타!AB$8),0))</f>
        <v/>
      </c>
      <c r="Y215" s="633" t="str">
        <f>IF($A215="","",VLOOKUP($A215,기본데이타!$A$8:$BV$103,COLUMN(기본데이타!AC$8),0))</f>
        <v/>
      </c>
      <c r="Z215" s="634" t="str">
        <f>IF($A215="","",VLOOKUP($A215,기본데이타!$A$8:$BV$103,COLUMN(기본데이타!AD$8),0))</f>
        <v/>
      </c>
      <c r="AA215" s="633" t="str">
        <f>IF($A215="","",VLOOKUP($A215,기본데이타!$A$8:$BV$103,COLUMN(기본데이타!AE$8),0))</f>
        <v/>
      </c>
      <c r="AB215" s="634" t="str">
        <f>IF($A215="","",VLOOKUP($A215,기본데이타!$A$8:$BV$103,COLUMN(기본데이타!AF$8),0))</f>
        <v/>
      </c>
      <c r="AC215" s="633" t="str">
        <f>IF($A215="","",VLOOKUP($A215,기본데이타!$A$8:$BV$103,COLUMN(기본데이타!AG$8),0))</f>
        <v/>
      </c>
      <c r="AD215" s="634" t="str">
        <f>IF($A215="","",VLOOKUP($A215,기본데이타!$A$8:$BV$103,COLUMN(기본데이타!AH$8),0))</f>
        <v/>
      </c>
      <c r="AE215" s="633" t="str">
        <f>IF($A215="","",VLOOKUP($A215,기본데이타!$A$8:$BV$103,COLUMN(기본데이타!AI$8),0))</f>
        <v/>
      </c>
      <c r="AF215" s="635" t="str">
        <f>IF($A215="","",VLOOKUP($A215,기본데이타!$A$8:$BV$103,COLUMN(기본데이타!AJ$8),0))</f>
        <v/>
      </c>
      <c r="AG215" s="580" t="str">
        <f>IF($A215="","",VLOOKUP($A215,기본데이타!$A$8:$BV$103,COLUMN(기본데이타!AK$8),0))</f>
        <v/>
      </c>
      <c r="AH215" s="580" t="str">
        <f>IF($A215="","",VLOOKUP($A215,기본데이타!$A$8:$BV$103,COLUMN(기본데이타!AL$8),0))</f>
        <v/>
      </c>
      <c r="AI215" s="580" t="str">
        <f>IF($A215="","",VLOOKUP($A215,기본데이타!$A$8:$BV$103,COLUMN(기본데이타!AM$8),0))</f>
        <v/>
      </c>
      <c r="AJ215" s="636" t="str">
        <f>IF($A215="","",VLOOKUP($A215,기본데이타!$A$8:$BV$103,COLUMN(기본데이타!AN$8),0))</f>
        <v/>
      </c>
      <c r="AK215" s="636" t="str">
        <f>IF($A215="","",VLOOKUP($A215,기본데이타!$A$8:$BV$103,COLUMN(기본데이타!AO$8),0))</f>
        <v/>
      </c>
      <c r="AL215" s="636" t="str">
        <f>IF($A215="","",VLOOKUP($A215,기본데이타!$A$8:$BV$103,COLUMN(기본데이타!AP$8),0))</f>
        <v/>
      </c>
      <c r="AM215" s="636" t="str">
        <f>IF($A215="","",VLOOKUP($A215,기본데이타!$A$8:$BV$103,COLUMN(기본데이타!AQ$8),0))</f>
        <v/>
      </c>
      <c r="AN215" s="636" t="str">
        <f>IF($A215="","",VLOOKUP($A215,기본데이타!$A$8:$BV$103,COLUMN(기본데이타!AR$8),0))</f>
        <v/>
      </c>
      <c r="AO215" s="636" t="str">
        <f>IF($A215="","",VLOOKUP($A215,기본데이타!$A$8:$BV$103,COLUMN(기본데이타!AS$8),0))</f>
        <v/>
      </c>
      <c r="AP215" s="636" t="str">
        <f>IF($A215="","",VLOOKUP($A215,기본데이타!$A$8:$BV$103,COLUMN(기본데이타!AT$8),0))</f>
        <v/>
      </c>
      <c r="AQ215" s="636" t="str">
        <f>IF($A215="","",VLOOKUP($A215,기본데이타!$A$8:$BV$103,COLUMN(기본데이타!AU$8),0))</f>
        <v/>
      </c>
      <c r="AR215" s="637" t="str">
        <f>IF($A215="","",VLOOKUP($A215,기본데이타!$A$8:$BV$103,COLUMN(기본데이타!AV$8),0))</f>
        <v/>
      </c>
      <c r="AS215" s="634" t="str">
        <f>IF($A215="","",VLOOKUP($A215,기본데이타!$A$8:$BV$103,COLUMN(기본데이타!AW$8),0))</f>
        <v/>
      </c>
      <c r="AT215" s="634" t="str">
        <f>IF($A215="","",VLOOKUP($A215,기본데이타!$A$8:$BV$103,COLUMN(기본데이타!AX$8),0))</f>
        <v/>
      </c>
      <c r="AU215" s="634" t="str">
        <f>IF($A215="","",VLOOKUP($A215,기본데이타!$A$8:$BV$103,COLUMN(기본데이타!AY$8),0))</f>
        <v/>
      </c>
      <c r="AV215" s="634" t="str">
        <f t="shared" ref="AV215:AV226" si="32">IF(AS215="","",SUM(AS215:AU215))</f>
        <v/>
      </c>
      <c r="AW215" s="635" t="str">
        <f>IF($A215="","",VLOOKUP($A215,기본데이타!$A$8:$BV$103,COLUMN(기본데이타!BA$8),0))</f>
        <v/>
      </c>
      <c r="AX215" s="635" t="str">
        <f>IF($A215="","",VLOOKUP($A215,기본데이타!$A$8:$BV$103,COLUMN(기본데이타!BB$8),0))</f>
        <v/>
      </c>
      <c r="AY215" s="635" t="str">
        <f>IF($A215="","",VLOOKUP($A215,기본데이타!$A$8:$BV$103,COLUMN(기본데이타!BC$8),0))</f>
        <v/>
      </c>
      <c r="AZ215" s="635" t="str">
        <f>IF($A215="","",VLOOKUP($A215,기본데이타!$A$8:$BV$103,COLUMN(기본데이타!BD$8),0))</f>
        <v/>
      </c>
      <c r="BA215" s="635" t="str">
        <f>IF($A215="","",VLOOKUP($A215,기본데이타!$A$8:$BV$103,COLUMN(기본데이타!BE$8),0))</f>
        <v/>
      </c>
      <c r="BB215" s="635" t="str">
        <f>IF($A215="","",VLOOKUP($A215,기본데이타!$A$8:$BV$103,COLUMN(기본데이타!BF$8),0))</f>
        <v/>
      </c>
      <c r="BC215" s="635" t="str">
        <f>IF($A215="","",VLOOKUP($A215,기본데이타!$A$8:$BV$103,COLUMN(기본데이타!BG$8),0))</f>
        <v/>
      </c>
      <c r="BD215" s="635" t="str">
        <f>IF($A215="","",VLOOKUP($A215,기본데이타!$A$8:$BV$103,COLUMN(기본데이타!BH$8),0))</f>
        <v/>
      </c>
      <c r="BE215" s="635" t="str">
        <f>IF($A215="","",VLOOKUP($A215,기본데이타!$A$8:$BV$103,COLUMN(기본데이타!BI$8),0))</f>
        <v/>
      </c>
      <c r="BF215" s="635" t="str">
        <f>IF($A215="","",VLOOKUP($A215,기본데이타!$A$8:$BV$103,COLUMN(기본데이타!BJ$8),0))</f>
        <v/>
      </c>
      <c r="BG215" s="635" t="str">
        <f>IF($A215="","",VLOOKUP($A215,기본데이타!$A$8:$BV$103,COLUMN(기본데이타!BK$8),0))</f>
        <v/>
      </c>
      <c r="BH215" s="635" t="str">
        <f>IF($A215="","",VLOOKUP($A215,기본데이타!$A$8:$BV$103,COLUMN(기본데이타!BL$8),0))</f>
        <v/>
      </c>
      <c r="BI215" s="635" t="str">
        <f>IF($A215="","",VLOOKUP($A215,기본데이타!$A$8:$BV$103,COLUMN(기본데이타!BM$8),0))</f>
        <v/>
      </c>
      <c r="BJ215" s="635" t="str">
        <f>IF($A215="","",VLOOKUP($A215,기본데이타!$A$8:$BV$103,COLUMN(기본데이타!BN$8),0))</f>
        <v/>
      </c>
      <c r="BK215" s="635" t="str">
        <f>IF($A215="","",VLOOKUP($A215,기본데이타!$A$8:$BV$103,COLUMN(기본데이타!BO$8),0))</f>
        <v/>
      </c>
      <c r="BL215" s="635" t="str">
        <f>IF($A215="","",VLOOKUP($A215,기본데이타!$A$8:$BV$103,COLUMN(기본데이타!BP$8),0))</f>
        <v/>
      </c>
      <c r="BM215" s="635" t="str">
        <f>IF($A215="","",VLOOKUP($A215,기본데이타!$A$8:$BV$103,COLUMN(기본데이타!BQ$8),0))</f>
        <v/>
      </c>
      <c r="BN215" s="638" t="str">
        <f>IF($A215="","",VLOOKUP($A215,기본데이타!$A$8:$BV$103,COLUMN(기본데이타!BR$8),0))</f>
        <v/>
      </c>
      <c r="BO215" s="579" t="str">
        <f>IF($A215="","",VLOOKUP($A215,기본데이타!$A$8:$BV$103,COLUMN(기본데이타!BS$8),0))</f>
        <v/>
      </c>
      <c r="BP215" s="639" t="str">
        <f>IF($A215="","",VLOOKUP($A215,기본데이타!$A$8:$BV$103,COLUMN(기본데이타!BT$8),0))</f>
        <v/>
      </c>
      <c r="BQ215" s="999" t="str">
        <f>IF($A215="","",VLOOKUP($A215,기본데이타!$A$8:$BV$103,COLUMN(기본데이타!BU$8),0))</f>
        <v/>
      </c>
      <c r="BR215" s="625" t="str">
        <f t="shared" ref="BR215:BR226" si="33">IF($A215="","",A215)</f>
        <v/>
      </c>
    </row>
    <row r="216" spans="1:70" s="571" customFormat="1" ht="50.1" hidden="1" customHeight="1">
      <c r="A216" s="578"/>
      <c r="B216" s="1642"/>
      <c r="C216" s="590"/>
      <c r="D216" s="591" t="str">
        <f>IF($A216="","",VLOOKUP($A216,기본데이타!$A$8:$BV$103,COLUMN(기본데이타!F$8),0))</f>
        <v/>
      </c>
      <c r="E216" s="592" t="str">
        <f>IF($A216="","",VLOOKUP($A216,기본데이타!$A$8:$BV$103,COLUMN(기본데이타!G$8),0))</f>
        <v/>
      </c>
      <c r="F216" s="593" t="str">
        <f>IF($A216="","",VLOOKUP($A216,기본데이타!$A$8:$BV$103,COLUMN(기본데이타!H$8),0))</f>
        <v/>
      </c>
      <c r="G216" s="594" t="str">
        <f>IF($A216="","",VLOOKUP($A216,기본데이타!$A$8:$BV$103,COLUMN(기본데이타!I$8),0))</f>
        <v/>
      </c>
      <c r="H216" s="594" t="str">
        <f>IF($A216="","",VLOOKUP($A216,기본데이타!$A$8:$BV$103,COLUMN(기본데이타!J$8),0))</f>
        <v/>
      </c>
      <c r="I216" s="595" t="str">
        <f>IF($A216="","",VLOOKUP($A216,기본데이타!$A$8:$BV$103,COLUMN(기본데이타!K$8),0))</f>
        <v/>
      </c>
      <c r="J216" s="595" t="str">
        <f>IF($A216="","",VLOOKUP($A216,기본데이타!$A$8:$BV$103,COLUMN(기본데이타!L$8),0))</f>
        <v/>
      </c>
      <c r="K216" s="595" t="str">
        <f>IF($A216="","",VLOOKUP($A216,기본데이타!$A$8:$BV$103,COLUMN(기본데이타!M$8),0))</f>
        <v/>
      </c>
      <c r="L216" s="596" t="str">
        <f>IF($A216="","",VLOOKUP($A216,기본데이타!$A$8:$BV$103,COLUMN(기본데이타!N$8),0))</f>
        <v/>
      </c>
      <c r="M216" s="595" t="str">
        <f>IF($A216="","",VLOOKUP($A216,기본데이타!$A$8:$BV$103,COLUMN(기본데이타!O$8),0))</f>
        <v/>
      </c>
      <c r="N216" s="596" t="str">
        <f>IF($A216="","",VLOOKUP($A216,기본데이타!$A$8:$BV$103,COLUMN(기본데이타!P$8),0))</f>
        <v/>
      </c>
      <c r="O216" s="596" t="str">
        <f>IF($A216="","",VLOOKUP($A216,기본데이타!$A$8:$BV$103,COLUMN(기본데이타!Q$8),0))</f>
        <v/>
      </c>
      <c r="P216" s="596" t="str">
        <f>IF($A216="","",VLOOKUP($A216,기본데이타!$A$8:$BV$103,COLUMN(기본데이타!R$8),0))</f>
        <v/>
      </c>
      <c r="Q216" s="596" t="str">
        <f>IF($A216="","",VLOOKUP($A216,기본데이타!$A$8:$BV$103,COLUMN(기본데이타!S$8),0))</f>
        <v/>
      </c>
      <c r="R216" s="596" t="str">
        <f>IF($A216="","",VLOOKUP($A216,기본데이타!$A$8:$BV$103,COLUMN(기본데이타!T$8),0))</f>
        <v/>
      </c>
      <c r="S216" s="596" t="str">
        <f>IF($A216="","",VLOOKUP($A216,기본데이타!$A$8:$BV$103,COLUMN(기본데이타!U$8),0))</f>
        <v/>
      </c>
      <c r="T216" s="596" t="str">
        <f>IF($A216="","",VLOOKUP($A216,기본데이타!$A$8:$BV$103,COLUMN(기본데이타!V$8),0))</f>
        <v/>
      </c>
      <c r="U216" s="596" t="str">
        <f>IF($A216="","",VLOOKUP($A216,기본데이타!$A$8:$BV$103,COLUMN(기본데이타!W$8),0))</f>
        <v/>
      </c>
      <c r="V216" s="596" t="str">
        <f>IF($A216="","",VLOOKUP($A216,기본데이타!$A$8:$BV$103,COLUMN(기본데이타!X$8),0))</f>
        <v/>
      </c>
      <c r="W216" s="596" t="str">
        <f>IF($A216="","",VLOOKUP($A216,기본데이타!$A$8:$BV$103,COLUMN(기본데이타!AA$8),0))</f>
        <v/>
      </c>
      <c r="X216" s="596" t="str">
        <f>IF($A216="","",VLOOKUP($A216,기본데이타!$A$8:$BV$103,COLUMN(기본데이타!AB$8),0))</f>
        <v/>
      </c>
      <c r="Y216" s="595" t="str">
        <f>IF($A216="","",VLOOKUP($A216,기본데이타!$A$8:$BV$103,COLUMN(기본데이타!AC$8),0))</f>
        <v/>
      </c>
      <c r="Z216" s="596" t="str">
        <f>IF($A216="","",VLOOKUP($A216,기본데이타!$A$8:$BV$103,COLUMN(기본데이타!AD$8),0))</f>
        <v/>
      </c>
      <c r="AA216" s="595" t="str">
        <f>IF($A216="","",VLOOKUP($A216,기본데이타!$A$8:$BV$103,COLUMN(기본데이타!AE$8),0))</f>
        <v/>
      </c>
      <c r="AB216" s="596" t="str">
        <f>IF($A216="","",VLOOKUP($A216,기본데이타!$A$8:$BV$103,COLUMN(기본데이타!AF$8),0))</f>
        <v/>
      </c>
      <c r="AC216" s="595" t="str">
        <f>IF($A216="","",VLOOKUP($A216,기본데이타!$A$8:$BV$103,COLUMN(기본데이타!AG$8),0))</f>
        <v/>
      </c>
      <c r="AD216" s="596" t="str">
        <f>IF($A216="","",VLOOKUP($A216,기본데이타!$A$8:$BV$103,COLUMN(기본데이타!AH$8),0))</f>
        <v/>
      </c>
      <c r="AE216" s="595" t="str">
        <f>IF($A216="","",VLOOKUP($A216,기본데이타!$A$8:$BV$103,COLUMN(기본데이타!AI$8),0))</f>
        <v/>
      </c>
      <c r="AF216" s="597" t="str">
        <f>IF($A216="","",VLOOKUP($A216,기본데이타!$A$8:$BV$103,COLUMN(기본데이타!AJ$8),0))</f>
        <v/>
      </c>
      <c r="AG216" s="621" t="str">
        <f>IF($A216="","",VLOOKUP($A216,기본데이타!$A$8:$BV$103,COLUMN(기본데이타!AK$8),0))</f>
        <v/>
      </c>
      <c r="AH216" s="621" t="str">
        <f>IF($A216="","",VLOOKUP($A216,기본데이타!$A$8:$BV$103,COLUMN(기본데이타!AL$8),0))</f>
        <v/>
      </c>
      <c r="AI216" s="621" t="str">
        <f>IF($A216="","",VLOOKUP($A216,기본데이타!$A$8:$BV$103,COLUMN(기본데이타!AM$8),0))</f>
        <v/>
      </c>
      <c r="AJ216" s="642" t="str">
        <f>IF($A216="","",VLOOKUP($A216,기본데이타!$A$8:$BV$103,COLUMN(기본데이타!AN$8),0))</f>
        <v/>
      </c>
      <c r="AK216" s="642" t="str">
        <f>IF($A216="","",VLOOKUP($A216,기본데이타!$A$8:$BV$103,COLUMN(기본데이타!AO$8),0))</f>
        <v/>
      </c>
      <c r="AL216" s="642" t="str">
        <f>IF($A216="","",VLOOKUP($A216,기본데이타!$A$8:$BV$103,COLUMN(기본데이타!AP$8),0))</f>
        <v/>
      </c>
      <c r="AM216" s="642" t="str">
        <f>IF($A216="","",VLOOKUP($A216,기본데이타!$A$8:$BV$103,COLUMN(기본데이타!AQ$8),0))</f>
        <v/>
      </c>
      <c r="AN216" s="642" t="str">
        <f>IF($A216="","",VLOOKUP($A216,기본데이타!$A$8:$BV$103,COLUMN(기본데이타!AR$8),0))</f>
        <v/>
      </c>
      <c r="AO216" s="642" t="str">
        <f>IF($A216="","",VLOOKUP($A216,기본데이타!$A$8:$BV$103,COLUMN(기본데이타!AS$8),0))</f>
        <v/>
      </c>
      <c r="AP216" s="642" t="str">
        <f>IF($A216="","",VLOOKUP($A216,기본데이타!$A$8:$BV$103,COLUMN(기본데이타!AT$8),0))</f>
        <v/>
      </c>
      <c r="AQ216" s="642" t="str">
        <f>IF($A216="","",VLOOKUP($A216,기본데이타!$A$8:$BV$103,COLUMN(기본데이타!AU$8),0))</f>
        <v/>
      </c>
      <c r="AR216" s="643" t="str">
        <f>IF($A216="","",VLOOKUP($A216,기본데이타!$A$8:$BV$103,COLUMN(기본데이타!AV$8),0))</f>
        <v/>
      </c>
      <c r="AS216" s="596" t="str">
        <f>IF($A216="","",VLOOKUP($A216,기본데이타!$A$8:$BV$103,COLUMN(기본데이타!AW$8),0))</f>
        <v/>
      </c>
      <c r="AT216" s="596" t="str">
        <f>IF($A216="","",VLOOKUP($A216,기본데이타!$A$8:$BV$103,COLUMN(기본데이타!AX$8),0))</f>
        <v/>
      </c>
      <c r="AU216" s="596" t="str">
        <f>IF($A216="","",VLOOKUP($A216,기본데이타!$A$8:$BV$103,COLUMN(기본데이타!AY$8),0))</f>
        <v/>
      </c>
      <c r="AV216" s="596" t="str">
        <f t="shared" si="32"/>
        <v/>
      </c>
      <c r="AW216" s="597" t="str">
        <f>IF($A216="","",VLOOKUP($A216,기본데이타!$A$8:$BV$103,COLUMN(기본데이타!BA$8),0))</f>
        <v/>
      </c>
      <c r="AX216" s="597" t="str">
        <f>IF($A216="","",VLOOKUP($A216,기본데이타!$A$8:$BV$103,COLUMN(기본데이타!BB$8),0))</f>
        <v/>
      </c>
      <c r="AY216" s="597" t="str">
        <f>IF($A216="","",VLOOKUP($A216,기본데이타!$A$8:$BV$103,COLUMN(기본데이타!BC$8),0))</f>
        <v/>
      </c>
      <c r="AZ216" s="597" t="str">
        <f>IF($A216="","",VLOOKUP($A216,기본데이타!$A$8:$BV$103,COLUMN(기본데이타!BD$8),0))</f>
        <v/>
      </c>
      <c r="BA216" s="597" t="str">
        <f>IF($A216="","",VLOOKUP($A216,기본데이타!$A$8:$BV$103,COLUMN(기본데이타!BE$8),0))</f>
        <v/>
      </c>
      <c r="BB216" s="597" t="str">
        <f>IF($A216="","",VLOOKUP($A216,기본데이타!$A$8:$BV$103,COLUMN(기본데이타!BF$8),0))</f>
        <v/>
      </c>
      <c r="BC216" s="597" t="str">
        <f>IF($A216="","",VLOOKUP($A216,기본데이타!$A$8:$BV$103,COLUMN(기본데이타!BG$8),0))</f>
        <v/>
      </c>
      <c r="BD216" s="597" t="str">
        <f>IF($A216="","",VLOOKUP($A216,기본데이타!$A$8:$BV$103,COLUMN(기본데이타!BH$8),0))</f>
        <v/>
      </c>
      <c r="BE216" s="597" t="str">
        <f>IF($A216="","",VLOOKUP($A216,기본데이타!$A$8:$BV$103,COLUMN(기본데이타!BI$8),0))</f>
        <v/>
      </c>
      <c r="BF216" s="597" t="str">
        <f>IF($A216="","",VLOOKUP($A216,기본데이타!$A$8:$BV$103,COLUMN(기본데이타!BJ$8),0))</f>
        <v/>
      </c>
      <c r="BG216" s="597" t="str">
        <f>IF($A216="","",VLOOKUP($A216,기본데이타!$A$8:$BV$103,COLUMN(기본데이타!BK$8),0))</f>
        <v/>
      </c>
      <c r="BH216" s="597" t="str">
        <f>IF($A216="","",VLOOKUP($A216,기본데이타!$A$8:$BV$103,COLUMN(기본데이타!BL$8),0))</f>
        <v/>
      </c>
      <c r="BI216" s="597" t="str">
        <f>IF($A216="","",VLOOKUP($A216,기본데이타!$A$8:$BV$103,COLUMN(기본데이타!BM$8),0))</f>
        <v/>
      </c>
      <c r="BJ216" s="597" t="str">
        <f>IF($A216="","",VLOOKUP($A216,기본데이타!$A$8:$BV$103,COLUMN(기본데이타!BN$8),0))</f>
        <v/>
      </c>
      <c r="BK216" s="597" t="str">
        <f>IF($A216="","",VLOOKUP($A216,기본데이타!$A$8:$BV$103,COLUMN(기본데이타!BO$8),0))</f>
        <v/>
      </c>
      <c r="BL216" s="597" t="str">
        <f>IF($A216="","",VLOOKUP($A216,기본데이타!$A$8:$BV$103,COLUMN(기본데이타!BP$8),0))</f>
        <v/>
      </c>
      <c r="BM216" s="597" t="str">
        <f>IF($A216="","",VLOOKUP($A216,기본데이타!$A$8:$BV$103,COLUMN(기본데이타!BQ$8),0))</f>
        <v/>
      </c>
      <c r="BN216" s="599" t="str">
        <f>IF($A216="","",VLOOKUP($A216,기본데이타!$A$8:$BV$103,COLUMN(기본데이타!BR$8),0))</f>
        <v/>
      </c>
      <c r="BO216" s="600" t="str">
        <f>IF($A216="","",VLOOKUP($A216,기본데이타!$A$8:$BV$103,COLUMN(기본데이타!BS$8),0))</f>
        <v/>
      </c>
      <c r="BP216" s="623" t="str">
        <f>IF($A216="","",VLOOKUP($A216,기본데이타!$A$8:$BV$103,COLUMN(기본데이타!BT$8),0))</f>
        <v/>
      </c>
      <c r="BQ216" s="602" t="str">
        <f>IF($A216="","",VLOOKUP($A216,기본데이타!$A$8:$BV$103,COLUMN(기본데이타!BU$8),0))</f>
        <v/>
      </c>
      <c r="BR216" s="603" t="str">
        <f t="shared" si="33"/>
        <v/>
      </c>
    </row>
    <row r="217" spans="1:70" s="571" customFormat="1" ht="50.1" hidden="1" customHeight="1">
      <c r="A217" s="578"/>
      <c r="B217" s="1642"/>
      <c r="C217" s="590"/>
      <c r="D217" s="591" t="str">
        <f>IF($A217="","",VLOOKUP($A217,기본데이타!$A$8:$BV$103,COLUMN(기본데이타!F$8),0))</f>
        <v/>
      </c>
      <c r="E217" s="630" t="str">
        <f>IF($A217="","",VLOOKUP($A217,기본데이타!$A$8:$BV$103,COLUMN(기본데이타!G$8),0))</f>
        <v/>
      </c>
      <c r="F217" s="631" t="str">
        <f>IF($A217="","",VLOOKUP($A217,기본데이타!$A$8:$BV$103,COLUMN(기본데이타!H$8),0))</f>
        <v/>
      </c>
      <c r="G217" s="632" t="str">
        <f>IF($A217="","",VLOOKUP($A217,기본데이타!$A$8:$BV$103,COLUMN(기본데이타!I$8),0))</f>
        <v/>
      </c>
      <c r="H217" s="632" t="str">
        <f>IF($A217="","",VLOOKUP($A217,기본데이타!$A$8:$BV$103,COLUMN(기본데이타!J$8),0))</f>
        <v/>
      </c>
      <c r="I217" s="595" t="str">
        <f>IF($A217="","",VLOOKUP($A217,기본데이타!$A$8:$BV$103,COLUMN(기본데이타!K$8),0))</f>
        <v/>
      </c>
      <c r="J217" s="595" t="str">
        <f>IF($A217="","",VLOOKUP($A217,기본데이타!$A$8:$BV$103,COLUMN(기본데이타!L$8),0))</f>
        <v/>
      </c>
      <c r="K217" s="595" t="str">
        <f>IF($A217="","",VLOOKUP($A217,기본데이타!$A$8:$BV$103,COLUMN(기본데이타!M$8),0))</f>
        <v/>
      </c>
      <c r="L217" s="596" t="str">
        <f>IF($A217="","",VLOOKUP($A217,기본데이타!$A$8:$BV$103,COLUMN(기본데이타!N$8),0))</f>
        <v/>
      </c>
      <c r="M217" s="595" t="str">
        <f>IF($A217="","",VLOOKUP($A217,기본데이타!$A$8:$BV$103,COLUMN(기본데이타!O$8),0))</f>
        <v/>
      </c>
      <c r="N217" s="596" t="str">
        <f>IF($A217="","",VLOOKUP($A217,기본데이타!$A$8:$BV$103,COLUMN(기본데이타!P$8),0))</f>
        <v/>
      </c>
      <c r="O217" s="596" t="str">
        <f>IF($A217="","",VLOOKUP($A217,기본데이타!$A$8:$BV$103,COLUMN(기본데이타!Q$8),0))</f>
        <v/>
      </c>
      <c r="P217" s="596" t="str">
        <f>IF($A217="","",VLOOKUP($A217,기본데이타!$A$8:$BV$103,COLUMN(기본데이타!R$8),0))</f>
        <v/>
      </c>
      <c r="Q217" s="596" t="str">
        <f>IF($A217="","",VLOOKUP($A217,기본데이타!$A$8:$BV$103,COLUMN(기본데이타!S$8),0))</f>
        <v/>
      </c>
      <c r="R217" s="596" t="str">
        <f>IF($A217="","",VLOOKUP($A217,기본데이타!$A$8:$BV$103,COLUMN(기본데이타!T$8),0))</f>
        <v/>
      </c>
      <c r="S217" s="596" t="str">
        <f>IF($A217="","",VLOOKUP($A217,기본데이타!$A$8:$BV$103,COLUMN(기본데이타!U$8),0))</f>
        <v/>
      </c>
      <c r="T217" s="596" t="str">
        <f>IF($A217="","",VLOOKUP($A217,기본데이타!$A$8:$BV$103,COLUMN(기본데이타!V$8),0))</f>
        <v/>
      </c>
      <c r="U217" s="596" t="str">
        <f>IF($A217="","",VLOOKUP($A217,기본데이타!$A$8:$BV$103,COLUMN(기본데이타!W$8),0))</f>
        <v/>
      </c>
      <c r="V217" s="596" t="str">
        <f>IF($A217="","",VLOOKUP($A217,기본데이타!$A$8:$BV$103,COLUMN(기본데이타!X$8),0))</f>
        <v/>
      </c>
      <c r="W217" s="596" t="str">
        <f>IF($A217="","",VLOOKUP($A217,기본데이타!$A$8:$BV$103,COLUMN(기본데이타!AA$8),0))</f>
        <v/>
      </c>
      <c r="X217" s="596" t="str">
        <f>IF($A217="","",VLOOKUP($A217,기본데이타!$A$8:$BV$103,COLUMN(기본데이타!AB$8),0))</f>
        <v/>
      </c>
      <c r="Y217" s="595" t="str">
        <f>IF($A217="","",VLOOKUP($A217,기본데이타!$A$8:$BV$103,COLUMN(기본데이타!AC$8),0))</f>
        <v/>
      </c>
      <c r="Z217" s="596" t="str">
        <f>IF($A217="","",VLOOKUP($A217,기본데이타!$A$8:$BV$103,COLUMN(기본데이타!AD$8),0))</f>
        <v/>
      </c>
      <c r="AA217" s="595" t="str">
        <f>IF($A217="","",VLOOKUP($A217,기본데이타!$A$8:$BV$103,COLUMN(기본데이타!AE$8),0))</f>
        <v/>
      </c>
      <c r="AB217" s="596" t="str">
        <f>IF($A217="","",VLOOKUP($A217,기본데이타!$A$8:$BV$103,COLUMN(기본데이타!AF$8),0))</f>
        <v/>
      </c>
      <c r="AC217" s="595" t="str">
        <f>IF($A217="","",VLOOKUP($A217,기본데이타!$A$8:$BV$103,COLUMN(기본데이타!AG$8),0))</f>
        <v/>
      </c>
      <c r="AD217" s="596" t="str">
        <f>IF($A217="","",VLOOKUP($A217,기본데이타!$A$8:$BV$103,COLUMN(기본데이타!AH$8),0))</f>
        <v/>
      </c>
      <c r="AE217" s="595" t="str">
        <f>IF($A217="","",VLOOKUP($A217,기본데이타!$A$8:$BV$103,COLUMN(기본데이타!AI$8),0))</f>
        <v/>
      </c>
      <c r="AF217" s="597" t="str">
        <f>IF($A217="","",VLOOKUP($A217,기본데이타!$A$8:$BV$103,COLUMN(기본데이타!AJ$8),0))</f>
        <v/>
      </c>
      <c r="AG217" s="621" t="str">
        <f>IF($A217="","",VLOOKUP($A217,기본데이타!$A$8:$BV$103,COLUMN(기본데이타!AK$8),0))</f>
        <v/>
      </c>
      <c r="AH217" s="621" t="str">
        <f>IF($A217="","",VLOOKUP($A217,기본데이타!$A$8:$BV$103,COLUMN(기본데이타!AL$8),0))</f>
        <v/>
      </c>
      <c r="AI217" s="621" t="str">
        <f>IF($A217="","",VLOOKUP($A217,기본데이타!$A$8:$BV$103,COLUMN(기본데이타!AM$8),0))</f>
        <v/>
      </c>
      <c r="AJ217" s="642" t="str">
        <f>IF($A217="","",VLOOKUP($A217,기본데이타!$A$8:$BV$103,COLUMN(기본데이타!AN$8),0))</f>
        <v/>
      </c>
      <c r="AK217" s="642" t="str">
        <f>IF($A217="","",VLOOKUP($A217,기본데이타!$A$8:$BV$103,COLUMN(기본데이타!AO$8),0))</f>
        <v/>
      </c>
      <c r="AL217" s="642" t="str">
        <f>IF($A217="","",VLOOKUP($A217,기본데이타!$A$8:$BV$103,COLUMN(기본데이타!AP$8),0))</f>
        <v/>
      </c>
      <c r="AM217" s="642" t="str">
        <f>IF($A217="","",VLOOKUP($A217,기본데이타!$A$8:$BV$103,COLUMN(기본데이타!AQ$8),0))</f>
        <v/>
      </c>
      <c r="AN217" s="642" t="str">
        <f>IF($A217="","",VLOOKUP($A217,기본데이타!$A$8:$BV$103,COLUMN(기본데이타!AR$8),0))</f>
        <v/>
      </c>
      <c r="AO217" s="642" t="str">
        <f>IF($A217="","",VLOOKUP($A217,기본데이타!$A$8:$BV$103,COLUMN(기본데이타!AS$8),0))</f>
        <v/>
      </c>
      <c r="AP217" s="642" t="str">
        <f>IF($A217="","",VLOOKUP($A217,기본데이타!$A$8:$BV$103,COLUMN(기본데이타!AT$8),0))</f>
        <v/>
      </c>
      <c r="AQ217" s="642" t="str">
        <f>IF($A217="","",VLOOKUP($A217,기본데이타!$A$8:$BV$103,COLUMN(기본데이타!AU$8),0))</f>
        <v/>
      </c>
      <c r="AR217" s="643" t="str">
        <f>IF($A217="","",VLOOKUP($A217,기본데이타!$A$8:$BV$103,COLUMN(기본데이타!AV$8),0))</f>
        <v/>
      </c>
      <c r="AS217" s="596" t="str">
        <f>IF($A217="","",VLOOKUP($A217,기본데이타!$A$8:$BV$103,COLUMN(기본데이타!AW$8),0))</f>
        <v/>
      </c>
      <c r="AT217" s="596" t="str">
        <f>IF($A217="","",VLOOKUP($A217,기본데이타!$A$8:$BV$103,COLUMN(기본데이타!AX$8),0))</f>
        <v/>
      </c>
      <c r="AU217" s="596" t="str">
        <f>IF($A217="","",VLOOKUP($A217,기본데이타!$A$8:$BV$103,COLUMN(기본데이타!AY$8),0))</f>
        <v/>
      </c>
      <c r="AV217" s="596" t="str">
        <f t="shared" si="32"/>
        <v/>
      </c>
      <c r="AW217" s="597" t="str">
        <f>IF($A217="","",VLOOKUP($A217,기본데이타!$A$8:$BV$103,COLUMN(기본데이타!BA$8),0))</f>
        <v/>
      </c>
      <c r="AX217" s="597" t="str">
        <f>IF($A217="","",VLOOKUP($A217,기본데이타!$A$8:$BV$103,COLUMN(기본데이타!BB$8),0))</f>
        <v/>
      </c>
      <c r="AY217" s="597" t="str">
        <f>IF($A217="","",VLOOKUP($A217,기본데이타!$A$8:$BV$103,COLUMN(기본데이타!BC$8),0))</f>
        <v/>
      </c>
      <c r="AZ217" s="597" t="str">
        <f>IF($A217="","",VLOOKUP($A217,기본데이타!$A$8:$BV$103,COLUMN(기본데이타!BD$8),0))</f>
        <v/>
      </c>
      <c r="BA217" s="597" t="str">
        <f>IF($A217="","",VLOOKUP($A217,기본데이타!$A$8:$BV$103,COLUMN(기본데이타!BE$8),0))</f>
        <v/>
      </c>
      <c r="BB217" s="597" t="str">
        <f>IF($A217="","",VLOOKUP($A217,기본데이타!$A$8:$BV$103,COLUMN(기본데이타!BF$8),0))</f>
        <v/>
      </c>
      <c r="BC217" s="597" t="str">
        <f>IF($A217="","",VLOOKUP($A217,기본데이타!$A$8:$BV$103,COLUMN(기본데이타!BG$8),0))</f>
        <v/>
      </c>
      <c r="BD217" s="597" t="str">
        <f>IF($A217="","",VLOOKUP($A217,기본데이타!$A$8:$BV$103,COLUMN(기본데이타!BH$8),0))</f>
        <v/>
      </c>
      <c r="BE217" s="597" t="str">
        <f>IF($A217="","",VLOOKUP($A217,기본데이타!$A$8:$BV$103,COLUMN(기본데이타!BI$8),0))</f>
        <v/>
      </c>
      <c r="BF217" s="597" t="str">
        <f>IF($A217="","",VLOOKUP($A217,기본데이타!$A$8:$BV$103,COLUMN(기본데이타!BJ$8),0))</f>
        <v/>
      </c>
      <c r="BG217" s="597" t="str">
        <f>IF($A217="","",VLOOKUP($A217,기본데이타!$A$8:$BV$103,COLUMN(기본데이타!BK$8),0))</f>
        <v/>
      </c>
      <c r="BH217" s="597" t="str">
        <f>IF($A217="","",VLOOKUP($A217,기본데이타!$A$8:$BV$103,COLUMN(기본데이타!BL$8),0))</f>
        <v/>
      </c>
      <c r="BI217" s="597" t="str">
        <f>IF($A217="","",VLOOKUP($A217,기본데이타!$A$8:$BV$103,COLUMN(기본데이타!BM$8),0))</f>
        <v/>
      </c>
      <c r="BJ217" s="597" t="str">
        <f>IF($A217="","",VLOOKUP($A217,기본데이타!$A$8:$BV$103,COLUMN(기본데이타!BN$8),0))</f>
        <v/>
      </c>
      <c r="BK217" s="597" t="str">
        <f>IF($A217="","",VLOOKUP($A217,기본데이타!$A$8:$BV$103,COLUMN(기본데이타!BO$8),0))</f>
        <v/>
      </c>
      <c r="BL217" s="597" t="str">
        <f>IF($A217="","",VLOOKUP($A217,기본데이타!$A$8:$BV$103,COLUMN(기본데이타!BP$8),0))</f>
        <v/>
      </c>
      <c r="BM217" s="597" t="str">
        <f>IF($A217="","",VLOOKUP($A217,기본데이타!$A$8:$BV$103,COLUMN(기본데이타!BQ$8),0))</f>
        <v/>
      </c>
      <c r="BN217" s="599" t="str">
        <f>IF($A217="","",VLOOKUP($A217,기본데이타!$A$8:$BV$103,COLUMN(기본데이타!BR$8),0))</f>
        <v/>
      </c>
      <c r="BO217" s="600" t="str">
        <f>IF($A217="","",VLOOKUP($A217,기본데이타!$A$8:$BV$103,COLUMN(기본데이타!BS$8),0))</f>
        <v/>
      </c>
      <c r="BP217" s="623" t="str">
        <f>IF($A217="","",VLOOKUP($A217,기본데이타!$A$8:$BV$103,COLUMN(기본데이타!BT$8),0))</f>
        <v/>
      </c>
      <c r="BQ217" s="602" t="str">
        <f>IF($A217="","",VLOOKUP($A217,기본데이타!$A$8:$BV$103,COLUMN(기본데이타!BU$8),0))</f>
        <v/>
      </c>
      <c r="BR217" s="603" t="str">
        <f t="shared" si="33"/>
        <v/>
      </c>
    </row>
    <row r="218" spans="1:70" s="571" customFormat="1" ht="50.1" hidden="1" customHeight="1">
      <c r="A218" s="578"/>
      <c r="B218" s="1642"/>
      <c r="C218" s="590"/>
      <c r="D218" s="591" t="str">
        <f>IF($A218="","",VLOOKUP($A218,기본데이타!$A$8:$BV$103,COLUMN(기본데이타!F$8),0))</f>
        <v/>
      </c>
      <c r="E218" s="630" t="str">
        <f>IF($A218="","",VLOOKUP($A218,기본데이타!$A$8:$BV$103,COLUMN(기본데이타!G$8),0))</f>
        <v/>
      </c>
      <c r="F218" s="631" t="str">
        <f>IF($A218="","",VLOOKUP($A218,기본데이타!$A$8:$BV$103,COLUMN(기본데이타!H$8),0))</f>
        <v/>
      </c>
      <c r="G218" s="632" t="str">
        <f>IF($A218="","",VLOOKUP($A218,기본데이타!$A$8:$BV$103,COLUMN(기본데이타!I$8),0))</f>
        <v/>
      </c>
      <c r="H218" s="632" t="str">
        <f>IF($A218="","",VLOOKUP($A218,기본데이타!$A$8:$BV$103,COLUMN(기본데이타!J$8),0))</f>
        <v/>
      </c>
      <c r="I218" s="595" t="str">
        <f>IF($A218="","",VLOOKUP($A218,기본데이타!$A$8:$BV$103,COLUMN(기본데이타!K$8),0))</f>
        <v/>
      </c>
      <c r="J218" s="595" t="str">
        <f>IF($A218="","",VLOOKUP($A218,기본데이타!$A$8:$BV$103,COLUMN(기본데이타!L$8),0))</f>
        <v/>
      </c>
      <c r="K218" s="595" t="str">
        <f>IF($A218="","",VLOOKUP($A218,기본데이타!$A$8:$BV$103,COLUMN(기본데이타!M$8),0))</f>
        <v/>
      </c>
      <c r="L218" s="596" t="str">
        <f>IF($A218="","",VLOOKUP($A218,기본데이타!$A$8:$BV$103,COLUMN(기본데이타!N$8),0))</f>
        <v/>
      </c>
      <c r="M218" s="595" t="str">
        <f>IF($A218="","",VLOOKUP($A218,기본데이타!$A$8:$BV$103,COLUMN(기본데이타!O$8),0))</f>
        <v/>
      </c>
      <c r="N218" s="596" t="str">
        <f>IF($A218="","",VLOOKUP($A218,기본데이타!$A$8:$BV$103,COLUMN(기본데이타!P$8),0))</f>
        <v/>
      </c>
      <c r="O218" s="596" t="str">
        <f>IF($A218="","",VLOOKUP($A218,기본데이타!$A$8:$BV$103,COLUMN(기본데이타!Q$8),0))</f>
        <v/>
      </c>
      <c r="P218" s="596" t="str">
        <f>IF($A218="","",VLOOKUP($A218,기본데이타!$A$8:$BV$103,COLUMN(기본데이타!R$8),0))</f>
        <v/>
      </c>
      <c r="Q218" s="596" t="str">
        <f>IF($A218="","",VLOOKUP($A218,기본데이타!$A$8:$BV$103,COLUMN(기본데이타!S$8),0))</f>
        <v/>
      </c>
      <c r="R218" s="596" t="str">
        <f>IF($A218="","",VLOOKUP($A218,기본데이타!$A$8:$BV$103,COLUMN(기본데이타!T$8),0))</f>
        <v/>
      </c>
      <c r="S218" s="596" t="str">
        <f>IF($A218="","",VLOOKUP($A218,기본데이타!$A$8:$BV$103,COLUMN(기본데이타!U$8),0))</f>
        <v/>
      </c>
      <c r="T218" s="596" t="str">
        <f>IF($A218="","",VLOOKUP($A218,기본데이타!$A$8:$BV$103,COLUMN(기본데이타!V$8),0))</f>
        <v/>
      </c>
      <c r="U218" s="596" t="str">
        <f>IF($A218="","",VLOOKUP($A218,기본데이타!$A$8:$BV$103,COLUMN(기본데이타!W$8),0))</f>
        <v/>
      </c>
      <c r="V218" s="596" t="str">
        <f>IF($A218="","",VLOOKUP($A218,기본데이타!$A$8:$BV$103,COLUMN(기본데이타!X$8),0))</f>
        <v/>
      </c>
      <c r="W218" s="596" t="str">
        <f>IF($A218="","",VLOOKUP($A218,기본데이타!$A$8:$BV$103,COLUMN(기본데이타!AA$8),0))</f>
        <v/>
      </c>
      <c r="X218" s="596" t="str">
        <f>IF($A218="","",VLOOKUP($A218,기본데이타!$A$8:$BV$103,COLUMN(기본데이타!AB$8),0))</f>
        <v/>
      </c>
      <c r="Y218" s="595" t="str">
        <f>IF($A218="","",VLOOKUP($A218,기본데이타!$A$8:$BV$103,COLUMN(기본데이타!AC$8),0))</f>
        <v/>
      </c>
      <c r="Z218" s="596" t="str">
        <f>IF($A218="","",VLOOKUP($A218,기본데이타!$A$8:$BV$103,COLUMN(기본데이타!AD$8),0))</f>
        <v/>
      </c>
      <c r="AA218" s="595" t="str">
        <f>IF($A218="","",VLOOKUP($A218,기본데이타!$A$8:$BV$103,COLUMN(기본데이타!AE$8),0))</f>
        <v/>
      </c>
      <c r="AB218" s="596" t="str">
        <f>IF($A218="","",VLOOKUP($A218,기본데이타!$A$8:$BV$103,COLUMN(기본데이타!AF$8),0))</f>
        <v/>
      </c>
      <c r="AC218" s="595" t="str">
        <f>IF($A218="","",VLOOKUP($A218,기본데이타!$A$8:$BV$103,COLUMN(기본데이타!AG$8),0))</f>
        <v/>
      </c>
      <c r="AD218" s="596" t="str">
        <f>IF($A218="","",VLOOKUP($A218,기본데이타!$A$8:$BV$103,COLUMN(기본데이타!AH$8),0))</f>
        <v/>
      </c>
      <c r="AE218" s="595" t="str">
        <f>IF($A218="","",VLOOKUP($A218,기본데이타!$A$8:$BV$103,COLUMN(기본데이타!AI$8),0))</f>
        <v/>
      </c>
      <c r="AF218" s="597" t="str">
        <f>IF($A218="","",VLOOKUP($A218,기본데이타!$A$8:$BV$103,COLUMN(기본데이타!AJ$8),0))</f>
        <v/>
      </c>
      <c r="AG218" s="621" t="str">
        <f>IF($A218="","",VLOOKUP($A218,기본데이타!$A$8:$BV$103,COLUMN(기본데이타!AK$8),0))</f>
        <v/>
      </c>
      <c r="AH218" s="621" t="str">
        <f>IF($A218="","",VLOOKUP($A218,기본데이타!$A$8:$BV$103,COLUMN(기본데이타!AL$8),0))</f>
        <v/>
      </c>
      <c r="AI218" s="621" t="str">
        <f>IF($A218="","",VLOOKUP($A218,기본데이타!$A$8:$BV$103,COLUMN(기본데이타!AM$8),0))</f>
        <v/>
      </c>
      <c r="AJ218" s="642" t="str">
        <f>IF($A218="","",VLOOKUP($A218,기본데이타!$A$8:$BV$103,COLUMN(기본데이타!AN$8),0))</f>
        <v/>
      </c>
      <c r="AK218" s="642" t="str">
        <f>IF($A218="","",VLOOKUP($A218,기본데이타!$A$8:$BV$103,COLUMN(기본데이타!AO$8),0))</f>
        <v/>
      </c>
      <c r="AL218" s="642" t="str">
        <f>IF($A218="","",VLOOKUP($A218,기본데이타!$A$8:$BV$103,COLUMN(기본데이타!AP$8),0))</f>
        <v/>
      </c>
      <c r="AM218" s="642" t="str">
        <f>IF($A218="","",VLOOKUP($A218,기본데이타!$A$8:$BV$103,COLUMN(기본데이타!AQ$8),0))</f>
        <v/>
      </c>
      <c r="AN218" s="642" t="str">
        <f>IF($A218="","",VLOOKUP($A218,기본데이타!$A$8:$BV$103,COLUMN(기본데이타!AR$8),0))</f>
        <v/>
      </c>
      <c r="AO218" s="642" t="str">
        <f>IF($A218="","",VLOOKUP($A218,기본데이타!$A$8:$BV$103,COLUMN(기본데이타!AS$8),0))</f>
        <v/>
      </c>
      <c r="AP218" s="642" t="str">
        <f>IF($A218="","",VLOOKUP($A218,기본데이타!$A$8:$BV$103,COLUMN(기본데이타!AT$8),0))</f>
        <v/>
      </c>
      <c r="AQ218" s="642" t="str">
        <f>IF($A218="","",VLOOKUP($A218,기본데이타!$A$8:$BV$103,COLUMN(기본데이타!AU$8),0))</f>
        <v/>
      </c>
      <c r="AR218" s="643" t="str">
        <f>IF($A218="","",VLOOKUP($A218,기본데이타!$A$8:$BV$103,COLUMN(기본데이타!AV$8),0))</f>
        <v/>
      </c>
      <c r="AS218" s="596" t="str">
        <f>IF($A218="","",VLOOKUP($A218,기본데이타!$A$8:$BV$103,COLUMN(기본데이타!AW$8),0))</f>
        <v/>
      </c>
      <c r="AT218" s="596" t="str">
        <f>IF($A218="","",VLOOKUP($A218,기본데이타!$A$8:$BV$103,COLUMN(기본데이타!AX$8),0))</f>
        <v/>
      </c>
      <c r="AU218" s="596" t="str">
        <f>IF($A218="","",VLOOKUP($A218,기본데이타!$A$8:$BV$103,COLUMN(기본데이타!AY$8),0))</f>
        <v/>
      </c>
      <c r="AV218" s="596" t="str">
        <f t="shared" si="32"/>
        <v/>
      </c>
      <c r="AW218" s="597" t="str">
        <f>IF($A218="","",VLOOKUP($A218,기본데이타!$A$8:$BV$103,COLUMN(기본데이타!BA$8),0))</f>
        <v/>
      </c>
      <c r="AX218" s="597" t="str">
        <f>IF($A218="","",VLOOKUP($A218,기본데이타!$A$8:$BV$103,COLUMN(기본데이타!BB$8),0))</f>
        <v/>
      </c>
      <c r="AY218" s="597" t="str">
        <f>IF($A218="","",VLOOKUP($A218,기본데이타!$A$8:$BV$103,COLUMN(기본데이타!BC$8),0))</f>
        <v/>
      </c>
      <c r="AZ218" s="597" t="str">
        <f>IF($A218="","",VLOOKUP($A218,기본데이타!$A$8:$BV$103,COLUMN(기본데이타!BD$8),0))</f>
        <v/>
      </c>
      <c r="BA218" s="597" t="str">
        <f>IF($A218="","",VLOOKUP($A218,기본데이타!$A$8:$BV$103,COLUMN(기본데이타!BE$8),0))</f>
        <v/>
      </c>
      <c r="BB218" s="597" t="str">
        <f>IF($A218="","",VLOOKUP($A218,기본데이타!$A$8:$BV$103,COLUMN(기본데이타!BF$8),0))</f>
        <v/>
      </c>
      <c r="BC218" s="597" t="str">
        <f>IF($A218="","",VLOOKUP($A218,기본데이타!$A$8:$BV$103,COLUMN(기본데이타!BG$8),0))</f>
        <v/>
      </c>
      <c r="BD218" s="597" t="str">
        <f>IF($A218="","",VLOOKUP($A218,기본데이타!$A$8:$BV$103,COLUMN(기본데이타!BH$8),0))</f>
        <v/>
      </c>
      <c r="BE218" s="597" t="str">
        <f>IF($A218="","",VLOOKUP($A218,기본데이타!$A$8:$BV$103,COLUMN(기본데이타!BI$8),0))</f>
        <v/>
      </c>
      <c r="BF218" s="597" t="str">
        <f>IF($A218="","",VLOOKUP($A218,기본데이타!$A$8:$BV$103,COLUMN(기본데이타!BJ$8),0))</f>
        <v/>
      </c>
      <c r="BG218" s="597" t="str">
        <f>IF($A218="","",VLOOKUP($A218,기본데이타!$A$8:$BV$103,COLUMN(기본데이타!BK$8),0))</f>
        <v/>
      </c>
      <c r="BH218" s="597" t="str">
        <f>IF($A218="","",VLOOKUP($A218,기본데이타!$A$8:$BV$103,COLUMN(기본데이타!BL$8),0))</f>
        <v/>
      </c>
      <c r="BI218" s="597" t="str">
        <f>IF($A218="","",VLOOKUP($A218,기본데이타!$A$8:$BV$103,COLUMN(기본데이타!BM$8),0))</f>
        <v/>
      </c>
      <c r="BJ218" s="597" t="str">
        <f>IF($A218="","",VLOOKUP($A218,기본데이타!$A$8:$BV$103,COLUMN(기본데이타!BN$8),0))</f>
        <v/>
      </c>
      <c r="BK218" s="597" t="str">
        <f>IF($A218="","",VLOOKUP($A218,기본데이타!$A$8:$BV$103,COLUMN(기본데이타!BO$8),0))</f>
        <v/>
      </c>
      <c r="BL218" s="597" t="str">
        <f>IF($A218="","",VLOOKUP($A218,기본데이타!$A$8:$BV$103,COLUMN(기본데이타!BP$8),0))</f>
        <v/>
      </c>
      <c r="BM218" s="597" t="str">
        <f>IF($A218="","",VLOOKUP($A218,기본데이타!$A$8:$BV$103,COLUMN(기본데이타!BQ$8),0))</f>
        <v/>
      </c>
      <c r="BN218" s="599" t="str">
        <f>IF($A218="","",VLOOKUP($A218,기본데이타!$A$8:$BV$103,COLUMN(기본데이타!BR$8),0))</f>
        <v/>
      </c>
      <c r="BO218" s="600" t="str">
        <f>IF($A218="","",VLOOKUP($A218,기본데이타!$A$8:$BV$103,COLUMN(기본데이타!BS$8),0))</f>
        <v/>
      </c>
      <c r="BP218" s="623" t="str">
        <f>IF($A218="","",VLOOKUP($A218,기본데이타!$A$8:$BV$103,COLUMN(기본데이타!BT$8),0))</f>
        <v/>
      </c>
      <c r="BQ218" s="602" t="str">
        <f>IF($A218="","",VLOOKUP($A218,기본데이타!$A$8:$BV$103,COLUMN(기본데이타!BU$8),0))</f>
        <v/>
      </c>
      <c r="BR218" s="603" t="str">
        <f t="shared" si="33"/>
        <v/>
      </c>
    </row>
    <row r="219" spans="1:70" s="571" customFormat="1" ht="50.1" hidden="1" customHeight="1">
      <c r="A219" s="578"/>
      <c r="B219" s="1642"/>
      <c r="C219" s="590"/>
      <c r="D219" s="591" t="str">
        <f>IF($A219="","",VLOOKUP($A219,기본데이타!$A$8:$BV$103,COLUMN(기본데이타!F$8),0))</f>
        <v/>
      </c>
      <c r="E219" s="592" t="str">
        <f>IF($A219="","",VLOOKUP($A219,기본데이타!$A$8:$BV$103,COLUMN(기본데이타!G$8),0))</f>
        <v/>
      </c>
      <c r="F219" s="593" t="str">
        <f>IF($A219="","",VLOOKUP($A219,기본데이타!$A$8:$BV$103,COLUMN(기본데이타!H$8),0))</f>
        <v/>
      </c>
      <c r="G219" s="594" t="str">
        <f>IF($A219="","",VLOOKUP($A219,기본데이타!$A$8:$BV$103,COLUMN(기본데이타!I$8),0))</f>
        <v/>
      </c>
      <c r="H219" s="594" t="str">
        <f>IF($A219="","",VLOOKUP($A219,기본데이타!$A$8:$BV$103,COLUMN(기본데이타!J$8),0))</f>
        <v/>
      </c>
      <c r="I219" s="595" t="str">
        <f>IF($A219="","",VLOOKUP($A219,기본데이타!$A$8:$BV$103,COLUMN(기본데이타!K$8),0))</f>
        <v/>
      </c>
      <c r="J219" s="595" t="str">
        <f>IF($A219="","",VLOOKUP($A219,기본데이타!$A$8:$BV$103,COLUMN(기본데이타!L$8),0))</f>
        <v/>
      </c>
      <c r="K219" s="595" t="str">
        <f>IF($A219="","",VLOOKUP($A219,기본데이타!$A$8:$BV$103,COLUMN(기본데이타!M$8),0))</f>
        <v/>
      </c>
      <c r="L219" s="596" t="str">
        <f>IF($A219="","",VLOOKUP($A219,기본데이타!$A$8:$BV$103,COLUMN(기본데이타!N$8),0))</f>
        <v/>
      </c>
      <c r="M219" s="595" t="str">
        <f>IF($A219="","",VLOOKUP($A219,기본데이타!$A$8:$BV$103,COLUMN(기본데이타!O$8),0))</f>
        <v/>
      </c>
      <c r="N219" s="596" t="str">
        <f>IF($A219="","",VLOOKUP($A219,기본데이타!$A$8:$BV$103,COLUMN(기본데이타!P$8),0))</f>
        <v/>
      </c>
      <c r="O219" s="596" t="str">
        <f>IF($A219="","",VLOOKUP($A219,기본데이타!$A$8:$BV$103,COLUMN(기본데이타!Q$8),0))</f>
        <v/>
      </c>
      <c r="P219" s="596" t="str">
        <f>IF($A219="","",VLOOKUP($A219,기본데이타!$A$8:$BV$103,COLUMN(기본데이타!R$8),0))</f>
        <v/>
      </c>
      <c r="Q219" s="596" t="str">
        <f>IF($A219="","",VLOOKUP($A219,기본데이타!$A$8:$BV$103,COLUMN(기본데이타!S$8),0))</f>
        <v/>
      </c>
      <c r="R219" s="596" t="str">
        <f>IF($A219="","",VLOOKUP($A219,기본데이타!$A$8:$BV$103,COLUMN(기본데이타!T$8),0))</f>
        <v/>
      </c>
      <c r="S219" s="596" t="str">
        <f>IF($A219="","",VLOOKUP($A219,기본데이타!$A$8:$BV$103,COLUMN(기본데이타!U$8),0))</f>
        <v/>
      </c>
      <c r="T219" s="596" t="str">
        <f>IF($A219="","",VLOOKUP($A219,기본데이타!$A$8:$BV$103,COLUMN(기본데이타!V$8),0))</f>
        <v/>
      </c>
      <c r="U219" s="596" t="str">
        <f>IF($A219="","",VLOOKUP($A219,기본데이타!$A$8:$BV$103,COLUMN(기본데이타!W$8),0))</f>
        <v/>
      </c>
      <c r="V219" s="596" t="str">
        <f>IF($A219="","",VLOOKUP($A219,기본데이타!$A$8:$BV$103,COLUMN(기본데이타!X$8),0))</f>
        <v/>
      </c>
      <c r="W219" s="596" t="str">
        <f>IF($A219="","",VLOOKUP($A219,기본데이타!$A$8:$BV$103,COLUMN(기본데이타!AA$8),0))</f>
        <v/>
      </c>
      <c r="X219" s="596" t="str">
        <f>IF($A219="","",VLOOKUP($A219,기본데이타!$A$8:$BV$103,COLUMN(기본데이타!AB$8),0))</f>
        <v/>
      </c>
      <c r="Y219" s="595" t="str">
        <f>IF($A219="","",VLOOKUP($A219,기본데이타!$A$8:$BV$103,COLUMN(기본데이타!AC$8),0))</f>
        <v/>
      </c>
      <c r="Z219" s="596" t="str">
        <f>IF($A219="","",VLOOKUP($A219,기본데이타!$A$8:$BV$103,COLUMN(기본데이타!AD$8),0))</f>
        <v/>
      </c>
      <c r="AA219" s="595" t="str">
        <f>IF($A219="","",VLOOKUP($A219,기본데이타!$A$8:$BV$103,COLUMN(기본데이타!AE$8),0))</f>
        <v/>
      </c>
      <c r="AB219" s="596" t="str">
        <f>IF($A219="","",VLOOKUP($A219,기본데이타!$A$8:$BV$103,COLUMN(기본데이타!AF$8),0))</f>
        <v/>
      </c>
      <c r="AC219" s="595" t="str">
        <f>IF($A219="","",VLOOKUP($A219,기본데이타!$A$8:$BV$103,COLUMN(기본데이타!AG$8),0))</f>
        <v/>
      </c>
      <c r="AD219" s="596" t="str">
        <f>IF($A219="","",VLOOKUP($A219,기본데이타!$A$8:$BV$103,COLUMN(기본데이타!AH$8),0))</f>
        <v/>
      </c>
      <c r="AE219" s="595" t="str">
        <f>IF($A219="","",VLOOKUP($A219,기본데이타!$A$8:$BV$103,COLUMN(기본데이타!AI$8),0))</f>
        <v/>
      </c>
      <c r="AF219" s="597" t="str">
        <f>IF($A219="","",VLOOKUP($A219,기본데이타!$A$8:$BV$103,COLUMN(기본데이타!AJ$8),0))</f>
        <v/>
      </c>
      <c r="AG219" s="621" t="str">
        <f>IF($A219="","",VLOOKUP($A219,기본데이타!$A$8:$BV$103,COLUMN(기본데이타!AK$8),0))</f>
        <v/>
      </c>
      <c r="AH219" s="621" t="str">
        <f>IF($A219="","",VLOOKUP($A219,기본데이타!$A$8:$BV$103,COLUMN(기본데이타!AL$8),0))</f>
        <v/>
      </c>
      <c r="AI219" s="621" t="str">
        <f>IF($A219="","",VLOOKUP($A219,기본데이타!$A$8:$BV$103,COLUMN(기본데이타!AM$8),0))</f>
        <v/>
      </c>
      <c r="AJ219" s="642" t="str">
        <f>IF($A219="","",VLOOKUP($A219,기본데이타!$A$8:$BV$103,COLUMN(기본데이타!AN$8),0))</f>
        <v/>
      </c>
      <c r="AK219" s="642" t="str">
        <f>IF($A219="","",VLOOKUP($A219,기본데이타!$A$8:$BV$103,COLUMN(기본데이타!AO$8),0))</f>
        <v/>
      </c>
      <c r="AL219" s="642" t="str">
        <f>IF($A219="","",VLOOKUP($A219,기본데이타!$A$8:$BV$103,COLUMN(기본데이타!AP$8),0))</f>
        <v/>
      </c>
      <c r="AM219" s="642" t="str">
        <f>IF($A219="","",VLOOKUP($A219,기본데이타!$A$8:$BV$103,COLUMN(기본데이타!AQ$8),0))</f>
        <v/>
      </c>
      <c r="AN219" s="642" t="str">
        <f>IF($A219="","",VLOOKUP($A219,기본데이타!$A$8:$BV$103,COLUMN(기본데이타!AR$8),0))</f>
        <v/>
      </c>
      <c r="AO219" s="642" t="str">
        <f>IF($A219="","",VLOOKUP($A219,기본데이타!$A$8:$BV$103,COLUMN(기본데이타!AS$8),0))</f>
        <v/>
      </c>
      <c r="AP219" s="642" t="str">
        <f>IF($A219="","",VLOOKUP($A219,기본데이타!$A$8:$BV$103,COLUMN(기본데이타!AT$8),0))</f>
        <v/>
      </c>
      <c r="AQ219" s="642" t="str">
        <f>IF($A219="","",VLOOKUP($A219,기본데이타!$A$8:$BV$103,COLUMN(기본데이타!AU$8),0))</f>
        <v/>
      </c>
      <c r="AR219" s="643" t="str">
        <f>IF($A219="","",VLOOKUP($A219,기본데이타!$A$8:$BV$103,COLUMN(기본데이타!AV$8),0))</f>
        <v/>
      </c>
      <c r="AS219" s="596" t="str">
        <f>IF($A219="","",VLOOKUP($A219,기본데이타!$A$8:$BV$103,COLUMN(기본데이타!AW$8),0))</f>
        <v/>
      </c>
      <c r="AT219" s="596" t="str">
        <f>IF($A219="","",VLOOKUP($A219,기본데이타!$A$8:$BV$103,COLUMN(기본데이타!AX$8),0))</f>
        <v/>
      </c>
      <c r="AU219" s="596" t="str">
        <f>IF($A219="","",VLOOKUP($A219,기본데이타!$A$8:$BV$103,COLUMN(기본데이타!AY$8),0))</f>
        <v/>
      </c>
      <c r="AV219" s="596" t="str">
        <f t="shared" si="32"/>
        <v/>
      </c>
      <c r="AW219" s="597" t="str">
        <f>IF($A219="","",VLOOKUP($A219,기본데이타!$A$8:$BV$103,COLUMN(기본데이타!BA$8),0))</f>
        <v/>
      </c>
      <c r="AX219" s="597" t="str">
        <f>IF($A219="","",VLOOKUP($A219,기본데이타!$A$8:$BV$103,COLUMN(기본데이타!BB$8),0))</f>
        <v/>
      </c>
      <c r="AY219" s="597" t="str">
        <f>IF($A219="","",VLOOKUP($A219,기본데이타!$A$8:$BV$103,COLUMN(기본데이타!BC$8),0))</f>
        <v/>
      </c>
      <c r="AZ219" s="597" t="str">
        <f>IF($A219="","",VLOOKUP($A219,기본데이타!$A$8:$BV$103,COLUMN(기본데이타!BD$8),0))</f>
        <v/>
      </c>
      <c r="BA219" s="597" t="str">
        <f>IF($A219="","",VLOOKUP($A219,기본데이타!$A$8:$BV$103,COLUMN(기본데이타!BE$8),0))</f>
        <v/>
      </c>
      <c r="BB219" s="597" t="str">
        <f>IF($A219="","",VLOOKUP($A219,기본데이타!$A$8:$BV$103,COLUMN(기본데이타!BF$8),0))</f>
        <v/>
      </c>
      <c r="BC219" s="597" t="str">
        <f>IF($A219="","",VLOOKUP($A219,기본데이타!$A$8:$BV$103,COLUMN(기본데이타!BG$8),0))</f>
        <v/>
      </c>
      <c r="BD219" s="597" t="str">
        <f>IF($A219="","",VLOOKUP($A219,기본데이타!$A$8:$BV$103,COLUMN(기본데이타!BH$8),0))</f>
        <v/>
      </c>
      <c r="BE219" s="597" t="str">
        <f>IF($A219="","",VLOOKUP($A219,기본데이타!$A$8:$BV$103,COLUMN(기본데이타!BI$8),0))</f>
        <v/>
      </c>
      <c r="BF219" s="597" t="str">
        <f>IF($A219="","",VLOOKUP($A219,기본데이타!$A$8:$BV$103,COLUMN(기본데이타!BJ$8),0))</f>
        <v/>
      </c>
      <c r="BG219" s="597" t="str">
        <f>IF($A219="","",VLOOKUP($A219,기본데이타!$A$8:$BV$103,COLUMN(기본데이타!BK$8),0))</f>
        <v/>
      </c>
      <c r="BH219" s="597" t="str">
        <f>IF($A219="","",VLOOKUP($A219,기본데이타!$A$8:$BV$103,COLUMN(기본데이타!BL$8),0))</f>
        <v/>
      </c>
      <c r="BI219" s="597" t="str">
        <f>IF($A219="","",VLOOKUP($A219,기본데이타!$A$8:$BV$103,COLUMN(기본데이타!BM$8),0))</f>
        <v/>
      </c>
      <c r="BJ219" s="597" t="str">
        <f>IF($A219="","",VLOOKUP($A219,기본데이타!$A$8:$BV$103,COLUMN(기본데이타!BN$8),0))</f>
        <v/>
      </c>
      <c r="BK219" s="597" t="str">
        <f>IF($A219="","",VLOOKUP($A219,기본데이타!$A$8:$BV$103,COLUMN(기본데이타!BO$8),0))</f>
        <v/>
      </c>
      <c r="BL219" s="597" t="str">
        <f>IF($A219="","",VLOOKUP($A219,기본데이타!$A$8:$BV$103,COLUMN(기본데이타!BP$8),0))</f>
        <v/>
      </c>
      <c r="BM219" s="597" t="str">
        <f>IF($A219="","",VLOOKUP($A219,기본데이타!$A$8:$BV$103,COLUMN(기본데이타!BQ$8),0))</f>
        <v/>
      </c>
      <c r="BN219" s="599" t="str">
        <f>IF($A219="","",VLOOKUP($A219,기본데이타!$A$8:$BV$103,COLUMN(기본데이타!BR$8),0))</f>
        <v/>
      </c>
      <c r="BO219" s="600" t="str">
        <f>IF($A219="","",VLOOKUP($A219,기본데이타!$A$8:$BV$103,COLUMN(기본데이타!BS$8),0))</f>
        <v/>
      </c>
      <c r="BP219" s="623" t="str">
        <f>IF($A219="","",VLOOKUP($A219,기본데이타!$A$8:$BV$103,COLUMN(기본데이타!BT$8),0))</f>
        <v/>
      </c>
      <c r="BQ219" s="602" t="str">
        <f>IF($A219="","",VLOOKUP($A219,기본데이타!$A$8:$BV$103,COLUMN(기본데이타!BU$8),0))</f>
        <v/>
      </c>
      <c r="BR219" s="603" t="str">
        <f t="shared" si="33"/>
        <v/>
      </c>
    </row>
    <row r="220" spans="1:70" s="571" customFormat="1" ht="50.1" hidden="1" customHeight="1">
      <c r="A220" s="578"/>
      <c r="B220" s="1642"/>
      <c r="C220" s="590"/>
      <c r="D220" s="591" t="str">
        <f>IF($A220="","",VLOOKUP($A220,기본데이타!$A$8:$BV$103,COLUMN(기본데이타!F$8),0))</f>
        <v/>
      </c>
      <c r="E220" s="592" t="str">
        <f>IF($A220="","",VLOOKUP($A220,기본데이타!$A$8:$BV$103,COLUMN(기본데이타!G$8),0))</f>
        <v/>
      </c>
      <c r="F220" s="593" t="str">
        <f>IF($A220="","",VLOOKUP($A220,기본데이타!$A$8:$BV$103,COLUMN(기본데이타!H$8),0))</f>
        <v/>
      </c>
      <c r="G220" s="594" t="str">
        <f>IF($A220="","",VLOOKUP($A220,기본데이타!$A$8:$BV$103,COLUMN(기본데이타!I$8),0))</f>
        <v/>
      </c>
      <c r="H220" s="594" t="str">
        <f>IF($A220="","",VLOOKUP($A220,기본데이타!$A$8:$BV$103,COLUMN(기본데이타!J$8),0))</f>
        <v/>
      </c>
      <c r="I220" s="595" t="str">
        <f>IF($A220="","",VLOOKUP($A220,기본데이타!$A$8:$BV$103,COLUMN(기본데이타!K$8),0))</f>
        <v/>
      </c>
      <c r="J220" s="595" t="str">
        <f>IF($A220="","",VLOOKUP($A220,기본데이타!$A$8:$BV$103,COLUMN(기본데이타!L$8),0))</f>
        <v/>
      </c>
      <c r="K220" s="595" t="str">
        <f>IF($A220="","",VLOOKUP($A220,기본데이타!$A$8:$BV$103,COLUMN(기본데이타!M$8),0))</f>
        <v/>
      </c>
      <c r="L220" s="596" t="str">
        <f>IF($A220="","",VLOOKUP($A220,기본데이타!$A$8:$BV$103,COLUMN(기본데이타!N$8),0))</f>
        <v/>
      </c>
      <c r="M220" s="595" t="str">
        <f>IF($A220="","",VLOOKUP($A220,기본데이타!$A$8:$BV$103,COLUMN(기본데이타!O$8),0))</f>
        <v/>
      </c>
      <c r="N220" s="596" t="str">
        <f>IF($A220="","",VLOOKUP($A220,기본데이타!$A$8:$BV$103,COLUMN(기본데이타!P$8),0))</f>
        <v/>
      </c>
      <c r="O220" s="596" t="str">
        <f>IF($A220="","",VLOOKUP($A220,기본데이타!$A$8:$BV$103,COLUMN(기본데이타!Q$8),0))</f>
        <v/>
      </c>
      <c r="P220" s="596" t="str">
        <f>IF($A220="","",VLOOKUP($A220,기본데이타!$A$8:$BV$103,COLUMN(기본데이타!R$8),0))</f>
        <v/>
      </c>
      <c r="Q220" s="596" t="str">
        <f>IF($A220="","",VLOOKUP($A220,기본데이타!$A$8:$BV$103,COLUMN(기본데이타!S$8),0))</f>
        <v/>
      </c>
      <c r="R220" s="596" t="str">
        <f>IF($A220="","",VLOOKUP($A220,기본데이타!$A$8:$BV$103,COLUMN(기본데이타!T$8),0))</f>
        <v/>
      </c>
      <c r="S220" s="596" t="str">
        <f>IF($A220="","",VLOOKUP($A220,기본데이타!$A$8:$BV$103,COLUMN(기본데이타!U$8),0))</f>
        <v/>
      </c>
      <c r="T220" s="596" t="str">
        <f>IF($A220="","",VLOOKUP($A220,기본데이타!$A$8:$BV$103,COLUMN(기본데이타!V$8),0))</f>
        <v/>
      </c>
      <c r="U220" s="596" t="str">
        <f>IF($A220="","",VLOOKUP($A220,기본데이타!$A$8:$BV$103,COLUMN(기본데이타!W$8),0))</f>
        <v/>
      </c>
      <c r="V220" s="596" t="str">
        <f>IF($A220="","",VLOOKUP($A220,기본데이타!$A$8:$BV$103,COLUMN(기본데이타!X$8),0))</f>
        <v/>
      </c>
      <c r="W220" s="596" t="str">
        <f>IF($A220="","",VLOOKUP($A220,기본데이타!$A$8:$BV$103,COLUMN(기본데이타!AA$8),0))</f>
        <v/>
      </c>
      <c r="X220" s="596" t="str">
        <f>IF($A220="","",VLOOKUP($A220,기본데이타!$A$8:$BV$103,COLUMN(기본데이타!AB$8),0))</f>
        <v/>
      </c>
      <c r="Y220" s="595" t="str">
        <f>IF($A220="","",VLOOKUP($A220,기본데이타!$A$8:$BV$103,COLUMN(기본데이타!AC$8),0))</f>
        <v/>
      </c>
      <c r="Z220" s="596" t="str">
        <f>IF($A220="","",VLOOKUP($A220,기본데이타!$A$8:$BV$103,COLUMN(기본데이타!AD$8),0))</f>
        <v/>
      </c>
      <c r="AA220" s="595" t="str">
        <f>IF($A220="","",VLOOKUP($A220,기본데이타!$A$8:$BV$103,COLUMN(기본데이타!AE$8),0))</f>
        <v/>
      </c>
      <c r="AB220" s="596" t="str">
        <f>IF($A220="","",VLOOKUP($A220,기본데이타!$A$8:$BV$103,COLUMN(기본데이타!AF$8),0))</f>
        <v/>
      </c>
      <c r="AC220" s="595" t="str">
        <f>IF($A220="","",VLOOKUP($A220,기본데이타!$A$8:$BV$103,COLUMN(기본데이타!AG$8),0))</f>
        <v/>
      </c>
      <c r="AD220" s="596" t="str">
        <f>IF($A220="","",VLOOKUP($A220,기본데이타!$A$8:$BV$103,COLUMN(기본데이타!AH$8),0))</f>
        <v/>
      </c>
      <c r="AE220" s="595" t="str">
        <f>IF($A220="","",VLOOKUP($A220,기본데이타!$A$8:$BV$103,COLUMN(기본데이타!AI$8),0))</f>
        <v/>
      </c>
      <c r="AF220" s="597" t="str">
        <f>IF($A220="","",VLOOKUP($A220,기본데이타!$A$8:$BV$103,COLUMN(기본데이타!AJ$8),0))</f>
        <v/>
      </c>
      <c r="AG220" s="621" t="str">
        <f>IF($A220="","",VLOOKUP($A220,기본데이타!$A$8:$BV$103,COLUMN(기본데이타!AK$8),0))</f>
        <v/>
      </c>
      <c r="AH220" s="621" t="str">
        <f>IF($A220="","",VLOOKUP($A220,기본데이타!$A$8:$BV$103,COLUMN(기본데이타!AL$8),0))</f>
        <v/>
      </c>
      <c r="AI220" s="621" t="str">
        <f>IF($A220="","",VLOOKUP($A220,기본데이타!$A$8:$BV$103,COLUMN(기본데이타!AM$8),0))</f>
        <v/>
      </c>
      <c r="AJ220" s="642" t="str">
        <f>IF($A220="","",VLOOKUP($A220,기본데이타!$A$8:$BV$103,COLUMN(기본데이타!AN$8),0))</f>
        <v/>
      </c>
      <c r="AK220" s="642" t="str">
        <f>IF($A220="","",VLOOKUP($A220,기본데이타!$A$8:$BV$103,COLUMN(기본데이타!AO$8),0))</f>
        <v/>
      </c>
      <c r="AL220" s="642" t="str">
        <f>IF($A220="","",VLOOKUP($A220,기본데이타!$A$8:$BV$103,COLUMN(기본데이타!AP$8),0))</f>
        <v/>
      </c>
      <c r="AM220" s="642" t="str">
        <f>IF($A220="","",VLOOKUP($A220,기본데이타!$A$8:$BV$103,COLUMN(기본데이타!AQ$8),0))</f>
        <v/>
      </c>
      <c r="AN220" s="642" t="str">
        <f>IF($A220="","",VLOOKUP($A220,기본데이타!$A$8:$BV$103,COLUMN(기본데이타!AR$8),0))</f>
        <v/>
      </c>
      <c r="AO220" s="642" t="str">
        <f>IF($A220="","",VLOOKUP($A220,기본데이타!$A$8:$BV$103,COLUMN(기본데이타!AS$8),0))</f>
        <v/>
      </c>
      <c r="AP220" s="642" t="str">
        <f>IF($A220="","",VLOOKUP($A220,기본데이타!$A$8:$BV$103,COLUMN(기본데이타!AT$8),0))</f>
        <v/>
      </c>
      <c r="AQ220" s="642" t="str">
        <f>IF($A220="","",VLOOKUP($A220,기본데이타!$A$8:$BV$103,COLUMN(기본데이타!AU$8),0))</f>
        <v/>
      </c>
      <c r="AR220" s="643" t="str">
        <f>IF($A220="","",VLOOKUP($A220,기본데이타!$A$8:$BV$103,COLUMN(기본데이타!AV$8),0))</f>
        <v/>
      </c>
      <c r="AS220" s="596" t="str">
        <f>IF($A220="","",VLOOKUP($A220,기본데이타!$A$8:$BV$103,COLUMN(기본데이타!AW$8),0))</f>
        <v/>
      </c>
      <c r="AT220" s="596" t="str">
        <f>IF($A220="","",VLOOKUP($A220,기본데이타!$A$8:$BV$103,COLUMN(기본데이타!AX$8),0))</f>
        <v/>
      </c>
      <c r="AU220" s="596" t="str">
        <f>IF($A220="","",VLOOKUP($A220,기본데이타!$A$8:$BV$103,COLUMN(기본데이타!AY$8),0))</f>
        <v/>
      </c>
      <c r="AV220" s="596" t="str">
        <f t="shared" si="32"/>
        <v/>
      </c>
      <c r="AW220" s="597" t="str">
        <f>IF($A220="","",VLOOKUP($A220,기본데이타!$A$8:$BV$103,COLUMN(기본데이타!BA$8),0))</f>
        <v/>
      </c>
      <c r="AX220" s="597" t="str">
        <f>IF($A220="","",VLOOKUP($A220,기본데이타!$A$8:$BV$103,COLUMN(기본데이타!BB$8),0))</f>
        <v/>
      </c>
      <c r="AY220" s="597" t="str">
        <f>IF($A220="","",VLOOKUP($A220,기본데이타!$A$8:$BV$103,COLUMN(기본데이타!BC$8),0))</f>
        <v/>
      </c>
      <c r="AZ220" s="597" t="str">
        <f>IF($A220="","",VLOOKUP($A220,기본데이타!$A$8:$BV$103,COLUMN(기본데이타!BD$8),0))</f>
        <v/>
      </c>
      <c r="BA220" s="597" t="str">
        <f>IF($A220="","",VLOOKUP($A220,기본데이타!$A$8:$BV$103,COLUMN(기본데이타!BE$8),0))</f>
        <v/>
      </c>
      <c r="BB220" s="597" t="str">
        <f>IF($A220="","",VLOOKUP($A220,기본데이타!$A$8:$BV$103,COLUMN(기본데이타!BF$8),0))</f>
        <v/>
      </c>
      <c r="BC220" s="597" t="str">
        <f>IF($A220="","",VLOOKUP($A220,기본데이타!$A$8:$BV$103,COLUMN(기본데이타!BG$8),0))</f>
        <v/>
      </c>
      <c r="BD220" s="597" t="str">
        <f>IF($A220="","",VLOOKUP($A220,기본데이타!$A$8:$BV$103,COLUMN(기본데이타!BH$8),0))</f>
        <v/>
      </c>
      <c r="BE220" s="597" t="str">
        <f>IF($A220="","",VLOOKUP($A220,기본데이타!$A$8:$BV$103,COLUMN(기본데이타!BI$8),0))</f>
        <v/>
      </c>
      <c r="BF220" s="597" t="str">
        <f>IF($A220="","",VLOOKUP($A220,기본데이타!$A$8:$BV$103,COLUMN(기본데이타!BJ$8),0))</f>
        <v/>
      </c>
      <c r="BG220" s="597" t="str">
        <f>IF($A220="","",VLOOKUP($A220,기본데이타!$A$8:$BV$103,COLUMN(기본데이타!BK$8),0))</f>
        <v/>
      </c>
      <c r="BH220" s="597" t="str">
        <f>IF($A220="","",VLOOKUP($A220,기본데이타!$A$8:$BV$103,COLUMN(기본데이타!BL$8),0))</f>
        <v/>
      </c>
      <c r="BI220" s="597" t="str">
        <f>IF($A220="","",VLOOKUP($A220,기본데이타!$A$8:$BV$103,COLUMN(기본데이타!BM$8),0))</f>
        <v/>
      </c>
      <c r="BJ220" s="597" t="str">
        <f>IF($A220="","",VLOOKUP($A220,기본데이타!$A$8:$BV$103,COLUMN(기본데이타!BN$8),0))</f>
        <v/>
      </c>
      <c r="BK220" s="597" t="str">
        <f>IF($A220="","",VLOOKUP($A220,기본데이타!$A$8:$BV$103,COLUMN(기본데이타!BO$8),0))</f>
        <v/>
      </c>
      <c r="BL220" s="597" t="str">
        <f>IF($A220="","",VLOOKUP($A220,기본데이타!$A$8:$BV$103,COLUMN(기본데이타!BP$8),0))</f>
        <v/>
      </c>
      <c r="BM220" s="597" t="str">
        <f>IF($A220="","",VLOOKUP($A220,기본데이타!$A$8:$BV$103,COLUMN(기본데이타!BQ$8),0))</f>
        <v/>
      </c>
      <c r="BN220" s="599" t="str">
        <f>IF($A220="","",VLOOKUP($A220,기본데이타!$A$8:$BV$103,COLUMN(기본데이타!BR$8),0))</f>
        <v/>
      </c>
      <c r="BO220" s="600" t="str">
        <f>IF($A220="","",VLOOKUP($A220,기본데이타!$A$8:$BV$103,COLUMN(기본데이타!BS$8),0))</f>
        <v/>
      </c>
      <c r="BP220" s="623" t="str">
        <f>IF($A220="","",VLOOKUP($A220,기본데이타!$A$8:$BV$103,COLUMN(기본데이타!BT$8),0))</f>
        <v/>
      </c>
      <c r="BQ220" s="602" t="str">
        <f>IF($A220="","",VLOOKUP($A220,기본데이타!$A$8:$BV$103,COLUMN(기본데이타!BU$8),0))</f>
        <v/>
      </c>
      <c r="BR220" s="603" t="str">
        <f t="shared" si="33"/>
        <v/>
      </c>
    </row>
    <row r="221" spans="1:70" s="571" customFormat="1" ht="50.1" hidden="1" customHeight="1">
      <c r="A221" s="578"/>
      <c r="B221" s="1642"/>
      <c r="C221" s="590"/>
      <c r="D221" s="629" t="str">
        <f>IF($A221="","",VLOOKUP($A221,기본데이타!$A$8:$BV$103,COLUMN(기본데이타!F$8),0))</f>
        <v/>
      </c>
      <c r="E221" s="630" t="str">
        <f>IF($A221="","",VLOOKUP($A221,기본데이타!$A$8:$BV$103,COLUMN(기본데이타!G$8),0))</f>
        <v/>
      </c>
      <c r="F221" s="631" t="str">
        <f>IF($A221="","",VLOOKUP($A221,기본데이타!$A$8:$BV$103,COLUMN(기본데이타!H$8),0))</f>
        <v/>
      </c>
      <c r="G221" s="632" t="str">
        <f>IF($A221="","",VLOOKUP($A221,기본데이타!$A$8:$BV$103,COLUMN(기본데이타!I$8),0))</f>
        <v/>
      </c>
      <c r="H221" s="632" t="str">
        <f>IF($A221="","",VLOOKUP($A221,기본데이타!$A$8:$BV$103,COLUMN(기본데이타!J$8),0))</f>
        <v/>
      </c>
      <c r="I221" s="633" t="str">
        <f>IF($A221="","",VLOOKUP($A221,기본데이타!$A$8:$BV$103,COLUMN(기본데이타!K$8),0))</f>
        <v/>
      </c>
      <c r="J221" s="633" t="str">
        <f>IF($A221="","",VLOOKUP($A221,기본데이타!$A$8:$BV$103,COLUMN(기본데이타!L$8),0))</f>
        <v/>
      </c>
      <c r="K221" s="633" t="str">
        <f>IF($A221="","",VLOOKUP($A221,기본데이타!$A$8:$BV$103,COLUMN(기본데이타!M$8),0))</f>
        <v/>
      </c>
      <c r="L221" s="634" t="str">
        <f>IF($A221="","",VLOOKUP($A221,기본데이타!$A$8:$BV$103,COLUMN(기본데이타!N$8),0))</f>
        <v/>
      </c>
      <c r="M221" s="633" t="str">
        <f>IF($A221="","",VLOOKUP($A221,기본데이타!$A$8:$BV$103,COLUMN(기본데이타!O$8),0))</f>
        <v/>
      </c>
      <c r="N221" s="634" t="str">
        <f>IF($A221="","",VLOOKUP($A221,기본데이타!$A$8:$BV$103,COLUMN(기본데이타!P$8),0))</f>
        <v/>
      </c>
      <c r="O221" s="634" t="str">
        <f>IF($A221="","",VLOOKUP($A221,기본데이타!$A$8:$BV$103,COLUMN(기본데이타!Q$8),0))</f>
        <v/>
      </c>
      <c r="P221" s="634" t="str">
        <f>IF($A221="","",VLOOKUP($A221,기본데이타!$A$8:$BV$103,COLUMN(기본데이타!R$8),0))</f>
        <v/>
      </c>
      <c r="Q221" s="634" t="str">
        <f>IF($A221="","",VLOOKUP($A221,기본데이타!$A$8:$BV$103,COLUMN(기본데이타!S$8),0))</f>
        <v/>
      </c>
      <c r="R221" s="634" t="str">
        <f>IF($A221="","",VLOOKUP($A221,기본데이타!$A$8:$BV$103,COLUMN(기본데이타!T$8),0))</f>
        <v/>
      </c>
      <c r="S221" s="634" t="str">
        <f>IF($A221="","",VLOOKUP($A221,기본데이타!$A$8:$BV$103,COLUMN(기본데이타!U$8),0))</f>
        <v/>
      </c>
      <c r="T221" s="634" t="str">
        <f>IF($A221="","",VLOOKUP($A221,기본데이타!$A$8:$BV$103,COLUMN(기본데이타!V$8),0))</f>
        <v/>
      </c>
      <c r="U221" s="634" t="str">
        <f>IF($A221="","",VLOOKUP($A221,기본데이타!$A$8:$BV$103,COLUMN(기본데이타!W$8),0))</f>
        <v/>
      </c>
      <c r="V221" s="634" t="str">
        <f>IF($A221="","",VLOOKUP($A221,기본데이타!$A$8:$BV$103,COLUMN(기본데이타!X$8),0))</f>
        <v/>
      </c>
      <c r="W221" s="634" t="str">
        <f>IF($A221="","",VLOOKUP($A221,기본데이타!$A$8:$BV$103,COLUMN(기본데이타!AA$8),0))</f>
        <v/>
      </c>
      <c r="X221" s="634" t="str">
        <f>IF($A221="","",VLOOKUP($A221,기본데이타!$A$8:$BV$103,COLUMN(기본데이타!AB$8),0))</f>
        <v/>
      </c>
      <c r="Y221" s="633" t="str">
        <f>IF($A221="","",VLOOKUP($A221,기본데이타!$A$8:$BV$103,COLUMN(기본데이타!AC$8),0))</f>
        <v/>
      </c>
      <c r="Z221" s="634" t="str">
        <f>IF($A221="","",VLOOKUP($A221,기본데이타!$A$8:$BV$103,COLUMN(기본데이타!AD$8),0))</f>
        <v/>
      </c>
      <c r="AA221" s="633" t="str">
        <f>IF($A221="","",VLOOKUP($A221,기본데이타!$A$8:$BV$103,COLUMN(기본데이타!AE$8),0))</f>
        <v/>
      </c>
      <c r="AB221" s="634" t="str">
        <f>IF($A221="","",VLOOKUP($A221,기본데이타!$A$8:$BV$103,COLUMN(기본데이타!AF$8),0))</f>
        <v/>
      </c>
      <c r="AC221" s="633" t="str">
        <f>IF($A221="","",VLOOKUP($A221,기본데이타!$A$8:$BV$103,COLUMN(기본데이타!AG$8),0))</f>
        <v/>
      </c>
      <c r="AD221" s="634" t="str">
        <f>IF($A221="","",VLOOKUP($A221,기본데이타!$A$8:$BV$103,COLUMN(기본데이타!AH$8),0))</f>
        <v/>
      </c>
      <c r="AE221" s="633" t="str">
        <f>IF($A221="","",VLOOKUP($A221,기본데이타!$A$8:$BV$103,COLUMN(기본데이타!AI$8),0))</f>
        <v/>
      </c>
      <c r="AF221" s="635" t="str">
        <f>IF($A221="","",VLOOKUP($A221,기본데이타!$A$8:$BV$103,COLUMN(기본데이타!AJ$8),0))</f>
        <v/>
      </c>
      <c r="AG221" s="580" t="str">
        <f>IF($A221="","",VLOOKUP($A221,기본데이타!$A$8:$BV$103,COLUMN(기본데이타!AK$8),0))</f>
        <v/>
      </c>
      <c r="AH221" s="580" t="str">
        <f>IF($A221="","",VLOOKUP($A221,기본데이타!$A$8:$BV$103,COLUMN(기본데이타!AL$8),0))</f>
        <v/>
      </c>
      <c r="AI221" s="580" t="str">
        <f>IF($A221="","",VLOOKUP($A221,기본데이타!$A$8:$BV$103,COLUMN(기본데이타!AM$8),0))</f>
        <v/>
      </c>
      <c r="AJ221" s="636" t="str">
        <f>IF($A221="","",VLOOKUP($A221,기본데이타!$A$8:$BV$103,COLUMN(기본데이타!AN$8),0))</f>
        <v/>
      </c>
      <c r="AK221" s="636" t="str">
        <f>IF($A221="","",VLOOKUP($A221,기본데이타!$A$8:$BV$103,COLUMN(기본데이타!AO$8),0))</f>
        <v/>
      </c>
      <c r="AL221" s="636" t="str">
        <f>IF($A221="","",VLOOKUP($A221,기본데이타!$A$8:$BV$103,COLUMN(기본데이타!AP$8),0))</f>
        <v/>
      </c>
      <c r="AM221" s="636" t="str">
        <f>IF($A221="","",VLOOKUP($A221,기본데이타!$A$8:$BV$103,COLUMN(기본데이타!AQ$8),0))</f>
        <v/>
      </c>
      <c r="AN221" s="636" t="str">
        <f>IF($A221="","",VLOOKUP($A221,기본데이타!$A$8:$BV$103,COLUMN(기본데이타!AR$8),0))</f>
        <v/>
      </c>
      <c r="AO221" s="636" t="str">
        <f>IF($A221="","",VLOOKUP($A221,기본데이타!$A$8:$BV$103,COLUMN(기본데이타!AS$8),0))</f>
        <v/>
      </c>
      <c r="AP221" s="636" t="str">
        <f>IF($A221="","",VLOOKUP($A221,기본데이타!$A$8:$BV$103,COLUMN(기본데이타!AT$8),0))</f>
        <v/>
      </c>
      <c r="AQ221" s="636" t="str">
        <f>IF($A221="","",VLOOKUP($A221,기본데이타!$A$8:$BV$103,COLUMN(기본데이타!AU$8),0))</f>
        <v/>
      </c>
      <c r="AR221" s="637" t="str">
        <f>IF($A221="","",VLOOKUP($A221,기본데이타!$A$8:$BV$103,COLUMN(기본데이타!AV$8),0))</f>
        <v/>
      </c>
      <c r="AS221" s="634" t="str">
        <f>IF($A221="","",VLOOKUP($A221,기본데이타!$A$8:$BV$103,COLUMN(기본데이타!AW$8),0))</f>
        <v/>
      </c>
      <c r="AT221" s="634" t="str">
        <f>IF($A221="","",VLOOKUP($A221,기본데이타!$A$8:$BV$103,COLUMN(기본데이타!AX$8),0))</f>
        <v/>
      </c>
      <c r="AU221" s="634" t="str">
        <f>IF($A221="","",VLOOKUP($A221,기본데이타!$A$8:$BV$103,COLUMN(기본데이타!AY$8),0))</f>
        <v/>
      </c>
      <c r="AV221" s="634" t="str">
        <f t="shared" si="32"/>
        <v/>
      </c>
      <c r="AW221" s="635" t="str">
        <f>IF($A221="","",VLOOKUP($A221,기본데이타!$A$8:$BV$103,COLUMN(기본데이타!BA$8),0))</f>
        <v/>
      </c>
      <c r="AX221" s="635" t="str">
        <f>IF($A221="","",VLOOKUP($A221,기본데이타!$A$8:$BV$103,COLUMN(기본데이타!BB$8),0))</f>
        <v/>
      </c>
      <c r="AY221" s="635" t="str">
        <f>IF($A221="","",VLOOKUP($A221,기본데이타!$A$8:$BV$103,COLUMN(기본데이타!BC$8),0))</f>
        <v/>
      </c>
      <c r="AZ221" s="635" t="str">
        <f>IF($A221="","",VLOOKUP($A221,기본데이타!$A$8:$BV$103,COLUMN(기본데이타!BD$8),0))</f>
        <v/>
      </c>
      <c r="BA221" s="635" t="str">
        <f>IF($A221="","",VLOOKUP($A221,기본데이타!$A$8:$BV$103,COLUMN(기본데이타!BE$8),0))</f>
        <v/>
      </c>
      <c r="BB221" s="635" t="str">
        <f>IF($A221="","",VLOOKUP($A221,기본데이타!$A$8:$BV$103,COLUMN(기본데이타!BF$8),0))</f>
        <v/>
      </c>
      <c r="BC221" s="635" t="str">
        <f>IF($A221="","",VLOOKUP($A221,기본데이타!$A$8:$BV$103,COLUMN(기본데이타!BG$8),0))</f>
        <v/>
      </c>
      <c r="BD221" s="635" t="str">
        <f>IF($A221="","",VLOOKUP($A221,기본데이타!$A$8:$BV$103,COLUMN(기본데이타!BH$8),0))</f>
        <v/>
      </c>
      <c r="BE221" s="635" t="str">
        <f>IF($A221="","",VLOOKUP($A221,기본데이타!$A$8:$BV$103,COLUMN(기본데이타!BI$8),0))</f>
        <v/>
      </c>
      <c r="BF221" s="635" t="str">
        <f>IF($A221="","",VLOOKUP($A221,기본데이타!$A$8:$BV$103,COLUMN(기본데이타!BJ$8),0))</f>
        <v/>
      </c>
      <c r="BG221" s="635" t="str">
        <f>IF($A221="","",VLOOKUP($A221,기본데이타!$A$8:$BV$103,COLUMN(기본데이타!BK$8),0))</f>
        <v/>
      </c>
      <c r="BH221" s="635" t="str">
        <f>IF($A221="","",VLOOKUP($A221,기본데이타!$A$8:$BV$103,COLUMN(기본데이타!BL$8),0))</f>
        <v/>
      </c>
      <c r="BI221" s="635" t="str">
        <f>IF($A221="","",VLOOKUP($A221,기본데이타!$A$8:$BV$103,COLUMN(기본데이타!BM$8),0))</f>
        <v/>
      </c>
      <c r="BJ221" s="635" t="str">
        <f>IF($A221="","",VLOOKUP($A221,기본데이타!$A$8:$BV$103,COLUMN(기본데이타!BN$8),0))</f>
        <v/>
      </c>
      <c r="BK221" s="635" t="str">
        <f>IF($A221="","",VLOOKUP($A221,기본데이타!$A$8:$BV$103,COLUMN(기본데이타!BO$8),0))</f>
        <v/>
      </c>
      <c r="BL221" s="635" t="str">
        <f>IF($A221="","",VLOOKUP($A221,기본데이타!$A$8:$BV$103,COLUMN(기본데이타!BP$8),0))</f>
        <v/>
      </c>
      <c r="BM221" s="635" t="str">
        <f>IF($A221="","",VLOOKUP($A221,기본데이타!$A$8:$BV$103,COLUMN(기본데이타!BQ$8),0))</f>
        <v/>
      </c>
      <c r="BN221" s="638" t="str">
        <f>IF($A221="","",VLOOKUP($A221,기본데이타!$A$8:$BV$103,COLUMN(기본데이타!BR$8),0))</f>
        <v/>
      </c>
      <c r="BO221" s="579" t="str">
        <f>IF($A221="","",VLOOKUP($A221,기본데이타!$A$8:$BV$103,COLUMN(기본데이타!BS$8),0))</f>
        <v/>
      </c>
      <c r="BP221" s="639" t="str">
        <f>IF($A221="","",VLOOKUP($A221,기본데이타!$A$8:$BV$103,COLUMN(기본데이타!BT$8),0))</f>
        <v/>
      </c>
      <c r="BQ221" s="640" t="str">
        <f>IF($A221="","",VLOOKUP($A221,기본데이타!$A$8:$BV$103,COLUMN(기본데이타!BU$8),0))</f>
        <v/>
      </c>
      <c r="BR221" s="625" t="str">
        <f t="shared" si="33"/>
        <v/>
      </c>
    </row>
    <row r="222" spans="1:70" s="571" customFormat="1" ht="50.1" hidden="1" customHeight="1">
      <c r="A222" s="578"/>
      <c r="B222" s="1642"/>
      <c r="C222" s="590"/>
      <c r="D222" s="629" t="str">
        <f>IF($A222="","",VLOOKUP($A222,기본데이타!$A$8:$BV$103,COLUMN(기본데이타!F$8),0))</f>
        <v/>
      </c>
      <c r="E222" s="630" t="str">
        <f>IF($A222="","",VLOOKUP($A222,기본데이타!$A$8:$BV$103,COLUMN(기본데이타!G$8),0))</f>
        <v/>
      </c>
      <c r="F222" s="631" t="str">
        <f>IF($A222="","",VLOOKUP($A222,기본데이타!$A$8:$BV$103,COLUMN(기본데이타!H$8),0))</f>
        <v/>
      </c>
      <c r="G222" s="632" t="str">
        <f>IF($A222="","",VLOOKUP($A222,기본데이타!$A$8:$BV$103,COLUMN(기본데이타!I$8),0))</f>
        <v/>
      </c>
      <c r="H222" s="632" t="str">
        <f>IF($A222="","",VLOOKUP($A222,기본데이타!$A$8:$BV$103,COLUMN(기본데이타!J$8),0))</f>
        <v/>
      </c>
      <c r="I222" s="633" t="str">
        <f>IF($A222="","",VLOOKUP($A222,기본데이타!$A$8:$BV$103,COLUMN(기본데이타!K$8),0))</f>
        <v/>
      </c>
      <c r="J222" s="633" t="str">
        <f>IF($A222="","",VLOOKUP($A222,기본데이타!$A$8:$BV$103,COLUMN(기본데이타!L$8),0))</f>
        <v/>
      </c>
      <c r="K222" s="633" t="str">
        <f>IF($A222="","",VLOOKUP($A222,기본데이타!$A$8:$BV$103,COLUMN(기본데이타!M$8),0))</f>
        <v/>
      </c>
      <c r="L222" s="634" t="str">
        <f>IF($A222="","",VLOOKUP($A222,기본데이타!$A$8:$BV$103,COLUMN(기본데이타!N$8),0))</f>
        <v/>
      </c>
      <c r="M222" s="633" t="str">
        <f>IF($A222="","",VLOOKUP($A222,기본데이타!$A$8:$BV$103,COLUMN(기본데이타!O$8),0))</f>
        <v/>
      </c>
      <c r="N222" s="634" t="str">
        <f>IF($A222="","",VLOOKUP($A222,기본데이타!$A$8:$BV$103,COLUMN(기본데이타!P$8),0))</f>
        <v/>
      </c>
      <c r="O222" s="634" t="str">
        <f>IF($A222="","",VLOOKUP($A222,기본데이타!$A$8:$BV$103,COLUMN(기본데이타!Q$8),0))</f>
        <v/>
      </c>
      <c r="P222" s="634" t="str">
        <f>IF($A222="","",VLOOKUP($A222,기본데이타!$A$8:$BV$103,COLUMN(기본데이타!R$8),0))</f>
        <v/>
      </c>
      <c r="Q222" s="634" t="str">
        <f>IF($A222="","",VLOOKUP($A222,기본데이타!$A$8:$BV$103,COLUMN(기본데이타!S$8),0))</f>
        <v/>
      </c>
      <c r="R222" s="634" t="str">
        <f>IF($A222="","",VLOOKUP($A222,기본데이타!$A$8:$BV$103,COLUMN(기본데이타!T$8),0))</f>
        <v/>
      </c>
      <c r="S222" s="634" t="str">
        <f>IF($A222="","",VLOOKUP($A222,기본데이타!$A$8:$BV$103,COLUMN(기본데이타!U$8),0))</f>
        <v/>
      </c>
      <c r="T222" s="634" t="str">
        <f>IF($A222="","",VLOOKUP($A222,기본데이타!$A$8:$BV$103,COLUMN(기본데이타!V$8),0))</f>
        <v/>
      </c>
      <c r="U222" s="634" t="str">
        <f>IF($A222="","",VLOOKUP($A222,기본데이타!$A$8:$BV$103,COLUMN(기본데이타!W$8),0))</f>
        <v/>
      </c>
      <c r="V222" s="634" t="str">
        <f>IF($A222="","",VLOOKUP($A222,기본데이타!$A$8:$BV$103,COLUMN(기본데이타!X$8),0))</f>
        <v/>
      </c>
      <c r="W222" s="634" t="str">
        <f>IF($A222="","",VLOOKUP($A222,기본데이타!$A$8:$BV$103,COLUMN(기본데이타!AA$8),0))</f>
        <v/>
      </c>
      <c r="X222" s="634" t="str">
        <f>IF($A222="","",VLOOKUP($A222,기본데이타!$A$8:$BV$103,COLUMN(기본데이타!AB$8),0))</f>
        <v/>
      </c>
      <c r="Y222" s="633" t="str">
        <f>IF($A222="","",VLOOKUP($A222,기본데이타!$A$8:$BV$103,COLUMN(기본데이타!AC$8),0))</f>
        <v/>
      </c>
      <c r="Z222" s="634" t="str">
        <f>IF($A222="","",VLOOKUP($A222,기본데이타!$A$8:$BV$103,COLUMN(기본데이타!AD$8),0))</f>
        <v/>
      </c>
      <c r="AA222" s="633" t="str">
        <f>IF($A222="","",VLOOKUP($A222,기본데이타!$A$8:$BV$103,COLUMN(기본데이타!AE$8),0))</f>
        <v/>
      </c>
      <c r="AB222" s="634" t="str">
        <f>IF($A222="","",VLOOKUP($A222,기본데이타!$A$8:$BV$103,COLUMN(기본데이타!AF$8),0))</f>
        <v/>
      </c>
      <c r="AC222" s="633" t="str">
        <f>IF($A222="","",VLOOKUP($A222,기본데이타!$A$8:$BV$103,COLUMN(기본데이타!AG$8),0))</f>
        <v/>
      </c>
      <c r="AD222" s="634" t="str">
        <f>IF($A222="","",VLOOKUP($A222,기본데이타!$A$8:$BV$103,COLUMN(기본데이타!AH$8),0))</f>
        <v/>
      </c>
      <c r="AE222" s="633" t="str">
        <f>IF($A222="","",VLOOKUP($A222,기본데이타!$A$8:$BV$103,COLUMN(기본데이타!AI$8),0))</f>
        <v/>
      </c>
      <c r="AF222" s="635" t="str">
        <f>IF($A222="","",VLOOKUP($A222,기본데이타!$A$8:$BV$103,COLUMN(기본데이타!AJ$8),0))</f>
        <v/>
      </c>
      <c r="AG222" s="580" t="str">
        <f>IF($A222="","",VLOOKUP($A222,기본데이타!$A$8:$BV$103,COLUMN(기본데이타!AK$8),0))</f>
        <v/>
      </c>
      <c r="AH222" s="580" t="str">
        <f>IF($A222="","",VLOOKUP($A222,기본데이타!$A$8:$BV$103,COLUMN(기본데이타!AL$8),0))</f>
        <v/>
      </c>
      <c r="AI222" s="580" t="str">
        <f>IF($A222="","",VLOOKUP($A222,기본데이타!$A$8:$BV$103,COLUMN(기본데이타!AM$8),0))</f>
        <v/>
      </c>
      <c r="AJ222" s="636" t="str">
        <f>IF($A222="","",VLOOKUP($A222,기본데이타!$A$8:$BV$103,COLUMN(기본데이타!AN$8),0))</f>
        <v/>
      </c>
      <c r="AK222" s="636" t="str">
        <f>IF($A222="","",VLOOKUP($A222,기본데이타!$A$8:$BV$103,COLUMN(기본데이타!AO$8),0))</f>
        <v/>
      </c>
      <c r="AL222" s="636" t="str">
        <f>IF($A222="","",VLOOKUP($A222,기본데이타!$A$8:$BV$103,COLUMN(기본데이타!AP$8),0))</f>
        <v/>
      </c>
      <c r="AM222" s="636" t="str">
        <f>IF($A222="","",VLOOKUP($A222,기본데이타!$A$8:$BV$103,COLUMN(기본데이타!AQ$8),0))</f>
        <v/>
      </c>
      <c r="AN222" s="636" t="str">
        <f>IF($A222="","",VLOOKUP($A222,기본데이타!$A$8:$BV$103,COLUMN(기본데이타!AR$8),0))</f>
        <v/>
      </c>
      <c r="AO222" s="636" t="str">
        <f>IF($A222="","",VLOOKUP($A222,기본데이타!$A$8:$BV$103,COLUMN(기본데이타!AS$8),0))</f>
        <v/>
      </c>
      <c r="AP222" s="636" t="str">
        <f>IF($A222="","",VLOOKUP($A222,기본데이타!$A$8:$BV$103,COLUMN(기본데이타!AT$8),0))</f>
        <v/>
      </c>
      <c r="AQ222" s="636" t="str">
        <f>IF($A222="","",VLOOKUP($A222,기본데이타!$A$8:$BV$103,COLUMN(기본데이타!AU$8),0))</f>
        <v/>
      </c>
      <c r="AR222" s="637" t="str">
        <f>IF($A222="","",VLOOKUP($A222,기본데이타!$A$8:$BV$103,COLUMN(기본데이타!AV$8),0))</f>
        <v/>
      </c>
      <c r="AS222" s="634" t="str">
        <f>IF($A222="","",VLOOKUP($A222,기본데이타!$A$8:$BV$103,COLUMN(기본데이타!AW$8),0))</f>
        <v/>
      </c>
      <c r="AT222" s="634" t="str">
        <f>IF($A222="","",VLOOKUP($A222,기본데이타!$A$8:$BV$103,COLUMN(기본데이타!AX$8),0))</f>
        <v/>
      </c>
      <c r="AU222" s="634" t="str">
        <f>IF($A222="","",VLOOKUP($A222,기본데이타!$A$8:$BV$103,COLUMN(기본데이타!AY$8),0))</f>
        <v/>
      </c>
      <c r="AV222" s="634" t="str">
        <f t="shared" si="32"/>
        <v/>
      </c>
      <c r="AW222" s="635" t="str">
        <f>IF($A222="","",VLOOKUP($A222,기본데이타!$A$8:$BV$103,COLUMN(기본데이타!BA$8),0))</f>
        <v/>
      </c>
      <c r="AX222" s="635" t="str">
        <f>IF($A222="","",VLOOKUP($A222,기본데이타!$A$8:$BV$103,COLUMN(기본데이타!BB$8),0))</f>
        <v/>
      </c>
      <c r="AY222" s="635" t="str">
        <f>IF($A222="","",VLOOKUP($A222,기본데이타!$A$8:$BV$103,COLUMN(기본데이타!BC$8),0))</f>
        <v/>
      </c>
      <c r="AZ222" s="635" t="str">
        <f>IF($A222="","",VLOOKUP($A222,기본데이타!$A$8:$BV$103,COLUMN(기본데이타!BD$8),0))</f>
        <v/>
      </c>
      <c r="BA222" s="635" t="str">
        <f>IF($A222="","",VLOOKUP($A222,기본데이타!$A$8:$BV$103,COLUMN(기본데이타!BE$8),0))</f>
        <v/>
      </c>
      <c r="BB222" s="635" t="str">
        <f>IF($A222="","",VLOOKUP($A222,기본데이타!$A$8:$BV$103,COLUMN(기본데이타!BF$8),0))</f>
        <v/>
      </c>
      <c r="BC222" s="635" t="str">
        <f>IF($A222="","",VLOOKUP($A222,기본데이타!$A$8:$BV$103,COLUMN(기본데이타!BG$8),0))</f>
        <v/>
      </c>
      <c r="BD222" s="635" t="str">
        <f>IF($A222="","",VLOOKUP($A222,기본데이타!$A$8:$BV$103,COLUMN(기본데이타!BH$8),0))</f>
        <v/>
      </c>
      <c r="BE222" s="635" t="str">
        <f>IF($A222="","",VLOOKUP($A222,기본데이타!$A$8:$BV$103,COLUMN(기본데이타!BI$8),0))</f>
        <v/>
      </c>
      <c r="BF222" s="635" t="str">
        <f>IF($A222="","",VLOOKUP($A222,기본데이타!$A$8:$BV$103,COLUMN(기본데이타!BJ$8),0))</f>
        <v/>
      </c>
      <c r="BG222" s="635" t="str">
        <f>IF($A222="","",VLOOKUP($A222,기본데이타!$A$8:$BV$103,COLUMN(기본데이타!BK$8),0))</f>
        <v/>
      </c>
      <c r="BH222" s="635" t="str">
        <f>IF($A222="","",VLOOKUP($A222,기본데이타!$A$8:$BV$103,COLUMN(기본데이타!BL$8),0))</f>
        <v/>
      </c>
      <c r="BI222" s="635" t="str">
        <f>IF($A222="","",VLOOKUP($A222,기본데이타!$A$8:$BV$103,COLUMN(기본데이타!BM$8),0))</f>
        <v/>
      </c>
      <c r="BJ222" s="635" t="str">
        <f>IF($A222="","",VLOOKUP($A222,기본데이타!$A$8:$BV$103,COLUMN(기본데이타!BN$8),0))</f>
        <v/>
      </c>
      <c r="BK222" s="635" t="str">
        <f>IF($A222="","",VLOOKUP($A222,기본데이타!$A$8:$BV$103,COLUMN(기본데이타!BO$8),0))</f>
        <v/>
      </c>
      <c r="BL222" s="635" t="str">
        <f>IF($A222="","",VLOOKUP($A222,기본데이타!$A$8:$BV$103,COLUMN(기본데이타!BP$8),0))</f>
        <v/>
      </c>
      <c r="BM222" s="635" t="str">
        <f>IF($A222="","",VLOOKUP($A222,기본데이타!$A$8:$BV$103,COLUMN(기본데이타!BQ$8),0))</f>
        <v/>
      </c>
      <c r="BN222" s="638" t="str">
        <f>IF($A222="","",VLOOKUP($A222,기본데이타!$A$8:$BV$103,COLUMN(기본데이타!BR$8),0))</f>
        <v/>
      </c>
      <c r="BO222" s="579" t="str">
        <f>IF($A222="","",VLOOKUP($A222,기본데이타!$A$8:$BV$103,COLUMN(기본데이타!BS$8),0))</f>
        <v/>
      </c>
      <c r="BP222" s="639" t="str">
        <f>IF($A222="","",VLOOKUP($A222,기본데이타!$A$8:$BV$103,COLUMN(기본데이타!BT$8),0))</f>
        <v/>
      </c>
      <c r="BQ222" s="640" t="str">
        <f>IF($A222="","",VLOOKUP($A222,기본데이타!$A$8:$BV$103,COLUMN(기본데이타!BU$8),0))</f>
        <v/>
      </c>
      <c r="BR222" s="625" t="str">
        <f t="shared" si="33"/>
        <v/>
      </c>
    </row>
    <row r="223" spans="1:70" s="571" customFormat="1" ht="50.1" hidden="1" customHeight="1">
      <c r="A223" s="578"/>
      <c r="B223" s="1642"/>
      <c r="C223" s="590"/>
      <c r="D223" s="629" t="str">
        <f>IF($A223="","",VLOOKUP($A223,기본데이타!$A$8:$BV$103,COLUMN(기본데이타!F$8),0))</f>
        <v/>
      </c>
      <c r="E223" s="630" t="str">
        <f>IF($A223="","",VLOOKUP($A223,기본데이타!$A$8:$BV$103,COLUMN(기본데이타!G$8),0))</f>
        <v/>
      </c>
      <c r="F223" s="631" t="str">
        <f>IF($A223="","",VLOOKUP($A223,기본데이타!$A$8:$BV$103,COLUMN(기본데이타!H$8),0))</f>
        <v/>
      </c>
      <c r="G223" s="632" t="str">
        <f>IF($A223="","",VLOOKUP($A223,기본데이타!$A$8:$BV$103,COLUMN(기본데이타!I$8),0))</f>
        <v/>
      </c>
      <c r="H223" s="632" t="str">
        <f>IF($A223="","",VLOOKUP($A223,기본데이타!$A$8:$BV$103,COLUMN(기본데이타!J$8),0))</f>
        <v/>
      </c>
      <c r="I223" s="633" t="str">
        <f>IF($A223="","",VLOOKUP($A223,기본데이타!$A$8:$BV$103,COLUMN(기본데이타!K$8),0))</f>
        <v/>
      </c>
      <c r="J223" s="633" t="str">
        <f>IF($A223="","",VLOOKUP($A223,기본데이타!$A$8:$BV$103,COLUMN(기본데이타!L$8),0))</f>
        <v/>
      </c>
      <c r="K223" s="633" t="str">
        <f>IF($A223="","",VLOOKUP($A223,기본데이타!$A$8:$BV$103,COLUMN(기본데이타!M$8),0))</f>
        <v/>
      </c>
      <c r="L223" s="634" t="str">
        <f>IF($A223="","",VLOOKUP($A223,기본데이타!$A$8:$BV$103,COLUMN(기본데이타!N$8),0))</f>
        <v/>
      </c>
      <c r="M223" s="633" t="str">
        <f>IF($A223="","",VLOOKUP($A223,기본데이타!$A$8:$BV$103,COLUMN(기본데이타!O$8),0))</f>
        <v/>
      </c>
      <c r="N223" s="634" t="str">
        <f>IF($A223="","",VLOOKUP($A223,기본데이타!$A$8:$BV$103,COLUMN(기본데이타!P$8),0))</f>
        <v/>
      </c>
      <c r="O223" s="634" t="str">
        <f>IF($A223="","",VLOOKUP($A223,기본데이타!$A$8:$BV$103,COLUMN(기본데이타!Q$8),0))</f>
        <v/>
      </c>
      <c r="P223" s="634" t="str">
        <f>IF($A223="","",VLOOKUP($A223,기본데이타!$A$8:$BV$103,COLUMN(기본데이타!R$8),0))</f>
        <v/>
      </c>
      <c r="Q223" s="634" t="str">
        <f>IF($A223="","",VLOOKUP($A223,기본데이타!$A$8:$BV$103,COLUMN(기본데이타!S$8),0))</f>
        <v/>
      </c>
      <c r="R223" s="634" t="str">
        <f>IF($A223="","",VLOOKUP($A223,기본데이타!$A$8:$BV$103,COLUMN(기본데이타!T$8),0))</f>
        <v/>
      </c>
      <c r="S223" s="634" t="str">
        <f>IF($A223="","",VLOOKUP($A223,기본데이타!$A$8:$BV$103,COLUMN(기본데이타!U$8),0))</f>
        <v/>
      </c>
      <c r="T223" s="634" t="str">
        <f>IF($A223="","",VLOOKUP($A223,기본데이타!$A$8:$BV$103,COLUMN(기본데이타!V$8),0))</f>
        <v/>
      </c>
      <c r="U223" s="634" t="str">
        <f>IF($A223="","",VLOOKUP($A223,기본데이타!$A$8:$BV$103,COLUMN(기본데이타!W$8),0))</f>
        <v/>
      </c>
      <c r="V223" s="634" t="str">
        <f>IF($A223="","",VLOOKUP($A223,기본데이타!$A$8:$BV$103,COLUMN(기본데이타!X$8),0))</f>
        <v/>
      </c>
      <c r="W223" s="634" t="str">
        <f>IF($A223="","",VLOOKUP($A223,기본데이타!$A$8:$BV$103,COLUMN(기본데이타!AA$8),0))</f>
        <v/>
      </c>
      <c r="X223" s="634" t="str">
        <f>IF($A223="","",VLOOKUP($A223,기본데이타!$A$8:$BV$103,COLUMN(기본데이타!AB$8),0))</f>
        <v/>
      </c>
      <c r="Y223" s="633" t="str">
        <f>IF($A223="","",VLOOKUP($A223,기본데이타!$A$8:$BV$103,COLUMN(기본데이타!AC$8),0))</f>
        <v/>
      </c>
      <c r="Z223" s="634" t="str">
        <f>IF($A223="","",VLOOKUP($A223,기본데이타!$A$8:$BV$103,COLUMN(기본데이타!AD$8),0))</f>
        <v/>
      </c>
      <c r="AA223" s="633" t="str">
        <f>IF($A223="","",VLOOKUP($A223,기본데이타!$A$8:$BV$103,COLUMN(기본데이타!AE$8),0))</f>
        <v/>
      </c>
      <c r="AB223" s="634" t="str">
        <f>IF($A223="","",VLOOKUP($A223,기본데이타!$A$8:$BV$103,COLUMN(기본데이타!AF$8),0))</f>
        <v/>
      </c>
      <c r="AC223" s="633" t="str">
        <f>IF($A223="","",VLOOKUP($A223,기본데이타!$A$8:$BV$103,COLUMN(기본데이타!AG$8),0))</f>
        <v/>
      </c>
      <c r="AD223" s="634" t="str">
        <f>IF($A223="","",VLOOKUP($A223,기본데이타!$A$8:$BV$103,COLUMN(기본데이타!AH$8),0))</f>
        <v/>
      </c>
      <c r="AE223" s="633" t="str">
        <f>IF($A223="","",VLOOKUP($A223,기본데이타!$A$8:$BV$103,COLUMN(기본데이타!AI$8),0))</f>
        <v/>
      </c>
      <c r="AF223" s="635" t="str">
        <f>IF($A223="","",VLOOKUP($A223,기본데이타!$A$8:$BV$103,COLUMN(기본데이타!AJ$8),0))</f>
        <v/>
      </c>
      <c r="AG223" s="580" t="str">
        <f>IF($A223="","",VLOOKUP($A223,기본데이타!$A$8:$BV$103,COLUMN(기본데이타!AK$8),0))</f>
        <v/>
      </c>
      <c r="AH223" s="580" t="str">
        <f>IF($A223="","",VLOOKUP($A223,기본데이타!$A$8:$BV$103,COLUMN(기본데이타!AL$8),0))</f>
        <v/>
      </c>
      <c r="AI223" s="580" t="str">
        <f>IF($A223="","",VLOOKUP($A223,기본데이타!$A$8:$BV$103,COLUMN(기본데이타!AM$8),0))</f>
        <v/>
      </c>
      <c r="AJ223" s="636" t="str">
        <f>IF($A223="","",VLOOKUP($A223,기본데이타!$A$8:$BV$103,COLUMN(기본데이타!AN$8),0))</f>
        <v/>
      </c>
      <c r="AK223" s="636" t="str">
        <f>IF($A223="","",VLOOKUP($A223,기본데이타!$A$8:$BV$103,COLUMN(기본데이타!AO$8),0))</f>
        <v/>
      </c>
      <c r="AL223" s="636" t="str">
        <f>IF($A223="","",VLOOKUP($A223,기본데이타!$A$8:$BV$103,COLUMN(기본데이타!AP$8),0))</f>
        <v/>
      </c>
      <c r="AM223" s="636" t="str">
        <f>IF($A223="","",VLOOKUP($A223,기본데이타!$A$8:$BV$103,COLUMN(기본데이타!AQ$8),0))</f>
        <v/>
      </c>
      <c r="AN223" s="636" t="str">
        <f>IF($A223="","",VLOOKUP($A223,기본데이타!$A$8:$BV$103,COLUMN(기본데이타!AR$8),0))</f>
        <v/>
      </c>
      <c r="AO223" s="636" t="str">
        <f>IF($A223="","",VLOOKUP($A223,기본데이타!$A$8:$BV$103,COLUMN(기본데이타!AS$8),0))</f>
        <v/>
      </c>
      <c r="AP223" s="636" t="str">
        <f>IF($A223="","",VLOOKUP($A223,기본데이타!$A$8:$BV$103,COLUMN(기본데이타!AT$8),0))</f>
        <v/>
      </c>
      <c r="AQ223" s="636" t="str">
        <f>IF($A223="","",VLOOKUP($A223,기본데이타!$A$8:$BV$103,COLUMN(기본데이타!AU$8),0))</f>
        <v/>
      </c>
      <c r="AR223" s="637" t="str">
        <f>IF($A223="","",VLOOKUP($A223,기본데이타!$A$8:$BV$103,COLUMN(기본데이타!AV$8),0))</f>
        <v/>
      </c>
      <c r="AS223" s="634" t="str">
        <f>IF($A223="","",VLOOKUP($A223,기본데이타!$A$8:$BV$103,COLUMN(기본데이타!AW$8),0))</f>
        <v/>
      </c>
      <c r="AT223" s="634" t="str">
        <f>IF($A223="","",VLOOKUP($A223,기본데이타!$A$8:$BV$103,COLUMN(기본데이타!AX$8),0))</f>
        <v/>
      </c>
      <c r="AU223" s="634" t="str">
        <f>IF($A223="","",VLOOKUP($A223,기본데이타!$A$8:$BV$103,COLUMN(기본데이타!AY$8),0))</f>
        <v/>
      </c>
      <c r="AV223" s="634" t="str">
        <f t="shared" si="32"/>
        <v/>
      </c>
      <c r="AW223" s="635" t="str">
        <f>IF($A223="","",VLOOKUP($A223,기본데이타!$A$8:$BV$103,COLUMN(기본데이타!BA$8),0))</f>
        <v/>
      </c>
      <c r="AX223" s="635" t="str">
        <f>IF($A223="","",VLOOKUP($A223,기본데이타!$A$8:$BV$103,COLUMN(기본데이타!BB$8),0))</f>
        <v/>
      </c>
      <c r="AY223" s="635" t="str">
        <f>IF($A223="","",VLOOKUP($A223,기본데이타!$A$8:$BV$103,COLUMN(기본데이타!BC$8),0))</f>
        <v/>
      </c>
      <c r="AZ223" s="635" t="str">
        <f>IF($A223="","",VLOOKUP($A223,기본데이타!$A$8:$BV$103,COLUMN(기본데이타!BD$8),0))</f>
        <v/>
      </c>
      <c r="BA223" s="635" t="str">
        <f>IF($A223="","",VLOOKUP($A223,기본데이타!$A$8:$BV$103,COLUMN(기본데이타!BE$8),0))</f>
        <v/>
      </c>
      <c r="BB223" s="635" t="str">
        <f>IF($A223="","",VLOOKUP($A223,기본데이타!$A$8:$BV$103,COLUMN(기본데이타!BF$8),0))</f>
        <v/>
      </c>
      <c r="BC223" s="635" t="str">
        <f>IF($A223="","",VLOOKUP($A223,기본데이타!$A$8:$BV$103,COLUMN(기본데이타!BG$8),0))</f>
        <v/>
      </c>
      <c r="BD223" s="635" t="str">
        <f>IF($A223="","",VLOOKUP($A223,기본데이타!$A$8:$BV$103,COLUMN(기본데이타!BH$8),0))</f>
        <v/>
      </c>
      <c r="BE223" s="635" t="str">
        <f>IF($A223="","",VLOOKUP($A223,기본데이타!$A$8:$BV$103,COLUMN(기본데이타!BI$8),0))</f>
        <v/>
      </c>
      <c r="BF223" s="635" t="str">
        <f>IF($A223="","",VLOOKUP($A223,기본데이타!$A$8:$BV$103,COLUMN(기본데이타!BJ$8),0))</f>
        <v/>
      </c>
      <c r="BG223" s="635" t="str">
        <f>IF($A223="","",VLOOKUP($A223,기본데이타!$A$8:$BV$103,COLUMN(기본데이타!BK$8),0))</f>
        <v/>
      </c>
      <c r="BH223" s="635" t="str">
        <f>IF($A223="","",VLOOKUP($A223,기본데이타!$A$8:$BV$103,COLUMN(기본데이타!BL$8),0))</f>
        <v/>
      </c>
      <c r="BI223" s="635" t="str">
        <f>IF($A223="","",VLOOKUP($A223,기본데이타!$A$8:$BV$103,COLUMN(기본데이타!BM$8),0))</f>
        <v/>
      </c>
      <c r="BJ223" s="635" t="str">
        <f>IF($A223="","",VLOOKUP($A223,기본데이타!$A$8:$BV$103,COLUMN(기본데이타!BN$8),0))</f>
        <v/>
      </c>
      <c r="BK223" s="635" t="str">
        <f>IF($A223="","",VLOOKUP($A223,기본데이타!$A$8:$BV$103,COLUMN(기본데이타!BO$8),0))</f>
        <v/>
      </c>
      <c r="BL223" s="635" t="str">
        <f>IF($A223="","",VLOOKUP($A223,기본데이타!$A$8:$BV$103,COLUMN(기본데이타!BP$8),0))</f>
        <v/>
      </c>
      <c r="BM223" s="635" t="str">
        <f>IF($A223="","",VLOOKUP($A223,기본데이타!$A$8:$BV$103,COLUMN(기본데이타!BQ$8),0))</f>
        <v/>
      </c>
      <c r="BN223" s="638" t="str">
        <f>IF($A223="","",VLOOKUP($A223,기본데이타!$A$8:$BV$103,COLUMN(기본데이타!BR$8),0))</f>
        <v/>
      </c>
      <c r="BO223" s="579" t="str">
        <f>IF($A223="","",VLOOKUP($A223,기본데이타!$A$8:$BV$103,COLUMN(기본데이타!BS$8),0))</f>
        <v/>
      </c>
      <c r="BP223" s="639" t="str">
        <f>IF($A223="","",VLOOKUP($A223,기본데이타!$A$8:$BV$103,COLUMN(기본데이타!BT$8),0))</f>
        <v/>
      </c>
      <c r="BQ223" s="640" t="str">
        <f>IF($A223="","",VLOOKUP($A223,기본데이타!$A$8:$BV$103,COLUMN(기본데이타!BU$8),0))</f>
        <v/>
      </c>
      <c r="BR223" s="625" t="str">
        <f t="shared" si="33"/>
        <v/>
      </c>
    </row>
    <row r="224" spans="1:70" s="571" customFormat="1" ht="50.1" hidden="1" customHeight="1">
      <c r="A224" s="578"/>
      <c r="B224" s="1642"/>
      <c r="C224" s="590"/>
      <c r="D224" s="629" t="str">
        <f>IF($A224="","",VLOOKUP($A224,기본데이타!$A$8:$BV$103,COLUMN(기본데이타!F$8),0))</f>
        <v/>
      </c>
      <c r="E224" s="630" t="str">
        <f>IF($A224="","",VLOOKUP($A224,기본데이타!$A$8:$BV$103,COLUMN(기본데이타!G$8),0))</f>
        <v/>
      </c>
      <c r="F224" s="631" t="str">
        <f>IF($A224="","",VLOOKUP($A224,기본데이타!$A$8:$BV$103,COLUMN(기본데이타!H$8),0))</f>
        <v/>
      </c>
      <c r="G224" s="632" t="str">
        <f>IF($A224="","",VLOOKUP($A224,기본데이타!$A$8:$BV$103,COLUMN(기본데이타!I$8),0))</f>
        <v/>
      </c>
      <c r="H224" s="632" t="str">
        <f>IF($A224="","",VLOOKUP($A224,기본데이타!$A$8:$BV$103,COLUMN(기본데이타!J$8),0))</f>
        <v/>
      </c>
      <c r="I224" s="633" t="str">
        <f>IF($A224="","",VLOOKUP($A224,기본데이타!$A$8:$BV$103,COLUMN(기본데이타!K$8),0))</f>
        <v/>
      </c>
      <c r="J224" s="633" t="str">
        <f>IF($A224="","",VLOOKUP($A224,기본데이타!$A$8:$BV$103,COLUMN(기본데이타!L$8),0))</f>
        <v/>
      </c>
      <c r="K224" s="633" t="str">
        <f>IF($A224="","",VLOOKUP($A224,기본데이타!$A$8:$BV$103,COLUMN(기본데이타!M$8),0))</f>
        <v/>
      </c>
      <c r="L224" s="634" t="str">
        <f>IF($A224="","",VLOOKUP($A224,기본데이타!$A$8:$BV$103,COLUMN(기본데이타!N$8),0))</f>
        <v/>
      </c>
      <c r="M224" s="633" t="str">
        <f>IF($A224="","",VLOOKUP($A224,기본데이타!$A$8:$BV$103,COLUMN(기본데이타!O$8),0))</f>
        <v/>
      </c>
      <c r="N224" s="634" t="str">
        <f>IF($A224="","",VLOOKUP($A224,기본데이타!$A$8:$BV$103,COLUMN(기본데이타!P$8),0))</f>
        <v/>
      </c>
      <c r="O224" s="634" t="str">
        <f>IF($A224="","",VLOOKUP($A224,기본데이타!$A$8:$BV$103,COLUMN(기본데이타!Q$8),0))</f>
        <v/>
      </c>
      <c r="P224" s="634" t="str">
        <f>IF($A224="","",VLOOKUP($A224,기본데이타!$A$8:$BV$103,COLUMN(기본데이타!R$8),0))</f>
        <v/>
      </c>
      <c r="Q224" s="634" t="str">
        <f>IF($A224="","",VLOOKUP($A224,기본데이타!$A$8:$BV$103,COLUMN(기본데이타!S$8),0))</f>
        <v/>
      </c>
      <c r="R224" s="634" t="str">
        <f>IF($A224="","",VLOOKUP($A224,기본데이타!$A$8:$BV$103,COLUMN(기본데이타!T$8),0))</f>
        <v/>
      </c>
      <c r="S224" s="634" t="str">
        <f>IF($A224="","",VLOOKUP($A224,기본데이타!$A$8:$BV$103,COLUMN(기본데이타!U$8),0))</f>
        <v/>
      </c>
      <c r="T224" s="634" t="str">
        <f>IF($A224="","",VLOOKUP($A224,기본데이타!$A$8:$BV$103,COLUMN(기본데이타!V$8),0))</f>
        <v/>
      </c>
      <c r="U224" s="634" t="str">
        <f>IF($A224="","",VLOOKUP($A224,기본데이타!$A$8:$BV$103,COLUMN(기본데이타!W$8),0))</f>
        <v/>
      </c>
      <c r="V224" s="634" t="str">
        <f>IF($A224="","",VLOOKUP($A224,기본데이타!$A$8:$BV$103,COLUMN(기본데이타!X$8),0))</f>
        <v/>
      </c>
      <c r="W224" s="634" t="str">
        <f>IF($A224="","",VLOOKUP($A224,기본데이타!$A$8:$BV$103,COLUMN(기본데이타!AA$8),0))</f>
        <v/>
      </c>
      <c r="X224" s="634" t="str">
        <f>IF($A224="","",VLOOKUP($A224,기본데이타!$A$8:$BV$103,COLUMN(기본데이타!AB$8),0))</f>
        <v/>
      </c>
      <c r="Y224" s="633" t="str">
        <f>IF($A224="","",VLOOKUP($A224,기본데이타!$A$8:$BV$103,COLUMN(기본데이타!AC$8),0))</f>
        <v/>
      </c>
      <c r="Z224" s="634" t="str">
        <f>IF($A224="","",VLOOKUP($A224,기본데이타!$A$8:$BV$103,COLUMN(기본데이타!AD$8),0))</f>
        <v/>
      </c>
      <c r="AA224" s="633" t="str">
        <f>IF($A224="","",VLOOKUP($A224,기본데이타!$A$8:$BV$103,COLUMN(기본데이타!AE$8),0))</f>
        <v/>
      </c>
      <c r="AB224" s="634" t="str">
        <f>IF($A224="","",VLOOKUP($A224,기본데이타!$A$8:$BV$103,COLUMN(기본데이타!AF$8),0))</f>
        <v/>
      </c>
      <c r="AC224" s="633" t="str">
        <f>IF($A224="","",VLOOKUP($A224,기본데이타!$A$8:$BV$103,COLUMN(기본데이타!AG$8),0))</f>
        <v/>
      </c>
      <c r="AD224" s="634" t="str">
        <f>IF($A224="","",VLOOKUP($A224,기본데이타!$A$8:$BV$103,COLUMN(기본데이타!AH$8),0))</f>
        <v/>
      </c>
      <c r="AE224" s="633" t="str">
        <f>IF($A224="","",VLOOKUP($A224,기본데이타!$A$8:$BV$103,COLUMN(기본데이타!AI$8),0))</f>
        <v/>
      </c>
      <c r="AF224" s="635" t="str">
        <f>IF($A224="","",VLOOKUP($A224,기본데이타!$A$8:$BV$103,COLUMN(기본데이타!AJ$8),0))</f>
        <v/>
      </c>
      <c r="AG224" s="580" t="str">
        <f>IF($A224="","",VLOOKUP($A224,기본데이타!$A$8:$BV$103,COLUMN(기본데이타!AK$8),0))</f>
        <v/>
      </c>
      <c r="AH224" s="580" t="str">
        <f>IF($A224="","",VLOOKUP($A224,기본데이타!$A$8:$BV$103,COLUMN(기본데이타!AL$8),0))</f>
        <v/>
      </c>
      <c r="AI224" s="580" t="str">
        <f>IF($A224="","",VLOOKUP($A224,기본데이타!$A$8:$BV$103,COLUMN(기본데이타!AM$8),0))</f>
        <v/>
      </c>
      <c r="AJ224" s="636" t="str">
        <f>IF($A224="","",VLOOKUP($A224,기본데이타!$A$8:$BV$103,COLUMN(기본데이타!AN$8),0))</f>
        <v/>
      </c>
      <c r="AK224" s="636" t="str">
        <f>IF($A224="","",VLOOKUP($A224,기본데이타!$A$8:$BV$103,COLUMN(기본데이타!AO$8),0))</f>
        <v/>
      </c>
      <c r="AL224" s="636" t="str">
        <f>IF($A224="","",VLOOKUP($A224,기본데이타!$A$8:$BV$103,COLUMN(기본데이타!AP$8),0))</f>
        <v/>
      </c>
      <c r="AM224" s="636" t="str">
        <f>IF($A224="","",VLOOKUP($A224,기본데이타!$A$8:$BV$103,COLUMN(기본데이타!AQ$8),0))</f>
        <v/>
      </c>
      <c r="AN224" s="636" t="str">
        <f>IF($A224="","",VLOOKUP($A224,기본데이타!$A$8:$BV$103,COLUMN(기본데이타!AR$8),0))</f>
        <v/>
      </c>
      <c r="AO224" s="636" t="str">
        <f>IF($A224="","",VLOOKUP($A224,기본데이타!$A$8:$BV$103,COLUMN(기본데이타!AS$8),0))</f>
        <v/>
      </c>
      <c r="AP224" s="636" t="str">
        <f>IF($A224="","",VLOOKUP($A224,기본데이타!$A$8:$BV$103,COLUMN(기본데이타!AT$8),0))</f>
        <v/>
      </c>
      <c r="AQ224" s="636" t="str">
        <f>IF($A224="","",VLOOKUP($A224,기본데이타!$A$8:$BV$103,COLUMN(기본데이타!AU$8),0))</f>
        <v/>
      </c>
      <c r="AR224" s="637" t="str">
        <f>IF($A224="","",VLOOKUP($A224,기본데이타!$A$8:$BV$103,COLUMN(기본데이타!AV$8),0))</f>
        <v/>
      </c>
      <c r="AS224" s="634" t="str">
        <f>IF($A224="","",VLOOKUP($A224,기본데이타!$A$8:$BV$103,COLUMN(기본데이타!AW$8),0))</f>
        <v/>
      </c>
      <c r="AT224" s="634" t="str">
        <f>IF($A224="","",VLOOKUP($A224,기본데이타!$A$8:$BV$103,COLUMN(기본데이타!AX$8),0))</f>
        <v/>
      </c>
      <c r="AU224" s="634" t="str">
        <f>IF($A224="","",VLOOKUP($A224,기본데이타!$A$8:$BV$103,COLUMN(기본데이타!AY$8),0))</f>
        <v/>
      </c>
      <c r="AV224" s="634" t="str">
        <f t="shared" si="32"/>
        <v/>
      </c>
      <c r="AW224" s="635" t="str">
        <f>IF($A224="","",VLOOKUP($A224,기본데이타!$A$8:$BV$103,COLUMN(기본데이타!BA$8),0))</f>
        <v/>
      </c>
      <c r="AX224" s="635" t="str">
        <f>IF($A224="","",VLOOKUP($A224,기본데이타!$A$8:$BV$103,COLUMN(기본데이타!BB$8),0))</f>
        <v/>
      </c>
      <c r="AY224" s="635" t="str">
        <f>IF($A224="","",VLOOKUP($A224,기본데이타!$A$8:$BV$103,COLUMN(기본데이타!BC$8),0))</f>
        <v/>
      </c>
      <c r="AZ224" s="635" t="str">
        <f>IF($A224="","",VLOOKUP($A224,기본데이타!$A$8:$BV$103,COLUMN(기본데이타!BD$8),0))</f>
        <v/>
      </c>
      <c r="BA224" s="635" t="str">
        <f>IF($A224="","",VLOOKUP($A224,기본데이타!$A$8:$BV$103,COLUMN(기본데이타!BE$8),0))</f>
        <v/>
      </c>
      <c r="BB224" s="635" t="str">
        <f>IF($A224="","",VLOOKUP($A224,기본데이타!$A$8:$BV$103,COLUMN(기본데이타!BF$8),0))</f>
        <v/>
      </c>
      <c r="BC224" s="635" t="str">
        <f>IF($A224="","",VLOOKUP($A224,기본데이타!$A$8:$BV$103,COLUMN(기본데이타!BG$8),0))</f>
        <v/>
      </c>
      <c r="BD224" s="635" t="str">
        <f>IF($A224="","",VLOOKUP($A224,기본데이타!$A$8:$BV$103,COLUMN(기본데이타!BH$8),0))</f>
        <v/>
      </c>
      <c r="BE224" s="635" t="str">
        <f>IF($A224="","",VLOOKUP($A224,기본데이타!$A$8:$BV$103,COLUMN(기본데이타!BI$8),0))</f>
        <v/>
      </c>
      <c r="BF224" s="635" t="str">
        <f>IF($A224="","",VLOOKUP($A224,기본데이타!$A$8:$BV$103,COLUMN(기본데이타!BJ$8),0))</f>
        <v/>
      </c>
      <c r="BG224" s="635" t="str">
        <f>IF($A224="","",VLOOKUP($A224,기본데이타!$A$8:$BV$103,COLUMN(기본데이타!BK$8),0))</f>
        <v/>
      </c>
      <c r="BH224" s="635" t="str">
        <f>IF($A224="","",VLOOKUP($A224,기본데이타!$A$8:$BV$103,COLUMN(기본데이타!BL$8),0))</f>
        <v/>
      </c>
      <c r="BI224" s="635" t="str">
        <f>IF($A224="","",VLOOKUP($A224,기본데이타!$A$8:$BV$103,COLUMN(기본데이타!BM$8),0))</f>
        <v/>
      </c>
      <c r="BJ224" s="635" t="str">
        <f>IF($A224="","",VLOOKUP($A224,기본데이타!$A$8:$BV$103,COLUMN(기본데이타!BN$8),0))</f>
        <v/>
      </c>
      <c r="BK224" s="635" t="str">
        <f>IF($A224="","",VLOOKUP($A224,기본데이타!$A$8:$BV$103,COLUMN(기본데이타!BO$8),0))</f>
        <v/>
      </c>
      <c r="BL224" s="635" t="str">
        <f>IF($A224="","",VLOOKUP($A224,기본데이타!$A$8:$BV$103,COLUMN(기본데이타!BP$8),0))</f>
        <v/>
      </c>
      <c r="BM224" s="635" t="str">
        <f>IF($A224="","",VLOOKUP($A224,기본데이타!$A$8:$BV$103,COLUMN(기본데이타!BQ$8),0))</f>
        <v/>
      </c>
      <c r="BN224" s="638" t="str">
        <f>IF($A224="","",VLOOKUP($A224,기본데이타!$A$8:$BV$103,COLUMN(기본데이타!BR$8),0))</f>
        <v/>
      </c>
      <c r="BO224" s="579" t="str">
        <f>IF($A224="","",VLOOKUP($A224,기본데이타!$A$8:$BV$103,COLUMN(기본데이타!BS$8),0))</f>
        <v/>
      </c>
      <c r="BP224" s="639" t="str">
        <f>IF($A224="","",VLOOKUP($A224,기본데이타!$A$8:$BV$103,COLUMN(기본데이타!BT$8),0))</f>
        <v/>
      </c>
      <c r="BQ224" s="640" t="str">
        <f>IF($A224="","",VLOOKUP($A224,기본데이타!$A$8:$BV$103,COLUMN(기본데이타!BU$8),0))</f>
        <v/>
      </c>
      <c r="BR224" s="625" t="str">
        <f t="shared" si="33"/>
        <v/>
      </c>
    </row>
    <row r="225" spans="1:70" s="571" customFormat="1" ht="50.1" hidden="1" customHeight="1">
      <c r="A225" s="578"/>
      <c r="B225" s="1642"/>
      <c r="C225" s="590"/>
      <c r="D225" s="629" t="str">
        <f>IF($A225="","",VLOOKUP($A225,기본데이타!$A$8:$BV$103,COLUMN(기본데이타!F$8),0))</f>
        <v/>
      </c>
      <c r="E225" s="630" t="str">
        <f>IF($A225="","",VLOOKUP($A225,기본데이타!$A$8:$BV$103,COLUMN(기본데이타!G$8),0))</f>
        <v/>
      </c>
      <c r="F225" s="631" t="str">
        <f>IF($A225="","",VLOOKUP($A225,기본데이타!$A$8:$BV$103,COLUMN(기본데이타!H$8),0))</f>
        <v/>
      </c>
      <c r="G225" s="632" t="str">
        <f>IF($A225="","",VLOOKUP($A225,기본데이타!$A$8:$BV$103,COLUMN(기본데이타!I$8),0))</f>
        <v/>
      </c>
      <c r="H225" s="632" t="str">
        <f>IF($A225="","",VLOOKUP($A225,기본데이타!$A$8:$BV$103,COLUMN(기본데이타!J$8),0))</f>
        <v/>
      </c>
      <c r="I225" s="633" t="str">
        <f>IF($A225="","",VLOOKUP($A225,기본데이타!$A$8:$BV$103,COLUMN(기본데이타!K$8),0))</f>
        <v/>
      </c>
      <c r="J225" s="633" t="str">
        <f>IF($A225="","",VLOOKUP($A225,기본데이타!$A$8:$BV$103,COLUMN(기본데이타!L$8),0))</f>
        <v/>
      </c>
      <c r="K225" s="633" t="str">
        <f>IF($A225="","",VLOOKUP($A225,기본데이타!$A$8:$BV$103,COLUMN(기본데이타!M$8),0))</f>
        <v/>
      </c>
      <c r="L225" s="634" t="str">
        <f>IF($A225="","",VLOOKUP($A225,기본데이타!$A$8:$BV$103,COLUMN(기본데이타!N$8),0))</f>
        <v/>
      </c>
      <c r="M225" s="633" t="str">
        <f>IF($A225="","",VLOOKUP($A225,기본데이타!$A$8:$BV$103,COLUMN(기본데이타!O$8),0))</f>
        <v/>
      </c>
      <c r="N225" s="634" t="str">
        <f>IF($A225="","",VLOOKUP($A225,기본데이타!$A$8:$BV$103,COLUMN(기본데이타!P$8),0))</f>
        <v/>
      </c>
      <c r="O225" s="634" t="str">
        <f>IF($A225="","",VLOOKUP($A225,기본데이타!$A$8:$BV$103,COLUMN(기본데이타!Q$8),0))</f>
        <v/>
      </c>
      <c r="P225" s="634" t="str">
        <f>IF($A225="","",VLOOKUP($A225,기본데이타!$A$8:$BV$103,COLUMN(기본데이타!R$8),0))</f>
        <v/>
      </c>
      <c r="Q225" s="634" t="str">
        <f>IF($A225="","",VLOOKUP($A225,기본데이타!$A$8:$BV$103,COLUMN(기본데이타!S$8),0))</f>
        <v/>
      </c>
      <c r="R225" s="634" t="str">
        <f>IF($A225="","",VLOOKUP($A225,기본데이타!$A$8:$BV$103,COLUMN(기본데이타!T$8),0))</f>
        <v/>
      </c>
      <c r="S225" s="634" t="str">
        <f>IF($A225="","",VLOOKUP($A225,기본데이타!$A$8:$BV$103,COLUMN(기본데이타!U$8),0))</f>
        <v/>
      </c>
      <c r="T225" s="634" t="str">
        <f>IF($A225="","",VLOOKUP($A225,기본데이타!$A$8:$BV$103,COLUMN(기본데이타!V$8),0))</f>
        <v/>
      </c>
      <c r="U225" s="634" t="str">
        <f>IF($A225="","",VLOOKUP($A225,기본데이타!$A$8:$BV$103,COLUMN(기본데이타!W$8),0))</f>
        <v/>
      </c>
      <c r="V225" s="634" t="str">
        <f>IF($A225="","",VLOOKUP($A225,기본데이타!$A$8:$BV$103,COLUMN(기본데이타!X$8),0))</f>
        <v/>
      </c>
      <c r="W225" s="634" t="str">
        <f>IF($A225="","",VLOOKUP($A225,기본데이타!$A$8:$BV$103,COLUMN(기본데이타!AA$8),0))</f>
        <v/>
      </c>
      <c r="X225" s="634" t="str">
        <f>IF($A225="","",VLOOKUP($A225,기본데이타!$A$8:$BV$103,COLUMN(기본데이타!AB$8),0))</f>
        <v/>
      </c>
      <c r="Y225" s="633" t="str">
        <f>IF($A225="","",VLOOKUP($A225,기본데이타!$A$8:$BV$103,COLUMN(기본데이타!AC$8),0))</f>
        <v/>
      </c>
      <c r="Z225" s="634" t="str">
        <f>IF($A225="","",VLOOKUP($A225,기본데이타!$A$8:$BV$103,COLUMN(기본데이타!AD$8),0))</f>
        <v/>
      </c>
      <c r="AA225" s="633" t="str">
        <f>IF($A225="","",VLOOKUP($A225,기본데이타!$A$8:$BV$103,COLUMN(기본데이타!AE$8),0))</f>
        <v/>
      </c>
      <c r="AB225" s="634" t="str">
        <f>IF($A225="","",VLOOKUP($A225,기본데이타!$A$8:$BV$103,COLUMN(기본데이타!AF$8),0))</f>
        <v/>
      </c>
      <c r="AC225" s="633" t="str">
        <f>IF($A225="","",VLOOKUP($A225,기본데이타!$A$8:$BV$103,COLUMN(기본데이타!AG$8),0))</f>
        <v/>
      </c>
      <c r="AD225" s="634" t="str">
        <f>IF($A225="","",VLOOKUP($A225,기본데이타!$A$8:$BV$103,COLUMN(기본데이타!AH$8),0))</f>
        <v/>
      </c>
      <c r="AE225" s="633" t="str">
        <f>IF($A225="","",VLOOKUP($A225,기본데이타!$A$8:$BV$103,COLUMN(기본데이타!AI$8),0))</f>
        <v/>
      </c>
      <c r="AF225" s="635" t="str">
        <f>IF($A225="","",VLOOKUP($A225,기본데이타!$A$8:$BV$103,COLUMN(기본데이타!AJ$8),0))</f>
        <v/>
      </c>
      <c r="AG225" s="580" t="str">
        <f>IF($A225="","",VLOOKUP($A225,기본데이타!$A$8:$BV$103,COLUMN(기본데이타!AK$8),0))</f>
        <v/>
      </c>
      <c r="AH225" s="580" t="str">
        <f>IF($A225="","",VLOOKUP($A225,기본데이타!$A$8:$BV$103,COLUMN(기본데이타!AL$8),0))</f>
        <v/>
      </c>
      <c r="AI225" s="580" t="str">
        <f>IF($A225="","",VLOOKUP($A225,기본데이타!$A$8:$BV$103,COLUMN(기본데이타!AM$8),0))</f>
        <v/>
      </c>
      <c r="AJ225" s="636" t="str">
        <f>IF($A225="","",VLOOKUP($A225,기본데이타!$A$8:$BV$103,COLUMN(기본데이타!AN$8),0))</f>
        <v/>
      </c>
      <c r="AK225" s="636" t="str">
        <f>IF($A225="","",VLOOKUP($A225,기본데이타!$A$8:$BV$103,COLUMN(기본데이타!AO$8),0))</f>
        <v/>
      </c>
      <c r="AL225" s="636" t="str">
        <f>IF($A225="","",VLOOKUP($A225,기본데이타!$A$8:$BV$103,COLUMN(기본데이타!AP$8),0))</f>
        <v/>
      </c>
      <c r="AM225" s="636" t="str">
        <f>IF($A225="","",VLOOKUP($A225,기본데이타!$A$8:$BV$103,COLUMN(기본데이타!AQ$8),0))</f>
        <v/>
      </c>
      <c r="AN225" s="636" t="str">
        <f>IF($A225="","",VLOOKUP($A225,기본데이타!$A$8:$BV$103,COLUMN(기본데이타!AR$8),0))</f>
        <v/>
      </c>
      <c r="AO225" s="636" t="str">
        <f>IF($A225="","",VLOOKUP($A225,기본데이타!$A$8:$BV$103,COLUMN(기본데이타!AS$8),0))</f>
        <v/>
      </c>
      <c r="AP225" s="636" t="str">
        <f>IF($A225="","",VLOOKUP($A225,기본데이타!$A$8:$BV$103,COLUMN(기본데이타!AT$8),0))</f>
        <v/>
      </c>
      <c r="AQ225" s="636" t="str">
        <f>IF($A225="","",VLOOKUP($A225,기본데이타!$A$8:$BV$103,COLUMN(기본데이타!AU$8),0))</f>
        <v/>
      </c>
      <c r="AR225" s="637" t="str">
        <f>IF($A225="","",VLOOKUP($A225,기본데이타!$A$8:$BV$103,COLUMN(기본데이타!AV$8),0))</f>
        <v/>
      </c>
      <c r="AS225" s="634" t="str">
        <f>IF($A225="","",VLOOKUP($A225,기본데이타!$A$8:$BV$103,COLUMN(기본데이타!AW$8),0))</f>
        <v/>
      </c>
      <c r="AT225" s="634" t="str">
        <f>IF($A225="","",VLOOKUP($A225,기본데이타!$A$8:$BV$103,COLUMN(기본데이타!AX$8),0))</f>
        <v/>
      </c>
      <c r="AU225" s="634" t="str">
        <f>IF($A225="","",VLOOKUP($A225,기본데이타!$A$8:$BV$103,COLUMN(기본데이타!AY$8),0))</f>
        <v/>
      </c>
      <c r="AV225" s="634" t="str">
        <f t="shared" si="32"/>
        <v/>
      </c>
      <c r="AW225" s="635" t="str">
        <f>IF($A225="","",VLOOKUP($A225,기본데이타!$A$8:$BV$103,COLUMN(기본데이타!BA$8),0))</f>
        <v/>
      </c>
      <c r="AX225" s="635" t="str">
        <f>IF($A225="","",VLOOKUP($A225,기본데이타!$A$8:$BV$103,COLUMN(기본데이타!BB$8),0))</f>
        <v/>
      </c>
      <c r="AY225" s="635" t="str">
        <f>IF($A225="","",VLOOKUP($A225,기본데이타!$A$8:$BV$103,COLUMN(기본데이타!BC$8),0))</f>
        <v/>
      </c>
      <c r="AZ225" s="635" t="str">
        <f>IF($A225="","",VLOOKUP($A225,기본데이타!$A$8:$BV$103,COLUMN(기본데이타!BD$8),0))</f>
        <v/>
      </c>
      <c r="BA225" s="635" t="str">
        <f>IF($A225="","",VLOOKUP($A225,기본데이타!$A$8:$BV$103,COLUMN(기본데이타!BE$8),0))</f>
        <v/>
      </c>
      <c r="BB225" s="635" t="str">
        <f>IF($A225="","",VLOOKUP($A225,기본데이타!$A$8:$BV$103,COLUMN(기본데이타!BF$8),0))</f>
        <v/>
      </c>
      <c r="BC225" s="635" t="str">
        <f>IF($A225="","",VLOOKUP($A225,기본데이타!$A$8:$BV$103,COLUMN(기본데이타!BG$8),0))</f>
        <v/>
      </c>
      <c r="BD225" s="635" t="str">
        <f>IF($A225="","",VLOOKUP($A225,기본데이타!$A$8:$BV$103,COLUMN(기본데이타!BH$8),0))</f>
        <v/>
      </c>
      <c r="BE225" s="635" t="str">
        <f>IF($A225="","",VLOOKUP($A225,기본데이타!$A$8:$BV$103,COLUMN(기본데이타!BI$8),0))</f>
        <v/>
      </c>
      <c r="BF225" s="635" t="str">
        <f>IF($A225="","",VLOOKUP($A225,기본데이타!$A$8:$BV$103,COLUMN(기본데이타!BJ$8),0))</f>
        <v/>
      </c>
      <c r="BG225" s="635" t="str">
        <f>IF($A225="","",VLOOKUP($A225,기본데이타!$A$8:$BV$103,COLUMN(기본데이타!BK$8),0))</f>
        <v/>
      </c>
      <c r="BH225" s="635" t="str">
        <f>IF($A225="","",VLOOKUP($A225,기본데이타!$A$8:$BV$103,COLUMN(기본데이타!BL$8),0))</f>
        <v/>
      </c>
      <c r="BI225" s="635" t="str">
        <f>IF($A225="","",VLOOKUP($A225,기본데이타!$A$8:$BV$103,COLUMN(기본데이타!BM$8),0))</f>
        <v/>
      </c>
      <c r="BJ225" s="635" t="str">
        <f>IF($A225="","",VLOOKUP($A225,기본데이타!$A$8:$BV$103,COLUMN(기본데이타!BN$8),0))</f>
        <v/>
      </c>
      <c r="BK225" s="635" t="str">
        <f>IF($A225="","",VLOOKUP($A225,기본데이타!$A$8:$BV$103,COLUMN(기본데이타!BO$8),0))</f>
        <v/>
      </c>
      <c r="BL225" s="635" t="str">
        <f>IF($A225="","",VLOOKUP($A225,기본데이타!$A$8:$BV$103,COLUMN(기본데이타!BP$8),0))</f>
        <v/>
      </c>
      <c r="BM225" s="635" t="str">
        <f>IF($A225="","",VLOOKUP($A225,기본데이타!$A$8:$BV$103,COLUMN(기본데이타!BQ$8),0))</f>
        <v/>
      </c>
      <c r="BN225" s="638" t="str">
        <f>IF($A225="","",VLOOKUP($A225,기본데이타!$A$8:$BV$103,COLUMN(기본데이타!BR$8),0))</f>
        <v/>
      </c>
      <c r="BO225" s="579" t="str">
        <f>IF($A225="","",VLOOKUP($A225,기본데이타!$A$8:$BV$103,COLUMN(기본데이타!BS$8),0))</f>
        <v/>
      </c>
      <c r="BP225" s="639" t="str">
        <f>IF($A225="","",VLOOKUP($A225,기본데이타!$A$8:$BV$103,COLUMN(기본데이타!BT$8),0))</f>
        <v/>
      </c>
      <c r="BQ225" s="640" t="str">
        <f>IF($A225="","",VLOOKUP($A225,기본데이타!$A$8:$BV$103,COLUMN(기본데이타!BU$8),0))</f>
        <v/>
      </c>
      <c r="BR225" s="625" t="str">
        <f t="shared" si="33"/>
        <v/>
      </c>
    </row>
    <row r="226" spans="1:70" s="571" customFormat="1" ht="50.1" hidden="1" customHeight="1" thickBot="1">
      <c r="A226" s="578"/>
      <c r="B226" s="1642"/>
      <c r="C226" s="657"/>
      <c r="D226" s="1041" t="str">
        <f>IF($A226="","",VLOOKUP($A226,기본데이타!$A$8:$BV$103,COLUMN(기본데이타!F$8),0))</f>
        <v/>
      </c>
      <c r="E226" s="1042" t="str">
        <f>IF($A226="","",VLOOKUP($A226,기본데이타!$A$8:$BV$103,COLUMN(기본데이타!G$8),0))</f>
        <v/>
      </c>
      <c r="F226" s="1043" t="str">
        <f>IF($A226="","",VLOOKUP($A226,기본데이타!$A$8:$BV$103,COLUMN(기본데이타!H$8),0))</f>
        <v/>
      </c>
      <c r="G226" s="1044" t="str">
        <f>IF($A226="","",VLOOKUP($A226,기본데이타!$A$8:$BV$103,COLUMN(기본데이타!I$8),0))</f>
        <v/>
      </c>
      <c r="H226" s="1044" t="str">
        <f>IF($A226="","",VLOOKUP($A226,기본데이타!$A$8:$BV$103,COLUMN(기본데이타!J$8),0))</f>
        <v/>
      </c>
      <c r="I226" s="1045" t="str">
        <f>IF($A226="","",VLOOKUP($A226,기본데이타!$A$8:$BV$103,COLUMN(기본데이타!K$8),0))</f>
        <v/>
      </c>
      <c r="J226" s="1045" t="str">
        <f>IF($A226="","",VLOOKUP($A226,기본데이타!$A$8:$BV$103,COLUMN(기본데이타!L$8),0))</f>
        <v/>
      </c>
      <c r="K226" s="1045" t="str">
        <f>IF($A226="","",VLOOKUP($A226,기본데이타!$A$8:$BV$103,COLUMN(기본데이타!M$8),0))</f>
        <v/>
      </c>
      <c r="L226" s="1046" t="str">
        <f>IF($A226="","",VLOOKUP($A226,기본데이타!$A$8:$BV$103,COLUMN(기본데이타!N$8),0))</f>
        <v/>
      </c>
      <c r="M226" s="1045" t="str">
        <f>IF($A226="","",VLOOKUP($A226,기본데이타!$A$8:$BV$103,COLUMN(기본데이타!O$8),0))</f>
        <v/>
      </c>
      <c r="N226" s="1046" t="str">
        <f>IF($A226="","",VLOOKUP($A226,기본데이타!$A$8:$BV$103,COLUMN(기본데이타!P$8),0))</f>
        <v/>
      </c>
      <c r="O226" s="1046" t="str">
        <f>IF($A226="","",VLOOKUP($A226,기본데이타!$A$8:$BV$103,COLUMN(기본데이타!Q$8),0))</f>
        <v/>
      </c>
      <c r="P226" s="1046" t="str">
        <f>IF($A226="","",VLOOKUP($A226,기본데이타!$A$8:$BV$103,COLUMN(기본데이타!R$8),0))</f>
        <v/>
      </c>
      <c r="Q226" s="1046" t="str">
        <f>IF($A226="","",VLOOKUP($A226,기본데이타!$A$8:$BV$103,COLUMN(기본데이타!S$8),0))</f>
        <v/>
      </c>
      <c r="R226" s="1046" t="str">
        <f>IF($A226="","",VLOOKUP($A226,기본데이타!$A$8:$BV$103,COLUMN(기본데이타!T$8),0))</f>
        <v/>
      </c>
      <c r="S226" s="1046" t="str">
        <f>IF($A226="","",VLOOKUP($A226,기본데이타!$A$8:$BV$103,COLUMN(기본데이타!U$8),0))</f>
        <v/>
      </c>
      <c r="T226" s="1046" t="str">
        <f>IF($A226="","",VLOOKUP($A226,기본데이타!$A$8:$BV$103,COLUMN(기본데이타!V$8),0))</f>
        <v/>
      </c>
      <c r="U226" s="1046" t="str">
        <f>IF($A226="","",VLOOKUP($A226,기본데이타!$A$8:$BV$103,COLUMN(기본데이타!W$8),0))</f>
        <v/>
      </c>
      <c r="V226" s="1046" t="str">
        <f>IF($A226="","",VLOOKUP($A226,기본데이타!$A$8:$BV$103,COLUMN(기본데이타!X$8),0))</f>
        <v/>
      </c>
      <c r="W226" s="1046" t="str">
        <f>IF($A226="","",VLOOKUP($A226,기본데이타!$A$8:$BV$103,COLUMN(기본데이타!AA$8),0))</f>
        <v/>
      </c>
      <c r="X226" s="1046" t="str">
        <f>IF($A226="","",VLOOKUP($A226,기본데이타!$A$8:$BV$103,COLUMN(기본데이타!AB$8),0))</f>
        <v/>
      </c>
      <c r="Y226" s="1045" t="str">
        <f>IF($A226="","",VLOOKUP($A226,기본데이타!$A$8:$BV$103,COLUMN(기본데이타!AC$8),0))</f>
        <v/>
      </c>
      <c r="Z226" s="1046" t="str">
        <f>IF($A226="","",VLOOKUP($A226,기본데이타!$A$8:$BV$103,COLUMN(기본데이타!AD$8),0))</f>
        <v/>
      </c>
      <c r="AA226" s="1045" t="str">
        <f>IF($A226="","",VLOOKUP($A226,기본데이타!$A$8:$BV$103,COLUMN(기본데이타!AE$8),0))</f>
        <v/>
      </c>
      <c r="AB226" s="1046" t="str">
        <f>IF($A226="","",VLOOKUP($A226,기본데이타!$A$8:$BV$103,COLUMN(기본데이타!AF$8),0))</f>
        <v/>
      </c>
      <c r="AC226" s="1045" t="str">
        <f>IF($A226="","",VLOOKUP($A226,기본데이타!$A$8:$BV$103,COLUMN(기본데이타!AG$8),0))</f>
        <v/>
      </c>
      <c r="AD226" s="1046" t="str">
        <f>IF($A226="","",VLOOKUP($A226,기본데이타!$A$8:$BV$103,COLUMN(기본데이타!AH$8),0))</f>
        <v/>
      </c>
      <c r="AE226" s="1045" t="str">
        <f>IF($A226="","",VLOOKUP($A226,기본데이타!$A$8:$BV$103,COLUMN(기본데이타!AI$8),0))</f>
        <v/>
      </c>
      <c r="AF226" s="1047" t="str">
        <f>IF($A226="","",VLOOKUP($A226,기본데이타!$A$8:$BV$103,COLUMN(기본데이타!AJ$8),0))</f>
        <v/>
      </c>
      <c r="AG226" s="1342" t="str">
        <f>IF($A226="","",VLOOKUP($A226,기본데이타!$A$8:$BV$103,COLUMN(기본데이타!AK$8),0))</f>
        <v/>
      </c>
      <c r="AH226" s="1342" t="str">
        <f>IF($A226="","",VLOOKUP($A226,기본데이타!$A$8:$BV$103,COLUMN(기본데이타!AL$8),0))</f>
        <v/>
      </c>
      <c r="AI226" s="1342" t="str">
        <f>IF($A226="","",VLOOKUP($A226,기본데이타!$A$8:$BV$103,COLUMN(기본데이타!AM$8),0))</f>
        <v/>
      </c>
      <c r="AJ226" s="1048" t="str">
        <f>IF($A226="","",VLOOKUP($A226,기본데이타!$A$8:$BV$103,COLUMN(기본데이타!AN$8),0))</f>
        <v/>
      </c>
      <c r="AK226" s="1048" t="str">
        <f>IF($A226="","",VLOOKUP($A226,기본데이타!$A$8:$BV$103,COLUMN(기본데이타!AO$8),0))</f>
        <v/>
      </c>
      <c r="AL226" s="1048" t="str">
        <f>IF($A226="","",VLOOKUP($A226,기본데이타!$A$8:$BV$103,COLUMN(기본데이타!AP$8),0))</f>
        <v/>
      </c>
      <c r="AM226" s="1048" t="str">
        <f>IF($A226="","",VLOOKUP($A226,기본데이타!$A$8:$BV$103,COLUMN(기본데이타!AQ$8),0))</f>
        <v/>
      </c>
      <c r="AN226" s="1048" t="str">
        <f>IF($A226="","",VLOOKUP($A226,기본데이타!$A$8:$BV$103,COLUMN(기본데이타!AR$8),0))</f>
        <v/>
      </c>
      <c r="AO226" s="1048" t="str">
        <f>IF($A226="","",VLOOKUP($A226,기본데이타!$A$8:$BV$103,COLUMN(기본데이타!AS$8),0))</f>
        <v/>
      </c>
      <c r="AP226" s="1048" t="str">
        <f>IF($A226="","",VLOOKUP($A226,기본데이타!$A$8:$BV$103,COLUMN(기본데이타!AT$8),0))</f>
        <v/>
      </c>
      <c r="AQ226" s="1048" t="str">
        <f>IF($A226="","",VLOOKUP($A226,기본데이타!$A$8:$BV$103,COLUMN(기본데이타!AU$8),0))</f>
        <v/>
      </c>
      <c r="AR226" s="1049" t="str">
        <f>IF($A226="","",VLOOKUP($A226,기본데이타!$A$8:$BV$103,COLUMN(기본데이타!AV$8),0))</f>
        <v/>
      </c>
      <c r="AS226" s="1046" t="str">
        <f>IF($A226="","",VLOOKUP($A226,기본데이타!$A$8:$BV$103,COLUMN(기본데이타!AW$8),0))</f>
        <v/>
      </c>
      <c r="AT226" s="1046" t="str">
        <f>IF($A226="","",VLOOKUP($A226,기본데이타!$A$8:$BV$103,COLUMN(기본데이타!AX$8),0))</f>
        <v/>
      </c>
      <c r="AU226" s="1046" t="str">
        <f>IF($A226="","",VLOOKUP($A226,기본데이타!$A$8:$BV$103,COLUMN(기본데이타!AY$8),0))</f>
        <v/>
      </c>
      <c r="AV226" s="1046" t="str">
        <f t="shared" si="32"/>
        <v/>
      </c>
      <c r="AW226" s="1047" t="str">
        <f>IF($A226="","",VLOOKUP($A226,기본데이타!$A$8:$BV$103,COLUMN(기본데이타!BA$8),0))</f>
        <v/>
      </c>
      <c r="AX226" s="1047" t="str">
        <f>IF($A226="","",VLOOKUP($A226,기본데이타!$A$8:$BV$103,COLUMN(기본데이타!BB$8),0))</f>
        <v/>
      </c>
      <c r="AY226" s="1047" t="str">
        <f>IF($A226="","",VLOOKUP($A226,기본데이타!$A$8:$BV$103,COLUMN(기본데이타!BC$8),0))</f>
        <v/>
      </c>
      <c r="AZ226" s="1047" t="str">
        <f>IF($A226="","",VLOOKUP($A226,기본데이타!$A$8:$BV$103,COLUMN(기본데이타!BD$8),0))</f>
        <v/>
      </c>
      <c r="BA226" s="1047" t="str">
        <f>IF($A226="","",VLOOKUP($A226,기본데이타!$A$8:$BV$103,COLUMN(기본데이타!BE$8),0))</f>
        <v/>
      </c>
      <c r="BB226" s="1047" t="str">
        <f>IF($A226="","",VLOOKUP($A226,기본데이타!$A$8:$BV$103,COLUMN(기본데이타!BF$8),0))</f>
        <v/>
      </c>
      <c r="BC226" s="1047" t="str">
        <f>IF($A226="","",VLOOKUP($A226,기본데이타!$A$8:$BV$103,COLUMN(기본데이타!BG$8),0))</f>
        <v/>
      </c>
      <c r="BD226" s="1047" t="str">
        <f>IF($A226="","",VLOOKUP($A226,기본데이타!$A$8:$BV$103,COLUMN(기본데이타!BH$8),0))</f>
        <v/>
      </c>
      <c r="BE226" s="1047" t="str">
        <f>IF($A226="","",VLOOKUP($A226,기본데이타!$A$8:$BV$103,COLUMN(기본데이타!BI$8),0))</f>
        <v/>
      </c>
      <c r="BF226" s="1047" t="str">
        <f>IF($A226="","",VLOOKUP($A226,기본데이타!$A$8:$BV$103,COLUMN(기본데이타!BJ$8),0))</f>
        <v/>
      </c>
      <c r="BG226" s="1047" t="str">
        <f>IF($A226="","",VLOOKUP($A226,기본데이타!$A$8:$BV$103,COLUMN(기본데이타!BK$8),0))</f>
        <v/>
      </c>
      <c r="BH226" s="1047" t="str">
        <f>IF($A226="","",VLOOKUP($A226,기본데이타!$A$8:$BV$103,COLUMN(기본데이타!BL$8),0))</f>
        <v/>
      </c>
      <c r="BI226" s="1047" t="str">
        <f>IF($A226="","",VLOOKUP($A226,기본데이타!$A$8:$BV$103,COLUMN(기본데이타!BM$8),0))</f>
        <v/>
      </c>
      <c r="BJ226" s="1047" t="str">
        <f>IF($A226="","",VLOOKUP($A226,기본데이타!$A$8:$BV$103,COLUMN(기본데이타!BN$8),0))</f>
        <v/>
      </c>
      <c r="BK226" s="1047" t="str">
        <f>IF($A226="","",VLOOKUP($A226,기본데이타!$A$8:$BV$103,COLUMN(기본데이타!BO$8),0))</f>
        <v/>
      </c>
      <c r="BL226" s="1047" t="str">
        <f>IF($A226="","",VLOOKUP($A226,기본데이타!$A$8:$BV$103,COLUMN(기본데이타!BP$8),0))</f>
        <v/>
      </c>
      <c r="BM226" s="1047" t="str">
        <f>IF($A226="","",VLOOKUP($A226,기본데이타!$A$8:$BV$103,COLUMN(기본데이타!BQ$8),0))</f>
        <v/>
      </c>
      <c r="BN226" s="1050" t="str">
        <f>IF($A226="","",VLOOKUP($A226,기본데이타!$A$8:$BV$103,COLUMN(기본데이타!BR$8),0))</f>
        <v/>
      </c>
      <c r="BO226" s="1051" t="str">
        <f>IF($A226="","",VLOOKUP($A226,기본데이타!$A$8:$BV$103,COLUMN(기본데이타!BS$8),0))</f>
        <v/>
      </c>
      <c r="BP226" s="1052" t="str">
        <f>IF($A226="","",VLOOKUP($A226,기본데이타!$A$8:$BV$103,COLUMN(기본데이타!BT$8),0))</f>
        <v/>
      </c>
      <c r="BQ226" s="1343" t="str">
        <f>IF($A226="","",VLOOKUP($A226,기본데이타!$A$8:$BV$103,COLUMN(기본데이타!BU$8),0))</f>
        <v/>
      </c>
      <c r="BR226" s="1053" t="str">
        <f t="shared" si="33"/>
        <v/>
      </c>
    </row>
    <row r="227" spans="1:70" ht="54.75" customHeight="1">
      <c r="B227" s="1644"/>
    </row>
    <row r="228" spans="1:70" ht="54.75" customHeight="1">
      <c r="AR228" s="674"/>
    </row>
    <row r="229" spans="1:70" ht="54.75" customHeight="1">
      <c r="AR229" s="674"/>
    </row>
    <row r="230" spans="1:70" ht="54.75" customHeight="1">
      <c r="AR230" s="674" t="s">
        <v>174</v>
      </c>
    </row>
    <row r="231" spans="1:70" ht="54.75" customHeight="1">
      <c r="AR231" s="674" t="s">
        <v>174</v>
      </c>
    </row>
    <row r="232" spans="1:70" ht="54.75" customHeight="1">
      <c r="AR232" s="674" t="s">
        <v>174</v>
      </c>
    </row>
    <row r="233" spans="1:70" ht="54.75" customHeight="1">
      <c r="AR233" s="674" t="s">
        <v>174</v>
      </c>
    </row>
    <row r="234" spans="1:70" ht="54.75" customHeight="1">
      <c r="AR234" s="674" t="s">
        <v>174</v>
      </c>
    </row>
    <row r="235" spans="1:70" ht="54.75" customHeight="1">
      <c r="AR235" s="674" t="s">
        <v>174</v>
      </c>
    </row>
    <row r="236" spans="1:70" ht="54.75" customHeight="1">
      <c r="AR236" s="674" t="s">
        <v>174</v>
      </c>
    </row>
    <row r="237" spans="1:70" ht="54.75" customHeight="1">
      <c r="AR237" s="674" t="s">
        <v>174</v>
      </c>
    </row>
    <row r="238" spans="1:70" ht="54.75" customHeight="1">
      <c r="AR238" s="674" t="s">
        <v>174</v>
      </c>
    </row>
    <row r="239" spans="1:70" ht="54.75" customHeight="1">
      <c r="AR239" s="674" t="s">
        <v>174</v>
      </c>
    </row>
    <row r="240" spans="1:70" ht="54.75" customHeight="1">
      <c r="AR240" s="674" t="s">
        <v>174</v>
      </c>
    </row>
    <row r="241" spans="44:44" ht="54.75" customHeight="1">
      <c r="AR241" s="674" t="s">
        <v>174</v>
      </c>
    </row>
    <row r="242" spans="44:44" ht="54.75" customHeight="1">
      <c r="AR242" s="674" t="s">
        <v>174</v>
      </c>
    </row>
    <row r="243" spans="44:44" ht="54.75" customHeight="1">
      <c r="AR243" s="674" t="s">
        <v>174</v>
      </c>
    </row>
    <row r="244" spans="44:44" ht="54.75" customHeight="1">
      <c r="AR244" s="674" t="s">
        <v>174</v>
      </c>
    </row>
    <row r="245" spans="44:44" ht="54.75" customHeight="1">
      <c r="AR245" s="674" t="s">
        <v>174</v>
      </c>
    </row>
    <row r="246" spans="44:44" ht="54.75" customHeight="1">
      <c r="AR246" s="674" t="s">
        <v>174</v>
      </c>
    </row>
    <row r="247" spans="44:44" ht="54.75" customHeight="1">
      <c r="AR247" s="674" t="s">
        <v>174</v>
      </c>
    </row>
    <row r="248" spans="44:44" ht="54.75" customHeight="1">
      <c r="AR248" s="674" t="s">
        <v>174</v>
      </c>
    </row>
    <row r="249" spans="44:44" ht="54.75" customHeight="1">
      <c r="AR249" s="674"/>
    </row>
    <row r="250" spans="44:44" ht="54.75" customHeight="1">
      <c r="AR250" s="674"/>
    </row>
    <row r="251" spans="44:44" ht="54.75" customHeight="1">
      <c r="AR251" s="674"/>
    </row>
    <row r="252" spans="44:44" ht="54.75" customHeight="1">
      <c r="AR252" s="674"/>
    </row>
    <row r="253" spans="44:44" ht="54.75" customHeight="1">
      <c r="AR253" s="674"/>
    </row>
    <row r="254" spans="44:44" ht="54.75" customHeight="1">
      <c r="AR254" s="674"/>
    </row>
    <row r="255" spans="44:44" ht="54.75" customHeight="1">
      <c r="AR255" s="674"/>
    </row>
    <row r="256" spans="44:44" ht="54.75" customHeight="1">
      <c r="AR256" s="674"/>
    </row>
    <row r="257" spans="44:44" ht="54.75" customHeight="1">
      <c r="AR257" s="674"/>
    </row>
    <row r="258" spans="44:44" ht="54.75" customHeight="1">
      <c r="AR258" s="674"/>
    </row>
    <row r="259" spans="44:44" ht="54.75" customHeight="1">
      <c r="AR259" s="674"/>
    </row>
    <row r="260" spans="44:44" ht="54.75" customHeight="1">
      <c r="AR260" s="674"/>
    </row>
    <row r="261" spans="44:44" ht="54.75" customHeight="1">
      <c r="AR261" s="674"/>
    </row>
    <row r="262" spans="44:44" ht="54.75" customHeight="1">
      <c r="AR262" s="674"/>
    </row>
    <row r="263" spans="44:44" ht="54.75" customHeight="1">
      <c r="AR263" s="674"/>
    </row>
    <row r="264" spans="44:44" ht="54.75" customHeight="1">
      <c r="AR264" s="674"/>
    </row>
    <row r="265" spans="44:44" ht="54.75" customHeight="1">
      <c r="AR265" s="674"/>
    </row>
    <row r="266" spans="44:44" ht="54.75" customHeight="1">
      <c r="AR266" s="674"/>
    </row>
    <row r="267" spans="44:44" ht="54.75" customHeight="1">
      <c r="AR267" s="674"/>
    </row>
    <row r="268" spans="44:44" ht="54.75" customHeight="1">
      <c r="AR268" s="674"/>
    </row>
    <row r="269" spans="44:44" ht="54.75" customHeight="1">
      <c r="AR269" s="674"/>
    </row>
    <row r="270" spans="44:44" ht="54.75" customHeight="1">
      <c r="AR270" s="674"/>
    </row>
    <row r="271" spans="44:44" ht="54.75" customHeight="1">
      <c r="AR271" s="674"/>
    </row>
    <row r="272" spans="44:44" ht="54.75" customHeight="1">
      <c r="AR272" s="674"/>
    </row>
    <row r="273" spans="44:44" ht="54.75" customHeight="1">
      <c r="AR273" s="674"/>
    </row>
    <row r="274" spans="44:44" ht="54.75" customHeight="1">
      <c r="AR274" s="674"/>
    </row>
    <row r="275" spans="44:44" ht="54.75" customHeight="1">
      <c r="AR275" s="674"/>
    </row>
    <row r="276" spans="44:44" ht="54.75" customHeight="1">
      <c r="AR276" s="674"/>
    </row>
    <row r="277" spans="44:44" ht="54.75" customHeight="1">
      <c r="AR277" s="674"/>
    </row>
    <row r="278" spans="44:44" ht="54.75" customHeight="1">
      <c r="AR278" s="674"/>
    </row>
    <row r="279" spans="44:44" ht="54.75" customHeight="1">
      <c r="AR279" s="674"/>
    </row>
    <row r="280" spans="44:44" ht="54.75" customHeight="1">
      <c r="AR280" s="674"/>
    </row>
    <row r="281" spans="44:44" ht="54.75" customHeight="1">
      <c r="AR281" s="674"/>
    </row>
    <row r="282" spans="44:44" ht="54.75" customHeight="1">
      <c r="AR282" s="674"/>
    </row>
    <row r="283" spans="44:44" ht="54.75" customHeight="1">
      <c r="AR283" s="674"/>
    </row>
    <row r="284" spans="44:44" ht="54.75" customHeight="1">
      <c r="AR284" s="674"/>
    </row>
    <row r="285" spans="44:44" ht="54.75" customHeight="1">
      <c r="AR285" s="674"/>
    </row>
    <row r="286" spans="44:44" ht="54.75" customHeight="1">
      <c r="AR286" s="674"/>
    </row>
    <row r="287" spans="44:44" ht="54.75" customHeight="1">
      <c r="AR287" s="674"/>
    </row>
    <row r="288" spans="44:44" ht="54.75" customHeight="1">
      <c r="AR288" s="674"/>
    </row>
  </sheetData>
  <mergeCells count="16">
    <mergeCell ref="BI5:BI6"/>
    <mergeCell ref="D4:D6"/>
    <mergeCell ref="AS4:AV5"/>
    <mergeCell ref="BR4:BR6"/>
    <mergeCell ref="BO4:BQ4"/>
    <mergeCell ref="X4:Y5"/>
    <mergeCell ref="AR4:AR6"/>
    <mergeCell ref="AG5:AI5"/>
    <mergeCell ref="BF5:BF6"/>
    <mergeCell ref="AW4:AW6"/>
    <mergeCell ref="Z4:AA5"/>
    <mergeCell ref="AB4:AC5"/>
    <mergeCell ref="AD4:AE5"/>
    <mergeCell ref="AJ5:AQ5"/>
    <mergeCell ref="BG5:BG6"/>
    <mergeCell ref="BH5:BH6"/>
  </mergeCells>
  <phoneticPr fontId="4" type="noConversion"/>
  <printOptions horizontalCentered="1" gridLinesSet="0"/>
  <pageMargins left="0.15748031496062992" right="0" top="0.47244094488188981" bottom="0.43307086614173229" header="0.59055118110236227" footer="0.19685039370078741"/>
  <pageSetup paperSize="8" scale="38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>
    <tabColor rgb="FFFFFF00"/>
  </sheetPr>
  <dimension ref="A1:AI312"/>
  <sheetViews>
    <sheetView showGridLines="0" showZeros="0" zoomScale="55" zoomScaleNormal="55" workbookViewId="0">
      <pane xSplit="4" ySplit="7" topLeftCell="W8" activePane="bottomRight" state="frozen"/>
      <selection activeCell="BS1" sqref="BS1"/>
      <selection pane="topRight" activeCell="BS1" sqref="BS1"/>
      <selection pane="bottomLeft" activeCell="BS1" sqref="BS1"/>
      <selection pane="bottomRight" activeCell="D284" sqref="D284"/>
    </sheetView>
  </sheetViews>
  <sheetFormatPr defaultRowHeight="44.25" customHeight="1"/>
  <cols>
    <col min="1" max="2" width="9" style="2" bestFit="1" customWidth="1"/>
    <col min="3" max="3" width="20.33203125" style="2" customWidth="1"/>
    <col min="4" max="4" width="40.5546875" style="2" customWidth="1"/>
    <col min="5" max="5" width="17.33203125" style="2" customWidth="1"/>
    <col min="6" max="6" width="25.109375" style="2" customWidth="1"/>
    <col min="7" max="7" width="20.21875" style="2" customWidth="1"/>
    <col min="8" max="8" width="25.109375" style="2" customWidth="1"/>
    <col min="9" max="9" width="21.33203125" style="2" customWidth="1"/>
    <col min="10" max="20" width="12.77734375" style="199" customWidth="1"/>
    <col min="21" max="21" width="13.44140625" style="377" customWidth="1"/>
    <col min="22" max="25" width="24.88671875" style="2" customWidth="1"/>
    <col min="26" max="26" width="28.21875" style="2" customWidth="1"/>
    <col min="27" max="28" width="27.44140625" style="2" bestFit="1" customWidth="1"/>
    <col min="29" max="29" width="24.6640625" style="2" customWidth="1"/>
    <col min="30" max="30" width="3.33203125" style="2" hidden="1" customWidth="1"/>
    <col min="31" max="31" width="24.5546875" style="2" customWidth="1"/>
    <col min="32" max="33" width="19.6640625" style="2" customWidth="1"/>
    <col min="34" max="34" width="8.21875" style="2" customWidth="1"/>
    <col min="35" max="35" width="26.109375" style="2" bestFit="1" customWidth="1"/>
    <col min="36" max="16384" width="8.88671875" style="2"/>
  </cols>
  <sheetData>
    <row r="1" spans="1:35" ht="44.25" customHeight="1">
      <c r="C1" s="1"/>
    </row>
    <row r="2" spans="1:35" ht="44.25" customHeight="1">
      <c r="C2" s="198" t="str">
        <f>"신규 배관 투자 경제성 분석서 (2026년 관로공사중 "&amp;품의서!E25&amp;"차분)"</f>
        <v>신규 배관 투자 경제성 분석서 (2026년 관로공사중 9차분)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7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5" ht="44.25" customHeight="1" thickBot="1">
      <c r="F3" s="238"/>
      <c r="Z3" s="4"/>
      <c r="AC3" s="6"/>
    </row>
    <row r="4" spans="1:35" ht="44.25" customHeight="1">
      <c r="C4" s="269"/>
      <c r="D4" s="2050" t="s">
        <v>21</v>
      </c>
      <c r="E4" s="270"/>
      <c r="F4" s="271" t="s">
        <v>99</v>
      </c>
      <c r="G4" s="520"/>
      <c r="H4" s="521"/>
      <c r="I4" s="272" t="s">
        <v>72</v>
      </c>
      <c r="J4" s="2067" t="s">
        <v>135</v>
      </c>
      <c r="K4" s="2068"/>
      <c r="L4" s="2068"/>
      <c r="M4" s="2068"/>
      <c r="N4" s="2068"/>
      <c r="O4" s="2068"/>
      <c r="P4" s="2068"/>
      <c r="Q4" s="2068"/>
      <c r="R4" s="2068"/>
      <c r="S4" s="2068"/>
      <c r="T4" s="2069"/>
      <c r="U4" s="2061" t="s">
        <v>150</v>
      </c>
      <c r="V4" s="2052" t="s">
        <v>2</v>
      </c>
      <c r="W4" s="2053"/>
      <c r="X4" s="2053"/>
      <c r="Y4" s="2054"/>
      <c r="Z4" s="273" t="s">
        <v>95</v>
      </c>
      <c r="AA4" s="270" t="s">
        <v>73</v>
      </c>
      <c r="AB4" s="270" t="s">
        <v>74</v>
      </c>
      <c r="AC4" s="270" t="s">
        <v>74</v>
      </c>
      <c r="AD4" s="2058" t="s">
        <v>75</v>
      </c>
      <c r="AE4" s="2059"/>
      <c r="AF4" s="2059"/>
      <c r="AG4" s="2060"/>
      <c r="AH4" s="2047" t="s">
        <v>76</v>
      </c>
    </row>
    <row r="5" spans="1:35" ht="44.25" customHeight="1">
      <c r="C5" s="274" t="s">
        <v>20</v>
      </c>
      <c r="D5" s="2051"/>
      <c r="E5" s="275" t="s">
        <v>77</v>
      </c>
      <c r="F5" s="275" t="s">
        <v>100</v>
      </c>
      <c r="G5" s="276" t="s">
        <v>97</v>
      </c>
      <c r="H5" s="276" t="s">
        <v>98</v>
      </c>
      <c r="I5" s="277" t="s">
        <v>83</v>
      </c>
      <c r="J5" s="2064" t="s">
        <v>134</v>
      </c>
      <c r="K5" s="2065"/>
      <c r="L5" s="2066"/>
      <c r="M5" s="2064" t="s">
        <v>146</v>
      </c>
      <c r="N5" s="2065"/>
      <c r="O5" s="2065"/>
      <c r="P5" s="2065"/>
      <c r="Q5" s="2065"/>
      <c r="R5" s="2065"/>
      <c r="S5" s="2065"/>
      <c r="T5" s="2066"/>
      <c r="U5" s="2062"/>
      <c r="V5" s="2055"/>
      <c r="W5" s="2056"/>
      <c r="X5" s="2056"/>
      <c r="Y5" s="2057"/>
      <c r="Z5" s="277" t="s">
        <v>96</v>
      </c>
      <c r="AA5" s="275" t="s">
        <v>88</v>
      </c>
      <c r="AB5" s="275" t="s">
        <v>89</v>
      </c>
      <c r="AC5" s="275" t="s">
        <v>90</v>
      </c>
      <c r="AD5" s="278" t="s">
        <v>91</v>
      </c>
      <c r="AE5" s="278" t="s">
        <v>92</v>
      </c>
      <c r="AF5" s="278" t="s">
        <v>93</v>
      </c>
      <c r="AG5" s="278" t="s">
        <v>120</v>
      </c>
      <c r="AH5" s="2048"/>
    </row>
    <row r="6" spans="1:35" ht="44.25" customHeight="1">
      <c r="C6" s="279"/>
      <c r="D6" s="2051"/>
      <c r="E6" s="280" t="s">
        <v>14</v>
      </c>
      <c r="F6" s="280" t="s">
        <v>13</v>
      </c>
      <c r="G6" s="281"/>
      <c r="H6" s="281"/>
      <c r="I6" s="282" t="s">
        <v>3</v>
      </c>
      <c r="J6" s="374" t="s">
        <v>137</v>
      </c>
      <c r="K6" s="374" t="s">
        <v>138</v>
      </c>
      <c r="L6" s="374" t="s">
        <v>139</v>
      </c>
      <c r="M6" s="374" t="s">
        <v>140</v>
      </c>
      <c r="N6" s="375" t="s">
        <v>141</v>
      </c>
      <c r="O6" s="375" t="s">
        <v>142</v>
      </c>
      <c r="P6" s="375" t="s">
        <v>143</v>
      </c>
      <c r="Q6" s="375" t="s">
        <v>114</v>
      </c>
      <c r="R6" s="375" t="s">
        <v>398</v>
      </c>
      <c r="S6" s="375" t="s">
        <v>399</v>
      </c>
      <c r="T6" s="375" t="s">
        <v>400</v>
      </c>
      <c r="U6" s="2063"/>
      <c r="V6" s="290" t="s">
        <v>201</v>
      </c>
      <c r="W6" s="290" t="s">
        <v>202</v>
      </c>
      <c r="X6" s="290" t="s">
        <v>203</v>
      </c>
      <c r="Y6" s="290" t="s">
        <v>204</v>
      </c>
      <c r="Z6" s="282" t="s">
        <v>94</v>
      </c>
      <c r="AA6" s="280" t="s">
        <v>17</v>
      </c>
      <c r="AB6" s="280" t="s">
        <v>8</v>
      </c>
      <c r="AC6" s="280" t="s">
        <v>8</v>
      </c>
      <c r="AD6" s="280" t="s">
        <v>18</v>
      </c>
      <c r="AE6" s="280" t="s">
        <v>13</v>
      </c>
      <c r="AF6" s="280" t="s">
        <v>19</v>
      </c>
      <c r="AG6" s="280" t="s">
        <v>122</v>
      </c>
      <c r="AH6" s="2049"/>
    </row>
    <row r="7" spans="1:35" s="187" customFormat="1" ht="39.950000000000003" customHeight="1">
      <c r="C7" s="283"/>
      <c r="D7" s="284">
        <f>SUM(D14,D32,D44,D91,D143,D218,D249,D277)</f>
        <v>2</v>
      </c>
      <c r="E7" s="285">
        <f>SUM(E14,E32,E44,E91,E143,E218,E249,E277)</f>
        <v>59</v>
      </c>
      <c r="F7" s="286">
        <f>SUM(F14,F32,F44,F91,F143,F218,F249,F277)</f>
        <v>69443000</v>
      </c>
      <c r="G7" s="286">
        <f t="shared" ref="G7:AC7" si="0">SUM(G14,G32,G44,G91,G143,G218,G249)</f>
        <v>0</v>
      </c>
      <c r="H7" s="286">
        <f>SUM(H14,H32,H44,H91,H143,H218,H249,H277)</f>
        <v>69443000</v>
      </c>
      <c r="I7" s="286">
        <f>SUM(I14,I32,I44,I91,I143,I218,I249)</f>
        <v>450</v>
      </c>
      <c r="J7" s="356">
        <f t="shared" si="0"/>
        <v>0</v>
      </c>
      <c r="K7" s="356">
        <f t="shared" si="0"/>
        <v>1908</v>
      </c>
      <c r="L7" s="356">
        <f t="shared" si="0"/>
        <v>0</v>
      </c>
      <c r="M7" s="356">
        <f t="shared" si="0"/>
        <v>0</v>
      </c>
      <c r="N7" s="356">
        <f t="shared" si="0"/>
        <v>0</v>
      </c>
      <c r="O7" s="356">
        <f t="shared" si="0"/>
        <v>0</v>
      </c>
      <c r="P7" s="356">
        <f t="shared" si="0"/>
        <v>0</v>
      </c>
      <c r="Q7" s="356">
        <f t="shared" si="0"/>
        <v>0</v>
      </c>
      <c r="R7" s="356">
        <f t="shared" ref="R7:S7" si="1">SUM(R14,R32,R44,R91,R143,R218,R249)</f>
        <v>0</v>
      </c>
      <c r="S7" s="356">
        <f t="shared" si="1"/>
        <v>0</v>
      </c>
      <c r="T7" s="356">
        <f t="shared" ref="T7" si="2">SUM(T14,T32,T44,T91,T143,T218,T249)</f>
        <v>0</v>
      </c>
      <c r="U7" s="356">
        <f t="shared" si="0"/>
        <v>1908</v>
      </c>
      <c r="V7" s="545">
        <f t="shared" si="0"/>
        <v>45005400</v>
      </c>
      <c r="W7" s="545">
        <f t="shared" si="0"/>
        <v>0</v>
      </c>
      <c r="X7" s="545">
        <f t="shared" si="0"/>
        <v>89208</v>
      </c>
      <c r="Y7" s="545">
        <f t="shared" si="0"/>
        <v>45094608</v>
      </c>
      <c r="Z7" s="545">
        <f t="shared" si="0"/>
        <v>11782800</v>
      </c>
      <c r="AA7" s="545">
        <f t="shared" si="0"/>
        <v>278499439</v>
      </c>
      <c r="AB7" s="545">
        <f t="shared" si="0"/>
        <v>245665488</v>
      </c>
      <c r="AC7" s="545">
        <f t="shared" si="0"/>
        <v>32833951</v>
      </c>
      <c r="AD7" s="287"/>
      <c r="AE7" s="1641">
        <f>용도별분석!BQ7</f>
        <v>336399580.65493071</v>
      </c>
      <c r="AF7" s="288">
        <f>용도별분석!BR7/100</f>
        <v>0.80658150909601223</v>
      </c>
      <c r="AG7" s="428">
        <f>용도별분석!BS7</f>
        <v>5962.5</v>
      </c>
      <c r="AH7" s="289"/>
      <c r="AI7" s="1550">
        <f>AE7-기본데이타!BS7</f>
        <v>-0.3450692892074585</v>
      </c>
    </row>
    <row r="8" spans="1:35" s="187" customFormat="1" ht="33" hidden="1" customHeight="1">
      <c r="A8" s="189"/>
      <c r="C8" s="194" t="s">
        <v>161</v>
      </c>
      <c r="D8" s="1336" t="str">
        <f>IF($A8="","",VLOOKUP($A8,기본데이타!$A$8:$BV$103,COLUMN(기본데이타!F$8),0))</f>
        <v/>
      </c>
      <c r="E8" s="254" t="str">
        <f>IF($A8="","",VLOOKUP($A8,기본데이타!$A$8:$BV$103,COLUMN(기본데이타!G$8),0))</f>
        <v/>
      </c>
      <c r="F8" s="265" t="str">
        <f>IF($A8="","",VLOOKUP($A8,기본데이타!$A$8:$BV$103,COLUMN(기본데이타!H$8),0))</f>
        <v/>
      </c>
      <c r="G8" s="265" t="str">
        <f>IF($A8="","",VLOOKUP($A8,기본데이타!$A$8:$BV$103,COLUMN(기본데이타!I$8),0))</f>
        <v/>
      </c>
      <c r="H8" s="265" t="str">
        <f>IF($A8="","",VLOOKUP($A8,기본데이타!$A$8:$BV$103,COLUMN(기본데이타!J$8),0))</f>
        <v/>
      </c>
      <c r="I8" s="255" t="str">
        <f>IF($A8="","",VLOOKUP($A8,기본데이타!$A$8:$BV$103,COLUMN(기본데이타!AJ$8),0))</f>
        <v/>
      </c>
      <c r="J8" s="378" t="str">
        <f>IF($A8="","",VLOOKUP($A8,기본데이타!$A$8:$BV$103,COLUMN(기본데이타!AK$8),0))</f>
        <v/>
      </c>
      <c r="K8" s="385" t="str">
        <f>IF($A8="","",VLOOKUP($A8,기본데이타!$A$8:$BV$103,COLUMN(기본데이타!AL$8),0))</f>
        <v/>
      </c>
      <c r="L8" s="385" t="str">
        <f>IF($A8="","",VLOOKUP($A8,기본데이타!$A$8:$BV$103,COLUMN(기본데이타!AM$8),0))</f>
        <v/>
      </c>
      <c r="M8" s="385" t="str">
        <f>IF($A8="","",VLOOKUP($A8,기본데이타!$A$8:$BV$103,COLUMN(기본데이타!AN$8),0))</f>
        <v/>
      </c>
      <c r="N8" s="385" t="str">
        <f>IF($A8="","",VLOOKUP($A8,기본데이타!$A$8:$BV$103,COLUMN(기본데이타!AO$8),0))</f>
        <v/>
      </c>
      <c r="O8" s="385" t="str">
        <f>IF($A8="","",VLOOKUP($A8,기본데이타!$A$8:$BV$103,COLUMN(기본데이타!AP$8),0))</f>
        <v/>
      </c>
      <c r="P8" s="385" t="str">
        <f>IF($A8="","",VLOOKUP($A8,기본데이타!$A$8:$BV$103,COLUMN(기본데이타!AQ$8),0))</f>
        <v/>
      </c>
      <c r="Q8" s="385" t="str">
        <f>IF($A8="","",VLOOKUP($A8,기본데이타!$A$8:$BV$103,COLUMN(기본데이타!AR$8),0))</f>
        <v/>
      </c>
      <c r="R8" s="385" t="str">
        <f>IF($A8="","",VLOOKUP($A8,기본데이타!$A$8:$BV$103,COLUMN(기본데이타!AS$8),0))</f>
        <v/>
      </c>
      <c r="S8" s="385" t="str">
        <f>IF($A8="","",VLOOKUP($A8,기본데이타!$A$8:$BV$103,COLUMN(기본데이타!AT$8),0))</f>
        <v/>
      </c>
      <c r="T8" s="385" t="str">
        <f>IF($A8="","",VLOOKUP($A8,기본데이타!$A$8:$BV$103,COLUMN(기본데이타!AU$8),0))</f>
        <v/>
      </c>
      <c r="U8" s="385" t="str">
        <f>IF($A8="","",VLOOKUP($A8,기본데이타!$A$8:$BV$103,COLUMN(기본데이타!AV$8),0))</f>
        <v/>
      </c>
      <c r="V8" s="255" t="str">
        <f>IF($A8="","",VLOOKUP($A8,기본데이타!$A$8:$BV$103,COLUMN(기본데이타!AW$8),0))</f>
        <v/>
      </c>
      <c r="W8" s="255" t="str">
        <f>IF($A8="","",VLOOKUP($A8,기본데이타!$A$8:$BV$103,COLUMN(기본데이타!AX$8),0))</f>
        <v/>
      </c>
      <c r="X8" s="255" t="str">
        <f>IF($A8="","",VLOOKUP($A8,기본데이타!$A$8:$BV$103,COLUMN(기본데이타!AY$8),0))</f>
        <v/>
      </c>
      <c r="Y8" s="255" t="str">
        <f>IF($A8="","",VLOOKUP($A8,기본데이타!$A$8:$BV$103,COLUMN(기본데이타!AZ$8),0))</f>
        <v/>
      </c>
      <c r="Z8" s="255" t="str">
        <f>IF($A8="","",VLOOKUP($A8,기본데이타!$A$8:$BV$103,COLUMN(기본데이타!BN$8),0))</f>
        <v/>
      </c>
      <c r="AA8" s="255" t="str">
        <f>IF($A8="","",VLOOKUP($A8,기본데이타!$A$8:$BV$103,COLUMN(기본데이타!BO$8),0))</f>
        <v/>
      </c>
      <c r="AB8" s="255" t="str">
        <f>IF($A8="","",VLOOKUP($A8,기본데이타!$A$8:$BV$103,COLUMN(기본데이타!BP$8),0))</f>
        <v/>
      </c>
      <c r="AC8" s="255" t="str">
        <f>IF($A8="","",VLOOKUP($A8,기본데이타!$A$8:$BV$103,COLUMN(기본데이타!BQ$8),0))</f>
        <v/>
      </c>
      <c r="AD8" s="255" t="str">
        <f>IF($A8="","",VLOOKUP($A8,기본데이타!$A$8:$BV$103,COLUMN(기본데이타!BR$8),0))</f>
        <v/>
      </c>
      <c r="AE8" s="255" t="str">
        <f>IF($A8="","",VLOOKUP($A8,기본데이타!$A$8:$BV$103,COLUMN(기본데이타!BS$8),0))</f>
        <v/>
      </c>
      <c r="AF8" s="544" t="str">
        <f>IF($A8="","",VLOOKUP($A8,기본데이타!$A$8:$BV$103,COLUMN(기본데이타!BT$8),0))</f>
        <v/>
      </c>
      <c r="AG8" s="429" t="str">
        <f>IF($A8="","",VLOOKUP($A8,기본데이타!$A$8:$BV$103,COLUMN(기본데이타!BU$8),0))</f>
        <v/>
      </c>
      <c r="AH8" s="256" t="str">
        <f t="shared" ref="AH8:AH14" si="3">IF(A8="","",A8)</f>
        <v/>
      </c>
    </row>
    <row r="9" spans="1:35" s="187" customFormat="1" ht="35.1" hidden="1" customHeight="1">
      <c r="A9" s="189"/>
      <c r="C9" s="190"/>
      <c r="D9" s="8" t="str">
        <f>IF($A9="","",VLOOKUP($A9,기본데이타!$A$8:$BV$103,COLUMN(기본데이타!F$8),0))</f>
        <v/>
      </c>
      <c r="E9" s="252" t="str">
        <f>IF($A9="","",VLOOKUP($A9,기본데이타!$A$8:$BV$103,COLUMN(기본데이타!G$8),0))</f>
        <v/>
      </c>
      <c r="F9" s="9" t="str">
        <f>IF($A9="","",VLOOKUP($A9,기본데이타!$A$8:$BV$103,COLUMN(기본데이타!H$8),0))</f>
        <v/>
      </c>
      <c r="G9" s="9" t="str">
        <f>IF($A9="","",VLOOKUP($A9,기본데이타!$A$8:$BV$103,COLUMN(기본데이타!I$8),0))</f>
        <v/>
      </c>
      <c r="H9" s="9" t="str">
        <f>IF($A9="","",VLOOKUP($A9,기본데이타!$A$8:$BV$103,COLUMN(기본데이타!J$8),0))</f>
        <v/>
      </c>
      <c r="I9" s="11" t="str">
        <f>IF($A9="","",VLOOKUP($A9,기본데이타!$A$8:$BV$103,COLUMN(기본데이타!AJ$8),0))</f>
        <v/>
      </c>
      <c r="J9" s="386" t="str">
        <f>IF($A9="","",VLOOKUP($A9,기본데이타!$A$8:$BV$103,COLUMN(기본데이타!AK$8),0))</f>
        <v/>
      </c>
      <c r="K9" s="386" t="str">
        <f>IF($A9="","",VLOOKUP($A9,기본데이타!$A$8:$BV$103,COLUMN(기본데이타!AL$8),0))</f>
        <v/>
      </c>
      <c r="L9" s="386" t="str">
        <f>IF($A9="","",VLOOKUP($A9,기본데이타!$A$8:$BV$103,COLUMN(기본데이타!AM$8),0))</f>
        <v/>
      </c>
      <c r="M9" s="386" t="str">
        <f>IF($A9="","",VLOOKUP($A9,기본데이타!$A$8:$BV$103,COLUMN(기본데이타!AN$8),0))</f>
        <v/>
      </c>
      <c r="N9" s="386" t="str">
        <f>IF($A9="","",VLOOKUP($A9,기본데이타!$A$8:$BV$103,COLUMN(기본데이타!AO$8),0))</f>
        <v/>
      </c>
      <c r="O9" s="386" t="str">
        <f>IF($A9="","",VLOOKUP($A9,기본데이타!$A$8:$BV$103,COLUMN(기본데이타!AP$8),0))</f>
        <v/>
      </c>
      <c r="P9" s="386" t="str">
        <f>IF($A9="","",VLOOKUP($A9,기본데이타!$A$8:$BV$103,COLUMN(기본데이타!AQ$8),0))</f>
        <v/>
      </c>
      <c r="Q9" s="386" t="str">
        <f>IF($A9="","",VLOOKUP($A9,기본데이타!$A$8:$BV$103,COLUMN(기본데이타!AR$8),0))</f>
        <v/>
      </c>
      <c r="R9" s="386" t="str">
        <f>IF($A9="","",VLOOKUP($A9,기본데이타!$A$8:$BV$103,COLUMN(기본데이타!AS$8),0))</f>
        <v/>
      </c>
      <c r="S9" s="386" t="str">
        <f>IF($A9="","",VLOOKUP($A9,기본데이타!$A$8:$BV$103,COLUMN(기본데이타!AT$8),0))</f>
        <v/>
      </c>
      <c r="T9" s="386" t="str">
        <f>IF($A9="","",VLOOKUP($A9,기본데이타!$A$8:$BV$103,COLUMN(기본데이타!AU$8),0))</f>
        <v/>
      </c>
      <c r="U9" s="386" t="str">
        <f>IF($A9="","",VLOOKUP($A9,기본데이타!$A$8:$BV$103,COLUMN(기본데이타!AV$8),0))</f>
        <v/>
      </c>
      <c r="V9" s="10" t="str">
        <f>IF($A9="","",VLOOKUP($A9,기본데이타!$A$8:$BV$103,COLUMN(기본데이타!AW$8),0))</f>
        <v/>
      </c>
      <c r="W9" s="10" t="str">
        <f>IF($A9="","",VLOOKUP($A9,기본데이타!$A$8:$BV$103,COLUMN(기본데이타!AX$8),0))</f>
        <v/>
      </c>
      <c r="X9" s="10" t="str">
        <f>IF($A9="","",VLOOKUP($A9,기본데이타!$A$8:$BV$103,COLUMN(기본데이타!AY$8),0))</f>
        <v/>
      </c>
      <c r="Y9" s="10" t="str">
        <f>IF($A9="","",VLOOKUP($A9,기본데이타!$A$8:$BV$103,COLUMN(기본데이타!AZ$8),0))</f>
        <v/>
      </c>
      <c r="Z9" s="11" t="str">
        <f>IF($A9="","",VLOOKUP($A9,기본데이타!$A$8:$BV$103,COLUMN(기본데이타!BN$8),0))</f>
        <v/>
      </c>
      <c r="AA9" s="11" t="str">
        <f>IF($A9="","",VLOOKUP($A9,기본데이타!$A$8:$BV$103,COLUMN(기본데이타!BO$8),0))</f>
        <v/>
      </c>
      <c r="AB9" s="11" t="str">
        <f>IF($A9="","",VLOOKUP($A9,기본데이타!$A$8:$BV$103,COLUMN(기본데이타!BP$8),0))</f>
        <v/>
      </c>
      <c r="AC9" s="11" t="str">
        <f>IF($A9="","",VLOOKUP($A9,기본데이타!$A$8:$BV$103,COLUMN(기본데이타!BQ$8),0))</f>
        <v/>
      </c>
      <c r="AD9" s="12" t="str">
        <f>IF($A9="","",VLOOKUP($A9,기본데이타!$A$8:$BV$103,COLUMN(기본데이타!BR$8),0))</f>
        <v/>
      </c>
      <c r="AE9" s="13" t="str">
        <f>IF($A9="","",VLOOKUP($A9,기본데이타!$A$8:$BV$103,COLUMN(기본데이타!BS$8),0))</f>
        <v/>
      </c>
      <c r="AF9" s="253" t="str">
        <f>IF($A9="","",VLOOKUP($A9,기본데이타!$A$8:$BV$103,COLUMN(기본데이타!BT$8),0))</f>
        <v/>
      </c>
      <c r="AG9" s="430" t="str">
        <f>IF($A9="","",VLOOKUP($A9,기본데이타!$A$8:$BV$103,COLUMN(기본데이타!BU$8),0))</f>
        <v/>
      </c>
      <c r="AH9" s="14" t="str">
        <f t="shared" si="3"/>
        <v/>
      </c>
    </row>
    <row r="10" spans="1:35" s="187" customFormat="1" ht="35.1" hidden="1" customHeight="1">
      <c r="A10" s="189"/>
      <c r="C10" s="190"/>
      <c r="D10" s="8" t="str">
        <f>IF($A10="","",VLOOKUP($A10,기본데이타!$A$10:$BV$103,COLUMN(기본데이타!F$8),0))</f>
        <v/>
      </c>
      <c r="E10" s="252" t="str">
        <f>IF($A10="","",VLOOKUP($A10,기본데이타!$A$8:$BV$103,COLUMN(기본데이타!G$8),0))</f>
        <v/>
      </c>
      <c r="F10" s="9" t="str">
        <f>IF($A10="","",VLOOKUP($A10,기본데이타!$A$8:$BV$103,COLUMN(기본데이타!H$8),0))</f>
        <v/>
      </c>
      <c r="G10" s="9" t="str">
        <f>IF($A10="","",VLOOKUP($A10,기본데이타!$A$8:$BV$103,COLUMN(기본데이타!I$8),0))</f>
        <v/>
      </c>
      <c r="H10" s="9" t="str">
        <f>IF($A10="","",VLOOKUP($A10,기본데이타!$A$8:$BV$103,COLUMN(기본데이타!J$8),0))</f>
        <v/>
      </c>
      <c r="I10" s="17" t="str">
        <f>IF($A10="","",VLOOKUP($A10,기본데이타!$A$8:$BV$103,COLUMN(기본데이타!AJ$8),0))</f>
        <v/>
      </c>
      <c r="J10" s="386" t="str">
        <f>IF($A10="","",VLOOKUP($A10,기본데이타!$A$8:$BV$103,COLUMN(기본데이타!AK$8),0))</f>
        <v/>
      </c>
      <c r="K10" s="386" t="str">
        <f>IF($A10="","",VLOOKUP($A10,기본데이타!$A$8:$BV$103,COLUMN(기본데이타!AL$8),0))</f>
        <v/>
      </c>
      <c r="L10" s="386" t="str">
        <f>IF($A10="","",VLOOKUP($A10,기본데이타!$A$8:$BV$103,COLUMN(기본데이타!AM$8),0))</f>
        <v/>
      </c>
      <c r="M10" s="386" t="str">
        <f>IF($A10="","",VLOOKUP($A10,기본데이타!$A$8:$BV$103,COLUMN(기본데이타!AN$8),0))</f>
        <v/>
      </c>
      <c r="N10" s="386" t="str">
        <f>IF($A10="","",VLOOKUP($A10,기본데이타!$A$8:$BV$103,COLUMN(기본데이타!AO$8),0))</f>
        <v/>
      </c>
      <c r="O10" s="386" t="str">
        <f>IF($A10="","",VLOOKUP($A10,기본데이타!$A$8:$BV$103,COLUMN(기본데이타!AP$8),0))</f>
        <v/>
      </c>
      <c r="P10" s="386" t="str">
        <f>IF($A10="","",VLOOKUP($A10,기본데이타!$A$8:$BV$103,COLUMN(기본데이타!AQ$8),0))</f>
        <v/>
      </c>
      <c r="Q10" s="386" t="str">
        <f>IF($A10="","",VLOOKUP($A10,기본데이타!$A$8:$BV$103,COLUMN(기본데이타!AR$8),0))</f>
        <v/>
      </c>
      <c r="R10" s="386" t="str">
        <f>IF($A10="","",VLOOKUP($A10,기본데이타!$A$8:$BV$103,COLUMN(기본데이타!AS$8),0))</f>
        <v/>
      </c>
      <c r="S10" s="386" t="str">
        <f>IF($A10="","",VLOOKUP($A10,기본데이타!$A$8:$BV$103,COLUMN(기본데이타!AT$8),0))</f>
        <v/>
      </c>
      <c r="T10" s="386" t="str">
        <f>IF($A10="","",VLOOKUP($A10,기본데이타!$A$8:$BV$103,COLUMN(기본데이타!AU$8),0))</f>
        <v/>
      </c>
      <c r="U10" s="386" t="str">
        <f>IF($A10="","",VLOOKUP($A10,기본데이타!$A$8:$BV$103,COLUMN(기본데이타!AV$8),0))</f>
        <v/>
      </c>
      <c r="V10" s="16" t="str">
        <f>IF($A10="","",VLOOKUP($A10,기본데이타!$A$8:$BV$103,COLUMN(기본데이타!AW$8),0))</f>
        <v/>
      </c>
      <c r="W10" s="16" t="str">
        <f>IF($A10="","",VLOOKUP($A10,기본데이타!$A$8:$BV$103,COLUMN(기본데이타!AX$8),0))</f>
        <v/>
      </c>
      <c r="X10" s="16" t="str">
        <f>IF($A10="","",VLOOKUP($A10,기본데이타!$A$8:$BV$103,COLUMN(기본데이타!AY$8),0))</f>
        <v/>
      </c>
      <c r="Y10" s="16" t="str">
        <f>IF($A10="","",VLOOKUP($A10,기본데이타!$A$8:$BV$103,COLUMN(기본데이타!AZ$8),0))</f>
        <v/>
      </c>
      <c r="Z10" s="17" t="str">
        <f>IF($A10="","",VLOOKUP($A10,기본데이타!$A$8:$BV$103,COLUMN(기본데이타!BN$8),0))</f>
        <v/>
      </c>
      <c r="AA10" s="17" t="str">
        <f>IF($A10="","",VLOOKUP($A10,기본데이타!$A$8:$BV$103,COLUMN(기본데이타!BO$8),0))</f>
        <v/>
      </c>
      <c r="AB10" s="17" t="str">
        <f>IF($A10="","",VLOOKUP($A10,기본데이타!$A$8:$BV$103,COLUMN(기본데이타!BP$8),0))</f>
        <v/>
      </c>
      <c r="AC10" s="17" t="str">
        <f>IF($A10="","",VLOOKUP($A10,기본데이타!$A$8:$BV$103,COLUMN(기본데이타!BQ$8),0))</f>
        <v/>
      </c>
      <c r="AD10" s="17" t="str">
        <f>IF($A10="","",VLOOKUP($A10,기본데이타!$A$8:$BV$103,COLUMN(기본데이타!BR$8),0))</f>
        <v/>
      </c>
      <c r="AE10" s="17" t="str">
        <f>IF($A10="","",VLOOKUP($A10,기본데이타!$A$8:$BV$103,COLUMN(기본데이타!BS$8),0))</f>
        <v/>
      </c>
      <c r="AF10" s="294" t="str">
        <f>IF($A10="","",VLOOKUP($A10,기본데이타!$A$8:$BV$103,COLUMN(기본데이타!BT$8),0))</f>
        <v/>
      </c>
      <c r="AG10" s="431" t="str">
        <f>IF($A10="","",VLOOKUP($A10,기본데이타!$A$8:$BV$103,COLUMN(기본데이타!BU$8),0))</f>
        <v/>
      </c>
      <c r="AH10" s="18" t="str">
        <f t="shared" si="3"/>
        <v/>
      </c>
    </row>
    <row r="11" spans="1:35" s="187" customFormat="1" ht="35.1" hidden="1" customHeight="1">
      <c r="A11" s="189"/>
      <c r="C11" s="190"/>
      <c r="D11" s="8" t="str">
        <f>IF($A11="","",VLOOKUP($A11,기본데이타!$A$10:$BV$103,COLUMN(기본데이타!F$8),0))</f>
        <v/>
      </c>
      <c r="E11" s="252" t="str">
        <f>IF($A11="","",VLOOKUP($A11,기본데이타!$A$8:$BV$103,COLUMN(기본데이타!G$8),0))</f>
        <v/>
      </c>
      <c r="F11" s="9" t="str">
        <f>IF($A11="","",VLOOKUP($A11,기본데이타!$A$8:$BV$103,COLUMN(기본데이타!H$8),0))</f>
        <v/>
      </c>
      <c r="G11" s="9" t="str">
        <f>IF($A11="","",VLOOKUP($A11,기본데이타!$A$8:$BV$103,COLUMN(기본데이타!I$8),0))</f>
        <v/>
      </c>
      <c r="H11" s="9" t="str">
        <f>IF($A11="","",VLOOKUP($A11,기본데이타!$A$8:$BV$103,COLUMN(기본데이타!J$8),0))</f>
        <v/>
      </c>
      <c r="I11" s="17" t="str">
        <f>IF($A11="","",VLOOKUP($A11,기본데이타!$A$8:$BV$103,COLUMN(기본데이타!AJ$8),0))</f>
        <v/>
      </c>
      <c r="J11" s="386" t="str">
        <f>IF($A11="","",VLOOKUP($A11,기본데이타!$A$8:$BV$103,COLUMN(기본데이타!AK$8),0))</f>
        <v/>
      </c>
      <c r="K11" s="386" t="str">
        <f>IF($A11="","",VLOOKUP($A11,기본데이타!$A$8:$BV$103,COLUMN(기본데이타!AL$8),0))</f>
        <v/>
      </c>
      <c r="L11" s="386" t="str">
        <f>IF($A11="","",VLOOKUP($A11,기본데이타!$A$8:$BV$103,COLUMN(기본데이타!AM$8),0))</f>
        <v/>
      </c>
      <c r="M11" s="386" t="str">
        <f>IF($A11="","",VLOOKUP($A11,기본데이타!$A$8:$BV$103,COLUMN(기본데이타!AN$8),0))</f>
        <v/>
      </c>
      <c r="N11" s="386" t="str">
        <f>IF($A11="","",VLOOKUP($A11,기본데이타!$A$8:$BV$103,COLUMN(기본데이타!AO$8),0))</f>
        <v/>
      </c>
      <c r="O11" s="386" t="str">
        <f>IF($A11="","",VLOOKUP($A11,기본데이타!$A$8:$BV$103,COLUMN(기본데이타!AP$8),0))</f>
        <v/>
      </c>
      <c r="P11" s="386" t="str">
        <f>IF($A11="","",VLOOKUP($A11,기본데이타!$A$8:$BV$103,COLUMN(기본데이타!AQ$8),0))</f>
        <v/>
      </c>
      <c r="Q11" s="386" t="str">
        <f>IF($A11="","",VLOOKUP($A11,기본데이타!$A$8:$BV$103,COLUMN(기본데이타!AR$8),0))</f>
        <v/>
      </c>
      <c r="R11" s="386" t="str">
        <f>IF($A11="","",VLOOKUP($A11,기본데이타!$A$8:$BV$103,COLUMN(기본데이타!AS$8),0))</f>
        <v/>
      </c>
      <c r="S11" s="386" t="str">
        <f>IF($A11="","",VLOOKUP($A11,기본데이타!$A$8:$BV$103,COLUMN(기본데이타!AT$8),0))</f>
        <v/>
      </c>
      <c r="T11" s="386" t="str">
        <f>IF($A11="","",VLOOKUP($A11,기본데이타!$A$8:$BV$103,COLUMN(기본데이타!AU$8),0))</f>
        <v/>
      </c>
      <c r="U11" s="386" t="str">
        <f>IF($A11="","",VLOOKUP($A11,기본데이타!$A$8:$BV$103,COLUMN(기본데이타!AV$8),0))</f>
        <v/>
      </c>
      <c r="V11" s="16" t="str">
        <f>IF($A11="","",VLOOKUP($A11,기본데이타!$A$8:$BV$103,COLUMN(기본데이타!AW$8),0))</f>
        <v/>
      </c>
      <c r="W11" s="16" t="str">
        <f>IF($A11="","",VLOOKUP($A11,기본데이타!$A$8:$BV$103,COLUMN(기본데이타!AX$8),0))</f>
        <v/>
      </c>
      <c r="X11" s="16" t="str">
        <f>IF($A11="","",VLOOKUP($A11,기본데이타!$A$8:$BV$103,COLUMN(기본데이타!AY$8),0))</f>
        <v/>
      </c>
      <c r="Y11" s="16" t="str">
        <f>IF($A11="","",VLOOKUP($A11,기본데이타!$A$8:$BV$103,COLUMN(기본데이타!AZ$8),0))</f>
        <v/>
      </c>
      <c r="Z11" s="17" t="str">
        <f>IF($A11="","",VLOOKUP($A11,기본데이타!$A$8:$BV$103,COLUMN(기본데이타!BN$8),0))</f>
        <v/>
      </c>
      <c r="AA11" s="17" t="str">
        <f>IF($A11="","",VLOOKUP($A11,기본데이타!$A$8:$BV$103,COLUMN(기본데이타!BO$8),0))</f>
        <v/>
      </c>
      <c r="AB11" s="17" t="str">
        <f>IF($A11="","",VLOOKUP($A11,기본데이타!$A$8:$BV$103,COLUMN(기본데이타!BP$8),0))</f>
        <v/>
      </c>
      <c r="AC11" s="17" t="str">
        <f>IF($A11="","",VLOOKUP($A11,기본데이타!$A$8:$BV$103,COLUMN(기본데이타!BQ$8),0))</f>
        <v/>
      </c>
      <c r="AD11" s="17" t="str">
        <f>IF($A11="","",VLOOKUP($A11,기본데이타!$A$8:$BV$103,COLUMN(기본데이타!BR$8),0))</f>
        <v/>
      </c>
      <c r="AE11" s="17" t="str">
        <f>IF($A11="","",VLOOKUP($A11,기본데이타!$A$8:$BV$103,COLUMN(기본데이타!BS$8),0))</f>
        <v/>
      </c>
      <c r="AF11" s="294" t="str">
        <f>IF($A11="","",VLOOKUP($A11,기본데이타!$A$8:$BV$103,COLUMN(기본데이타!BT$8),0))</f>
        <v/>
      </c>
      <c r="AG11" s="431" t="str">
        <f>IF($A11="","",VLOOKUP($A11,기본데이타!$A$8:$BV$103,COLUMN(기본데이타!BU$8),0))</f>
        <v/>
      </c>
      <c r="AH11" s="18" t="str">
        <f t="shared" si="3"/>
        <v/>
      </c>
    </row>
    <row r="12" spans="1:35" s="187" customFormat="1" ht="35.1" hidden="1" customHeight="1">
      <c r="A12" s="189"/>
      <c r="C12" s="190"/>
      <c r="D12" s="261" t="str">
        <f>IF($A12="","",VLOOKUP($A12,기본데이타!$A$10:$BV$103,COLUMN(기본데이타!F$8),0))</f>
        <v/>
      </c>
      <c r="E12" s="262" t="str">
        <f>IF($A12="","",VLOOKUP($A12,기본데이타!$A$8:$BV$103,COLUMN(기본데이타!G$8),0))</f>
        <v/>
      </c>
      <c r="F12" s="512" t="str">
        <f>IF($A12="","",VLOOKUP($A12,기본데이타!$A$8:$BV$103,COLUMN(기본데이타!H$8),0))</f>
        <v/>
      </c>
      <c r="G12" s="512" t="str">
        <f>IF($A12="","",VLOOKUP($A12,기본데이타!$A$8:$BV$103,COLUMN(기본데이타!I$8),0))</f>
        <v/>
      </c>
      <c r="H12" s="512" t="str">
        <f>IF($A12="","",VLOOKUP($A12,기본데이타!$A$8:$BV$103,COLUMN(기본데이타!J$8),0))</f>
        <v/>
      </c>
      <c r="I12" s="391" t="str">
        <f>IF($A12="","",VLOOKUP($A12,기본데이타!$A$8:$BV$103,COLUMN(기본데이타!AJ$8),0))</f>
        <v/>
      </c>
      <c r="J12" s="387" t="str">
        <f>IF($A12="","",VLOOKUP($A12,기본데이타!$A$8:$BV$103,COLUMN(기본데이타!AK$8),0))</f>
        <v/>
      </c>
      <c r="K12" s="387" t="str">
        <f>IF($A12="","",VLOOKUP($A12,기본데이타!$A$8:$BV$103,COLUMN(기본데이타!AL$8),0))</f>
        <v/>
      </c>
      <c r="L12" s="387" t="str">
        <f>IF($A12="","",VLOOKUP($A12,기본데이타!$A$8:$BV$103,COLUMN(기본데이타!AM$8),0))</f>
        <v/>
      </c>
      <c r="M12" s="387" t="str">
        <f>IF($A12="","",VLOOKUP($A12,기본데이타!$A$8:$BV$103,COLUMN(기본데이타!AN$8),0))</f>
        <v/>
      </c>
      <c r="N12" s="387" t="str">
        <f>IF($A12="","",VLOOKUP($A12,기본데이타!$A$8:$BV$103,COLUMN(기본데이타!AO$8),0))</f>
        <v/>
      </c>
      <c r="O12" s="387" t="str">
        <f>IF($A12="","",VLOOKUP($A12,기본데이타!$A$8:$BV$103,COLUMN(기본데이타!AP$8),0))</f>
        <v/>
      </c>
      <c r="P12" s="387" t="str">
        <f>IF($A12="","",VLOOKUP($A12,기본데이타!$A$8:$BV$103,COLUMN(기본데이타!AQ$8),0))</f>
        <v/>
      </c>
      <c r="Q12" s="387" t="str">
        <f>IF($A12="","",VLOOKUP($A12,기본데이타!$A$8:$BV$103,COLUMN(기본데이타!AR$8),0))</f>
        <v/>
      </c>
      <c r="R12" s="387" t="str">
        <f>IF($A12="","",VLOOKUP($A12,기본데이타!$A$8:$BV$103,COLUMN(기본데이타!AS$8),0))</f>
        <v/>
      </c>
      <c r="S12" s="387" t="str">
        <f>IF($A12="","",VLOOKUP($A12,기본데이타!$A$8:$BV$103,COLUMN(기본데이타!AT$8),0))</f>
        <v/>
      </c>
      <c r="T12" s="387" t="str">
        <f>IF($A12="","",VLOOKUP($A12,기본데이타!$A$8:$BV$103,COLUMN(기본데이타!AU$8),0))</f>
        <v/>
      </c>
      <c r="U12" s="387" t="str">
        <f>IF($A12="","",VLOOKUP($A12,기본데이타!$A$8:$BV$103,COLUMN(기본데이타!AV$8),0))</f>
        <v/>
      </c>
      <c r="V12" s="392" t="str">
        <f>IF($A12="","",VLOOKUP($A12,기본데이타!$A$8:$BV$103,COLUMN(기본데이타!AW$8),0))</f>
        <v/>
      </c>
      <c r="W12" s="392" t="str">
        <f>IF($A12="","",VLOOKUP($A12,기본데이타!$A$8:$BV$103,COLUMN(기본데이타!AX$8),0))</f>
        <v/>
      </c>
      <c r="X12" s="392" t="str">
        <f>IF($A12="","",VLOOKUP($A12,기본데이타!$A$8:$BV$103,COLUMN(기본데이타!AY$8),0))</f>
        <v/>
      </c>
      <c r="Y12" s="392" t="str">
        <f>IF($A12="","",VLOOKUP($A12,기본데이타!$A$8:$BV$103,COLUMN(기본데이타!AZ$8),0))</f>
        <v/>
      </c>
      <c r="Z12" s="391" t="str">
        <f>IF($A12="","",VLOOKUP($A12,기본데이타!$A$8:$BV$103,COLUMN(기본데이타!BN$8),0))</f>
        <v/>
      </c>
      <c r="AA12" s="391" t="str">
        <f>IF($A12="","",VLOOKUP($A12,기본데이타!$A$8:$BV$103,COLUMN(기본데이타!BO$8),0))</f>
        <v/>
      </c>
      <c r="AB12" s="391" t="str">
        <f>IF($A12="","",VLOOKUP($A12,기본데이타!$A$8:$BV$103,COLUMN(기본데이타!BP$8),0))</f>
        <v/>
      </c>
      <c r="AC12" s="391" t="str">
        <f>IF($A12="","",VLOOKUP($A12,기본데이타!$A$8:$BV$103,COLUMN(기본데이타!BQ$8),0))</f>
        <v/>
      </c>
      <c r="AD12" s="391" t="str">
        <f>IF($A12="","",VLOOKUP($A12,기본데이타!$A$8:$BV$103,COLUMN(기본데이타!BR$8),0))</f>
        <v/>
      </c>
      <c r="AE12" s="391" t="str">
        <f>IF($A12="","",VLOOKUP($A12,기본데이타!$A$8:$BV$103,COLUMN(기본데이타!BS$8),0))</f>
        <v/>
      </c>
      <c r="AF12" s="393" t="str">
        <f>IF($A12="","",VLOOKUP($A12,기본데이타!$A$8:$BV$103,COLUMN(기본데이타!BT$8),0))</f>
        <v/>
      </c>
      <c r="AG12" s="513" t="str">
        <f>IF($A12="","",VLOOKUP($A12,기본데이타!$A$8:$BV$103,COLUMN(기본데이타!BU$8),0))</f>
        <v/>
      </c>
      <c r="AH12" s="394" t="str">
        <f>IF(A12="","",A12)</f>
        <v/>
      </c>
    </row>
    <row r="13" spans="1:35" s="187" customFormat="1" ht="34.5" hidden="1" customHeight="1">
      <c r="A13" s="189"/>
      <c r="C13" s="190"/>
      <c r="D13" s="261" t="str">
        <f>IF($A13="","",VLOOKUP($A13,기본데이타!$A$10:$BV$103,COLUMN(기본데이타!F$8),0))</f>
        <v/>
      </c>
      <c r="E13" s="262" t="str">
        <f>IF($A13="","",VLOOKUP($A13,기본데이타!$A$8:$BV$103,COLUMN(기본데이타!G$8),0))</f>
        <v/>
      </c>
      <c r="F13" s="512" t="str">
        <f>IF($A13="","",VLOOKUP($A13,기본데이타!$A$8:$BV$103,COLUMN(기본데이타!H$8),0))</f>
        <v/>
      </c>
      <c r="G13" s="512" t="str">
        <f>IF($A13="","",VLOOKUP($A13,기본데이타!$A$8:$BV$103,COLUMN(기본데이타!I$8),0))</f>
        <v/>
      </c>
      <c r="H13" s="512" t="str">
        <f>IF($A13="","",VLOOKUP($A13,기본데이타!$A$8:$BV$103,COLUMN(기본데이타!J$8),0))</f>
        <v/>
      </c>
      <c r="I13" s="391" t="str">
        <f>IF($A13="","",VLOOKUP($A13,기본데이타!$A$8:$BV$103,COLUMN(기본데이타!AJ$8),0))</f>
        <v/>
      </c>
      <c r="J13" s="387" t="str">
        <f>IF($A13="","",VLOOKUP($A13,기본데이타!$A$8:$BV$103,COLUMN(기본데이타!AK$8),0))</f>
        <v/>
      </c>
      <c r="K13" s="387" t="str">
        <f>IF($A13="","",VLOOKUP($A13,기본데이타!$A$8:$BV$103,COLUMN(기본데이타!AL$8),0))</f>
        <v/>
      </c>
      <c r="L13" s="387" t="str">
        <f>IF($A13="","",VLOOKUP($A13,기본데이타!$A$8:$BV$103,COLUMN(기본데이타!AM$8),0))</f>
        <v/>
      </c>
      <c r="M13" s="387" t="str">
        <f>IF($A13="","",VLOOKUP($A13,기본데이타!$A$8:$BV$103,COLUMN(기본데이타!AN$8),0))</f>
        <v/>
      </c>
      <c r="N13" s="387" t="str">
        <f>IF($A13="","",VLOOKUP($A13,기본데이타!$A$8:$BV$103,COLUMN(기본데이타!AO$8),0))</f>
        <v/>
      </c>
      <c r="O13" s="387" t="str">
        <f>IF($A13="","",VLOOKUP($A13,기본데이타!$A$8:$BV$103,COLUMN(기본데이타!AP$8),0))</f>
        <v/>
      </c>
      <c r="P13" s="387" t="str">
        <f>IF($A13="","",VLOOKUP($A13,기본데이타!$A$8:$BV$103,COLUMN(기본데이타!AQ$8),0))</f>
        <v/>
      </c>
      <c r="Q13" s="387" t="str">
        <f>IF($A13="","",VLOOKUP($A13,기본데이타!$A$8:$BV$103,COLUMN(기본데이타!AR$8),0))</f>
        <v/>
      </c>
      <c r="R13" s="387" t="str">
        <f>IF($A13="","",VLOOKUP($A13,기본데이타!$A$8:$BV$103,COLUMN(기본데이타!AS$8),0))</f>
        <v/>
      </c>
      <c r="S13" s="387" t="str">
        <f>IF($A13="","",VLOOKUP($A13,기본데이타!$A$8:$BV$103,COLUMN(기본데이타!AT$8),0))</f>
        <v/>
      </c>
      <c r="T13" s="387" t="str">
        <f>IF($A13="","",VLOOKUP($A13,기본데이타!$A$8:$BV$103,COLUMN(기본데이타!AU$8),0))</f>
        <v/>
      </c>
      <c r="U13" s="387" t="str">
        <f>IF($A13="","",VLOOKUP($A13,기본데이타!$A$8:$BV$103,COLUMN(기본데이타!AV$8),0))</f>
        <v/>
      </c>
      <c r="V13" s="392" t="str">
        <f>IF($A13="","",VLOOKUP($A13,기본데이타!$A$8:$BV$103,COLUMN(기본데이타!AW$8),0))</f>
        <v/>
      </c>
      <c r="W13" s="392" t="str">
        <f>IF($A13="","",VLOOKUP($A13,기본데이타!$A$8:$BV$103,COLUMN(기본데이타!AX$8),0))</f>
        <v/>
      </c>
      <c r="X13" s="392" t="str">
        <f>IF($A13="","",VLOOKUP($A13,기본데이타!$A$8:$BV$103,COLUMN(기본데이타!AY$8),0))</f>
        <v/>
      </c>
      <c r="Y13" s="392" t="str">
        <f>IF($A13="","",VLOOKUP($A13,기본데이타!$A$8:$BV$103,COLUMN(기본데이타!AZ$8),0))</f>
        <v/>
      </c>
      <c r="Z13" s="391" t="str">
        <f>IF($A13="","",VLOOKUP($A13,기본데이타!$A$8:$BV$103,COLUMN(기본데이타!BN$8),0))</f>
        <v/>
      </c>
      <c r="AA13" s="391" t="str">
        <f>IF($A13="","",VLOOKUP($A13,기본데이타!$A$8:$BV$103,COLUMN(기본데이타!BO$8),0))</f>
        <v/>
      </c>
      <c r="AB13" s="391" t="str">
        <f>IF($A13="","",VLOOKUP($A13,기본데이타!$A$8:$BV$103,COLUMN(기본데이타!BP$8),0))</f>
        <v/>
      </c>
      <c r="AC13" s="391" t="str">
        <f>IF($A13="","",VLOOKUP($A13,기본데이타!$A$8:$BV$103,COLUMN(기본데이타!BQ$8),0))</f>
        <v/>
      </c>
      <c r="AD13" s="391" t="str">
        <f>IF($A13="","",VLOOKUP($A13,기본데이타!$A$8:$BV$103,COLUMN(기본데이타!BR$8),0))</f>
        <v/>
      </c>
      <c r="AE13" s="391" t="str">
        <f>IF($A13="","",VLOOKUP($A13,기본데이타!$A$8:$BV$103,COLUMN(기본데이타!BS$8),0))</f>
        <v/>
      </c>
      <c r="AF13" s="393" t="str">
        <f>IF($A13="","",VLOOKUP($A13,기본데이타!$A$8:$BV$103,COLUMN(기본데이타!BT$8),0))</f>
        <v/>
      </c>
      <c r="AG13" s="513" t="str">
        <f>IF($A13="","",VLOOKUP($A13,기본데이타!$A$8:$BV$103,COLUMN(기본데이타!BU$8),0))</f>
        <v/>
      </c>
      <c r="AH13" s="394" t="str">
        <f t="shared" si="3"/>
        <v/>
      </c>
    </row>
    <row r="14" spans="1:35" s="187" customFormat="1" ht="35.1" hidden="1" customHeight="1">
      <c r="A14" s="189"/>
      <c r="C14" s="193"/>
      <c r="D14" s="1117">
        <f>COUNTA(A8:A13)</f>
        <v>0</v>
      </c>
      <c r="E14" s="316">
        <f t="shared" ref="E14:AC14" si="4">SUM(E8:E13)</f>
        <v>0</v>
      </c>
      <c r="F14" s="317">
        <f t="shared" si="4"/>
        <v>0</v>
      </c>
      <c r="G14" s="317">
        <f t="shared" si="4"/>
        <v>0</v>
      </c>
      <c r="H14" s="317">
        <f t="shared" si="4"/>
        <v>0</v>
      </c>
      <c r="I14" s="318">
        <f t="shared" si="4"/>
        <v>0</v>
      </c>
      <c r="J14" s="379">
        <f t="shared" si="4"/>
        <v>0</v>
      </c>
      <c r="K14" s="379">
        <f t="shared" si="4"/>
        <v>0</v>
      </c>
      <c r="L14" s="379">
        <f t="shared" si="4"/>
        <v>0</v>
      </c>
      <c r="M14" s="379">
        <f t="shared" si="4"/>
        <v>0</v>
      </c>
      <c r="N14" s="379">
        <f t="shared" si="4"/>
        <v>0</v>
      </c>
      <c r="O14" s="379">
        <f t="shared" si="4"/>
        <v>0</v>
      </c>
      <c r="P14" s="379">
        <f t="shared" si="4"/>
        <v>0</v>
      </c>
      <c r="Q14" s="379">
        <f t="shared" si="4"/>
        <v>0</v>
      </c>
      <c r="R14" s="379">
        <f t="shared" ref="R14:S14" si="5">SUM(R8:R13)</f>
        <v>0</v>
      </c>
      <c r="S14" s="379">
        <f t="shared" si="5"/>
        <v>0</v>
      </c>
      <c r="T14" s="379">
        <f t="shared" ref="T14" si="6">SUM(T8:T13)</f>
        <v>0</v>
      </c>
      <c r="U14" s="379">
        <f t="shared" si="4"/>
        <v>0</v>
      </c>
      <c r="V14" s="319">
        <f t="shared" si="4"/>
        <v>0</v>
      </c>
      <c r="W14" s="319">
        <f t="shared" si="4"/>
        <v>0</v>
      </c>
      <c r="X14" s="319">
        <f t="shared" si="4"/>
        <v>0</v>
      </c>
      <c r="Y14" s="319">
        <f t="shared" si="4"/>
        <v>0</v>
      </c>
      <c r="Z14" s="318">
        <f t="shared" si="4"/>
        <v>0</v>
      </c>
      <c r="AA14" s="318">
        <f t="shared" si="4"/>
        <v>0</v>
      </c>
      <c r="AB14" s="318">
        <f t="shared" si="4"/>
        <v>0</v>
      </c>
      <c r="AC14" s="318">
        <f t="shared" si="4"/>
        <v>0</v>
      </c>
      <c r="AD14" s="320"/>
      <c r="AE14" s="321">
        <f>공공택지!BP7</f>
        <v>0</v>
      </c>
      <c r="AF14" s="542" t="e">
        <f>공공택지!BQ7/100</f>
        <v>#VALUE!</v>
      </c>
      <c r="AG14" s="543" t="e">
        <f>공공택지!BR7</f>
        <v>#DIV/0!</v>
      </c>
      <c r="AH14" s="322" t="str">
        <f t="shared" si="3"/>
        <v/>
      </c>
      <c r="AI14" s="264">
        <f>AE14-SUM(AE8:AE13)</f>
        <v>0</v>
      </c>
    </row>
    <row r="15" spans="1:35" s="187" customFormat="1" ht="35.1" customHeight="1">
      <c r="A15" s="189">
        <v>1</v>
      </c>
      <c r="C15" s="194" t="s">
        <v>124</v>
      </c>
      <c r="D15" s="247" t="str">
        <f>IF($A15="","",VLOOKUP($A15,기본데이타!$A$8:$BV$103,COLUMN(기본데이타!F$8),0))</f>
        <v>복현대백맨션개별난방전환</v>
      </c>
      <c r="E15" s="248">
        <f>IF($A15="","",VLOOKUP($A15,기본데이타!$A$8:$BV$103,COLUMN(기본데이타!G$8),0))</f>
        <v>8</v>
      </c>
      <c r="F15" s="1110">
        <f>IF($A15="","",VLOOKUP($A15,기본데이타!$A$8:$BV$103,COLUMN(기본데이타!H$8),0))</f>
        <v>33889000</v>
      </c>
      <c r="G15" s="1110">
        <f>IF($A15="","",VLOOKUP($A15,기본데이타!$A$8:$BV$103,COLUMN(기본데이타!I$8),0))</f>
        <v>0</v>
      </c>
      <c r="H15" s="1110">
        <f>IF($A15="","",VLOOKUP($A15,기본데이타!$A$8:$BV$103,COLUMN(기본데이타!J$8),0))</f>
        <v>33889000</v>
      </c>
      <c r="I15" s="1111">
        <f>IF($A15="","",VLOOKUP($A15,기본데이타!$A$8:$BV$103,COLUMN(기본데이타!AJ$8),0))</f>
        <v>450</v>
      </c>
      <c r="J15" s="378">
        <f>IF($A15="","",VLOOKUP($A15,기본데이타!$A$8:$BV$103,COLUMN(기본데이타!AK$8),0))</f>
        <v>0</v>
      </c>
      <c r="K15" s="385">
        <f>IF($A15="","",VLOOKUP($A15,기본데이타!$A$8:$BV$103,COLUMN(기본데이타!AL$8),0))</f>
        <v>1908</v>
      </c>
      <c r="L15" s="385">
        <f>IF($A15="","",VLOOKUP($A15,기본데이타!$A$8:$BV$103,COLUMN(기본데이타!AM$8),0))</f>
        <v>0</v>
      </c>
      <c r="M15" s="385">
        <f>IF($A15="","",VLOOKUP($A15,기본데이타!$A$8:$BV$103,COLUMN(기본데이타!AN$8),0))</f>
        <v>0</v>
      </c>
      <c r="N15" s="385">
        <f>IF($A15="","",VLOOKUP($A15,기본데이타!$A$8:$BV$103,COLUMN(기본데이타!AO$8),0))</f>
        <v>0</v>
      </c>
      <c r="O15" s="385">
        <f>IF($A15="","",VLOOKUP($A15,기본데이타!$A$8:$BV$103,COLUMN(기본데이타!AP$8),0))</f>
        <v>0</v>
      </c>
      <c r="P15" s="385">
        <f>IF($A15="","",VLOOKUP($A15,기본데이타!$A$8:$BV$103,COLUMN(기본데이타!AQ$8),0))</f>
        <v>0</v>
      </c>
      <c r="Q15" s="385">
        <f>IF($A15="","",VLOOKUP($A15,기본데이타!$A$8:$BV$103,COLUMN(기본데이타!AR$8),0))</f>
        <v>0</v>
      </c>
      <c r="R15" s="385">
        <f>IF($A15="","",VLOOKUP($A15,기본데이타!$A$8:$BV$103,COLUMN(기본데이타!AS$8),0))</f>
        <v>0</v>
      </c>
      <c r="S15" s="385">
        <f>IF($A15="","",VLOOKUP($A15,기본데이타!$A$8:$BV$103,COLUMN(기본데이타!AT$8),0))</f>
        <v>0</v>
      </c>
      <c r="T15" s="385">
        <f>IF($A15="","",VLOOKUP($A15,기본데이타!$A$8:$BV$103,COLUMN(기본데이타!AU$8),0))</f>
        <v>0</v>
      </c>
      <c r="U15" s="385">
        <f>IF($A15="","",VLOOKUP($A15,기본데이타!$A$8:$BV$103,COLUMN(기본데이타!AV$8),0))</f>
        <v>1908</v>
      </c>
      <c r="V15" s="1111">
        <f>IF($A15="","",VLOOKUP($A15,기본데이타!$A$8:$BV$103,COLUMN(기본데이타!AW$8),0))</f>
        <v>43368840</v>
      </c>
      <c r="W15" s="1111">
        <f>IF($A15="","",VLOOKUP($A15,기본데이타!$A$8:$BV$103,COLUMN(기본데이타!AX$8),0))</f>
        <v>0</v>
      </c>
      <c r="X15" s="1111">
        <f>IF($A15="","",VLOOKUP($A15,기본데이타!$A$8:$BV$103,COLUMN(기본데이타!AY$8),0))</f>
        <v>0</v>
      </c>
      <c r="Y15" s="1111">
        <f>IF($A15="","",VLOOKUP($A15,기본데이타!$A$8:$BV$103,COLUMN(기본데이타!AZ$8),0))</f>
        <v>43368840</v>
      </c>
      <c r="Z15" s="1111">
        <f>IF($A15="","",VLOOKUP($A15,기본데이타!$A$8:$BV$103,COLUMN(기본데이타!BN$8),0))</f>
        <v>11782800</v>
      </c>
      <c r="AA15" s="1111">
        <f>IF($A15="","",VLOOKUP($A15,기본데이타!$A$8:$BV$103,COLUMN(기본데이타!BO$8),0))</f>
        <v>278499439</v>
      </c>
      <c r="AB15" s="1111">
        <f>IF($A15="","",VLOOKUP($A15,기본데이타!$A$8:$BV$103,COLUMN(기본데이타!BP$8),0))</f>
        <v>245665488</v>
      </c>
      <c r="AC15" s="1111">
        <f>IF($A15="","",VLOOKUP($A15,기본데이타!$A$8:$BV$103,COLUMN(기본데이타!BQ$8),0))</f>
        <v>32833951</v>
      </c>
      <c r="AD15" s="1111">
        <f>IF($A15="","",VLOOKUP($A15,기본데이타!$A$8:$BV$103,COLUMN(기본데이타!BR$8),0))</f>
        <v>2</v>
      </c>
      <c r="AE15" s="1111">
        <f>IF($A15="","",VLOOKUP($A15,기본데이타!$A$8:$BV$103,COLUMN(기본데이타!BS$8),0))</f>
        <v>336399581</v>
      </c>
      <c r="AF15" s="523">
        <f>IF($A15="","",VLOOKUP($A15,기본데이타!$A$8:$BV$103,COLUMN(기본데이타!BT$8),0))</f>
        <v>80.66</v>
      </c>
      <c r="AG15" s="1112">
        <f>IF($A15="","",VLOOKUP($A15,기본데이타!$A$8:$BV$103,COLUMN(기본데이타!BU$8),0))</f>
        <v>5962.5</v>
      </c>
      <c r="AH15" s="1113">
        <f t="shared" ref="AH15:AH33" si="7">IF(A15="","",A15)</f>
        <v>1</v>
      </c>
    </row>
    <row r="16" spans="1:35" s="187" customFormat="1" ht="35.1" hidden="1" customHeight="1">
      <c r="A16" s="189"/>
      <c r="C16" s="190"/>
      <c r="D16" s="8" t="str">
        <f>IF($A16="","",VLOOKUP($A16,기본데이타!$A$8:$BV$103,COLUMN(기본데이타!F$8),0))</f>
        <v/>
      </c>
      <c r="E16" s="252" t="str">
        <f>IF($A16="","",VLOOKUP($A16,기본데이타!$A$8:$BV$103,COLUMN(기본데이타!G$8),0))</f>
        <v/>
      </c>
      <c r="F16" s="9" t="str">
        <f>IF($A16="","",VLOOKUP($A16,기본데이타!$A$8:$BV$103,COLUMN(기본데이타!H$8),0))</f>
        <v/>
      </c>
      <c r="G16" s="9" t="str">
        <f>IF($A16="","",VLOOKUP($A16,기본데이타!$A$8:$BV$103,COLUMN(기본데이타!I$8),0))</f>
        <v/>
      </c>
      <c r="H16" s="9" t="str">
        <f>IF($A16="","",VLOOKUP($A16,기본데이타!$A$8:$BV$103,COLUMN(기본데이타!J$8),0))</f>
        <v/>
      </c>
      <c r="I16" s="11" t="str">
        <f>IF($A16="","",VLOOKUP($A16,기본데이타!$A$8:$BV$103,COLUMN(기본데이타!AJ$8),0))</f>
        <v/>
      </c>
      <c r="J16" s="386" t="str">
        <f>IF($A16="","",VLOOKUP($A16,기본데이타!$A$8:$BV$103,COLUMN(기본데이타!AK$8),0))</f>
        <v/>
      </c>
      <c r="K16" s="386" t="str">
        <f>IF($A16="","",VLOOKUP($A16,기본데이타!$A$8:$BV$103,COLUMN(기본데이타!AL$8),0))</f>
        <v/>
      </c>
      <c r="L16" s="386" t="str">
        <f>IF($A16="","",VLOOKUP($A16,기본데이타!$A$8:$BV$103,COLUMN(기본데이타!AM$8),0))</f>
        <v/>
      </c>
      <c r="M16" s="386" t="str">
        <f>IF($A16="","",VLOOKUP($A16,기본데이타!$A$8:$BV$103,COLUMN(기본데이타!AN$8),0))</f>
        <v/>
      </c>
      <c r="N16" s="386" t="str">
        <f>IF($A16="","",VLOOKUP($A16,기본데이타!$A$8:$BV$103,COLUMN(기본데이타!AO$8),0))</f>
        <v/>
      </c>
      <c r="O16" s="386" t="str">
        <f>IF($A16="","",VLOOKUP($A16,기본데이타!$A$8:$BV$103,COLUMN(기본데이타!AP$8),0))</f>
        <v/>
      </c>
      <c r="P16" s="386" t="str">
        <f>IF($A16="","",VLOOKUP($A16,기본데이타!$A$8:$BV$103,COLUMN(기본데이타!AQ$8),0))</f>
        <v/>
      </c>
      <c r="Q16" s="386" t="str">
        <f>IF($A16="","",VLOOKUP($A16,기본데이타!$A$8:$BV$103,COLUMN(기본데이타!AR$8),0))</f>
        <v/>
      </c>
      <c r="R16" s="386" t="str">
        <f>IF($A16="","",VLOOKUP($A16,기본데이타!$A$8:$BV$103,COLUMN(기본데이타!AS$8),0))</f>
        <v/>
      </c>
      <c r="S16" s="386" t="str">
        <f>IF($A16="","",VLOOKUP($A16,기본데이타!$A$8:$BV$103,COLUMN(기본데이타!AT$8),0))</f>
        <v/>
      </c>
      <c r="T16" s="386" t="str">
        <f>IF($A16="","",VLOOKUP($A16,기본데이타!$A$8:$BV$103,COLUMN(기본데이타!AU$8),0))</f>
        <v/>
      </c>
      <c r="U16" s="386" t="str">
        <f>IF($A16="","",VLOOKUP($A16,기본데이타!$A$8:$BV$103,COLUMN(기본데이타!AV$8),0))</f>
        <v/>
      </c>
      <c r="V16" s="10" t="str">
        <f>IF($A16="","",VLOOKUP($A16,기본데이타!$A$8:$BV$103,COLUMN(기본데이타!AW$8),0))</f>
        <v/>
      </c>
      <c r="W16" s="10" t="str">
        <f>IF($A16="","",VLOOKUP($A16,기본데이타!$A$8:$BV$103,COLUMN(기본데이타!AX$8),0))</f>
        <v/>
      </c>
      <c r="X16" s="10" t="str">
        <f>IF($A16="","",VLOOKUP($A16,기본데이타!$A$8:$BV$103,COLUMN(기본데이타!AY$8),0))</f>
        <v/>
      </c>
      <c r="Y16" s="10" t="str">
        <f>IF($A16="","",VLOOKUP($A16,기본데이타!$A$8:$BV$103,COLUMN(기본데이타!AZ$8),0))</f>
        <v/>
      </c>
      <c r="Z16" s="11" t="str">
        <f>IF($A16="","",VLOOKUP($A16,기본데이타!$A$8:$BV$103,COLUMN(기본데이타!BN$8),0))</f>
        <v/>
      </c>
      <c r="AA16" s="11" t="str">
        <f>IF($A16="","",VLOOKUP($A16,기본데이타!$A$8:$BV$103,COLUMN(기본데이타!BO$8),0))</f>
        <v/>
      </c>
      <c r="AB16" s="11" t="str">
        <f>IF($A16="","",VLOOKUP($A16,기본데이타!$A$8:$BV$103,COLUMN(기본데이타!BP$8),0))</f>
        <v/>
      </c>
      <c r="AC16" s="11" t="str">
        <f>IF($A16="","",VLOOKUP($A16,기본데이타!$A$8:$BV$103,COLUMN(기본데이타!BQ$8),0))</f>
        <v/>
      </c>
      <c r="AD16" s="12" t="str">
        <f>IF($A16="","",VLOOKUP($A16,기본데이타!$A$8:$BV$103,COLUMN(기본데이타!BR$8),0))</f>
        <v/>
      </c>
      <c r="AE16" s="13" t="str">
        <f>IF($A16="","",VLOOKUP($A16,기본데이타!$A$8:$BV$103,COLUMN(기본데이타!BS$8),0))</f>
        <v/>
      </c>
      <c r="AF16" s="524" t="str">
        <f>IF($A16="","",VLOOKUP($A16,기본데이타!$A$8:$BV$103,COLUMN(기본데이타!BT$8),0))</f>
        <v/>
      </c>
      <c r="AG16" s="299" t="str">
        <f>IF($A16="","",VLOOKUP($A16,기본데이타!$A$8:$BV$103,COLUMN(기본데이타!BU$8),0))</f>
        <v/>
      </c>
      <c r="AH16" s="14" t="str">
        <f t="shared" si="7"/>
        <v/>
      </c>
    </row>
    <row r="17" spans="1:35" s="187" customFormat="1" ht="34.5" hidden="1" customHeight="1">
      <c r="A17" s="189"/>
      <c r="C17" s="190"/>
      <c r="D17" s="8" t="str">
        <f>IF($A17="","",VLOOKUP($A17,기본데이타!$A$8:$BV$103,COLUMN(기본데이타!F$8),0))</f>
        <v/>
      </c>
      <c r="E17" s="252" t="str">
        <f>IF($A17="","",VLOOKUP($A17,기본데이타!$A$8:$BV$103,COLUMN(기본데이타!G$8),0))</f>
        <v/>
      </c>
      <c r="F17" s="9" t="str">
        <f>IF($A17="","",VLOOKUP($A17,기본데이타!$A$8:$BV$103,COLUMN(기본데이타!H$8),0))</f>
        <v/>
      </c>
      <c r="G17" s="9" t="str">
        <f>IF($A17="","",VLOOKUP($A17,기본데이타!$A$8:$BV$103,COLUMN(기본데이타!I$8),0))</f>
        <v/>
      </c>
      <c r="H17" s="9" t="str">
        <f>IF($A17="","",VLOOKUP($A17,기본데이타!$A$8:$BV$103,COLUMN(기본데이타!J$8),0))</f>
        <v/>
      </c>
      <c r="I17" s="17" t="str">
        <f>IF($A17="","",VLOOKUP($A17,기본데이타!$A$8:$BV$103,COLUMN(기본데이타!AJ$8),0))</f>
        <v/>
      </c>
      <c r="J17" s="386" t="str">
        <f>IF($A17="","",VLOOKUP($A17,기본데이타!$A$8:$BV$103,COLUMN(기본데이타!AK$8),0))</f>
        <v/>
      </c>
      <c r="K17" s="386" t="str">
        <f>IF($A17="","",VLOOKUP($A17,기본데이타!$A$8:$BV$103,COLUMN(기본데이타!AL$8),0))</f>
        <v/>
      </c>
      <c r="L17" s="386" t="str">
        <f>IF($A17="","",VLOOKUP($A17,기본데이타!$A$8:$BV$103,COLUMN(기본데이타!AM$8),0))</f>
        <v/>
      </c>
      <c r="M17" s="386" t="str">
        <f>IF($A17="","",VLOOKUP($A17,기본데이타!$A$8:$BV$103,COLUMN(기본데이타!AN$8),0))</f>
        <v/>
      </c>
      <c r="N17" s="386" t="str">
        <f>IF($A17="","",VLOOKUP($A17,기본데이타!$A$8:$BV$103,COLUMN(기본데이타!AO$8),0))</f>
        <v/>
      </c>
      <c r="O17" s="386" t="str">
        <f>IF($A17="","",VLOOKUP($A17,기본데이타!$A$8:$BV$103,COLUMN(기본데이타!AP$8),0))</f>
        <v/>
      </c>
      <c r="P17" s="386" t="str">
        <f>IF($A17="","",VLOOKUP($A17,기본데이타!$A$8:$BV$103,COLUMN(기본데이타!AQ$8),0))</f>
        <v/>
      </c>
      <c r="Q17" s="386" t="str">
        <f>IF($A17="","",VLOOKUP($A17,기본데이타!$A$8:$BV$103,COLUMN(기본데이타!AR$8),0))</f>
        <v/>
      </c>
      <c r="R17" s="386" t="str">
        <f>IF($A17="","",VLOOKUP($A17,기본데이타!$A$8:$BV$103,COLUMN(기본데이타!AS$8),0))</f>
        <v/>
      </c>
      <c r="S17" s="386" t="str">
        <f>IF($A17="","",VLOOKUP($A17,기본데이타!$A$8:$BV$103,COLUMN(기본데이타!AT$8),0))</f>
        <v/>
      </c>
      <c r="T17" s="386" t="str">
        <f>IF($A17="","",VLOOKUP($A17,기본데이타!$A$8:$BV$103,COLUMN(기본데이타!AU$8),0))</f>
        <v/>
      </c>
      <c r="U17" s="386" t="str">
        <f>IF($A17="","",VLOOKUP($A17,기본데이타!$A$8:$BV$103,COLUMN(기본데이타!AV$8),0))</f>
        <v/>
      </c>
      <c r="V17" s="16" t="str">
        <f>IF($A17="","",VLOOKUP($A17,기본데이타!$A$8:$BV$103,COLUMN(기본데이타!AW$8),0))</f>
        <v/>
      </c>
      <c r="W17" s="16" t="str">
        <f>IF($A17="","",VLOOKUP($A17,기본데이타!$A$8:$BV$103,COLUMN(기본데이타!AX$8),0))</f>
        <v/>
      </c>
      <c r="X17" s="16" t="str">
        <f>IF($A17="","",VLOOKUP($A17,기본데이타!$A$8:$BV$103,COLUMN(기본데이타!AY$8),0))</f>
        <v/>
      </c>
      <c r="Y17" s="16" t="str">
        <f>IF($A17="","",VLOOKUP($A17,기본데이타!$A$8:$BV$103,COLUMN(기본데이타!AZ$8),0))</f>
        <v/>
      </c>
      <c r="Z17" s="17" t="str">
        <f>IF($A17="","",VLOOKUP($A17,기본데이타!$A$8:$BV$103,COLUMN(기본데이타!BN$8),0))</f>
        <v/>
      </c>
      <c r="AA17" s="17" t="str">
        <f>IF($A17="","",VLOOKUP($A17,기본데이타!$A$8:$BV$103,COLUMN(기본데이타!BO$8),0))</f>
        <v/>
      </c>
      <c r="AB17" s="17" t="str">
        <f>IF($A17="","",VLOOKUP($A17,기본데이타!$A$8:$BV$103,COLUMN(기본데이타!BP$8),0))</f>
        <v/>
      </c>
      <c r="AC17" s="17" t="str">
        <f>IF($A17="","",VLOOKUP($A17,기본데이타!$A$8:$BV$103,COLUMN(기본데이타!BQ$8),0))</f>
        <v/>
      </c>
      <c r="AD17" s="17" t="str">
        <f>IF($A17="","",VLOOKUP($A17,기본데이타!$A$8:$BV$103,COLUMN(기본데이타!BR$8),0))</f>
        <v/>
      </c>
      <c r="AE17" s="17" t="str">
        <f>IF($A17="","",VLOOKUP($A17,기본데이타!$A$8:$BV$103,COLUMN(기본데이타!BS$8),0))</f>
        <v/>
      </c>
      <c r="AF17" s="524" t="str">
        <f>IF($A17="","",VLOOKUP($A17,기본데이타!$A$8:$BV$103,COLUMN(기본데이타!BT$8),0))</f>
        <v/>
      </c>
      <c r="AG17" s="432" t="str">
        <f>IF($A17="","",VLOOKUP($A17,기본데이타!$A$8:$BV$103,COLUMN(기본데이타!BU$8),0))</f>
        <v/>
      </c>
      <c r="AH17" s="18" t="str">
        <f t="shared" ref="AH17" si="8">IF(A17="","",A17)</f>
        <v/>
      </c>
    </row>
    <row r="18" spans="1:35" s="187" customFormat="1" ht="34.5" hidden="1" customHeight="1">
      <c r="A18" s="189"/>
      <c r="C18" s="190"/>
      <c r="D18" s="8" t="str">
        <f>IF($A18="","",VLOOKUP($A18,기본데이타!$A$8:$BV$103,COLUMN(기본데이타!F$8),0))</f>
        <v/>
      </c>
      <c r="E18" s="252" t="str">
        <f>IF($A18="","",VLOOKUP($A18,기본데이타!$A$8:$BV$103,COLUMN(기본데이타!G$8),0))</f>
        <v/>
      </c>
      <c r="F18" s="9" t="str">
        <f>IF($A18="","",VLOOKUP($A18,기본데이타!$A$8:$BV$103,COLUMN(기본데이타!H$8),0))</f>
        <v/>
      </c>
      <c r="G18" s="9" t="str">
        <f>IF($A18="","",VLOOKUP($A18,기본데이타!$A$8:$BV$103,COLUMN(기본데이타!I$8),0))</f>
        <v/>
      </c>
      <c r="H18" s="9" t="str">
        <f>IF($A18="","",VLOOKUP($A18,기본데이타!$A$8:$BV$103,COLUMN(기본데이타!J$8),0))</f>
        <v/>
      </c>
      <c r="I18" s="17" t="str">
        <f>IF($A18="","",VLOOKUP($A18,기본데이타!$A$8:$BV$103,COLUMN(기본데이타!AJ$8),0))</f>
        <v/>
      </c>
      <c r="J18" s="386" t="str">
        <f>IF($A18="","",VLOOKUP($A18,기본데이타!$A$8:$BV$103,COLUMN(기본데이타!AK$8),0))</f>
        <v/>
      </c>
      <c r="K18" s="386" t="str">
        <f>IF($A18="","",VLOOKUP($A18,기본데이타!$A$8:$BV$103,COLUMN(기본데이타!AL$8),0))</f>
        <v/>
      </c>
      <c r="L18" s="386" t="str">
        <f>IF($A18="","",VLOOKUP($A18,기본데이타!$A$8:$BV$103,COLUMN(기본데이타!AM$8),0))</f>
        <v/>
      </c>
      <c r="M18" s="386" t="str">
        <f>IF($A18="","",VLOOKUP($A18,기본데이타!$A$8:$BV$103,COLUMN(기본데이타!AN$8),0))</f>
        <v/>
      </c>
      <c r="N18" s="386" t="str">
        <f>IF($A18="","",VLOOKUP($A18,기본데이타!$A$8:$BV$103,COLUMN(기본데이타!AO$8),0))</f>
        <v/>
      </c>
      <c r="O18" s="386" t="str">
        <f>IF($A18="","",VLOOKUP($A18,기본데이타!$A$8:$BV$103,COLUMN(기본데이타!AP$8),0))</f>
        <v/>
      </c>
      <c r="P18" s="386" t="str">
        <f>IF($A18="","",VLOOKUP($A18,기본데이타!$A$8:$BV$103,COLUMN(기본데이타!AQ$8),0))</f>
        <v/>
      </c>
      <c r="Q18" s="386" t="str">
        <f>IF($A18="","",VLOOKUP($A18,기본데이타!$A$8:$BV$103,COLUMN(기본데이타!AR$8),0))</f>
        <v/>
      </c>
      <c r="R18" s="386" t="str">
        <f>IF($A18="","",VLOOKUP($A18,기본데이타!$A$8:$BV$103,COLUMN(기본데이타!AS$8),0))</f>
        <v/>
      </c>
      <c r="S18" s="386" t="str">
        <f>IF($A18="","",VLOOKUP($A18,기본데이타!$A$8:$BV$103,COLUMN(기본데이타!AT$8),0))</f>
        <v/>
      </c>
      <c r="T18" s="386" t="str">
        <f>IF($A18="","",VLOOKUP($A18,기본데이타!$A$8:$BV$103,COLUMN(기본데이타!AU$8),0))</f>
        <v/>
      </c>
      <c r="U18" s="386" t="str">
        <f>IF($A18="","",VLOOKUP($A18,기본데이타!$A$8:$BV$103,COLUMN(기본데이타!AV$8),0))</f>
        <v/>
      </c>
      <c r="V18" s="16" t="str">
        <f>IF($A18="","",VLOOKUP($A18,기본데이타!$A$8:$BV$103,COLUMN(기본데이타!AW$8),0))</f>
        <v/>
      </c>
      <c r="W18" s="16" t="str">
        <f>IF($A18="","",VLOOKUP($A18,기본데이타!$A$8:$BV$103,COLUMN(기본데이타!AX$8),0))</f>
        <v/>
      </c>
      <c r="X18" s="16" t="str">
        <f>IF($A18="","",VLOOKUP($A18,기본데이타!$A$8:$BV$103,COLUMN(기본데이타!AY$8),0))</f>
        <v/>
      </c>
      <c r="Y18" s="16" t="str">
        <f>IF($A18="","",VLOOKUP($A18,기본데이타!$A$8:$BV$103,COLUMN(기본데이타!AZ$8),0))</f>
        <v/>
      </c>
      <c r="Z18" s="17" t="str">
        <f>IF($A18="","",VLOOKUP($A18,기본데이타!$A$8:$BV$103,COLUMN(기본데이타!BN$8),0))</f>
        <v/>
      </c>
      <c r="AA18" s="17" t="str">
        <f>IF($A18="","",VLOOKUP($A18,기본데이타!$A$8:$BV$103,COLUMN(기본데이타!BO$8),0))</f>
        <v/>
      </c>
      <c r="AB18" s="17" t="str">
        <f>IF($A18="","",VLOOKUP($A18,기본데이타!$A$8:$BV$103,COLUMN(기본데이타!BP$8),0))</f>
        <v/>
      </c>
      <c r="AC18" s="17" t="str">
        <f>IF($A18="","",VLOOKUP($A18,기본데이타!$A$8:$BV$103,COLUMN(기본데이타!BQ$8),0))</f>
        <v/>
      </c>
      <c r="AD18" s="17" t="str">
        <f>IF($A18="","",VLOOKUP($A18,기본데이타!$A$8:$BV$103,COLUMN(기본데이타!BR$8),0))</f>
        <v/>
      </c>
      <c r="AE18" s="17" t="str">
        <f>IF($A18="","",VLOOKUP($A18,기본데이타!$A$8:$BV$103,COLUMN(기본데이타!BS$8),0))</f>
        <v/>
      </c>
      <c r="AF18" s="524" t="str">
        <f>IF($A18="","",VLOOKUP($A18,기본데이타!$A$8:$BV$103,COLUMN(기본데이타!BT$8),0))</f>
        <v/>
      </c>
      <c r="AG18" s="432" t="str">
        <f>IF($A18="","",VLOOKUP($A18,기본데이타!$A$8:$BV$103,COLUMN(기본데이타!BU$8),0))</f>
        <v/>
      </c>
      <c r="AH18" s="18" t="str">
        <f t="shared" ref="AH18" si="9">IF(A18="","",A18)</f>
        <v/>
      </c>
    </row>
    <row r="19" spans="1:35" s="187" customFormat="1" ht="35.1" hidden="1" customHeight="1">
      <c r="A19" s="189"/>
      <c r="C19" s="190"/>
      <c r="D19" s="8" t="str">
        <f>IF($A19="","",VLOOKUP($A19,기본데이타!$A$8:$BV$103,COLUMN(기본데이타!F$8),0))</f>
        <v/>
      </c>
      <c r="E19" s="252" t="str">
        <f>IF($A19="","",VLOOKUP($A19,기본데이타!$A$8:$BV$103,COLUMN(기본데이타!G$8),0))</f>
        <v/>
      </c>
      <c r="F19" s="9" t="str">
        <f>IF($A19="","",VLOOKUP($A19,기본데이타!$A$8:$BV$103,COLUMN(기본데이타!H$8),0))</f>
        <v/>
      </c>
      <c r="G19" s="9" t="str">
        <f>IF($A19="","",VLOOKUP($A19,기본데이타!$A$8:$BV$103,COLUMN(기본데이타!I$8),0))</f>
        <v/>
      </c>
      <c r="H19" s="9" t="str">
        <f>IF($A19="","",VLOOKUP($A19,기본데이타!$A$8:$BV$103,COLUMN(기본데이타!J$8),0))</f>
        <v/>
      </c>
      <c r="I19" s="17" t="str">
        <f>IF($A19="","",VLOOKUP($A19,기본데이타!$A$8:$BV$103,COLUMN(기본데이타!AJ$8),0))</f>
        <v/>
      </c>
      <c r="J19" s="386" t="str">
        <f>IF($A19="","",VLOOKUP($A19,기본데이타!$A$8:$BV$103,COLUMN(기본데이타!AK$8),0))</f>
        <v/>
      </c>
      <c r="K19" s="386" t="str">
        <f>IF($A19="","",VLOOKUP($A19,기본데이타!$A$8:$BV$103,COLUMN(기본데이타!AL$8),0))</f>
        <v/>
      </c>
      <c r="L19" s="386" t="str">
        <f>IF($A19="","",VLOOKUP($A19,기본데이타!$A$8:$BV$103,COLUMN(기본데이타!AM$8),0))</f>
        <v/>
      </c>
      <c r="M19" s="386" t="str">
        <f>IF($A19="","",VLOOKUP($A19,기본데이타!$A$8:$BV$103,COLUMN(기본데이타!AN$8),0))</f>
        <v/>
      </c>
      <c r="N19" s="386" t="str">
        <f>IF($A19="","",VLOOKUP($A19,기본데이타!$A$8:$BV$103,COLUMN(기본데이타!AO$8),0))</f>
        <v/>
      </c>
      <c r="O19" s="386" t="str">
        <f>IF($A19="","",VLOOKUP($A19,기본데이타!$A$8:$BV$103,COLUMN(기본데이타!AP$8),0))</f>
        <v/>
      </c>
      <c r="P19" s="386" t="str">
        <f>IF($A19="","",VLOOKUP($A19,기본데이타!$A$8:$BV$103,COLUMN(기본데이타!AQ$8),0))</f>
        <v/>
      </c>
      <c r="Q19" s="386" t="str">
        <f>IF($A19="","",VLOOKUP($A19,기본데이타!$A$8:$BV$103,COLUMN(기본데이타!AR$8),0))</f>
        <v/>
      </c>
      <c r="R19" s="386" t="str">
        <f>IF($A19="","",VLOOKUP($A19,기본데이타!$A$8:$BV$103,COLUMN(기본데이타!AS$8),0))</f>
        <v/>
      </c>
      <c r="S19" s="386" t="str">
        <f>IF($A19="","",VLOOKUP($A19,기본데이타!$A$8:$BV$103,COLUMN(기본데이타!AT$8),0))</f>
        <v/>
      </c>
      <c r="T19" s="386" t="str">
        <f>IF($A19="","",VLOOKUP($A19,기본데이타!$A$8:$BV$103,COLUMN(기본데이타!AU$8),0))</f>
        <v/>
      </c>
      <c r="U19" s="386" t="str">
        <f>IF($A19="","",VLOOKUP($A19,기본데이타!$A$8:$BV$103,COLUMN(기본데이타!AV$8),0))</f>
        <v/>
      </c>
      <c r="V19" s="16" t="str">
        <f>IF($A19="","",VLOOKUP($A19,기본데이타!$A$8:$BV$103,COLUMN(기본데이타!AW$8),0))</f>
        <v/>
      </c>
      <c r="W19" s="16" t="str">
        <f>IF($A19="","",VLOOKUP($A19,기본데이타!$A$8:$BV$103,COLUMN(기본데이타!AX$8),0))</f>
        <v/>
      </c>
      <c r="X19" s="16" t="str">
        <f>IF($A19="","",VLOOKUP($A19,기본데이타!$A$8:$BV$103,COLUMN(기본데이타!AY$8),0))</f>
        <v/>
      </c>
      <c r="Y19" s="16" t="str">
        <f>IF($A19="","",VLOOKUP($A19,기본데이타!$A$8:$BV$103,COLUMN(기본데이타!AZ$8),0))</f>
        <v/>
      </c>
      <c r="Z19" s="17" t="str">
        <f>IF($A19="","",VLOOKUP($A19,기본데이타!$A$8:$BV$103,COLUMN(기본데이타!BN$8),0))</f>
        <v/>
      </c>
      <c r="AA19" s="17" t="str">
        <f>IF($A19="","",VLOOKUP($A19,기본데이타!$A$8:$BV$103,COLUMN(기본데이타!BO$8),0))</f>
        <v/>
      </c>
      <c r="AB19" s="17" t="str">
        <f>IF($A19="","",VLOOKUP($A19,기본데이타!$A$8:$BV$103,COLUMN(기본데이타!BP$8),0))</f>
        <v/>
      </c>
      <c r="AC19" s="17" t="str">
        <f>IF($A19="","",VLOOKUP($A19,기본데이타!$A$8:$BV$103,COLUMN(기본데이타!BQ$8),0))</f>
        <v/>
      </c>
      <c r="AD19" s="17" t="str">
        <f>IF($A19="","",VLOOKUP($A19,기본데이타!$A$8:$BV$103,COLUMN(기본데이타!BR$8),0))</f>
        <v/>
      </c>
      <c r="AE19" s="17" t="str">
        <f>IF($A19="","",VLOOKUP($A19,기본데이타!$A$8:$BV$103,COLUMN(기본데이타!BS$8),0))</f>
        <v/>
      </c>
      <c r="AF19" s="524" t="str">
        <f>IF($A19="","",VLOOKUP($A19,기본데이타!$A$8:$BV$103,COLUMN(기본데이타!BT$8),0))</f>
        <v/>
      </c>
      <c r="AG19" s="432" t="str">
        <f>IF($A19="","",VLOOKUP($A19,기본데이타!$A$8:$BV$103,COLUMN(기본데이타!BU$8),0))</f>
        <v/>
      </c>
      <c r="AH19" s="18" t="str">
        <f t="shared" ref="AH19" si="10">IF(A19="","",A19)</f>
        <v/>
      </c>
    </row>
    <row r="20" spans="1:35" s="187" customFormat="1" ht="35.1" hidden="1" customHeight="1">
      <c r="A20" s="189"/>
      <c r="C20" s="190"/>
      <c r="D20" s="8"/>
      <c r="E20" s="252"/>
      <c r="F20" s="9"/>
      <c r="G20" s="9"/>
      <c r="H20" s="9"/>
      <c r="I20" s="17"/>
      <c r="J20" s="386"/>
      <c r="K20" s="386"/>
      <c r="L20" s="386"/>
      <c r="M20" s="386"/>
      <c r="N20" s="386"/>
      <c r="O20" s="386"/>
      <c r="P20" s="386"/>
      <c r="Q20" s="386"/>
      <c r="R20" s="386"/>
      <c r="S20" s="386"/>
      <c r="T20" s="386"/>
      <c r="U20" s="386"/>
      <c r="V20" s="16"/>
      <c r="W20" s="16"/>
      <c r="X20" s="16"/>
      <c r="Y20" s="16"/>
      <c r="Z20" s="17"/>
      <c r="AA20" s="17"/>
      <c r="AB20" s="17"/>
      <c r="AC20" s="17"/>
      <c r="AD20" s="17"/>
      <c r="AE20" s="17"/>
      <c r="AF20" s="524"/>
      <c r="AG20" s="432"/>
      <c r="AH20" s="18"/>
    </row>
    <row r="21" spans="1:35" s="187" customFormat="1" ht="35.1" hidden="1" customHeight="1">
      <c r="A21" s="189"/>
      <c r="C21" s="190"/>
      <c r="D21" s="8"/>
      <c r="E21" s="252"/>
      <c r="F21" s="9"/>
      <c r="G21" s="9"/>
      <c r="H21" s="9"/>
      <c r="I21" s="17"/>
      <c r="J21" s="386"/>
      <c r="K21" s="386"/>
      <c r="L21" s="386"/>
      <c r="M21" s="386"/>
      <c r="N21" s="386"/>
      <c r="O21" s="386"/>
      <c r="P21" s="386"/>
      <c r="Q21" s="386"/>
      <c r="R21" s="386"/>
      <c r="S21" s="386"/>
      <c r="T21" s="386"/>
      <c r="U21" s="386"/>
      <c r="V21" s="16"/>
      <c r="W21" s="16"/>
      <c r="X21" s="16"/>
      <c r="Y21" s="16"/>
      <c r="Z21" s="17"/>
      <c r="AA21" s="17"/>
      <c r="AB21" s="17"/>
      <c r="AC21" s="17"/>
      <c r="AD21" s="17"/>
      <c r="AE21" s="17"/>
      <c r="AF21" s="524"/>
      <c r="AG21" s="432"/>
      <c r="AH21" s="18"/>
    </row>
    <row r="22" spans="1:35" s="187" customFormat="1" ht="35.1" hidden="1" customHeight="1">
      <c r="A22" s="189"/>
      <c r="C22" s="190"/>
      <c r="D22" s="8"/>
      <c r="E22" s="252"/>
      <c r="F22" s="9"/>
      <c r="G22" s="9"/>
      <c r="H22" s="9"/>
      <c r="I22" s="17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16"/>
      <c r="W22" s="16"/>
      <c r="X22" s="16"/>
      <c r="Y22" s="16"/>
      <c r="Z22" s="17"/>
      <c r="AA22" s="17"/>
      <c r="AB22" s="17"/>
      <c r="AC22" s="17"/>
      <c r="AD22" s="17"/>
      <c r="AE22" s="17"/>
      <c r="AF22" s="524"/>
      <c r="AG22" s="432"/>
      <c r="AH22" s="18"/>
    </row>
    <row r="23" spans="1:35" s="187" customFormat="1" ht="34.5" hidden="1" customHeight="1">
      <c r="A23" s="189"/>
      <c r="C23" s="190"/>
      <c r="D23" s="8"/>
      <c r="E23" s="252"/>
      <c r="F23" s="9"/>
      <c r="G23" s="9"/>
      <c r="H23" s="9"/>
      <c r="I23" s="17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16"/>
      <c r="W23" s="16"/>
      <c r="X23" s="16"/>
      <c r="Y23" s="16"/>
      <c r="Z23" s="17"/>
      <c r="AA23" s="17"/>
      <c r="AB23" s="17"/>
      <c r="AC23" s="17"/>
      <c r="AD23" s="17"/>
      <c r="AE23" s="17"/>
      <c r="AF23" s="524"/>
      <c r="AG23" s="432"/>
      <c r="AH23" s="18"/>
    </row>
    <row r="24" spans="1:35" s="187" customFormat="1" ht="35.1" hidden="1" customHeight="1">
      <c r="A24" s="189"/>
      <c r="C24" s="190"/>
      <c r="D24" s="8"/>
      <c r="E24" s="252"/>
      <c r="F24" s="9"/>
      <c r="G24" s="9"/>
      <c r="H24" s="9"/>
      <c r="I24" s="17"/>
      <c r="J24" s="386"/>
      <c r="K24" s="386"/>
      <c r="L24" s="386"/>
      <c r="M24" s="386"/>
      <c r="N24" s="386"/>
      <c r="O24" s="386"/>
      <c r="P24" s="386"/>
      <c r="Q24" s="386"/>
      <c r="R24" s="386"/>
      <c r="S24" s="386"/>
      <c r="T24" s="386"/>
      <c r="U24" s="386"/>
      <c r="V24" s="16"/>
      <c r="W24" s="16"/>
      <c r="X24" s="16"/>
      <c r="Y24" s="16"/>
      <c r="Z24" s="17"/>
      <c r="AA24" s="17"/>
      <c r="AB24" s="17"/>
      <c r="AC24" s="17"/>
      <c r="AD24" s="17"/>
      <c r="AE24" s="17"/>
      <c r="AF24" s="524"/>
      <c r="AG24" s="432"/>
      <c r="AH24" s="18"/>
    </row>
    <row r="25" spans="1:35" s="187" customFormat="1" ht="35.1" hidden="1" customHeight="1">
      <c r="A25" s="189"/>
      <c r="C25" s="190"/>
      <c r="D25" s="8"/>
      <c r="E25" s="252"/>
      <c r="F25" s="9"/>
      <c r="G25" s="9"/>
      <c r="H25" s="9"/>
      <c r="I25" s="17"/>
      <c r="J25" s="386"/>
      <c r="K25" s="386"/>
      <c r="L25" s="386"/>
      <c r="M25" s="386"/>
      <c r="N25" s="386"/>
      <c r="O25" s="386"/>
      <c r="P25" s="386"/>
      <c r="Q25" s="386"/>
      <c r="R25" s="386"/>
      <c r="S25" s="386"/>
      <c r="T25" s="386"/>
      <c r="U25" s="386"/>
      <c r="V25" s="16"/>
      <c r="W25" s="16"/>
      <c r="X25" s="16"/>
      <c r="Y25" s="16"/>
      <c r="Z25" s="17"/>
      <c r="AA25" s="17"/>
      <c r="AB25" s="17"/>
      <c r="AC25" s="17"/>
      <c r="AD25" s="17"/>
      <c r="AE25" s="17"/>
      <c r="AF25" s="524"/>
      <c r="AG25" s="432"/>
      <c r="AH25" s="18"/>
    </row>
    <row r="26" spans="1:35" s="187" customFormat="1" ht="35.1" hidden="1" customHeight="1">
      <c r="A26" s="189"/>
      <c r="C26" s="190"/>
      <c r="D26" s="8"/>
      <c r="E26" s="252"/>
      <c r="F26" s="9"/>
      <c r="G26" s="9"/>
      <c r="H26" s="9"/>
      <c r="I26" s="17"/>
      <c r="J26" s="386"/>
      <c r="K26" s="386"/>
      <c r="L26" s="386"/>
      <c r="M26" s="386"/>
      <c r="N26" s="386"/>
      <c r="O26" s="386"/>
      <c r="P26" s="386"/>
      <c r="Q26" s="386"/>
      <c r="R26" s="386"/>
      <c r="S26" s="386"/>
      <c r="T26" s="386"/>
      <c r="U26" s="386"/>
      <c r="V26" s="16"/>
      <c r="W26" s="16"/>
      <c r="X26" s="16"/>
      <c r="Y26" s="16"/>
      <c r="Z26" s="17"/>
      <c r="AA26" s="17"/>
      <c r="AB26" s="17"/>
      <c r="AC26" s="17"/>
      <c r="AD26" s="17"/>
      <c r="AE26" s="17"/>
      <c r="AF26" s="524"/>
      <c r="AG26" s="432"/>
      <c r="AH26" s="18"/>
    </row>
    <row r="27" spans="1:35" s="187" customFormat="1" ht="35.1" hidden="1" customHeight="1">
      <c r="A27" s="189"/>
      <c r="C27" s="190"/>
      <c r="D27" s="8"/>
      <c r="E27" s="252"/>
      <c r="F27" s="9"/>
      <c r="G27" s="9"/>
      <c r="H27" s="9"/>
      <c r="I27" s="17"/>
      <c r="J27" s="386"/>
      <c r="K27" s="386"/>
      <c r="L27" s="386"/>
      <c r="M27" s="386"/>
      <c r="N27" s="386"/>
      <c r="O27" s="386"/>
      <c r="P27" s="386"/>
      <c r="Q27" s="386"/>
      <c r="R27" s="386"/>
      <c r="S27" s="386"/>
      <c r="T27" s="386"/>
      <c r="U27" s="386"/>
      <c r="V27" s="16"/>
      <c r="W27" s="16"/>
      <c r="X27" s="16"/>
      <c r="Y27" s="16"/>
      <c r="Z27" s="17"/>
      <c r="AA27" s="17"/>
      <c r="AB27" s="17"/>
      <c r="AC27" s="17"/>
      <c r="AD27" s="17"/>
      <c r="AE27" s="17"/>
      <c r="AF27" s="524"/>
      <c r="AG27" s="432"/>
      <c r="AH27" s="18"/>
    </row>
    <row r="28" spans="1:35" s="187" customFormat="1" ht="35.1" hidden="1" customHeight="1">
      <c r="A28" s="189"/>
      <c r="C28" s="190"/>
      <c r="D28" s="8"/>
      <c r="E28" s="252"/>
      <c r="F28" s="9"/>
      <c r="G28" s="9"/>
      <c r="H28" s="9"/>
      <c r="I28" s="17"/>
      <c r="J28" s="386"/>
      <c r="K28" s="386"/>
      <c r="L28" s="386"/>
      <c r="M28" s="386"/>
      <c r="N28" s="386"/>
      <c r="O28" s="386"/>
      <c r="P28" s="386"/>
      <c r="Q28" s="386"/>
      <c r="R28" s="386"/>
      <c r="S28" s="386"/>
      <c r="T28" s="386"/>
      <c r="U28" s="386"/>
      <c r="V28" s="16"/>
      <c r="W28" s="16"/>
      <c r="X28" s="16"/>
      <c r="Y28" s="16"/>
      <c r="Z28" s="17"/>
      <c r="AA28" s="17"/>
      <c r="AB28" s="17"/>
      <c r="AC28" s="17"/>
      <c r="AD28" s="17"/>
      <c r="AE28" s="17"/>
      <c r="AF28" s="524"/>
      <c r="AG28" s="432"/>
      <c r="AH28" s="18"/>
    </row>
    <row r="29" spans="1:35" s="187" customFormat="1" ht="35.1" hidden="1" customHeight="1">
      <c r="A29" s="189"/>
      <c r="C29" s="190"/>
      <c r="D29" s="8"/>
      <c r="E29" s="252"/>
      <c r="F29" s="9"/>
      <c r="G29" s="9"/>
      <c r="H29" s="9"/>
      <c r="I29" s="17"/>
      <c r="J29" s="386"/>
      <c r="K29" s="386"/>
      <c r="L29" s="386"/>
      <c r="M29" s="386"/>
      <c r="N29" s="386"/>
      <c r="O29" s="386"/>
      <c r="P29" s="386"/>
      <c r="Q29" s="386"/>
      <c r="R29" s="386"/>
      <c r="S29" s="386"/>
      <c r="T29" s="386"/>
      <c r="U29" s="386"/>
      <c r="V29" s="16"/>
      <c r="W29" s="16"/>
      <c r="X29" s="16"/>
      <c r="Y29" s="16"/>
      <c r="Z29" s="17"/>
      <c r="AA29" s="17"/>
      <c r="AB29" s="17"/>
      <c r="AC29" s="17"/>
      <c r="AD29" s="17"/>
      <c r="AE29" s="17"/>
      <c r="AF29" s="524"/>
      <c r="AG29" s="432"/>
      <c r="AH29" s="18"/>
    </row>
    <row r="30" spans="1:35" s="187" customFormat="1" ht="34.5" hidden="1" customHeight="1">
      <c r="A30" s="189"/>
      <c r="C30" s="190"/>
      <c r="D30" s="8"/>
      <c r="E30" s="252"/>
      <c r="F30" s="9"/>
      <c r="G30" s="9"/>
      <c r="H30" s="9"/>
      <c r="I30" s="17"/>
      <c r="J30" s="386"/>
      <c r="K30" s="38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16"/>
      <c r="W30" s="16"/>
      <c r="X30" s="16"/>
      <c r="Y30" s="16"/>
      <c r="Z30" s="17"/>
      <c r="AA30" s="17"/>
      <c r="AB30" s="17"/>
      <c r="AC30" s="17"/>
      <c r="AD30" s="17"/>
      <c r="AE30" s="17"/>
      <c r="AF30" s="524"/>
      <c r="AG30" s="432"/>
      <c r="AH30" s="18"/>
    </row>
    <row r="31" spans="1:35" s="187" customFormat="1" ht="35.1" customHeight="1">
      <c r="A31" s="189"/>
      <c r="C31" s="190"/>
      <c r="D31" s="8"/>
      <c r="E31" s="252"/>
      <c r="F31" s="9"/>
      <c r="G31" s="9"/>
      <c r="H31" s="9"/>
      <c r="I31" s="17"/>
      <c r="J31" s="386"/>
      <c r="K31" s="386"/>
      <c r="L31" s="386"/>
      <c r="M31" s="386"/>
      <c r="N31" s="386"/>
      <c r="O31" s="386"/>
      <c r="P31" s="386"/>
      <c r="Q31" s="386"/>
      <c r="R31" s="386"/>
      <c r="S31" s="386"/>
      <c r="T31" s="386"/>
      <c r="U31" s="386"/>
      <c r="V31" s="16"/>
      <c r="W31" s="16"/>
      <c r="X31" s="16"/>
      <c r="Y31" s="16"/>
      <c r="Z31" s="17"/>
      <c r="AA31" s="17"/>
      <c r="AB31" s="17"/>
      <c r="AC31" s="17"/>
      <c r="AD31" s="17"/>
      <c r="AE31" s="17"/>
      <c r="AF31" s="524"/>
      <c r="AG31" s="432"/>
      <c r="AH31" s="18"/>
    </row>
    <row r="32" spans="1:35" s="187" customFormat="1" ht="35.1" customHeight="1">
      <c r="A32" s="189"/>
      <c r="C32" s="193"/>
      <c r="D32" s="308">
        <f>COUNTA(A15:A31)</f>
        <v>1</v>
      </c>
      <c r="E32" s="309">
        <f t="shared" ref="E32:AC32" si="11">SUM(E15:E31)</f>
        <v>8</v>
      </c>
      <c r="F32" s="310">
        <f t="shared" si="11"/>
        <v>33889000</v>
      </c>
      <c r="G32" s="310">
        <f t="shared" si="11"/>
        <v>0</v>
      </c>
      <c r="H32" s="310">
        <f t="shared" si="11"/>
        <v>33889000</v>
      </c>
      <c r="I32" s="311">
        <f t="shared" si="11"/>
        <v>450</v>
      </c>
      <c r="J32" s="379">
        <f t="shared" si="11"/>
        <v>0</v>
      </c>
      <c r="K32" s="379">
        <f t="shared" si="11"/>
        <v>1908</v>
      </c>
      <c r="L32" s="379">
        <f t="shared" si="11"/>
        <v>0</v>
      </c>
      <c r="M32" s="379">
        <f t="shared" si="11"/>
        <v>0</v>
      </c>
      <c r="N32" s="379">
        <f t="shared" si="11"/>
        <v>0</v>
      </c>
      <c r="O32" s="379">
        <f t="shared" si="11"/>
        <v>0</v>
      </c>
      <c r="P32" s="379">
        <f t="shared" si="11"/>
        <v>0</v>
      </c>
      <c r="Q32" s="379">
        <f t="shared" si="11"/>
        <v>0</v>
      </c>
      <c r="R32" s="379">
        <f t="shared" ref="R32:S32" si="12">SUM(R15:R31)</f>
        <v>0</v>
      </c>
      <c r="S32" s="379">
        <f t="shared" si="12"/>
        <v>0</v>
      </c>
      <c r="T32" s="379">
        <f t="shared" ref="T32" si="13">SUM(T15:T31)</f>
        <v>0</v>
      </c>
      <c r="U32" s="379">
        <f t="shared" si="11"/>
        <v>1908</v>
      </c>
      <c r="V32" s="312">
        <f t="shared" si="11"/>
        <v>43368840</v>
      </c>
      <c r="W32" s="312">
        <f t="shared" si="11"/>
        <v>0</v>
      </c>
      <c r="X32" s="312">
        <f t="shared" si="11"/>
        <v>0</v>
      </c>
      <c r="Y32" s="312">
        <f t="shared" si="11"/>
        <v>43368840</v>
      </c>
      <c r="Z32" s="311">
        <f t="shared" si="11"/>
        <v>11782800</v>
      </c>
      <c r="AA32" s="311">
        <f t="shared" si="11"/>
        <v>278499439</v>
      </c>
      <c r="AB32" s="311">
        <f t="shared" si="11"/>
        <v>245665488</v>
      </c>
      <c r="AC32" s="311">
        <f t="shared" si="11"/>
        <v>32833951</v>
      </c>
      <c r="AD32" s="313"/>
      <c r="AE32" s="314">
        <f>IF(COUNTA(AE15:AE31)=1,AE15,용도별분석!BQ11)</f>
        <v>336399580.65493071</v>
      </c>
      <c r="AF32" s="808">
        <f>용도별분석!BR11</f>
        <v>80.658150909601218</v>
      </c>
      <c r="AG32" s="434">
        <f>용도별분석!BS11</f>
        <v>5962.5</v>
      </c>
      <c r="AH32" s="298" t="str">
        <f t="shared" si="7"/>
        <v/>
      </c>
      <c r="AI32" s="264">
        <f>AE32-SUM(AE15:AE31)</f>
        <v>-0.3450692892074585</v>
      </c>
    </row>
    <row r="33" spans="1:35" s="187" customFormat="1" ht="35.1" hidden="1" customHeight="1">
      <c r="A33" s="189"/>
      <c r="C33" s="194" t="s">
        <v>114</v>
      </c>
      <c r="D33" s="247" t="str">
        <f>IF($A33="","",VLOOKUP($A33,기본데이타!$A$8:$BV$103,COLUMN(기본데이타!F$8),0))</f>
        <v/>
      </c>
      <c r="E33" s="248" t="str">
        <f>IF($A33="","",VLOOKUP($A33,기본데이타!$A$8:$BV$103,COLUMN(기본데이타!G$8),0))</f>
        <v/>
      </c>
      <c r="F33" s="249" t="str">
        <f>IF($A33="","",VLOOKUP($A33,기본데이타!$A$8:$BV$103,COLUMN(기본데이타!H$8),0))</f>
        <v/>
      </c>
      <c r="G33" s="249" t="str">
        <f>IF($A33="","",VLOOKUP($A33,기본데이타!$A$8:$BV$103,COLUMN(기본데이타!I$8),0))</f>
        <v/>
      </c>
      <c r="H33" s="249" t="str">
        <f>IF($A33="","",VLOOKUP($A33,기본데이타!$A$8:$BV$103,COLUMN(기본데이타!J$8),0))</f>
        <v/>
      </c>
      <c r="I33" s="250" t="str">
        <f>IF($A33="","",VLOOKUP($A33,기본데이타!$A$8:$BV$103,COLUMN(기본데이타!AJ$8),0))</f>
        <v/>
      </c>
      <c r="J33" s="386" t="str">
        <f>IF($A33="","",VLOOKUP($A33,기본데이타!$A$8:$BV$103,COLUMN(기본데이타!AK$8),0))</f>
        <v/>
      </c>
      <c r="K33" s="386" t="str">
        <f>IF($A33="","",VLOOKUP($A33,기본데이타!$A$8:$BV$103,COLUMN(기본데이타!AL$8),0))</f>
        <v/>
      </c>
      <c r="L33" s="386" t="str">
        <f>IF($A33="","",VLOOKUP($A33,기본데이타!$A$8:$BV$103,COLUMN(기본데이타!AM$8),0))</f>
        <v/>
      </c>
      <c r="M33" s="386" t="str">
        <f>IF($A33="","",VLOOKUP($A33,기본데이타!$A$8:$BV$103,COLUMN(기본데이타!AN$8),0))</f>
        <v/>
      </c>
      <c r="N33" s="386" t="str">
        <f>IF($A33="","",VLOOKUP($A33,기본데이타!$A$8:$BV$103,COLUMN(기본데이타!AO$8),0))</f>
        <v/>
      </c>
      <c r="O33" s="386" t="str">
        <f>IF($A33="","",VLOOKUP($A33,기본데이타!$A$8:$BV$103,COLUMN(기본데이타!AP$8),0))</f>
        <v/>
      </c>
      <c r="P33" s="386" t="str">
        <f>IF($A33="","",VLOOKUP($A33,기본데이타!$A$8:$BV$103,COLUMN(기본데이타!AQ$8),0))</f>
        <v/>
      </c>
      <c r="Q33" s="386" t="str">
        <f>IF($A33="","",VLOOKUP($A33,기본데이타!$A$8:$BV$103,COLUMN(기본데이타!AR$8),0))</f>
        <v/>
      </c>
      <c r="R33" s="386" t="str">
        <f>IF($A33="","",VLOOKUP($A33,기본데이타!$A$8:$BV$103,COLUMN(기본데이타!AS$8),0))</f>
        <v/>
      </c>
      <c r="S33" s="386" t="str">
        <f>IF($A33="","",VLOOKUP($A33,기본데이타!$A$8:$BV$103,COLUMN(기본데이타!AT$8),0))</f>
        <v/>
      </c>
      <c r="T33" s="386" t="str">
        <f>IF($A33="","",VLOOKUP($A33,기본데이타!$A$8:$BV$103,COLUMN(기본데이타!AU$8),0))</f>
        <v/>
      </c>
      <c r="U33" s="386" t="str">
        <f>IF($A33="","",VLOOKUP($A33,기본데이타!$A$8:$BV$103,COLUMN(기본데이타!AV$8),0))</f>
        <v/>
      </c>
      <c r="V33" s="188" t="str">
        <f>IF($A33="","",VLOOKUP($A33,기본데이타!$A$8:$BV$103,COLUMN(기본데이타!AW$8),0))</f>
        <v/>
      </c>
      <c r="W33" s="188" t="str">
        <f>IF($A33="","",VLOOKUP($A33,기본데이타!$A$8:$BV$103,COLUMN(기본데이타!AX$8),0))</f>
        <v/>
      </c>
      <c r="X33" s="188" t="str">
        <f>IF($A33="","",VLOOKUP($A33,기본데이타!$A$8:$BV$103,COLUMN(기본데이타!AY$8),0))</f>
        <v/>
      </c>
      <c r="Y33" s="188" t="str">
        <f>IF($A33="","",VLOOKUP($A33,기본데이타!$A$8:$BV$103,COLUMN(기본데이타!AZ$8),0))</f>
        <v/>
      </c>
      <c r="Z33" s="250" t="str">
        <f>IF($A33="","",VLOOKUP($A33,기본데이타!$A$8:$BV$103,COLUMN(기본데이타!BN$8),0))</f>
        <v/>
      </c>
      <c r="AA33" s="250" t="str">
        <f>IF($A33="","",VLOOKUP($A33,기본데이타!$A$8:$BV$103,COLUMN(기본데이타!BO$8),0))</f>
        <v/>
      </c>
      <c r="AB33" s="250" t="str">
        <f>IF($A33="","",VLOOKUP($A33,기본데이타!$A$8:$BV$103,COLUMN(기본데이타!BP$8),0))</f>
        <v/>
      </c>
      <c r="AC33" s="250" t="str">
        <f>IF($A33="","",VLOOKUP($A33,기본데이타!$A$8:$BV$103,COLUMN(기본데이타!BQ$8),0))</f>
        <v/>
      </c>
      <c r="AD33" s="250" t="str">
        <f>IF($A33="","",VLOOKUP($A33,기본데이타!$A$8:$BV$103,COLUMN(기본데이타!BR$8),0))</f>
        <v/>
      </c>
      <c r="AE33" s="250" t="str">
        <f>IF($A33="","",VLOOKUP($A33,기본데이타!$A$8:$BV$103,COLUMN(기본데이타!BS$8),0))</f>
        <v/>
      </c>
      <c r="AF33" s="523" t="str">
        <f>IF($A33="","",VLOOKUP($A33,기본데이타!$A$8:$BV$103,COLUMN(기본데이타!BT$8),0))</f>
        <v/>
      </c>
      <c r="AG33" s="435" t="str">
        <f>IF($A33="","",VLOOKUP($A33,기본데이타!$A$8:$BV$103,COLUMN(기본데이타!BU$8),0))</f>
        <v/>
      </c>
      <c r="AH33" s="251" t="str">
        <f t="shared" si="7"/>
        <v/>
      </c>
    </row>
    <row r="34" spans="1:35" s="187" customFormat="1" ht="35.1" hidden="1" customHeight="1">
      <c r="A34" s="189"/>
      <c r="C34" s="190"/>
      <c r="D34" s="1209" t="str">
        <f>IF($A34="","",VLOOKUP($A34,기본데이타!$A$8:$BV$103,COLUMN(기본데이타!F$8),0))</f>
        <v/>
      </c>
      <c r="E34" s="252" t="str">
        <f>IF($A34="","",VLOOKUP($A34,기본데이타!$A$8:$BV$103,COLUMN(기본데이타!G$8),0))</f>
        <v/>
      </c>
      <c r="F34" s="15" t="str">
        <f>IF($A34="","",VLOOKUP($A34,기본데이타!$A$8:$BV$103,COLUMN(기본데이타!H$8),0))</f>
        <v/>
      </c>
      <c r="G34" s="15" t="str">
        <f>IF($A34="","",VLOOKUP($A34,기본데이타!$A$8:$BV$103,COLUMN(기본데이타!I$8),0))</f>
        <v/>
      </c>
      <c r="H34" s="15" t="str">
        <f>IF($A34="","",VLOOKUP($A34,기본데이타!$A$8:$BV$103,COLUMN(기본데이타!J$8),0))</f>
        <v/>
      </c>
      <c r="I34" s="17" t="str">
        <f>IF($A34="","",VLOOKUP($A34,기본데이타!$A$8:$BV$103,COLUMN(기본데이타!AJ$8),0))</f>
        <v/>
      </c>
      <c r="J34" s="386" t="str">
        <f>IF($A34="","",VLOOKUP($A34,기본데이타!$A$8:$BV$103,COLUMN(기본데이타!AK$8),0))</f>
        <v/>
      </c>
      <c r="K34" s="386" t="str">
        <f>IF($A34="","",VLOOKUP($A34,기본데이타!$A$8:$BV$103,COLUMN(기본데이타!AL$8),0))</f>
        <v/>
      </c>
      <c r="L34" s="386" t="str">
        <f>IF($A34="","",VLOOKUP($A34,기본데이타!$A$8:$BV$103,COLUMN(기본데이타!AM$8),0))</f>
        <v/>
      </c>
      <c r="M34" s="386" t="str">
        <f>IF($A34="","",VLOOKUP($A34,기본데이타!$A$8:$BV$103,COLUMN(기본데이타!AN$8),0))</f>
        <v/>
      </c>
      <c r="N34" s="386" t="str">
        <f>IF($A34="","",VLOOKUP($A34,기본데이타!$A$8:$BV$103,COLUMN(기본데이타!AO$8),0))</f>
        <v/>
      </c>
      <c r="O34" s="386" t="str">
        <f>IF($A34="","",VLOOKUP($A34,기본데이타!$A$8:$BV$103,COLUMN(기본데이타!AP$8),0))</f>
        <v/>
      </c>
      <c r="P34" s="386" t="str">
        <f>IF($A34="","",VLOOKUP($A34,기본데이타!$A$8:$BV$103,COLUMN(기본데이타!AQ$8),0))</f>
        <v/>
      </c>
      <c r="Q34" s="386" t="str">
        <f>IF($A34="","",VLOOKUP($A34,기본데이타!$A$8:$BV$103,COLUMN(기본데이타!AR$8),0))</f>
        <v/>
      </c>
      <c r="R34" s="386" t="str">
        <f>IF($A34="","",VLOOKUP($A34,기본데이타!$A$8:$BV$103,COLUMN(기본데이타!AS$8),0))</f>
        <v/>
      </c>
      <c r="S34" s="386" t="str">
        <f>IF($A34="","",VLOOKUP($A34,기본데이타!$A$8:$BV$103,COLUMN(기본데이타!AT$8),0))</f>
        <v/>
      </c>
      <c r="T34" s="386" t="str">
        <f>IF($A34="","",VLOOKUP($A34,기본데이타!$A$8:$BV$103,COLUMN(기본데이타!AU$8),0))</f>
        <v/>
      </c>
      <c r="U34" s="386" t="str">
        <f>IF($A34="","",VLOOKUP($A34,기본데이타!$A$8:$BV$103,COLUMN(기본데이타!AV$8),0))</f>
        <v/>
      </c>
      <c r="V34" s="16" t="str">
        <f>IF($A34="","",VLOOKUP($A34,기본데이타!$A$8:$BV$103,COLUMN(기본데이타!AW$8),0))</f>
        <v/>
      </c>
      <c r="W34" s="16" t="str">
        <f>IF($A34="","",VLOOKUP($A34,기본데이타!$A$8:$BV$103,COLUMN(기본데이타!AX$8),0))</f>
        <v/>
      </c>
      <c r="X34" s="16" t="str">
        <f>IF($A34="","",VLOOKUP($A34,기본데이타!$A$8:$BV$103,COLUMN(기본데이타!AY$8),0))</f>
        <v/>
      </c>
      <c r="Y34" s="16" t="str">
        <f>IF($A34="","",VLOOKUP($A34,기본데이타!$A$8:$BV$103,COLUMN(기본데이타!AZ$8),0))</f>
        <v/>
      </c>
      <c r="Z34" s="17" t="str">
        <f>IF($A34="","",VLOOKUP($A34,기본데이타!$A$8:$BV$103,COLUMN(기본데이타!BN$8),0))</f>
        <v/>
      </c>
      <c r="AA34" s="17" t="str">
        <f>IF($A34="","",VLOOKUP($A34,기본데이타!$A$8:$BV$103,COLUMN(기본데이타!BO$8),0))</f>
        <v/>
      </c>
      <c r="AB34" s="17" t="str">
        <f>IF($A34="","",VLOOKUP($A34,기본데이타!$A$8:$BV$103,COLUMN(기본데이타!BP$8),0))</f>
        <v/>
      </c>
      <c r="AC34" s="17" t="str">
        <f>IF($A34="","",VLOOKUP($A34,기본데이타!$A$8:$BV$103,COLUMN(기본데이타!BQ$8),0))</f>
        <v/>
      </c>
      <c r="AD34" s="17" t="str">
        <f>IF($A34="","",VLOOKUP($A34,기본데이타!$A$8:$BV$103,COLUMN(기본데이타!BR$8),0))</f>
        <v/>
      </c>
      <c r="AE34" s="17" t="str">
        <f>IF($A34="","",VLOOKUP($A34,기본데이타!$A$8:$BV$103,COLUMN(기본데이타!BS$8),0))</f>
        <v/>
      </c>
      <c r="AF34" s="524" t="str">
        <f>IF($A34="","",VLOOKUP($A34,기본데이타!$A$8:$BV$103,COLUMN(기본데이타!BT$8),0))</f>
        <v/>
      </c>
      <c r="AG34" s="432" t="str">
        <f>IF($A34="","",VLOOKUP($A34,기본데이타!$A$8:$BV$103,COLUMN(기본데이타!BU$8),0))</f>
        <v/>
      </c>
      <c r="AH34" s="18" t="str">
        <f t="shared" ref="AH34:AH43" si="14">IF(A34="","",A34)</f>
        <v/>
      </c>
    </row>
    <row r="35" spans="1:35" s="187" customFormat="1" ht="35.1" hidden="1" customHeight="1">
      <c r="A35" s="189"/>
      <c r="C35" s="190"/>
      <c r="D35" s="8" t="str">
        <f>IF($A35="","",VLOOKUP($A35,기본데이타!$A$8:$BV$103,COLUMN(기본데이타!F$8),0))</f>
        <v/>
      </c>
      <c r="E35" s="252" t="str">
        <f>IF($A35="","",VLOOKUP($A35,기본데이타!$A$8:$BV$103,COLUMN(기본데이타!G$8),0))</f>
        <v/>
      </c>
      <c r="F35" s="15" t="str">
        <f>IF($A35="","",VLOOKUP($A35,기본데이타!$A$8:$BV$103,COLUMN(기본데이타!H$8),0))</f>
        <v/>
      </c>
      <c r="G35" s="15" t="str">
        <f>IF($A35="","",VLOOKUP($A35,기본데이타!$A$8:$BV$103,COLUMN(기본데이타!I$8),0))</f>
        <v/>
      </c>
      <c r="H35" s="15" t="str">
        <f>IF($A35="","",VLOOKUP($A35,기본데이타!$A$8:$BV$103,COLUMN(기본데이타!J$8),0))</f>
        <v/>
      </c>
      <c r="I35" s="17" t="str">
        <f>IF($A35="","",VLOOKUP($A35,기본데이타!$A$8:$BV$103,COLUMN(기본데이타!AJ$8),0))</f>
        <v/>
      </c>
      <c r="J35" s="386" t="str">
        <f>IF($A35="","",VLOOKUP($A35,기본데이타!$A$8:$BV$103,COLUMN(기본데이타!AK$8),0))</f>
        <v/>
      </c>
      <c r="K35" s="386" t="str">
        <f>IF($A35="","",VLOOKUP($A35,기본데이타!$A$8:$BV$103,COLUMN(기본데이타!AL$8),0))</f>
        <v/>
      </c>
      <c r="L35" s="386" t="str">
        <f>IF($A35="","",VLOOKUP($A35,기본데이타!$A$8:$BV$103,COLUMN(기본데이타!AM$8),0))</f>
        <v/>
      </c>
      <c r="M35" s="386" t="str">
        <f>IF($A35="","",VLOOKUP($A35,기본데이타!$A$8:$BV$103,COLUMN(기본데이타!AN$8),0))</f>
        <v/>
      </c>
      <c r="N35" s="386" t="str">
        <f>IF($A35="","",VLOOKUP($A35,기본데이타!$A$8:$BV$103,COLUMN(기본데이타!AO$8),0))</f>
        <v/>
      </c>
      <c r="O35" s="386" t="str">
        <f>IF($A35="","",VLOOKUP($A35,기본데이타!$A$8:$BV$103,COLUMN(기본데이타!AP$8),0))</f>
        <v/>
      </c>
      <c r="P35" s="386" t="str">
        <f>IF($A35="","",VLOOKUP($A35,기본데이타!$A$8:$BV$103,COLUMN(기본데이타!AQ$8),0))</f>
        <v/>
      </c>
      <c r="Q35" s="386" t="str">
        <f>IF($A35="","",VLOOKUP($A35,기본데이타!$A$8:$BV$103,COLUMN(기본데이타!AR$8),0))</f>
        <v/>
      </c>
      <c r="R35" s="386" t="str">
        <f>IF($A35="","",VLOOKUP($A35,기본데이타!$A$8:$BV$103,COLUMN(기본데이타!AS$8),0))</f>
        <v/>
      </c>
      <c r="S35" s="386" t="str">
        <f>IF($A35="","",VLOOKUP($A35,기본데이타!$A$8:$BV$103,COLUMN(기본데이타!AT$8),0))</f>
        <v/>
      </c>
      <c r="T35" s="386" t="str">
        <f>IF($A35="","",VLOOKUP($A35,기본데이타!$A$8:$BV$103,COLUMN(기본데이타!AU$8),0))</f>
        <v/>
      </c>
      <c r="U35" s="386" t="str">
        <f>IF($A35="","",VLOOKUP($A35,기본데이타!$A$8:$BV$103,COLUMN(기본데이타!AV$8),0))</f>
        <v/>
      </c>
      <c r="V35" s="16" t="str">
        <f>IF($A35="","",VLOOKUP($A35,기본데이타!$A$8:$BV$103,COLUMN(기본데이타!AW$8),0))</f>
        <v/>
      </c>
      <c r="W35" s="16" t="str">
        <f>IF($A35="","",VLOOKUP($A35,기본데이타!$A$8:$BV$103,COLUMN(기본데이타!AX$8),0))</f>
        <v/>
      </c>
      <c r="X35" s="16" t="str">
        <f>IF($A35="","",VLOOKUP($A35,기본데이타!$A$8:$BV$103,COLUMN(기본데이타!AY$8),0))</f>
        <v/>
      </c>
      <c r="Y35" s="16" t="str">
        <f>IF($A35="","",VLOOKUP($A35,기본데이타!$A$8:$BV$103,COLUMN(기본데이타!AZ$8),0))</f>
        <v/>
      </c>
      <c r="Z35" s="17" t="str">
        <f>IF($A35="","",VLOOKUP($A35,기본데이타!$A$8:$BV$103,COLUMN(기본데이타!BN$8),0))</f>
        <v/>
      </c>
      <c r="AA35" s="17" t="str">
        <f>IF($A35="","",VLOOKUP($A35,기본데이타!$A$8:$BV$103,COLUMN(기본데이타!BO$8),0))</f>
        <v/>
      </c>
      <c r="AB35" s="17" t="str">
        <f>IF($A35="","",VLOOKUP($A35,기본데이타!$A$8:$BV$103,COLUMN(기본데이타!BP$8),0))</f>
        <v/>
      </c>
      <c r="AC35" s="17" t="str">
        <f>IF($A35="","",VLOOKUP($A35,기본데이타!$A$8:$BV$103,COLUMN(기본데이타!BQ$8),0))</f>
        <v/>
      </c>
      <c r="AD35" s="17" t="str">
        <f>IF($A35="","",VLOOKUP($A35,기본데이타!$A$8:$BV$103,COLUMN(기본데이타!BR$8),0))</f>
        <v/>
      </c>
      <c r="AE35" s="17" t="str">
        <f>IF($A35="","",VLOOKUP($A35,기본데이타!$A$8:$BV$103,COLUMN(기본데이타!BS$8),0))</f>
        <v/>
      </c>
      <c r="AF35" s="524" t="str">
        <f>IF($A35="","",VLOOKUP($A35,기본데이타!$A$8:$BV$103,COLUMN(기본데이타!BT$8),0))</f>
        <v/>
      </c>
      <c r="AG35" s="432" t="str">
        <f>IF($A35="","",VLOOKUP($A35,기본데이타!$A$8:$BV$103,COLUMN(기본데이타!BU$8),0))</f>
        <v/>
      </c>
      <c r="AH35" s="18" t="str">
        <f t="shared" si="14"/>
        <v/>
      </c>
    </row>
    <row r="36" spans="1:35" s="187" customFormat="1" ht="35.1" hidden="1" customHeight="1">
      <c r="A36" s="189"/>
      <c r="C36" s="190"/>
      <c r="D36" s="8" t="str">
        <f>IF($A36="","",VLOOKUP($A36,기본데이타!$A$10:$BV$103,COLUMN(기본데이타!F$8),0))</f>
        <v/>
      </c>
      <c r="E36" s="252" t="str">
        <f>IF($A36="","",VLOOKUP($A36,기본데이타!$A$8:$BV$103,COLUMN(기본데이타!G$8),0))</f>
        <v/>
      </c>
      <c r="F36" s="15" t="str">
        <f>IF($A36="","",VLOOKUP($A36,기본데이타!$A$8:$BV$103,COLUMN(기본데이타!H$8),0))</f>
        <v/>
      </c>
      <c r="G36" s="15" t="str">
        <f>IF($A36="","",VLOOKUP($A36,기본데이타!$A$8:$BV$103,COLUMN(기본데이타!I$8),0))</f>
        <v/>
      </c>
      <c r="H36" s="15" t="str">
        <f>IF($A36="","",VLOOKUP($A36,기본데이타!$A$8:$BV$103,COLUMN(기본데이타!J$8),0))</f>
        <v/>
      </c>
      <c r="I36" s="17" t="str">
        <f>IF($A36="","",VLOOKUP($A36,기본데이타!$A$8:$BV$103,COLUMN(기본데이타!AJ$8),0))</f>
        <v/>
      </c>
      <c r="J36" s="386" t="str">
        <f>IF($A36="","",VLOOKUP($A36,기본데이타!$A$8:$BV$103,COLUMN(기본데이타!AK$8),0))</f>
        <v/>
      </c>
      <c r="K36" s="386" t="str">
        <f>IF($A36="","",VLOOKUP($A36,기본데이타!$A$8:$BV$103,COLUMN(기본데이타!AL$8),0))</f>
        <v/>
      </c>
      <c r="L36" s="386" t="str">
        <f>IF($A36="","",VLOOKUP($A36,기본데이타!$A$8:$BV$103,COLUMN(기본데이타!AM$8),0))</f>
        <v/>
      </c>
      <c r="M36" s="386" t="str">
        <f>IF($A36="","",VLOOKUP($A36,기본데이타!$A$8:$BV$103,COLUMN(기본데이타!AN$8),0))</f>
        <v/>
      </c>
      <c r="N36" s="386" t="str">
        <f>IF($A36="","",VLOOKUP($A36,기본데이타!$A$8:$BV$103,COLUMN(기본데이타!AO$8),0))</f>
        <v/>
      </c>
      <c r="O36" s="386" t="str">
        <f>IF($A36="","",VLOOKUP($A36,기본데이타!$A$8:$BV$103,COLUMN(기본데이타!AP$8),0))</f>
        <v/>
      </c>
      <c r="P36" s="386" t="str">
        <f>IF($A36="","",VLOOKUP($A36,기본데이타!$A$8:$BV$103,COLUMN(기본데이타!AQ$8),0))</f>
        <v/>
      </c>
      <c r="Q36" s="386" t="str">
        <f>IF($A36="","",VLOOKUP($A36,기본데이타!$A$8:$BV$103,COLUMN(기본데이타!AR$8),0))</f>
        <v/>
      </c>
      <c r="R36" s="386" t="str">
        <f>IF($A36="","",VLOOKUP($A36,기본데이타!$A$8:$BV$103,COLUMN(기본데이타!AS$8),0))</f>
        <v/>
      </c>
      <c r="S36" s="386" t="str">
        <f>IF($A36="","",VLOOKUP($A36,기본데이타!$A$8:$BV$103,COLUMN(기본데이타!AT$8),0))</f>
        <v/>
      </c>
      <c r="T36" s="386" t="str">
        <f>IF($A36="","",VLOOKUP($A36,기본데이타!$A$8:$BV$103,COLUMN(기본데이타!AU$8),0))</f>
        <v/>
      </c>
      <c r="U36" s="386" t="str">
        <f>IF($A36="","",VLOOKUP($A36,기본데이타!$A$8:$BV$103,COLUMN(기본데이타!AV$8),0))</f>
        <v/>
      </c>
      <c r="V36" s="16" t="str">
        <f>IF($A36="","",VLOOKUP($A36,기본데이타!$A$8:$BV$103,COLUMN(기본데이타!AW$8),0))</f>
        <v/>
      </c>
      <c r="W36" s="16" t="str">
        <f>IF($A36="","",VLOOKUP($A36,기본데이타!$A$8:$BV$103,COLUMN(기본데이타!AX$8),0))</f>
        <v/>
      </c>
      <c r="X36" s="16" t="str">
        <f>IF($A36="","",VLOOKUP($A36,기본데이타!$A$8:$BV$103,COLUMN(기본데이타!AY$8),0))</f>
        <v/>
      </c>
      <c r="Y36" s="16" t="str">
        <f>IF($A36="","",VLOOKUP($A36,기본데이타!$A$8:$BV$103,COLUMN(기본데이타!AZ$8),0))</f>
        <v/>
      </c>
      <c r="Z36" s="17" t="str">
        <f>IF($A36="","",VLOOKUP($A36,기본데이타!$A$8:$BV$103,COLUMN(기본데이타!BN$8),0))</f>
        <v/>
      </c>
      <c r="AA36" s="17" t="str">
        <f>IF($A36="","",VLOOKUP($A36,기본데이타!$A$8:$BV$103,COLUMN(기본데이타!BO$8),0))</f>
        <v/>
      </c>
      <c r="AB36" s="17" t="str">
        <f>IF($A36="","",VLOOKUP($A36,기본데이타!$A$8:$BV$103,COLUMN(기본데이타!BP$8),0))</f>
        <v/>
      </c>
      <c r="AC36" s="17" t="str">
        <f>IF($A36="","",VLOOKUP($A36,기본데이타!$A$8:$BV$103,COLUMN(기본데이타!BQ$8),0))</f>
        <v/>
      </c>
      <c r="AD36" s="17" t="str">
        <f>IF($A36="","",VLOOKUP($A36,기본데이타!$A$8:$BV$103,COLUMN(기본데이타!BR$8),0))</f>
        <v/>
      </c>
      <c r="AE36" s="17" t="str">
        <f>IF($A36="","",VLOOKUP($A36,기본데이타!$A$8:$BV$103,COLUMN(기본데이타!BS$8),0))</f>
        <v/>
      </c>
      <c r="AF36" s="294" t="str">
        <f>IF($A36="","",VLOOKUP($A36,기본데이타!$A$8:$BV$103,COLUMN(기본데이타!BT$8),0))</f>
        <v/>
      </c>
      <c r="AG36" s="432" t="str">
        <f>IF($A36="","",VLOOKUP($A36,기본데이타!$A$8:$BV$103,COLUMN(기본데이타!BU$8),0))</f>
        <v/>
      </c>
      <c r="AH36" s="18" t="str">
        <f t="shared" si="14"/>
        <v/>
      </c>
    </row>
    <row r="37" spans="1:35" s="187" customFormat="1" ht="35.1" hidden="1" customHeight="1">
      <c r="A37" s="189"/>
      <c r="C37" s="190"/>
      <c r="D37" s="8" t="str">
        <f>IF($A37="","",VLOOKUP($A37,기본데이타!$A$10:$BV$103,COLUMN(기본데이타!F$8),0))</f>
        <v/>
      </c>
      <c r="E37" s="252" t="str">
        <f>IF($A37="","",VLOOKUP($A37,기본데이타!$A$8:$BV$103,COLUMN(기본데이타!G$8),0))</f>
        <v/>
      </c>
      <c r="F37" s="15" t="str">
        <f>IF($A37="","",VLOOKUP($A37,기본데이타!$A$8:$BV$103,COLUMN(기본데이타!H$8),0))</f>
        <v/>
      </c>
      <c r="G37" s="15" t="str">
        <f>IF($A37="","",VLOOKUP($A37,기본데이타!$A$8:$BV$103,COLUMN(기본데이타!I$8),0))</f>
        <v/>
      </c>
      <c r="H37" s="15" t="str">
        <f>IF($A37="","",VLOOKUP($A37,기본데이타!$A$8:$BV$103,COLUMN(기본데이타!J$8),0))</f>
        <v/>
      </c>
      <c r="I37" s="17" t="str">
        <f>IF($A37="","",VLOOKUP($A37,기본데이타!$A$8:$BV$103,COLUMN(기본데이타!AJ$8),0))</f>
        <v/>
      </c>
      <c r="J37" s="386" t="str">
        <f>IF($A37="","",VLOOKUP($A37,기본데이타!$A$8:$BV$103,COLUMN(기본데이타!AK$8),0))</f>
        <v/>
      </c>
      <c r="K37" s="386" t="str">
        <f>IF($A37="","",VLOOKUP($A37,기본데이타!$A$8:$BV$103,COLUMN(기본데이타!AL$8),0))</f>
        <v/>
      </c>
      <c r="L37" s="386" t="str">
        <f>IF($A37="","",VLOOKUP($A37,기본데이타!$A$8:$BV$103,COLUMN(기본데이타!AM$8),0))</f>
        <v/>
      </c>
      <c r="M37" s="386" t="str">
        <f>IF($A37="","",VLOOKUP($A37,기본데이타!$A$8:$BV$103,COLUMN(기본데이타!AN$8),0))</f>
        <v/>
      </c>
      <c r="N37" s="386" t="str">
        <f>IF($A37="","",VLOOKUP($A37,기본데이타!$A$8:$BV$103,COLUMN(기본데이타!AO$8),0))</f>
        <v/>
      </c>
      <c r="O37" s="386" t="str">
        <f>IF($A37="","",VLOOKUP($A37,기본데이타!$A$8:$BV$103,COLUMN(기본데이타!AP$8),0))</f>
        <v/>
      </c>
      <c r="P37" s="386" t="str">
        <f>IF($A37="","",VLOOKUP($A37,기본데이타!$A$8:$BV$103,COLUMN(기본데이타!AQ$8),0))</f>
        <v/>
      </c>
      <c r="Q37" s="386" t="str">
        <f>IF($A37="","",VLOOKUP($A37,기본데이타!$A$8:$BV$103,COLUMN(기본데이타!AR$8),0))</f>
        <v/>
      </c>
      <c r="R37" s="386" t="str">
        <f>IF($A37="","",VLOOKUP($A37,기본데이타!$A$8:$BV$103,COLUMN(기본데이타!AS$8),0))</f>
        <v/>
      </c>
      <c r="S37" s="386" t="str">
        <f>IF($A37="","",VLOOKUP($A37,기본데이타!$A$8:$BV$103,COLUMN(기본데이타!AT$8),0))</f>
        <v/>
      </c>
      <c r="T37" s="386" t="str">
        <f>IF($A37="","",VLOOKUP($A37,기본데이타!$A$8:$BV$103,COLUMN(기본데이타!AU$8),0))</f>
        <v/>
      </c>
      <c r="U37" s="386" t="str">
        <f>IF($A37="","",VLOOKUP($A37,기본데이타!$A$8:$BV$103,COLUMN(기본데이타!AV$8),0))</f>
        <v/>
      </c>
      <c r="V37" s="16" t="str">
        <f>IF($A37="","",VLOOKUP($A37,기본데이타!$A$8:$BV$103,COLUMN(기본데이타!AW$8),0))</f>
        <v/>
      </c>
      <c r="W37" s="16" t="str">
        <f>IF($A37="","",VLOOKUP($A37,기본데이타!$A$8:$BV$103,COLUMN(기본데이타!AX$8),0))</f>
        <v/>
      </c>
      <c r="X37" s="16" t="str">
        <f>IF($A37="","",VLOOKUP($A37,기본데이타!$A$8:$BV$103,COLUMN(기본데이타!AY$8),0))</f>
        <v/>
      </c>
      <c r="Y37" s="16" t="str">
        <f>IF($A37="","",VLOOKUP($A37,기본데이타!$A$8:$BV$103,COLUMN(기본데이타!AZ$8),0))</f>
        <v/>
      </c>
      <c r="Z37" s="17" t="str">
        <f>IF($A37="","",VLOOKUP($A37,기본데이타!$A$8:$BV$103,COLUMN(기본데이타!BN$8),0))</f>
        <v/>
      </c>
      <c r="AA37" s="17" t="str">
        <f>IF($A37="","",VLOOKUP($A37,기본데이타!$A$8:$BV$103,COLUMN(기본데이타!BO$8),0))</f>
        <v/>
      </c>
      <c r="AB37" s="17" t="str">
        <f>IF($A37="","",VLOOKUP($A37,기본데이타!$A$8:$BV$103,COLUMN(기본데이타!BP$8),0))</f>
        <v/>
      </c>
      <c r="AC37" s="17" t="str">
        <f>IF($A37="","",VLOOKUP($A37,기본데이타!$A$8:$BV$103,COLUMN(기본데이타!BQ$8),0))</f>
        <v/>
      </c>
      <c r="AD37" s="17" t="str">
        <f>IF($A37="","",VLOOKUP($A37,기본데이타!$A$8:$BV$103,COLUMN(기본데이타!BR$8),0))</f>
        <v/>
      </c>
      <c r="AE37" s="17" t="str">
        <f>IF($A37="","",VLOOKUP($A37,기본데이타!$A$8:$BV$103,COLUMN(기본데이타!BS$8),0))</f>
        <v/>
      </c>
      <c r="AF37" s="294" t="str">
        <f>IF($A37="","",VLOOKUP($A37,기본데이타!$A$8:$BV$103,COLUMN(기본데이타!BT$8),0))</f>
        <v/>
      </c>
      <c r="AG37" s="432" t="str">
        <f>IF($A37="","",VLOOKUP($A37,기본데이타!$A$8:$BV$103,COLUMN(기본데이타!BU$8),0))</f>
        <v/>
      </c>
      <c r="AH37" s="18" t="str">
        <f t="shared" si="14"/>
        <v/>
      </c>
    </row>
    <row r="38" spans="1:35" s="187" customFormat="1" ht="35.1" hidden="1" customHeight="1">
      <c r="A38" s="189"/>
      <c r="C38" s="190"/>
      <c r="D38" s="8" t="str">
        <f>IF($A38="","",VLOOKUP($A38,기본데이타!$A$10:$BV$103,COLUMN(기본데이타!F$8),0))</f>
        <v/>
      </c>
      <c r="E38" s="252" t="str">
        <f>IF($A38="","",VLOOKUP($A38,기본데이타!$A$8:$BV$103,COLUMN(기본데이타!G$8),0))</f>
        <v/>
      </c>
      <c r="F38" s="15" t="str">
        <f>IF($A38="","",VLOOKUP($A38,기본데이타!$A$8:$BV$103,COLUMN(기본데이타!H$8),0))</f>
        <v/>
      </c>
      <c r="G38" s="15" t="str">
        <f>IF($A38="","",VLOOKUP($A38,기본데이타!$A$8:$BV$103,COLUMN(기본데이타!I$8),0))</f>
        <v/>
      </c>
      <c r="H38" s="15" t="str">
        <f>IF($A38="","",VLOOKUP($A38,기본데이타!$A$8:$BV$103,COLUMN(기본데이타!J$8),0))</f>
        <v/>
      </c>
      <c r="I38" s="17" t="str">
        <f>IF($A38="","",VLOOKUP($A38,기본데이타!$A$8:$BV$103,COLUMN(기본데이타!AJ$8),0))</f>
        <v/>
      </c>
      <c r="J38" s="386" t="str">
        <f>IF($A38="","",VLOOKUP($A38,기본데이타!$A$8:$BV$103,COLUMN(기본데이타!AK$8),0))</f>
        <v/>
      </c>
      <c r="K38" s="386" t="str">
        <f>IF($A38="","",VLOOKUP($A38,기본데이타!$A$8:$BV$103,COLUMN(기본데이타!AL$8),0))</f>
        <v/>
      </c>
      <c r="L38" s="386" t="str">
        <f>IF($A38="","",VLOOKUP($A38,기본데이타!$A$8:$BV$103,COLUMN(기본데이타!AM$8),0))</f>
        <v/>
      </c>
      <c r="M38" s="386" t="str">
        <f>IF($A38="","",VLOOKUP($A38,기본데이타!$A$8:$BV$103,COLUMN(기본데이타!AN$8),0))</f>
        <v/>
      </c>
      <c r="N38" s="386" t="str">
        <f>IF($A38="","",VLOOKUP($A38,기본데이타!$A$8:$BV$103,COLUMN(기본데이타!AO$8),0))</f>
        <v/>
      </c>
      <c r="O38" s="386" t="str">
        <f>IF($A38="","",VLOOKUP($A38,기본데이타!$A$8:$BV$103,COLUMN(기본데이타!AP$8),0))</f>
        <v/>
      </c>
      <c r="P38" s="386" t="str">
        <f>IF($A38="","",VLOOKUP($A38,기본데이타!$A$8:$BV$103,COLUMN(기본데이타!AQ$8),0))</f>
        <v/>
      </c>
      <c r="Q38" s="386" t="str">
        <f>IF($A38="","",VLOOKUP($A38,기본데이타!$A$8:$BV$103,COLUMN(기본데이타!AR$8),0))</f>
        <v/>
      </c>
      <c r="R38" s="386" t="str">
        <f>IF($A38="","",VLOOKUP($A38,기본데이타!$A$8:$BV$103,COLUMN(기본데이타!AS$8),0))</f>
        <v/>
      </c>
      <c r="S38" s="386" t="str">
        <f>IF($A38="","",VLOOKUP($A38,기본데이타!$A$8:$BV$103,COLUMN(기본데이타!AT$8),0))</f>
        <v/>
      </c>
      <c r="T38" s="386" t="str">
        <f>IF($A38="","",VLOOKUP($A38,기본데이타!$A$8:$BV$103,COLUMN(기본데이타!AU$8),0))</f>
        <v/>
      </c>
      <c r="U38" s="386" t="str">
        <f>IF($A38="","",VLOOKUP($A38,기본데이타!$A$8:$BV$103,COLUMN(기본데이타!AV$8),0))</f>
        <v/>
      </c>
      <c r="V38" s="16" t="str">
        <f>IF($A38="","",VLOOKUP($A38,기본데이타!$A$8:$BV$103,COLUMN(기본데이타!AW$8),0))</f>
        <v/>
      </c>
      <c r="W38" s="16" t="str">
        <f>IF($A38="","",VLOOKUP($A38,기본데이타!$A$8:$BV$103,COLUMN(기본데이타!AX$8),0))</f>
        <v/>
      </c>
      <c r="X38" s="16" t="str">
        <f>IF($A38="","",VLOOKUP($A38,기본데이타!$A$8:$BV$103,COLUMN(기본데이타!AY$8),0))</f>
        <v/>
      </c>
      <c r="Y38" s="16" t="str">
        <f>IF($A38="","",VLOOKUP($A38,기본데이타!$A$8:$BV$103,COLUMN(기본데이타!AZ$8),0))</f>
        <v/>
      </c>
      <c r="Z38" s="17" t="str">
        <f>IF($A38="","",VLOOKUP($A38,기본데이타!$A$8:$BV$103,COLUMN(기본데이타!BN$8),0))</f>
        <v/>
      </c>
      <c r="AA38" s="17" t="str">
        <f>IF($A38="","",VLOOKUP($A38,기본데이타!$A$8:$BV$103,COLUMN(기본데이타!BO$8),0))</f>
        <v/>
      </c>
      <c r="AB38" s="17" t="str">
        <f>IF($A38="","",VLOOKUP($A38,기본데이타!$A$8:$BV$103,COLUMN(기본데이타!BP$8),0))</f>
        <v/>
      </c>
      <c r="AC38" s="17" t="str">
        <f>IF($A38="","",VLOOKUP($A38,기본데이타!$A$8:$BV$103,COLUMN(기본데이타!BQ$8),0))</f>
        <v/>
      </c>
      <c r="AD38" s="17" t="str">
        <f>IF($A38="","",VLOOKUP($A38,기본데이타!$A$8:$BV$103,COLUMN(기본데이타!BR$8),0))</f>
        <v/>
      </c>
      <c r="AE38" s="17" t="str">
        <f>IF($A38="","",VLOOKUP($A38,기본데이타!$A$8:$BV$103,COLUMN(기본데이타!BS$8),0))</f>
        <v/>
      </c>
      <c r="AF38" s="294"/>
      <c r="AG38" s="432" t="str">
        <f>IF($A38="","",VLOOKUP($A38,기본데이타!$A$8:$BV$103,COLUMN(기본데이타!BU$8),0))</f>
        <v/>
      </c>
      <c r="AH38" s="18" t="str">
        <f t="shared" si="14"/>
        <v/>
      </c>
    </row>
    <row r="39" spans="1:35" s="187" customFormat="1" ht="35.1" hidden="1" customHeight="1">
      <c r="A39" s="189"/>
      <c r="C39" s="190"/>
      <c r="D39" s="8" t="str">
        <f>IF($A39="","",VLOOKUP($A39,기본데이타!$A$10:$BV$103,COLUMN(기본데이타!F$8),0))</f>
        <v/>
      </c>
      <c r="E39" s="252" t="str">
        <f>IF($A39="","",VLOOKUP($A39,기본데이타!$A$8:$BV$103,COLUMN(기본데이타!G$8),0))</f>
        <v/>
      </c>
      <c r="F39" s="15" t="str">
        <f>IF($A39="","",VLOOKUP($A39,기본데이타!$A$8:$BV$103,COLUMN(기본데이타!H$8),0))</f>
        <v/>
      </c>
      <c r="G39" s="15" t="str">
        <f>IF($A39="","",VLOOKUP($A39,기본데이타!$A$8:$BV$103,COLUMN(기본데이타!I$8),0))</f>
        <v/>
      </c>
      <c r="H39" s="15" t="str">
        <f>IF($A39="","",VLOOKUP($A39,기본데이타!$A$8:$BV$103,COLUMN(기본데이타!J$8),0))</f>
        <v/>
      </c>
      <c r="I39" s="17" t="str">
        <f>IF($A39="","",VLOOKUP($A39,기본데이타!$A$8:$BV$103,COLUMN(기본데이타!AJ$8),0))</f>
        <v/>
      </c>
      <c r="J39" s="387" t="str">
        <f>IF($A39="","",VLOOKUP($A39,기본데이타!$A$8:$BV$103,COLUMN(기본데이타!AK$8),0))</f>
        <v/>
      </c>
      <c r="K39" s="387" t="str">
        <f>IF($A39="","",VLOOKUP($A39,기본데이타!$A$8:$BV$103,COLUMN(기본데이타!AL$8),0))</f>
        <v/>
      </c>
      <c r="L39" s="387" t="str">
        <f>IF($A39="","",VLOOKUP($A39,기본데이타!$A$8:$BV$103,COLUMN(기본데이타!AM$8),0))</f>
        <v/>
      </c>
      <c r="M39" s="387" t="str">
        <f>IF($A39="","",VLOOKUP($A39,기본데이타!$A$8:$BV$103,COLUMN(기본데이타!AN$8),0))</f>
        <v/>
      </c>
      <c r="N39" s="387" t="str">
        <f>IF($A39="","",VLOOKUP($A39,기본데이타!$A$8:$BV$103,COLUMN(기본데이타!AO$8),0))</f>
        <v/>
      </c>
      <c r="O39" s="387" t="str">
        <f>IF($A39="","",VLOOKUP($A39,기본데이타!$A$8:$BV$103,COLUMN(기본데이타!AP$8),0))</f>
        <v/>
      </c>
      <c r="P39" s="387" t="str">
        <f>IF($A39="","",VLOOKUP($A39,기본데이타!$A$8:$BV$103,COLUMN(기본데이타!AQ$8),0))</f>
        <v/>
      </c>
      <c r="Q39" s="387" t="str">
        <f>IF($A39="","",VLOOKUP($A39,기본데이타!$A$8:$BV$103,COLUMN(기본데이타!AR$8),0))</f>
        <v/>
      </c>
      <c r="R39" s="387" t="str">
        <f>IF($A39="","",VLOOKUP($A39,기본데이타!$A$8:$BV$103,COLUMN(기본데이타!AS$8),0))</f>
        <v/>
      </c>
      <c r="S39" s="387" t="str">
        <f>IF($A39="","",VLOOKUP($A39,기본데이타!$A$8:$BV$103,COLUMN(기본데이타!AT$8),0))</f>
        <v/>
      </c>
      <c r="T39" s="387" t="str">
        <f>IF($A39="","",VLOOKUP($A39,기본데이타!$A$8:$BV$103,COLUMN(기본데이타!AU$8),0))</f>
        <v/>
      </c>
      <c r="U39" s="387" t="str">
        <f>IF($A39="","",VLOOKUP($A39,기본데이타!$A$8:$BV$103,COLUMN(기본데이타!AV$8),0))</f>
        <v/>
      </c>
      <c r="V39" s="16" t="str">
        <f>IF($A39="","",VLOOKUP($A39,기본데이타!$A$8:$BV$103,COLUMN(기본데이타!AW$8),0))</f>
        <v/>
      </c>
      <c r="W39" s="16" t="str">
        <f>IF($A39="","",VLOOKUP($A39,기본데이타!$A$8:$BV$103,COLUMN(기본데이타!AX$8),0))</f>
        <v/>
      </c>
      <c r="X39" s="16" t="str">
        <f>IF($A39="","",VLOOKUP($A39,기본데이타!$A$8:$BV$103,COLUMN(기본데이타!AY$8),0))</f>
        <v/>
      </c>
      <c r="Y39" s="16" t="str">
        <f>IF($A39="","",VLOOKUP($A39,기본데이타!$A$8:$BV$103,COLUMN(기본데이타!AZ$8),0))</f>
        <v/>
      </c>
      <c r="Z39" s="17" t="str">
        <f>IF($A39="","",VLOOKUP($A39,기본데이타!$A$8:$BV$103,COLUMN(기본데이타!BN$8),0))</f>
        <v/>
      </c>
      <c r="AA39" s="17" t="str">
        <f>IF($A39="","",VLOOKUP($A39,기본데이타!$A$8:$BV$103,COLUMN(기본데이타!BO$8),0))</f>
        <v/>
      </c>
      <c r="AB39" s="17" t="str">
        <f>IF($A39="","",VLOOKUP($A39,기본데이타!$A$8:$BV$103,COLUMN(기본데이타!BP$8),0))</f>
        <v/>
      </c>
      <c r="AC39" s="17" t="str">
        <f>IF($A39="","",VLOOKUP($A39,기본데이타!$A$8:$BV$103,COLUMN(기본데이타!BQ$8),0))</f>
        <v/>
      </c>
      <c r="AD39" s="17" t="str">
        <f>IF($A39="","",VLOOKUP($A39,기본데이타!$A$8:$BV$103,COLUMN(기본데이타!BR$8),0))</f>
        <v/>
      </c>
      <c r="AE39" s="17" t="str">
        <f>IF($A39="","",VLOOKUP($A39,기본데이타!$A$8:$BV$103,COLUMN(기본데이타!BS$8),0))</f>
        <v/>
      </c>
      <c r="AF39" s="294"/>
      <c r="AG39" s="432" t="str">
        <f>IF($A39="","",VLOOKUP($A39,기본데이타!$A$8:$BV$103,COLUMN(기본데이타!BU$8),0))</f>
        <v/>
      </c>
      <c r="AH39" s="18" t="str">
        <f>IF(A39="","",A39)</f>
        <v/>
      </c>
    </row>
    <row r="40" spans="1:35" s="187" customFormat="1" ht="35.1" hidden="1" customHeight="1">
      <c r="A40" s="189"/>
      <c r="C40" s="190"/>
      <c r="D40" s="8" t="str">
        <f>IF($A40="","",VLOOKUP($A40,기본데이타!$A$10:$BV$103,COLUMN(기본데이타!F$8),0))</f>
        <v/>
      </c>
      <c r="E40" s="252" t="str">
        <f>IF($A40="","",VLOOKUP($A40,기본데이타!$A$8:$BV$103,COLUMN(기본데이타!G$8),0))</f>
        <v/>
      </c>
      <c r="F40" s="15" t="str">
        <f>IF($A40="","",VLOOKUP($A40,기본데이타!$A$8:$BV$103,COLUMN(기본데이타!H$8),0))</f>
        <v/>
      </c>
      <c r="G40" s="15" t="str">
        <f>IF($A40="","",VLOOKUP($A40,기본데이타!$A$8:$BV$103,COLUMN(기본데이타!I$8),0))</f>
        <v/>
      </c>
      <c r="H40" s="15" t="str">
        <f>IF($A40="","",VLOOKUP($A40,기본데이타!$A$8:$BV$103,COLUMN(기본데이타!J$8),0))</f>
        <v/>
      </c>
      <c r="I40" s="17" t="str">
        <f>IF($A40="","",VLOOKUP($A40,기본데이타!$A$8:$BV$103,COLUMN(기본데이타!AJ$8),0))</f>
        <v/>
      </c>
      <c r="J40" s="387" t="str">
        <f>IF($A40="","",VLOOKUP($A40,기본데이타!$A$8:$BV$103,COLUMN(기본데이타!AK$8),0))</f>
        <v/>
      </c>
      <c r="K40" s="387" t="str">
        <f>IF($A40="","",VLOOKUP($A40,기본데이타!$A$8:$BV$103,COLUMN(기본데이타!AL$8),0))</f>
        <v/>
      </c>
      <c r="L40" s="387" t="str">
        <f>IF($A40="","",VLOOKUP($A40,기본데이타!$A$8:$BV$103,COLUMN(기본데이타!AM$8),0))</f>
        <v/>
      </c>
      <c r="M40" s="387" t="str">
        <f>IF($A40="","",VLOOKUP($A40,기본데이타!$A$8:$BV$103,COLUMN(기본데이타!AN$8),0))</f>
        <v/>
      </c>
      <c r="N40" s="387" t="str">
        <f>IF($A40="","",VLOOKUP($A40,기본데이타!$A$8:$BV$103,COLUMN(기본데이타!AO$8),0))</f>
        <v/>
      </c>
      <c r="O40" s="387" t="str">
        <f>IF($A40="","",VLOOKUP($A40,기본데이타!$A$8:$BV$103,COLUMN(기본데이타!AP$8),0))</f>
        <v/>
      </c>
      <c r="P40" s="387" t="str">
        <f>IF($A40="","",VLOOKUP($A40,기본데이타!$A$8:$BV$103,COLUMN(기본데이타!AQ$8),0))</f>
        <v/>
      </c>
      <c r="Q40" s="387" t="str">
        <f>IF($A40="","",VLOOKUP($A40,기본데이타!$A$8:$BV$103,COLUMN(기본데이타!AR$8),0))</f>
        <v/>
      </c>
      <c r="R40" s="387" t="str">
        <f>IF($A40="","",VLOOKUP($A40,기본데이타!$A$8:$BV$103,COLUMN(기본데이타!AS$8),0))</f>
        <v/>
      </c>
      <c r="S40" s="387" t="str">
        <f>IF($A40="","",VLOOKUP($A40,기본데이타!$A$8:$BV$103,COLUMN(기본데이타!AT$8),0))</f>
        <v/>
      </c>
      <c r="T40" s="387" t="str">
        <f>IF($A40="","",VLOOKUP($A40,기본데이타!$A$8:$BV$103,COLUMN(기본데이타!AU$8),0))</f>
        <v/>
      </c>
      <c r="U40" s="387" t="str">
        <f>IF($A40="","",VLOOKUP($A40,기본데이타!$A$8:$BV$103,COLUMN(기본데이타!AV$8),0))</f>
        <v/>
      </c>
      <c r="V40" s="16" t="str">
        <f>IF($A40="","",VLOOKUP($A40,기본데이타!$A$8:$BV$103,COLUMN(기본데이타!AW$8),0))</f>
        <v/>
      </c>
      <c r="W40" s="16" t="str">
        <f>IF($A40="","",VLOOKUP($A40,기본데이타!$A$8:$BV$103,COLUMN(기본데이타!AX$8),0))</f>
        <v/>
      </c>
      <c r="X40" s="16" t="str">
        <f>IF($A40="","",VLOOKUP($A40,기본데이타!$A$8:$BV$103,COLUMN(기본데이타!AY$8),0))</f>
        <v/>
      </c>
      <c r="Y40" s="16" t="str">
        <f>IF($A40="","",VLOOKUP($A40,기본데이타!$A$8:$BV$103,COLUMN(기본데이타!AZ$8),0))</f>
        <v/>
      </c>
      <c r="Z40" s="17" t="str">
        <f>IF($A40="","",VLOOKUP($A40,기본데이타!$A$8:$BV$103,COLUMN(기본데이타!BN$8),0))</f>
        <v/>
      </c>
      <c r="AA40" s="17" t="str">
        <f>IF($A40="","",VLOOKUP($A40,기본데이타!$A$8:$BV$103,COLUMN(기본데이타!BO$8),0))</f>
        <v/>
      </c>
      <c r="AB40" s="17" t="str">
        <f>IF($A40="","",VLOOKUP($A40,기본데이타!$A$8:$BV$103,COLUMN(기본데이타!BP$8),0))</f>
        <v/>
      </c>
      <c r="AC40" s="17" t="str">
        <f>IF($A40="","",VLOOKUP($A40,기본데이타!$A$8:$BV$103,COLUMN(기본데이타!BQ$8),0))</f>
        <v/>
      </c>
      <c r="AD40" s="17" t="str">
        <f>IF($A40="","",VLOOKUP($A40,기본데이타!$A$8:$BV$103,COLUMN(기본데이타!BR$8),0))</f>
        <v/>
      </c>
      <c r="AE40" s="17" t="str">
        <f>IF($A40="","",VLOOKUP($A40,기본데이타!$A$8:$BV$103,COLUMN(기본데이타!BS$8),0))</f>
        <v/>
      </c>
      <c r="AF40" s="294"/>
      <c r="AG40" s="432" t="str">
        <f>IF($A40="","",VLOOKUP($A40,기본데이타!$A$8:$BV$103,COLUMN(기본데이타!BU$8),0))</f>
        <v/>
      </c>
      <c r="AH40" s="18" t="str">
        <f>IF(A40="","",A40)</f>
        <v/>
      </c>
    </row>
    <row r="41" spans="1:35" s="187" customFormat="1" ht="35.1" hidden="1" customHeight="1">
      <c r="A41" s="189"/>
      <c r="C41" s="190"/>
      <c r="D41" s="8" t="str">
        <f>IF($A41="","",VLOOKUP($A41,기본데이타!$A$10:$BV$103,COLUMN(기본데이타!F$8),0))</f>
        <v/>
      </c>
      <c r="E41" s="252" t="str">
        <f>IF($A41="","",VLOOKUP($A41,기본데이타!$A$8:$BV$103,COLUMN(기본데이타!G$8),0))</f>
        <v/>
      </c>
      <c r="F41" s="15" t="str">
        <f>IF($A41="","",VLOOKUP($A41,기본데이타!$A$8:$BV$103,COLUMN(기본데이타!H$8),0))</f>
        <v/>
      </c>
      <c r="G41" s="15" t="str">
        <f>IF($A41="","",VLOOKUP($A41,기본데이타!$A$8:$BV$103,COLUMN(기본데이타!I$8),0))</f>
        <v/>
      </c>
      <c r="H41" s="15" t="str">
        <f>IF($A41="","",VLOOKUP($A41,기본데이타!$A$8:$BV$103,COLUMN(기본데이타!J$8),0))</f>
        <v/>
      </c>
      <c r="I41" s="17" t="str">
        <f>IF($A41="","",VLOOKUP($A41,기본데이타!$A$8:$BV$103,COLUMN(기본데이타!AJ$8),0))</f>
        <v/>
      </c>
      <c r="J41" s="387" t="str">
        <f>IF($A41="","",VLOOKUP($A41,기본데이타!$A$8:$BV$103,COLUMN(기본데이타!AK$8),0))</f>
        <v/>
      </c>
      <c r="K41" s="387" t="str">
        <f>IF($A41="","",VLOOKUP($A41,기본데이타!$A$8:$BV$103,COLUMN(기본데이타!AL$8),0))</f>
        <v/>
      </c>
      <c r="L41" s="387" t="str">
        <f>IF($A41="","",VLOOKUP($A41,기본데이타!$A$8:$BV$103,COLUMN(기본데이타!AM$8),0))</f>
        <v/>
      </c>
      <c r="M41" s="387" t="str">
        <f>IF($A41="","",VLOOKUP($A41,기본데이타!$A$8:$BV$103,COLUMN(기본데이타!AN$8),0))</f>
        <v/>
      </c>
      <c r="N41" s="387" t="str">
        <f>IF($A41="","",VLOOKUP($A41,기본데이타!$A$8:$BV$103,COLUMN(기본데이타!AO$8),0))</f>
        <v/>
      </c>
      <c r="O41" s="387" t="str">
        <f>IF($A41="","",VLOOKUP($A41,기본데이타!$A$8:$BV$103,COLUMN(기본데이타!AP$8),0))</f>
        <v/>
      </c>
      <c r="P41" s="387" t="str">
        <f>IF($A41="","",VLOOKUP($A41,기본데이타!$A$8:$BV$103,COLUMN(기본데이타!AQ$8),0))</f>
        <v/>
      </c>
      <c r="Q41" s="387" t="str">
        <f>IF($A41="","",VLOOKUP($A41,기본데이타!$A$8:$BV$103,COLUMN(기본데이타!AR$8),0))</f>
        <v/>
      </c>
      <c r="R41" s="387" t="str">
        <f>IF($A41="","",VLOOKUP($A41,기본데이타!$A$8:$BV$103,COLUMN(기본데이타!AS$8),0))</f>
        <v/>
      </c>
      <c r="S41" s="387" t="str">
        <f>IF($A41="","",VLOOKUP($A41,기본데이타!$A$8:$BV$103,COLUMN(기본데이타!AT$8),0))</f>
        <v/>
      </c>
      <c r="T41" s="387" t="str">
        <f>IF($A41="","",VLOOKUP($A41,기본데이타!$A$8:$BV$103,COLUMN(기본데이타!AU$8),0))</f>
        <v/>
      </c>
      <c r="U41" s="387" t="str">
        <f>IF($A41="","",VLOOKUP($A41,기본데이타!$A$8:$BV$103,COLUMN(기본데이타!AV$8),0))</f>
        <v/>
      </c>
      <c r="V41" s="16" t="str">
        <f>IF($A41="","",VLOOKUP($A41,기본데이타!$A$8:$BV$103,COLUMN(기본데이타!AW$8),0))</f>
        <v/>
      </c>
      <c r="W41" s="16" t="str">
        <f>IF($A41="","",VLOOKUP($A41,기본데이타!$A$8:$BV$103,COLUMN(기본데이타!AX$8),0))</f>
        <v/>
      </c>
      <c r="X41" s="16" t="str">
        <f>IF($A41="","",VLOOKUP($A41,기본데이타!$A$8:$BV$103,COLUMN(기본데이타!AY$8),0))</f>
        <v/>
      </c>
      <c r="Y41" s="16" t="str">
        <f>IF($A41="","",VLOOKUP($A41,기본데이타!$A$8:$BV$103,COLUMN(기본데이타!AZ$8),0))</f>
        <v/>
      </c>
      <c r="Z41" s="17" t="str">
        <f>IF($A41="","",VLOOKUP($A41,기본데이타!$A$8:$BV$103,COLUMN(기본데이타!BN$8),0))</f>
        <v/>
      </c>
      <c r="AA41" s="17" t="str">
        <f>IF($A41="","",VLOOKUP($A41,기본데이타!$A$8:$BV$103,COLUMN(기본데이타!BO$8),0))</f>
        <v/>
      </c>
      <c r="AB41" s="17" t="str">
        <f>IF($A41="","",VLOOKUP($A41,기본데이타!$A$8:$BV$103,COLUMN(기본데이타!BP$8),0))</f>
        <v/>
      </c>
      <c r="AC41" s="17" t="str">
        <f>IF($A41="","",VLOOKUP($A41,기본데이타!$A$8:$BV$103,COLUMN(기본데이타!BQ$8),0))</f>
        <v/>
      </c>
      <c r="AD41" s="17" t="str">
        <f>IF($A41="","",VLOOKUP($A41,기본데이타!$A$8:$BV$103,COLUMN(기본데이타!BR$8),0))</f>
        <v/>
      </c>
      <c r="AE41" s="17" t="str">
        <f>IF($A41="","",VLOOKUP($A41,기본데이타!$A$8:$BV$103,COLUMN(기본데이타!BS$8),0))</f>
        <v/>
      </c>
      <c r="AF41" s="294"/>
      <c r="AG41" s="432" t="str">
        <f>IF($A41="","",VLOOKUP($A41,기본데이타!$A$8:$BV$103,COLUMN(기본데이타!BU$8),0))</f>
        <v/>
      </c>
      <c r="AH41" s="18" t="str">
        <f>IF(A41="","",A41)</f>
        <v/>
      </c>
    </row>
    <row r="42" spans="1:35" s="187" customFormat="1" ht="35.1" hidden="1" customHeight="1">
      <c r="A42" s="189"/>
      <c r="C42" s="190"/>
      <c r="D42" s="8" t="str">
        <f>IF($A42="","",VLOOKUP($A42,기본데이타!$A$10:$BV$103,COLUMN(기본데이타!F$8),0))</f>
        <v/>
      </c>
      <c r="E42" s="252" t="str">
        <f>IF($A42="","",VLOOKUP($A42,기본데이타!$A$8:$BV$103,COLUMN(기본데이타!G$8),0))</f>
        <v/>
      </c>
      <c r="F42" s="15" t="str">
        <f>IF($A42="","",VLOOKUP($A42,기본데이타!$A$8:$BV$103,COLUMN(기본데이타!H$8),0))</f>
        <v/>
      </c>
      <c r="G42" s="15" t="str">
        <f>IF($A42="","",VLOOKUP($A42,기본데이타!$A$8:$BV$103,COLUMN(기본데이타!I$8),0))</f>
        <v/>
      </c>
      <c r="H42" s="15" t="str">
        <f>IF($A42="","",VLOOKUP($A42,기본데이타!$A$8:$BV$103,COLUMN(기본데이타!J$8),0))</f>
        <v/>
      </c>
      <c r="I42" s="17" t="str">
        <f>IF($A42="","",VLOOKUP($A42,기본데이타!$A$8:$BV$103,COLUMN(기본데이타!AJ$8),0))</f>
        <v/>
      </c>
      <c r="J42" s="387" t="str">
        <f>IF($A42="","",VLOOKUP($A42,기본데이타!$A$8:$BV$103,COLUMN(기본데이타!AK$8),0))</f>
        <v/>
      </c>
      <c r="K42" s="387" t="str">
        <f>IF($A42="","",VLOOKUP($A42,기본데이타!$A$8:$BV$103,COLUMN(기본데이타!AL$8),0))</f>
        <v/>
      </c>
      <c r="L42" s="387" t="str">
        <f>IF($A42="","",VLOOKUP($A42,기본데이타!$A$8:$BV$103,COLUMN(기본데이타!AM$8),0))</f>
        <v/>
      </c>
      <c r="M42" s="387" t="str">
        <f>IF($A42="","",VLOOKUP($A42,기본데이타!$A$8:$BV$103,COLUMN(기본데이타!AN$8),0))</f>
        <v/>
      </c>
      <c r="N42" s="387" t="str">
        <f>IF($A42="","",VLOOKUP($A42,기본데이타!$A$8:$BV$103,COLUMN(기본데이타!AO$8),0))</f>
        <v/>
      </c>
      <c r="O42" s="387" t="str">
        <f>IF($A42="","",VLOOKUP($A42,기본데이타!$A$8:$BV$103,COLUMN(기본데이타!AP$8),0))</f>
        <v/>
      </c>
      <c r="P42" s="387" t="str">
        <f>IF($A42="","",VLOOKUP($A42,기본데이타!$A$8:$BV$103,COLUMN(기본데이타!AQ$8),0))</f>
        <v/>
      </c>
      <c r="Q42" s="387" t="str">
        <f>IF($A42="","",VLOOKUP($A42,기본데이타!$A$8:$BV$103,COLUMN(기본데이타!AR$8),0))</f>
        <v/>
      </c>
      <c r="R42" s="387" t="str">
        <f>IF($A42="","",VLOOKUP($A42,기본데이타!$A$8:$BV$103,COLUMN(기본데이타!AS$8),0))</f>
        <v/>
      </c>
      <c r="S42" s="387" t="str">
        <f>IF($A42="","",VLOOKUP($A42,기본데이타!$A$8:$BV$103,COLUMN(기본데이타!AT$8),0))</f>
        <v/>
      </c>
      <c r="T42" s="387" t="str">
        <f>IF($A42="","",VLOOKUP($A42,기본데이타!$A$8:$BV$103,COLUMN(기본데이타!AU$8),0))</f>
        <v/>
      </c>
      <c r="U42" s="387" t="str">
        <f>IF($A42="","",VLOOKUP($A42,기본데이타!$A$8:$BV$103,COLUMN(기본데이타!AV$8),0))</f>
        <v/>
      </c>
      <c r="V42" s="16" t="str">
        <f>IF($A42="","",VLOOKUP($A42,기본데이타!$A$8:$BV$103,COLUMN(기본데이타!AW$8),0))</f>
        <v/>
      </c>
      <c r="W42" s="16" t="str">
        <f>IF($A42="","",VLOOKUP($A42,기본데이타!$A$8:$BV$103,COLUMN(기본데이타!AX$8),0))</f>
        <v/>
      </c>
      <c r="X42" s="16" t="str">
        <f>IF($A42="","",VLOOKUP($A42,기본데이타!$A$8:$BV$103,COLUMN(기본데이타!AY$8),0))</f>
        <v/>
      </c>
      <c r="Y42" s="16" t="str">
        <f>IF($A42="","",VLOOKUP($A42,기본데이타!$A$8:$BV$103,COLUMN(기본데이타!AZ$8),0))</f>
        <v/>
      </c>
      <c r="Z42" s="17" t="str">
        <f>IF($A42="","",VLOOKUP($A42,기본데이타!$A$8:$BV$103,COLUMN(기본데이타!BN$8),0))</f>
        <v/>
      </c>
      <c r="AA42" s="17" t="str">
        <f>IF($A42="","",VLOOKUP($A42,기본데이타!$A$8:$BV$103,COLUMN(기본데이타!BO$8),0))</f>
        <v/>
      </c>
      <c r="AB42" s="17" t="str">
        <f>IF($A42="","",VLOOKUP($A42,기본데이타!$A$8:$BV$103,COLUMN(기본데이타!BP$8),0))</f>
        <v/>
      </c>
      <c r="AC42" s="17" t="str">
        <f>IF($A42="","",VLOOKUP($A42,기본데이타!$A$8:$BV$103,COLUMN(기본데이타!BQ$8),0))</f>
        <v/>
      </c>
      <c r="AD42" s="17" t="str">
        <f>IF($A42="","",VLOOKUP($A42,기본데이타!$A$8:$BV$103,COLUMN(기본데이타!BR$8),0))</f>
        <v/>
      </c>
      <c r="AE42" s="17" t="str">
        <f>IF($A42="","",VLOOKUP($A42,기본데이타!$A$8:$BV$103,COLUMN(기본데이타!BS$8),0))</f>
        <v/>
      </c>
      <c r="AF42" s="294"/>
      <c r="AG42" s="432" t="str">
        <f>IF($A42="","",VLOOKUP($A42,기본데이타!$A$8:$BV$103,COLUMN(기본데이타!BU$8),0))</f>
        <v/>
      </c>
      <c r="AH42" s="18" t="str">
        <f t="shared" si="14"/>
        <v/>
      </c>
    </row>
    <row r="43" spans="1:35" s="187" customFormat="1" ht="35.1" hidden="1" customHeight="1">
      <c r="A43" s="189"/>
      <c r="C43" s="190"/>
      <c r="D43" s="195"/>
      <c r="E43" s="196" t="str">
        <f>IF($A43="","",VLOOKUP($A43,기본데이타!$A$8:$BV$103,COLUMN(기본데이타!G$8),0))</f>
        <v/>
      </c>
      <c r="F43" s="197" t="str">
        <f>IF($A43="","",VLOOKUP($A43,기본데이타!$A$8:$BV$103,COLUMN(기본데이타!H$8),0))</f>
        <v/>
      </c>
      <c r="G43" s="197" t="str">
        <f>IF($A43="","",VLOOKUP($A43,기본데이타!$A$8:$BV$103,COLUMN(기본데이타!I$8),0))</f>
        <v/>
      </c>
      <c r="H43" s="197" t="str">
        <f>IF($A43="","",VLOOKUP($A43,기본데이타!$A$8:$BV$103,COLUMN(기본데이타!J$8),0))</f>
        <v/>
      </c>
      <c r="I43" s="295" t="str">
        <f>IF($A43="","",VLOOKUP($A43,기본데이타!$A$8:$BV$103,COLUMN(기본데이타!AJ$8),0))</f>
        <v/>
      </c>
      <c r="J43" s="522" t="str">
        <f>IF($A43="","",VLOOKUP($A43,기본데이타!$A$8:$BV$103,COLUMN(기본데이타!AK$8),0))</f>
        <v/>
      </c>
      <c r="K43" s="522" t="str">
        <f>IF($A43="","",VLOOKUP($A43,기본데이타!$A$8:$BV$103,COLUMN(기본데이타!AL$8),0))</f>
        <v/>
      </c>
      <c r="L43" s="522" t="str">
        <f>IF($A43="","",VLOOKUP($A43,기본데이타!$A$8:$BV$103,COLUMN(기본데이타!AM$8),0))</f>
        <v/>
      </c>
      <c r="M43" s="522" t="str">
        <f>IF($A43="","",VLOOKUP($A43,기본데이타!$A$8:$BV$103,COLUMN(기본데이타!AN$8),0))</f>
        <v/>
      </c>
      <c r="N43" s="522" t="str">
        <f>IF($A43="","",VLOOKUP($A43,기본데이타!$A$8:$BV$103,COLUMN(기본데이타!AO$8),0))</f>
        <v/>
      </c>
      <c r="O43" s="522" t="str">
        <f>IF($A43="","",VLOOKUP($A43,기본데이타!$A$8:$BV$103,COLUMN(기본데이타!AP$8),0))</f>
        <v/>
      </c>
      <c r="P43" s="522" t="str">
        <f>IF($A43="","",VLOOKUP($A43,기본데이타!$A$8:$BV$103,COLUMN(기본데이타!AQ$8),0))</f>
        <v/>
      </c>
      <c r="Q43" s="522" t="str">
        <f>IF($A43="","",VLOOKUP($A43,기본데이타!$A$8:$BV$103,COLUMN(기본데이타!AR$8),0))</f>
        <v/>
      </c>
      <c r="R43" s="522" t="str">
        <f>IF($A43="","",VLOOKUP($A43,기본데이타!$A$8:$BV$103,COLUMN(기본데이타!AS$8),0))</f>
        <v/>
      </c>
      <c r="S43" s="522" t="str">
        <f>IF($A43="","",VLOOKUP($A43,기본데이타!$A$8:$BV$103,COLUMN(기본데이타!AT$8),0))</f>
        <v/>
      </c>
      <c r="T43" s="522" t="str">
        <f>IF($A43="","",VLOOKUP($A43,기본데이타!$A$8:$BV$103,COLUMN(기본데이타!AU$8),0))</f>
        <v/>
      </c>
      <c r="U43" s="387" t="str">
        <f>IF($A43="","",VLOOKUP($A43,기본데이타!$A$8:$BV$103,COLUMN(기본데이타!AV$8),0))</f>
        <v/>
      </c>
      <c r="V43" s="192" t="str">
        <f>IF($A43="","",VLOOKUP($A43,기본데이타!$A$8:$BV$103,COLUMN(기본데이타!AW$8),0))</f>
        <v/>
      </c>
      <c r="W43" s="192" t="str">
        <f>IF($A43="","",VLOOKUP($A43,기본데이타!$A$8:$BV$103,COLUMN(기본데이타!AX$8),0))</f>
        <v/>
      </c>
      <c r="X43" s="192" t="str">
        <f>IF($A43="","",VLOOKUP($A43,기본데이타!$A$8:$BV$103,COLUMN(기본데이타!AY$8),0))</f>
        <v/>
      </c>
      <c r="Y43" s="192" t="str">
        <f>IF($A43="","",VLOOKUP($A43,기본데이타!$A$8:$BV$103,COLUMN(기본데이타!AZ$8),0))</f>
        <v/>
      </c>
      <c r="Z43" s="295" t="str">
        <f>IF($A43="","",VLOOKUP($A43,기본데이타!$A$8:$BV$103,COLUMN(기본데이타!BN$8),0))</f>
        <v/>
      </c>
      <c r="AA43" s="295" t="str">
        <f>IF($A43="","",VLOOKUP($A43,기본데이타!$A$8:$BV$103,COLUMN(기본데이타!BO$8),0))</f>
        <v/>
      </c>
      <c r="AB43" s="295" t="str">
        <f>IF($A43="","",VLOOKUP($A43,기본데이타!$A$8:$BV$103,COLUMN(기본데이타!BP$8),0))</f>
        <v/>
      </c>
      <c r="AC43" s="295" t="str">
        <f>IF($A43="","",VLOOKUP($A43,기본데이타!$A$8:$BV$103,COLUMN(기본데이타!BQ$8),0))</f>
        <v/>
      </c>
      <c r="AD43" s="295" t="str">
        <f>IF($A43="","",VLOOKUP($A43,기본데이타!$A$8:$BV$103,COLUMN(기본데이타!BR$8),0))</f>
        <v/>
      </c>
      <c r="AE43" s="295" t="str">
        <f>IF($A43="","",VLOOKUP($A43,기본데이타!$A$8:$BV$103,COLUMN(기본데이타!BS$8),0))</f>
        <v/>
      </c>
      <c r="AF43" s="296"/>
      <c r="AG43" s="433" t="str">
        <f>IF($A43="","",VLOOKUP($A43,기본데이타!$A$8:$BV$103,COLUMN(기본데이타!BU$8),0))</f>
        <v/>
      </c>
      <c r="AH43" s="297" t="str">
        <f t="shared" si="14"/>
        <v/>
      </c>
    </row>
    <row r="44" spans="1:35" s="187" customFormat="1" ht="35.1" hidden="1" customHeight="1">
      <c r="A44" s="346"/>
      <c r="B44" s="347"/>
      <c r="C44" s="193"/>
      <c r="D44" s="308">
        <f>COUNTA(A33:A43)</f>
        <v>0</v>
      </c>
      <c r="E44" s="309">
        <f t="shared" ref="E44:AC44" si="15">SUM(E33:E43)</f>
        <v>0</v>
      </c>
      <c r="F44" s="310">
        <f t="shared" si="15"/>
        <v>0</v>
      </c>
      <c r="G44" s="310">
        <f t="shared" si="15"/>
        <v>0</v>
      </c>
      <c r="H44" s="310">
        <f t="shared" si="15"/>
        <v>0</v>
      </c>
      <c r="I44" s="311">
        <f t="shared" si="15"/>
        <v>0</v>
      </c>
      <c r="J44" s="379">
        <f>SUM(J33:J43)</f>
        <v>0</v>
      </c>
      <c r="K44" s="379">
        <f t="shared" ref="K44:U44" si="16">SUM(K33:K43)</f>
        <v>0</v>
      </c>
      <c r="L44" s="379">
        <f t="shared" si="16"/>
        <v>0</v>
      </c>
      <c r="M44" s="379">
        <f t="shared" si="16"/>
        <v>0</v>
      </c>
      <c r="N44" s="379">
        <f t="shared" si="16"/>
        <v>0</v>
      </c>
      <c r="O44" s="379">
        <f t="shared" si="16"/>
        <v>0</v>
      </c>
      <c r="P44" s="379">
        <f t="shared" si="16"/>
        <v>0</v>
      </c>
      <c r="Q44" s="379">
        <f t="shared" si="16"/>
        <v>0</v>
      </c>
      <c r="R44" s="379">
        <f t="shared" ref="R44:S44" si="17">SUM(R33:R43)</f>
        <v>0</v>
      </c>
      <c r="S44" s="379">
        <f t="shared" si="17"/>
        <v>0</v>
      </c>
      <c r="T44" s="379">
        <f t="shared" ref="T44" si="18">SUM(T33:T43)</f>
        <v>0</v>
      </c>
      <c r="U44" s="994">
        <f t="shared" si="16"/>
        <v>0</v>
      </c>
      <c r="V44" s="312">
        <f t="shared" si="15"/>
        <v>0</v>
      </c>
      <c r="W44" s="312">
        <f t="shared" si="15"/>
        <v>0</v>
      </c>
      <c r="X44" s="312">
        <f t="shared" si="15"/>
        <v>0</v>
      </c>
      <c r="Y44" s="312">
        <f t="shared" si="15"/>
        <v>0</v>
      </c>
      <c r="Z44" s="311">
        <f t="shared" si="15"/>
        <v>0</v>
      </c>
      <c r="AA44" s="311">
        <f t="shared" si="15"/>
        <v>0</v>
      </c>
      <c r="AB44" s="311">
        <f t="shared" si="15"/>
        <v>0</v>
      </c>
      <c r="AC44" s="311">
        <f t="shared" si="15"/>
        <v>0</v>
      </c>
      <c r="AD44" s="313"/>
      <c r="AE44" s="314">
        <f>IF(COUNTA(AE33:AE43)=1,AE33,용도별분석!BQ14)</f>
        <v>0</v>
      </c>
      <c r="AF44" s="808" t="str">
        <f>용도별분석!BR14</f>
        <v>한도초과</v>
      </c>
      <c r="AG44" s="434" t="e">
        <f>용도별분석!BS14</f>
        <v>#DIV/0!</v>
      </c>
      <c r="AH44" s="298" t="str">
        <f>IF(A44="","",A44)</f>
        <v/>
      </c>
      <c r="AI44" s="264">
        <f>AE44-SUM(AE33:AE43)</f>
        <v>0</v>
      </c>
    </row>
    <row r="45" spans="1:35" s="187" customFormat="1" ht="34.5" hidden="1" customHeight="1">
      <c r="A45" s="345"/>
      <c r="C45" s="190" t="s">
        <v>110</v>
      </c>
      <c r="D45" s="191" t="str">
        <f>IF($A45="","",VLOOKUP($A45,기본데이타!$A$8:$BV$103,COLUMN(기본데이타!F$8),0))</f>
        <v/>
      </c>
      <c r="E45" s="305" t="str">
        <f>IF($A45="","",VLOOKUP($A45,기본데이타!$A$8:$BV$103,COLUMN(기본데이타!G$8),0))</f>
        <v/>
      </c>
      <c r="F45" s="301" t="str">
        <f>IF($A45="","",VLOOKUP($A45,기본데이타!$A$8:$BV$103,COLUMN(기본데이타!H$8),0))</f>
        <v/>
      </c>
      <c r="G45" s="301" t="str">
        <f>IF($A45="","",VLOOKUP($A45,기본데이타!$A$8:$BV$103,COLUMN(기본데이타!I$8),0))</f>
        <v/>
      </c>
      <c r="H45" s="301" t="str">
        <f>IF($A45="","",VLOOKUP($A45,기본데이타!$A$8:$BV$103,COLUMN(기본데이타!J$8),0))</f>
        <v/>
      </c>
      <c r="I45" s="303" t="str">
        <f>IF($A45="","",VLOOKUP($A45,기본데이타!$A$8:$BV$103,COLUMN(기본데이타!AJ$8),0))</f>
        <v/>
      </c>
      <c r="J45" s="386" t="str">
        <f>IF($A45="","",VLOOKUP($A45,기본데이타!$A$8:$BV$103,COLUMN(기본데이타!AK$8),0))</f>
        <v/>
      </c>
      <c r="K45" s="386" t="str">
        <f>IF($A45="","",VLOOKUP($A45,기본데이타!$A$8:$BV$103,COLUMN(기본데이타!AL$8),0))</f>
        <v/>
      </c>
      <c r="L45" s="386" t="str">
        <f>IF($A45="","",VLOOKUP($A45,기본데이타!$A$8:$BV$103,COLUMN(기본데이타!AM$8),0))</f>
        <v/>
      </c>
      <c r="M45" s="386" t="str">
        <f>IF($A45="","",VLOOKUP($A45,기본데이타!$A$8:$BV$103,COLUMN(기본데이타!AN$8),0))</f>
        <v/>
      </c>
      <c r="N45" s="386" t="str">
        <f>IF($A45="","",VLOOKUP($A45,기본데이타!$A$8:$BV$103,COLUMN(기본데이타!AO$8),0))</f>
        <v/>
      </c>
      <c r="O45" s="386" t="str">
        <f>IF($A45="","",VLOOKUP($A45,기본데이타!$A$8:$BV$103,COLUMN(기본데이타!AP$8),0))</f>
        <v/>
      </c>
      <c r="P45" s="386" t="str">
        <f>IF($A45="","",VLOOKUP($A45,기본데이타!$A$8:$BV$103,COLUMN(기본데이타!AQ$8),0))</f>
        <v/>
      </c>
      <c r="Q45" s="386" t="str">
        <f>IF($A45="","",VLOOKUP($A45,기본데이타!$A$8:$BV$103,COLUMN(기본데이타!AR$8),0))</f>
        <v/>
      </c>
      <c r="R45" s="386" t="str">
        <f>IF($A45="","",VLOOKUP($A45,기본데이타!$A$8:$BV$103,COLUMN(기본데이타!AS$8),0))</f>
        <v/>
      </c>
      <c r="S45" s="386" t="str">
        <f>IF($A45="","",VLOOKUP($A45,기본데이타!$A$8:$BV$103,COLUMN(기본데이타!AT$8),0))</f>
        <v/>
      </c>
      <c r="T45" s="386" t="str">
        <f>IF($A45="","",VLOOKUP($A45,기본데이타!$A$8:$BV$103,COLUMN(기본데이타!AU$8),0))</f>
        <v/>
      </c>
      <c r="U45" s="386" t="str">
        <f>IF($A45="","",VLOOKUP($A45,기본데이타!$A$8:$BV$103,COLUMN(기본데이타!AV$8),0))</f>
        <v/>
      </c>
      <c r="V45" s="302" t="str">
        <f>IF($A45="","",VLOOKUP($A45,기본데이타!$A$8:$BV$103,COLUMN(기본데이타!AW$8),0))</f>
        <v/>
      </c>
      <c r="W45" s="302" t="str">
        <f>IF($A45="","",VLOOKUP($A45,기본데이타!$A$8:$BV$103,COLUMN(기본데이타!AX$8),0))</f>
        <v/>
      </c>
      <c r="X45" s="302" t="str">
        <f>IF($A45="","",VLOOKUP($A45,기본데이타!$A$8:$BV$103,COLUMN(기본데이타!AY$8),0))</f>
        <v/>
      </c>
      <c r="Y45" s="302" t="str">
        <f>IF($A45="","",VLOOKUP($A45,기본데이타!$A$8:$BV$103,COLUMN(기본데이타!AZ$8),0))</f>
        <v/>
      </c>
      <c r="Z45" s="303" t="str">
        <f>IF($A45="","",VLOOKUP($A45,기본데이타!$A$8:$BV$103,COLUMN(기본데이타!BN$8),0))</f>
        <v/>
      </c>
      <c r="AA45" s="303" t="str">
        <f>IF($A45="","",VLOOKUP($A45,기본데이타!$A$8:$BV$103,COLUMN(기본데이타!BO$8),0))</f>
        <v/>
      </c>
      <c r="AB45" s="303" t="str">
        <f>IF($A45="","",VLOOKUP($A45,기본데이타!$A$8:$BV$103,COLUMN(기본데이타!BP$8),0))</f>
        <v/>
      </c>
      <c r="AC45" s="303" t="str">
        <f>IF($A45="","",VLOOKUP($A45,기본데이타!$A$8:$BV$103,COLUMN(기본데이타!BQ$8),0))</f>
        <v/>
      </c>
      <c r="AD45" s="303" t="str">
        <f>IF($A45="","",VLOOKUP($A45,기본데이타!$A$8:$BV$103,COLUMN(기본데이타!BR$8),0))</f>
        <v/>
      </c>
      <c r="AE45" s="303" t="str">
        <f>IF($A45="","",VLOOKUP($A45,기본데이타!$A$8:$BV$103,COLUMN(기본데이타!BS$8),0))</f>
        <v/>
      </c>
      <c r="AF45" s="523" t="str">
        <f>IF($A45="","",VLOOKUP($A45,기본데이타!$A$8:$BV$103,COLUMN(기본데이타!BT$8),0))</f>
        <v/>
      </c>
      <c r="AG45" s="436" t="str">
        <f>IF($A45="","",VLOOKUP($A45,기본데이타!$A$8:$BV$103,COLUMN(기본데이타!BU$8),0))</f>
        <v/>
      </c>
      <c r="AH45" s="304" t="str">
        <f>IF(A45="","",A45)</f>
        <v/>
      </c>
    </row>
    <row r="46" spans="1:35" s="187" customFormat="1" ht="35.1" hidden="1" customHeight="1">
      <c r="A46" s="345"/>
      <c r="C46" s="190"/>
      <c r="D46" s="8" t="str">
        <f>IF($A46="","",VLOOKUP($A46,기본데이타!$A$8:$BV$103,COLUMN(기본데이타!F$8),0))</f>
        <v/>
      </c>
      <c r="E46" s="252" t="str">
        <f>IF($A46="","",VLOOKUP($A46,기본데이타!$A$8:$BV$103,COLUMN(기본데이타!G$8),0))</f>
        <v/>
      </c>
      <c r="F46" s="15" t="str">
        <f>IF($A46="","",VLOOKUP($A46,기본데이타!$A$8:$BV$103,COLUMN(기본데이타!H$8),0))</f>
        <v/>
      </c>
      <c r="G46" s="15" t="str">
        <f>IF($A46="","",VLOOKUP($A46,기본데이타!$A$8:$BV$103,COLUMN(기본데이타!I$8),0))</f>
        <v/>
      </c>
      <c r="H46" s="15" t="str">
        <f>IF($A46="","",VLOOKUP($A46,기본데이타!$A$8:$BV$103,COLUMN(기본데이타!J$8),0))</f>
        <v/>
      </c>
      <c r="I46" s="17" t="str">
        <f>IF($A46="","",VLOOKUP($A46,기본데이타!$A$8:$BV$103,COLUMN(기본데이타!AJ$8),0))</f>
        <v/>
      </c>
      <c r="J46" s="386" t="str">
        <f>IF($A46="","",VLOOKUP($A46,기본데이타!$A$8:$BV$103,COLUMN(기본데이타!AK$8),0))</f>
        <v/>
      </c>
      <c r="K46" s="386" t="str">
        <f>IF($A46="","",VLOOKUP($A46,기본데이타!$A$8:$BV$103,COLUMN(기본데이타!AL$8),0))</f>
        <v/>
      </c>
      <c r="L46" s="386" t="str">
        <f>IF($A46="","",VLOOKUP($A46,기본데이타!$A$8:$BV$103,COLUMN(기본데이타!AM$8),0))</f>
        <v/>
      </c>
      <c r="M46" s="386" t="str">
        <f>IF($A46="","",VLOOKUP($A46,기본데이타!$A$8:$BV$103,COLUMN(기본데이타!AN$8),0))</f>
        <v/>
      </c>
      <c r="N46" s="386" t="str">
        <f>IF($A46="","",VLOOKUP($A46,기본데이타!$A$8:$BV$103,COLUMN(기본데이타!AO$8),0))</f>
        <v/>
      </c>
      <c r="O46" s="386" t="str">
        <f>IF($A46="","",VLOOKUP($A46,기본데이타!$A$8:$BV$103,COLUMN(기본데이타!AP$8),0))</f>
        <v/>
      </c>
      <c r="P46" s="386" t="str">
        <f>IF($A46="","",VLOOKUP($A46,기본데이타!$A$8:$BV$103,COLUMN(기본데이타!AQ$8),0))</f>
        <v/>
      </c>
      <c r="Q46" s="386" t="str">
        <f>IF($A46="","",VLOOKUP($A46,기본데이타!$A$8:$BV$103,COLUMN(기본데이타!AR$8),0))</f>
        <v/>
      </c>
      <c r="R46" s="386" t="str">
        <f>IF($A46="","",VLOOKUP($A46,기본데이타!$A$8:$BV$103,COLUMN(기본데이타!AS$8),0))</f>
        <v/>
      </c>
      <c r="S46" s="386" t="str">
        <f>IF($A46="","",VLOOKUP($A46,기본데이타!$A$8:$BV$103,COLUMN(기본데이타!AT$8),0))</f>
        <v/>
      </c>
      <c r="T46" s="386" t="str">
        <f>IF($A46="","",VLOOKUP($A46,기본데이타!$A$8:$BV$103,COLUMN(기본데이타!AU$8),0))</f>
        <v/>
      </c>
      <c r="U46" s="386" t="str">
        <f>IF($A46="","",VLOOKUP($A46,기본데이타!$A$8:$BV$103,COLUMN(기본데이타!AV$8),0))</f>
        <v/>
      </c>
      <c r="V46" s="16" t="str">
        <f>IF($A46="","",VLOOKUP($A46,기본데이타!$A$8:$BV$103,COLUMN(기본데이타!AW$8),0))</f>
        <v/>
      </c>
      <c r="W46" s="16" t="str">
        <f>IF($A46="","",VLOOKUP($A46,기본데이타!$A$8:$BV$103,COLUMN(기본데이타!AX$8),0))</f>
        <v/>
      </c>
      <c r="X46" s="16" t="str">
        <f>IF($A46="","",VLOOKUP($A46,기본데이타!$A$8:$BV$103,COLUMN(기본데이타!AY$8),0))</f>
        <v/>
      </c>
      <c r="Y46" s="16" t="str">
        <f>IF($A46="","",VLOOKUP($A46,기본데이타!$A$8:$BV$103,COLUMN(기본데이타!AZ$8),0))</f>
        <v/>
      </c>
      <c r="Z46" s="17" t="str">
        <f>IF($A46="","",VLOOKUP($A46,기본데이타!$A$8:$BV$103,COLUMN(기본데이타!BN$8),0))</f>
        <v/>
      </c>
      <c r="AA46" s="17" t="str">
        <f>IF($A46="","",VLOOKUP($A46,기본데이타!$A$8:$BV$103,COLUMN(기본데이타!BO$8),0))</f>
        <v/>
      </c>
      <c r="AB46" s="17" t="str">
        <f>IF($A46="","",VLOOKUP($A46,기본데이타!$A$8:$BV$103,COLUMN(기본데이타!BP$8),0))</f>
        <v/>
      </c>
      <c r="AC46" s="17" t="str">
        <f>IF($A46="","",VLOOKUP($A46,기본데이타!$A$8:$BV$103,COLUMN(기본데이타!BQ$8),0))</f>
        <v/>
      </c>
      <c r="AD46" s="17" t="str">
        <f>IF($A46="","",VLOOKUP($A46,기본데이타!$A$8:$BV$103,COLUMN(기본데이타!BR$8),0))</f>
        <v/>
      </c>
      <c r="AE46" s="17" t="str">
        <f>IF($A46="","",VLOOKUP($A46,기본데이타!$A$8:$BV$103,COLUMN(기본데이타!BS$8),0))</f>
        <v/>
      </c>
      <c r="AF46" s="524" t="str">
        <f>IF($A46="","",VLOOKUP($A46,기본데이타!$A$8:$BV$103,COLUMN(기본데이타!BT$8),0))</f>
        <v/>
      </c>
      <c r="AG46" s="432" t="str">
        <f>IF($A46="","",VLOOKUP($A46,기본데이타!$A$8:$BV$103,COLUMN(기본데이타!BU$8),0))</f>
        <v/>
      </c>
      <c r="AH46" s="18" t="str">
        <f t="shared" ref="AH46:AH67" si="19">IF(A46="","",A46)</f>
        <v/>
      </c>
    </row>
    <row r="47" spans="1:35" s="187" customFormat="1" ht="35.1" hidden="1" customHeight="1">
      <c r="A47" s="345"/>
      <c r="C47" s="190"/>
      <c r="D47" s="8" t="str">
        <f>IF($A47="","",VLOOKUP($A47,기본데이타!$A$8:$BV$103,COLUMN(기본데이타!F$8),0))</f>
        <v/>
      </c>
      <c r="E47" s="252" t="str">
        <f>IF($A47="","",VLOOKUP($A47,기본데이타!$A$8:$BV$103,COLUMN(기본데이타!G$8),0))</f>
        <v/>
      </c>
      <c r="F47" s="15" t="str">
        <f>IF($A47="","",VLOOKUP($A47,기본데이타!$A$8:$BV$103,COLUMN(기본데이타!H$8),0))</f>
        <v/>
      </c>
      <c r="G47" s="15" t="str">
        <f>IF($A47="","",VLOOKUP($A47,기본데이타!$A$8:$BV$103,COLUMN(기본데이타!I$8),0))</f>
        <v/>
      </c>
      <c r="H47" s="15" t="str">
        <f>IF($A47="","",VLOOKUP($A47,기본데이타!$A$8:$BV$103,COLUMN(기본데이타!J$8),0))</f>
        <v/>
      </c>
      <c r="I47" s="17" t="str">
        <f>IF($A47="","",VLOOKUP($A47,기본데이타!$A$8:$BV$103,COLUMN(기본데이타!AJ$8),0))</f>
        <v/>
      </c>
      <c r="J47" s="386" t="str">
        <f>IF($A47="","",VLOOKUP($A47,기본데이타!$A$8:$BV$103,COLUMN(기본데이타!AK$8),0))</f>
        <v/>
      </c>
      <c r="K47" s="386" t="str">
        <f>IF($A47="","",VLOOKUP($A47,기본데이타!$A$8:$BV$103,COLUMN(기본데이타!AL$8),0))</f>
        <v/>
      </c>
      <c r="L47" s="386" t="str">
        <f>IF($A47="","",VLOOKUP($A47,기본데이타!$A$8:$BV$103,COLUMN(기본데이타!AM$8),0))</f>
        <v/>
      </c>
      <c r="M47" s="386" t="str">
        <f>IF($A47="","",VLOOKUP($A47,기본데이타!$A$8:$BV$103,COLUMN(기본데이타!AN$8),0))</f>
        <v/>
      </c>
      <c r="N47" s="386" t="str">
        <f>IF($A47="","",VLOOKUP($A47,기본데이타!$A$8:$BV$103,COLUMN(기본데이타!AO$8),0))</f>
        <v/>
      </c>
      <c r="O47" s="386" t="str">
        <f>IF($A47="","",VLOOKUP($A47,기본데이타!$A$8:$BV$103,COLUMN(기본데이타!AP$8),0))</f>
        <v/>
      </c>
      <c r="P47" s="386" t="str">
        <f>IF($A47="","",VLOOKUP($A47,기본데이타!$A$8:$BV$103,COLUMN(기본데이타!AQ$8),0))</f>
        <v/>
      </c>
      <c r="Q47" s="386" t="str">
        <f>IF($A47="","",VLOOKUP($A47,기본데이타!$A$8:$BV$103,COLUMN(기본데이타!AR$8),0))</f>
        <v/>
      </c>
      <c r="R47" s="386" t="str">
        <f>IF($A47="","",VLOOKUP($A47,기본데이타!$A$8:$BV$103,COLUMN(기본데이타!AS$8),0))</f>
        <v/>
      </c>
      <c r="S47" s="386" t="str">
        <f>IF($A47="","",VLOOKUP($A47,기본데이타!$A$8:$BV$103,COLUMN(기본데이타!AT$8),0))</f>
        <v/>
      </c>
      <c r="T47" s="386" t="str">
        <f>IF($A47="","",VLOOKUP($A47,기본데이타!$A$8:$BV$103,COLUMN(기본데이타!AU$8),0))</f>
        <v/>
      </c>
      <c r="U47" s="386" t="str">
        <f>IF($A47="","",VLOOKUP($A47,기본데이타!$A$8:$BV$103,COLUMN(기본데이타!AV$8),0))</f>
        <v/>
      </c>
      <c r="V47" s="16" t="str">
        <f>IF($A47="","",VLOOKUP($A47,기본데이타!$A$8:$BV$103,COLUMN(기본데이타!AW$8),0))</f>
        <v/>
      </c>
      <c r="W47" s="16" t="str">
        <f>IF($A47="","",VLOOKUP($A47,기본데이타!$A$8:$BV$103,COLUMN(기본데이타!AX$8),0))</f>
        <v/>
      </c>
      <c r="X47" s="16" t="str">
        <f>IF($A47="","",VLOOKUP($A47,기본데이타!$A$8:$BV$103,COLUMN(기본데이타!AY$8),0))</f>
        <v/>
      </c>
      <c r="Y47" s="16" t="str">
        <f>IF($A47="","",VLOOKUP($A47,기본데이타!$A$8:$BV$103,COLUMN(기본데이타!AZ$8),0))</f>
        <v/>
      </c>
      <c r="Z47" s="17" t="str">
        <f>IF($A47="","",VLOOKUP($A47,기본데이타!$A$8:$BV$103,COLUMN(기본데이타!BN$8),0))</f>
        <v/>
      </c>
      <c r="AA47" s="17" t="str">
        <f>IF($A47="","",VLOOKUP($A47,기본데이타!$A$8:$BV$103,COLUMN(기본데이타!BO$8),0))</f>
        <v/>
      </c>
      <c r="AB47" s="17" t="str">
        <f>IF($A47="","",VLOOKUP($A47,기본데이타!$A$8:$BV$103,COLUMN(기본데이타!BP$8),0))</f>
        <v/>
      </c>
      <c r="AC47" s="17" t="str">
        <f>IF($A47="","",VLOOKUP($A47,기본데이타!$A$8:$BV$103,COLUMN(기본데이타!BQ$8),0))</f>
        <v/>
      </c>
      <c r="AD47" s="17" t="str">
        <f>IF($A47="","",VLOOKUP($A47,기본데이타!$A$8:$BV$103,COLUMN(기본데이타!BR$8),0))</f>
        <v/>
      </c>
      <c r="AE47" s="17" t="str">
        <f>IF($A47="","",VLOOKUP($A47,기본데이타!$A$8:$BV$103,COLUMN(기본데이타!BS$8),0))</f>
        <v/>
      </c>
      <c r="AF47" s="524" t="str">
        <f>IF($A47="","",VLOOKUP($A47,기본데이타!$A$8:$BV$103,COLUMN(기본데이타!BT$8),0))</f>
        <v/>
      </c>
      <c r="AG47" s="432" t="str">
        <f>IF($A47="","",VLOOKUP($A47,기본데이타!$A$8:$BV$103,COLUMN(기본데이타!BU$8),0))</f>
        <v/>
      </c>
      <c r="AH47" s="18" t="str">
        <f t="shared" si="19"/>
        <v/>
      </c>
    </row>
    <row r="48" spans="1:35" s="187" customFormat="1" ht="35.1" hidden="1" customHeight="1">
      <c r="A48" s="345"/>
      <c r="C48" s="190"/>
      <c r="D48" s="8" t="str">
        <f>IF($A48="","",VLOOKUP($A48,기본데이타!$A$8:$BV$103,COLUMN(기본데이타!F$8),0))</f>
        <v/>
      </c>
      <c r="E48" s="252" t="str">
        <f>IF($A48="","",VLOOKUP($A48,기본데이타!$A$8:$BV$103,COLUMN(기본데이타!G$8),0))</f>
        <v/>
      </c>
      <c r="F48" s="15" t="str">
        <f>IF($A48="","",VLOOKUP($A48,기본데이타!$A$8:$BV$103,COLUMN(기본데이타!H$8),0))</f>
        <v/>
      </c>
      <c r="G48" s="15" t="str">
        <f>IF($A48="","",VLOOKUP($A48,기본데이타!$A$8:$BV$103,COLUMN(기본데이타!I$8),0))</f>
        <v/>
      </c>
      <c r="H48" s="15" t="str">
        <f>IF($A48="","",VLOOKUP($A48,기본데이타!$A$8:$BV$103,COLUMN(기본데이타!J$8),0))</f>
        <v/>
      </c>
      <c r="I48" s="17" t="str">
        <f>IF($A48="","",VLOOKUP($A48,기본데이타!$A$8:$BV$103,COLUMN(기본데이타!AJ$8),0))</f>
        <v/>
      </c>
      <c r="J48" s="386" t="str">
        <f>IF($A48="","",VLOOKUP($A48,기본데이타!$A$8:$BV$103,COLUMN(기본데이타!AK$8),0))</f>
        <v/>
      </c>
      <c r="K48" s="386" t="str">
        <f>IF($A48="","",VLOOKUP($A48,기본데이타!$A$8:$BV$103,COLUMN(기본데이타!AL$8),0))</f>
        <v/>
      </c>
      <c r="L48" s="386" t="str">
        <f>IF($A48="","",VLOOKUP($A48,기본데이타!$A$8:$BV$103,COLUMN(기본데이타!AM$8),0))</f>
        <v/>
      </c>
      <c r="M48" s="386" t="str">
        <f>IF($A48="","",VLOOKUP($A48,기본데이타!$A$8:$BV$103,COLUMN(기본데이타!AN$8),0))</f>
        <v/>
      </c>
      <c r="N48" s="386" t="str">
        <f>IF($A48="","",VLOOKUP($A48,기본데이타!$A$8:$BV$103,COLUMN(기본데이타!AO$8),0))</f>
        <v/>
      </c>
      <c r="O48" s="386" t="str">
        <f>IF($A48="","",VLOOKUP($A48,기본데이타!$A$8:$BV$103,COLUMN(기본데이타!AP$8),0))</f>
        <v/>
      </c>
      <c r="P48" s="386" t="str">
        <f>IF($A48="","",VLOOKUP($A48,기본데이타!$A$8:$BV$103,COLUMN(기본데이타!AQ$8),0))</f>
        <v/>
      </c>
      <c r="Q48" s="386" t="str">
        <f>IF($A48="","",VLOOKUP($A48,기본데이타!$A$8:$BV$103,COLUMN(기본데이타!AR$8),0))</f>
        <v/>
      </c>
      <c r="R48" s="386" t="str">
        <f>IF($A48="","",VLOOKUP($A48,기본데이타!$A$8:$BV$103,COLUMN(기본데이타!AS$8),0))</f>
        <v/>
      </c>
      <c r="S48" s="386" t="str">
        <f>IF($A48="","",VLOOKUP($A48,기본데이타!$A$8:$BV$103,COLUMN(기본데이타!AT$8),0))</f>
        <v/>
      </c>
      <c r="T48" s="386" t="str">
        <f>IF($A48="","",VLOOKUP($A48,기본데이타!$A$8:$BV$103,COLUMN(기본데이타!AU$8),0))</f>
        <v/>
      </c>
      <c r="U48" s="386" t="str">
        <f>IF($A48="","",VLOOKUP($A48,기본데이타!$A$8:$BV$103,COLUMN(기본데이타!AV$8),0))</f>
        <v/>
      </c>
      <c r="V48" s="16" t="str">
        <f>IF($A48="","",VLOOKUP($A48,기본데이타!$A$8:$BV$103,COLUMN(기본데이타!AW$8),0))</f>
        <v/>
      </c>
      <c r="W48" s="16" t="str">
        <f>IF($A48="","",VLOOKUP($A48,기본데이타!$A$8:$BV$103,COLUMN(기본데이타!AX$8),0))</f>
        <v/>
      </c>
      <c r="X48" s="16" t="str">
        <f>IF($A48="","",VLOOKUP($A48,기본데이타!$A$8:$BV$103,COLUMN(기본데이타!AY$8),0))</f>
        <v/>
      </c>
      <c r="Y48" s="16" t="str">
        <f>IF($A48="","",VLOOKUP($A48,기본데이타!$A$8:$BV$103,COLUMN(기본데이타!AZ$8),0))</f>
        <v/>
      </c>
      <c r="Z48" s="17" t="str">
        <f>IF($A48="","",VLOOKUP($A48,기본데이타!$A$8:$BV$103,COLUMN(기본데이타!BN$8),0))</f>
        <v/>
      </c>
      <c r="AA48" s="17" t="str">
        <f>IF($A48="","",VLOOKUP($A48,기본데이타!$A$8:$BV$103,COLUMN(기본데이타!BO$8),0))</f>
        <v/>
      </c>
      <c r="AB48" s="17" t="str">
        <f>IF($A48="","",VLOOKUP($A48,기본데이타!$A$8:$BV$103,COLUMN(기본데이타!BP$8),0))</f>
        <v/>
      </c>
      <c r="AC48" s="17" t="str">
        <f>IF($A48="","",VLOOKUP($A48,기본데이타!$A$8:$BV$103,COLUMN(기본데이타!BQ$8),0))</f>
        <v/>
      </c>
      <c r="AD48" s="17" t="str">
        <f>IF($A48="","",VLOOKUP($A48,기본데이타!$A$8:$BV$103,COLUMN(기본데이타!BR$8),0))</f>
        <v/>
      </c>
      <c r="AE48" s="17" t="str">
        <f>IF($A48="","",VLOOKUP($A48,기본데이타!$A$8:$BV$103,COLUMN(기본데이타!BS$8),0))</f>
        <v/>
      </c>
      <c r="AF48" s="524" t="str">
        <f>IF($A48="","",VLOOKUP($A48,기본데이타!$A$8:$BV$103,COLUMN(기본데이타!BT$8),0))</f>
        <v/>
      </c>
      <c r="AG48" s="432" t="str">
        <f>IF($A48="","",VLOOKUP($A48,기본데이타!$A$8:$BV$103,COLUMN(기본데이타!BU$8),0))</f>
        <v/>
      </c>
      <c r="AH48" s="18" t="str">
        <f t="shared" si="19"/>
        <v/>
      </c>
    </row>
    <row r="49" spans="1:34" s="187" customFormat="1" ht="35.1" hidden="1" customHeight="1">
      <c r="A49" s="345"/>
      <c r="C49" s="190"/>
      <c r="D49" s="8" t="str">
        <f>IF($A49="","",VLOOKUP($A49,기본데이타!$A$8:$BV$103,COLUMN(기본데이타!F$8),0))</f>
        <v/>
      </c>
      <c r="E49" s="252" t="str">
        <f>IF($A49="","",VLOOKUP($A49,기본데이타!$A$8:$BV$103,COLUMN(기본데이타!G$8),0))</f>
        <v/>
      </c>
      <c r="F49" s="15" t="str">
        <f>IF($A49="","",VLOOKUP($A49,기본데이타!$A$8:$BV$103,COLUMN(기본데이타!H$8),0))</f>
        <v/>
      </c>
      <c r="G49" s="15" t="str">
        <f>IF($A49="","",VLOOKUP($A49,기본데이타!$A$8:$BV$103,COLUMN(기본데이타!I$8),0))</f>
        <v/>
      </c>
      <c r="H49" s="15" t="str">
        <f>IF($A49="","",VLOOKUP($A49,기본데이타!$A$8:$BV$103,COLUMN(기본데이타!J$8),0))</f>
        <v/>
      </c>
      <c r="I49" s="17" t="str">
        <f>IF($A49="","",VLOOKUP($A49,기본데이타!$A$8:$BV$103,COLUMN(기본데이타!AJ$8),0))</f>
        <v/>
      </c>
      <c r="J49" s="386" t="str">
        <f>IF($A49="","",VLOOKUP($A49,기본데이타!$A$8:$BV$103,COLUMN(기본데이타!AK$8),0))</f>
        <v/>
      </c>
      <c r="K49" s="386" t="str">
        <f>IF($A49="","",VLOOKUP($A49,기본데이타!$A$8:$BV$103,COLUMN(기본데이타!AL$8),0))</f>
        <v/>
      </c>
      <c r="L49" s="386" t="str">
        <f>IF($A49="","",VLOOKUP($A49,기본데이타!$A$8:$BV$103,COLUMN(기본데이타!AM$8),0))</f>
        <v/>
      </c>
      <c r="M49" s="386" t="str">
        <f>IF($A49="","",VLOOKUP($A49,기본데이타!$A$8:$BV$103,COLUMN(기본데이타!AN$8),0))</f>
        <v/>
      </c>
      <c r="N49" s="386" t="str">
        <f>IF($A49="","",VLOOKUP($A49,기본데이타!$A$8:$BV$103,COLUMN(기본데이타!AO$8),0))</f>
        <v/>
      </c>
      <c r="O49" s="386" t="str">
        <f>IF($A49="","",VLOOKUP($A49,기본데이타!$A$8:$BV$103,COLUMN(기본데이타!AP$8),0))</f>
        <v/>
      </c>
      <c r="P49" s="386" t="str">
        <f>IF($A49="","",VLOOKUP($A49,기본데이타!$A$8:$BV$103,COLUMN(기본데이타!AQ$8),0))</f>
        <v/>
      </c>
      <c r="Q49" s="386" t="str">
        <f>IF($A49="","",VLOOKUP($A49,기본데이타!$A$8:$BV$103,COLUMN(기본데이타!AR$8),0))</f>
        <v/>
      </c>
      <c r="R49" s="386" t="str">
        <f>IF($A49="","",VLOOKUP($A49,기본데이타!$A$8:$BV$103,COLUMN(기본데이타!AS$8),0))</f>
        <v/>
      </c>
      <c r="S49" s="386" t="str">
        <f>IF($A49="","",VLOOKUP($A49,기본데이타!$A$8:$BV$103,COLUMN(기본데이타!AT$8),0))</f>
        <v/>
      </c>
      <c r="T49" s="386" t="str">
        <f>IF($A49="","",VLOOKUP($A49,기본데이타!$A$8:$BV$103,COLUMN(기본데이타!AU$8),0))</f>
        <v/>
      </c>
      <c r="U49" s="386" t="str">
        <f>IF($A49="","",VLOOKUP($A49,기본데이타!$A$8:$BV$103,COLUMN(기본데이타!AV$8),0))</f>
        <v/>
      </c>
      <c r="V49" s="16" t="str">
        <f>IF($A49="","",VLOOKUP($A49,기본데이타!$A$8:$BV$103,COLUMN(기본데이타!AW$8),0))</f>
        <v/>
      </c>
      <c r="W49" s="16" t="str">
        <f>IF($A49="","",VLOOKUP($A49,기본데이타!$A$8:$BV$103,COLUMN(기본데이타!AX$8),0))</f>
        <v/>
      </c>
      <c r="X49" s="16" t="str">
        <f>IF($A49="","",VLOOKUP($A49,기본데이타!$A$8:$BV$103,COLUMN(기본데이타!AY$8),0))</f>
        <v/>
      </c>
      <c r="Y49" s="16" t="str">
        <f>IF($A49="","",VLOOKUP($A49,기본데이타!$A$8:$BV$103,COLUMN(기본데이타!AZ$8),0))</f>
        <v/>
      </c>
      <c r="Z49" s="17" t="str">
        <f>IF($A49="","",VLOOKUP($A49,기본데이타!$A$8:$BV$103,COLUMN(기본데이타!BN$8),0))</f>
        <v/>
      </c>
      <c r="AA49" s="17" t="str">
        <f>IF($A49="","",VLOOKUP($A49,기본데이타!$A$8:$BV$103,COLUMN(기본데이타!BO$8),0))</f>
        <v/>
      </c>
      <c r="AB49" s="17" t="str">
        <f>IF($A49="","",VLOOKUP($A49,기본데이타!$A$8:$BV$103,COLUMN(기본데이타!BP$8),0))</f>
        <v/>
      </c>
      <c r="AC49" s="17" t="str">
        <f>IF($A49="","",VLOOKUP($A49,기본데이타!$A$8:$BV$103,COLUMN(기본데이타!BQ$8),0))</f>
        <v/>
      </c>
      <c r="AD49" s="17" t="str">
        <f>IF($A49="","",VLOOKUP($A49,기본데이타!$A$8:$BV$103,COLUMN(기본데이타!BR$8),0))</f>
        <v/>
      </c>
      <c r="AE49" s="17" t="str">
        <f>IF($A49="","",VLOOKUP($A49,기본데이타!$A$8:$BV$103,COLUMN(기본데이타!BS$8),0))</f>
        <v/>
      </c>
      <c r="AF49" s="524" t="str">
        <f>IF($A49="","",VLOOKUP($A49,기본데이타!$A$8:$BV$103,COLUMN(기본데이타!BT$8),0))</f>
        <v/>
      </c>
      <c r="AG49" s="432" t="str">
        <f>IF($A49="","",VLOOKUP($A49,기본데이타!$A$8:$BV$103,COLUMN(기본데이타!BU$8),0))</f>
        <v/>
      </c>
      <c r="AH49" s="18" t="str">
        <f t="shared" si="19"/>
        <v/>
      </c>
    </row>
    <row r="50" spans="1:34" s="187" customFormat="1" ht="35.1" hidden="1" customHeight="1">
      <c r="A50" s="345"/>
      <c r="C50" s="190"/>
      <c r="D50" s="8" t="str">
        <f>IF($A50="","",VLOOKUP($A50,기본데이타!$A$8:$BV$103,COLUMN(기본데이타!F$8),0))</f>
        <v/>
      </c>
      <c r="E50" s="252" t="str">
        <f>IF($A50="","",VLOOKUP($A50,기본데이타!$A$8:$BV$103,COLUMN(기본데이타!G$8),0))</f>
        <v/>
      </c>
      <c r="F50" s="15" t="str">
        <f>IF($A50="","",VLOOKUP($A50,기본데이타!$A$8:$BV$103,COLUMN(기본데이타!H$8),0))</f>
        <v/>
      </c>
      <c r="G50" s="15" t="str">
        <f>IF($A50="","",VLOOKUP($A50,기본데이타!$A$8:$BV$103,COLUMN(기본데이타!I$8),0))</f>
        <v/>
      </c>
      <c r="H50" s="15" t="str">
        <f>IF($A50="","",VLOOKUP($A50,기본데이타!$A$8:$BV$103,COLUMN(기본데이타!J$8),0))</f>
        <v/>
      </c>
      <c r="I50" s="17" t="str">
        <f>IF($A50="","",VLOOKUP($A50,기본데이타!$A$8:$BV$103,COLUMN(기본데이타!AJ$8),0))</f>
        <v/>
      </c>
      <c r="J50" s="386" t="str">
        <f>IF($A50="","",VLOOKUP($A50,기본데이타!$A$8:$BV$103,COLUMN(기본데이타!AK$8),0))</f>
        <v/>
      </c>
      <c r="K50" s="386" t="str">
        <f>IF($A50="","",VLOOKUP($A50,기본데이타!$A$8:$BV$103,COLUMN(기본데이타!AL$8),0))</f>
        <v/>
      </c>
      <c r="L50" s="386" t="str">
        <f>IF($A50="","",VLOOKUP($A50,기본데이타!$A$8:$BV$103,COLUMN(기본데이타!AM$8),0))</f>
        <v/>
      </c>
      <c r="M50" s="386" t="str">
        <f>IF($A50="","",VLOOKUP($A50,기본데이타!$A$8:$BV$103,COLUMN(기본데이타!AN$8),0))</f>
        <v/>
      </c>
      <c r="N50" s="386" t="str">
        <f>IF($A50="","",VLOOKUP($A50,기본데이타!$A$8:$BV$103,COLUMN(기본데이타!AO$8),0))</f>
        <v/>
      </c>
      <c r="O50" s="386" t="str">
        <f>IF($A50="","",VLOOKUP($A50,기본데이타!$A$8:$BV$103,COLUMN(기본데이타!AP$8),0))</f>
        <v/>
      </c>
      <c r="P50" s="386" t="str">
        <f>IF($A50="","",VLOOKUP($A50,기본데이타!$A$8:$BV$103,COLUMN(기본데이타!AQ$8),0))</f>
        <v/>
      </c>
      <c r="Q50" s="386" t="str">
        <f>IF($A50="","",VLOOKUP($A50,기본데이타!$A$8:$BV$103,COLUMN(기본데이타!AR$8),0))</f>
        <v/>
      </c>
      <c r="R50" s="386" t="str">
        <f>IF($A50="","",VLOOKUP($A50,기본데이타!$A$8:$BV$103,COLUMN(기본데이타!AS$8),0))</f>
        <v/>
      </c>
      <c r="S50" s="386" t="str">
        <f>IF($A50="","",VLOOKUP($A50,기본데이타!$A$8:$BV$103,COLUMN(기본데이타!AT$8),0))</f>
        <v/>
      </c>
      <c r="T50" s="386" t="str">
        <f>IF($A50="","",VLOOKUP($A50,기본데이타!$A$8:$BV$103,COLUMN(기본데이타!AU$8),0))</f>
        <v/>
      </c>
      <c r="U50" s="386" t="str">
        <f>IF($A50="","",VLOOKUP($A50,기본데이타!$A$8:$BV$103,COLUMN(기본데이타!AV$8),0))</f>
        <v/>
      </c>
      <c r="V50" s="16" t="str">
        <f>IF($A50="","",VLOOKUP($A50,기본데이타!$A$8:$BV$103,COLUMN(기본데이타!AW$8),0))</f>
        <v/>
      </c>
      <c r="W50" s="16" t="str">
        <f>IF($A50="","",VLOOKUP($A50,기본데이타!$A$8:$BV$103,COLUMN(기본데이타!AX$8),0))</f>
        <v/>
      </c>
      <c r="X50" s="16" t="str">
        <f>IF($A50="","",VLOOKUP($A50,기본데이타!$A$8:$BV$103,COLUMN(기본데이타!AY$8),0))</f>
        <v/>
      </c>
      <c r="Y50" s="16" t="str">
        <f>IF($A50="","",VLOOKUP($A50,기본데이타!$A$8:$BV$103,COLUMN(기본데이타!AZ$8),0))</f>
        <v/>
      </c>
      <c r="Z50" s="17" t="str">
        <f>IF($A50="","",VLOOKUP($A50,기본데이타!$A$8:$BV$103,COLUMN(기본데이타!BN$8),0))</f>
        <v/>
      </c>
      <c r="AA50" s="17" t="str">
        <f>IF($A50="","",VLOOKUP($A50,기본데이타!$A$8:$BV$103,COLUMN(기본데이타!BO$8),0))</f>
        <v/>
      </c>
      <c r="AB50" s="17" t="str">
        <f>IF($A50="","",VLOOKUP($A50,기본데이타!$A$8:$BV$103,COLUMN(기본데이타!BP$8),0))</f>
        <v/>
      </c>
      <c r="AC50" s="17" t="str">
        <f>IF($A50="","",VLOOKUP($A50,기본데이타!$A$8:$BV$103,COLUMN(기본데이타!BQ$8),0))</f>
        <v/>
      </c>
      <c r="AD50" s="17" t="str">
        <f>IF($A50="","",VLOOKUP($A50,기본데이타!$A$8:$BV$103,COLUMN(기본데이타!BR$8),0))</f>
        <v/>
      </c>
      <c r="AE50" s="17" t="str">
        <f>IF($A50="","",VLOOKUP($A50,기본데이타!$A$8:$BV$103,COLUMN(기본데이타!BS$8),0))</f>
        <v/>
      </c>
      <c r="AF50" s="524" t="str">
        <f>IF($A50="","",VLOOKUP($A50,기본데이타!$A$8:$BV$103,COLUMN(기본데이타!BT$8),0))</f>
        <v/>
      </c>
      <c r="AG50" s="432" t="str">
        <f>IF($A50="","",VLOOKUP($A50,기본데이타!$A$8:$BV$103,COLUMN(기본데이타!BU$8),0))</f>
        <v/>
      </c>
      <c r="AH50" s="18" t="str">
        <f t="shared" si="19"/>
        <v/>
      </c>
    </row>
    <row r="51" spans="1:34" s="187" customFormat="1" ht="35.1" hidden="1" customHeight="1">
      <c r="A51" s="345"/>
      <c r="C51" s="190"/>
      <c r="D51" s="8" t="str">
        <f>IF($A51="","",VLOOKUP($A51,기본데이타!$A$8:$BV$103,COLUMN(기본데이타!F$8),0))</f>
        <v/>
      </c>
      <c r="E51" s="252" t="str">
        <f>IF($A51="","",VLOOKUP($A51,기본데이타!$A$8:$BV$103,COLUMN(기본데이타!G$8),0))</f>
        <v/>
      </c>
      <c r="F51" s="15" t="str">
        <f>IF($A51="","",VLOOKUP($A51,기본데이타!$A$8:$BV$103,COLUMN(기본데이타!H$8),0))</f>
        <v/>
      </c>
      <c r="G51" s="15" t="str">
        <f>IF($A51="","",VLOOKUP($A51,기본데이타!$A$8:$BV$103,COLUMN(기본데이타!I$8),0))</f>
        <v/>
      </c>
      <c r="H51" s="15" t="str">
        <f>IF($A51="","",VLOOKUP($A51,기본데이타!$A$8:$BV$103,COLUMN(기본데이타!J$8),0))</f>
        <v/>
      </c>
      <c r="I51" s="17" t="str">
        <f>IF($A51="","",VLOOKUP($A51,기본데이타!$A$8:$BV$103,COLUMN(기본데이타!AJ$8),0))</f>
        <v/>
      </c>
      <c r="J51" s="386" t="str">
        <f>IF($A51="","",VLOOKUP($A51,기본데이타!$A$8:$BV$103,COLUMN(기본데이타!AK$8),0))</f>
        <v/>
      </c>
      <c r="K51" s="386" t="str">
        <f>IF($A51="","",VLOOKUP($A51,기본데이타!$A$8:$BV$103,COLUMN(기본데이타!AL$8),0))</f>
        <v/>
      </c>
      <c r="L51" s="386" t="str">
        <f>IF($A51="","",VLOOKUP($A51,기본데이타!$A$8:$BV$103,COLUMN(기본데이타!AM$8),0))</f>
        <v/>
      </c>
      <c r="M51" s="386" t="str">
        <f>IF($A51="","",VLOOKUP($A51,기본데이타!$A$8:$BV$103,COLUMN(기본데이타!AN$8),0))</f>
        <v/>
      </c>
      <c r="N51" s="386" t="str">
        <f>IF($A51="","",VLOOKUP($A51,기본데이타!$A$8:$BV$103,COLUMN(기본데이타!AO$8),0))</f>
        <v/>
      </c>
      <c r="O51" s="386" t="str">
        <f>IF($A51="","",VLOOKUP($A51,기본데이타!$A$8:$BV$103,COLUMN(기본데이타!AP$8),0))</f>
        <v/>
      </c>
      <c r="P51" s="386" t="str">
        <f>IF($A51="","",VLOOKUP($A51,기본데이타!$A$8:$BV$103,COLUMN(기본데이타!AQ$8),0))</f>
        <v/>
      </c>
      <c r="Q51" s="386" t="str">
        <f>IF($A51="","",VLOOKUP($A51,기본데이타!$A$8:$BV$103,COLUMN(기본데이타!AR$8),0))</f>
        <v/>
      </c>
      <c r="R51" s="386" t="str">
        <f>IF($A51="","",VLOOKUP($A51,기본데이타!$A$8:$BV$103,COLUMN(기본데이타!AS$8),0))</f>
        <v/>
      </c>
      <c r="S51" s="386" t="str">
        <f>IF($A51="","",VLOOKUP($A51,기본데이타!$A$8:$BV$103,COLUMN(기본데이타!AT$8),0))</f>
        <v/>
      </c>
      <c r="T51" s="386" t="str">
        <f>IF($A51="","",VLOOKUP($A51,기본데이타!$A$8:$BV$103,COLUMN(기본데이타!AU$8),0))</f>
        <v/>
      </c>
      <c r="U51" s="386" t="str">
        <f>IF($A51="","",VLOOKUP($A51,기본데이타!$A$8:$BV$103,COLUMN(기본데이타!AV$8),0))</f>
        <v/>
      </c>
      <c r="V51" s="16" t="str">
        <f>IF($A51="","",VLOOKUP($A51,기본데이타!$A$8:$BV$103,COLUMN(기본데이타!AW$8),0))</f>
        <v/>
      </c>
      <c r="W51" s="16" t="str">
        <f>IF($A51="","",VLOOKUP($A51,기본데이타!$A$8:$BV$103,COLUMN(기본데이타!AX$8),0))</f>
        <v/>
      </c>
      <c r="X51" s="16" t="str">
        <f>IF($A51="","",VLOOKUP($A51,기본데이타!$A$8:$BV$103,COLUMN(기본데이타!AY$8),0))</f>
        <v/>
      </c>
      <c r="Y51" s="16" t="str">
        <f>IF($A51="","",VLOOKUP($A51,기본데이타!$A$8:$BV$103,COLUMN(기본데이타!AZ$8),0))</f>
        <v/>
      </c>
      <c r="Z51" s="17" t="str">
        <f>IF($A51="","",VLOOKUP($A51,기본데이타!$A$8:$BV$103,COLUMN(기본데이타!BN$8),0))</f>
        <v/>
      </c>
      <c r="AA51" s="17" t="str">
        <f>IF($A51="","",VLOOKUP($A51,기본데이타!$A$8:$BV$103,COLUMN(기본데이타!BO$8),0))</f>
        <v/>
      </c>
      <c r="AB51" s="17" t="str">
        <f>IF($A51="","",VLOOKUP($A51,기본데이타!$A$8:$BV$103,COLUMN(기본데이타!BP$8),0))</f>
        <v/>
      </c>
      <c r="AC51" s="17" t="str">
        <f>IF($A51="","",VLOOKUP($A51,기본데이타!$A$8:$BV$103,COLUMN(기본데이타!BQ$8),0))</f>
        <v/>
      </c>
      <c r="AD51" s="17" t="str">
        <f>IF($A51="","",VLOOKUP($A51,기본데이타!$A$8:$BV$103,COLUMN(기본데이타!BR$8),0))</f>
        <v/>
      </c>
      <c r="AE51" s="17" t="str">
        <f>IF($A51="","",VLOOKUP($A51,기본데이타!$A$8:$BV$103,COLUMN(기본데이타!BS$8),0))</f>
        <v/>
      </c>
      <c r="AF51" s="524" t="str">
        <f>IF($A51="","",VLOOKUP($A51,기본데이타!$A$8:$BV$103,COLUMN(기본데이타!BT$8),0))</f>
        <v/>
      </c>
      <c r="AG51" s="432" t="str">
        <f>IF($A51="","",VLOOKUP($A51,기본데이타!$A$8:$BV$103,COLUMN(기본데이타!BU$8),0))</f>
        <v/>
      </c>
      <c r="AH51" s="18" t="str">
        <f t="shared" si="19"/>
        <v/>
      </c>
    </row>
    <row r="52" spans="1:34" s="187" customFormat="1" ht="35.1" hidden="1" customHeight="1">
      <c r="A52" s="345"/>
      <c r="C52" s="190"/>
      <c r="D52" s="8" t="str">
        <f>IF($A52="","",VLOOKUP($A52,기본데이타!$A$8:$BV$103,COLUMN(기본데이타!F$8),0))</f>
        <v/>
      </c>
      <c r="E52" s="252" t="str">
        <f>IF($A52="","",VLOOKUP($A52,기본데이타!$A$8:$BV$103,COLUMN(기본데이타!G$8),0))</f>
        <v/>
      </c>
      <c r="F52" s="15" t="str">
        <f>IF($A52="","",VLOOKUP($A52,기본데이타!$A$8:$BV$103,COLUMN(기본데이타!H$8),0))</f>
        <v/>
      </c>
      <c r="G52" s="15" t="str">
        <f>IF($A52="","",VLOOKUP($A52,기본데이타!$A$8:$BV$103,COLUMN(기본데이타!I$8),0))</f>
        <v/>
      </c>
      <c r="H52" s="15" t="str">
        <f>IF($A52="","",VLOOKUP($A52,기본데이타!$A$8:$BV$103,COLUMN(기본데이타!J$8),0))</f>
        <v/>
      </c>
      <c r="I52" s="17" t="str">
        <f>IF($A52="","",VLOOKUP($A52,기본데이타!$A$8:$BV$103,COLUMN(기본데이타!AJ$8),0))</f>
        <v/>
      </c>
      <c r="J52" s="386" t="str">
        <f>IF($A52="","",VLOOKUP($A52,기본데이타!$A$8:$BV$103,COLUMN(기본데이타!AK$8),0))</f>
        <v/>
      </c>
      <c r="K52" s="386" t="str">
        <f>IF($A52="","",VLOOKUP($A52,기본데이타!$A$8:$BV$103,COLUMN(기본데이타!AL$8),0))</f>
        <v/>
      </c>
      <c r="L52" s="386" t="str">
        <f>IF($A52="","",VLOOKUP($A52,기본데이타!$A$8:$BV$103,COLUMN(기본데이타!AM$8),0))</f>
        <v/>
      </c>
      <c r="M52" s="386" t="str">
        <f>IF($A52="","",VLOOKUP($A52,기본데이타!$A$8:$BV$103,COLUMN(기본데이타!AN$8),0))</f>
        <v/>
      </c>
      <c r="N52" s="386" t="str">
        <f>IF($A52="","",VLOOKUP($A52,기본데이타!$A$8:$BV$103,COLUMN(기본데이타!AO$8),0))</f>
        <v/>
      </c>
      <c r="O52" s="386" t="str">
        <f>IF($A52="","",VLOOKUP($A52,기본데이타!$A$8:$BV$103,COLUMN(기본데이타!AP$8),0))</f>
        <v/>
      </c>
      <c r="P52" s="386" t="str">
        <f>IF($A52="","",VLOOKUP($A52,기본데이타!$A$8:$BV$103,COLUMN(기본데이타!AQ$8),0))</f>
        <v/>
      </c>
      <c r="Q52" s="386" t="str">
        <f>IF($A52="","",VLOOKUP($A52,기본데이타!$A$8:$BV$103,COLUMN(기본데이타!AR$8),0))</f>
        <v/>
      </c>
      <c r="R52" s="386" t="str">
        <f>IF($A52="","",VLOOKUP($A52,기본데이타!$A$8:$BV$103,COLUMN(기본데이타!AS$8),0))</f>
        <v/>
      </c>
      <c r="S52" s="386" t="str">
        <f>IF($A52="","",VLOOKUP($A52,기본데이타!$A$8:$BV$103,COLUMN(기본데이타!AT$8),0))</f>
        <v/>
      </c>
      <c r="T52" s="386" t="str">
        <f>IF($A52="","",VLOOKUP($A52,기본데이타!$A$8:$BV$103,COLUMN(기본데이타!AU$8),0))</f>
        <v/>
      </c>
      <c r="U52" s="386" t="str">
        <f>IF($A52="","",VLOOKUP($A52,기본데이타!$A$8:$BV$103,COLUMN(기본데이타!AV$8),0))</f>
        <v/>
      </c>
      <c r="V52" s="16" t="str">
        <f>IF($A52="","",VLOOKUP($A52,기본데이타!$A$8:$BV$103,COLUMN(기본데이타!AW$8),0))</f>
        <v/>
      </c>
      <c r="W52" s="16" t="str">
        <f>IF($A52="","",VLOOKUP($A52,기본데이타!$A$8:$BV$103,COLUMN(기본데이타!AX$8),0))</f>
        <v/>
      </c>
      <c r="X52" s="16" t="str">
        <f>IF($A52="","",VLOOKUP($A52,기본데이타!$A$8:$BV$103,COLUMN(기본데이타!AY$8),0))</f>
        <v/>
      </c>
      <c r="Y52" s="16" t="str">
        <f>IF($A52="","",VLOOKUP($A52,기본데이타!$A$8:$BV$103,COLUMN(기본데이타!AZ$8),0))</f>
        <v/>
      </c>
      <c r="Z52" s="17" t="str">
        <f>IF($A52="","",VLOOKUP($A52,기본데이타!$A$8:$BV$103,COLUMN(기본데이타!BN$8),0))</f>
        <v/>
      </c>
      <c r="AA52" s="17" t="str">
        <f>IF($A52="","",VLOOKUP($A52,기본데이타!$A$8:$BV$103,COLUMN(기본데이타!BO$8),0))</f>
        <v/>
      </c>
      <c r="AB52" s="17" t="str">
        <f>IF($A52="","",VLOOKUP($A52,기본데이타!$A$8:$BV$103,COLUMN(기본데이타!BP$8),0))</f>
        <v/>
      </c>
      <c r="AC52" s="17" t="str">
        <f>IF($A52="","",VLOOKUP($A52,기본데이타!$A$8:$BV$103,COLUMN(기본데이타!BQ$8),0))</f>
        <v/>
      </c>
      <c r="AD52" s="17" t="str">
        <f>IF($A52="","",VLOOKUP($A52,기본데이타!$A$8:$BV$103,COLUMN(기본데이타!BR$8),0))</f>
        <v/>
      </c>
      <c r="AE52" s="17" t="str">
        <f>IF($A52="","",VLOOKUP($A52,기본데이타!$A$8:$BV$103,COLUMN(기본데이타!BS$8),0))</f>
        <v/>
      </c>
      <c r="AF52" s="524" t="str">
        <f>IF($A52="","",VLOOKUP($A52,기본데이타!$A$8:$BV$103,COLUMN(기본데이타!BT$8),0))</f>
        <v/>
      </c>
      <c r="AG52" s="432" t="str">
        <f>IF($A52="","",VLOOKUP($A52,기본데이타!$A$8:$BV$103,COLUMN(기본데이타!BU$8),0))</f>
        <v/>
      </c>
      <c r="AH52" s="18" t="str">
        <f t="shared" si="19"/>
        <v/>
      </c>
    </row>
    <row r="53" spans="1:34" s="187" customFormat="1" ht="35.1" hidden="1" customHeight="1">
      <c r="A53" s="345"/>
      <c r="C53" s="190"/>
      <c r="D53" s="8" t="str">
        <f>IF($A53="","",VLOOKUP($A53,기본데이타!$A$8:$BV$103,COLUMN(기본데이타!F$8),0))</f>
        <v/>
      </c>
      <c r="E53" s="252" t="str">
        <f>IF($A53="","",VLOOKUP($A53,기본데이타!$A$8:$BV$103,COLUMN(기본데이타!G$8),0))</f>
        <v/>
      </c>
      <c r="F53" s="15" t="str">
        <f>IF($A53="","",VLOOKUP($A53,기본데이타!$A$8:$BV$103,COLUMN(기본데이타!H$8),0))</f>
        <v/>
      </c>
      <c r="G53" s="15" t="str">
        <f>IF($A53="","",VLOOKUP($A53,기본데이타!$A$8:$BV$103,COLUMN(기본데이타!I$8),0))</f>
        <v/>
      </c>
      <c r="H53" s="15" t="str">
        <f>IF($A53="","",VLOOKUP($A53,기본데이타!$A$8:$BV$103,COLUMN(기본데이타!J$8),0))</f>
        <v/>
      </c>
      <c r="I53" s="17" t="str">
        <f>IF($A53="","",VLOOKUP($A53,기본데이타!$A$8:$BV$103,COLUMN(기본데이타!AJ$8),0))</f>
        <v/>
      </c>
      <c r="J53" s="386" t="str">
        <f>IF($A53="","",VLOOKUP($A53,기본데이타!$A$8:$BV$103,COLUMN(기본데이타!AK$8),0))</f>
        <v/>
      </c>
      <c r="K53" s="386" t="str">
        <f>IF($A53="","",VLOOKUP($A53,기본데이타!$A$8:$BV$103,COLUMN(기본데이타!AL$8),0))</f>
        <v/>
      </c>
      <c r="L53" s="386" t="str">
        <f>IF($A53="","",VLOOKUP($A53,기본데이타!$A$8:$BV$103,COLUMN(기본데이타!AM$8),0))</f>
        <v/>
      </c>
      <c r="M53" s="386" t="str">
        <f>IF($A53="","",VLOOKUP($A53,기본데이타!$A$8:$BV$103,COLUMN(기본데이타!AN$8),0))</f>
        <v/>
      </c>
      <c r="N53" s="386" t="str">
        <f>IF($A53="","",VLOOKUP($A53,기본데이타!$A$8:$BV$103,COLUMN(기본데이타!AO$8),0))</f>
        <v/>
      </c>
      <c r="O53" s="386" t="str">
        <f>IF($A53="","",VLOOKUP($A53,기본데이타!$A$8:$BV$103,COLUMN(기본데이타!AP$8),0))</f>
        <v/>
      </c>
      <c r="P53" s="386" t="str">
        <f>IF($A53="","",VLOOKUP($A53,기본데이타!$A$8:$BV$103,COLUMN(기본데이타!AQ$8),0))</f>
        <v/>
      </c>
      <c r="Q53" s="386" t="str">
        <f>IF($A53="","",VLOOKUP($A53,기본데이타!$A$8:$BV$103,COLUMN(기본데이타!AR$8),0))</f>
        <v/>
      </c>
      <c r="R53" s="386" t="str">
        <f>IF($A53="","",VLOOKUP($A53,기본데이타!$A$8:$BV$103,COLUMN(기본데이타!AS$8),0))</f>
        <v/>
      </c>
      <c r="S53" s="386" t="str">
        <f>IF($A53="","",VLOOKUP($A53,기본데이타!$A$8:$BV$103,COLUMN(기본데이타!AT$8),0))</f>
        <v/>
      </c>
      <c r="T53" s="386" t="str">
        <f>IF($A53="","",VLOOKUP($A53,기본데이타!$A$8:$BV$103,COLUMN(기본데이타!AU$8),0))</f>
        <v/>
      </c>
      <c r="U53" s="386" t="str">
        <f>IF($A53="","",VLOOKUP($A53,기본데이타!$A$8:$BV$103,COLUMN(기본데이타!AV$8),0))</f>
        <v/>
      </c>
      <c r="V53" s="16" t="str">
        <f>IF($A53="","",VLOOKUP($A53,기본데이타!$A$8:$BV$103,COLUMN(기본데이타!AW$8),0))</f>
        <v/>
      </c>
      <c r="W53" s="16" t="str">
        <f>IF($A53="","",VLOOKUP($A53,기본데이타!$A$8:$BV$103,COLUMN(기본데이타!AX$8),0))</f>
        <v/>
      </c>
      <c r="X53" s="16" t="str">
        <f>IF($A53="","",VLOOKUP($A53,기본데이타!$A$8:$BV$103,COLUMN(기본데이타!AY$8),0))</f>
        <v/>
      </c>
      <c r="Y53" s="16" t="str">
        <f>IF($A53="","",VLOOKUP($A53,기본데이타!$A$8:$BV$103,COLUMN(기본데이타!AZ$8),0))</f>
        <v/>
      </c>
      <c r="Z53" s="17" t="str">
        <f>IF($A53="","",VLOOKUP($A53,기본데이타!$A$8:$BV$103,COLUMN(기본데이타!BN$8),0))</f>
        <v/>
      </c>
      <c r="AA53" s="17" t="str">
        <f>IF($A53="","",VLOOKUP($A53,기본데이타!$A$8:$BV$103,COLUMN(기본데이타!BO$8),0))</f>
        <v/>
      </c>
      <c r="AB53" s="17" t="str">
        <f>IF($A53="","",VLOOKUP($A53,기본데이타!$A$8:$BV$103,COLUMN(기본데이타!BP$8),0))</f>
        <v/>
      </c>
      <c r="AC53" s="17" t="str">
        <f>IF($A53="","",VLOOKUP($A53,기본데이타!$A$8:$BV$103,COLUMN(기본데이타!BQ$8),0))</f>
        <v/>
      </c>
      <c r="AD53" s="17" t="str">
        <f>IF($A53="","",VLOOKUP($A53,기본데이타!$A$8:$BV$103,COLUMN(기본데이타!BR$8),0))</f>
        <v/>
      </c>
      <c r="AE53" s="17" t="str">
        <f>IF($A53="","",VLOOKUP($A53,기본데이타!$A$8:$BV$103,COLUMN(기본데이타!BS$8),0))</f>
        <v/>
      </c>
      <c r="AF53" s="524" t="str">
        <f>IF($A53="","",VLOOKUP($A53,기본데이타!$A$8:$BV$103,COLUMN(기본데이타!BT$8),0))</f>
        <v/>
      </c>
      <c r="AG53" s="432" t="str">
        <f>IF($A53="","",VLOOKUP($A53,기본데이타!$A$8:$BV$103,COLUMN(기본데이타!BU$8),0))</f>
        <v/>
      </c>
      <c r="AH53" s="18" t="str">
        <f t="shared" si="19"/>
        <v/>
      </c>
    </row>
    <row r="54" spans="1:34" s="187" customFormat="1" ht="35.1" hidden="1" customHeight="1">
      <c r="A54" s="345"/>
      <c r="C54" s="190"/>
      <c r="D54" s="8" t="str">
        <f>IF($A54="","",VLOOKUP($A54,기본데이타!$A$8:$BV$103,COLUMN(기본데이타!F$8),0))</f>
        <v/>
      </c>
      <c r="E54" s="252" t="str">
        <f>IF($A54="","",VLOOKUP($A54,기본데이타!$A$8:$BV$103,COLUMN(기본데이타!G$8),0))</f>
        <v/>
      </c>
      <c r="F54" s="15" t="str">
        <f>IF($A54="","",VLOOKUP($A54,기본데이타!$A$8:$BV$103,COLUMN(기본데이타!H$8),0))</f>
        <v/>
      </c>
      <c r="G54" s="15" t="str">
        <f>IF($A54="","",VLOOKUP($A54,기본데이타!$A$8:$BV$103,COLUMN(기본데이타!I$8),0))</f>
        <v/>
      </c>
      <c r="H54" s="15" t="str">
        <f>IF($A54="","",VLOOKUP($A54,기본데이타!$A$8:$BV$103,COLUMN(기본데이타!J$8),0))</f>
        <v/>
      </c>
      <c r="I54" s="17" t="str">
        <f>IF($A54="","",VLOOKUP($A54,기본데이타!$A$8:$BV$103,COLUMN(기본데이타!AJ$8),0))</f>
        <v/>
      </c>
      <c r="J54" s="386" t="str">
        <f>IF($A54="","",VLOOKUP($A54,기본데이타!$A$8:$BV$103,COLUMN(기본데이타!AK$8),0))</f>
        <v/>
      </c>
      <c r="K54" s="386" t="str">
        <f>IF($A54="","",VLOOKUP($A54,기본데이타!$A$8:$BV$103,COLUMN(기본데이타!AL$8),0))</f>
        <v/>
      </c>
      <c r="L54" s="386" t="str">
        <f>IF($A54="","",VLOOKUP($A54,기본데이타!$A$8:$BV$103,COLUMN(기본데이타!AM$8),0))</f>
        <v/>
      </c>
      <c r="M54" s="386" t="str">
        <f>IF($A54="","",VLOOKUP($A54,기본데이타!$A$8:$BV$103,COLUMN(기본데이타!AN$8),0))</f>
        <v/>
      </c>
      <c r="N54" s="386" t="str">
        <f>IF($A54="","",VLOOKUP($A54,기본데이타!$A$8:$BV$103,COLUMN(기본데이타!AO$8),0))</f>
        <v/>
      </c>
      <c r="O54" s="386" t="str">
        <f>IF($A54="","",VLOOKUP($A54,기본데이타!$A$8:$BV$103,COLUMN(기본데이타!AP$8),0))</f>
        <v/>
      </c>
      <c r="P54" s="386" t="str">
        <f>IF($A54="","",VLOOKUP($A54,기본데이타!$A$8:$BV$103,COLUMN(기본데이타!AQ$8),0))</f>
        <v/>
      </c>
      <c r="Q54" s="386" t="str">
        <f>IF($A54="","",VLOOKUP($A54,기본데이타!$A$8:$BV$103,COLUMN(기본데이타!AR$8),0))</f>
        <v/>
      </c>
      <c r="R54" s="386" t="str">
        <f>IF($A54="","",VLOOKUP($A54,기본데이타!$A$8:$BV$103,COLUMN(기본데이타!AS$8),0))</f>
        <v/>
      </c>
      <c r="S54" s="386" t="str">
        <f>IF($A54="","",VLOOKUP($A54,기본데이타!$A$8:$BV$103,COLUMN(기본데이타!AT$8),0))</f>
        <v/>
      </c>
      <c r="T54" s="386" t="str">
        <f>IF($A54="","",VLOOKUP($A54,기본데이타!$A$8:$BV$103,COLUMN(기본데이타!AU$8),0))</f>
        <v/>
      </c>
      <c r="U54" s="386" t="str">
        <f>IF($A54="","",VLOOKUP($A54,기본데이타!$A$8:$BV$103,COLUMN(기본데이타!AV$8),0))</f>
        <v/>
      </c>
      <c r="V54" s="16" t="str">
        <f>IF($A54="","",VLOOKUP($A54,기본데이타!$A$8:$BV$103,COLUMN(기본데이타!AW$8),0))</f>
        <v/>
      </c>
      <c r="W54" s="16" t="str">
        <f>IF($A54="","",VLOOKUP($A54,기본데이타!$A$8:$BV$103,COLUMN(기본데이타!AX$8),0))</f>
        <v/>
      </c>
      <c r="X54" s="16" t="str">
        <f>IF($A54="","",VLOOKUP($A54,기본데이타!$A$8:$BV$103,COLUMN(기본데이타!AY$8),0))</f>
        <v/>
      </c>
      <c r="Y54" s="16" t="str">
        <f>IF($A54="","",VLOOKUP($A54,기본데이타!$A$8:$BV$103,COLUMN(기본데이타!AZ$8),0))</f>
        <v/>
      </c>
      <c r="Z54" s="17" t="str">
        <f>IF($A54="","",VLOOKUP($A54,기본데이타!$A$8:$BV$103,COLUMN(기본데이타!BN$8),0))</f>
        <v/>
      </c>
      <c r="AA54" s="17" t="str">
        <f>IF($A54="","",VLOOKUP($A54,기본데이타!$A$8:$BV$103,COLUMN(기본데이타!BO$8),0))</f>
        <v/>
      </c>
      <c r="AB54" s="17" t="str">
        <f>IF($A54="","",VLOOKUP($A54,기본데이타!$A$8:$BV$103,COLUMN(기본데이타!BP$8),0))</f>
        <v/>
      </c>
      <c r="AC54" s="17" t="str">
        <f>IF($A54="","",VLOOKUP($A54,기본데이타!$A$8:$BV$103,COLUMN(기본데이타!BQ$8),0))</f>
        <v/>
      </c>
      <c r="AD54" s="17" t="str">
        <f>IF($A54="","",VLOOKUP($A54,기본데이타!$A$8:$BV$103,COLUMN(기본데이타!BR$8),0))</f>
        <v/>
      </c>
      <c r="AE54" s="17" t="str">
        <f>IF($A54="","",VLOOKUP($A54,기본데이타!$A$8:$BV$103,COLUMN(기본데이타!BS$8),0))</f>
        <v/>
      </c>
      <c r="AF54" s="524" t="str">
        <f>IF($A54="","",VLOOKUP($A54,기본데이타!$A$8:$BV$103,COLUMN(기본데이타!BT$8),0))</f>
        <v/>
      </c>
      <c r="AG54" s="432" t="str">
        <f>IF($A54="","",VLOOKUP($A54,기본데이타!$A$8:$BV$103,COLUMN(기본데이타!BU$8),0))</f>
        <v/>
      </c>
      <c r="AH54" s="18" t="str">
        <f t="shared" si="19"/>
        <v/>
      </c>
    </row>
    <row r="55" spans="1:34" s="187" customFormat="1" ht="35.1" hidden="1" customHeight="1">
      <c r="A55" s="345"/>
      <c r="C55" s="190"/>
      <c r="D55" s="8" t="str">
        <f>IF($A55="","",VLOOKUP($A55,기본데이타!$A$8:$BV$103,COLUMN(기본데이타!F$8),0))</f>
        <v/>
      </c>
      <c r="E55" s="252" t="str">
        <f>IF($A55="","",VLOOKUP($A55,기본데이타!$A$8:$BV$103,COLUMN(기본데이타!G$8),0))</f>
        <v/>
      </c>
      <c r="F55" s="15" t="str">
        <f>IF($A55="","",VLOOKUP($A55,기본데이타!$A$8:$BV$103,COLUMN(기본데이타!H$8),0))</f>
        <v/>
      </c>
      <c r="G55" s="15" t="str">
        <f>IF($A55="","",VLOOKUP($A55,기본데이타!$A$8:$BV$103,COLUMN(기본데이타!I$8),0))</f>
        <v/>
      </c>
      <c r="H55" s="15" t="str">
        <f>IF($A55="","",VLOOKUP($A55,기본데이타!$A$8:$BV$103,COLUMN(기본데이타!J$8),0))</f>
        <v/>
      </c>
      <c r="I55" s="17" t="str">
        <f>IF($A55="","",VLOOKUP($A55,기본데이타!$A$8:$BV$103,COLUMN(기본데이타!AJ$8),0))</f>
        <v/>
      </c>
      <c r="J55" s="386" t="str">
        <f>IF($A55="","",VLOOKUP($A55,기본데이타!$A$8:$BV$103,COLUMN(기본데이타!AK$8),0))</f>
        <v/>
      </c>
      <c r="K55" s="386" t="str">
        <f>IF($A55="","",VLOOKUP($A55,기본데이타!$A$8:$BV$103,COLUMN(기본데이타!AL$8),0))</f>
        <v/>
      </c>
      <c r="L55" s="386" t="str">
        <f>IF($A55="","",VLOOKUP($A55,기본데이타!$A$8:$BV$103,COLUMN(기본데이타!AM$8),0))</f>
        <v/>
      </c>
      <c r="M55" s="386" t="str">
        <f>IF($A55="","",VLOOKUP($A55,기본데이타!$A$8:$BV$103,COLUMN(기본데이타!AN$8),0))</f>
        <v/>
      </c>
      <c r="N55" s="386" t="str">
        <f>IF($A55="","",VLOOKUP($A55,기본데이타!$A$8:$BV$103,COLUMN(기본데이타!AO$8),0))</f>
        <v/>
      </c>
      <c r="O55" s="386" t="str">
        <f>IF($A55="","",VLOOKUP($A55,기본데이타!$A$8:$BV$103,COLUMN(기본데이타!AP$8),0))</f>
        <v/>
      </c>
      <c r="P55" s="386" t="str">
        <f>IF($A55="","",VLOOKUP($A55,기본데이타!$A$8:$BV$103,COLUMN(기본데이타!AQ$8),0))</f>
        <v/>
      </c>
      <c r="Q55" s="386" t="str">
        <f>IF($A55="","",VLOOKUP($A55,기본데이타!$A$8:$BV$103,COLUMN(기본데이타!AR$8),0))</f>
        <v/>
      </c>
      <c r="R55" s="386" t="str">
        <f>IF($A55="","",VLOOKUP($A55,기본데이타!$A$8:$BV$103,COLUMN(기본데이타!AS$8),0))</f>
        <v/>
      </c>
      <c r="S55" s="386" t="str">
        <f>IF($A55="","",VLOOKUP($A55,기본데이타!$A$8:$BV$103,COLUMN(기본데이타!AT$8),0))</f>
        <v/>
      </c>
      <c r="T55" s="386" t="str">
        <f>IF($A55="","",VLOOKUP($A55,기본데이타!$A$8:$BV$103,COLUMN(기본데이타!AU$8),0))</f>
        <v/>
      </c>
      <c r="U55" s="386" t="str">
        <f>IF($A55="","",VLOOKUP($A55,기본데이타!$A$8:$BV$103,COLUMN(기본데이타!AV$8),0))</f>
        <v/>
      </c>
      <c r="V55" s="16" t="str">
        <f>IF($A55="","",VLOOKUP($A55,기본데이타!$A$8:$BV$103,COLUMN(기본데이타!AW$8),0))</f>
        <v/>
      </c>
      <c r="W55" s="16" t="str">
        <f>IF($A55="","",VLOOKUP($A55,기본데이타!$A$8:$BV$103,COLUMN(기본데이타!AX$8),0))</f>
        <v/>
      </c>
      <c r="X55" s="16" t="str">
        <f>IF($A55="","",VLOOKUP($A55,기본데이타!$A$8:$BV$103,COLUMN(기본데이타!AY$8),0))</f>
        <v/>
      </c>
      <c r="Y55" s="16" t="str">
        <f>IF($A55="","",VLOOKUP($A55,기본데이타!$A$8:$BV$103,COLUMN(기본데이타!AZ$8),0))</f>
        <v/>
      </c>
      <c r="Z55" s="17" t="str">
        <f>IF($A55="","",VLOOKUP($A55,기본데이타!$A$8:$BV$103,COLUMN(기본데이타!BN$8),0))</f>
        <v/>
      </c>
      <c r="AA55" s="17" t="str">
        <f>IF($A55="","",VLOOKUP($A55,기본데이타!$A$8:$BV$103,COLUMN(기본데이타!BO$8),0))</f>
        <v/>
      </c>
      <c r="AB55" s="17" t="str">
        <f>IF($A55="","",VLOOKUP($A55,기본데이타!$A$8:$BV$103,COLUMN(기본데이타!BP$8),0))</f>
        <v/>
      </c>
      <c r="AC55" s="17" t="str">
        <f>IF($A55="","",VLOOKUP($A55,기본데이타!$A$8:$BV$103,COLUMN(기본데이타!BQ$8),0))</f>
        <v/>
      </c>
      <c r="AD55" s="17" t="str">
        <f>IF($A55="","",VLOOKUP($A55,기본데이타!$A$8:$BV$103,COLUMN(기본데이타!BR$8),0))</f>
        <v/>
      </c>
      <c r="AE55" s="17" t="str">
        <f>IF($A55="","",VLOOKUP($A55,기본데이타!$A$8:$BV$103,COLUMN(기본데이타!BS$8),0))</f>
        <v/>
      </c>
      <c r="AF55" s="524" t="str">
        <f>IF($A55="","",VLOOKUP($A55,기본데이타!$A$8:$BV$103,COLUMN(기본데이타!BT$8),0))</f>
        <v/>
      </c>
      <c r="AG55" s="432" t="str">
        <f>IF($A55="","",VLOOKUP($A55,기본데이타!$A$8:$BV$103,COLUMN(기본데이타!BU$8),0))</f>
        <v/>
      </c>
      <c r="AH55" s="18" t="str">
        <f t="shared" si="19"/>
        <v/>
      </c>
    </row>
    <row r="56" spans="1:34" s="187" customFormat="1" ht="35.1" hidden="1" customHeight="1">
      <c r="A56" s="345"/>
      <c r="C56" s="190"/>
      <c r="D56" s="8" t="str">
        <f>IF($A56="","",VLOOKUP($A56,기본데이타!$A$8:$BV$103,COLUMN(기본데이타!F$8),0))</f>
        <v/>
      </c>
      <c r="E56" s="252" t="str">
        <f>IF($A56="","",VLOOKUP($A56,기본데이타!$A$8:$BV$103,COLUMN(기본데이타!G$8),0))</f>
        <v/>
      </c>
      <c r="F56" s="15" t="str">
        <f>IF($A56="","",VLOOKUP($A56,기본데이타!$A$8:$BV$103,COLUMN(기본데이타!H$8),0))</f>
        <v/>
      </c>
      <c r="G56" s="15" t="str">
        <f>IF($A56="","",VLOOKUP($A56,기본데이타!$A$8:$BV$103,COLUMN(기본데이타!I$8),0))</f>
        <v/>
      </c>
      <c r="H56" s="15" t="str">
        <f>IF($A56="","",VLOOKUP($A56,기본데이타!$A$8:$BV$103,COLUMN(기본데이타!J$8),0))</f>
        <v/>
      </c>
      <c r="I56" s="17" t="str">
        <f>IF($A56="","",VLOOKUP($A56,기본데이타!$A$8:$BV$103,COLUMN(기본데이타!AJ$8),0))</f>
        <v/>
      </c>
      <c r="J56" s="386" t="str">
        <f>IF($A56="","",VLOOKUP($A56,기본데이타!$A$8:$BV$103,COLUMN(기본데이타!AK$8),0))</f>
        <v/>
      </c>
      <c r="K56" s="386" t="str">
        <f>IF($A56="","",VLOOKUP($A56,기본데이타!$A$8:$BV$103,COLUMN(기본데이타!AL$8),0))</f>
        <v/>
      </c>
      <c r="L56" s="386" t="str">
        <f>IF($A56="","",VLOOKUP($A56,기본데이타!$A$8:$BV$103,COLUMN(기본데이타!AM$8),0))</f>
        <v/>
      </c>
      <c r="M56" s="386" t="str">
        <f>IF($A56="","",VLOOKUP($A56,기본데이타!$A$8:$BV$103,COLUMN(기본데이타!AN$8),0))</f>
        <v/>
      </c>
      <c r="N56" s="386" t="str">
        <f>IF($A56="","",VLOOKUP($A56,기본데이타!$A$8:$BV$103,COLUMN(기본데이타!AO$8),0))</f>
        <v/>
      </c>
      <c r="O56" s="386" t="str">
        <f>IF($A56="","",VLOOKUP($A56,기본데이타!$A$8:$BV$103,COLUMN(기본데이타!AP$8),0))</f>
        <v/>
      </c>
      <c r="P56" s="386" t="str">
        <f>IF($A56="","",VLOOKUP($A56,기본데이타!$A$8:$BV$103,COLUMN(기본데이타!AQ$8),0))</f>
        <v/>
      </c>
      <c r="Q56" s="386" t="str">
        <f>IF($A56="","",VLOOKUP($A56,기본데이타!$A$8:$BV$103,COLUMN(기본데이타!AR$8),0))</f>
        <v/>
      </c>
      <c r="R56" s="386" t="str">
        <f>IF($A56="","",VLOOKUP($A56,기본데이타!$A$8:$BV$103,COLUMN(기본데이타!AS$8),0))</f>
        <v/>
      </c>
      <c r="S56" s="386" t="str">
        <f>IF($A56="","",VLOOKUP($A56,기본데이타!$A$8:$BV$103,COLUMN(기본데이타!AT$8),0))</f>
        <v/>
      </c>
      <c r="T56" s="386" t="str">
        <f>IF($A56="","",VLOOKUP($A56,기본데이타!$A$8:$BV$103,COLUMN(기본데이타!AU$8),0))</f>
        <v/>
      </c>
      <c r="U56" s="386" t="str">
        <f>IF($A56="","",VLOOKUP($A56,기본데이타!$A$8:$BV$103,COLUMN(기본데이타!AV$8),0))</f>
        <v/>
      </c>
      <c r="V56" s="16" t="str">
        <f>IF($A56="","",VLOOKUP($A56,기본데이타!$A$8:$BV$103,COLUMN(기본데이타!AW$8),0))</f>
        <v/>
      </c>
      <c r="W56" s="16" t="str">
        <f>IF($A56="","",VLOOKUP($A56,기본데이타!$A$8:$BV$103,COLUMN(기본데이타!AX$8),0))</f>
        <v/>
      </c>
      <c r="X56" s="16" t="str">
        <f>IF($A56="","",VLOOKUP($A56,기본데이타!$A$8:$BV$103,COLUMN(기본데이타!AY$8),0))</f>
        <v/>
      </c>
      <c r="Y56" s="16" t="str">
        <f>IF($A56="","",VLOOKUP($A56,기본데이타!$A$8:$BV$103,COLUMN(기본데이타!AZ$8),0))</f>
        <v/>
      </c>
      <c r="Z56" s="17" t="str">
        <f>IF($A56="","",VLOOKUP($A56,기본데이타!$A$8:$BV$103,COLUMN(기본데이타!BN$8),0))</f>
        <v/>
      </c>
      <c r="AA56" s="17" t="str">
        <f>IF($A56="","",VLOOKUP($A56,기본데이타!$A$8:$BV$103,COLUMN(기본데이타!BO$8),0))</f>
        <v/>
      </c>
      <c r="AB56" s="17" t="str">
        <f>IF($A56="","",VLOOKUP($A56,기본데이타!$A$8:$BV$103,COLUMN(기본데이타!BP$8),0))</f>
        <v/>
      </c>
      <c r="AC56" s="17" t="str">
        <f>IF($A56="","",VLOOKUP($A56,기본데이타!$A$8:$BV$103,COLUMN(기본데이타!BQ$8),0))</f>
        <v/>
      </c>
      <c r="AD56" s="17" t="str">
        <f>IF($A56="","",VLOOKUP($A56,기본데이타!$A$8:$BV$103,COLUMN(기본데이타!BR$8),0))</f>
        <v/>
      </c>
      <c r="AE56" s="17" t="str">
        <f>IF($A56="","",VLOOKUP($A56,기본데이타!$A$8:$BV$103,COLUMN(기본데이타!BS$8),0))</f>
        <v/>
      </c>
      <c r="AF56" s="524" t="str">
        <f>IF($A56="","",VLOOKUP($A56,기본데이타!$A$8:$BV$103,COLUMN(기본데이타!BT$8),0))</f>
        <v/>
      </c>
      <c r="AG56" s="432" t="str">
        <f>IF($A56="","",VLOOKUP($A56,기본데이타!$A$8:$BV$103,COLUMN(기본데이타!BU$8),0))</f>
        <v/>
      </c>
      <c r="AH56" s="18" t="str">
        <f t="shared" si="19"/>
        <v/>
      </c>
    </row>
    <row r="57" spans="1:34" s="187" customFormat="1" ht="35.1" hidden="1" customHeight="1">
      <c r="A57" s="345"/>
      <c r="C57" s="190"/>
      <c r="D57" s="8" t="str">
        <f>IF($A57="","",VLOOKUP($A57,기본데이타!$A$8:$BV$103,COLUMN(기본데이타!F$8),0))</f>
        <v/>
      </c>
      <c r="E57" s="252" t="str">
        <f>IF($A57="","",VLOOKUP($A57,기본데이타!$A$8:$BV$103,COLUMN(기본데이타!G$8),0))</f>
        <v/>
      </c>
      <c r="F57" s="15" t="str">
        <f>IF($A57="","",VLOOKUP($A57,기본데이타!$A$8:$BV$103,COLUMN(기본데이타!H$8),0))</f>
        <v/>
      </c>
      <c r="G57" s="15" t="str">
        <f>IF($A57="","",VLOOKUP($A57,기본데이타!$A$8:$BV$103,COLUMN(기본데이타!I$8),0))</f>
        <v/>
      </c>
      <c r="H57" s="15" t="str">
        <f>IF($A57="","",VLOOKUP($A57,기본데이타!$A$8:$BV$103,COLUMN(기본데이타!J$8),0))</f>
        <v/>
      </c>
      <c r="I57" s="17" t="str">
        <f>IF($A57="","",VLOOKUP($A57,기본데이타!$A$8:$BV$103,COLUMN(기본데이타!AJ$8),0))</f>
        <v/>
      </c>
      <c r="J57" s="386" t="str">
        <f>IF($A57="","",VLOOKUP($A57,기본데이타!$A$8:$BV$103,COLUMN(기본데이타!AK$8),0))</f>
        <v/>
      </c>
      <c r="K57" s="386" t="str">
        <f>IF($A57="","",VLOOKUP($A57,기본데이타!$A$8:$BV$103,COLUMN(기본데이타!AL$8),0))</f>
        <v/>
      </c>
      <c r="L57" s="386" t="str">
        <f>IF($A57="","",VLOOKUP($A57,기본데이타!$A$8:$BV$103,COLUMN(기본데이타!AM$8),0))</f>
        <v/>
      </c>
      <c r="M57" s="386" t="str">
        <f>IF($A57="","",VLOOKUP($A57,기본데이타!$A$8:$BV$103,COLUMN(기본데이타!AN$8),0))</f>
        <v/>
      </c>
      <c r="N57" s="386" t="str">
        <f>IF($A57="","",VLOOKUP($A57,기본데이타!$A$8:$BV$103,COLUMN(기본데이타!AO$8),0))</f>
        <v/>
      </c>
      <c r="O57" s="386" t="str">
        <f>IF($A57="","",VLOOKUP($A57,기본데이타!$A$8:$BV$103,COLUMN(기본데이타!AP$8),0))</f>
        <v/>
      </c>
      <c r="P57" s="386" t="str">
        <f>IF($A57="","",VLOOKUP($A57,기본데이타!$A$8:$BV$103,COLUMN(기본데이타!AQ$8),0))</f>
        <v/>
      </c>
      <c r="Q57" s="386" t="str">
        <f>IF($A57="","",VLOOKUP($A57,기본데이타!$A$8:$BV$103,COLUMN(기본데이타!AR$8),0))</f>
        <v/>
      </c>
      <c r="R57" s="386" t="str">
        <f>IF($A57="","",VLOOKUP($A57,기본데이타!$A$8:$BV$103,COLUMN(기본데이타!AS$8),0))</f>
        <v/>
      </c>
      <c r="S57" s="386" t="str">
        <f>IF($A57="","",VLOOKUP($A57,기본데이타!$A$8:$BV$103,COLUMN(기본데이타!AT$8),0))</f>
        <v/>
      </c>
      <c r="T57" s="386" t="str">
        <f>IF($A57="","",VLOOKUP($A57,기본데이타!$A$8:$BV$103,COLUMN(기본데이타!AU$8),0))</f>
        <v/>
      </c>
      <c r="U57" s="386" t="str">
        <f>IF($A57="","",VLOOKUP($A57,기본데이타!$A$8:$BV$103,COLUMN(기본데이타!AV$8),0))</f>
        <v/>
      </c>
      <c r="V57" s="16" t="str">
        <f>IF($A57="","",VLOOKUP($A57,기본데이타!$A$8:$BV$103,COLUMN(기본데이타!AW$8),0))</f>
        <v/>
      </c>
      <c r="W57" s="16" t="str">
        <f>IF($A57="","",VLOOKUP($A57,기본데이타!$A$8:$BV$103,COLUMN(기본데이타!AX$8),0))</f>
        <v/>
      </c>
      <c r="X57" s="16" t="str">
        <f>IF($A57="","",VLOOKUP($A57,기본데이타!$A$8:$BV$103,COLUMN(기본데이타!AY$8),0))</f>
        <v/>
      </c>
      <c r="Y57" s="16" t="str">
        <f>IF($A57="","",VLOOKUP($A57,기본데이타!$A$8:$BV$103,COLUMN(기본데이타!AZ$8),0))</f>
        <v/>
      </c>
      <c r="Z57" s="17" t="str">
        <f>IF($A57="","",VLOOKUP($A57,기본데이타!$A$8:$BV$103,COLUMN(기본데이타!BN$8),0))</f>
        <v/>
      </c>
      <c r="AA57" s="17" t="str">
        <f>IF($A57="","",VLOOKUP($A57,기본데이타!$A$8:$BV$103,COLUMN(기본데이타!BO$8),0))</f>
        <v/>
      </c>
      <c r="AB57" s="17" t="str">
        <f>IF($A57="","",VLOOKUP($A57,기본데이타!$A$8:$BV$103,COLUMN(기본데이타!BP$8),0))</f>
        <v/>
      </c>
      <c r="AC57" s="17" t="str">
        <f>IF($A57="","",VLOOKUP($A57,기본데이타!$A$8:$BV$103,COLUMN(기본데이타!BQ$8),0))</f>
        <v/>
      </c>
      <c r="AD57" s="17" t="str">
        <f>IF($A57="","",VLOOKUP($A57,기본데이타!$A$8:$BV$103,COLUMN(기본데이타!BR$8),0))</f>
        <v/>
      </c>
      <c r="AE57" s="17" t="str">
        <f>IF($A57="","",VLOOKUP($A57,기본데이타!$A$8:$BV$103,COLUMN(기본데이타!BS$8),0))</f>
        <v/>
      </c>
      <c r="AF57" s="524" t="str">
        <f>IF($A57="","",VLOOKUP($A57,기본데이타!$A$8:$BV$103,COLUMN(기본데이타!BT$8),0))</f>
        <v/>
      </c>
      <c r="AG57" s="432" t="str">
        <f>IF($A57="","",VLOOKUP($A57,기본데이타!$A$8:$BV$103,COLUMN(기본데이타!BU$8),0))</f>
        <v/>
      </c>
      <c r="AH57" s="18" t="str">
        <f t="shared" si="19"/>
        <v/>
      </c>
    </row>
    <row r="58" spans="1:34" s="187" customFormat="1" ht="35.1" hidden="1" customHeight="1">
      <c r="A58" s="345"/>
      <c r="C58" s="190"/>
      <c r="D58" s="8" t="str">
        <f>IF($A58="","",VLOOKUP($A58,기본데이타!$A$8:$BV$103,COLUMN(기본데이타!F$8),0))</f>
        <v/>
      </c>
      <c r="E58" s="252" t="str">
        <f>IF($A58="","",VLOOKUP($A58,기본데이타!$A$8:$BV$103,COLUMN(기본데이타!G$8),0))</f>
        <v/>
      </c>
      <c r="F58" s="15" t="str">
        <f>IF($A58="","",VLOOKUP($A58,기본데이타!$A$8:$BV$103,COLUMN(기본데이타!H$8),0))</f>
        <v/>
      </c>
      <c r="G58" s="15" t="str">
        <f>IF($A58="","",VLOOKUP($A58,기본데이타!$A$8:$BV$103,COLUMN(기본데이타!I$8),0))</f>
        <v/>
      </c>
      <c r="H58" s="15" t="str">
        <f>IF($A58="","",VLOOKUP($A58,기본데이타!$A$8:$BV$103,COLUMN(기본데이타!J$8),0))</f>
        <v/>
      </c>
      <c r="I58" s="17" t="str">
        <f>IF($A58="","",VLOOKUP($A58,기본데이타!$A$8:$BV$103,COLUMN(기본데이타!AJ$8),0))</f>
        <v/>
      </c>
      <c r="J58" s="386" t="str">
        <f>IF($A58="","",VLOOKUP($A58,기본데이타!$A$8:$BV$103,COLUMN(기본데이타!AK$8),0))</f>
        <v/>
      </c>
      <c r="K58" s="386" t="str">
        <f>IF($A58="","",VLOOKUP($A58,기본데이타!$A$8:$BV$103,COLUMN(기본데이타!AL$8),0))</f>
        <v/>
      </c>
      <c r="L58" s="386" t="str">
        <f>IF($A58="","",VLOOKUP($A58,기본데이타!$A$8:$BV$103,COLUMN(기본데이타!AM$8),0))</f>
        <v/>
      </c>
      <c r="M58" s="386" t="str">
        <f>IF($A58="","",VLOOKUP($A58,기본데이타!$A$8:$BV$103,COLUMN(기본데이타!AN$8),0))</f>
        <v/>
      </c>
      <c r="N58" s="386" t="str">
        <f>IF($A58="","",VLOOKUP($A58,기본데이타!$A$8:$BV$103,COLUMN(기본데이타!AO$8),0))</f>
        <v/>
      </c>
      <c r="O58" s="386" t="str">
        <f>IF($A58="","",VLOOKUP($A58,기본데이타!$A$8:$BV$103,COLUMN(기본데이타!AP$8),0))</f>
        <v/>
      </c>
      <c r="P58" s="386" t="str">
        <f>IF($A58="","",VLOOKUP($A58,기본데이타!$A$8:$BV$103,COLUMN(기본데이타!AQ$8),0))</f>
        <v/>
      </c>
      <c r="Q58" s="386" t="str">
        <f>IF($A58="","",VLOOKUP($A58,기본데이타!$A$8:$BV$103,COLUMN(기본데이타!AR$8),0))</f>
        <v/>
      </c>
      <c r="R58" s="386" t="str">
        <f>IF($A58="","",VLOOKUP($A58,기본데이타!$A$8:$BV$103,COLUMN(기본데이타!AS$8),0))</f>
        <v/>
      </c>
      <c r="S58" s="386" t="str">
        <f>IF($A58="","",VLOOKUP($A58,기본데이타!$A$8:$BV$103,COLUMN(기본데이타!AT$8),0))</f>
        <v/>
      </c>
      <c r="T58" s="386" t="str">
        <f>IF($A58="","",VLOOKUP($A58,기본데이타!$A$8:$BV$103,COLUMN(기본데이타!AU$8),0))</f>
        <v/>
      </c>
      <c r="U58" s="386" t="str">
        <f>IF($A58="","",VLOOKUP($A58,기본데이타!$A$8:$BV$103,COLUMN(기본데이타!AV$8),0))</f>
        <v/>
      </c>
      <c r="V58" s="16" t="str">
        <f>IF($A58="","",VLOOKUP($A58,기본데이타!$A$8:$BV$103,COLUMN(기본데이타!AW$8),0))</f>
        <v/>
      </c>
      <c r="W58" s="16" t="str">
        <f>IF($A58="","",VLOOKUP($A58,기본데이타!$A$8:$BV$103,COLUMN(기본데이타!AX$8),0))</f>
        <v/>
      </c>
      <c r="X58" s="16" t="str">
        <f>IF($A58="","",VLOOKUP($A58,기본데이타!$A$8:$BV$103,COLUMN(기본데이타!AY$8),0))</f>
        <v/>
      </c>
      <c r="Y58" s="16" t="str">
        <f>IF($A58="","",VLOOKUP($A58,기본데이타!$A$8:$BV$103,COLUMN(기본데이타!AZ$8),0))</f>
        <v/>
      </c>
      <c r="Z58" s="17" t="str">
        <f>IF($A58="","",VLOOKUP($A58,기본데이타!$A$8:$BV$103,COLUMN(기본데이타!BN$8),0))</f>
        <v/>
      </c>
      <c r="AA58" s="17" t="str">
        <f>IF($A58="","",VLOOKUP($A58,기본데이타!$A$8:$BV$103,COLUMN(기본데이타!BO$8),0))</f>
        <v/>
      </c>
      <c r="AB58" s="17" t="str">
        <f>IF($A58="","",VLOOKUP($A58,기본데이타!$A$8:$BV$103,COLUMN(기본데이타!BP$8),0))</f>
        <v/>
      </c>
      <c r="AC58" s="17" t="str">
        <f>IF($A58="","",VLOOKUP($A58,기본데이타!$A$8:$BV$103,COLUMN(기본데이타!BQ$8),0))</f>
        <v/>
      </c>
      <c r="AD58" s="17" t="str">
        <f>IF($A58="","",VLOOKUP($A58,기본데이타!$A$8:$BV$103,COLUMN(기본데이타!BR$8),0))</f>
        <v/>
      </c>
      <c r="AE58" s="17" t="str">
        <f>IF($A58="","",VLOOKUP($A58,기본데이타!$A$8:$BV$103,COLUMN(기본데이타!BS$8),0))</f>
        <v/>
      </c>
      <c r="AF58" s="524" t="str">
        <f>IF($A58="","",VLOOKUP($A58,기본데이타!$A$8:$BV$103,COLUMN(기본데이타!BT$8),0))</f>
        <v/>
      </c>
      <c r="AG58" s="432" t="str">
        <f>IF($A58="","",VLOOKUP($A58,기본데이타!$A$8:$BV$103,COLUMN(기본데이타!BU$8),0))</f>
        <v/>
      </c>
      <c r="AH58" s="18" t="str">
        <f t="shared" si="19"/>
        <v/>
      </c>
    </row>
    <row r="59" spans="1:34" s="187" customFormat="1" ht="35.1" hidden="1" customHeight="1">
      <c r="A59" s="345"/>
      <c r="C59" s="190"/>
      <c r="D59" s="8" t="str">
        <f>IF($A59="","",VLOOKUP($A59,기본데이타!$A$8:$BV$103,COLUMN(기본데이타!F$8),0))</f>
        <v/>
      </c>
      <c r="E59" s="252" t="str">
        <f>IF($A59="","",VLOOKUP($A59,기본데이타!$A$8:$BV$103,COLUMN(기본데이타!G$8),0))</f>
        <v/>
      </c>
      <c r="F59" s="15" t="str">
        <f>IF($A59="","",VLOOKUP($A59,기본데이타!$A$8:$BV$103,COLUMN(기본데이타!H$8),0))</f>
        <v/>
      </c>
      <c r="G59" s="15" t="str">
        <f>IF($A59="","",VLOOKUP($A59,기본데이타!$A$8:$BV$103,COLUMN(기본데이타!I$8),0))</f>
        <v/>
      </c>
      <c r="H59" s="15" t="str">
        <f>IF($A59="","",VLOOKUP($A59,기본데이타!$A$8:$BV$103,COLUMN(기본데이타!J$8),0))</f>
        <v/>
      </c>
      <c r="I59" s="17" t="str">
        <f>IF($A59="","",VLOOKUP($A59,기본데이타!$A$8:$BV$103,COLUMN(기본데이타!AJ$8),0))</f>
        <v/>
      </c>
      <c r="J59" s="386" t="str">
        <f>IF($A59="","",VLOOKUP($A59,기본데이타!$A$8:$BV$103,COLUMN(기본데이타!AK$8),0))</f>
        <v/>
      </c>
      <c r="K59" s="386" t="str">
        <f>IF($A59="","",VLOOKUP($A59,기본데이타!$A$8:$BV$103,COLUMN(기본데이타!AL$8),0))</f>
        <v/>
      </c>
      <c r="L59" s="386" t="str">
        <f>IF($A59="","",VLOOKUP($A59,기본데이타!$A$8:$BV$103,COLUMN(기본데이타!AM$8),0))</f>
        <v/>
      </c>
      <c r="M59" s="386" t="str">
        <f>IF($A59="","",VLOOKUP($A59,기본데이타!$A$8:$BV$103,COLUMN(기본데이타!AN$8),0))</f>
        <v/>
      </c>
      <c r="N59" s="386" t="str">
        <f>IF($A59="","",VLOOKUP($A59,기본데이타!$A$8:$BV$103,COLUMN(기본데이타!AO$8),0))</f>
        <v/>
      </c>
      <c r="O59" s="386" t="str">
        <f>IF($A59="","",VLOOKUP($A59,기본데이타!$A$8:$BV$103,COLUMN(기본데이타!AP$8),0))</f>
        <v/>
      </c>
      <c r="P59" s="386" t="str">
        <f>IF($A59="","",VLOOKUP($A59,기본데이타!$A$8:$BV$103,COLUMN(기본데이타!AQ$8),0))</f>
        <v/>
      </c>
      <c r="Q59" s="386" t="str">
        <f>IF($A59="","",VLOOKUP($A59,기본데이타!$A$8:$BV$103,COLUMN(기본데이타!AR$8),0))</f>
        <v/>
      </c>
      <c r="R59" s="386" t="str">
        <f>IF($A59="","",VLOOKUP($A59,기본데이타!$A$8:$BV$103,COLUMN(기본데이타!AS$8),0))</f>
        <v/>
      </c>
      <c r="S59" s="386" t="str">
        <f>IF($A59="","",VLOOKUP($A59,기본데이타!$A$8:$BV$103,COLUMN(기본데이타!AT$8),0))</f>
        <v/>
      </c>
      <c r="T59" s="386" t="str">
        <f>IF($A59="","",VLOOKUP($A59,기본데이타!$A$8:$BV$103,COLUMN(기본데이타!AU$8),0))</f>
        <v/>
      </c>
      <c r="U59" s="386" t="str">
        <f>IF($A59="","",VLOOKUP($A59,기본데이타!$A$8:$BV$103,COLUMN(기본데이타!AV$8),0))</f>
        <v/>
      </c>
      <c r="V59" s="16" t="str">
        <f>IF($A59="","",VLOOKUP($A59,기본데이타!$A$8:$BV$103,COLUMN(기본데이타!AW$8),0))</f>
        <v/>
      </c>
      <c r="W59" s="16" t="str">
        <f>IF($A59="","",VLOOKUP($A59,기본데이타!$A$8:$BV$103,COLUMN(기본데이타!AX$8),0))</f>
        <v/>
      </c>
      <c r="X59" s="16" t="str">
        <f>IF($A59="","",VLOOKUP($A59,기본데이타!$A$8:$BV$103,COLUMN(기본데이타!AY$8),0))</f>
        <v/>
      </c>
      <c r="Y59" s="16" t="str">
        <f>IF($A59="","",VLOOKUP($A59,기본데이타!$A$8:$BV$103,COLUMN(기본데이타!AZ$8),0))</f>
        <v/>
      </c>
      <c r="Z59" s="17" t="str">
        <f>IF($A59="","",VLOOKUP($A59,기본데이타!$A$8:$BV$103,COLUMN(기본데이타!BN$8),0))</f>
        <v/>
      </c>
      <c r="AA59" s="17" t="str">
        <f>IF($A59="","",VLOOKUP($A59,기본데이타!$A$8:$BV$103,COLUMN(기본데이타!BO$8),0))</f>
        <v/>
      </c>
      <c r="AB59" s="17" t="str">
        <f>IF($A59="","",VLOOKUP($A59,기본데이타!$A$8:$BV$103,COLUMN(기본데이타!BP$8),0))</f>
        <v/>
      </c>
      <c r="AC59" s="17" t="str">
        <f>IF($A59="","",VLOOKUP($A59,기본데이타!$A$8:$BV$103,COLUMN(기본데이타!BQ$8),0))</f>
        <v/>
      </c>
      <c r="AD59" s="17" t="str">
        <f>IF($A59="","",VLOOKUP($A59,기본데이타!$A$8:$BV$103,COLUMN(기본데이타!BR$8),0))</f>
        <v/>
      </c>
      <c r="AE59" s="17" t="str">
        <f>IF($A59="","",VLOOKUP($A59,기본데이타!$A$8:$BV$103,COLUMN(기본데이타!BS$8),0))</f>
        <v/>
      </c>
      <c r="AF59" s="524" t="str">
        <f>IF($A59="","",VLOOKUP($A59,기본데이타!$A$8:$BV$103,COLUMN(기본데이타!BT$8),0))</f>
        <v/>
      </c>
      <c r="AG59" s="432" t="str">
        <f>IF($A59="","",VLOOKUP($A59,기본데이타!$A$8:$BV$103,COLUMN(기본데이타!BU$8),0))</f>
        <v/>
      </c>
      <c r="AH59" s="18" t="str">
        <f t="shared" si="19"/>
        <v/>
      </c>
    </row>
    <row r="60" spans="1:34" s="187" customFormat="1" ht="35.1" hidden="1" customHeight="1">
      <c r="A60" s="345"/>
      <c r="C60" s="190"/>
      <c r="D60" s="8" t="str">
        <f>IF($A60="","",VLOOKUP($A60,기본데이타!$A$8:$BV$103,COLUMN(기본데이타!F$8),0))</f>
        <v/>
      </c>
      <c r="E60" s="252" t="str">
        <f>IF($A60="","",VLOOKUP($A60,기본데이타!$A$8:$BV$103,COLUMN(기본데이타!G$8),0))</f>
        <v/>
      </c>
      <c r="F60" s="15" t="str">
        <f>IF($A60="","",VLOOKUP($A60,기본데이타!$A$8:$BV$103,COLUMN(기본데이타!H$8),0))</f>
        <v/>
      </c>
      <c r="G60" s="15" t="str">
        <f>IF($A60="","",VLOOKUP($A60,기본데이타!$A$8:$BV$103,COLUMN(기본데이타!I$8),0))</f>
        <v/>
      </c>
      <c r="H60" s="15" t="str">
        <f>IF($A60="","",VLOOKUP($A60,기본데이타!$A$8:$BV$103,COLUMN(기본데이타!J$8),0))</f>
        <v/>
      </c>
      <c r="I60" s="17" t="str">
        <f>IF($A60="","",VLOOKUP($A60,기본데이타!$A$8:$BV$103,COLUMN(기본데이타!AJ$8),0))</f>
        <v/>
      </c>
      <c r="J60" s="386" t="str">
        <f>IF($A60="","",VLOOKUP($A60,기본데이타!$A$8:$BV$103,COLUMN(기본데이타!AK$8),0))</f>
        <v/>
      </c>
      <c r="K60" s="386" t="str">
        <f>IF($A60="","",VLOOKUP($A60,기본데이타!$A$8:$BV$103,COLUMN(기본데이타!AL$8),0))</f>
        <v/>
      </c>
      <c r="L60" s="386" t="str">
        <f>IF($A60="","",VLOOKUP($A60,기본데이타!$A$8:$BV$103,COLUMN(기본데이타!AM$8),0))</f>
        <v/>
      </c>
      <c r="M60" s="386" t="str">
        <f>IF($A60="","",VLOOKUP($A60,기본데이타!$A$8:$BV$103,COLUMN(기본데이타!AN$8),0))</f>
        <v/>
      </c>
      <c r="N60" s="386" t="str">
        <f>IF($A60="","",VLOOKUP($A60,기본데이타!$A$8:$BV$103,COLUMN(기본데이타!AO$8),0))</f>
        <v/>
      </c>
      <c r="O60" s="386" t="str">
        <f>IF($A60="","",VLOOKUP($A60,기본데이타!$A$8:$BV$103,COLUMN(기본데이타!AP$8),0))</f>
        <v/>
      </c>
      <c r="P60" s="386" t="str">
        <f>IF($A60="","",VLOOKUP($A60,기본데이타!$A$8:$BV$103,COLUMN(기본데이타!AQ$8),0))</f>
        <v/>
      </c>
      <c r="Q60" s="386" t="str">
        <f>IF($A60="","",VLOOKUP($A60,기본데이타!$A$8:$BV$103,COLUMN(기본데이타!AR$8),0))</f>
        <v/>
      </c>
      <c r="R60" s="386" t="str">
        <f>IF($A60="","",VLOOKUP($A60,기본데이타!$A$8:$BV$103,COLUMN(기본데이타!AS$8),0))</f>
        <v/>
      </c>
      <c r="S60" s="386" t="str">
        <f>IF($A60="","",VLOOKUP($A60,기본데이타!$A$8:$BV$103,COLUMN(기본데이타!AT$8),0))</f>
        <v/>
      </c>
      <c r="T60" s="386" t="str">
        <f>IF($A60="","",VLOOKUP($A60,기본데이타!$A$8:$BV$103,COLUMN(기본데이타!AU$8),0))</f>
        <v/>
      </c>
      <c r="U60" s="386" t="str">
        <f>IF($A60="","",VLOOKUP($A60,기본데이타!$A$8:$BV$103,COLUMN(기본데이타!AV$8),0))</f>
        <v/>
      </c>
      <c r="V60" s="16" t="str">
        <f>IF($A60="","",VLOOKUP($A60,기본데이타!$A$8:$BV$103,COLUMN(기본데이타!AW$8),0))</f>
        <v/>
      </c>
      <c r="W60" s="16" t="str">
        <f>IF($A60="","",VLOOKUP($A60,기본데이타!$A$8:$BV$103,COLUMN(기본데이타!AX$8),0))</f>
        <v/>
      </c>
      <c r="X60" s="16" t="str">
        <f>IF($A60="","",VLOOKUP($A60,기본데이타!$A$8:$BV$103,COLUMN(기본데이타!AY$8),0))</f>
        <v/>
      </c>
      <c r="Y60" s="16" t="str">
        <f>IF($A60="","",VLOOKUP($A60,기본데이타!$A$8:$BV$103,COLUMN(기본데이타!AZ$8),0))</f>
        <v/>
      </c>
      <c r="Z60" s="17" t="str">
        <f>IF($A60="","",VLOOKUP($A60,기본데이타!$A$8:$BV$103,COLUMN(기본데이타!BN$8),0))</f>
        <v/>
      </c>
      <c r="AA60" s="17" t="str">
        <f>IF($A60="","",VLOOKUP($A60,기본데이타!$A$8:$BV$103,COLUMN(기본데이타!BO$8),0))</f>
        <v/>
      </c>
      <c r="AB60" s="17" t="str">
        <f>IF($A60="","",VLOOKUP($A60,기본데이타!$A$8:$BV$103,COLUMN(기본데이타!BP$8),0))</f>
        <v/>
      </c>
      <c r="AC60" s="17" t="str">
        <f>IF($A60="","",VLOOKUP($A60,기본데이타!$A$8:$BV$103,COLUMN(기본데이타!BQ$8),0))</f>
        <v/>
      </c>
      <c r="AD60" s="17" t="str">
        <f>IF($A60="","",VLOOKUP($A60,기본데이타!$A$8:$BV$103,COLUMN(기본데이타!BR$8),0))</f>
        <v/>
      </c>
      <c r="AE60" s="17" t="str">
        <f>IF($A60="","",VLOOKUP($A60,기본데이타!$A$8:$BV$103,COLUMN(기본데이타!BS$8),0))</f>
        <v/>
      </c>
      <c r="AF60" s="524" t="str">
        <f>IF($A60="","",VLOOKUP($A60,기본데이타!$A$8:$BV$103,COLUMN(기본데이타!BT$8),0))</f>
        <v/>
      </c>
      <c r="AG60" s="432" t="str">
        <f>IF($A60="","",VLOOKUP($A60,기본데이타!$A$8:$BV$103,COLUMN(기본데이타!BU$8),0))</f>
        <v/>
      </c>
      <c r="AH60" s="18" t="str">
        <f t="shared" si="19"/>
        <v/>
      </c>
    </row>
    <row r="61" spans="1:34" s="187" customFormat="1" ht="35.1" hidden="1" customHeight="1">
      <c r="A61" s="345"/>
      <c r="C61" s="190"/>
      <c r="D61" s="8" t="str">
        <f>IF($A61="","",VLOOKUP($A61,기본데이타!$A$8:$BV$103,COLUMN(기본데이타!F$8),0))</f>
        <v/>
      </c>
      <c r="E61" s="252" t="str">
        <f>IF($A61="","",VLOOKUP($A61,기본데이타!$A$8:$BV$103,COLUMN(기본데이타!G$8),0))</f>
        <v/>
      </c>
      <c r="F61" s="15" t="str">
        <f>IF($A61="","",VLOOKUP($A61,기본데이타!$A$8:$BV$103,COLUMN(기본데이타!H$8),0))</f>
        <v/>
      </c>
      <c r="G61" s="15" t="str">
        <f>IF($A61="","",VLOOKUP($A61,기본데이타!$A$8:$BV$103,COLUMN(기본데이타!I$8),0))</f>
        <v/>
      </c>
      <c r="H61" s="15" t="str">
        <f>IF($A61="","",VLOOKUP($A61,기본데이타!$A$8:$BV$103,COLUMN(기본데이타!J$8),0))</f>
        <v/>
      </c>
      <c r="I61" s="17" t="str">
        <f>IF($A61="","",VLOOKUP($A61,기본데이타!$A$8:$BV$103,COLUMN(기본데이타!AJ$8),0))</f>
        <v/>
      </c>
      <c r="J61" s="386" t="str">
        <f>IF($A61="","",VLOOKUP($A61,기본데이타!$A$8:$BV$103,COLUMN(기본데이타!AK$8),0))</f>
        <v/>
      </c>
      <c r="K61" s="386" t="str">
        <f>IF($A61="","",VLOOKUP($A61,기본데이타!$A$8:$BV$103,COLUMN(기본데이타!AL$8),0))</f>
        <v/>
      </c>
      <c r="L61" s="386" t="str">
        <f>IF($A61="","",VLOOKUP($A61,기본데이타!$A$8:$BV$103,COLUMN(기본데이타!AM$8),0))</f>
        <v/>
      </c>
      <c r="M61" s="386" t="str">
        <f>IF($A61="","",VLOOKUP($A61,기본데이타!$A$8:$BV$103,COLUMN(기본데이타!AN$8),0))</f>
        <v/>
      </c>
      <c r="N61" s="386" t="str">
        <f>IF($A61="","",VLOOKUP($A61,기본데이타!$A$8:$BV$103,COLUMN(기본데이타!AO$8),0))</f>
        <v/>
      </c>
      <c r="O61" s="386" t="str">
        <f>IF($A61="","",VLOOKUP($A61,기본데이타!$A$8:$BV$103,COLUMN(기본데이타!AP$8),0))</f>
        <v/>
      </c>
      <c r="P61" s="386" t="str">
        <f>IF($A61="","",VLOOKUP($A61,기본데이타!$A$8:$BV$103,COLUMN(기본데이타!AQ$8),0))</f>
        <v/>
      </c>
      <c r="Q61" s="386" t="str">
        <f>IF($A61="","",VLOOKUP($A61,기본데이타!$A$8:$BV$103,COLUMN(기본데이타!AR$8),0))</f>
        <v/>
      </c>
      <c r="R61" s="386" t="str">
        <f>IF($A61="","",VLOOKUP($A61,기본데이타!$A$8:$BV$103,COLUMN(기본데이타!AS$8),0))</f>
        <v/>
      </c>
      <c r="S61" s="386" t="str">
        <f>IF($A61="","",VLOOKUP($A61,기본데이타!$A$8:$BV$103,COLUMN(기본데이타!AT$8),0))</f>
        <v/>
      </c>
      <c r="T61" s="386" t="str">
        <f>IF($A61="","",VLOOKUP($A61,기본데이타!$A$8:$BV$103,COLUMN(기본데이타!AU$8),0))</f>
        <v/>
      </c>
      <c r="U61" s="386" t="str">
        <f>IF($A61="","",VLOOKUP($A61,기본데이타!$A$8:$BV$103,COLUMN(기본데이타!AV$8),0))</f>
        <v/>
      </c>
      <c r="V61" s="16" t="str">
        <f>IF($A61="","",VLOOKUP($A61,기본데이타!$A$8:$BV$103,COLUMN(기본데이타!AW$8),0))</f>
        <v/>
      </c>
      <c r="W61" s="16" t="str">
        <f>IF($A61="","",VLOOKUP($A61,기본데이타!$A$8:$BV$103,COLUMN(기본데이타!AX$8),0))</f>
        <v/>
      </c>
      <c r="X61" s="16" t="str">
        <f>IF($A61="","",VLOOKUP($A61,기본데이타!$A$8:$BV$103,COLUMN(기본데이타!AY$8),0))</f>
        <v/>
      </c>
      <c r="Y61" s="16" t="str">
        <f>IF($A61="","",VLOOKUP($A61,기본데이타!$A$8:$BV$103,COLUMN(기본데이타!AZ$8),0))</f>
        <v/>
      </c>
      <c r="Z61" s="17" t="str">
        <f>IF($A61="","",VLOOKUP($A61,기본데이타!$A$8:$BV$103,COLUMN(기본데이타!BN$8),0))</f>
        <v/>
      </c>
      <c r="AA61" s="17" t="str">
        <f>IF($A61="","",VLOOKUP($A61,기본데이타!$A$8:$BV$103,COLUMN(기본데이타!BO$8),0))</f>
        <v/>
      </c>
      <c r="AB61" s="17" t="str">
        <f>IF($A61="","",VLOOKUP($A61,기본데이타!$A$8:$BV$103,COLUMN(기본데이타!BP$8),0))</f>
        <v/>
      </c>
      <c r="AC61" s="17" t="str">
        <f>IF($A61="","",VLOOKUP($A61,기본데이타!$A$8:$BV$103,COLUMN(기본데이타!BQ$8),0))</f>
        <v/>
      </c>
      <c r="AD61" s="17" t="str">
        <f>IF($A61="","",VLOOKUP($A61,기본데이타!$A$8:$BV$103,COLUMN(기본데이타!BR$8),0))</f>
        <v/>
      </c>
      <c r="AE61" s="17" t="str">
        <f>IF($A61="","",VLOOKUP($A61,기본데이타!$A$8:$BV$103,COLUMN(기본데이타!BS$8),0))</f>
        <v/>
      </c>
      <c r="AF61" s="524" t="str">
        <f>IF($A61="","",VLOOKUP($A61,기본데이타!$A$8:$BV$103,COLUMN(기본데이타!BT$8),0))</f>
        <v/>
      </c>
      <c r="AG61" s="432" t="str">
        <f>IF($A61="","",VLOOKUP($A61,기본데이타!$A$8:$BV$103,COLUMN(기본데이타!BU$8),0))</f>
        <v/>
      </c>
      <c r="AH61" s="18" t="str">
        <f t="shared" si="19"/>
        <v/>
      </c>
    </row>
    <row r="62" spans="1:34" s="187" customFormat="1" ht="35.1" hidden="1" customHeight="1">
      <c r="A62" s="345"/>
      <c r="C62" s="190"/>
      <c r="D62" s="8" t="str">
        <f>IF($A62="","",VLOOKUP($A62,기본데이타!$A$8:$BV$103,COLUMN(기본데이타!F$8),0))</f>
        <v/>
      </c>
      <c r="E62" s="252" t="str">
        <f>IF($A62="","",VLOOKUP($A62,기본데이타!$A$8:$BV$103,COLUMN(기본데이타!G$8),0))</f>
        <v/>
      </c>
      <c r="F62" s="15" t="str">
        <f>IF($A62="","",VLOOKUP($A62,기본데이타!$A$8:$BV$103,COLUMN(기본데이타!H$8),0))</f>
        <v/>
      </c>
      <c r="G62" s="15" t="str">
        <f>IF($A62="","",VLOOKUP($A62,기본데이타!$A$8:$BV$103,COLUMN(기본데이타!I$8),0))</f>
        <v/>
      </c>
      <c r="H62" s="15" t="str">
        <f>IF($A62="","",VLOOKUP($A62,기본데이타!$A$8:$BV$103,COLUMN(기본데이타!J$8),0))</f>
        <v/>
      </c>
      <c r="I62" s="17" t="str">
        <f>IF($A62="","",VLOOKUP($A62,기본데이타!$A$8:$BV$103,COLUMN(기본데이타!AJ$8),0))</f>
        <v/>
      </c>
      <c r="J62" s="386" t="str">
        <f>IF($A62="","",VLOOKUP($A62,기본데이타!$A$8:$BV$103,COLUMN(기본데이타!AK$8),0))</f>
        <v/>
      </c>
      <c r="K62" s="386" t="str">
        <f>IF($A62="","",VLOOKUP($A62,기본데이타!$A$8:$BV$103,COLUMN(기본데이타!AL$8),0))</f>
        <v/>
      </c>
      <c r="L62" s="386" t="str">
        <f>IF($A62="","",VLOOKUP($A62,기본데이타!$A$8:$BV$103,COLUMN(기본데이타!AM$8),0))</f>
        <v/>
      </c>
      <c r="M62" s="386" t="str">
        <f>IF($A62="","",VLOOKUP($A62,기본데이타!$A$8:$BV$103,COLUMN(기본데이타!AN$8),0))</f>
        <v/>
      </c>
      <c r="N62" s="386" t="str">
        <f>IF($A62="","",VLOOKUP($A62,기본데이타!$A$8:$BV$103,COLUMN(기본데이타!AO$8),0))</f>
        <v/>
      </c>
      <c r="O62" s="386" t="str">
        <f>IF($A62="","",VLOOKUP($A62,기본데이타!$A$8:$BV$103,COLUMN(기본데이타!AP$8),0))</f>
        <v/>
      </c>
      <c r="P62" s="386" t="str">
        <f>IF($A62="","",VLOOKUP($A62,기본데이타!$A$8:$BV$103,COLUMN(기본데이타!AQ$8),0))</f>
        <v/>
      </c>
      <c r="Q62" s="386" t="str">
        <f>IF($A62="","",VLOOKUP($A62,기본데이타!$A$8:$BV$103,COLUMN(기본데이타!AR$8),0))</f>
        <v/>
      </c>
      <c r="R62" s="386" t="str">
        <f>IF($A62="","",VLOOKUP($A62,기본데이타!$A$8:$BV$103,COLUMN(기본데이타!AS$8),0))</f>
        <v/>
      </c>
      <c r="S62" s="386" t="str">
        <f>IF($A62="","",VLOOKUP($A62,기본데이타!$A$8:$BV$103,COLUMN(기본데이타!AT$8),0))</f>
        <v/>
      </c>
      <c r="T62" s="386" t="str">
        <f>IF($A62="","",VLOOKUP($A62,기본데이타!$A$8:$BV$103,COLUMN(기본데이타!AU$8),0))</f>
        <v/>
      </c>
      <c r="U62" s="386" t="str">
        <f>IF($A62="","",VLOOKUP($A62,기본데이타!$A$8:$BV$103,COLUMN(기본데이타!AV$8),0))</f>
        <v/>
      </c>
      <c r="V62" s="16" t="str">
        <f>IF($A62="","",VLOOKUP($A62,기본데이타!$A$8:$BV$103,COLUMN(기본데이타!AW$8),0))</f>
        <v/>
      </c>
      <c r="W62" s="16" t="str">
        <f>IF($A62="","",VLOOKUP($A62,기본데이타!$A$8:$BV$103,COLUMN(기본데이타!AX$8),0))</f>
        <v/>
      </c>
      <c r="X62" s="16" t="str">
        <f>IF($A62="","",VLOOKUP($A62,기본데이타!$A$8:$BV$103,COLUMN(기본데이타!AY$8),0))</f>
        <v/>
      </c>
      <c r="Y62" s="16" t="str">
        <f>IF($A62="","",VLOOKUP($A62,기본데이타!$A$8:$BV$103,COLUMN(기본데이타!AZ$8),0))</f>
        <v/>
      </c>
      <c r="Z62" s="17" t="str">
        <f>IF($A62="","",VLOOKUP($A62,기본데이타!$A$8:$BV$103,COLUMN(기본데이타!BN$8),0))</f>
        <v/>
      </c>
      <c r="AA62" s="17" t="str">
        <f>IF($A62="","",VLOOKUP($A62,기본데이타!$A$8:$BV$103,COLUMN(기본데이타!BO$8),0))</f>
        <v/>
      </c>
      <c r="AB62" s="17" t="str">
        <f>IF($A62="","",VLOOKUP($A62,기본데이타!$A$8:$BV$103,COLUMN(기본데이타!BP$8),0))</f>
        <v/>
      </c>
      <c r="AC62" s="17" t="str">
        <f>IF($A62="","",VLOOKUP($A62,기본데이타!$A$8:$BV$103,COLUMN(기본데이타!BQ$8),0))</f>
        <v/>
      </c>
      <c r="AD62" s="17" t="str">
        <f>IF($A62="","",VLOOKUP($A62,기본데이타!$A$8:$BV$103,COLUMN(기본데이타!BR$8),0))</f>
        <v/>
      </c>
      <c r="AE62" s="17" t="str">
        <f>IF($A62="","",VLOOKUP($A62,기본데이타!$A$8:$BV$103,COLUMN(기본데이타!BS$8),0))</f>
        <v/>
      </c>
      <c r="AF62" s="524" t="str">
        <f>IF($A62="","",VLOOKUP($A62,기본데이타!$A$8:$BV$103,COLUMN(기본데이타!BT$8),0))</f>
        <v/>
      </c>
      <c r="AG62" s="432" t="str">
        <f>IF($A62="","",VLOOKUP($A62,기본데이타!$A$8:$BV$103,COLUMN(기본데이타!BU$8),0))</f>
        <v/>
      </c>
      <c r="AH62" s="18" t="str">
        <f t="shared" si="19"/>
        <v/>
      </c>
    </row>
    <row r="63" spans="1:34" s="187" customFormat="1" ht="35.1" hidden="1" customHeight="1">
      <c r="A63" s="345"/>
      <c r="C63" s="190"/>
      <c r="D63" s="8" t="str">
        <f>IF($A63="","",VLOOKUP($A63,기본데이타!$A$8:$BV$103,COLUMN(기본데이타!F$8),0))</f>
        <v/>
      </c>
      <c r="E63" s="252" t="str">
        <f>IF($A63="","",VLOOKUP($A63,기본데이타!$A$8:$BV$103,COLUMN(기본데이타!G$8),0))</f>
        <v/>
      </c>
      <c r="F63" s="15" t="str">
        <f>IF($A63="","",VLOOKUP($A63,기본데이타!$A$8:$BV$103,COLUMN(기본데이타!H$8),0))</f>
        <v/>
      </c>
      <c r="G63" s="15" t="str">
        <f>IF($A63="","",VLOOKUP($A63,기본데이타!$A$8:$BV$103,COLUMN(기본데이타!I$8),0))</f>
        <v/>
      </c>
      <c r="H63" s="15" t="str">
        <f>IF($A63="","",VLOOKUP($A63,기본데이타!$A$8:$BV$103,COLUMN(기본데이타!J$8),0))</f>
        <v/>
      </c>
      <c r="I63" s="17" t="str">
        <f>IF($A63="","",VLOOKUP($A63,기본데이타!$A$8:$BV$103,COLUMN(기본데이타!AJ$8),0))</f>
        <v/>
      </c>
      <c r="J63" s="386" t="str">
        <f>IF($A63="","",VLOOKUP($A63,기본데이타!$A$8:$BV$103,COLUMN(기본데이타!AK$8),0))</f>
        <v/>
      </c>
      <c r="K63" s="386" t="str">
        <f>IF($A63="","",VLOOKUP($A63,기본데이타!$A$8:$BV$103,COLUMN(기본데이타!AL$8),0))</f>
        <v/>
      </c>
      <c r="L63" s="386" t="str">
        <f>IF($A63="","",VLOOKUP($A63,기본데이타!$A$8:$BV$103,COLUMN(기본데이타!AM$8),0))</f>
        <v/>
      </c>
      <c r="M63" s="386" t="str">
        <f>IF($A63="","",VLOOKUP($A63,기본데이타!$A$8:$BV$103,COLUMN(기본데이타!AN$8),0))</f>
        <v/>
      </c>
      <c r="N63" s="386" t="str">
        <f>IF($A63="","",VLOOKUP($A63,기본데이타!$A$8:$BV$103,COLUMN(기본데이타!AO$8),0))</f>
        <v/>
      </c>
      <c r="O63" s="386" t="str">
        <f>IF($A63="","",VLOOKUP($A63,기본데이타!$A$8:$BV$103,COLUMN(기본데이타!AP$8),0))</f>
        <v/>
      </c>
      <c r="P63" s="386" t="str">
        <f>IF($A63="","",VLOOKUP($A63,기본데이타!$A$8:$BV$103,COLUMN(기본데이타!AQ$8),0))</f>
        <v/>
      </c>
      <c r="Q63" s="386" t="str">
        <f>IF($A63="","",VLOOKUP($A63,기본데이타!$A$8:$BV$103,COLUMN(기본데이타!AR$8),0))</f>
        <v/>
      </c>
      <c r="R63" s="386" t="str">
        <f>IF($A63="","",VLOOKUP($A63,기본데이타!$A$8:$BV$103,COLUMN(기본데이타!AS$8),0))</f>
        <v/>
      </c>
      <c r="S63" s="386" t="str">
        <f>IF($A63="","",VLOOKUP($A63,기본데이타!$A$8:$BV$103,COLUMN(기본데이타!AT$8),0))</f>
        <v/>
      </c>
      <c r="T63" s="386" t="str">
        <f>IF($A63="","",VLOOKUP($A63,기본데이타!$A$8:$BV$103,COLUMN(기본데이타!AU$8),0))</f>
        <v/>
      </c>
      <c r="U63" s="386" t="str">
        <f>IF($A63="","",VLOOKUP($A63,기본데이타!$A$8:$BV$103,COLUMN(기본데이타!AV$8),0))</f>
        <v/>
      </c>
      <c r="V63" s="16" t="str">
        <f>IF($A63="","",VLOOKUP($A63,기본데이타!$A$8:$BV$103,COLUMN(기본데이타!AW$8),0))</f>
        <v/>
      </c>
      <c r="W63" s="16" t="str">
        <f>IF($A63="","",VLOOKUP($A63,기본데이타!$A$8:$BV$103,COLUMN(기본데이타!AX$8),0))</f>
        <v/>
      </c>
      <c r="X63" s="16" t="str">
        <f>IF($A63="","",VLOOKUP($A63,기본데이타!$A$8:$BV$103,COLUMN(기본데이타!AY$8),0))</f>
        <v/>
      </c>
      <c r="Y63" s="16" t="str">
        <f>IF($A63="","",VLOOKUP($A63,기본데이타!$A$8:$BV$103,COLUMN(기본데이타!AZ$8),0))</f>
        <v/>
      </c>
      <c r="Z63" s="17" t="str">
        <f>IF($A63="","",VLOOKUP($A63,기본데이타!$A$8:$BV$103,COLUMN(기본데이타!BN$8),0))</f>
        <v/>
      </c>
      <c r="AA63" s="17" t="str">
        <f>IF($A63="","",VLOOKUP($A63,기본데이타!$A$8:$BV$103,COLUMN(기본데이타!BO$8),0))</f>
        <v/>
      </c>
      <c r="AB63" s="17" t="str">
        <f>IF($A63="","",VLOOKUP($A63,기본데이타!$A$8:$BV$103,COLUMN(기본데이타!BP$8),0))</f>
        <v/>
      </c>
      <c r="AC63" s="17" t="str">
        <f>IF($A63="","",VLOOKUP($A63,기본데이타!$A$8:$BV$103,COLUMN(기본데이타!BQ$8),0))</f>
        <v/>
      </c>
      <c r="AD63" s="17" t="str">
        <f>IF($A63="","",VLOOKUP($A63,기본데이타!$A$8:$BV$103,COLUMN(기본데이타!BR$8),0))</f>
        <v/>
      </c>
      <c r="AE63" s="17" t="str">
        <f>IF($A63="","",VLOOKUP($A63,기본데이타!$A$8:$BV$103,COLUMN(기본데이타!BS$8),0))</f>
        <v/>
      </c>
      <c r="AF63" s="524" t="str">
        <f>IF($A63="","",VLOOKUP($A63,기본데이타!$A$8:$BV$103,COLUMN(기본데이타!BT$8),0))</f>
        <v/>
      </c>
      <c r="AG63" s="432" t="str">
        <f>IF($A63="","",VLOOKUP($A63,기본데이타!$A$8:$BV$103,COLUMN(기본데이타!BU$8),0))</f>
        <v/>
      </c>
      <c r="AH63" s="18" t="str">
        <f t="shared" si="19"/>
        <v/>
      </c>
    </row>
    <row r="64" spans="1:34" s="187" customFormat="1" ht="35.1" hidden="1" customHeight="1">
      <c r="A64" s="345"/>
      <c r="C64" s="190"/>
      <c r="D64" s="8" t="str">
        <f>IF($A64="","",VLOOKUP($A64,기본데이타!$A$8:$BV$103,COLUMN(기본데이타!F$8),0))</f>
        <v/>
      </c>
      <c r="E64" s="252" t="str">
        <f>IF($A64="","",VLOOKUP($A64,기본데이타!$A$8:$BV$103,COLUMN(기본데이타!G$8),0))</f>
        <v/>
      </c>
      <c r="F64" s="15" t="str">
        <f>IF($A64="","",VLOOKUP($A64,기본데이타!$A$8:$BV$103,COLUMN(기본데이타!H$8),0))</f>
        <v/>
      </c>
      <c r="G64" s="15" t="str">
        <f>IF($A64="","",VLOOKUP($A64,기본데이타!$A$8:$BV$103,COLUMN(기본데이타!I$8),0))</f>
        <v/>
      </c>
      <c r="H64" s="15" t="str">
        <f>IF($A64="","",VLOOKUP($A64,기본데이타!$A$8:$BV$103,COLUMN(기본데이타!J$8),0))</f>
        <v/>
      </c>
      <c r="I64" s="17" t="str">
        <f>IF($A64="","",VLOOKUP($A64,기본데이타!$A$8:$BV$103,COLUMN(기본데이타!AJ$8),0))</f>
        <v/>
      </c>
      <c r="J64" s="386" t="str">
        <f>IF($A64="","",VLOOKUP($A64,기본데이타!$A$8:$BV$103,COLUMN(기본데이타!AK$8),0))</f>
        <v/>
      </c>
      <c r="K64" s="386" t="str">
        <f>IF($A64="","",VLOOKUP($A64,기본데이타!$A$8:$BV$103,COLUMN(기본데이타!AL$8),0))</f>
        <v/>
      </c>
      <c r="L64" s="386" t="str">
        <f>IF($A64="","",VLOOKUP($A64,기본데이타!$A$8:$BV$103,COLUMN(기본데이타!AM$8),0))</f>
        <v/>
      </c>
      <c r="M64" s="386" t="str">
        <f>IF($A64="","",VLOOKUP($A64,기본데이타!$A$8:$BV$103,COLUMN(기본데이타!AN$8),0))</f>
        <v/>
      </c>
      <c r="N64" s="386" t="str">
        <f>IF($A64="","",VLOOKUP($A64,기본데이타!$A$8:$BV$103,COLUMN(기본데이타!AO$8),0))</f>
        <v/>
      </c>
      <c r="O64" s="386" t="str">
        <f>IF($A64="","",VLOOKUP($A64,기본데이타!$A$8:$BV$103,COLUMN(기본데이타!AP$8),0))</f>
        <v/>
      </c>
      <c r="P64" s="386" t="str">
        <f>IF($A64="","",VLOOKUP($A64,기본데이타!$A$8:$BV$103,COLUMN(기본데이타!AQ$8),0))</f>
        <v/>
      </c>
      <c r="Q64" s="386" t="str">
        <f>IF($A64="","",VLOOKUP($A64,기본데이타!$A$8:$BV$103,COLUMN(기본데이타!AR$8),0))</f>
        <v/>
      </c>
      <c r="R64" s="386" t="str">
        <f>IF($A64="","",VLOOKUP($A64,기본데이타!$A$8:$BV$103,COLUMN(기본데이타!AS$8),0))</f>
        <v/>
      </c>
      <c r="S64" s="386" t="str">
        <f>IF($A64="","",VLOOKUP($A64,기본데이타!$A$8:$BV$103,COLUMN(기본데이타!AT$8),0))</f>
        <v/>
      </c>
      <c r="T64" s="386" t="str">
        <f>IF($A64="","",VLOOKUP($A64,기본데이타!$A$8:$BV$103,COLUMN(기본데이타!AU$8),0))</f>
        <v/>
      </c>
      <c r="U64" s="386" t="str">
        <f>IF($A64="","",VLOOKUP($A64,기본데이타!$A$8:$BV$103,COLUMN(기본데이타!AV$8),0))</f>
        <v/>
      </c>
      <c r="V64" s="16" t="str">
        <f>IF($A64="","",VLOOKUP($A64,기본데이타!$A$8:$BV$103,COLUMN(기본데이타!AW$8),0))</f>
        <v/>
      </c>
      <c r="W64" s="16" t="str">
        <f>IF($A64="","",VLOOKUP($A64,기본데이타!$A$8:$BV$103,COLUMN(기본데이타!AX$8),0))</f>
        <v/>
      </c>
      <c r="X64" s="16" t="str">
        <f>IF($A64="","",VLOOKUP($A64,기본데이타!$A$8:$BV$103,COLUMN(기본데이타!AY$8),0))</f>
        <v/>
      </c>
      <c r="Y64" s="16" t="str">
        <f>IF($A64="","",VLOOKUP($A64,기본데이타!$A$8:$BV$103,COLUMN(기본데이타!AZ$8),0))</f>
        <v/>
      </c>
      <c r="Z64" s="17" t="str">
        <f>IF($A64="","",VLOOKUP($A64,기본데이타!$A$8:$BV$103,COLUMN(기본데이타!BN$8),0))</f>
        <v/>
      </c>
      <c r="AA64" s="17" t="str">
        <f>IF($A64="","",VLOOKUP($A64,기본데이타!$A$8:$BV$103,COLUMN(기본데이타!BO$8),0))</f>
        <v/>
      </c>
      <c r="AB64" s="17" t="str">
        <f>IF($A64="","",VLOOKUP($A64,기본데이타!$A$8:$BV$103,COLUMN(기본데이타!BP$8),0))</f>
        <v/>
      </c>
      <c r="AC64" s="17" t="str">
        <f>IF($A64="","",VLOOKUP($A64,기본데이타!$A$8:$BV$103,COLUMN(기본데이타!BQ$8),0))</f>
        <v/>
      </c>
      <c r="AD64" s="17" t="str">
        <f>IF($A64="","",VLOOKUP($A64,기본데이타!$A$8:$BV$103,COLUMN(기본데이타!BR$8),0))</f>
        <v/>
      </c>
      <c r="AE64" s="17" t="str">
        <f>IF($A64="","",VLOOKUP($A64,기본데이타!$A$8:$BV$103,COLUMN(기본데이타!BS$8),0))</f>
        <v/>
      </c>
      <c r="AF64" s="524" t="str">
        <f>IF($A64="","",VLOOKUP($A64,기본데이타!$A$8:$BV$103,COLUMN(기본데이타!BT$8),0))</f>
        <v/>
      </c>
      <c r="AG64" s="432" t="str">
        <f>IF($A64="","",VLOOKUP($A64,기본데이타!$A$8:$BV$103,COLUMN(기본데이타!BU$8),0))</f>
        <v/>
      </c>
      <c r="AH64" s="18" t="str">
        <f t="shared" si="19"/>
        <v/>
      </c>
    </row>
    <row r="65" spans="1:34" s="187" customFormat="1" ht="35.1" hidden="1" customHeight="1">
      <c r="A65" s="345"/>
      <c r="C65" s="190"/>
      <c r="D65" s="8" t="str">
        <f>IF($A65="","",VLOOKUP($A65,기본데이타!$A$8:$BV$103,COLUMN(기본데이타!F$8),0))</f>
        <v/>
      </c>
      <c r="E65" s="252" t="str">
        <f>IF($A65="","",VLOOKUP($A65,기본데이타!$A$8:$BV$103,COLUMN(기본데이타!G$8),0))</f>
        <v/>
      </c>
      <c r="F65" s="15" t="str">
        <f>IF($A65="","",VLOOKUP($A65,기본데이타!$A$8:$BV$103,COLUMN(기본데이타!H$8),0))</f>
        <v/>
      </c>
      <c r="G65" s="15" t="str">
        <f>IF($A65="","",VLOOKUP($A65,기본데이타!$A$8:$BV$103,COLUMN(기본데이타!I$8),0))</f>
        <v/>
      </c>
      <c r="H65" s="15" t="str">
        <f>IF($A65="","",VLOOKUP($A65,기본데이타!$A$8:$BV$103,COLUMN(기본데이타!J$8),0))</f>
        <v/>
      </c>
      <c r="I65" s="17" t="str">
        <f>IF($A65="","",VLOOKUP($A65,기본데이타!$A$8:$BV$103,COLUMN(기본데이타!AJ$8),0))</f>
        <v/>
      </c>
      <c r="J65" s="386" t="str">
        <f>IF($A65="","",VLOOKUP($A65,기본데이타!$A$8:$BV$103,COLUMN(기본데이타!AK$8),0))</f>
        <v/>
      </c>
      <c r="K65" s="386" t="str">
        <f>IF($A65="","",VLOOKUP($A65,기본데이타!$A$8:$BV$103,COLUMN(기본데이타!AL$8),0))</f>
        <v/>
      </c>
      <c r="L65" s="386" t="str">
        <f>IF($A65="","",VLOOKUP($A65,기본데이타!$A$8:$BV$103,COLUMN(기본데이타!AM$8),0))</f>
        <v/>
      </c>
      <c r="M65" s="386" t="str">
        <f>IF($A65="","",VLOOKUP($A65,기본데이타!$A$8:$BV$103,COLUMN(기본데이타!AN$8),0))</f>
        <v/>
      </c>
      <c r="N65" s="386" t="str">
        <f>IF($A65="","",VLOOKUP($A65,기본데이타!$A$8:$BV$103,COLUMN(기본데이타!AO$8),0))</f>
        <v/>
      </c>
      <c r="O65" s="386" t="str">
        <f>IF($A65="","",VLOOKUP($A65,기본데이타!$A$8:$BV$103,COLUMN(기본데이타!AP$8),0))</f>
        <v/>
      </c>
      <c r="P65" s="386" t="str">
        <f>IF($A65="","",VLOOKUP($A65,기본데이타!$A$8:$BV$103,COLUMN(기본데이타!AQ$8),0))</f>
        <v/>
      </c>
      <c r="Q65" s="386" t="str">
        <f>IF($A65="","",VLOOKUP($A65,기본데이타!$A$8:$BV$103,COLUMN(기본데이타!AR$8),0))</f>
        <v/>
      </c>
      <c r="R65" s="386" t="str">
        <f>IF($A65="","",VLOOKUP($A65,기본데이타!$A$8:$BV$103,COLUMN(기본데이타!AS$8),0))</f>
        <v/>
      </c>
      <c r="S65" s="386" t="str">
        <f>IF($A65="","",VLOOKUP($A65,기본데이타!$A$8:$BV$103,COLUMN(기본데이타!AT$8),0))</f>
        <v/>
      </c>
      <c r="T65" s="386" t="str">
        <f>IF($A65="","",VLOOKUP($A65,기본데이타!$A$8:$BV$103,COLUMN(기본데이타!AU$8),0))</f>
        <v/>
      </c>
      <c r="U65" s="386" t="str">
        <f>IF($A65="","",VLOOKUP($A65,기본데이타!$A$8:$BV$103,COLUMN(기본데이타!AV$8),0))</f>
        <v/>
      </c>
      <c r="V65" s="16" t="str">
        <f>IF($A65="","",VLOOKUP($A65,기본데이타!$A$8:$BV$103,COLUMN(기본데이타!AW$8),0))</f>
        <v/>
      </c>
      <c r="W65" s="16" t="str">
        <f>IF($A65="","",VLOOKUP($A65,기본데이타!$A$8:$BV$103,COLUMN(기본데이타!AX$8),0))</f>
        <v/>
      </c>
      <c r="X65" s="16" t="str">
        <f>IF($A65="","",VLOOKUP($A65,기본데이타!$A$8:$BV$103,COLUMN(기본데이타!AY$8),0))</f>
        <v/>
      </c>
      <c r="Y65" s="16" t="str">
        <f>IF($A65="","",VLOOKUP($A65,기본데이타!$A$8:$BV$103,COLUMN(기본데이타!AZ$8),0))</f>
        <v/>
      </c>
      <c r="Z65" s="17" t="str">
        <f>IF($A65="","",VLOOKUP($A65,기본데이타!$A$8:$BV$103,COLUMN(기본데이타!BN$8),0))</f>
        <v/>
      </c>
      <c r="AA65" s="17" t="str">
        <f>IF($A65="","",VLOOKUP($A65,기본데이타!$A$8:$BV$103,COLUMN(기본데이타!BO$8),0))</f>
        <v/>
      </c>
      <c r="AB65" s="17" t="str">
        <f>IF($A65="","",VLOOKUP($A65,기본데이타!$A$8:$BV$103,COLUMN(기본데이타!BP$8),0))</f>
        <v/>
      </c>
      <c r="AC65" s="17" t="str">
        <f>IF($A65="","",VLOOKUP($A65,기본데이타!$A$8:$BV$103,COLUMN(기본데이타!BQ$8),0))</f>
        <v/>
      </c>
      <c r="AD65" s="17" t="str">
        <f>IF($A65="","",VLOOKUP($A65,기본데이타!$A$8:$BV$103,COLUMN(기본데이타!BR$8),0))</f>
        <v/>
      </c>
      <c r="AE65" s="17" t="str">
        <f>IF($A65="","",VLOOKUP($A65,기본데이타!$A$8:$BV$103,COLUMN(기본데이타!BS$8),0))</f>
        <v/>
      </c>
      <c r="AF65" s="524" t="str">
        <f>IF($A65="","",VLOOKUP($A65,기본데이타!$A$8:$BV$103,COLUMN(기본데이타!BT$8),0))</f>
        <v/>
      </c>
      <c r="AG65" s="432" t="str">
        <f>IF($A65="","",VLOOKUP($A65,기본데이타!$A$8:$BV$103,COLUMN(기본데이타!BU$8),0))</f>
        <v/>
      </c>
      <c r="AH65" s="18" t="str">
        <f t="shared" si="19"/>
        <v/>
      </c>
    </row>
    <row r="66" spans="1:34" s="187" customFormat="1" ht="35.1" hidden="1" customHeight="1">
      <c r="A66" s="345"/>
      <c r="C66" s="190"/>
      <c r="D66" s="8" t="str">
        <f>IF($A66="","",VLOOKUP($A66,기본데이타!$A$8:$BV$103,COLUMN(기본데이타!F$8),0))</f>
        <v/>
      </c>
      <c r="E66" s="252" t="str">
        <f>IF($A66="","",VLOOKUP($A66,기본데이타!$A$8:$BV$103,COLUMN(기본데이타!G$8),0))</f>
        <v/>
      </c>
      <c r="F66" s="15" t="str">
        <f>IF($A66="","",VLOOKUP($A66,기본데이타!$A$8:$BV$103,COLUMN(기본데이타!H$8),0))</f>
        <v/>
      </c>
      <c r="G66" s="15" t="str">
        <f>IF($A66="","",VLOOKUP($A66,기본데이타!$A$8:$BV$103,COLUMN(기본데이타!I$8),0))</f>
        <v/>
      </c>
      <c r="H66" s="15" t="str">
        <f>IF($A66="","",VLOOKUP($A66,기본데이타!$A$8:$BV$103,COLUMN(기본데이타!J$8),0))</f>
        <v/>
      </c>
      <c r="I66" s="17" t="str">
        <f>IF($A66="","",VLOOKUP($A66,기본데이타!$A$8:$BV$103,COLUMN(기본데이타!AJ$8),0))</f>
        <v/>
      </c>
      <c r="J66" s="386" t="str">
        <f>IF($A66="","",VLOOKUP($A66,기본데이타!$A$8:$BV$103,COLUMN(기본데이타!AK$8),0))</f>
        <v/>
      </c>
      <c r="K66" s="386" t="str">
        <f>IF($A66="","",VLOOKUP($A66,기본데이타!$A$8:$BV$103,COLUMN(기본데이타!AL$8),0))</f>
        <v/>
      </c>
      <c r="L66" s="386" t="str">
        <f>IF($A66="","",VLOOKUP($A66,기본데이타!$A$8:$BV$103,COLUMN(기본데이타!AM$8),0))</f>
        <v/>
      </c>
      <c r="M66" s="386" t="str">
        <f>IF($A66="","",VLOOKUP($A66,기본데이타!$A$8:$BV$103,COLUMN(기본데이타!AN$8),0))</f>
        <v/>
      </c>
      <c r="N66" s="386" t="str">
        <f>IF($A66="","",VLOOKUP($A66,기본데이타!$A$8:$BV$103,COLUMN(기본데이타!AO$8),0))</f>
        <v/>
      </c>
      <c r="O66" s="386" t="str">
        <f>IF($A66="","",VLOOKUP($A66,기본데이타!$A$8:$BV$103,COLUMN(기본데이타!AP$8),0))</f>
        <v/>
      </c>
      <c r="P66" s="386" t="str">
        <f>IF($A66="","",VLOOKUP($A66,기본데이타!$A$8:$BV$103,COLUMN(기본데이타!AQ$8),0))</f>
        <v/>
      </c>
      <c r="Q66" s="386" t="str">
        <f>IF($A66="","",VLOOKUP($A66,기본데이타!$A$8:$BV$103,COLUMN(기본데이타!AR$8),0))</f>
        <v/>
      </c>
      <c r="R66" s="386" t="str">
        <f>IF($A66="","",VLOOKUP($A66,기본데이타!$A$8:$BV$103,COLUMN(기본데이타!AS$8),0))</f>
        <v/>
      </c>
      <c r="S66" s="386" t="str">
        <f>IF($A66="","",VLOOKUP($A66,기본데이타!$A$8:$BV$103,COLUMN(기본데이타!AT$8),0))</f>
        <v/>
      </c>
      <c r="T66" s="386" t="str">
        <f>IF($A66="","",VLOOKUP($A66,기본데이타!$A$8:$BV$103,COLUMN(기본데이타!AU$8),0))</f>
        <v/>
      </c>
      <c r="U66" s="386" t="str">
        <f>IF($A66="","",VLOOKUP($A66,기본데이타!$A$8:$BV$103,COLUMN(기본데이타!AV$8),0))</f>
        <v/>
      </c>
      <c r="V66" s="16" t="str">
        <f>IF($A66="","",VLOOKUP($A66,기본데이타!$A$8:$BV$103,COLUMN(기본데이타!AW$8),0))</f>
        <v/>
      </c>
      <c r="W66" s="16" t="str">
        <f>IF($A66="","",VLOOKUP($A66,기본데이타!$A$8:$BV$103,COLUMN(기본데이타!AX$8),0))</f>
        <v/>
      </c>
      <c r="X66" s="16" t="str">
        <f>IF($A66="","",VLOOKUP($A66,기본데이타!$A$8:$BV$103,COLUMN(기본데이타!AY$8),0))</f>
        <v/>
      </c>
      <c r="Y66" s="16" t="str">
        <f>IF($A66="","",VLOOKUP($A66,기본데이타!$A$8:$BV$103,COLUMN(기본데이타!AZ$8),0))</f>
        <v/>
      </c>
      <c r="Z66" s="17" t="str">
        <f>IF($A66="","",VLOOKUP($A66,기본데이타!$A$8:$BV$103,COLUMN(기본데이타!BN$8),0))</f>
        <v/>
      </c>
      <c r="AA66" s="17" t="str">
        <f>IF($A66="","",VLOOKUP($A66,기본데이타!$A$8:$BV$103,COLUMN(기본데이타!BO$8),0))</f>
        <v/>
      </c>
      <c r="AB66" s="17" t="str">
        <f>IF($A66="","",VLOOKUP($A66,기본데이타!$A$8:$BV$103,COLUMN(기본데이타!BP$8),0))</f>
        <v/>
      </c>
      <c r="AC66" s="17" t="str">
        <f>IF($A66="","",VLOOKUP($A66,기본데이타!$A$8:$BV$103,COLUMN(기본데이타!BQ$8),0))</f>
        <v/>
      </c>
      <c r="AD66" s="17" t="str">
        <f>IF($A66="","",VLOOKUP($A66,기본데이타!$A$8:$BV$103,COLUMN(기본데이타!BR$8),0))</f>
        <v/>
      </c>
      <c r="AE66" s="17" t="str">
        <f>IF($A66="","",VLOOKUP($A66,기본데이타!$A$8:$BV$103,COLUMN(기본데이타!BS$8),0))</f>
        <v/>
      </c>
      <c r="AF66" s="524" t="str">
        <f>IF($A66="","",VLOOKUP($A66,기본데이타!$A$8:$BV$103,COLUMN(기본데이타!BT$8),0))</f>
        <v/>
      </c>
      <c r="AG66" s="432" t="str">
        <f>IF($A66="","",VLOOKUP($A66,기본데이타!$A$8:$BV$103,COLUMN(기본데이타!BU$8),0))</f>
        <v/>
      </c>
      <c r="AH66" s="18" t="str">
        <f t="shared" si="19"/>
        <v/>
      </c>
    </row>
    <row r="67" spans="1:34" s="187" customFormat="1" ht="35.1" hidden="1" customHeight="1">
      <c r="A67" s="345"/>
      <c r="C67" s="190"/>
      <c r="D67" s="8" t="str">
        <f>IF($A67="","",VLOOKUP($A67,기본데이타!$A$8:$BV$103,COLUMN(기본데이타!F$8),0))</f>
        <v/>
      </c>
      <c r="E67" s="252" t="str">
        <f>IF($A67="","",VLOOKUP($A67,기본데이타!$A$8:$BV$103,COLUMN(기본데이타!G$8),0))</f>
        <v/>
      </c>
      <c r="F67" s="15" t="str">
        <f>IF($A67="","",VLOOKUP($A67,기본데이타!$A$8:$BV$103,COLUMN(기본데이타!H$8),0))</f>
        <v/>
      </c>
      <c r="G67" s="15" t="str">
        <f>IF($A67="","",VLOOKUP($A67,기본데이타!$A$8:$BV$103,COLUMN(기본데이타!I$8),0))</f>
        <v/>
      </c>
      <c r="H67" s="15" t="str">
        <f>IF($A67="","",VLOOKUP($A67,기본데이타!$A$8:$BV$103,COLUMN(기본데이타!J$8),0))</f>
        <v/>
      </c>
      <c r="I67" s="17" t="str">
        <f>IF($A67="","",VLOOKUP($A67,기본데이타!$A$8:$BV$103,COLUMN(기본데이타!AJ$8),0))</f>
        <v/>
      </c>
      <c r="J67" s="386" t="str">
        <f>IF($A67="","",VLOOKUP($A67,기본데이타!$A$8:$BV$103,COLUMN(기본데이타!AK$8),0))</f>
        <v/>
      </c>
      <c r="K67" s="386" t="str">
        <f>IF($A67="","",VLOOKUP($A67,기본데이타!$A$8:$BV$103,COLUMN(기본데이타!AL$8),0))</f>
        <v/>
      </c>
      <c r="L67" s="386" t="str">
        <f>IF($A67="","",VLOOKUP($A67,기본데이타!$A$8:$BV$103,COLUMN(기본데이타!AM$8),0))</f>
        <v/>
      </c>
      <c r="M67" s="386" t="str">
        <f>IF($A67="","",VLOOKUP($A67,기본데이타!$A$8:$BV$103,COLUMN(기본데이타!AN$8),0))</f>
        <v/>
      </c>
      <c r="N67" s="386" t="str">
        <f>IF($A67="","",VLOOKUP($A67,기본데이타!$A$8:$BV$103,COLUMN(기본데이타!AO$8),0))</f>
        <v/>
      </c>
      <c r="O67" s="386" t="str">
        <f>IF($A67="","",VLOOKUP($A67,기본데이타!$A$8:$BV$103,COLUMN(기본데이타!AP$8),0))</f>
        <v/>
      </c>
      <c r="P67" s="386" t="str">
        <f>IF($A67="","",VLOOKUP($A67,기본데이타!$A$8:$BV$103,COLUMN(기본데이타!AQ$8),0))</f>
        <v/>
      </c>
      <c r="Q67" s="386" t="str">
        <f>IF($A67="","",VLOOKUP($A67,기본데이타!$A$8:$BV$103,COLUMN(기본데이타!AR$8),0))</f>
        <v/>
      </c>
      <c r="R67" s="386" t="str">
        <f>IF($A67="","",VLOOKUP($A67,기본데이타!$A$8:$BV$103,COLUMN(기본데이타!AS$8),0))</f>
        <v/>
      </c>
      <c r="S67" s="386" t="str">
        <f>IF($A67="","",VLOOKUP($A67,기본데이타!$A$8:$BV$103,COLUMN(기본데이타!AT$8),0))</f>
        <v/>
      </c>
      <c r="T67" s="386" t="str">
        <f>IF($A67="","",VLOOKUP($A67,기본데이타!$A$8:$BV$103,COLUMN(기본데이타!AU$8),0))</f>
        <v/>
      </c>
      <c r="U67" s="386" t="str">
        <f>IF($A67="","",VLOOKUP($A67,기본데이타!$A$8:$BV$103,COLUMN(기본데이타!AV$8),0))</f>
        <v/>
      </c>
      <c r="V67" s="16" t="str">
        <f>IF($A67="","",VLOOKUP($A67,기본데이타!$A$8:$BV$103,COLUMN(기본데이타!AW$8),0))</f>
        <v/>
      </c>
      <c r="W67" s="16" t="str">
        <f>IF($A67="","",VLOOKUP($A67,기본데이타!$A$8:$BV$103,COLUMN(기본데이타!AX$8),0))</f>
        <v/>
      </c>
      <c r="X67" s="16" t="str">
        <f>IF($A67="","",VLOOKUP($A67,기본데이타!$A$8:$BV$103,COLUMN(기본데이타!AY$8),0))</f>
        <v/>
      </c>
      <c r="Y67" s="16" t="str">
        <f>IF($A67="","",VLOOKUP($A67,기본데이타!$A$8:$BV$103,COLUMN(기본데이타!AZ$8),0))</f>
        <v/>
      </c>
      <c r="Z67" s="17" t="str">
        <f>IF($A67="","",VLOOKUP($A67,기본데이타!$A$8:$BV$103,COLUMN(기본데이타!BN$8),0))</f>
        <v/>
      </c>
      <c r="AA67" s="17" t="str">
        <f>IF($A67="","",VLOOKUP($A67,기본데이타!$A$8:$BV$103,COLUMN(기본데이타!BO$8),0))</f>
        <v/>
      </c>
      <c r="AB67" s="17" t="str">
        <f>IF($A67="","",VLOOKUP($A67,기본데이타!$A$8:$BV$103,COLUMN(기본데이타!BP$8),0))</f>
        <v/>
      </c>
      <c r="AC67" s="17" t="str">
        <f>IF($A67="","",VLOOKUP($A67,기본데이타!$A$8:$BV$103,COLUMN(기본데이타!BQ$8),0))</f>
        <v/>
      </c>
      <c r="AD67" s="17" t="str">
        <f>IF($A67="","",VLOOKUP($A67,기본데이타!$A$8:$BV$103,COLUMN(기본데이타!BR$8),0))</f>
        <v/>
      </c>
      <c r="AE67" s="17" t="str">
        <f>IF($A67="","",VLOOKUP($A67,기본데이타!$A$8:$BV$103,COLUMN(기본데이타!BS$8),0))</f>
        <v/>
      </c>
      <c r="AF67" s="524" t="str">
        <f>IF($A67="","",VLOOKUP($A67,기본데이타!$A$8:$BV$103,COLUMN(기본데이타!BT$8),0))</f>
        <v/>
      </c>
      <c r="AG67" s="432" t="str">
        <f>IF($A67="","",VLOOKUP($A67,기본데이타!$A$8:$BV$103,COLUMN(기본데이타!BU$8),0))</f>
        <v/>
      </c>
      <c r="AH67" s="18" t="str">
        <f t="shared" si="19"/>
        <v/>
      </c>
    </row>
    <row r="68" spans="1:34" s="187" customFormat="1" ht="35.1" hidden="1" customHeight="1">
      <c r="A68" s="345"/>
      <c r="C68" s="190"/>
      <c r="D68" s="8" t="str">
        <f>IF($A68="","",VLOOKUP($A68,기본데이타!$A$8:$BV$103,COLUMN(기본데이타!F$8),0))</f>
        <v/>
      </c>
      <c r="E68" s="252" t="str">
        <f>IF($A68="","",VLOOKUP($A68,기본데이타!$A$8:$BV$103,COLUMN(기본데이타!G$8),0))</f>
        <v/>
      </c>
      <c r="F68" s="15" t="str">
        <f>IF($A68="","",VLOOKUP($A68,기본데이타!$A$8:$BV$103,COLUMN(기본데이타!H$8),0))</f>
        <v/>
      </c>
      <c r="G68" s="15" t="str">
        <f>IF($A68="","",VLOOKUP($A68,기본데이타!$A$8:$BV$103,COLUMN(기본데이타!I$8),0))</f>
        <v/>
      </c>
      <c r="H68" s="15" t="str">
        <f>IF($A68="","",VLOOKUP($A68,기본데이타!$A$8:$BV$103,COLUMN(기본데이타!J$8),0))</f>
        <v/>
      </c>
      <c r="I68" s="17" t="str">
        <f>IF($A68="","",VLOOKUP($A68,기본데이타!$A$8:$BV$103,COLUMN(기본데이타!AJ$8),0))</f>
        <v/>
      </c>
      <c r="J68" s="386" t="str">
        <f>IF($A68="","",VLOOKUP($A68,기본데이타!$A$8:$BV$103,COLUMN(기본데이타!AK$8),0))</f>
        <v/>
      </c>
      <c r="K68" s="386" t="str">
        <f>IF($A68="","",VLOOKUP($A68,기본데이타!$A$8:$BV$103,COLUMN(기본데이타!AL$8),0))</f>
        <v/>
      </c>
      <c r="L68" s="386" t="str">
        <f>IF($A68="","",VLOOKUP($A68,기본데이타!$A$8:$BV$103,COLUMN(기본데이타!AM$8),0))</f>
        <v/>
      </c>
      <c r="M68" s="386" t="str">
        <f>IF($A68="","",VLOOKUP($A68,기본데이타!$A$8:$BV$103,COLUMN(기본데이타!AN$8),0))</f>
        <v/>
      </c>
      <c r="N68" s="386" t="str">
        <f>IF($A68="","",VLOOKUP($A68,기본데이타!$A$8:$BV$103,COLUMN(기본데이타!AO$8),0))</f>
        <v/>
      </c>
      <c r="O68" s="386" t="str">
        <f>IF($A68="","",VLOOKUP($A68,기본데이타!$A$8:$BV$103,COLUMN(기본데이타!AP$8),0))</f>
        <v/>
      </c>
      <c r="P68" s="386" t="str">
        <f>IF($A68="","",VLOOKUP($A68,기본데이타!$A$8:$BV$103,COLUMN(기본데이타!AQ$8),0))</f>
        <v/>
      </c>
      <c r="Q68" s="386" t="str">
        <f>IF($A68="","",VLOOKUP($A68,기본데이타!$A$8:$BV$103,COLUMN(기본데이타!AR$8),0))</f>
        <v/>
      </c>
      <c r="R68" s="386" t="str">
        <f>IF($A68="","",VLOOKUP($A68,기본데이타!$A$8:$BV$103,COLUMN(기본데이타!AS$8),0))</f>
        <v/>
      </c>
      <c r="S68" s="386" t="str">
        <f>IF($A68="","",VLOOKUP($A68,기본데이타!$A$8:$BV$103,COLUMN(기본데이타!AT$8),0))</f>
        <v/>
      </c>
      <c r="T68" s="386" t="str">
        <f>IF($A68="","",VLOOKUP($A68,기본데이타!$A$8:$BV$103,COLUMN(기본데이타!AU$8),0))</f>
        <v/>
      </c>
      <c r="U68" s="386" t="str">
        <f>IF($A68="","",VLOOKUP($A68,기본데이타!$A$8:$BV$103,COLUMN(기본데이타!AV$8),0))</f>
        <v/>
      </c>
      <c r="V68" s="16" t="str">
        <f>IF($A68="","",VLOOKUP($A68,기본데이타!$A$8:$BV$103,COLUMN(기본데이타!AW$8),0))</f>
        <v/>
      </c>
      <c r="W68" s="16" t="str">
        <f>IF($A68="","",VLOOKUP($A68,기본데이타!$A$8:$BV$103,COLUMN(기본데이타!AX$8),0))</f>
        <v/>
      </c>
      <c r="X68" s="16" t="str">
        <f>IF($A68="","",VLOOKUP($A68,기본데이타!$A$8:$BV$103,COLUMN(기본데이타!AY$8),0))</f>
        <v/>
      </c>
      <c r="Y68" s="16" t="str">
        <f>IF($A68="","",VLOOKUP($A68,기본데이타!$A$8:$BV$103,COLUMN(기본데이타!AZ$8),0))</f>
        <v/>
      </c>
      <c r="Z68" s="17" t="str">
        <f>IF($A68="","",VLOOKUP($A68,기본데이타!$A$8:$BV$103,COLUMN(기본데이타!BN$8),0))</f>
        <v/>
      </c>
      <c r="AA68" s="17" t="str">
        <f>IF($A68="","",VLOOKUP($A68,기본데이타!$A$8:$BV$103,COLUMN(기본데이타!BO$8),0))</f>
        <v/>
      </c>
      <c r="AB68" s="17" t="str">
        <f>IF($A68="","",VLOOKUP($A68,기본데이타!$A$8:$BV$103,COLUMN(기본데이타!BP$8),0))</f>
        <v/>
      </c>
      <c r="AC68" s="17" t="str">
        <f>IF($A68="","",VLOOKUP($A68,기본데이타!$A$8:$BV$103,COLUMN(기본데이타!BQ$8),0))</f>
        <v/>
      </c>
      <c r="AD68" s="17" t="str">
        <f>IF($A68="","",VLOOKUP($A68,기본데이타!$A$8:$BV$103,COLUMN(기본데이타!BR$8),0))</f>
        <v/>
      </c>
      <c r="AE68" s="17" t="str">
        <f>IF($A68="","",VLOOKUP($A68,기본데이타!$A$8:$BV$103,COLUMN(기본데이타!BS$8),0))</f>
        <v/>
      </c>
      <c r="AF68" s="524" t="str">
        <f>IF($A68="","",VLOOKUP($A68,기본데이타!$A$8:$BV$103,COLUMN(기본데이타!BT$8),0))</f>
        <v/>
      </c>
      <c r="AG68" s="432" t="str">
        <f>IF($A68="","",VLOOKUP($A68,기본데이타!$A$8:$BV$103,COLUMN(기본데이타!BU$8),0))</f>
        <v/>
      </c>
      <c r="AH68" s="18" t="str">
        <f>IF(A68="","",A68)</f>
        <v/>
      </c>
    </row>
    <row r="69" spans="1:34" s="187" customFormat="1" ht="35.1" hidden="1" customHeight="1">
      <c r="A69" s="345"/>
      <c r="C69" s="190"/>
      <c r="D69" s="8" t="str">
        <f>IF($A69="","",VLOOKUP($A69,기본데이타!$A$8:$BV$103,COLUMN(기본데이타!F$8),0))</f>
        <v/>
      </c>
      <c r="E69" s="252" t="str">
        <f>IF($A69="","",VLOOKUP($A69,기본데이타!$A$8:$BV$103,COLUMN(기본데이타!G$8),0))</f>
        <v/>
      </c>
      <c r="F69" s="15" t="str">
        <f>IF($A69="","",VLOOKUP($A69,기본데이타!$A$8:$BV$103,COLUMN(기본데이타!H$8),0))</f>
        <v/>
      </c>
      <c r="G69" s="15" t="str">
        <f>IF($A69="","",VLOOKUP($A69,기본데이타!$A$8:$BV$103,COLUMN(기본데이타!I$8),0))</f>
        <v/>
      </c>
      <c r="H69" s="15" t="str">
        <f>IF($A69="","",VLOOKUP($A69,기본데이타!$A$8:$BV$103,COLUMN(기본데이타!J$8),0))</f>
        <v/>
      </c>
      <c r="I69" s="17" t="str">
        <f>IF($A69="","",VLOOKUP($A69,기본데이타!$A$8:$BV$103,COLUMN(기본데이타!AJ$8),0))</f>
        <v/>
      </c>
      <c r="J69" s="386" t="str">
        <f>IF($A69="","",VLOOKUP($A69,기본데이타!$A$8:$BV$103,COLUMN(기본데이타!AK$8),0))</f>
        <v/>
      </c>
      <c r="K69" s="386" t="str">
        <f>IF($A69="","",VLOOKUP($A69,기본데이타!$A$8:$BV$103,COLUMN(기본데이타!AL$8),0))</f>
        <v/>
      </c>
      <c r="L69" s="386" t="str">
        <f>IF($A69="","",VLOOKUP($A69,기본데이타!$A$8:$BV$103,COLUMN(기본데이타!AM$8),0))</f>
        <v/>
      </c>
      <c r="M69" s="386" t="str">
        <f>IF($A69="","",VLOOKUP($A69,기본데이타!$A$8:$BV$103,COLUMN(기본데이타!AN$8),0))</f>
        <v/>
      </c>
      <c r="N69" s="386" t="str">
        <f>IF($A69="","",VLOOKUP($A69,기본데이타!$A$8:$BV$103,COLUMN(기본데이타!AO$8),0))</f>
        <v/>
      </c>
      <c r="O69" s="386" t="str">
        <f>IF($A69="","",VLOOKUP($A69,기본데이타!$A$8:$BV$103,COLUMN(기본데이타!AP$8),0))</f>
        <v/>
      </c>
      <c r="P69" s="386" t="str">
        <f>IF($A69="","",VLOOKUP($A69,기본데이타!$A$8:$BV$103,COLUMN(기본데이타!AQ$8),0))</f>
        <v/>
      </c>
      <c r="Q69" s="386" t="str">
        <f>IF($A69="","",VLOOKUP($A69,기본데이타!$A$8:$BV$103,COLUMN(기본데이타!AR$8),0))</f>
        <v/>
      </c>
      <c r="R69" s="386" t="str">
        <f>IF($A69="","",VLOOKUP($A69,기본데이타!$A$8:$BV$103,COLUMN(기본데이타!AS$8),0))</f>
        <v/>
      </c>
      <c r="S69" s="386" t="str">
        <f>IF($A69="","",VLOOKUP($A69,기본데이타!$A$8:$BV$103,COLUMN(기본데이타!AT$8),0))</f>
        <v/>
      </c>
      <c r="T69" s="386" t="str">
        <f>IF($A69="","",VLOOKUP($A69,기본데이타!$A$8:$BV$103,COLUMN(기본데이타!AU$8),0))</f>
        <v/>
      </c>
      <c r="U69" s="386" t="str">
        <f>IF($A69="","",VLOOKUP($A69,기본데이타!$A$8:$BV$103,COLUMN(기본데이타!AV$8),0))</f>
        <v/>
      </c>
      <c r="V69" s="16" t="str">
        <f>IF($A69="","",VLOOKUP($A69,기본데이타!$A$8:$BV$103,COLUMN(기본데이타!AW$8),0))</f>
        <v/>
      </c>
      <c r="W69" s="16" t="str">
        <f>IF($A69="","",VLOOKUP($A69,기본데이타!$A$8:$BV$103,COLUMN(기본데이타!AX$8),0))</f>
        <v/>
      </c>
      <c r="X69" s="16" t="str">
        <f>IF($A69="","",VLOOKUP($A69,기본데이타!$A$8:$BV$103,COLUMN(기본데이타!AY$8),0))</f>
        <v/>
      </c>
      <c r="Y69" s="16" t="str">
        <f>IF($A69="","",VLOOKUP($A69,기본데이타!$A$8:$BV$103,COLUMN(기본데이타!AZ$8),0))</f>
        <v/>
      </c>
      <c r="Z69" s="17" t="str">
        <f>IF($A69="","",VLOOKUP($A69,기본데이타!$A$8:$BV$103,COLUMN(기본데이타!BN$8),0))</f>
        <v/>
      </c>
      <c r="AA69" s="17" t="str">
        <f>IF($A69="","",VLOOKUP($A69,기본데이타!$A$8:$BV$103,COLUMN(기본데이타!BO$8),0))</f>
        <v/>
      </c>
      <c r="AB69" s="17" t="str">
        <f>IF($A69="","",VLOOKUP($A69,기본데이타!$A$8:$BV$103,COLUMN(기본데이타!BP$8),0))</f>
        <v/>
      </c>
      <c r="AC69" s="17" t="str">
        <f>IF($A69="","",VLOOKUP($A69,기본데이타!$A$8:$BV$103,COLUMN(기본데이타!BQ$8),0))</f>
        <v/>
      </c>
      <c r="AD69" s="17" t="str">
        <f>IF($A69="","",VLOOKUP($A69,기본데이타!$A$8:$BV$103,COLUMN(기본데이타!BR$8),0))</f>
        <v/>
      </c>
      <c r="AE69" s="17" t="str">
        <f>IF($A69="","",VLOOKUP($A69,기본데이타!$A$8:$BV$103,COLUMN(기본데이타!BS$8),0))</f>
        <v/>
      </c>
      <c r="AF69" s="524" t="str">
        <f>IF($A69="","",VLOOKUP($A69,기본데이타!$A$8:$BV$103,COLUMN(기본데이타!BT$8),0))</f>
        <v/>
      </c>
      <c r="AG69" s="432" t="str">
        <f>IF($A69="","",VLOOKUP($A69,기본데이타!$A$8:$BV$103,COLUMN(기본데이타!BU$8),0))</f>
        <v/>
      </c>
      <c r="AH69" s="18" t="str">
        <f>IF(A69="","",A69)</f>
        <v/>
      </c>
    </row>
    <row r="70" spans="1:34" s="187" customFormat="1" ht="35.1" hidden="1" customHeight="1">
      <c r="A70" s="345"/>
      <c r="C70" s="190"/>
      <c r="D70" s="8" t="str">
        <f>IF($A70="","",VLOOKUP($A70,기본데이타!$A$8:$BV$103,COLUMN(기본데이타!F$8),0))</f>
        <v/>
      </c>
      <c r="E70" s="252" t="str">
        <f>IF($A70="","",VLOOKUP($A70,기본데이타!$A$8:$BV$103,COLUMN(기본데이타!G$8),0))</f>
        <v/>
      </c>
      <c r="F70" s="15" t="str">
        <f>IF($A70="","",VLOOKUP($A70,기본데이타!$A$8:$BV$103,COLUMN(기본데이타!H$8),0))</f>
        <v/>
      </c>
      <c r="G70" s="15" t="str">
        <f>IF($A70="","",VLOOKUP($A70,기본데이타!$A$8:$BV$103,COLUMN(기본데이타!I$8),0))</f>
        <v/>
      </c>
      <c r="H70" s="15" t="str">
        <f>IF($A70="","",VLOOKUP($A70,기본데이타!$A$8:$BV$103,COLUMN(기본데이타!J$8),0))</f>
        <v/>
      </c>
      <c r="I70" s="17" t="str">
        <f>IF($A70="","",VLOOKUP($A70,기본데이타!$A$8:$BV$103,COLUMN(기본데이타!AJ$8),0))</f>
        <v/>
      </c>
      <c r="J70" s="386" t="str">
        <f>IF($A70="","",VLOOKUP($A70,기본데이타!$A$8:$BV$103,COLUMN(기본데이타!AK$8),0))</f>
        <v/>
      </c>
      <c r="K70" s="386" t="str">
        <f>IF($A70="","",VLOOKUP($A70,기본데이타!$A$8:$BV$103,COLUMN(기본데이타!AL$8),0))</f>
        <v/>
      </c>
      <c r="L70" s="386" t="str">
        <f>IF($A70="","",VLOOKUP($A70,기본데이타!$A$8:$BV$103,COLUMN(기본데이타!AM$8),0))</f>
        <v/>
      </c>
      <c r="M70" s="386" t="str">
        <f>IF($A70="","",VLOOKUP($A70,기본데이타!$A$8:$BV$103,COLUMN(기본데이타!AN$8),0))</f>
        <v/>
      </c>
      <c r="N70" s="386" t="str">
        <f>IF($A70="","",VLOOKUP($A70,기본데이타!$A$8:$BV$103,COLUMN(기본데이타!AO$8),0))</f>
        <v/>
      </c>
      <c r="O70" s="386" t="str">
        <f>IF($A70="","",VLOOKUP($A70,기본데이타!$A$8:$BV$103,COLUMN(기본데이타!AP$8),0))</f>
        <v/>
      </c>
      <c r="P70" s="386" t="str">
        <f>IF($A70="","",VLOOKUP($A70,기본데이타!$A$8:$BV$103,COLUMN(기본데이타!AQ$8),0))</f>
        <v/>
      </c>
      <c r="Q70" s="386" t="str">
        <f>IF($A70="","",VLOOKUP($A70,기본데이타!$A$8:$BV$103,COLUMN(기본데이타!AR$8),0))</f>
        <v/>
      </c>
      <c r="R70" s="386" t="str">
        <f>IF($A70="","",VLOOKUP($A70,기본데이타!$A$8:$BV$103,COLUMN(기본데이타!AS$8),0))</f>
        <v/>
      </c>
      <c r="S70" s="386" t="str">
        <f>IF($A70="","",VLOOKUP($A70,기본데이타!$A$8:$BV$103,COLUMN(기본데이타!AT$8),0))</f>
        <v/>
      </c>
      <c r="T70" s="386" t="str">
        <f>IF($A70="","",VLOOKUP($A70,기본데이타!$A$8:$BV$103,COLUMN(기본데이타!AU$8),0))</f>
        <v/>
      </c>
      <c r="U70" s="386" t="str">
        <f>IF($A70="","",VLOOKUP($A70,기본데이타!$A$8:$BV$103,COLUMN(기본데이타!AV$8),0))</f>
        <v/>
      </c>
      <c r="V70" s="16" t="str">
        <f>IF($A70="","",VLOOKUP($A70,기본데이타!$A$8:$BV$103,COLUMN(기본데이타!AW$8),0))</f>
        <v/>
      </c>
      <c r="W70" s="16" t="str">
        <f>IF($A70="","",VLOOKUP($A70,기본데이타!$A$8:$BV$103,COLUMN(기본데이타!AX$8),0))</f>
        <v/>
      </c>
      <c r="X70" s="16" t="str">
        <f>IF($A70="","",VLOOKUP($A70,기본데이타!$A$8:$BV$103,COLUMN(기본데이타!AY$8),0))</f>
        <v/>
      </c>
      <c r="Y70" s="16" t="str">
        <f>IF($A70="","",VLOOKUP($A70,기본데이타!$A$8:$BV$103,COLUMN(기본데이타!AZ$8),0))</f>
        <v/>
      </c>
      <c r="Z70" s="17" t="str">
        <f>IF($A70="","",VLOOKUP($A70,기본데이타!$A$8:$BV$103,COLUMN(기본데이타!BN$8),0))</f>
        <v/>
      </c>
      <c r="AA70" s="17" t="str">
        <f>IF($A70="","",VLOOKUP($A70,기본데이타!$A$8:$BV$103,COLUMN(기본데이타!BO$8),0))</f>
        <v/>
      </c>
      <c r="AB70" s="17" t="str">
        <f>IF($A70="","",VLOOKUP($A70,기본데이타!$A$8:$BV$103,COLUMN(기본데이타!BP$8),0))</f>
        <v/>
      </c>
      <c r="AC70" s="17" t="str">
        <f>IF($A70="","",VLOOKUP($A70,기본데이타!$A$8:$BV$103,COLUMN(기본데이타!BQ$8),0))</f>
        <v/>
      </c>
      <c r="AD70" s="17" t="str">
        <f>IF($A70="","",VLOOKUP($A70,기본데이타!$A$8:$BV$103,COLUMN(기본데이타!BR$8),0))</f>
        <v/>
      </c>
      <c r="AE70" s="17" t="str">
        <f>IF($A70="","",VLOOKUP($A70,기본데이타!$A$8:$BV$103,COLUMN(기본데이타!BS$8),0))</f>
        <v/>
      </c>
      <c r="AF70" s="524" t="str">
        <f>IF($A70="","",VLOOKUP($A70,기본데이타!$A$8:$BV$103,COLUMN(기본데이타!BT$8),0))</f>
        <v/>
      </c>
      <c r="AG70" s="432" t="str">
        <f>IF($A70="","",VLOOKUP($A70,기본데이타!$A$8:$BV$103,COLUMN(기본데이타!BU$8),0))</f>
        <v/>
      </c>
      <c r="AH70" s="18" t="str">
        <f>IF(A70="","",A70)</f>
        <v/>
      </c>
    </row>
    <row r="71" spans="1:34" s="187" customFormat="1" ht="35.1" hidden="1" customHeight="1">
      <c r="A71" s="345"/>
      <c r="C71" s="190"/>
      <c r="D71" s="8" t="str">
        <f>IF($A71="","",VLOOKUP($A71,기본데이타!$A$8:$BV$103,COLUMN(기본데이타!F$8),0))</f>
        <v/>
      </c>
      <c r="E71" s="252" t="str">
        <f>IF($A71="","",VLOOKUP($A71,기본데이타!$A$8:$BV$103,COLUMN(기본데이타!G$8),0))</f>
        <v/>
      </c>
      <c r="F71" s="15" t="str">
        <f>IF($A71="","",VLOOKUP($A71,기본데이타!$A$8:$BV$103,COLUMN(기본데이타!H$8),0))</f>
        <v/>
      </c>
      <c r="G71" s="15" t="str">
        <f>IF($A71="","",VLOOKUP($A71,기본데이타!$A$8:$BV$103,COLUMN(기본데이타!I$8),0))</f>
        <v/>
      </c>
      <c r="H71" s="15" t="str">
        <f>IF($A71="","",VLOOKUP($A71,기본데이타!$A$8:$BV$103,COLUMN(기본데이타!J$8),0))</f>
        <v/>
      </c>
      <c r="I71" s="17" t="str">
        <f>IF($A71="","",VLOOKUP($A71,기본데이타!$A$8:$BV$103,COLUMN(기본데이타!AJ$8),0))</f>
        <v/>
      </c>
      <c r="J71" s="386" t="str">
        <f>IF($A71="","",VLOOKUP($A71,기본데이타!$A$8:$BV$103,COLUMN(기본데이타!AK$8),0))</f>
        <v/>
      </c>
      <c r="K71" s="386" t="str">
        <f>IF($A71="","",VLOOKUP($A71,기본데이타!$A$8:$BV$103,COLUMN(기본데이타!AL$8),0))</f>
        <v/>
      </c>
      <c r="L71" s="386" t="str">
        <f>IF($A71="","",VLOOKUP($A71,기본데이타!$A$8:$BV$103,COLUMN(기본데이타!AM$8),0))</f>
        <v/>
      </c>
      <c r="M71" s="386" t="str">
        <f>IF($A71="","",VLOOKUP($A71,기본데이타!$A$8:$BV$103,COLUMN(기본데이타!AN$8),0))</f>
        <v/>
      </c>
      <c r="N71" s="386" t="str">
        <f>IF($A71="","",VLOOKUP($A71,기본데이타!$A$8:$BV$103,COLUMN(기본데이타!AO$8),0))</f>
        <v/>
      </c>
      <c r="O71" s="386" t="str">
        <f>IF($A71="","",VLOOKUP($A71,기본데이타!$A$8:$BV$103,COLUMN(기본데이타!AP$8),0))</f>
        <v/>
      </c>
      <c r="P71" s="386" t="str">
        <f>IF($A71="","",VLOOKUP($A71,기본데이타!$A$8:$BV$103,COLUMN(기본데이타!AQ$8),0))</f>
        <v/>
      </c>
      <c r="Q71" s="386" t="str">
        <f>IF($A71="","",VLOOKUP($A71,기본데이타!$A$8:$BV$103,COLUMN(기본데이타!AR$8),0))</f>
        <v/>
      </c>
      <c r="R71" s="386" t="str">
        <f>IF($A71="","",VLOOKUP($A71,기본데이타!$A$8:$BV$103,COLUMN(기본데이타!AS$8),0))</f>
        <v/>
      </c>
      <c r="S71" s="386" t="str">
        <f>IF($A71="","",VLOOKUP($A71,기본데이타!$A$8:$BV$103,COLUMN(기본데이타!AT$8),0))</f>
        <v/>
      </c>
      <c r="T71" s="386" t="str">
        <f>IF($A71="","",VLOOKUP($A71,기본데이타!$A$8:$BV$103,COLUMN(기본데이타!AU$8),0))</f>
        <v/>
      </c>
      <c r="U71" s="386" t="str">
        <f>IF($A71="","",VLOOKUP($A71,기본데이타!$A$8:$BV$103,COLUMN(기본데이타!AV$8),0))</f>
        <v/>
      </c>
      <c r="V71" s="16" t="str">
        <f>IF($A71="","",VLOOKUP($A71,기본데이타!$A$8:$BV$103,COLUMN(기본데이타!AW$8),0))</f>
        <v/>
      </c>
      <c r="W71" s="16" t="str">
        <f>IF($A71="","",VLOOKUP($A71,기본데이타!$A$8:$BV$103,COLUMN(기본데이타!AX$8),0))</f>
        <v/>
      </c>
      <c r="X71" s="16" t="str">
        <f>IF($A71="","",VLOOKUP($A71,기본데이타!$A$8:$BV$103,COLUMN(기본데이타!AY$8),0))</f>
        <v/>
      </c>
      <c r="Y71" s="16" t="str">
        <f>IF($A71="","",VLOOKUP($A71,기본데이타!$A$8:$BV$103,COLUMN(기본데이타!AZ$8),0))</f>
        <v/>
      </c>
      <c r="Z71" s="17" t="str">
        <f>IF($A71="","",VLOOKUP($A71,기본데이타!$A$8:$BV$103,COLUMN(기본데이타!BN$8),0))</f>
        <v/>
      </c>
      <c r="AA71" s="17" t="str">
        <f>IF($A71="","",VLOOKUP($A71,기본데이타!$A$8:$BV$103,COLUMN(기본데이타!BO$8),0))</f>
        <v/>
      </c>
      <c r="AB71" s="17" t="str">
        <f>IF($A71="","",VLOOKUP($A71,기본데이타!$A$8:$BV$103,COLUMN(기본데이타!BP$8),0))</f>
        <v/>
      </c>
      <c r="AC71" s="17" t="str">
        <f>IF($A71="","",VLOOKUP($A71,기본데이타!$A$8:$BV$103,COLUMN(기본데이타!BQ$8),0))</f>
        <v/>
      </c>
      <c r="AD71" s="17" t="str">
        <f>IF($A71="","",VLOOKUP($A71,기본데이타!$A$8:$BV$103,COLUMN(기본데이타!BR$8),0))</f>
        <v/>
      </c>
      <c r="AE71" s="17" t="str">
        <f>IF($A71="","",VLOOKUP($A71,기본데이타!$A$8:$BV$103,COLUMN(기본데이타!BS$8),0))</f>
        <v/>
      </c>
      <c r="AF71" s="524" t="str">
        <f>IF($A71="","",VLOOKUP($A71,기본데이타!$A$8:$BV$103,COLUMN(기본데이타!BT$8),0))</f>
        <v/>
      </c>
      <c r="AG71" s="432" t="str">
        <f>IF($A71="","",VLOOKUP($A71,기본데이타!$A$8:$BV$103,COLUMN(기본데이타!BU$8),0))</f>
        <v/>
      </c>
      <c r="AH71" s="18" t="str">
        <f>IF(A71="","",A71)</f>
        <v/>
      </c>
    </row>
    <row r="72" spans="1:34" s="187" customFormat="1" ht="35.1" hidden="1" customHeight="1">
      <c r="A72" s="345"/>
      <c r="C72" s="190"/>
      <c r="D72" s="8" t="str">
        <f>IF($A72="","",VLOOKUP($A72,기본데이타!$A$8:$BV$103,COLUMN(기본데이타!F$8),0))</f>
        <v/>
      </c>
      <c r="E72" s="252" t="str">
        <f>IF($A72="","",VLOOKUP($A72,기본데이타!$A$8:$BV$103,COLUMN(기본데이타!G$8),0))</f>
        <v/>
      </c>
      <c r="F72" s="15" t="str">
        <f>IF($A72="","",VLOOKUP($A72,기본데이타!$A$8:$BV$103,COLUMN(기본데이타!H$8),0))</f>
        <v/>
      </c>
      <c r="G72" s="15" t="str">
        <f>IF($A72="","",VLOOKUP($A72,기본데이타!$A$8:$BV$103,COLUMN(기본데이타!I$8),0))</f>
        <v/>
      </c>
      <c r="H72" s="15" t="str">
        <f>IF($A72="","",VLOOKUP($A72,기본데이타!$A$8:$BV$103,COLUMN(기본데이타!J$8),0))</f>
        <v/>
      </c>
      <c r="I72" s="17" t="str">
        <f>IF($A72="","",VLOOKUP($A72,기본데이타!$A$8:$BV$103,COLUMN(기본데이타!AJ$8),0))</f>
        <v/>
      </c>
      <c r="J72" s="386" t="str">
        <f>IF($A72="","",VLOOKUP($A72,기본데이타!$A$8:$BV$103,COLUMN(기본데이타!AK$8),0))</f>
        <v/>
      </c>
      <c r="K72" s="386" t="str">
        <f>IF($A72="","",VLOOKUP($A72,기본데이타!$A$8:$BV$103,COLUMN(기본데이타!AL$8),0))</f>
        <v/>
      </c>
      <c r="L72" s="386" t="str">
        <f>IF($A72="","",VLOOKUP($A72,기본데이타!$A$8:$BV$103,COLUMN(기본데이타!AM$8),0))</f>
        <v/>
      </c>
      <c r="M72" s="386" t="str">
        <f>IF($A72="","",VLOOKUP($A72,기본데이타!$A$8:$BV$103,COLUMN(기본데이타!AN$8),0))</f>
        <v/>
      </c>
      <c r="N72" s="386" t="str">
        <f>IF($A72="","",VLOOKUP($A72,기본데이타!$A$8:$BV$103,COLUMN(기본데이타!AO$8),0))</f>
        <v/>
      </c>
      <c r="O72" s="386" t="str">
        <f>IF($A72="","",VLOOKUP($A72,기본데이타!$A$8:$BV$103,COLUMN(기본데이타!AP$8),0))</f>
        <v/>
      </c>
      <c r="P72" s="386" t="str">
        <f>IF($A72="","",VLOOKUP($A72,기본데이타!$A$8:$BV$103,COLUMN(기본데이타!AQ$8),0))</f>
        <v/>
      </c>
      <c r="Q72" s="386" t="str">
        <f>IF($A72="","",VLOOKUP($A72,기본데이타!$A$8:$BV$103,COLUMN(기본데이타!AR$8),0))</f>
        <v/>
      </c>
      <c r="R72" s="386" t="str">
        <f>IF($A72="","",VLOOKUP($A72,기본데이타!$A$8:$BV$103,COLUMN(기본데이타!AS$8),0))</f>
        <v/>
      </c>
      <c r="S72" s="386" t="str">
        <f>IF($A72="","",VLOOKUP($A72,기본데이타!$A$8:$BV$103,COLUMN(기본데이타!AT$8),0))</f>
        <v/>
      </c>
      <c r="T72" s="386" t="str">
        <f>IF($A72="","",VLOOKUP($A72,기본데이타!$A$8:$BV$103,COLUMN(기본데이타!AU$8),0))</f>
        <v/>
      </c>
      <c r="U72" s="386" t="str">
        <f>IF($A72="","",VLOOKUP($A72,기본데이타!$A$8:$BV$103,COLUMN(기본데이타!AV$8),0))</f>
        <v/>
      </c>
      <c r="V72" s="16" t="str">
        <f>IF($A72="","",VLOOKUP($A72,기본데이타!$A$8:$BV$103,COLUMN(기본데이타!AW$8),0))</f>
        <v/>
      </c>
      <c r="W72" s="16" t="str">
        <f>IF($A72="","",VLOOKUP($A72,기본데이타!$A$8:$BV$103,COLUMN(기본데이타!AX$8),0))</f>
        <v/>
      </c>
      <c r="X72" s="16" t="str">
        <f>IF($A72="","",VLOOKUP($A72,기본데이타!$A$8:$BV$103,COLUMN(기본데이타!AY$8),0))</f>
        <v/>
      </c>
      <c r="Y72" s="16" t="str">
        <f>IF($A72="","",VLOOKUP($A72,기본데이타!$A$8:$BV$103,COLUMN(기본데이타!AZ$8),0))</f>
        <v/>
      </c>
      <c r="Z72" s="17" t="str">
        <f>IF($A72="","",VLOOKUP($A72,기본데이타!$A$8:$BV$103,COLUMN(기본데이타!BN$8),0))</f>
        <v/>
      </c>
      <c r="AA72" s="17" t="str">
        <f>IF($A72="","",VLOOKUP($A72,기본데이타!$A$8:$BV$103,COLUMN(기본데이타!BO$8),0))</f>
        <v/>
      </c>
      <c r="AB72" s="17" t="str">
        <f>IF($A72="","",VLOOKUP($A72,기본데이타!$A$8:$BV$103,COLUMN(기본데이타!BP$8),0))</f>
        <v/>
      </c>
      <c r="AC72" s="17" t="str">
        <f>IF($A72="","",VLOOKUP($A72,기본데이타!$A$8:$BV$103,COLUMN(기본데이타!BQ$8),0))</f>
        <v/>
      </c>
      <c r="AD72" s="17" t="str">
        <f>IF($A72="","",VLOOKUP($A72,기본데이타!$A$8:$BV$103,COLUMN(기본데이타!BR$8),0))</f>
        <v/>
      </c>
      <c r="AE72" s="17" t="str">
        <f>IF($A72="","",VLOOKUP($A72,기본데이타!$A$8:$BV$103,COLUMN(기본데이타!BS$8),0))</f>
        <v/>
      </c>
      <c r="AF72" s="524" t="str">
        <f>IF($A72="","",VLOOKUP($A72,기본데이타!$A$8:$BV$103,COLUMN(기본데이타!BT$8),0))</f>
        <v/>
      </c>
      <c r="AG72" s="432" t="str">
        <f>IF($A72="","",VLOOKUP($A72,기본데이타!$A$8:$BV$103,COLUMN(기본데이타!BU$8),0))</f>
        <v/>
      </c>
      <c r="AH72" s="18" t="str">
        <f t="shared" ref="AH72:AH82" si="20">IF(A72="","",A72)</f>
        <v/>
      </c>
    </row>
    <row r="73" spans="1:34" s="187" customFormat="1" ht="35.1" hidden="1" customHeight="1">
      <c r="A73" s="345"/>
      <c r="C73" s="190"/>
      <c r="D73" s="8" t="str">
        <f>IF($A73="","",VLOOKUP($A73,기본데이타!$A$8:$BV$103,COLUMN(기본데이타!F$8),0))</f>
        <v/>
      </c>
      <c r="E73" s="252" t="str">
        <f>IF($A73="","",VLOOKUP($A73,기본데이타!$A$8:$BV$103,COLUMN(기본데이타!G$8),0))</f>
        <v/>
      </c>
      <c r="F73" s="15" t="str">
        <f>IF($A73="","",VLOOKUP($A73,기본데이타!$A$8:$BV$103,COLUMN(기본데이타!H$8),0))</f>
        <v/>
      </c>
      <c r="G73" s="15" t="str">
        <f>IF($A73="","",VLOOKUP($A73,기본데이타!$A$8:$BV$103,COLUMN(기본데이타!I$8),0))</f>
        <v/>
      </c>
      <c r="H73" s="15" t="str">
        <f>IF($A73="","",VLOOKUP($A73,기본데이타!$A$8:$BV$103,COLUMN(기본데이타!J$8),0))</f>
        <v/>
      </c>
      <c r="I73" s="17" t="str">
        <f>IF($A73="","",VLOOKUP($A73,기본데이타!$A$8:$BV$103,COLUMN(기본데이타!AJ$8),0))</f>
        <v/>
      </c>
      <c r="J73" s="386" t="str">
        <f>IF($A73="","",VLOOKUP($A73,기본데이타!$A$8:$BV$103,COLUMN(기본데이타!AK$8),0))</f>
        <v/>
      </c>
      <c r="K73" s="386" t="str">
        <f>IF($A73="","",VLOOKUP($A73,기본데이타!$A$8:$BV$103,COLUMN(기본데이타!AL$8),0))</f>
        <v/>
      </c>
      <c r="L73" s="386" t="str">
        <f>IF($A73="","",VLOOKUP($A73,기본데이타!$A$8:$BV$103,COLUMN(기본데이타!AM$8),0))</f>
        <v/>
      </c>
      <c r="M73" s="386" t="str">
        <f>IF($A73="","",VLOOKUP($A73,기본데이타!$A$8:$BV$103,COLUMN(기본데이타!AN$8),0))</f>
        <v/>
      </c>
      <c r="N73" s="386" t="str">
        <f>IF($A73="","",VLOOKUP($A73,기본데이타!$A$8:$BV$103,COLUMN(기본데이타!AO$8),0))</f>
        <v/>
      </c>
      <c r="O73" s="386" t="str">
        <f>IF($A73="","",VLOOKUP($A73,기본데이타!$A$8:$BV$103,COLUMN(기본데이타!AP$8),0))</f>
        <v/>
      </c>
      <c r="P73" s="386" t="str">
        <f>IF($A73="","",VLOOKUP($A73,기본데이타!$A$8:$BV$103,COLUMN(기본데이타!AQ$8),0))</f>
        <v/>
      </c>
      <c r="Q73" s="386" t="str">
        <f>IF($A73="","",VLOOKUP($A73,기본데이타!$A$8:$BV$103,COLUMN(기본데이타!AR$8),0))</f>
        <v/>
      </c>
      <c r="R73" s="386" t="str">
        <f>IF($A73="","",VLOOKUP($A73,기본데이타!$A$8:$BV$103,COLUMN(기본데이타!AS$8),0))</f>
        <v/>
      </c>
      <c r="S73" s="386" t="str">
        <f>IF($A73="","",VLOOKUP($A73,기본데이타!$A$8:$BV$103,COLUMN(기본데이타!AT$8),0))</f>
        <v/>
      </c>
      <c r="T73" s="386" t="str">
        <f>IF($A73="","",VLOOKUP($A73,기본데이타!$A$8:$BV$103,COLUMN(기본데이타!AU$8),0))</f>
        <v/>
      </c>
      <c r="U73" s="386" t="str">
        <f>IF($A73="","",VLOOKUP($A73,기본데이타!$A$8:$BV$103,COLUMN(기본데이타!AV$8),0))</f>
        <v/>
      </c>
      <c r="V73" s="16" t="str">
        <f>IF($A73="","",VLOOKUP($A73,기본데이타!$A$8:$BV$103,COLUMN(기본데이타!AW$8),0))</f>
        <v/>
      </c>
      <c r="W73" s="16" t="str">
        <f>IF($A73="","",VLOOKUP($A73,기본데이타!$A$8:$BV$103,COLUMN(기본데이타!AX$8),0))</f>
        <v/>
      </c>
      <c r="X73" s="16" t="str">
        <f>IF($A73="","",VLOOKUP($A73,기본데이타!$A$8:$BV$103,COLUMN(기본데이타!AY$8),0))</f>
        <v/>
      </c>
      <c r="Y73" s="16" t="str">
        <f>IF($A73="","",VLOOKUP($A73,기본데이타!$A$8:$BV$103,COLUMN(기본데이타!AZ$8),0))</f>
        <v/>
      </c>
      <c r="Z73" s="17" t="str">
        <f>IF($A73="","",VLOOKUP($A73,기본데이타!$A$8:$BV$103,COLUMN(기본데이타!BN$8),0))</f>
        <v/>
      </c>
      <c r="AA73" s="17" t="str">
        <f>IF($A73="","",VLOOKUP($A73,기본데이타!$A$8:$BV$103,COLUMN(기본데이타!BO$8),0))</f>
        <v/>
      </c>
      <c r="AB73" s="17" t="str">
        <f>IF($A73="","",VLOOKUP($A73,기본데이타!$A$8:$BV$103,COLUMN(기본데이타!BP$8),0))</f>
        <v/>
      </c>
      <c r="AC73" s="17" t="str">
        <f>IF($A73="","",VLOOKUP($A73,기본데이타!$A$8:$BV$103,COLUMN(기본데이타!BQ$8),0))</f>
        <v/>
      </c>
      <c r="AD73" s="17" t="str">
        <f>IF($A73="","",VLOOKUP($A73,기본데이타!$A$8:$BV$103,COLUMN(기본데이타!BR$8),0))</f>
        <v/>
      </c>
      <c r="AE73" s="17" t="str">
        <f>IF($A73="","",VLOOKUP($A73,기본데이타!$A$8:$BV$103,COLUMN(기본데이타!BS$8),0))</f>
        <v/>
      </c>
      <c r="AF73" s="524" t="str">
        <f>IF($A73="","",VLOOKUP($A73,기본데이타!$A$8:$BV$103,COLUMN(기본데이타!BT$8),0))</f>
        <v/>
      </c>
      <c r="AG73" s="432" t="str">
        <f>IF($A73="","",VLOOKUP($A73,기본데이타!$A$8:$BV$103,COLUMN(기본데이타!BU$8),0))</f>
        <v/>
      </c>
      <c r="AH73" s="18" t="str">
        <f t="shared" si="20"/>
        <v/>
      </c>
    </row>
    <row r="74" spans="1:34" s="187" customFormat="1" ht="35.1" hidden="1" customHeight="1">
      <c r="A74" s="345"/>
      <c r="C74" s="190"/>
      <c r="D74" s="8" t="str">
        <f>IF($A74="","",VLOOKUP($A74,기본데이타!$A$8:$BV$103,COLUMN(기본데이타!F$8),0))</f>
        <v/>
      </c>
      <c r="E74" s="252" t="str">
        <f>IF($A74="","",VLOOKUP($A74,기본데이타!$A$8:$BV$103,COLUMN(기본데이타!G$8),0))</f>
        <v/>
      </c>
      <c r="F74" s="15" t="str">
        <f>IF($A74="","",VLOOKUP($A74,기본데이타!$A$8:$BV$103,COLUMN(기본데이타!H$8),0))</f>
        <v/>
      </c>
      <c r="G74" s="15" t="str">
        <f>IF($A74="","",VLOOKUP($A74,기본데이타!$A$8:$BV$103,COLUMN(기본데이타!I$8),0))</f>
        <v/>
      </c>
      <c r="H74" s="15" t="str">
        <f>IF($A74="","",VLOOKUP($A74,기본데이타!$A$8:$BV$103,COLUMN(기본데이타!J$8),0))</f>
        <v/>
      </c>
      <c r="I74" s="17" t="str">
        <f>IF($A74="","",VLOOKUP($A74,기본데이타!$A$8:$BV$103,COLUMN(기본데이타!AJ$8),0))</f>
        <v/>
      </c>
      <c r="J74" s="386" t="str">
        <f>IF($A74="","",VLOOKUP($A74,기본데이타!$A$8:$BV$103,COLUMN(기본데이타!AK$8),0))</f>
        <v/>
      </c>
      <c r="K74" s="386" t="str">
        <f>IF($A74="","",VLOOKUP($A74,기본데이타!$A$8:$BV$103,COLUMN(기본데이타!AL$8),0))</f>
        <v/>
      </c>
      <c r="L74" s="386" t="str">
        <f>IF($A74="","",VLOOKUP($A74,기본데이타!$A$8:$BV$103,COLUMN(기본데이타!AM$8),0))</f>
        <v/>
      </c>
      <c r="M74" s="386" t="str">
        <f>IF($A74="","",VLOOKUP($A74,기본데이타!$A$8:$BV$103,COLUMN(기본데이타!AN$8),0))</f>
        <v/>
      </c>
      <c r="N74" s="386" t="str">
        <f>IF($A74="","",VLOOKUP($A74,기본데이타!$A$8:$BV$103,COLUMN(기본데이타!AO$8),0))</f>
        <v/>
      </c>
      <c r="O74" s="386" t="str">
        <f>IF($A74="","",VLOOKUP($A74,기본데이타!$A$8:$BV$103,COLUMN(기본데이타!AP$8),0))</f>
        <v/>
      </c>
      <c r="P74" s="386" t="str">
        <f>IF($A74="","",VLOOKUP($A74,기본데이타!$A$8:$BV$103,COLUMN(기본데이타!AQ$8),0))</f>
        <v/>
      </c>
      <c r="Q74" s="386" t="str">
        <f>IF($A74="","",VLOOKUP($A74,기본데이타!$A$8:$BV$103,COLUMN(기본데이타!AR$8),0))</f>
        <v/>
      </c>
      <c r="R74" s="386" t="str">
        <f>IF($A74="","",VLOOKUP($A74,기본데이타!$A$8:$BV$103,COLUMN(기본데이타!AS$8),0))</f>
        <v/>
      </c>
      <c r="S74" s="386" t="str">
        <f>IF($A74="","",VLOOKUP($A74,기본데이타!$A$8:$BV$103,COLUMN(기본데이타!AT$8),0))</f>
        <v/>
      </c>
      <c r="T74" s="386" t="str">
        <f>IF($A74="","",VLOOKUP($A74,기본데이타!$A$8:$BV$103,COLUMN(기본데이타!AU$8),0))</f>
        <v/>
      </c>
      <c r="U74" s="386" t="str">
        <f>IF($A74="","",VLOOKUP($A74,기본데이타!$A$8:$BV$103,COLUMN(기본데이타!AV$8),0))</f>
        <v/>
      </c>
      <c r="V74" s="16" t="str">
        <f>IF($A74="","",VLOOKUP($A74,기본데이타!$A$8:$BV$103,COLUMN(기본데이타!AW$8),0))</f>
        <v/>
      </c>
      <c r="W74" s="16" t="str">
        <f>IF($A74="","",VLOOKUP($A74,기본데이타!$A$8:$BV$103,COLUMN(기본데이타!AX$8),0))</f>
        <v/>
      </c>
      <c r="X74" s="16" t="str">
        <f>IF($A74="","",VLOOKUP($A74,기본데이타!$A$8:$BV$103,COLUMN(기본데이타!AY$8),0))</f>
        <v/>
      </c>
      <c r="Y74" s="16" t="str">
        <f>IF($A74="","",VLOOKUP($A74,기본데이타!$A$8:$BV$103,COLUMN(기본데이타!AZ$8),0))</f>
        <v/>
      </c>
      <c r="Z74" s="17" t="str">
        <f>IF($A74="","",VLOOKUP($A74,기본데이타!$A$8:$BV$103,COLUMN(기본데이타!BN$8),0))</f>
        <v/>
      </c>
      <c r="AA74" s="17" t="str">
        <f>IF($A74="","",VLOOKUP($A74,기본데이타!$A$8:$BV$103,COLUMN(기본데이타!BO$8),0))</f>
        <v/>
      </c>
      <c r="AB74" s="17" t="str">
        <f>IF($A74="","",VLOOKUP($A74,기본데이타!$A$8:$BV$103,COLUMN(기본데이타!BP$8),0))</f>
        <v/>
      </c>
      <c r="AC74" s="17" t="str">
        <f>IF($A74="","",VLOOKUP($A74,기본데이타!$A$8:$BV$103,COLUMN(기본데이타!BQ$8),0))</f>
        <v/>
      </c>
      <c r="AD74" s="17" t="str">
        <f>IF($A74="","",VLOOKUP($A74,기본데이타!$A$8:$BV$103,COLUMN(기본데이타!BR$8),0))</f>
        <v/>
      </c>
      <c r="AE74" s="17" t="str">
        <f>IF($A74="","",VLOOKUP($A74,기본데이타!$A$8:$BV$103,COLUMN(기본데이타!BS$8),0))</f>
        <v/>
      </c>
      <c r="AF74" s="524" t="str">
        <f>IF($A74="","",VLOOKUP($A74,기본데이타!$A$8:$BV$103,COLUMN(기본데이타!BT$8),0))</f>
        <v/>
      </c>
      <c r="AG74" s="432" t="str">
        <f>IF($A74="","",VLOOKUP($A74,기본데이타!$A$8:$BV$103,COLUMN(기본데이타!BU$8),0))</f>
        <v/>
      </c>
      <c r="AH74" s="18" t="str">
        <f t="shared" si="20"/>
        <v/>
      </c>
    </row>
    <row r="75" spans="1:34" s="187" customFormat="1" ht="35.1" hidden="1" customHeight="1">
      <c r="A75" s="345"/>
      <c r="C75" s="190"/>
      <c r="D75" s="8" t="str">
        <f>IF($A75="","",VLOOKUP($A75,기본데이타!$A$8:$BV$103,COLUMN(기본데이타!F$8),0))</f>
        <v/>
      </c>
      <c r="E75" s="252" t="str">
        <f>IF($A75="","",VLOOKUP($A75,기본데이타!$A$8:$BV$103,COLUMN(기본데이타!G$8),0))</f>
        <v/>
      </c>
      <c r="F75" s="15" t="str">
        <f>IF($A75="","",VLOOKUP($A75,기본데이타!$A$8:$BV$103,COLUMN(기본데이타!H$8),0))</f>
        <v/>
      </c>
      <c r="G75" s="15" t="str">
        <f>IF($A75="","",VLOOKUP($A75,기본데이타!$A$8:$BV$103,COLUMN(기본데이타!I$8),0))</f>
        <v/>
      </c>
      <c r="H75" s="15" t="str">
        <f>IF($A75="","",VLOOKUP($A75,기본데이타!$A$8:$BV$103,COLUMN(기본데이타!J$8),0))</f>
        <v/>
      </c>
      <c r="I75" s="17" t="str">
        <f>IF($A75="","",VLOOKUP($A75,기본데이타!$A$8:$BV$103,COLUMN(기본데이타!AJ$8),0))</f>
        <v/>
      </c>
      <c r="J75" s="386" t="str">
        <f>IF($A75="","",VLOOKUP($A75,기본데이타!$A$8:$BV$103,COLUMN(기본데이타!AK$8),0))</f>
        <v/>
      </c>
      <c r="K75" s="386" t="str">
        <f>IF($A75="","",VLOOKUP($A75,기본데이타!$A$8:$BV$103,COLUMN(기본데이타!AL$8),0))</f>
        <v/>
      </c>
      <c r="L75" s="386" t="str">
        <f>IF($A75="","",VLOOKUP($A75,기본데이타!$A$8:$BV$103,COLUMN(기본데이타!AM$8),0))</f>
        <v/>
      </c>
      <c r="M75" s="386" t="str">
        <f>IF($A75="","",VLOOKUP($A75,기본데이타!$A$8:$BV$103,COLUMN(기본데이타!AN$8),0))</f>
        <v/>
      </c>
      <c r="N75" s="386" t="str">
        <f>IF($A75="","",VLOOKUP($A75,기본데이타!$A$8:$BV$103,COLUMN(기본데이타!AO$8),0))</f>
        <v/>
      </c>
      <c r="O75" s="386" t="str">
        <f>IF($A75="","",VLOOKUP($A75,기본데이타!$A$8:$BV$103,COLUMN(기본데이타!AP$8),0))</f>
        <v/>
      </c>
      <c r="P75" s="386" t="str">
        <f>IF($A75="","",VLOOKUP($A75,기본데이타!$A$8:$BV$103,COLUMN(기본데이타!AQ$8),0))</f>
        <v/>
      </c>
      <c r="Q75" s="386" t="str">
        <f>IF($A75="","",VLOOKUP($A75,기본데이타!$A$8:$BV$103,COLUMN(기본데이타!AR$8),0))</f>
        <v/>
      </c>
      <c r="R75" s="386" t="str">
        <f>IF($A75="","",VLOOKUP($A75,기본데이타!$A$8:$BV$103,COLUMN(기본데이타!AS$8),0))</f>
        <v/>
      </c>
      <c r="S75" s="386" t="str">
        <f>IF($A75="","",VLOOKUP($A75,기본데이타!$A$8:$BV$103,COLUMN(기본데이타!AT$8),0))</f>
        <v/>
      </c>
      <c r="T75" s="386" t="str">
        <f>IF($A75="","",VLOOKUP($A75,기본데이타!$A$8:$BV$103,COLUMN(기본데이타!AU$8),0))</f>
        <v/>
      </c>
      <c r="U75" s="386" t="str">
        <f>IF($A75="","",VLOOKUP($A75,기본데이타!$A$8:$BV$103,COLUMN(기본데이타!AV$8),0))</f>
        <v/>
      </c>
      <c r="V75" s="16" t="str">
        <f>IF($A75="","",VLOOKUP($A75,기본데이타!$A$8:$BV$103,COLUMN(기본데이타!AW$8),0))</f>
        <v/>
      </c>
      <c r="W75" s="16" t="str">
        <f>IF($A75="","",VLOOKUP($A75,기본데이타!$A$8:$BV$103,COLUMN(기본데이타!AX$8),0))</f>
        <v/>
      </c>
      <c r="X75" s="16" t="str">
        <f>IF($A75="","",VLOOKUP($A75,기본데이타!$A$8:$BV$103,COLUMN(기본데이타!AY$8),0))</f>
        <v/>
      </c>
      <c r="Y75" s="16" t="str">
        <f>IF($A75="","",VLOOKUP($A75,기본데이타!$A$8:$BV$103,COLUMN(기본데이타!AZ$8),0))</f>
        <v/>
      </c>
      <c r="Z75" s="17" t="str">
        <f>IF($A75="","",VLOOKUP($A75,기본데이타!$A$8:$BV$103,COLUMN(기본데이타!BN$8),0))</f>
        <v/>
      </c>
      <c r="AA75" s="17" t="str">
        <f>IF($A75="","",VLOOKUP($A75,기본데이타!$A$8:$BV$103,COLUMN(기본데이타!BO$8),0))</f>
        <v/>
      </c>
      <c r="AB75" s="17" t="str">
        <f>IF($A75="","",VLOOKUP($A75,기본데이타!$A$8:$BV$103,COLUMN(기본데이타!BP$8),0))</f>
        <v/>
      </c>
      <c r="AC75" s="17" t="str">
        <f>IF($A75="","",VLOOKUP($A75,기본데이타!$A$8:$BV$103,COLUMN(기본데이타!BQ$8),0))</f>
        <v/>
      </c>
      <c r="AD75" s="17" t="str">
        <f>IF($A75="","",VLOOKUP($A75,기본데이타!$A$8:$BV$103,COLUMN(기본데이타!BR$8),0))</f>
        <v/>
      </c>
      <c r="AE75" s="17" t="str">
        <f>IF($A75="","",VLOOKUP($A75,기본데이타!$A$8:$BV$103,COLUMN(기본데이타!BS$8),0))</f>
        <v/>
      </c>
      <c r="AF75" s="524" t="str">
        <f>IF($A75="","",VLOOKUP($A75,기본데이타!$A$8:$BV$103,COLUMN(기본데이타!BT$8),0))</f>
        <v/>
      </c>
      <c r="AG75" s="432" t="str">
        <f>IF($A75="","",VLOOKUP($A75,기본데이타!$A$8:$BV$103,COLUMN(기본데이타!BU$8),0))</f>
        <v/>
      </c>
      <c r="AH75" s="18" t="str">
        <f t="shared" si="20"/>
        <v/>
      </c>
    </row>
    <row r="76" spans="1:34" s="187" customFormat="1" ht="35.1" hidden="1" customHeight="1">
      <c r="A76" s="345"/>
      <c r="C76" s="190"/>
      <c r="D76" s="8" t="str">
        <f>IF($A76="","",VLOOKUP($A76,기본데이타!$A$8:$BV$103,COLUMN(기본데이타!F$8),0))</f>
        <v/>
      </c>
      <c r="E76" s="252" t="str">
        <f>IF($A76="","",VLOOKUP($A76,기본데이타!$A$8:$BV$103,COLUMN(기본데이타!G$8),0))</f>
        <v/>
      </c>
      <c r="F76" s="15" t="str">
        <f>IF($A76="","",VLOOKUP($A76,기본데이타!$A$8:$BV$103,COLUMN(기본데이타!H$8),0))</f>
        <v/>
      </c>
      <c r="G76" s="15" t="str">
        <f>IF($A76="","",VLOOKUP($A76,기본데이타!$A$8:$BV$103,COLUMN(기본데이타!I$8),0))</f>
        <v/>
      </c>
      <c r="H76" s="15" t="str">
        <f>IF($A76="","",VLOOKUP($A76,기본데이타!$A$8:$BV$103,COLUMN(기본데이타!J$8),0))</f>
        <v/>
      </c>
      <c r="I76" s="17" t="str">
        <f>IF($A76="","",VLOOKUP($A76,기본데이타!$A$8:$BV$103,COLUMN(기본데이타!AJ$8),0))</f>
        <v/>
      </c>
      <c r="J76" s="386" t="str">
        <f>IF($A76="","",VLOOKUP($A76,기본데이타!$A$8:$BV$103,COLUMN(기본데이타!AK$8),0))</f>
        <v/>
      </c>
      <c r="K76" s="386" t="str">
        <f>IF($A76="","",VLOOKUP($A76,기본데이타!$A$8:$BV$103,COLUMN(기본데이타!AL$8),0))</f>
        <v/>
      </c>
      <c r="L76" s="386" t="str">
        <f>IF($A76="","",VLOOKUP($A76,기본데이타!$A$8:$BV$103,COLUMN(기본데이타!AM$8),0))</f>
        <v/>
      </c>
      <c r="M76" s="386" t="str">
        <f>IF($A76="","",VLOOKUP($A76,기본데이타!$A$8:$BV$103,COLUMN(기본데이타!AN$8),0))</f>
        <v/>
      </c>
      <c r="N76" s="386" t="str">
        <f>IF($A76="","",VLOOKUP($A76,기본데이타!$A$8:$BV$103,COLUMN(기본데이타!AO$8),0))</f>
        <v/>
      </c>
      <c r="O76" s="386" t="str">
        <f>IF($A76="","",VLOOKUP($A76,기본데이타!$A$8:$BV$103,COLUMN(기본데이타!AP$8),0))</f>
        <v/>
      </c>
      <c r="P76" s="386" t="str">
        <f>IF($A76="","",VLOOKUP($A76,기본데이타!$A$8:$BV$103,COLUMN(기본데이타!AQ$8),0))</f>
        <v/>
      </c>
      <c r="Q76" s="386" t="str">
        <f>IF($A76="","",VLOOKUP($A76,기본데이타!$A$8:$BV$103,COLUMN(기본데이타!AR$8),0))</f>
        <v/>
      </c>
      <c r="R76" s="386" t="str">
        <f>IF($A76="","",VLOOKUP($A76,기본데이타!$A$8:$BV$103,COLUMN(기본데이타!AS$8),0))</f>
        <v/>
      </c>
      <c r="S76" s="386" t="str">
        <f>IF($A76="","",VLOOKUP($A76,기본데이타!$A$8:$BV$103,COLUMN(기본데이타!AT$8),0))</f>
        <v/>
      </c>
      <c r="T76" s="386" t="str">
        <f>IF($A76="","",VLOOKUP($A76,기본데이타!$A$8:$BV$103,COLUMN(기본데이타!AU$8),0))</f>
        <v/>
      </c>
      <c r="U76" s="386" t="str">
        <f>IF($A76="","",VLOOKUP($A76,기본데이타!$A$8:$BV$103,COLUMN(기본데이타!AV$8),0))</f>
        <v/>
      </c>
      <c r="V76" s="16" t="str">
        <f>IF($A76="","",VLOOKUP($A76,기본데이타!$A$8:$BV$103,COLUMN(기본데이타!AW$8),0))</f>
        <v/>
      </c>
      <c r="W76" s="16" t="str">
        <f>IF($A76="","",VLOOKUP($A76,기본데이타!$A$8:$BV$103,COLUMN(기본데이타!AX$8),0))</f>
        <v/>
      </c>
      <c r="X76" s="16" t="str">
        <f>IF($A76="","",VLOOKUP($A76,기본데이타!$A$8:$BV$103,COLUMN(기본데이타!AY$8),0))</f>
        <v/>
      </c>
      <c r="Y76" s="16" t="str">
        <f>IF($A76="","",VLOOKUP($A76,기본데이타!$A$8:$BV$103,COLUMN(기본데이타!AZ$8),0))</f>
        <v/>
      </c>
      <c r="Z76" s="17" t="str">
        <f>IF($A76="","",VLOOKUP($A76,기본데이타!$A$8:$BV$103,COLUMN(기본데이타!BN$8),0))</f>
        <v/>
      </c>
      <c r="AA76" s="17" t="str">
        <f>IF($A76="","",VLOOKUP($A76,기본데이타!$A$8:$BV$103,COLUMN(기본데이타!BO$8),0))</f>
        <v/>
      </c>
      <c r="AB76" s="17" t="str">
        <f>IF($A76="","",VLOOKUP($A76,기본데이타!$A$8:$BV$103,COLUMN(기본데이타!BP$8),0))</f>
        <v/>
      </c>
      <c r="AC76" s="17" t="str">
        <f>IF($A76="","",VLOOKUP($A76,기본데이타!$A$8:$BV$103,COLUMN(기본데이타!BQ$8),0))</f>
        <v/>
      </c>
      <c r="AD76" s="17" t="str">
        <f>IF($A76="","",VLOOKUP($A76,기본데이타!$A$8:$BV$103,COLUMN(기본데이타!BR$8),0))</f>
        <v/>
      </c>
      <c r="AE76" s="17" t="str">
        <f>IF($A76="","",VLOOKUP($A76,기본데이타!$A$8:$BV$103,COLUMN(기본데이타!BS$8),0))</f>
        <v/>
      </c>
      <c r="AF76" s="524" t="str">
        <f>IF($A76="","",VLOOKUP($A76,기본데이타!$A$8:$BV$103,COLUMN(기본데이타!BT$8),0))</f>
        <v/>
      </c>
      <c r="AG76" s="432" t="str">
        <f>IF($A76="","",VLOOKUP($A76,기본데이타!$A$8:$BV$103,COLUMN(기본데이타!BU$8),0))</f>
        <v/>
      </c>
      <c r="AH76" s="18" t="str">
        <f t="shared" si="20"/>
        <v/>
      </c>
    </row>
    <row r="77" spans="1:34" s="187" customFormat="1" ht="35.1" hidden="1" customHeight="1">
      <c r="A77" s="345"/>
      <c r="C77" s="190"/>
      <c r="D77" s="8" t="str">
        <f>IF($A77="","",VLOOKUP($A77,기본데이타!$A$8:$BV$103,COLUMN(기본데이타!F$8),0))</f>
        <v/>
      </c>
      <c r="E77" s="252" t="str">
        <f>IF($A77="","",VLOOKUP($A77,기본데이타!$A$8:$BV$103,COLUMN(기본데이타!G$8),0))</f>
        <v/>
      </c>
      <c r="F77" s="15" t="str">
        <f>IF($A77="","",VLOOKUP($A77,기본데이타!$A$8:$BV$103,COLUMN(기본데이타!H$8),0))</f>
        <v/>
      </c>
      <c r="G77" s="15" t="str">
        <f>IF($A77="","",VLOOKUP($A77,기본데이타!$A$8:$BV$103,COLUMN(기본데이타!I$8),0))</f>
        <v/>
      </c>
      <c r="H77" s="15" t="str">
        <f>IF($A77="","",VLOOKUP($A77,기본데이타!$A$8:$BV$103,COLUMN(기본데이타!J$8),0))</f>
        <v/>
      </c>
      <c r="I77" s="17" t="str">
        <f>IF($A77="","",VLOOKUP($A77,기본데이타!$A$8:$BV$103,COLUMN(기본데이타!AJ$8),0))</f>
        <v/>
      </c>
      <c r="J77" s="386" t="str">
        <f>IF($A77="","",VLOOKUP($A77,기본데이타!$A$8:$BV$103,COLUMN(기본데이타!AK$8),0))</f>
        <v/>
      </c>
      <c r="K77" s="386" t="str">
        <f>IF($A77="","",VLOOKUP($A77,기본데이타!$A$8:$BV$103,COLUMN(기본데이타!AL$8),0))</f>
        <v/>
      </c>
      <c r="L77" s="386" t="str">
        <f>IF($A77="","",VLOOKUP($A77,기본데이타!$A$8:$BV$103,COLUMN(기본데이타!AM$8),0))</f>
        <v/>
      </c>
      <c r="M77" s="386" t="str">
        <f>IF($A77="","",VLOOKUP($A77,기본데이타!$A$8:$BV$103,COLUMN(기본데이타!AN$8),0))</f>
        <v/>
      </c>
      <c r="N77" s="386" t="str">
        <f>IF($A77="","",VLOOKUP($A77,기본데이타!$A$8:$BV$103,COLUMN(기본데이타!AO$8),0))</f>
        <v/>
      </c>
      <c r="O77" s="386" t="str">
        <f>IF($A77="","",VLOOKUP($A77,기본데이타!$A$8:$BV$103,COLUMN(기본데이타!AP$8),0))</f>
        <v/>
      </c>
      <c r="P77" s="386" t="str">
        <f>IF($A77="","",VLOOKUP($A77,기본데이타!$A$8:$BV$103,COLUMN(기본데이타!AQ$8),0))</f>
        <v/>
      </c>
      <c r="Q77" s="386" t="str">
        <f>IF($A77="","",VLOOKUP($A77,기본데이타!$A$8:$BV$103,COLUMN(기본데이타!AR$8),0))</f>
        <v/>
      </c>
      <c r="R77" s="386" t="str">
        <f>IF($A77="","",VLOOKUP($A77,기본데이타!$A$8:$BV$103,COLUMN(기본데이타!AS$8),0))</f>
        <v/>
      </c>
      <c r="S77" s="386" t="str">
        <f>IF($A77="","",VLOOKUP($A77,기본데이타!$A$8:$BV$103,COLUMN(기본데이타!AT$8),0))</f>
        <v/>
      </c>
      <c r="T77" s="386" t="str">
        <f>IF($A77="","",VLOOKUP($A77,기본데이타!$A$8:$BV$103,COLUMN(기본데이타!AU$8),0))</f>
        <v/>
      </c>
      <c r="U77" s="386" t="str">
        <f>IF($A77="","",VLOOKUP($A77,기본데이타!$A$8:$BV$103,COLUMN(기본데이타!AV$8),0))</f>
        <v/>
      </c>
      <c r="V77" s="16" t="str">
        <f>IF($A77="","",VLOOKUP($A77,기본데이타!$A$8:$BV$103,COLUMN(기본데이타!AW$8),0))</f>
        <v/>
      </c>
      <c r="W77" s="16" t="str">
        <f>IF($A77="","",VLOOKUP($A77,기본데이타!$A$8:$BV$103,COLUMN(기본데이타!AX$8),0))</f>
        <v/>
      </c>
      <c r="X77" s="16" t="str">
        <f>IF($A77="","",VLOOKUP($A77,기본데이타!$A$8:$BV$103,COLUMN(기본데이타!AY$8),0))</f>
        <v/>
      </c>
      <c r="Y77" s="16" t="str">
        <f>IF($A77="","",VLOOKUP($A77,기본데이타!$A$8:$BV$103,COLUMN(기본데이타!AZ$8),0))</f>
        <v/>
      </c>
      <c r="Z77" s="17" t="str">
        <f>IF($A77="","",VLOOKUP($A77,기본데이타!$A$8:$BV$103,COLUMN(기본데이타!BN$8),0))</f>
        <v/>
      </c>
      <c r="AA77" s="17" t="str">
        <f>IF($A77="","",VLOOKUP($A77,기본데이타!$A$8:$BV$103,COLUMN(기본데이타!BO$8),0))</f>
        <v/>
      </c>
      <c r="AB77" s="17" t="str">
        <f>IF($A77="","",VLOOKUP($A77,기본데이타!$A$8:$BV$103,COLUMN(기본데이타!BP$8),0))</f>
        <v/>
      </c>
      <c r="AC77" s="17" t="str">
        <f>IF($A77="","",VLOOKUP($A77,기본데이타!$A$8:$BV$103,COLUMN(기본데이타!BQ$8),0))</f>
        <v/>
      </c>
      <c r="AD77" s="17" t="str">
        <f>IF($A77="","",VLOOKUP($A77,기본데이타!$A$8:$BV$103,COLUMN(기본데이타!BR$8),0))</f>
        <v/>
      </c>
      <c r="AE77" s="17" t="str">
        <f>IF($A77="","",VLOOKUP($A77,기본데이타!$A$8:$BV$103,COLUMN(기본데이타!BS$8),0))</f>
        <v/>
      </c>
      <c r="AF77" s="524" t="str">
        <f>IF($A77="","",VLOOKUP($A77,기본데이타!$A$8:$BV$103,COLUMN(기본데이타!BT$8),0))</f>
        <v/>
      </c>
      <c r="AG77" s="432" t="str">
        <f>IF($A77="","",VLOOKUP($A77,기본데이타!$A$8:$BV$103,COLUMN(기본데이타!BU$8),0))</f>
        <v/>
      </c>
      <c r="AH77" s="18" t="str">
        <f t="shared" si="20"/>
        <v/>
      </c>
    </row>
    <row r="78" spans="1:34" s="187" customFormat="1" ht="35.1" hidden="1" customHeight="1">
      <c r="A78" s="345"/>
      <c r="C78" s="190"/>
      <c r="D78" s="8" t="str">
        <f>IF($A78="","",VLOOKUP($A78,기본데이타!$A$8:$BV$103,COLUMN(기본데이타!F$8),0))</f>
        <v/>
      </c>
      <c r="E78" s="252" t="str">
        <f>IF($A78="","",VLOOKUP($A78,기본데이타!$A$8:$BV$103,COLUMN(기본데이타!G$8),0))</f>
        <v/>
      </c>
      <c r="F78" s="15" t="str">
        <f>IF($A78="","",VLOOKUP($A78,기본데이타!$A$8:$BV$103,COLUMN(기본데이타!H$8),0))</f>
        <v/>
      </c>
      <c r="G78" s="15" t="str">
        <f>IF($A78="","",VLOOKUP($A78,기본데이타!$A$8:$BV$103,COLUMN(기본데이타!I$8),0))</f>
        <v/>
      </c>
      <c r="H78" s="15" t="str">
        <f>IF($A78="","",VLOOKUP($A78,기본데이타!$A$8:$BV$103,COLUMN(기본데이타!J$8),0))</f>
        <v/>
      </c>
      <c r="I78" s="17" t="str">
        <f>IF($A78="","",VLOOKUP($A78,기본데이타!$A$8:$BV$103,COLUMN(기본데이타!AJ$8),0))</f>
        <v/>
      </c>
      <c r="J78" s="386" t="str">
        <f>IF($A78="","",VLOOKUP($A78,기본데이타!$A$8:$BV$103,COLUMN(기본데이타!AK$8),0))</f>
        <v/>
      </c>
      <c r="K78" s="386" t="str">
        <f>IF($A78="","",VLOOKUP($A78,기본데이타!$A$8:$BV$103,COLUMN(기본데이타!AL$8),0))</f>
        <v/>
      </c>
      <c r="L78" s="386" t="str">
        <f>IF($A78="","",VLOOKUP($A78,기본데이타!$A$8:$BV$103,COLUMN(기본데이타!AM$8),0))</f>
        <v/>
      </c>
      <c r="M78" s="386" t="str">
        <f>IF($A78="","",VLOOKUP($A78,기본데이타!$A$8:$BV$103,COLUMN(기본데이타!AN$8),0))</f>
        <v/>
      </c>
      <c r="N78" s="386" t="str">
        <f>IF($A78="","",VLOOKUP($A78,기본데이타!$A$8:$BV$103,COLUMN(기본데이타!AO$8),0))</f>
        <v/>
      </c>
      <c r="O78" s="386" t="str">
        <f>IF($A78="","",VLOOKUP($A78,기본데이타!$A$8:$BV$103,COLUMN(기본데이타!AP$8),0))</f>
        <v/>
      </c>
      <c r="P78" s="386" t="str">
        <f>IF($A78="","",VLOOKUP($A78,기본데이타!$A$8:$BV$103,COLUMN(기본데이타!AQ$8),0))</f>
        <v/>
      </c>
      <c r="Q78" s="386" t="str">
        <f>IF($A78="","",VLOOKUP($A78,기본데이타!$A$8:$BV$103,COLUMN(기본데이타!AR$8),0))</f>
        <v/>
      </c>
      <c r="R78" s="386" t="str">
        <f>IF($A78="","",VLOOKUP($A78,기본데이타!$A$8:$BV$103,COLUMN(기본데이타!AS$8),0))</f>
        <v/>
      </c>
      <c r="S78" s="386" t="str">
        <f>IF($A78="","",VLOOKUP($A78,기본데이타!$A$8:$BV$103,COLUMN(기본데이타!AT$8),0))</f>
        <v/>
      </c>
      <c r="T78" s="386" t="str">
        <f>IF($A78="","",VLOOKUP($A78,기본데이타!$A$8:$BV$103,COLUMN(기본데이타!AU$8),0))</f>
        <v/>
      </c>
      <c r="U78" s="386" t="str">
        <f>IF($A78="","",VLOOKUP($A78,기본데이타!$A$8:$BV$103,COLUMN(기본데이타!AV$8),0))</f>
        <v/>
      </c>
      <c r="V78" s="16" t="str">
        <f>IF($A78="","",VLOOKUP($A78,기본데이타!$A$8:$BV$103,COLUMN(기본데이타!AW$8),0))</f>
        <v/>
      </c>
      <c r="W78" s="16" t="str">
        <f>IF($A78="","",VLOOKUP($A78,기본데이타!$A$8:$BV$103,COLUMN(기본데이타!AX$8),0))</f>
        <v/>
      </c>
      <c r="X78" s="16" t="str">
        <f>IF($A78="","",VLOOKUP($A78,기본데이타!$A$8:$BV$103,COLUMN(기본데이타!AY$8),0))</f>
        <v/>
      </c>
      <c r="Y78" s="16" t="str">
        <f>IF($A78="","",VLOOKUP($A78,기본데이타!$A$8:$BV$103,COLUMN(기본데이타!AZ$8),0))</f>
        <v/>
      </c>
      <c r="Z78" s="17" t="str">
        <f>IF($A78="","",VLOOKUP($A78,기본데이타!$A$8:$BV$103,COLUMN(기본데이타!BN$8),0))</f>
        <v/>
      </c>
      <c r="AA78" s="17" t="str">
        <f>IF($A78="","",VLOOKUP($A78,기본데이타!$A$8:$BV$103,COLUMN(기본데이타!BO$8),0))</f>
        <v/>
      </c>
      <c r="AB78" s="17" t="str">
        <f>IF($A78="","",VLOOKUP($A78,기본데이타!$A$8:$BV$103,COLUMN(기본데이타!BP$8),0))</f>
        <v/>
      </c>
      <c r="AC78" s="17" t="str">
        <f>IF($A78="","",VLOOKUP($A78,기본데이타!$A$8:$BV$103,COLUMN(기본데이타!BQ$8),0))</f>
        <v/>
      </c>
      <c r="AD78" s="17" t="str">
        <f>IF($A78="","",VLOOKUP($A78,기본데이타!$A$8:$BV$103,COLUMN(기본데이타!BR$8),0))</f>
        <v/>
      </c>
      <c r="AE78" s="17" t="str">
        <f>IF($A78="","",VLOOKUP($A78,기본데이타!$A$8:$BV$103,COLUMN(기본데이타!BS$8),0))</f>
        <v/>
      </c>
      <c r="AF78" s="524" t="str">
        <f>IF($A78="","",VLOOKUP($A78,기본데이타!$A$8:$BV$103,COLUMN(기본데이타!BT$8),0))</f>
        <v/>
      </c>
      <c r="AG78" s="432" t="str">
        <f>IF($A78="","",VLOOKUP($A78,기본데이타!$A$8:$BV$103,COLUMN(기본데이타!BU$8),0))</f>
        <v/>
      </c>
      <c r="AH78" s="18" t="str">
        <f t="shared" si="20"/>
        <v/>
      </c>
    </row>
    <row r="79" spans="1:34" s="187" customFormat="1" ht="35.1" hidden="1" customHeight="1">
      <c r="A79" s="189"/>
      <c r="C79" s="190"/>
      <c r="D79" s="8" t="str">
        <f>IF($A79="","",VLOOKUP($A79,기본데이타!$A$8:$BV$103,COLUMN(기본데이타!F$8),0))</f>
        <v/>
      </c>
      <c r="E79" s="252" t="str">
        <f>IF($A79="","",VLOOKUP($A79,기본데이타!$A$8:$BV$103,COLUMN(기본데이타!G$8),0))</f>
        <v/>
      </c>
      <c r="F79" s="15" t="str">
        <f>IF($A79="","",VLOOKUP($A79,기본데이타!$A$8:$BV$103,COLUMN(기본데이타!H$8),0))</f>
        <v/>
      </c>
      <c r="G79" s="15" t="str">
        <f>IF($A79="","",VLOOKUP($A79,기본데이타!$A$8:$BV$103,COLUMN(기본데이타!I$8),0))</f>
        <v/>
      </c>
      <c r="H79" s="15" t="str">
        <f>IF($A79="","",VLOOKUP($A79,기본데이타!$A$8:$BV$103,COLUMN(기본데이타!J$8),0))</f>
        <v/>
      </c>
      <c r="I79" s="17" t="str">
        <f>IF($A79="","",VLOOKUP($A79,기본데이타!$A$8:$BV$103,COLUMN(기본데이타!AJ$8),0))</f>
        <v/>
      </c>
      <c r="J79" s="386" t="str">
        <f>IF($A79="","",VLOOKUP($A79,기본데이타!$A$8:$BV$103,COLUMN(기본데이타!AK$8),0))</f>
        <v/>
      </c>
      <c r="K79" s="386" t="str">
        <f>IF($A79="","",VLOOKUP($A79,기본데이타!$A$8:$BV$103,COLUMN(기본데이타!AL$8),0))</f>
        <v/>
      </c>
      <c r="L79" s="386" t="str">
        <f>IF($A79="","",VLOOKUP($A79,기본데이타!$A$8:$BV$103,COLUMN(기본데이타!AM$8),0))</f>
        <v/>
      </c>
      <c r="M79" s="386" t="str">
        <f>IF($A79="","",VLOOKUP($A79,기본데이타!$A$8:$BV$103,COLUMN(기본데이타!AN$8),0))</f>
        <v/>
      </c>
      <c r="N79" s="386" t="str">
        <f>IF($A79="","",VLOOKUP($A79,기본데이타!$A$8:$BV$103,COLUMN(기본데이타!AO$8),0))</f>
        <v/>
      </c>
      <c r="O79" s="386" t="str">
        <f>IF($A79="","",VLOOKUP($A79,기본데이타!$A$8:$BV$103,COLUMN(기본데이타!AP$8),0))</f>
        <v/>
      </c>
      <c r="P79" s="386" t="str">
        <f>IF($A79="","",VLOOKUP($A79,기본데이타!$A$8:$BV$103,COLUMN(기본데이타!AQ$8),0))</f>
        <v/>
      </c>
      <c r="Q79" s="386" t="str">
        <f>IF($A79="","",VLOOKUP($A79,기본데이타!$A$8:$BV$103,COLUMN(기본데이타!AR$8),0))</f>
        <v/>
      </c>
      <c r="R79" s="386" t="str">
        <f>IF($A79="","",VLOOKUP($A79,기본데이타!$A$8:$BV$103,COLUMN(기본데이타!AS$8),0))</f>
        <v/>
      </c>
      <c r="S79" s="386" t="str">
        <f>IF($A79="","",VLOOKUP($A79,기본데이타!$A$8:$BV$103,COLUMN(기본데이타!AT$8),0))</f>
        <v/>
      </c>
      <c r="T79" s="386" t="str">
        <f>IF($A79="","",VLOOKUP($A79,기본데이타!$A$8:$BV$103,COLUMN(기본데이타!AU$8),0))</f>
        <v/>
      </c>
      <c r="U79" s="386" t="str">
        <f>IF($A79="","",VLOOKUP($A79,기본데이타!$A$8:$BV$103,COLUMN(기본데이타!AV$8),0))</f>
        <v/>
      </c>
      <c r="V79" s="16" t="str">
        <f>IF($A79="","",VLOOKUP($A79,기본데이타!$A$8:$BV$103,COLUMN(기본데이타!AW$8),0))</f>
        <v/>
      </c>
      <c r="W79" s="16" t="str">
        <f>IF($A79="","",VLOOKUP($A79,기본데이타!$A$8:$BV$103,COLUMN(기본데이타!AX$8),0))</f>
        <v/>
      </c>
      <c r="X79" s="16" t="str">
        <f>IF($A79="","",VLOOKUP($A79,기본데이타!$A$8:$BV$103,COLUMN(기본데이타!AY$8),0))</f>
        <v/>
      </c>
      <c r="Y79" s="16" t="str">
        <f>IF($A79="","",VLOOKUP($A79,기본데이타!$A$8:$BV$103,COLUMN(기본데이타!AZ$8),0))</f>
        <v/>
      </c>
      <c r="Z79" s="17" t="str">
        <f>IF($A79="","",VLOOKUP($A79,기본데이타!$A$8:$BV$103,COLUMN(기본데이타!BN$8),0))</f>
        <v/>
      </c>
      <c r="AA79" s="17" t="str">
        <f>IF($A79="","",VLOOKUP($A79,기본데이타!$A$8:$BV$103,COLUMN(기본데이타!BO$8),0))</f>
        <v/>
      </c>
      <c r="AB79" s="17" t="str">
        <f>IF($A79="","",VLOOKUP($A79,기본데이타!$A$8:$BV$103,COLUMN(기본데이타!BP$8),0))</f>
        <v/>
      </c>
      <c r="AC79" s="17" t="str">
        <f>IF($A79="","",VLOOKUP($A79,기본데이타!$A$8:$BV$103,COLUMN(기본데이타!BQ$8),0))</f>
        <v/>
      </c>
      <c r="AD79" s="17" t="str">
        <f>IF($A79="","",VLOOKUP($A79,기본데이타!$A$8:$BV$103,COLUMN(기본데이타!BR$8),0))</f>
        <v/>
      </c>
      <c r="AE79" s="17" t="str">
        <f>IF($A79="","",VLOOKUP($A79,기본데이타!$A$8:$BV$103,COLUMN(기본데이타!BS$8),0))</f>
        <v/>
      </c>
      <c r="AF79" s="524" t="str">
        <f>IF($A79="","",VLOOKUP($A79,기본데이타!$A$8:$BV$103,COLUMN(기본데이타!BT$8),0))</f>
        <v/>
      </c>
      <c r="AG79" s="432" t="str">
        <f>IF($A79="","",VLOOKUP($A79,기본데이타!$A$8:$BV$103,COLUMN(기본데이타!BU$8),0))</f>
        <v/>
      </c>
      <c r="AH79" s="18" t="str">
        <f t="shared" si="20"/>
        <v/>
      </c>
    </row>
    <row r="80" spans="1:34" s="187" customFormat="1" ht="35.1" hidden="1" customHeight="1">
      <c r="A80" s="189"/>
      <c r="C80" s="190"/>
      <c r="D80" s="8" t="str">
        <f>IF($A80="","",VLOOKUP($A80,기본데이타!$A$8:$BV$103,COLUMN(기본데이타!F$8),0))</f>
        <v/>
      </c>
      <c r="E80" s="252" t="str">
        <f>IF($A80="","",VLOOKUP($A80,기본데이타!$A$8:$BV$103,COLUMN(기본데이타!G$8),0))</f>
        <v/>
      </c>
      <c r="F80" s="15" t="str">
        <f>IF($A80="","",VLOOKUP($A80,기본데이타!$A$8:$BV$103,COLUMN(기본데이타!H$8),0))</f>
        <v/>
      </c>
      <c r="G80" s="15" t="str">
        <f>IF($A80="","",VLOOKUP($A80,기본데이타!$A$8:$BV$103,COLUMN(기본데이타!I$8),0))</f>
        <v/>
      </c>
      <c r="H80" s="15" t="str">
        <f>IF($A80="","",VLOOKUP($A80,기본데이타!$A$8:$BV$103,COLUMN(기본데이타!J$8),0))</f>
        <v/>
      </c>
      <c r="I80" s="17" t="str">
        <f>IF($A80="","",VLOOKUP($A80,기본데이타!$A$8:$BV$103,COLUMN(기본데이타!AJ$8),0))</f>
        <v/>
      </c>
      <c r="J80" s="386" t="str">
        <f>IF($A80="","",VLOOKUP($A80,기본데이타!$A$8:$BV$103,COLUMN(기본데이타!AK$8),0))</f>
        <v/>
      </c>
      <c r="K80" s="386" t="str">
        <f>IF($A80="","",VLOOKUP($A80,기본데이타!$A$8:$BV$103,COLUMN(기본데이타!AL$8),0))</f>
        <v/>
      </c>
      <c r="L80" s="386" t="str">
        <f>IF($A80="","",VLOOKUP($A80,기본데이타!$A$8:$BV$103,COLUMN(기본데이타!AM$8),0))</f>
        <v/>
      </c>
      <c r="M80" s="386" t="str">
        <f>IF($A80="","",VLOOKUP($A80,기본데이타!$A$8:$BV$103,COLUMN(기본데이타!AN$8),0))</f>
        <v/>
      </c>
      <c r="N80" s="386" t="str">
        <f>IF($A80="","",VLOOKUP($A80,기본데이타!$A$8:$BV$103,COLUMN(기본데이타!AO$8),0))</f>
        <v/>
      </c>
      <c r="O80" s="386" t="str">
        <f>IF($A80="","",VLOOKUP($A80,기본데이타!$A$8:$BV$103,COLUMN(기본데이타!AP$8),0))</f>
        <v/>
      </c>
      <c r="P80" s="386" t="str">
        <f>IF($A80="","",VLOOKUP($A80,기본데이타!$A$8:$BV$103,COLUMN(기본데이타!AQ$8),0))</f>
        <v/>
      </c>
      <c r="Q80" s="386" t="str">
        <f>IF($A80="","",VLOOKUP($A80,기본데이타!$A$8:$BV$103,COLUMN(기본데이타!AR$8),0))</f>
        <v/>
      </c>
      <c r="R80" s="386" t="str">
        <f>IF($A80="","",VLOOKUP($A80,기본데이타!$A$8:$BV$103,COLUMN(기본데이타!AS$8),0))</f>
        <v/>
      </c>
      <c r="S80" s="386" t="str">
        <f>IF($A80="","",VLOOKUP($A80,기본데이타!$A$8:$BV$103,COLUMN(기본데이타!AT$8),0))</f>
        <v/>
      </c>
      <c r="T80" s="386" t="str">
        <f>IF($A80="","",VLOOKUP($A80,기본데이타!$A$8:$BV$103,COLUMN(기본데이타!AU$8),0))</f>
        <v/>
      </c>
      <c r="U80" s="386" t="str">
        <f>IF($A80="","",VLOOKUP($A80,기본데이타!$A$8:$BV$103,COLUMN(기본데이타!AV$8),0))</f>
        <v/>
      </c>
      <c r="V80" s="16" t="str">
        <f>IF($A80="","",VLOOKUP($A80,기본데이타!$A$8:$BV$103,COLUMN(기본데이타!AW$8),0))</f>
        <v/>
      </c>
      <c r="W80" s="16" t="str">
        <f>IF($A80="","",VLOOKUP($A80,기본데이타!$A$8:$BV$103,COLUMN(기본데이타!AX$8),0))</f>
        <v/>
      </c>
      <c r="X80" s="16" t="str">
        <f>IF($A80="","",VLOOKUP($A80,기본데이타!$A$8:$BV$103,COLUMN(기본데이타!AY$8),0))</f>
        <v/>
      </c>
      <c r="Y80" s="16" t="str">
        <f>IF($A80="","",VLOOKUP($A80,기본데이타!$A$8:$BV$103,COLUMN(기본데이타!AZ$8),0))</f>
        <v/>
      </c>
      <c r="Z80" s="17" t="str">
        <f>IF($A80="","",VLOOKUP($A80,기본데이타!$A$8:$BV$103,COLUMN(기본데이타!BN$8),0))</f>
        <v/>
      </c>
      <c r="AA80" s="17" t="str">
        <f>IF($A80="","",VLOOKUP($A80,기본데이타!$A$8:$BV$103,COLUMN(기본데이타!BO$8),0))</f>
        <v/>
      </c>
      <c r="AB80" s="17" t="str">
        <f>IF($A80="","",VLOOKUP($A80,기본데이타!$A$8:$BV$103,COLUMN(기본데이타!BP$8),0))</f>
        <v/>
      </c>
      <c r="AC80" s="17" t="str">
        <f>IF($A80="","",VLOOKUP($A80,기본데이타!$A$8:$BV$103,COLUMN(기본데이타!BQ$8),0))</f>
        <v/>
      </c>
      <c r="AD80" s="17" t="str">
        <f>IF($A80="","",VLOOKUP($A80,기본데이타!$A$8:$BV$103,COLUMN(기본데이타!BR$8),0))</f>
        <v/>
      </c>
      <c r="AE80" s="17" t="str">
        <f>IF($A80="","",VLOOKUP($A80,기본데이타!$A$8:$BV$103,COLUMN(기본데이타!BS$8),0))</f>
        <v/>
      </c>
      <c r="AF80" s="524" t="str">
        <f>IF($A80="","",VLOOKUP($A80,기본데이타!$A$8:$BV$103,COLUMN(기본데이타!BT$8),0))</f>
        <v/>
      </c>
      <c r="AG80" s="432" t="str">
        <f>IF($A80="","",VLOOKUP($A80,기본데이타!$A$8:$BV$103,COLUMN(기본데이타!BU$8),0))</f>
        <v/>
      </c>
      <c r="AH80" s="18" t="str">
        <f t="shared" si="20"/>
        <v/>
      </c>
    </row>
    <row r="81" spans="1:35" s="187" customFormat="1" ht="35.1" hidden="1" customHeight="1">
      <c r="A81" s="189"/>
      <c r="C81" s="190"/>
      <c r="D81" s="8" t="str">
        <f>IF($A81="","",VLOOKUP($A81,기본데이타!$A$8:$BV$103,COLUMN(기본데이타!F$8),0))</f>
        <v/>
      </c>
      <c r="E81" s="252" t="str">
        <f>IF($A81="","",VLOOKUP($A81,기본데이타!$A$8:$BV$103,COLUMN(기본데이타!G$8),0))</f>
        <v/>
      </c>
      <c r="F81" s="15" t="str">
        <f>IF($A81="","",VLOOKUP($A81,기본데이타!$A$8:$BV$103,COLUMN(기본데이타!H$8),0))</f>
        <v/>
      </c>
      <c r="G81" s="15" t="str">
        <f>IF($A81="","",VLOOKUP($A81,기본데이타!$A$8:$BV$103,COLUMN(기본데이타!I$8),0))</f>
        <v/>
      </c>
      <c r="H81" s="15" t="str">
        <f>IF($A81="","",VLOOKUP($A81,기본데이타!$A$8:$BV$103,COLUMN(기본데이타!J$8),0))</f>
        <v/>
      </c>
      <c r="I81" s="17" t="str">
        <f>IF($A81="","",VLOOKUP($A81,기본데이타!$A$8:$BV$103,COLUMN(기본데이타!AJ$8),0))</f>
        <v/>
      </c>
      <c r="J81" s="386" t="str">
        <f>IF($A81="","",VLOOKUP($A81,기본데이타!$A$8:$BV$103,COLUMN(기본데이타!AK$8),0))</f>
        <v/>
      </c>
      <c r="K81" s="386" t="str">
        <f>IF($A81="","",VLOOKUP($A81,기본데이타!$A$8:$BV$103,COLUMN(기본데이타!AL$8),0))</f>
        <v/>
      </c>
      <c r="L81" s="386" t="str">
        <f>IF($A81="","",VLOOKUP($A81,기본데이타!$A$8:$BV$103,COLUMN(기본데이타!AM$8),0))</f>
        <v/>
      </c>
      <c r="M81" s="386" t="str">
        <f>IF($A81="","",VLOOKUP($A81,기본데이타!$A$8:$BV$103,COLUMN(기본데이타!AN$8),0))</f>
        <v/>
      </c>
      <c r="N81" s="386" t="str">
        <f>IF($A81="","",VLOOKUP($A81,기본데이타!$A$8:$BV$103,COLUMN(기본데이타!AO$8),0))</f>
        <v/>
      </c>
      <c r="O81" s="386" t="str">
        <f>IF($A81="","",VLOOKUP($A81,기본데이타!$A$8:$BV$103,COLUMN(기본데이타!AP$8),0))</f>
        <v/>
      </c>
      <c r="P81" s="386" t="str">
        <f>IF($A81="","",VLOOKUP($A81,기본데이타!$A$8:$BV$103,COLUMN(기본데이타!AQ$8),0))</f>
        <v/>
      </c>
      <c r="Q81" s="386" t="str">
        <f>IF($A81="","",VLOOKUP($A81,기본데이타!$A$8:$BV$103,COLUMN(기본데이타!AR$8),0))</f>
        <v/>
      </c>
      <c r="R81" s="386" t="str">
        <f>IF($A81="","",VLOOKUP($A81,기본데이타!$A$8:$BV$103,COLUMN(기본데이타!AS$8),0))</f>
        <v/>
      </c>
      <c r="S81" s="386" t="str">
        <f>IF($A81="","",VLOOKUP($A81,기본데이타!$A$8:$BV$103,COLUMN(기본데이타!AT$8),0))</f>
        <v/>
      </c>
      <c r="T81" s="386" t="str">
        <f>IF($A81="","",VLOOKUP($A81,기본데이타!$A$8:$BV$103,COLUMN(기본데이타!AU$8),0))</f>
        <v/>
      </c>
      <c r="U81" s="386" t="str">
        <f>IF($A81="","",VLOOKUP($A81,기본데이타!$A$8:$BV$103,COLUMN(기본데이타!AV$8),0))</f>
        <v/>
      </c>
      <c r="V81" s="16" t="str">
        <f>IF($A81="","",VLOOKUP($A81,기본데이타!$A$8:$BV$103,COLUMN(기본데이타!AW$8),0))</f>
        <v/>
      </c>
      <c r="W81" s="16" t="str">
        <f>IF($A81="","",VLOOKUP($A81,기본데이타!$A$8:$BV$103,COLUMN(기본데이타!AX$8),0))</f>
        <v/>
      </c>
      <c r="X81" s="16" t="str">
        <f>IF($A81="","",VLOOKUP($A81,기본데이타!$A$8:$BV$103,COLUMN(기본데이타!AY$8),0))</f>
        <v/>
      </c>
      <c r="Y81" s="16" t="str">
        <f>IF($A81="","",VLOOKUP($A81,기본데이타!$A$8:$BV$103,COLUMN(기본데이타!AZ$8),0))</f>
        <v/>
      </c>
      <c r="Z81" s="17" t="str">
        <f>IF($A81="","",VLOOKUP($A81,기본데이타!$A$8:$BV$103,COLUMN(기본데이타!BN$8),0))</f>
        <v/>
      </c>
      <c r="AA81" s="17" t="str">
        <f>IF($A81="","",VLOOKUP($A81,기본데이타!$A$8:$BV$103,COLUMN(기본데이타!BO$8),0))</f>
        <v/>
      </c>
      <c r="AB81" s="17" t="str">
        <f>IF($A81="","",VLOOKUP($A81,기본데이타!$A$8:$BV$103,COLUMN(기본데이타!BP$8),0))</f>
        <v/>
      </c>
      <c r="AC81" s="17" t="str">
        <f>IF($A81="","",VLOOKUP($A81,기본데이타!$A$8:$BV$103,COLUMN(기본데이타!BQ$8),0))</f>
        <v/>
      </c>
      <c r="AD81" s="17" t="str">
        <f>IF($A81="","",VLOOKUP($A81,기본데이타!$A$8:$BV$103,COLUMN(기본데이타!BR$8),0))</f>
        <v/>
      </c>
      <c r="AE81" s="17" t="str">
        <f>IF($A81="","",VLOOKUP($A81,기본데이타!$A$8:$BV$103,COLUMN(기본데이타!BS$8),0))</f>
        <v/>
      </c>
      <c r="AF81" s="524" t="str">
        <f>IF($A81="","",VLOOKUP($A81,기본데이타!$A$8:$BV$103,COLUMN(기본데이타!BT$8),0))</f>
        <v/>
      </c>
      <c r="AG81" s="432" t="str">
        <f>IF($A81="","",VLOOKUP($A81,기본데이타!$A$8:$BV$103,COLUMN(기본데이타!BU$8),0))</f>
        <v/>
      </c>
      <c r="AH81" s="18" t="str">
        <f t="shared" si="20"/>
        <v/>
      </c>
    </row>
    <row r="82" spans="1:35" s="187" customFormat="1" ht="35.1" hidden="1" customHeight="1">
      <c r="A82" s="189"/>
      <c r="C82" s="190"/>
      <c r="D82" s="8" t="str">
        <f>IF($A82="","",VLOOKUP($A82,기본데이타!$A$8:$BV$103,COLUMN(기본데이타!F$8),0))</f>
        <v/>
      </c>
      <c r="E82" s="252" t="str">
        <f>IF($A82="","",VLOOKUP($A82,기본데이타!$A$8:$BV$103,COLUMN(기본데이타!G$8),0))</f>
        <v/>
      </c>
      <c r="F82" s="15" t="str">
        <f>IF($A82="","",VLOOKUP($A82,기본데이타!$A$8:$BV$103,COLUMN(기본데이타!H$8),0))</f>
        <v/>
      </c>
      <c r="G82" s="15" t="str">
        <f>IF($A82="","",VLOOKUP($A82,기본데이타!$A$8:$BV$103,COLUMN(기본데이타!I$8),0))</f>
        <v/>
      </c>
      <c r="H82" s="15" t="str">
        <f>IF($A82="","",VLOOKUP($A82,기본데이타!$A$8:$BV$103,COLUMN(기본데이타!J$8),0))</f>
        <v/>
      </c>
      <c r="I82" s="17" t="str">
        <f>IF($A82="","",VLOOKUP($A82,기본데이타!$A$8:$BV$103,COLUMN(기본데이타!AJ$8),0))</f>
        <v/>
      </c>
      <c r="J82" s="386" t="str">
        <f>IF($A82="","",VLOOKUP($A82,기본데이타!$A$8:$BV$103,COLUMN(기본데이타!AK$8),0))</f>
        <v/>
      </c>
      <c r="K82" s="386" t="str">
        <f>IF($A82="","",VLOOKUP($A82,기본데이타!$A$8:$BV$103,COLUMN(기본데이타!AL$8),0))</f>
        <v/>
      </c>
      <c r="L82" s="386" t="str">
        <f>IF($A82="","",VLOOKUP($A82,기본데이타!$A$8:$BV$103,COLUMN(기본데이타!AM$8),0))</f>
        <v/>
      </c>
      <c r="M82" s="386" t="str">
        <f>IF($A82="","",VLOOKUP($A82,기본데이타!$A$8:$BV$103,COLUMN(기본데이타!AN$8),0))</f>
        <v/>
      </c>
      <c r="N82" s="386" t="str">
        <f>IF($A82="","",VLOOKUP($A82,기본데이타!$A$8:$BV$103,COLUMN(기본데이타!AO$8),0))</f>
        <v/>
      </c>
      <c r="O82" s="386" t="str">
        <f>IF($A82="","",VLOOKUP($A82,기본데이타!$A$8:$BV$103,COLUMN(기본데이타!AP$8),0))</f>
        <v/>
      </c>
      <c r="P82" s="386" t="str">
        <f>IF($A82="","",VLOOKUP($A82,기본데이타!$A$8:$BV$103,COLUMN(기본데이타!AQ$8),0))</f>
        <v/>
      </c>
      <c r="Q82" s="386" t="str">
        <f>IF($A82="","",VLOOKUP($A82,기본데이타!$A$8:$BV$103,COLUMN(기본데이타!AR$8),0))</f>
        <v/>
      </c>
      <c r="R82" s="386" t="str">
        <f>IF($A82="","",VLOOKUP($A82,기본데이타!$A$8:$BV$103,COLUMN(기본데이타!AS$8),0))</f>
        <v/>
      </c>
      <c r="S82" s="386" t="str">
        <f>IF($A82="","",VLOOKUP($A82,기본데이타!$A$8:$BV$103,COLUMN(기본데이타!AT$8),0))</f>
        <v/>
      </c>
      <c r="T82" s="386" t="str">
        <f>IF($A82="","",VLOOKUP($A82,기본데이타!$A$8:$BV$103,COLUMN(기본데이타!AU$8),0))</f>
        <v/>
      </c>
      <c r="U82" s="386" t="str">
        <f>IF($A82="","",VLOOKUP($A82,기본데이타!$A$8:$BV$103,COLUMN(기본데이타!AV$8),0))</f>
        <v/>
      </c>
      <c r="V82" s="16" t="str">
        <f>IF($A82="","",VLOOKUP($A82,기본데이타!$A$8:$BV$103,COLUMN(기본데이타!AW$8),0))</f>
        <v/>
      </c>
      <c r="W82" s="16" t="str">
        <f>IF($A82="","",VLOOKUP($A82,기본데이타!$A$8:$BV$103,COLUMN(기본데이타!AX$8),0))</f>
        <v/>
      </c>
      <c r="X82" s="16" t="str">
        <f>IF($A82="","",VLOOKUP($A82,기본데이타!$A$8:$BV$103,COLUMN(기본데이타!AY$8),0))</f>
        <v/>
      </c>
      <c r="Y82" s="16" t="str">
        <f>IF($A82="","",VLOOKUP($A82,기본데이타!$A$8:$BV$103,COLUMN(기본데이타!AZ$8),0))</f>
        <v/>
      </c>
      <c r="Z82" s="17" t="str">
        <f>IF($A82="","",VLOOKUP($A82,기본데이타!$A$8:$BV$103,COLUMN(기본데이타!BN$8),0))</f>
        <v/>
      </c>
      <c r="AA82" s="17" t="str">
        <f>IF($A82="","",VLOOKUP($A82,기본데이타!$A$8:$BV$103,COLUMN(기본데이타!BO$8),0))</f>
        <v/>
      </c>
      <c r="AB82" s="17" t="str">
        <f>IF($A82="","",VLOOKUP($A82,기본데이타!$A$8:$BV$103,COLUMN(기본데이타!BP$8),0))</f>
        <v/>
      </c>
      <c r="AC82" s="17" t="str">
        <f>IF($A82="","",VLOOKUP($A82,기본데이타!$A$8:$BV$103,COLUMN(기본데이타!BQ$8),0))</f>
        <v/>
      </c>
      <c r="AD82" s="17" t="str">
        <f>IF($A82="","",VLOOKUP($A82,기본데이타!$A$8:$BV$103,COLUMN(기본데이타!BR$8),0))</f>
        <v/>
      </c>
      <c r="AE82" s="17" t="str">
        <f>IF($A82="","",VLOOKUP($A82,기본데이타!$A$8:$BV$103,COLUMN(기본데이타!BS$8),0))</f>
        <v/>
      </c>
      <c r="AF82" s="524" t="str">
        <f>IF($A82="","",VLOOKUP($A82,기본데이타!$A$8:$BV$103,COLUMN(기본데이타!BT$8),0))</f>
        <v/>
      </c>
      <c r="AG82" s="432" t="str">
        <f>IF($A82="","",VLOOKUP($A82,기본데이타!$A$8:$BV$103,COLUMN(기본데이타!BU$8),0))</f>
        <v/>
      </c>
      <c r="AH82" s="18" t="str">
        <f t="shared" si="20"/>
        <v/>
      </c>
    </row>
    <row r="83" spans="1:35" s="187" customFormat="1" ht="35.1" hidden="1" customHeight="1">
      <c r="A83" s="189"/>
      <c r="C83" s="190"/>
      <c r="D83" s="8" t="str">
        <f>IF($A83="","",VLOOKUP($A83,기본데이타!$A$8:$BV$103,COLUMN(기본데이타!F$8),0))</f>
        <v/>
      </c>
      <c r="E83" s="252" t="str">
        <f>IF($A83="","",VLOOKUP($A83,기본데이타!$A$8:$BV$103,COLUMN(기본데이타!G$8),0))</f>
        <v/>
      </c>
      <c r="F83" s="15" t="str">
        <f>IF($A83="","",VLOOKUP($A83,기본데이타!$A$8:$BV$103,COLUMN(기본데이타!H$8),0))</f>
        <v/>
      </c>
      <c r="G83" s="15" t="str">
        <f>IF($A83="","",VLOOKUP($A83,기본데이타!$A$8:$BV$103,COLUMN(기본데이타!I$8),0))</f>
        <v/>
      </c>
      <c r="H83" s="15" t="str">
        <f>IF($A83="","",VLOOKUP($A83,기본데이타!$A$8:$BV$103,COLUMN(기본데이타!J$8),0))</f>
        <v/>
      </c>
      <c r="I83" s="17" t="str">
        <f>IF($A83="","",VLOOKUP($A83,기본데이타!$A$8:$BV$103,COLUMN(기본데이타!AJ$8),0))</f>
        <v/>
      </c>
      <c r="J83" s="386" t="str">
        <f>IF($A83="","",VLOOKUP($A83,기본데이타!$A$8:$BV$103,COLUMN(기본데이타!AK$8),0))</f>
        <v/>
      </c>
      <c r="K83" s="386" t="str">
        <f>IF($A83="","",VLOOKUP($A83,기본데이타!$A$8:$BV$103,COLUMN(기본데이타!AL$8),0))</f>
        <v/>
      </c>
      <c r="L83" s="386" t="str">
        <f>IF($A83="","",VLOOKUP($A83,기본데이타!$A$8:$BV$103,COLUMN(기본데이타!AM$8),0))</f>
        <v/>
      </c>
      <c r="M83" s="386" t="str">
        <f>IF($A83="","",VLOOKUP($A83,기본데이타!$A$8:$BV$103,COLUMN(기본데이타!AN$8),0))</f>
        <v/>
      </c>
      <c r="N83" s="386" t="str">
        <f>IF($A83="","",VLOOKUP($A83,기본데이타!$A$8:$BV$103,COLUMN(기본데이타!AO$8),0))</f>
        <v/>
      </c>
      <c r="O83" s="386" t="str">
        <f>IF($A83="","",VLOOKUP($A83,기본데이타!$A$8:$BV$103,COLUMN(기본데이타!AP$8),0))</f>
        <v/>
      </c>
      <c r="P83" s="386" t="str">
        <f>IF($A83="","",VLOOKUP($A83,기본데이타!$A$8:$BV$103,COLUMN(기본데이타!AQ$8),0))</f>
        <v/>
      </c>
      <c r="Q83" s="386" t="str">
        <f>IF($A83="","",VLOOKUP($A83,기본데이타!$A$8:$BV$103,COLUMN(기본데이타!AR$8),0))</f>
        <v/>
      </c>
      <c r="R83" s="386" t="str">
        <f>IF($A83="","",VLOOKUP($A83,기본데이타!$A$8:$BV$103,COLUMN(기본데이타!AS$8),0))</f>
        <v/>
      </c>
      <c r="S83" s="386" t="str">
        <f>IF($A83="","",VLOOKUP($A83,기본데이타!$A$8:$BV$103,COLUMN(기본데이타!AT$8),0))</f>
        <v/>
      </c>
      <c r="T83" s="386" t="str">
        <f>IF($A83="","",VLOOKUP($A83,기본데이타!$A$8:$BV$103,COLUMN(기본데이타!AU$8),0))</f>
        <v/>
      </c>
      <c r="U83" s="386" t="str">
        <f>IF($A83="","",VLOOKUP($A83,기본데이타!$A$8:$BV$103,COLUMN(기본데이타!AV$8),0))</f>
        <v/>
      </c>
      <c r="V83" s="16" t="str">
        <f>IF($A83="","",VLOOKUP($A83,기본데이타!$A$8:$BV$103,COLUMN(기본데이타!AW$8),0))</f>
        <v/>
      </c>
      <c r="W83" s="16" t="str">
        <f>IF($A83="","",VLOOKUP($A83,기본데이타!$A$8:$BV$103,COLUMN(기본데이타!AX$8),0))</f>
        <v/>
      </c>
      <c r="X83" s="16" t="str">
        <f>IF($A83="","",VLOOKUP($A83,기본데이타!$A$8:$BV$103,COLUMN(기본데이타!AY$8),0))</f>
        <v/>
      </c>
      <c r="Y83" s="16" t="str">
        <f>IF($A83="","",VLOOKUP($A83,기본데이타!$A$8:$BV$103,COLUMN(기본데이타!AZ$8),0))</f>
        <v/>
      </c>
      <c r="Z83" s="17" t="str">
        <f>IF($A83="","",VLOOKUP($A83,기본데이타!$A$8:$BV$103,COLUMN(기본데이타!BN$8),0))</f>
        <v/>
      </c>
      <c r="AA83" s="17" t="str">
        <f>IF($A83="","",VLOOKUP($A83,기본데이타!$A$8:$BV$103,COLUMN(기본데이타!BO$8),0))</f>
        <v/>
      </c>
      <c r="AB83" s="17" t="str">
        <f>IF($A83="","",VLOOKUP($A83,기본데이타!$A$8:$BV$103,COLUMN(기본데이타!BP$8),0))</f>
        <v/>
      </c>
      <c r="AC83" s="17" t="str">
        <f>IF($A83="","",VLOOKUP($A83,기본데이타!$A$8:$BV$103,COLUMN(기본데이타!BQ$8),0))</f>
        <v/>
      </c>
      <c r="AD83" s="17" t="str">
        <f>IF($A83="","",VLOOKUP($A83,기본데이타!$A$8:$BV$103,COLUMN(기본데이타!BR$8),0))</f>
        <v/>
      </c>
      <c r="AE83" s="17" t="str">
        <f>IF($A83="","",VLOOKUP($A83,기본데이타!$A$8:$BV$103,COLUMN(기본데이타!BS$8),0))</f>
        <v/>
      </c>
      <c r="AF83" s="524" t="str">
        <f>IF($A83="","",VLOOKUP($A83,기본데이타!$A$8:$BV$103,COLUMN(기본데이타!BT$8),0))</f>
        <v/>
      </c>
      <c r="AG83" s="432" t="str">
        <f>IF($A83="","",VLOOKUP($A83,기본데이타!$A$8:$BV$103,COLUMN(기본데이타!BU$8),0))</f>
        <v/>
      </c>
      <c r="AH83" s="18" t="str">
        <f t="shared" ref="AH83:AH89" si="21">IF(A83="","",A83)</f>
        <v/>
      </c>
    </row>
    <row r="84" spans="1:35" s="187" customFormat="1" ht="35.1" hidden="1" customHeight="1">
      <c r="A84" s="189"/>
      <c r="C84" s="190"/>
      <c r="D84" s="8" t="str">
        <f>IF($A84="","",VLOOKUP($A84,기본데이타!$A$8:$BV$103,COLUMN(기본데이타!F$8),0))</f>
        <v/>
      </c>
      <c r="E84" s="252" t="str">
        <f>IF($A84="","",VLOOKUP($A84,기본데이타!$A$8:$BV$103,COLUMN(기본데이타!G$8),0))</f>
        <v/>
      </c>
      <c r="F84" s="15" t="str">
        <f>IF($A84="","",VLOOKUP($A84,기본데이타!$A$8:$BV$103,COLUMN(기본데이타!H$8),0))</f>
        <v/>
      </c>
      <c r="G84" s="15" t="str">
        <f>IF($A84="","",VLOOKUP($A84,기본데이타!$A$8:$BV$103,COLUMN(기본데이타!I$8),0))</f>
        <v/>
      </c>
      <c r="H84" s="15" t="str">
        <f>IF($A84="","",VLOOKUP($A84,기본데이타!$A$8:$BV$103,COLUMN(기본데이타!J$8),0))</f>
        <v/>
      </c>
      <c r="I84" s="17" t="str">
        <f>IF($A84="","",VLOOKUP($A84,기본데이타!$A$8:$BV$103,COLUMN(기본데이타!AJ$8),0))</f>
        <v/>
      </c>
      <c r="J84" s="386" t="str">
        <f>IF($A84="","",VLOOKUP($A84,기본데이타!$A$8:$BV$103,COLUMN(기본데이타!AK$8),0))</f>
        <v/>
      </c>
      <c r="K84" s="386" t="str">
        <f>IF($A84="","",VLOOKUP($A84,기본데이타!$A$8:$BV$103,COLUMN(기본데이타!AL$8),0))</f>
        <v/>
      </c>
      <c r="L84" s="386" t="str">
        <f>IF($A84="","",VLOOKUP($A84,기본데이타!$A$8:$BV$103,COLUMN(기본데이타!AM$8),0))</f>
        <v/>
      </c>
      <c r="M84" s="386" t="str">
        <f>IF($A84="","",VLOOKUP($A84,기본데이타!$A$8:$BV$103,COLUMN(기본데이타!AN$8),0))</f>
        <v/>
      </c>
      <c r="N84" s="386" t="str">
        <f>IF($A84="","",VLOOKUP($A84,기본데이타!$A$8:$BV$103,COLUMN(기본데이타!AO$8),0))</f>
        <v/>
      </c>
      <c r="O84" s="386" t="str">
        <f>IF($A84="","",VLOOKUP($A84,기본데이타!$A$8:$BV$103,COLUMN(기본데이타!AP$8),0))</f>
        <v/>
      </c>
      <c r="P84" s="386" t="str">
        <f>IF($A84="","",VLOOKUP($A84,기본데이타!$A$8:$BV$103,COLUMN(기본데이타!AQ$8),0))</f>
        <v/>
      </c>
      <c r="Q84" s="386" t="str">
        <f>IF($A84="","",VLOOKUP($A84,기본데이타!$A$8:$BV$103,COLUMN(기본데이타!AR$8),0))</f>
        <v/>
      </c>
      <c r="R84" s="386" t="str">
        <f>IF($A84="","",VLOOKUP($A84,기본데이타!$A$8:$BV$103,COLUMN(기본데이타!AS$8),0))</f>
        <v/>
      </c>
      <c r="S84" s="386" t="str">
        <f>IF($A84="","",VLOOKUP($A84,기본데이타!$A$8:$BV$103,COLUMN(기본데이타!AT$8),0))</f>
        <v/>
      </c>
      <c r="T84" s="386" t="str">
        <f>IF($A84="","",VLOOKUP($A84,기본데이타!$A$8:$BV$103,COLUMN(기본데이타!AU$8),0))</f>
        <v/>
      </c>
      <c r="U84" s="386" t="str">
        <f>IF($A84="","",VLOOKUP($A84,기본데이타!$A$8:$BV$103,COLUMN(기본데이타!AV$8),0))</f>
        <v/>
      </c>
      <c r="V84" s="16" t="str">
        <f>IF($A84="","",VLOOKUP($A84,기본데이타!$A$8:$BV$103,COLUMN(기본데이타!AW$8),0))</f>
        <v/>
      </c>
      <c r="W84" s="16" t="str">
        <f>IF($A84="","",VLOOKUP($A84,기본데이타!$A$8:$BV$103,COLUMN(기본데이타!AX$8),0))</f>
        <v/>
      </c>
      <c r="X84" s="16" t="str">
        <f>IF($A84="","",VLOOKUP($A84,기본데이타!$A$8:$BV$103,COLUMN(기본데이타!AY$8),0))</f>
        <v/>
      </c>
      <c r="Y84" s="16" t="str">
        <f>IF($A84="","",VLOOKUP($A84,기본데이타!$A$8:$BV$103,COLUMN(기본데이타!AZ$8),0))</f>
        <v/>
      </c>
      <c r="Z84" s="17" t="str">
        <f>IF($A84="","",VLOOKUP($A84,기본데이타!$A$8:$BV$103,COLUMN(기본데이타!BN$8),0))</f>
        <v/>
      </c>
      <c r="AA84" s="17" t="str">
        <f>IF($A84="","",VLOOKUP($A84,기본데이타!$A$8:$BV$103,COLUMN(기본데이타!BO$8),0))</f>
        <v/>
      </c>
      <c r="AB84" s="17" t="str">
        <f>IF($A84="","",VLOOKUP($A84,기본데이타!$A$8:$BV$103,COLUMN(기본데이타!BP$8),0))</f>
        <v/>
      </c>
      <c r="AC84" s="17" t="str">
        <f>IF($A84="","",VLOOKUP($A84,기본데이타!$A$8:$BV$103,COLUMN(기본데이타!BQ$8),0))</f>
        <v/>
      </c>
      <c r="AD84" s="17" t="str">
        <f>IF($A84="","",VLOOKUP($A84,기본데이타!$A$8:$BV$103,COLUMN(기본데이타!BR$8),0))</f>
        <v/>
      </c>
      <c r="AE84" s="17" t="str">
        <f>IF($A84="","",VLOOKUP($A84,기본데이타!$A$8:$BV$103,COLUMN(기본데이타!BS$8),0))</f>
        <v/>
      </c>
      <c r="AF84" s="524" t="str">
        <f>IF($A84="","",VLOOKUP($A84,기본데이타!$A$8:$BV$103,COLUMN(기본데이타!BT$8),0))</f>
        <v/>
      </c>
      <c r="AG84" s="432" t="str">
        <f>IF($A84="","",VLOOKUP($A84,기본데이타!$A$8:$BV$103,COLUMN(기본데이타!BU$8),0))</f>
        <v/>
      </c>
      <c r="AH84" s="18" t="str">
        <f t="shared" si="21"/>
        <v/>
      </c>
    </row>
    <row r="85" spans="1:35" s="187" customFormat="1" ht="35.1" hidden="1" customHeight="1">
      <c r="A85" s="189"/>
      <c r="C85" s="190"/>
      <c r="D85" s="8" t="str">
        <f>IF($A85="","",VLOOKUP($A85,기본데이타!$A$8:$BV$103,COLUMN(기본데이타!F$8),0))</f>
        <v/>
      </c>
      <c r="E85" s="252" t="str">
        <f>IF($A85="","",VLOOKUP($A85,기본데이타!$A$8:$BV$103,COLUMN(기본데이타!G$8),0))</f>
        <v/>
      </c>
      <c r="F85" s="15" t="str">
        <f>IF($A85="","",VLOOKUP($A85,기본데이타!$A$8:$BV$103,COLUMN(기본데이타!H$8),0))</f>
        <v/>
      </c>
      <c r="G85" s="15" t="str">
        <f>IF($A85="","",VLOOKUP($A85,기본데이타!$A$8:$BV$103,COLUMN(기본데이타!I$8),0))</f>
        <v/>
      </c>
      <c r="H85" s="15" t="str">
        <f>IF($A85="","",VLOOKUP($A85,기본데이타!$A$8:$BV$103,COLUMN(기본데이타!J$8),0))</f>
        <v/>
      </c>
      <c r="I85" s="17" t="str">
        <f>IF($A85="","",VLOOKUP($A85,기본데이타!$A$8:$BV$103,COLUMN(기본데이타!AJ$8),0))</f>
        <v/>
      </c>
      <c r="J85" s="386" t="str">
        <f>IF($A85="","",VLOOKUP($A85,기본데이타!$A$8:$BV$103,COLUMN(기본데이타!AK$8),0))</f>
        <v/>
      </c>
      <c r="K85" s="386" t="str">
        <f>IF($A85="","",VLOOKUP($A85,기본데이타!$A$8:$BV$103,COLUMN(기본데이타!AL$8),0))</f>
        <v/>
      </c>
      <c r="L85" s="386" t="str">
        <f>IF($A85="","",VLOOKUP($A85,기본데이타!$A$8:$BV$103,COLUMN(기본데이타!AM$8),0))</f>
        <v/>
      </c>
      <c r="M85" s="386" t="str">
        <f>IF($A85="","",VLOOKUP($A85,기본데이타!$A$8:$BV$103,COLUMN(기본데이타!AN$8),0))</f>
        <v/>
      </c>
      <c r="N85" s="386" t="str">
        <f>IF($A85="","",VLOOKUP($A85,기본데이타!$A$8:$BV$103,COLUMN(기본데이타!AO$8),0))</f>
        <v/>
      </c>
      <c r="O85" s="386" t="str">
        <f>IF($A85="","",VLOOKUP($A85,기본데이타!$A$8:$BV$103,COLUMN(기본데이타!AP$8),0))</f>
        <v/>
      </c>
      <c r="P85" s="386" t="str">
        <f>IF($A85="","",VLOOKUP($A85,기본데이타!$A$8:$BV$103,COLUMN(기본데이타!AQ$8),0))</f>
        <v/>
      </c>
      <c r="Q85" s="386" t="str">
        <f>IF($A85="","",VLOOKUP($A85,기본데이타!$A$8:$BV$103,COLUMN(기본데이타!AR$8),0))</f>
        <v/>
      </c>
      <c r="R85" s="386" t="str">
        <f>IF($A85="","",VLOOKUP($A85,기본데이타!$A$8:$BV$103,COLUMN(기본데이타!AS$8),0))</f>
        <v/>
      </c>
      <c r="S85" s="386" t="str">
        <f>IF($A85="","",VLOOKUP($A85,기본데이타!$A$8:$BV$103,COLUMN(기본데이타!AT$8),0))</f>
        <v/>
      </c>
      <c r="T85" s="386" t="str">
        <f>IF($A85="","",VLOOKUP($A85,기본데이타!$A$8:$BV$103,COLUMN(기본데이타!AU$8),0))</f>
        <v/>
      </c>
      <c r="U85" s="386" t="str">
        <f>IF($A85="","",VLOOKUP($A85,기본데이타!$A$8:$BV$103,COLUMN(기본데이타!AV$8),0))</f>
        <v/>
      </c>
      <c r="V85" s="16" t="str">
        <f>IF($A85="","",VLOOKUP($A85,기본데이타!$A$8:$BV$103,COLUMN(기본데이타!AW$8),0))</f>
        <v/>
      </c>
      <c r="W85" s="16" t="str">
        <f>IF($A85="","",VLOOKUP($A85,기본데이타!$A$8:$BV$103,COLUMN(기본데이타!AX$8),0))</f>
        <v/>
      </c>
      <c r="X85" s="16" t="str">
        <f>IF($A85="","",VLOOKUP($A85,기본데이타!$A$8:$BV$103,COLUMN(기본데이타!AY$8),0))</f>
        <v/>
      </c>
      <c r="Y85" s="16" t="str">
        <f>IF($A85="","",VLOOKUP($A85,기본데이타!$A$8:$BV$103,COLUMN(기본데이타!AZ$8),0))</f>
        <v/>
      </c>
      <c r="Z85" s="17" t="str">
        <f>IF($A85="","",VLOOKUP($A85,기본데이타!$A$8:$BV$103,COLUMN(기본데이타!BN$8),0))</f>
        <v/>
      </c>
      <c r="AA85" s="17" t="str">
        <f>IF($A85="","",VLOOKUP($A85,기본데이타!$A$8:$BV$103,COLUMN(기본데이타!BO$8),0))</f>
        <v/>
      </c>
      <c r="AB85" s="17" t="str">
        <f>IF($A85="","",VLOOKUP($A85,기본데이타!$A$8:$BV$103,COLUMN(기본데이타!BP$8),0))</f>
        <v/>
      </c>
      <c r="AC85" s="17" t="str">
        <f>IF($A85="","",VLOOKUP($A85,기본데이타!$A$8:$BV$103,COLUMN(기본데이타!BQ$8),0))</f>
        <v/>
      </c>
      <c r="AD85" s="17" t="str">
        <f>IF($A85="","",VLOOKUP($A85,기본데이타!$A$8:$BV$103,COLUMN(기본데이타!BR$8),0))</f>
        <v/>
      </c>
      <c r="AE85" s="17" t="str">
        <f>IF($A85="","",VLOOKUP($A85,기본데이타!$A$8:$BV$103,COLUMN(기본데이타!BS$8),0))</f>
        <v/>
      </c>
      <c r="AF85" s="524" t="str">
        <f>IF($A85="","",VLOOKUP($A85,기본데이타!$A$8:$BV$103,COLUMN(기본데이타!BT$8),0))</f>
        <v/>
      </c>
      <c r="AG85" s="432" t="str">
        <f>IF($A85="","",VLOOKUP($A85,기본데이타!$A$8:$BV$103,COLUMN(기본데이타!BU$8),0))</f>
        <v/>
      </c>
      <c r="AH85" s="18" t="str">
        <f t="shared" si="21"/>
        <v/>
      </c>
    </row>
    <row r="86" spans="1:35" s="187" customFormat="1" ht="35.1" hidden="1" customHeight="1">
      <c r="A86" s="189"/>
      <c r="C86" s="190"/>
      <c r="D86" s="8" t="str">
        <f>IF($A86="","",VLOOKUP($A86,기본데이타!$A$8:$BV$103,COLUMN(기본데이타!F$8),0))</f>
        <v/>
      </c>
      <c r="E86" s="252" t="str">
        <f>IF($A86="","",VLOOKUP($A86,기본데이타!$A$8:$BV$103,COLUMN(기본데이타!G$8),0))</f>
        <v/>
      </c>
      <c r="F86" s="15" t="str">
        <f>IF($A86="","",VLOOKUP($A86,기본데이타!$A$8:$BV$103,COLUMN(기본데이타!H$8),0))</f>
        <v/>
      </c>
      <c r="G86" s="15" t="str">
        <f>IF($A86="","",VLOOKUP($A86,기본데이타!$A$8:$BV$103,COLUMN(기본데이타!I$8),0))</f>
        <v/>
      </c>
      <c r="H86" s="15" t="str">
        <f>IF($A86="","",VLOOKUP($A86,기본데이타!$A$8:$BV$103,COLUMN(기본데이타!J$8),0))</f>
        <v/>
      </c>
      <c r="I86" s="17" t="str">
        <f>IF($A86="","",VLOOKUP($A86,기본데이타!$A$8:$BV$103,COLUMN(기본데이타!AJ$8),0))</f>
        <v/>
      </c>
      <c r="J86" s="386" t="str">
        <f>IF($A86="","",VLOOKUP($A86,기본데이타!$A$8:$BV$103,COLUMN(기본데이타!AK$8),0))</f>
        <v/>
      </c>
      <c r="K86" s="386" t="str">
        <f>IF($A86="","",VLOOKUP($A86,기본데이타!$A$8:$BV$103,COLUMN(기본데이타!AL$8),0))</f>
        <v/>
      </c>
      <c r="L86" s="386" t="str">
        <f>IF($A86="","",VLOOKUP($A86,기본데이타!$A$8:$BV$103,COLUMN(기본데이타!AM$8),0))</f>
        <v/>
      </c>
      <c r="M86" s="386" t="str">
        <f>IF($A86="","",VLOOKUP($A86,기본데이타!$A$8:$BV$103,COLUMN(기본데이타!AN$8),0))</f>
        <v/>
      </c>
      <c r="N86" s="386" t="str">
        <f>IF($A86="","",VLOOKUP($A86,기본데이타!$A$8:$BV$103,COLUMN(기본데이타!AO$8),0))</f>
        <v/>
      </c>
      <c r="O86" s="386" t="str">
        <f>IF($A86="","",VLOOKUP($A86,기본데이타!$A$8:$BV$103,COLUMN(기본데이타!AP$8),0))</f>
        <v/>
      </c>
      <c r="P86" s="386" t="str">
        <f>IF($A86="","",VLOOKUP($A86,기본데이타!$A$8:$BV$103,COLUMN(기본데이타!AQ$8),0))</f>
        <v/>
      </c>
      <c r="Q86" s="386" t="str">
        <f>IF($A86="","",VLOOKUP($A86,기본데이타!$A$8:$BV$103,COLUMN(기본데이타!AR$8),0))</f>
        <v/>
      </c>
      <c r="R86" s="386" t="str">
        <f>IF($A86="","",VLOOKUP($A86,기본데이타!$A$8:$BV$103,COLUMN(기본데이타!AS$8),0))</f>
        <v/>
      </c>
      <c r="S86" s="386" t="str">
        <f>IF($A86="","",VLOOKUP($A86,기본데이타!$A$8:$BV$103,COLUMN(기본데이타!AT$8),0))</f>
        <v/>
      </c>
      <c r="T86" s="386" t="str">
        <f>IF($A86="","",VLOOKUP($A86,기본데이타!$A$8:$BV$103,COLUMN(기본데이타!AU$8),0))</f>
        <v/>
      </c>
      <c r="U86" s="386" t="str">
        <f>IF($A86="","",VLOOKUP($A86,기본데이타!$A$8:$BV$103,COLUMN(기본데이타!AV$8),0))</f>
        <v/>
      </c>
      <c r="V86" s="16" t="str">
        <f>IF($A86="","",VLOOKUP($A86,기본데이타!$A$8:$BV$103,COLUMN(기본데이타!AW$8),0))</f>
        <v/>
      </c>
      <c r="W86" s="16" t="str">
        <f>IF($A86="","",VLOOKUP($A86,기본데이타!$A$8:$BV$103,COLUMN(기본데이타!AX$8),0))</f>
        <v/>
      </c>
      <c r="X86" s="16" t="str">
        <f>IF($A86="","",VLOOKUP($A86,기본데이타!$A$8:$BV$103,COLUMN(기본데이타!AY$8),0))</f>
        <v/>
      </c>
      <c r="Y86" s="16" t="str">
        <f>IF($A86="","",VLOOKUP($A86,기본데이타!$A$8:$BV$103,COLUMN(기본데이타!AZ$8),0))</f>
        <v/>
      </c>
      <c r="Z86" s="17" t="str">
        <f>IF($A86="","",VLOOKUP($A86,기본데이타!$A$8:$BV$103,COLUMN(기본데이타!BN$8),0))</f>
        <v/>
      </c>
      <c r="AA86" s="17" t="str">
        <f>IF($A86="","",VLOOKUP($A86,기본데이타!$A$8:$BV$103,COLUMN(기본데이타!BO$8),0))</f>
        <v/>
      </c>
      <c r="AB86" s="17" t="str">
        <f>IF($A86="","",VLOOKUP($A86,기본데이타!$A$8:$BV$103,COLUMN(기본데이타!BP$8),0))</f>
        <v/>
      </c>
      <c r="AC86" s="17" t="str">
        <f>IF($A86="","",VLOOKUP($A86,기본데이타!$A$8:$BV$103,COLUMN(기본데이타!BQ$8),0))</f>
        <v/>
      </c>
      <c r="AD86" s="17" t="str">
        <f>IF($A86="","",VLOOKUP($A86,기본데이타!$A$8:$BV$103,COLUMN(기본데이타!BR$8),0))</f>
        <v/>
      </c>
      <c r="AE86" s="17" t="str">
        <f>IF($A86="","",VLOOKUP($A86,기본데이타!$A$8:$BV$103,COLUMN(기본데이타!BS$8),0))</f>
        <v/>
      </c>
      <c r="AF86" s="524" t="str">
        <f>IF($A86="","",VLOOKUP($A86,기본데이타!$A$8:$BV$103,COLUMN(기본데이타!BT$8),0))</f>
        <v/>
      </c>
      <c r="AG86" s="432" t="str">
        <f>IF($A86="","",VLOOKUP($A86,기본데이타!$A$8:$BV$103,COLUMN(기본데이타!BU$8),0))</f>
        <v/>
      </c>
      <c r="AH86" s="18" t="str">
        <f t="shared" si="21"/>
        <v/>
      </c>
    </row>
    <row r="87" spans="1:35" s="187" customFormat="1" ht="35.1" hidden="1" customHeight="1">
      <c r="A87" s="189"/>
      <c r="C87" s="190"/>
      <c r="D87" s="8" t="str">
        <f>IF($A87="","",VLOOKUP($A87,기본데이타!$A$8:$BV$103,COLUMN(기본데이타!F$8),0))</f>
        <v/>
      </c>
      <c r="E87" s="252" t="str">
        <f>IF($A87="","",VLOOKUP($A87,기본데이타!$A$8:$BV$103,COLUMN(기본데이타!G$8),0))</f>
        <v/>
      </c>
      <c r="F87" s="15" t="str">
        <f>IF($A87="","",VLOOKUP($A87,기본데이타!$A$8:$BV$103,COLUMN(기본데이타!H$8),0))</f>
        <v/>
      </c>
      <c r="G87" s="15" t="str">
        <f>IF($A87="","",VLOOKUP($A87,기본데이타!$A$8:$BV$103,COLUMN(기본데이타!I$8),0))</f>
        <v/>
      </c>
      <c r="H87" s="15" t="str">
        <f>IF($A87="","",VLOOKUP($A87,기본데이타!$A$8:$BV$103,COLUMN(기본데이타!J$8),0))</f>
        <v/>
      </c>
      <c r="I87" s="17" t="str">
        <f>IF($A87="","",VLOOKUP($A87,기본데이타!$A$8:$BV$103,COLUMN(기본데이타!AJ$8),0))</f>
        <v/>
      </c>
      <c r="J87" s="387" t="str">
        <f>IF($A87="","",VLOOKUP($A87,기본데이타!$A$8:$BV$103,COLUMN(기본데이타!AK$8),0))</f>
        <v/>
      </c>
      <c r="K87" s="387" t="str">
        <f>IF($A87="","",VLOOKUP($A87,기본데이타!$A$8:$BV$103,COLUMN(기본데이타!AL$8),0))</f>
        <v/>
      </c>
      <c r="L87" s="387" t="str">
        <f>IF($A87="","",VLOOKUP($A87,기본데이타!$A$8:$BV$103,COLUMN(기본데이타!AM$8),0))</f>
        <v/>
      </c>
      <c r="M87" s="387" t="str">
        <f>IF($A87="","",VLOOKUP($A87,기본데이타!$A$8:$BV$103,COLUMN(기본데이타!AN$8),0))</f>
        <v/>
      </c>
      <c r="N87" s="387" t="str">
        <f>IF($A87="","",VLOOKUP($A87,기본데이타!$A$8:$BV$103,COLUMN(기본데이타!AO$8),0))</f>
        <v/>
      </c>
      <c r="O87" s="387" t="str">
        <f>IF($A87="","",VLOOKUP($A87,기본데이타!$A$8:$BV$103,COLUMN(기본데이타!AP$8),0))</f>
        <v/>
      </c>
      <c r="P87" s="387" t="str">
        <f>IF($A87="","",VLOOKUP($A87,기본데이타!$A$8:$BV$103,COLUMN(기본데이타!AQ$8),0))</f>
        <v/>
      </c>
      <c r="Q87" s="387" t="str">
        <f>IF($A87="","",VLOOKUP($A87,기본데이타!$A$8:$BV$103,COLUMN(기본데이타!AR$8),0))</f>
        <v/>
      </c>
      <c r="R87" s="387" t="str">
        <f>IF($A87="","",VLOOKUP($A87,기본데이타!$A$8:$BV$103,COLUMN(기본데이타!AS$8),0))</f>
        <v/>
      </c>
      <c r="S87" s="387" t="str">
        <f>IF($A87="","",VLOOKUP($A87,기본데이타!$A$8:$BV$103,COLUMN(기본데이타!AT$8),0))</f>
        <v/>
      </c>
      <c r="T87" s="387" t="str">
        <f>IF($A87="","",VLOOKUP($A87,기본데이타!$A$8:$BV$103,COLUMN(기본데이타!AU$8),0))</f>
        <v/>
      </c>
      <c r="U87" s="387" t="str">
        <f>IF($A87="","",VLOOKUP($A87,기본데이타!$A$8:$BV$103,COLUMN(기본데이타!AV$8),0))</f>
        <v/>
      </c>
      <c r="V87" s="16" t="str">
        <f>IF($A87="","",VLOOKUP($A87,기본데이타!$A$8:$BV$103,COLUMN(기본데이타!AW$8),0))</f>
        <v/>
      </c>
      <c r="W87" s="16" t="str">
        <f>IF($A87="","",VLOOKUP($A87,기본데이타!$A$8:$BV$103,COLUMN(기본데이타!AX$8),0))</f>
        <v/>
      </c>
      <c r="X87" s="16" t="str">
        <f>IF($A87="","",VLOOKUP($A87,기본데이타!$A$8:$BV$103,COLUMN(기본데이타!AY$8),0))</f>
        <v/>
      </c>
      <c r="Y87" s="16" t="str">
        <f>IF($A87="","",VLOOKUP($A87,기본데이타!$A$8:$BV$103,COLUMN(기본데이타!AZ$8),0))</f>
        <v/>
      </c>
      <c r="Z87" s="17" t="str">
        <f>IF($A87="","",VLOOKUP($A87,기본데이타!$A$8:$BV$103,COLUMN(기본데이타!BN$8),0))</f>
        <v/>
      </c>
      <c r="AA87" s="17" t="str">
        <f>IF($A87="","",VLOOKUP($A87,기본데이타!$A$8:$BV$103,COLUMN(기본데이타!BO$8),0))</f>
        <v/>
      </c>
      <c r="AB87" s="17" t="str">
        <f>IF($A87="","",VLOOKUP($A87,기본데이타!$A$8:$BV$103,COLUMN(기본데이타!BP$8),0))</f>
        <v/>
      </c>
      <c r="AC87" s="17" t="str">
        <f>IF($A87="","",VLOOKUP($A87,기본데이타!$A$8:$BV$103,COLUMN(기본데이타!BQ$8),0))</f>
        <v/>
      </c>
      <c r="AD87" s="17" t="str">
        <f>IF($A87="","",VLOOKUP($A87,기본데이타!$A$8:$BV$103,COLUMN(기본데이타!BR$8),0))</f>
        <v/>
      </c>
      <c r="AE87" s="17" t="str">
        <f>IF($A87="","",VLOOKUP($A87,기본데이타!$A$8:$BV$103,COLUMN(기본데이타!BS$8),0))</f>
        <v/>
      </c>
      <c r="AF87" s="524" t="str">
        <f>IF($A87="","",VLOOKUP($A87,기본데이타!$A$8:$BV$103,COLUMN(기본데이타!BT$8),0))</f>
        <v/>
      </c>
      <c r="AG87" s="432" t="str">
        <f>IF($A87="","",VLOOKUP($A87,기본데이타!$A$8:$BV$103,COLUMN(기본데이타!BU$8),0))</f>
        <v/>
      </c>
      <c r="AH87" s="18" t="str">
        <f t="shared" si="21"/>
        <v/>
      </c>
    </row>
    <row r="88" spans="1:35" s="187" customFormat="1" ht="35.1" hidden="1" customHeight="1">
      <c r="A88" s="189"/>
      <c r="C88" s="190"/>
      <c r="D88" s="8" t="str">
        <f>IF($A88="","",VLOOKUP($A88,기본데이타!$A$8:$BV$103,COLUMN(기본데이타!F$8),0))</f>
        <v/>
      </c>
      <c r="E88" s="252" t="str">
        <f>IF($A88="","",VLOOKUP($A88,기본데이타!$A$8:$BV$103,COLUMN(기본데이타!G$8),0))</f>
        <v/>
      </c>
      <c r="F88" s="15" t="str">
        <f>IF($A88="","",VLOOKUP($A88,기본데이타!$A$8:$BV$103,COLUMN(기본데이타!H$8),0))</f>
        <v/>
      </c>
      <c r="G88" s="15" t="str">
        <f>IF($A88="","",VLOOKUP($A88,기본데이타!$A$8:$BV$103,COLUMN(기본데이타!I$8),0))</f>
        <v/>
      </c>
      <c r="H88" s="15" t="str">
        <f>IF($A88="","",VLOOKUP($A88,기본데이타!$A$8:$BV$103,COLUMN(기본데이타!J$8),0))</f>
        <v/>
      </c>
      <c r="I88" s="17" t="str">
        <f>IF($A88="","",VLOOKUP($A88,기본데이타!$A$8:$BV$103,COLUMN(기본데이타!AJ$8),0))</f>
        <v/>
      </c>
      <c r="J88" s="380" t="str">
        <f>IF($A88="","",VLOOKUP($A88,기본데이타!$A$8:$BV$103,COLUMN(기본데이타!AK$8),0))</f>
        <v/>
      </c>
      <c r="K88" s="380" t="str">
        <f>IF($A88="","",VLOOKUP($A88,기본데이타!$A$8:$BV$103,COLUMN(기본데이타!AL$8),0))</f>
        <v/>
      </c>
      <c r="L88" s="380" t="str">
        <f>IF($A88="","",VLOOKUP($A88,기본데이타!$A$8:$BV$103,COLUMN(기본데이타!AM$8),0))</f>
        <v/>
      </c>
      <c r="M88" s="380" t="str">
        <f>IF($A88="","",VLOOKUP($A88,기본데이타!$A$8:$BV$103,COLUMN(기본데이타!AN$8),0))</f>
        <v/>
      </c>
      <c r="N88" s="380" t="str">
        <f>IF($A88="","",VLOOKUP($A88,기본데이타!$A$8:$BV$103,COLUMN(기본데이타!AO$8),0))</f>
        <v/>
      </c>
      <c r="O88" s="380" t="str">
        <f>IF($A88="","",VLOOKUP($A88,기본데이타!$A$8:$BV$103,COLUMN(기본데이타!AP$8),0))</f>
        <v/>
      </c>
      <c r="P88" s="380" t="str">
        <f>IF($A88="","",VLOOKUP($A88,기본데이타!$A$8:$BV$103,COLUMN(기본데이타!AQ$8),0))</f>
        <v/>
      </c>
      <c r="Q88" s="380" t="str">
        <f>IF($A88="","",VLOOKUP($A88,기본데이타!$A$8:$BV$103,COLUMN(기본데이타!AR$8),0))</f>
        <v/>
      </c>
      <c r="R88" s="380" t="str">
        <f>IF($A88="","",VLOOKUP($A88,기본데이타!$A$8:$BV$103,COLUMN(기본데이타!AS$8),0))</f>
        <v/>
      </c>
      <c r="S88" s="380" t="str">
        <f>IF($A88="","",VLOOKUP($A88,기본데이타!$A$8:$BV$103,COLUMN(기본데이타!AT$8),0))</f>
        <v/>
      </c>
      <c r="T88" s="380" t="str">
        <f>IF($A88="","",VLOOKUP($A88,기본데이타!$A$8:$BV$103,COLUMN(기본데이타!AU$8),0))</f>
        <v/>
      </c>
      <c r="U88" s="380" t="str">
        <f>IF($A88="","",VLOOKUP($A88,기본데이타!$A$8:$BV$103,COLUMN(기본데이타!AV$8),0))</f>
        <v/>
      </c>
      <c r="V88" s="16" t="str">
        <f>IF($A88="","",VLOOKUP($A88,기본데이타!$A$8:$BV$103,COLUMN(기본데이타!AW$8),0))</f>
        <v/>
      </c>
      <c r="W88" s="16" t="str">
        <f>IF($A88="","",VLOOKUP($A88,기본데이타!$A$8:$BV$103,COLUMN(기본데이타!AX$8),0))</f>
        <v/>
      </c>
      <c r="X88" s="16" t="str">
        <f>IF($A88="","",VLOOKUP($A88,기본데이타!$A$8:$BV$103,COLUMN(기본데이타!AY$8),0))</f>
        <v/>
      </c>
      <c r="Y88" s="16" t="str">
        <f>IF($A88="","",VLOOKUP($A88,기본데이타!$A$8:$BV$103,COLUMN(기본데이타!AZ$8),0))</f>
        <v/>
      </c>
      <c r="Z88" s="17" t="str">
        <f>IF($A88="","",VLOOKUP($A88,기본데이타!$A$8:$BV$103,COLUMN(기본데이타!BN$8),0))</f>
        <v/>
      </c>
      <c r="AA88" s="17" t="str">
        <f>IF($A88="","",VLOOKUP($A88,기본데이타!$A$8:$BV$103,COLUMN(기본데이타!BO$8),0))</f>
        <v/>
      </c>
      <c r="AB88" s="17" t="str">
        <f>IF($A88="","",VLOOKUP($A88,기본데이타!$A$8:$BV$103,COLUMN(기본데이타!BP$8),0))</f>
        <v/>
      </c>
      <c r="AC88" s="17" t="str">
        <f>IF($A88="","",VLOOKUP($A88,기본데이타!$A$8:$BV$103,COLUMN(기본데이타!BQ$8),0))</f>
        <v/>
      </c>
      <c r="AD88" s="17" t="str">
        <f>IF($A88="","",VLOOKUP($A88,기본데이타!$A$8:$BV$103,COLUMN(기본데이타!BR$8),0))</f>
        <v/>
      </c>
      <c r="AE88" s="17" t="str">
        <f>IF($A88="","",VLOOKUP($A88,기본데이타!$A$8:$BV$103,COLUMN(기본데이타!BS$8),0))</f>
        <v/>
      </c>
      <c r="AF88" s="524" t="str">
        <f>IF($A88="","",VLOOKUP($A88,기본데이타!$A$8:$BV$103,COLUMN(기본데이타!BT$8),0))</f>
        <v/>
      </c>
      <c r="AG88" s="432" t="str">
        <f>IF($A88="","",VLOOKUP($A88,기본데이타!$A$8:$BV$103,COLUMN(기본데이타!BU$8),0))</f>
        <v/>
      </c>
      <c r="AH88" s="18" t="str">
        <f t="shared" si="21"/>
        <v/>
      </c>
    </row>
    <row r="89" spans="1:35" s="187" customFormat="1" ht="35.1" hidden="1" customHeight="1">
      <c r="A89" s="189"/>
      <c r="C89" s="190"/>
      <c r="D89" s="8" t="str">
        <f>IF($A89="","",VLOOKUP($A89,기본데이타!$A$8:$BV$103,COLUMN(기본데이타!F$8),0))</f>
        <v/>
      </c>
      <c r="E89" s="252" t="str">
        <f>IF($A89="","",VLOOKUP($A89,기본데이타!$A$8:$BV$103,COLUMN(기본데이타!G$8),0))</f>
        <v/>
      </c>
      <c r="F89" s="9" t="str">
        <f>IF($A89="","",VLOOKUP($A89,기본데이타!$A$8:$BV$103,COLUMN(기본데이타!H$8),0))</f>
        <v/>
      </c>
      <c r="G89" s="9" t="str">
        <f>IF($A89="","",VLOOKUP($A89,기본데이타!$A$8:$BV$103,COLUMN(기본데이타!I$8),0))</f>
        <v/>
      </c>
      <c r="H89" s="9" t="str">
        <f>IF($A89="","",VLOOKUP($A89,기본데이타!$A$8:$BV$103,COLUMN(기본데이타!J$8),0))</f>
        <v/>
      </c>
      <c r="I89" s="17" t="str">
        <f>IF($A89="","",VLOOKUP($A89,기본데이타!$A$8:$BV$103,COLUMN(기본데이타!AJ$8),0))</f>
        <v/>
      </c>
      <c r="J89" s="381" t="str">
        <f>IF($A89="","",VLOOKUP($A89,기본데이타!$A$8:$BV$103,COLUMN(기본데이타!AK$8),0))</f>
        <v/>
      </c>
      <c r="K89" s="381" t="str">
        <f>IF($A89="","",VLOOKUP($A89,기본데이타!$A$8:$BV$103,COLUMN(기본데이타!AL$8),0))</f>
        <v/>
      </c>
      <c r="L89" s="381" t="str">
        <f>IF($A89="","",VLOOKUP($A89,기본데이타!$A$8:$BV$103,COLUMN(기본데이타!AM$8),0))</f>
        <v/>
      </c>
      <c r="M89" s="381" t="str">
        <f>IF($A89="","",VLOOKUP($A89,기본데이타!$A$8:$BV$103,COLUMN(기본데이타!AN$8),0))</f>
        <v/>
      </c>
      <c r="N89" s="381" t="str">
        <f>IF($A89="","",VLOOKUP($A89,기본데이타!$A$8:$BV$103,COLUMN(기본데이타!AO$8),0))</f>
        <v/>
      </c>
      <c r="O89" s="381" t="str">
        <f>IF($A89="","",VLOOKUP($A89,기본데이타!$A$8:$BV$103,COLUMN(기본데이타!AP$8),0))</f>
        <v/>
      </c>
      <c r="P89" s="381" t="str">
        <f>IF($A89="","",VLOOKUP($A89,기본데이타!$A$8:$BV$103,COLUMN(기본데이타!AQ$8),0))</f>
        <v/>
      </c>
      <c r="Q89" s="381" t="str">
        <f>IF($A89="","",VLOOKUP($A89,기본데이타!$A$8:$BV$103,COLUMN(기본데이타!AR$8),0))</f>
        <v/>
      </c>
      <c r="R89" s="381" t="str">
        <f>IF($A89="","",VLOOKUP($A89,기본데이타!$A$8:$BV$103,COLUMN(기본데이타!AS$8),0))</f>
        <v/>
      </c>
      <c r="S89" s="381" t="str">
        <f>IF($A89="","",VLOOKUP($A89,기본데이타!$A$8:$BV$103,COLUMN(기본데이타!AT$8),0))</f>
        <v/>
      </c>
      <c r="T89" s="381" t="str">
        <f>IF($A89="","",VLOOKUP($A89,기본데이타!$A$8:$BV$103,COLUMN(기본데이타!AU$8),0))</f>
        <v/>
      </c>
      <c r="U89" s="381" t="str">
        <f>IF($A89="","",VLOOKUP($A89,기본데이타!$A$8:$BV$103,COLUMN(기본데이타!AV$8),0))</f>
        <v/>
      </c>
      <c r="V89" s="16" t="str">
        <f>IF($A89="","",VLOOKUP($A89,기본데이타!$A$8:$BV$103,COLUMN(기본데이타!AW$8),0))</f>
        <v/>
      </c>
      <c r="W89" s="16" t="str">
        <f>IF($A89="","",VLOOKUP($A89,기본데이타!$A$8:$BV$103,COLUMN(기본데이타!AX$8),0))</f>
        <v/>
      </c>
      <c r="X89" s="16" t="str">
        <f>IF($A89="","",VLOOKUP($A89,기본데이타!$A$8:$BV$103,COLUMN(기본데이타!AY$8),0))</f>
        <v/>
      </c>
      <c r="Y89" s="16" t="str">
        <f>IF($A89="","",VLOOKUP($A89,기본데이타!$A$8:$BV$103,COLUMN(기본데이타!AZ$8),0))</f>
        <v/>
      </c>
      <c r="Z89" s="17" t="str">
        <f>IF($A89="","",VLOOKUP($A89,기본데이타!$A$8:$BV$103,COLUMN(기본데이타!BN$8),0))</f>
        <v/>
      </c>
      <c r="AA89" s="17" t="str">
        <f>IF($A89="","",VLOOKUP($A89,기본데이타!$A$8:$BV$103,COLUMN(기본데이타!BO$8),0))</f>
        <v/>
      </c>
      <c r="AB89" s="17" t="str">
        <f>IF($A89="","",VLOOKUP($A89,기본데이타!$A$8:$BV$103,COLUMN(기본데이타!BP$8),0))</f>
        <v/>
      </c>
      <c r="AC89" s="17" t="str">
        <f>IF($A89="","",VLOOKUP($A89,기본데이타!$A$8:$BV$103,COLUMN(기본데이타!BQ$8),0))</f>
        <v/>
      </c>
      <c r="AD89" s="17" t="str">
        <f>IF($A89="","",VLOOKUP($A89,기본데이타!$A$8:$BV$103,COLUMN(기본데이타!BR$8),0))</f>
        <v/>
      </c>
      <c r="AE89" s="17" t="str">
        <f>IF($A89="","",VLOOKUP($A89,기본데이타!$A$8:$BV$103,COLUMN(기본데이타!BS$8),0))</f>
        <v/>
      </c>
      <c r="AF89" s="524" t="str">
        <f>IF($A89="","",VLOOKUP($A89,기본데이타!$A$8:$BV$103,COLUMN(기본데이타!BT$8),0))</f>
        <v/>
      </c>
      <c r="AG89" s="432" t="str">
        <f>IF($A89="","",VLOOKUP($A89,기본데이타!$A$8:$BV$103,COLUMN(기본데이타!BU$8),0))</f>
        <v/>
      </c>
      <c r="AH89" s="18" t="str">
        <f t="shared" si="21"/>
        <v/>
      </c>
    </row>
    <row r="90" spans="1:35" s="187" customFormat="1" ht="35.1" hidden="1" customHeight="1">
      <c r="A90" s="189"/>
      <c r="C90" s="1283"/>
      <c r="D90" s="191" t="str">
        <f>IF($A90="","",VLOOKUP($A90,기본데이타!$A$8:$BV$103,COLUMN(기본데이타!F$8),0))</f>
        <v/>
      </c>
      <c r="E90" s="1091" t="str">
        <f>IF($A90="","",VLOOKUP($A90,기본데이타!$A$8:$BV$103,COLUMN(기본데이타!G$8),0))</f>
        <v/>
      </c>
      <c r="F90" s="1092" t="str">
        <f>IF($A90="","",VLOOKUP($A90,기본데이타!$A$8:$BV$103,COLUMN(기본데이타!H$8),0))</f>
        <v/>
      </c>
      <c r="G90" s="1092" t="str">
        <f>IF($A90="","",VLOOKUP($A90,기본데이타!$A$8:$BV$103,COLUMN(기본데이타!I$8),0))</f>
        <v/>
      </c>
      <c r="H90" s="1092" t="str">
        <f>IF($A90="","",VLOOKUP($A90,기본데이타!$A$8:$BV$103,COLUMN(기본데이타!J$8),0))</f>
        <v/>
      </c>
      <c r="I90" s="1093" t="str">
        <f>IF($A90="","",VLOOKUP($A90,기본데이타!$A$8:$BV$103,COLUMN(기본데이타!AJ$8),0))</f>
        <v/>
      </c>
      <c r="J90" s="1284" t="str">
        <f>IF($A90="","",VLOOKUP($A90,기본데이타!$A$8:$BV$103,COLUMN(기본데이타!AK$8),0))</f>
        <v/>
      </c>
      <c r="K90" s="1284" t="str">
        <f>IF($A90="","",VLOOKUP($A90,기본데이타!$A$8:$BV$103,COLUMN(기본데이타!AL$8),0))</f>
        <v/>
      </c>
      <c r="L90" s="1284" t="str">
        <f>IF($A90="","",VLOOKUP($A90,기본데이타!$A$8:$BV$103,COLUMN(기본데이타!AM$8),0))</f>
        <v/>
      </c>
      <c r="M90" s="1284" t="str">
        <f>IF($A90="","",VLOOKUP($A90,기본데이타!$A$8:$BV$103,COLUMN(기본데이타!AN$8),0))</f>
        <v/>
      </c>
      <c r="N90" s="1284" t="str">
        <f>IF($A90="","",VLOOKUP($A90,기본데이타!$A$8:$BV$103,COLUMN(기본데이타!AO$8),0))</f>
        <v/>
      </c>
      <c r="O90" s="1284" t="str">
        <f>IF($A90="","",VLOOKUP($A90,기본데이타!$A$8:$BV$103,COLUMN(기본데이타!AP$8),0))</f>
        <v/>
      </c>
      <c r="P90" s="1284" t="str">
        <f>IF($A90="","",VLOOKUP($A90,기본데이타!$A$8:$BV$103,COLUMN(기본데이타!AQ$8),0))</f>
        <v/>
      </c>
      <c r="Q90" s="1284" t="str">
        <f>IF($A90="","",VLOOKUP($A90,기본데이타!$A$8:$BV$103,COLUMN(기본데이타!AR$8),0))</f>
        <v/>
      </c>
      <c r="R90" s="1284" t="str">
        <f>IF($A90="","",VLOOKUP($A90,기본데이타!$A$8:$BV$103,COLUMN(기본데이타!AS$8),0))</f>
        <v/>
      </c>
      <c r="S90" s="1284" t="str">
        <f>IF($A90="","",VLOOKUP($A90,기본데이타!$A$8:$BV$103,COLUMN(기본데이타!AT$8),0))</f>
        <v/>
      </c>
      <c r="T90" s="1284" t="str">
        <f>IF($A90="","",VLOOKUP($A90,기본데이타!$A$8:$BV$103,COLUMN(기본데이타!AU$8),0))</f>
        <v/>
      </c>
      <c r="U90" s="1284" t="str">
        <f>IF($A90="","",VLOOKUP($A90,기본데이타!$A$8:$BV$103,COLUMN(기본데이타!AV$8),0))</f>
        <v/>
      </c>
      <c r="V90" s="1094" t="str">
        <f>IF($A90="","",VLOOKUP($A90,기본데이타!$A$8:$BV$103,COLUMN(기본데이타!AW$8),0))</f>
        <v/>
      </c>
      <c r="W90" s="1094" t="str">
        <f>IF($A90="","",VLOOKUP($A90,기본데이타!$A$8:$BV$103,COLUMN(기본데이타!AX$8),0))</f>
        <v/>
      </c>
      <c r="X90" s="1094" t="str">
        <f>IF($A90="","",VLOOKUP($A90,기본데이타!$A$8:$BV$103,COLUMN(기본데이타!AY$8),0))</f>
        <v/>
      </c>
      <c r="Y90" s="1094" t="str">
        <f>IF($A90="","",VLOOKUP($A90,기본데이타!$A$8:$BV$103,COLUMN(기본데이타!AZ$8),0))</f>
        <v/>
      </c>
      <c r="Z90" s="1093" t="str">
        <f>IF($A90="","",VLOOKUP($A90,기본데이타!$A$8:$BV$103,COLUMN(기본데이타!BN$8),0))</f>
        <v/>
      </c>
      <c r="AA90" s="1093" t="str">
        <f>IF($A90="","",VLOOKUP($A90,기본데이타!$A$8:$BV$103,COLUMN(기본데이타!BO$8),0))</f>
        <v/>
      </c>
      <c r="AB90" s="1093" t="str">
        <f>IF($A90="","",VLOOKUP($A90,기본데이타!$A$8:$BV$103,COLUMN(기본데이타!BP$8),0))</f>
        <v/>
      </c>
      <c r="AC90" s="1093" t="str">
        <f>IF($A90="","",VLOOKUP($A90,기본데이타!$A$8:$BV$103,COLUMN(기본데이타!BQ$8),0))</f>
        <v/>
      </c>
      <c r="AD90" s="1093" t="str">
        <f>IF($A90="","",VLOOKUP($A90,기본데이타!$A$8:$BV$103,COLUMN(기본데이타!BR$8),0))</f>
        <v/>
      </c>
      <c r="AE90" s="1093" t="str">
        <f>IF($A90="","",VLOOKUP($A90,기본데이타!$A$8:$BV$103,COLUMN(기본데이타!BS$8),0))</f>
        <v/>
      </c>
      <c r="AF90" s="1095" t="str">
        <f>IF($A90="","",VLOOKUP($A90,기본데이타!$A$8:$BV$103,COLUMN(기본데이타!BT$8),0))</f>
        <v/>
      </c>
      <c r="AG90" s="1096" t="str">
        <f>IF($A90="","",VLOOKUP($A90,기본데이타!$A$8:$BV$103,COLUMN(기본데이타!BU$8),0))</f>
        <v/>
      </c>
      <c r="AH90" s="1097" t="str">
        <f t="shared" ref="AH90" si="22">IF(A90="","",A90)</f>
        <v/>
      </c>
    </row>
    <row r="91" spans="1:35" s="187" customFormat="1" ht="35.1" hidden="1" customHeight="1" thickBot="1">
      <c r="A91" s="189"/>
      <c r="C91" s="306"/>
      <c r="D91" s="1701">
        <f>COUNTA(A45:A89)</f>
        <v>0</v>
      </c>
      <c r="E91" s="1702">
        <f t="shared" ref="E91:AC91" si="23">SUM(E45:E89)</f>
        <v>0</v>
      </c>
      <c r="F91" s="1739">
        <f t="shared" si="23"/>
        <v>0</v>
      </c>
      <c r="G91" s="1739">
        <f t="shared" si="23"/>
        <v>0</v>
      </c>
      <c r="H91" s="1739">
        <f t="shared" si="23"/>
        <v>0</v>
      </c>
      <c r="I91" s="1705">
        <f t="shared" si="23"/>
        <v>0</v>
      </c>
      <c r="J91" s="1740">
        <f>SUM(J45:J89)</f>
        <v>0</v>
      </c>
      <c r="K91" s="1740">
        <f t="shared" ref="K91:U91" si="24">SUM(K45:K89)</f>
        <v>0</v>
      </c>
      <c r="L91" s="1740">
        <f t="shared" si="24"/>
        <v>0</v>
      </c>
      <c r="M91" s="1740">
        <f t="shared" si="24"/>
        <v>0</v>
      </c>
      <c r="N91" s="1740">
        <f t="shared" si="24"/>
        <v>0</v>
      </c>
      <c r="O91" s="1740">
        <f t="shared" si="24"/>
        <v>0</v>
      </c>
      <c r="P91" s="1740">
        <f t="shared" si="24"/>
        <v>0</v>
      </c>
      <c r="Q91" s="1740">
        <f t="shared" si="24"/>
        <v>0</v>
      </c>
      <c r="R91" s="1740">
        <f t="shared" ref="R91:S91" si="25">SUM(R45:R89)</f>
        <v>0</v>
      </c>
      <c r="S91" s="1740">
        <f t="shared" si="25"/>
        <v>0</v>
      </c>
      <c r="T91" s="1740">
        <f t="shared" ref="T91" si="26">SUM(T45:T89)</f>
        <v>0</v>
      </c>
      <c r="U91" s="1740">
        <f t="shared" si="24"/>
        <v>0</v>
      </c>
      <c r="V91" s="1707">
        <f t="shared" si="23"/>
        <v>0</v>
      </c>
      <c r="W91" s="1707">
        <f t="shared" si="23"/>
        <v>0</v>
      </c>
      <c r="X91" s="1707">
        <f t="shared" si="23"/>
        <v>0</v>
      </c>
      <c r="Y91" s="1707">
        <f t="shared" si="23"/>
        <v>0</v>
      </c>
      <c r="Z91" s="1705">
        <f t="shared" si="23"/>
        <v>0</v>
      </c>
      <c r="AA91" s="1705">
        <f t="shared" si="23"/>
        <v>0</v>
      </c>
      <c r="AB91" s="1705">
        <f t="shared" si="23"/>
        <v>0</v>
      </c>
      <c r="AC91" s="1705">
        <f t="shared" si="23"/>
        <v>0</v>
      </c>
      <c r="AD91" s="1708"/>
      <c r="AE91" s="1709">
        <f>IF(COUNTA(AE45:AE89)=1,AE45,용도별분석!BQ17)</f>
        <v>217598614.96861136</v>
      </c>
      <c r="AF91" s="1741">
        <f>용도별분석!BR17</f>
        <v>128.23466448150577</v>
      </c>
      <c r="AG91" s="1711">
        <f>용도별분석!BS17</f>
        <v>850</v>
      </c>
      <c r="AH91" s="1712" t="str">
        <f t="shared" ref="AH91:AH149" si="27">IF(A91="","",A91)</f>
        <v/>
      </c>
      <c r="AI91" s="264">
        <f>AE91-SUM(AE45:AE89)</f>
        <v>217598614.96861136</v>
      </c>
    </row>
    <row r="92" spans="1:35" s="187" customFormat="1" ht="34.5" hidden="1" customHeight="1">
      <c r="A92" s="189"/>
      <c r="C92" s="190" t="s">
        <v>408</v>
      </c>
      <c r="D92" s="191" t="str">
        <f>IF($A92="","",VLOOKUP($A92,기본데이타!$A$8:$BV$103,COLUMN(기본데이타!F$8),0))</f>
        <v/>
      </c>
      <c r="E92" s="305" t="str">
        <f>IF($A92="","",VLOOKUP($A92,기본데이타!$A$8:$BV$103,COLUMN(기본데이타!G$8),0))</f>
        <v/>
      </c>
      <c r="F92" s="301" t="str">
        <f>IF($A92="","",VLOOKUP($A92,기본데이타!$A$8:$BV$103,COLUMN(기본데이타!H$8),0))</f>
        <v/>
      </c>
      <c r="G92" s="301" t="str">
        <f>IF($A92="","",VLOOKUP($A92,기본데이타!$A$8:$BV$103,COLUMN(기본데이타!I$8),0))</f>
        <v/>
      </c>
      <c r="H92" s="301" t="str">
        <f>IF($A92="","",VLOOKUP($A92,기본데이타!$A$8:$BV$103,COLUMN(기본데이타!J$8),0))</f>
        <v/>
      </c>
      <c r="I92" s="303" t="str">
        <f>IF($A92="","",VLOOKUP($A92,기본데이타!$A$8:$BV$103,COLUMN(기본데이타!AJ$8),0))</f>
        <v/>
      </c>
      <c r="J92" s="1738" t="str">
        <f>IF($A92="","",VLOOKUP($A92,기본데이타!$A$8:$BV$103,COLUMN(기본데이타!AK$8),0))</f>
        <v/>
      </c>
      <c r="K92" s="1738" t="str">
        <f>IF($A92="","",VLOOKUP($A92,기본데이타!$A$8:$BV$103,COLUMN(기본데이타!AL$8),0))</f>
        <v/>
      </c>
      <c r="L92" s="1738" t="str">
        <f>IF($A92="","",VLOOKUP($A92,기본데이타!$A$8:$BV$103,COLUMN(기본데이타!AM$8),0))</f>
        <v/>
      </c>
      <c r="M92" s="1738" t="str">
        <f>IF($A92="","",VLOOKUP($A92,기본데이타!$A$8:$BV$103,COLUMN(기본데이타!AN$8),0))</f>
        <v/>
      </c>
      <c r="N92" s="1738" t="str">
        <f>IF($A92="","",VLOOKUP($A92,기본데이타!$A$8:$BV$103,COLUMN(기본데이타!AO$8),0))</f>
        <v/>
      </c>
      <c r="O92" s="1738" t="str">
        <f>IF($A92="","",VLOOKUP($A92,기본데이타!$A$8:$BV$103,COLUMN(기본데이타!AP$8),0))</f>
        <v/>
      </c>
      <c r="P92" s="1738" t="str">
        <f>IF($A92="","",VLOOKUP($A92,기본데이타!$A$8:$BV$103,COLUMN(기본데이타!AQ$8),0))</f>
        <v/>
      </c>
      <c r="Q92" s="1738" t="str">
        <f>IF($A92="","",VLOOKUP($A92,기본데이타!$A$8:$BV$103,COLUMN(기본데이타!AR$8),0))</f>
        <v/>
      </c>
      <c r="R92" s="1738" t="str">
        <f>IF($A92="","",VLOOKUP($A92,기본데이타!$A$8:$BV$103,COLUMN(기본데이타!AS$8),0))</f>
        <v/>
      </c>
      <c r="S92" s="1738" t="str">
        <f>IF($A92="","",VLOOKUP($A92,기본데이타!$A$8:$BV$103,COLUMN(기본데이타!AT$8),0))</f>
        <v/>
      </c>
      <c r="T92" s="1738" t="str">
        <f>IF($A92="","",VLOOKUP($A92,기본데이타!$A$8:$BV$103,COLUMN(기본데이타!AU$8),0))</f>
        <v/>
      </c>
      <c r="U92" s="1738" t="str">
        <f>IF($A92="","",VLOOKUP($A92,기본데이타!$A$8:$BV$103,COLUMN(기본데이타!AV$8),0))</f>
        <v/>
      </c>
      <c r="V92" s="302" t="str">
        <f>IF($A92="","",VLOOKUP($A92,기본데이타!$A$8:$BV$103,COLUMN(기본데이타!AW$8),0))</f>
        <v/>
      </c>
      <c r="W92" s="302" t="str">
        <f>IF($A92="","",VLOOKUP($A92,기본데이타!$A$8:$BV$103,COLUMN(기본데이타!AX$8),0))</f>
        <v/>
      </c>
      <c r="X92" s="302" t="str">
        <f>IF($A92="","",VLOOKUP($A92,기본데이타!$A$8:$BV$103,COLUMN(기본데이타!AY$8),0))</f>
        <v/>
      </c>
      <c r="Y92" s="302" t="str">
        <f>IF($A92="","",VLOOKUP($A92,기본데이타!$A$8:$BV$103,COLUMN(기본데이타!AZ$8),0))</f>
        <v/>
      </c>
      <c r="Z92" s="303" t="str">
        <f>IF($A92="","",VLOOKUP($A92,기본데이타!$A$8:$BV$103,COLUMN(기본데이타!BN$8),0))</f>
        <v/>
      </c>
      <c r="AA92" s="303" t="str">
        <f>IF($A92="","",VLOOKUP($A92,기본데이타!$A$8:$BV$103,COLUMN(기본데이타!BO$8),0))</f>
        <v/>
      </c>
      <c r="AB92" s="303" t="str">
        <f>IF($A92="","",VLOOKUP($A92,기본데이타!$A$8:$BV$103,COLUMN(기본데이타!BP$8),0))</f>
        <v/>
      </c>
      <c r="AC92" s="303" t="str">
        <f>IF($A92="","",VLOOKUP($A92,기본데이타!$A$8:$BV$103,COLUMN(기본데이타!BQ$8),0))</f>
        <v/>
      </c>
      <c r="AD92" s="303" t="str">
        <f>IF($A92="","",VLOOKUP($A92,기본데이타!$A$8:$BV$103,COLUMN(기본데이타!BR$8),0))</f>
        <v/>
      </c>
      <c r="AE92" s="303" t="str">
        <f>IF($A92="","",VLOOKUP($A92,기본데이타!$A$8:$BV$103,COLUMN(기본데이타!BS$8),0))</f>
        <v/>
      </c>
      <c r="AF92" s="1177" t="str">
        <f>IF($A92="","",VLOOKUP($A92,기본데이타!$A$8:$BV$103,COLUMN(기본데이타!BT$8),0))</f>
        <v/>
      </c>
      <c r="AG92" s="436" t="str">
        <f>IF($A92="","",VLOOKUP($A92,기본데이타!$A$8:$BV$103,COLUMN(기본데이타!BU$8),0))</f>
        <v/>
      </c>
      <c r="AH92" s="304" t="str">
        <f t="shared" ref="AH92:AH104" si="28">IF(A92="","",A92)</f>
        <v/>
      </c>
    </row>
    <row r="93" spans="1:35" s="187" customFormat="1" ht="35.1" hidden="1" customHeight="1">
      <c r="A93" s="189"/>
      <c r="C93" s="190"/>
      <c r="D93" s="8" t="str">
        <f>IF($A93="","",VLOOKUP($A93,기본데이타!$A$8:$BV$103,COLUMN(기본데이타!F$8),0))</f>
        <v/>
      </c>
      <c r="E93" s="252" t="str">
        <f>IF($A93="","",VLOOKUP($A93,기본데이타!$A$8:$BV$103,COLUMN(기본데이타!G$8),0))</f>
        <v/>
      </c>
      <c r="F93" s="15" t="str">
        <f>IF($A93="","",VLOOKUP($A93,기본데이타!$A$8:$BV$103,COLUMN(기본데이타!H$8),0))</f>
        <v/>
      </c>
      <c r="G93" s="15" t="str">
        <f>IF($A93="","",VLOOKUP($A93,기본데이타!$A$8:$BV$103,COLUMN(기본데이타!I$8),0))</f>
        <v/>
      </c>
      <c r="H93" s="15" t="str">
        <f>IF($A93="","",VLOOKUP($A93,기본데이타!$A$8:$BV$103,COLUMN(기본데이타!J$8),0))</f>
        <v/>
      </c>
      <c r="I93" s="17" t="str">
        <f>IF($A93="","",VLOOKUP($A93,기본데이타!$A$8:$BV$103,COLUMN(기본데이타!AJ$8),0))</f>
        <v/>
      </c>
      <c r="J93" s="381" t="str">
        <f>IF($A93="","",VLOOKUP($A93,기본데이타!$A$8:$BV$103,COLUMN(기본데이타!AK$8),0))</f>
        <v/>
      </c>
      <c r="K93" s="381" t="str">
        <f>IF($A93="","",VLOOKUP($A93,기본데이타!$A$8:$BV$103,COLUMN(기본데이타!AL$8),0))</f>
        <v/>
      </c>
      <c r="L93" s="381" t="str">
        <f>IF($A93="","",VLOOKUP($A93,기본데이타!$A$8:$BV$103,COLUMN(기본데이타!AM$8),0))</f>
        <v/>
      </c>
      <c r="M93" s="381" t="str">
        <f>IF($A93="","",VLOOKUP($A93,기본데이타!$A$8:$BV$103,COLUMN(기본데이타!AN$8),0))</f>
        <v/>
      </c>
      <c r="N93" s="381" t="str">
        <f>IF($A93="","",VLOOKUP($A93,기본데이타!$A$8:$BV$103,COLUMN(기본데이타!AO$8),0))</f>
        <v/>
      </c>
      <c r="O93" s="381" t="str">
        <f>IF($A93="","",VLOOKUP($A93,기본데이타!$A$8:$BV$103,COLUMN(기본데이타!AP$8),0))</f>
        <v/>
      </c>
      <c r="P93" s="381" t="str">
        <f>IF($A93="","",VLOOKUP($A93,기본데이타!$A$8:$BV$103,COLUMN(기본데이타!AQ$8),0))</f>
        <v/>
      </c>
      <c r="Q93" s="381" t="str">
        <f>IF($A93="","",VLOOKUP($A93,기본데이타!$A$8:$BV$103,COLUMN(기본데이타!AR$8),0))</f>
        <v/>
      </c>
      <c r="R93" s="381" t="str">
        <f>IF($A93="","",VLOOKUP($A93,기본데이타!$A$8:$BV$103,COLUMN(기본데이타!AS$8),0))</f>
        <v/>
      </c>
      <c r="S93" s="381" t="str">
        <f>IF($A93="","",VLOOKUP($A93,기본데이타!$A$8:$BV$103,COLUMN(기본데이타!AT$8),0))</f>
        <v/>
      </c>
      <c r="T93" s="381" t="str">
        <f>IF($A93="","",VLOOKUP($A93,기본데이타!$A$8:$BV$103,COLUMN(기본데이타!AU$8),0))</f>
        <v/>
      </c>
      <c r="U93" s="381" t="str">
        <f>IF($A93="","",VLOOKUP($A93,기본데이타!$A$8:$BV$103,COLUMN(기본데이타!AV$8),0))</f>
        <v/>
      </c>
      <c r="V93" s="16" t="str">
        <f>IF($A93="","",VLOOKUP($A93,기본데이타!$A$8:$BV$103,COLUMN(기본데이타!AW$8),0))</f>
        <v/>
      </c>
      <c r="W93" s="16" t="str">
        <f>IF($A93="","",VLOOKUP($A93,기본데이타!$A$8:$BV$103,COLUMN(기본데이타!AX$8),0))</f>
        <v/>
      </c>
      <c r="X93" s="16" t="str">
        <f>IF($A93="","",VLOOKUP($A93,기본데이타!$A$8:$BV$103,COLUMN(기본데이타!AY$8),0))</f>
        <v/>
      </c>
      <c r="Y93" s="16" t="str">
        <f>IF($A93="","",VLOOKUP($A93,기본데이타!$A$8:$BV$103,COLUMN(기본데이타!AZ$8),0))</f>
        <v/>
      </c>
      <c r="Z93" s="17" t="str">
        <f>IF($A93="","",VLOOKUP($A93,기본데이타!$A$8:$BV$103,COLUMN(기본데이타!BN$8),0))</f>
        <v/>
      </c>
      <c r="AA93" s="17" t="str">
        <f>IF($A93="","",VLOOKUP($A93,기본데이타!$A$8:$BV$103,COLUMN(기본데이타!BO$8),0))</f>
        <v/>
      </c>
      <c r="AB93" s="17" t="str">
        <f>IF($A93="","",VLOOKUP($A93,기본데이타!$A$8:$BV$103,COLUMN(기본데이타!BP$8),0))</f>
        <v/>
      </c>
      <c r="AC93" s="17" t="str">
        <f>IF($A93="","",VLOOKUP($A93,기본데이타!$A$8:$BV$103,COLUMN(기본데이타!BQ$8),0))</f>
        <v/>
      </c>
      <c r="AD93" s="17" t="str">
        <f>IF($A93="","",VLOOKUP($A93,기본데이타!$A$8:$BV$103,COLUMN(기본데이타!BR$8),0))</f>
        <v/>
      </c>
      <c r="AE93" s="17" t="str">
        <f>IF($A93="","",VLOOKUP($A93,기본데이타!$A$8:$BV$103,COLUMN(기본데이타!BS$8),0))</f>
        <v/>
      </c>
      <c r="AF93" s="524" t="str">
        <f>IF($A93="","",VLOOKUP($A93,기본데이타!$A$8:$BV$103,COLUMN(기본데이타!BT$8),0))</f>
        <v/>
      </c>
      <c r="AG93" s="432" t="str">
        <f>IF($A93="","",VLOOKUP($A93,기본데이타!$A$8:$BV$103,COLUMN(기본데이타!BU$8),0))</f>
        <v/>
      </c>
      <c r="AH93" s="18" t="str">
        <f t="shared" si="28"/>
        <v/>
      </c>
    </row>
    <row r="94" spans="1:35" s="187" customFormat="1" ht="35.1" hidden="1" customHeight="1">
      <c r="A94" s="189"/>
      <c r="C94" s="190"/>
      <c r="D94" s="8" t="str">
        <f>IF($A94="","",VLOOKUP($A94,기본데이타!$A$8:$BV$103,COLUMN(기본데이타!F$8),0))</f>
        <v/>
      </c>
      <c r="E94" s="252" t="str">
        <f>IF($A94="","",VLOOKUP($A94,기본데이타!$A$8:$BV$103,COLUMN(기본데이타!G$8),0))</f>
        <v/>
      </c>
      <c r="F94" s="15" t="str">
        <f>IF($A94="","",VLOOKUP($A94,기본데이타!$A$8:$BV$103,COLUMN(기본데이타!H$8),0))</f>
        <v/>
      </c>
      <c r="G94" s="15" t="str">
        <f>IF($A94="","",VLOOKUP($A94,기본데이타!$A$8:$BV$103,COLUMN(기본데이타!I$8),0))</f>
        <v/>
      </c>
      <c r="H94" s="15" t="str">
        <f>IF($A94="","",VLOOKUP($A94,기본데이타!$A$8:$BV$103,COLUMN(기본데이타!J$8),0))</f>
        <v/>
      </c>
      <c r="I94" s="17" t="str">
        <f>IF($A94="","",VLOOKUP($A94,기본데이타!$A$8:$BV$103,COLUMN(기본데이타!AJ$8),0))</f>
        <v/>
      </c>
      <c r="J94" s="381" t="str">
        <f>IF($A94="","",VLOOKUP($A94,기본데이타!$A$8:$BV$103,COLUMN(기본데이타!AK$8),0))</f>
        <v/>
      </c>
      <c r="K94" s="381" t="str">
        <f>IF($A94="","",VLOOKUP($A94,기본데이타!$A$8:$BV$103,COLUMN(기본데이타!AL$8),0))</f>
        <v/>
      </c>
      <c r="L94" s="381" t="str">
        <f>IF($A94="","",VLOOKUP($A94,기본데이타!$A$8:$BV$103,COLUMN(기본데이타!AM$8),0))</f>
        <v/>
      </c>
      <c r="M94" s="381" t="str">
        <f>IF($A94="","",VLOOKUP($A94,기본데이타!$A$8:$BV$103,COLUMN(기본데이타!AN$8),0))</f>
        <v/>
      </c>
      <c r="N94" s="381" t="str">
        <f>IF($A94="","",VLOOKUP($A94,기본데이타!$A$8:$BV$103,COLUMN(기본데이타!AO$8),0))</f>
        <v/>
      </c>
      <c r="O94" s="381" t="str">
        <f>IF($A94="","",VLOOKUP($A94,기본데이타!$A$8:$BV$103,COLUMN(기본데이타!AP$8),0))</f>
        <v/>
      </c>
      <c r="P94" s="381" t="str">
        <f>IF($A94="","",VLOOKUP($A94,기본데이타!$A$8:$BV$103,COLUMN(기본데이타!AQ$8),0))</f>
        <v/>
      </c>
      <c r="Q94" s="381" t="str">
        <f>IF($A94="","",VLOOKUP($A94,기본데이타!$A$8:$BV$103,COLUMN(기본데이타!AR$8),0))</f>
        <v/>
      </c>
      <c r="R94" s="381" t="str">
        <f>IF($A94="","",VLOOKUP($A94,기본데이타!$A$8:$BV$103,COLUMN(기본데이타!AS$8),0))</f>
        <v/>
      </c>
      <c r="S94" s="381" t="str">
        <f>IF($A94="","",VLOOKUP($A94,기본데이타!$A$8:$BV$103,COLUMN(기본데이타!AT$8),0))</f>
        <v/>
      </c>
      <c r="T94" s="381" t="str">
        <f>IF($A94="","",VLOOKUP($A94,기본데이타!$A$8:$BV$103,COLUMN(기본데이타!AU$8),0))</f>
        <v/>
      </c>
      <c r="U94" s="381" t="str">
        <f>IF($A94="","",VLOOKUP($A94,기본데이타!$A$8:$BV$103,COLUMN(기본데이타!AV$8),0))</f>
        <v/>
      </c>
      <c r="V94" s="16" t="str">
        <f>IF($A94="","",VLOOKUP($A94,기본데이타!$A$8:$BV$103,COLUMN(기본데이타!AW$8),0))</f>
        <v/>
      </c>
      <c r="W94" s="16" t="str">
        <f>IF($A94="","",VLOOKUP($A94,기본데이타!$A$8:$BV$103,COLUMN(기본데이타!AX$8),0))</f>
        <v/>
      </c>
      <c r="X94" s="16" t="str">
        <f>IF($A94="","",VLOOKUP($A94,기본데이타!$A$8:$BV$103,COLUMN(기본데이타!AY$8),0))</f>
        <v/>
      </c>
      <c r="Y94" s="16" t="str">
        <f>IF($A94="","",VLOOKUP($A94,기본데이타!$A$8:$BV$103,COLUMN(기본데이타!AZ$8),0))</f>
        <v/>
      </c>
      <c r="Z94" s="17" t="str">
        <f>IF($A94="","",VLOOKUP($A94,기본데이타!$A$8:$BV$103,COLUMN(기본데이타!BN$8),0))</f>
        <v/>
      </c>
      <c r="AA94" s="17" t="str">
        <f>IF($A94="","",VLOOKUP($A94,기본데이타!$A$8:$BV$103,COLUMN(기본데이타!BO$8),0))</f>
        <v/>
      </c>
      <c r="AB94" s="17" t="str">
        <f>IF($A94="","",VLOOKUP($A94,기본데이타!$A$8:$BV$103,COLUMN(기본데이타!BP$8),0))</f>
        <v/>
      </c>
      <c r="AC94" s="17" t="str">
        <f>IF($A94="","",VLOOKUP($A94,기본데이타!$A$8:$BV$103,COLUMN(기본데이타!BQ$8),0))</f>
        <v/>
      </c>
      <c r="AD94" s="17" t="str">
        <f>IF($A94="","",VLOOKUP($A94,기본데이타!$A$8:$BV$103,COLUMN(기본데이타!BR$8),0))</f>
        <v/>
      </c>
      <c r="AE94" s="17" t="str">
        <f>IF($A94="","",VLOOKUP($A94,기본데이타!$A$8:$BV$103,COLUMN(기본데이타!BS$8),0))</f>
        <v/>
      </c>
      <c r="AF94" s="524" t="str">
        <f>IF($A94="","",VLOOKUP($A94,기본데이타!$A$8:$BV$103,COLUMN(기본데이타!BT$8),0))</f>
        <v/>
      </c>
      <c r="AG94" s="432" t="str">
        <f>IF($A94="","",VLOOKUP($A94,기본데이타!$A$8:$BV$103,COLUMN(기본데이타!BU$8),0))</f>
        <v/>
      </c>
      <c r="AH94" s="18" t="str">
        <f t="shared" si="28"/>
        <v/>
      </c>
    </row>
    <row r="95" spans="1:35" s="187" customFormat="1" ht="35.1" hidden="1" customHeight="1">
      <c r="A95" s="189"/>
      <c r="C95" s="190"/>
      <c r="D95" s="8" t="str">
        <f>IF($A95="","",VLOOKUP($A95,기본데이타!$A$8:$BV$103,COLUMN(기본데이타!F$8),0))</f>
        <v/>
      </c>
      <c r="E95" s="252" t="str">
        <f>IF($A95="","",VLOOKUP($A95,기본데이타!$A$8:$BV$103,COLUMN(기본데이타!G$8),0))</f>
        <v/>
      </c>
      <c r="F95" s="15" t="str">
        <f>IF($A95="","",VLOOKUP($A95,기본데이타!$A$8:$BV$103,COLUMN(기본데이타!H$8),0))</f>
        <v/>
      </c>
      <c r="G95" s="15" t="str">
        <f>IF($A95="","",VLOOKUP($A95,기본데이타!$A$8:$BV$103,COLUMN(기본데이타!I$8),0))</f>
        <v/>
      </c>
      <c r="H95" s="15" t="str">
        <f>IF($A95="","",VLOOKUP($A95,기본데이타!$A$8:$BV$103,COLUMN(기본데이타!J$8),0))</f>
        <v/>
      </c>
      <c r="I95" s="17" t="str">
        <f>IF($A95="","",VLOOKUP($A95,기본데이타!$A$8:$BV$103,COLUMN(기본데이타!AJ$8),0))</f>
        <v/>
      </c>
      <c r="J95" s="381" t="str">
        <f>IF($A95="","",VLOOKUP($A95,기본데이타!$A$8:$BV$103,COLUMN(기본데이타!AK$8),0))</f>
        <v/>
      </c>
      <c r="K95" s="381" t="str">
        <f>IF($A95="","",VLOOKUP($A95,기본데이타!$A$8:$BV$103,COLUMN(기본데이타!AL$8),0))</f>
        <v/>
      </c>
      <c r="L95" s="381" t="str">
        <f>IF($A95="","",VLOOKUP($A95,기본데이타!$A$8:$BV$103,COLUMN(기본데이타!AM$8),0))</f>
        <v/>
      </c>
      <c r="M95" s="381" t="str">
        <f>IF($A95="","",VLOOKUP($A95,기본데이타!$A$8:$BV$103,COLUMN(기본데이타!AN$8),0))</f>
        <v/>
      </c>
      <c r="N95" s="381" t="str">
        <f>IF($A95="","",VLOOKUP($A95,기본데이타!$A$8:$BV$103,COLUMN(기본데이타!AO$8),0))</f>
        <v/>
      </c>
      <c r="O95" s="381" t="str">
        <f>IF($A95="","",VLOOKUP($A95,기본데이타!$A$8:$BV$103,COLUMN(기본데이타!AP$8),0))</f>
        <v/>
      </c>
      <c r="P95" s="381" t="str">
        <f>IF($A95="","",VLOOKUP($A95,기본데이타!$A$8:$BV$103,COLUMN(기본데이타!AQ$8),0))</f>
        <v/>
      </c>
      <c r="Q95" s="381" t="str">
        <f>IF($A95="","",VLOOKUP($A95,기본데이타!$A$8:$BV$103,COLUMN(기본데이타!AR$8),0))</f>
        <v/>
      </c>
      <c r="R95" s="381" t="str">
        <f>IF($A95="","",VLOOKUP($A95,기본데이타!$A$8:$BV$103,COLUMN(기본데이타!AS$8),0))</f>
        <v/>
      </c>
      <c r="S95" s="381" t="str">
        <f>IF($A95="","",VLOOKUP($A95,기본데이타!$A$8:$BV$103,COLUMN(기본데이타!AT$8),0))</f>
        <v/>
      </c>
      <c r="T95" s="381" t="str">
        <f>IF($A95="","",VLOOKUP($A95,기본데이타!$A$8:$BV$103,COLUMN(기본데이타!AU$8),0))</f>
        <v/>
      </c>
      <c r="U95" s="381" t="str">
        <f>IF($A95="","",VLOOKUP($A95,기본데이타!$A$8:$BV$103,COLUMN(기본데이타!AV$8),0))</f>
        <v/>
      </c>
      <c r="V95" s="16" t="str">
        <f>IF($A95="","",VLOOKUP($A95,기본데이타!$A$8:$BV$103,COLUMN(기본데이타!AW$8),0))</f>
        <v/>
      </c>
      <c r="W95" s="16" t="str">
        <f>IF($A95="","",VLOOKUP($A95,기본데이타!$A$8:$BV$103,COLUMN(기본데이타!AX$8),0))</f>
        <v/>
      </c>
      <c r="X95" s="16" t="str">
        <f>IF($A95="","",VLOOKUP($A95,기본데이타!$A$8:$BV$103,COLUMN(기본데이타!AY$8),0))</f>
        <v/>
      </c>
      <c r="Y95" s="16" t="str">
        <f>IF($A95="","",VLOOKUP($A95,기본데이타!$A$8:$BV$103,COLUMN(기본데이타!AZ$8),0))</f>
        <v/>
      </c>
      <c r="Z95" s="17" t="str">
        <f>IF($A95="","",VLOOKUP($A95,기본데이타!$A$8:$BV$103,COLUMN(기본데이타!BN$8),0))</f>
        <v/>
      </c>
      <c r="AA95" s="17" t="str">
        <f>IF($A95="","",VLOOKUP($A95,기본데이타!$A$8:$BV$103,COLUMN(기본데이타!BO$8),0))</f>
        <v/>
      </c>
      <c r="AB95" s="17" t="str">
        <f>IF($A95="","",VLOOKUP($A95,기본데이타!$A$8:$BV$103,COLUMN(기본데이타!BP$8),0))</f>
        <v/>
      </c>
      <c r="AC95" s="17" t="str">
        <f>IF($A95="","",VLOOKUP($A95,기본데이타!$A$8:$BV$103,COLUMN(기본데이타!BQ$8),0))</f>
        <v/>
      </c>
      <c r="AD95" s="17" t="str">
        <f>IF($A95="","",VLOOKUP($A95,기본데이타!$A$8:$BV$103,COLUMN(기본데이타!BR$8),0))</f>
        <v/>
      </c>
      <c r="AE95" s="17" t="str">
        <f>IF($A95="","",VLOOKUP($A95,기본데이타!$A$8:$BV$103,COLUMN(기본데이타!BS$8),0))</f>
        <v/>
      </c>
      <c r="AF95" s="524" t="str">
        <f>IF($A95="","",VLOOKUP($A95,기본데이타!$A$8:$BV$103,COLUMN(기본데이타!BT$8),0))</f>
        <v/>
      </c>
      <c r="AG95" s="432" t="str">
        <f>IF($A95="","",VLOOKUP($A95,기본데이타!$A$8:$BV$103,COLUMN(기본데이타!BU$8),0))</f>
        <v/>
      </c>
      <c r="AH95" s="18" t="str">
        <f t="shared" si="28"/>
        <v/>
      </c>
    </row>
    <row r="96" spans="1:35" s="187" customFormat="1" ht="35.1" hidden="1" customHeight="1">
      <c r="A96" s="189"/>
      <c r="C96" s="190"/>
      <c r="D96" s="8" t="str">
        <f>IF($A96="","",VLOOKUP($A96,기본데이타!$A$8:$BV$103,COLUMN(기본데이타!F$8),0))</f>
        <v/>
      </c>
      <c r="E96" s="252" t="str">
        <f>IF($A96="","",VLOOKUP($A96,기본데이타!$A$8:$BV$103,COLUMN(기본데이타!G$8),0))</f>
        <v/>
      </c>
      <c r="F96" s="15" t="str">
        <f>IF($A96="","",VLOOKUP($A96,기본데이타!$A$8:$BV$103,COLUMN(기본데이타!H$8),0))</f>
        <v/>
      </c>
      <c r="G96" s="15" t="str">
        <f>IF($A96="","",VLOOKUP($A96,기본데이타!$A$8:$BV$103,COLUMN(기본데이타!I$8),0))</f>
        <v/>
      </c>
      <c r="H96" s="15" t="str">
        <f>IF($A96="","",VLOOKUP($A96,기본데이타!$A$8:$BV$103,COLUMN(기본데이타!J$8),0))</f>
        <v/>
      </c>
      <c r="I96" s="17" t="str">
        <f>IF($A96="","",VLOOKUP($A96,기본데이타!$A$8:$BV$103,COLUMN(기본데이타!AJ$8),0))</f>
        <v/>
      </c>
      <c r="J96" s="381" t="str">
        <f>IF($A96="","",VLOOKUP($A96,기본데이타!$A$8:$BV$103,COLUMN(기본데이타!AK$8),0))</f>
        <v/>
      </c>
      <c r="K96" s="381" t="str">
        <f>IF($A96="","",VLOOKUP($A96,기본데이타!$A$8:$BV$103,COLUMN(기본데이타!AL$8),0))</f>
        <v/>
      </c>
      <c r="L96" s="381" t="str">
        <f>IF($A96="","",VLOOKUP($A96,기본데이타!$A$8:$BV$103,COLUMN(기본데이타!AM$8),0))</f>
        <v/>
      </c>
      <c r="M96" s="381" t="str">
        <f>IF($A96="","",VLOOKUP($A96,기본데이타!$A$8:$BV$103,COLUMN(기본데이타!AN$8),0))</f>
        <v/>
      </c>
      <c r="N96" s="381" t="str">
        <f>IF($A96="","",VLOOKUP($A96,기본데이타!$A$8:$BV$103,COLUMN(기본데이타!AO$8),0))</f>
        <v/>
      </c>
      <c r="O96" s="381" t="str">
        <f>IF($A96="","",VLOOKUP($A96,기본데이타!$A$8:$BV$103,COLUMN(기본데이타!AP$8),0))</f>
        <v/>
      </c>
      <c r="P96" s="381" t="str">
        <f>IF($A96="","",VLOOKUP($A96,기본데이타!$A$8:$BV$103,COLUMN(기본데이타!AQ$8),0))</f>
        <v/>
      </c>
      <c r="Q96" s="381" t="str">
        <f>IF($A96="","",VLOOKUP($A96,기본데이타!$A$8:$BV$103,COLUMN(기본데이타!AR$8),0))</f>
        <v/>
      </c>
      <c r="R96" s="381" t="str">
        <f>IF($A96="","",VLOOKUP($A96,기본데이타!$A$8:$BV$103,COLUMN(기본데이타!AS$8),0))</f>
        <v/>
      </c>
      <c r="S96" s="381" t="str">
        <f>IF($A96="","",VLOOKUP($A96,기본데이타!$A$8:$BV$103,COLUMN(기본데이타!AT$8),0))</f>
        <v/>
      </c>
      <c r="T96" s="381" t="str">
        <f>IF($A96="","",VLOOKUP($A96,기본데이타!$A$8:$BV$103,COLUMN(기본데이타!AU$8),0))</f>
        <v/>
      </c>
      <c r="U96" s="381" t="str">
        <f>IF($A96="","",VLOOKUP($A96,기본데이타!$A$8:$BV$103,COLUMN(기본데이타!AV$8),0))</f>
        <v/>
      </c>
      <c r="V96" s="16" t="str">
        <f>IF($A96="","",VLOOKUP($A96,기본데이타!$A$8:$BV$103,COLUMN(기본데이타!AW$8),0))</f>
        <v/>
      </c>
      <c r="W96" s="16" t="str">
        <f>IF($A96="","",VLOOKUP($A96,기본데이타!$A$8:$BV$103,COLUMN(기본데이타!AX$8),0))</f>
        <v/>
      </c>
      <c r="X96" s="16" t="str">
        <f>IF($A96="","",VLOOKUP($A96,기본데이타!$A$8:$BV$103,COLUMN(기본데이타!AY$8),0))</f>
        <v/>
      </c>
      <c r="Y96" s="16" t="str">
        <f>IF($A96="","",VLOOKUP($A96,기본데이타!$A$8:$BV$103,COLUMN(기본데이타!AZ$8),0))</f>
        <v/>
      </c>
      <c r="Z96" s="17" t="str">
        <f>IF($A96="","",VLOOKUP($A96,기본데이타!$A$8:$BV$103,COLUMN(기본데이타!BN$8),0))</f>
        <v/>
      </c>
      <c r="AA96" s="17" t="str">
        <f>IF($A96="","",VLOOKUP($A96,기본데이타!$A$8:$BV$103,COLUMN(기본데이타!BO$8),0))</f>
        <v/>
      </c>
      <c r="AB96" s="17" t="str">
        <f>IF($A96="","",VLOOKUP($A96,기본데이타!$A$8:$BV$103,COLUMN(기본데이타!BP$8),0))</f>
        <v/>
      </c>
      <c r="AC96" s="17" t="str">
        <f>IF($A96="","",VLOOKUP($A96,기본데이타!$A$8:$BV$103,COLUMN(기본데이타!BQ$8),0))</f>
        <v/>
      </c>
      <c r="AD96" s="17" t="str">
        <f>IF($A96="","",VLOOKUP($A96,기본데이타!$A$8:$BV$103,COLUMN(기본데이타!BR$8),0))</f>
        <v/>
      </c>
      <c r="AE96" s="17" t="str">
        <f>IF($A96="","",VLOOKUP($A96,기본데이타!$A$8:$BV$103,COLUMN(기본데이타!BS$8),0))</f>
        <v/>
      </c>
      <c r="AF96" s="524" t="str">
        <f>IF($A96="","",VLOOKUP($A96,기본데이타!$A$8:$BV$103,COLUMN(기본데이타!BT$8),0))</f>
        <v/>
      </c>
      <c r="AG96" s="432" t="str">
        <f>IF($A96="","",VLOOKUP($A96,기본데이타!$A$8:$BV$103,COLUMN(기본데이타!BU$8),0))</f>
        <v/>
      </c>
      <c r="AH96" s="18" t="str">
        <f t="shared" si="28"/>
        <v/>
      </c>
    </row>
    <row r="97" spans="1:35" s="187" customFormat="1" ht="35.1" hidden="1" customHeight="1">
      <c r="A97" s="189"/>
      <c r="C97" s="190"/>
      <c r="D97" s="8" t="str">
        <f>IF($A97="","",VLOOKUP($A97,기본데이타!$A$8:$BV$103,COLUMN(기본데이타!F$8),0))</f>
        <v/>
      </c>
      <c r="E97" s="252" t="str">
        <f>IF($A97="","",VLOOKUP($A97,기본데이타!$A$8:$BV$103,COLUMN(기본데이타!G$8),0))</f>
        <v/>
      </c>
      <c r="F97" s="15" t="str">
        <f>IF($A97="","",VLOOKUP($A97,기본데이타!$A$8:$BV$103,COLUMN(기본데이타!H$8),0))</f>
        <v/>
      </c>
      <c r="G97" s="15" t="str">
        <f>IF($A97="","",VLOOKUP($A97,기본데이타!$A$8:$BV$103,COLUMN(기본데이타!I$8),0))</f>
        <v/>
      </c>
      <c r="H97" s="15" t="str">
        <f>IF($A97="","",VLOOKUP($A97,기본데이타!$A$8:$BV$103,COLUMN(기본데이타!J$8),0))</f>
        <v/>
      </c>
      <c r="I97" s="17" t="str">
        <f>IF($A97="","",VLOOKUP($A97,기본데이타!$A$8:$BV$103,COLUMN(기본데이타!AJ$8),0))</f>
        <v/>
      </c>
      <c r="J97" s="381" t="str">
        <f>IF($A97="","",VLOOKUP($A97,기본데이타!$A$8:$BV$103,COLUMN(기본데이타!AK$8),0))</f>
        <v/>
      </c>
      <c r="K97" s="381" t="str">
        <f>IF($A97="","",VLOOKUP($A97,기본데이타!$A$8:$BV$103,COLUMN(기본데이타!AL$8),0))</f>
        <v/>
      </c>
      <c r="L97" s="381" t="str">
        <f>IF($A97="","",VLOOKUP($A97,기본데이타!$A$8:$BV$103,COLUMN(기본데이타!AM$8),0))</f>
        <v/>
      </c>
      <c r="M97" s="381" t="str">
        <f>IF($A97="","",VLOOKUP($A97,기본데이타!$A$8:$BV$103,COLUMN(기본데이타!AN$8),0))</f>
        <v/>
      </c>
      <c r="N97" s="381" t="str">
        <f>IF($A97="","",VLOOKUP($A97,기본데이타!$A$8:$BV$103,COLUMN(기본데이타!AO$8),0))</f>
        <v/>
      </c>
      <c r="O97" s="381" t="str">
        <f>IF($A97="","",VLOOKUP($A97,기본데이타!$A$8:$BV$103,COLUMN(기본데이타!AP$8),0))</f>
        <v/>
      </c>
      <c r="P97" s="381" t="str">
        <f>IF($A97="","",VLOOKUP($A97,기본데이타!$A$8:$BV$103,COLUMN(기본데이타!AQ$8),0))</f>
        <v/>
      </c>
      <c r="Q97" s="381" t="str">
        <f>IF($A97="","",VLOOKUP($A97,기본데이타!$A$8:$BV$103,COLUMN(기본데이타!AR$8),0))</f>
        <v/>
      </c>
      <c r="R97" s="381" t="str">
        <f>IF($A97="","",VLOOKUP($A97,기본데이타!$A$8:$BV$103,COLUMN(기본데이타!AS$8),0))</f>
        <v/>
      </c>
      <c r="S97" s="381" t="str">
        <f>IF($A97="","",VLOOKUP($A97,기본데이타!$A$8:$BV$103,COLUMN(기본데이타!AT$8),0))</f>
        <v/>
      </c>
      <c r="T97" s="381" t="str">
        <f>IF($A97="","",VLOOKUP($A97,기본데이타!$A$8:$BV$103,COLUMN(기본데이타!AU$8),0))</f>
        <v/>
      </c>
      <c r="U97" s="381" t="str">
        <f>IF($A97="","",VLOOKUP($A97,기본데이타!$A$8:$BV$103,COLUMN(기본데이타!AV$8),0))</f>
        <v/>
      </c>
      <c r="V97" s="16" t="str">
        <f>IF($A97="","",VLOOKUP($A97,기본데이타!$A$8:$BV$103,COLUMN(기본데이타!AW$8),0))</f>
        <v/>
      </c>
      <c r="W97" s="16" t="str">
        <f>IF($A97="","",VLOOKUP($A97,기본데이타!$A$8:$BV$103,COLUMN(기본데이타!AX$8),0))</f>
        <v/>
      </c>
      <c r="X97" s="16" t="str">
        <f>IF($A97="","",VLOOKUP($A97,기본데이타!$A$8:$BV$103,COLUMN(기본데이타!AY$8),0))</f>
        <v/>
      </c>
      <c r="Y97" s="16" t="str">
        <f>IF($A97="","",VLOOKUP($A97,기본데이타!$A$8:$BV$103,COLUMN(기본데이타!AZ$8),0))</f>
        <v/>
      </c>
      <c r="Z97" s="17" t="str">
        <f>IF($A97="","",VLOOKUP($A97,기본데이타!$A$8:$BV$103,COLUMN(기본데이타!BN$8),0))</f>
        <v/>
      </c>
      <c r="AA97" s="17" t="str">
        <f>IF($A97="","",VLOOKUP($A97,기본데이타!$A$8:$BV$103,COLUMN(기본데이타!BO$8),0))</f>
        <v/>
      </c>
      <c r="AB97" s="17" t="str">
        <f>IF($A97="","",VLOOKUP($A97,기본데이타!$A$8:$BV$103,COLUMN(기본데이타!BP$8),0))</f>
        <v/>
      </c>
      <c r="AC97" s="17" t="str">
        <f>IF($A97="","",VLOOKUP($A97,기본데이타!$A$8:$BV$103,COLUMN(기본데이타!BQ$8),0))</f>
        <v/>
      </c>
      <c r="AD97" s="17" t="str">
        <f>IF($A97="","",VLOOKUP($A97,기본데이타!$A$8:$BV$103,COLUMN(기본데이타!BR$8),0))</f>
        <v/>
      </c>
      <c r="AE97" s="17" t="str">
        <f>IF($A97="","",VLOOKUP($A97,기본데이타!$A$8:$BV$103,COLUMN(기본데이타!BS$8),0))</f>
        <v/>
      </c>
      <c r="AF97" s="524" t="str">
        <f>IF($A97="","",VLOOKUP($A97,기본데이타!$A$8:$BV$103,COLUMN(기본데이타!BT$8),0))</f>
        <v/>
      </c>
      <c r="AG97" s="432" t="str">
        <f>IF($A97="","",VLOOKUP($A97,기본데이타!$A$8:$BV$103,COLUMN(기본데이타!BU$8),0))</f>
        <v/>
      </c>
      <c r="AH97" s="18" t="str">
        <f t="shared" si="28"/>
        <v/>
      </c>
    </row>
    <row r="98" spans="1:35" s="187" customFormat="1" ht="35.1" hidden="1" customHeight="1">
      <c r="A98" s="189"/>
      <c r="C98" s="1283"/>
      <c r="D98" s="8" t="str">
        <f>IF($A98="","",VLOOKUP($A98,기본데이타!$A$8:$BV$103,COLUMN(기본데이타!F$8),0))</f>
        <v/>
      </c>
      <c r="E98" s="252" t="str">
        <f>IF($A98="","",VLOOKUP($A98,기본데이타!$A$8:$BV$103,COLUMN(기본데이타!G$8),0))</f>
        <v/>
      </c>
      <c r="F98" s="9" t="str">
        <f>IF($A98="","",VLOOKUP($A98,기본데이타!$A$8:$BV$103,COLUMN(기본데이타!H$8),0))</f>
        <v/>
      </c>
      <c r="G98" s="9" t="str">
        <f>IF($A98="","",VLOOKUP($A98,기본데이타!$A$8:$BV$103,COLUMN(기본데이타!I$8),0))</f>
        <v/>
      </c>
      <c r="H98" s="9" t="str">
        <f>IF($A98="","",VLOOKUP($A98,기본데이타!$A$8:$BV$103,COLUMN(기본데이타!J$8),0))</f>
        <v/>
      </c>
      <c r="I98" s="17" t="str">
        <f>IF($A98="","",VLOOKUP($A98,기본데이타!$A$8:$BV$103,COLUMN(기본데이타!AJ$8),0))</f>
        <v/>
      </c>
      <c r="J98" s="381" t="str">
        <f>IF($A98="","",VLOOKUP($A98,기본데이타!$A$8:$BV$103,COLUMN(기본데이타!AK$8),0))</f>
        <v/>
      </c>
      <c r="K98" s="381" t="str">
        <f>IF($A98="","",VLOOKUP($A98,기본데이타!$A$8:$BV$103,COLUMN(기본데이타!AL$8),0))</f>
        <v/>
      </c>
      <c r="L98" s="381" t="str">
        <f>IF($A98="","",VLOOKUP($A98,기본데이타!$A$8:$BV$103,COLUMN(기본데이타!AM$8),0))</f>
        <v/>
      </c>
      <c r="M98" s="381" t="str">
        <f>IF($A98="","",VLOOKUP($A98,기본데이타!$A$8:$BV$103,COLUMN(기본데이타!AN$8),0))</f>
        <v/>
      </c>
      <c r="N98" s="381" t="str">
        <f>IF($A98="","",VLOOKUP($A98,기본데이타!$A$8:$BV$103,COLUMN(기본데이타!AO$8),0))</f>
        <v/>
      </c>
      <c r="O98" s="381" t="str">
        <f>IF($A98="","",VLOOKUP($A98,기본데이타!$A$8:$BV$103,COLUMN(기본데이타!AP$8),0))</f>
        <v/>
      </c>
      <c r="P98" s="381" t="str">
        <f>IF($A98="","",VLOOKUP($A98,기본데이타!$A$8:$BV$103,COLUMN(기본데이타!AQ$8),0))</f>
        <v/>
      </c>
      <c r="Q98" s="381" t="str">
        <f>IF($A98="","",VLOOKUP($A98,기본데이타!$A$8:$BV$103,COLUMN(기본데이타!AR$8),0))</f>
        <v/>
      </c>
      <c r="R98" s="381" t="str">
        <f>IF($A98="","",VLOOKUP($A98,기본데이타!$A$8:$BV$103,COLUMN(기본데이타!AS$8),0))</f>
        <v/>
      </c>
      <c r="S98" s="381" t="str">
        <f>IF($A98="","",VLOOKUP($A98,기본데이타!$A$8:$BV$103,COLUMN(기본데이타!AT$8),0))</f>
        <v/>
      </c>
      <c r="T98" s="381" t="str">
        <f>IF($A98="","",VLOOKUP($A98,기본데이타!$A$8:$BV$103,COLUMN(기본데이타!AU$8),0))</f>
        <v/>
      </c>
      <c r="U98" s="381" t="str">
        <f>IF($A98="","",VLOOKUP($A98,기본데이타!$A$8:$BV$103,COLUMN(기본데이타!AV$8),0))</f>
        <v/>
      </c>
      <c r="V98" s="16" t="str">
        <f>IF($A98="","",VLOOKUP($A98,기본데이타!$A$8:$BV$103,COLUMN(기본데이타!AW$8),0))</f>
        <v/>
      </c>
      <c r="W98" s="16" t="str">
        <f>IF($A98="","",VLOOKUP($A98,기본데이타!$A$8:$BV$103,COLUMN(기본데이타!AX$8),0))</f>
        <v/>
      </c>
      <c r="X98" s="16" t="str">
        <f>IF($A98="","",VLOOKUP($A98,기본데이타!$A$8:$BV$103,COLUMN(기본데이타!AY$8),0))</f>
        <v/>
      </c>
      <c r="Y98" s="16" t="str">
        <f>IF($A98="","",VLOOKUP($A98,기본데이타!$A$8:$BV$103,COLUMN(기본데이타!AZ$8),0))</f>
        <v/>
      </c>
      <c r="Z98" s="17" t="str">
        <f>IF($A98="","",VLOOKUP($A98,기본데이타!$A$8:$BV$103,COLUMN(기본데이타!BN$8),0))</f>
        <v/>
      </c>
      <c r="AA98" s="17" t="str">
        <f>IF($A98="","",VLOOKUP($A98,기본데이타!$A$8:$BV$103,COLUMN(기본데이타!BO$8),0))</f>
        <v/>
      </c>
      <c r="AB98" s="17" t="str">
        <f>IF($A98="","",VLOOKUP($A98,기본데이타!$A$8:$BV$103,COLUMN(기본데이타!BP$8),0))</f>
        <v/>
      </c>
      <c r="AC98" s="17" t="str">
        <f>IF($A98="","",VLOOKUP($A98,기본데이타!$A$8:$BV$103,COLUMN(기본데이타!BQ$8),0))</f>
        <v/>
      </c>
      <c r="AD98" s="17" t="str">
        <f>IF($A98="","",VLOOKUP($A98,기본데이타!$A$8:$BV$103,COLUMN(기본데이타!BR$8),0))</f>
        <v/>
      </c>
      <c r="AE98" s="17" t="str">
        <f>IF($A98="","",VLOOKUP($A98,기본데이타!$A$8:$BV$103,COLUMN(기본데이타!BS$8),0))</f>
        <v/>
      </c>
      <c r="AF98" s="524" t="str">
        <f>IF($A98="","",VLOOKUP($A98,기본데이타!$A$8:$BV$103,COLUMN(기본데이타!BT$8),0))</f>
        <v/>
      </c>
      <c r="AG98" s="432" t="str">
        <f>IF($A98="","",VLOOKUP($A98,기본데이타!$A$8:$BV$103,COLUMN(기본데이타!BU$8),0))</f>
        <v/>
      </c>
      <c r="AH98" s="18" t="str">
        <f t="shared" si="28"/>
        <v/>
      </c>
    </row>
    <row r="99" spans="1:35" s="187" customFormat="1" ht="35.1" hidden="1" customHeight="1">
      <c r="A99" s="189"/>
      <c r="C99" s="1283"/>
      <c r="D99" s="8" t="str">
        <f>IF($A99="","",VLOOKUP($A99,기본데이타!$A$8:$BV$103,COLUMN(기본데이타!F$8),0))</f>
        <v/>
      </c>
      <c r="E99" s="252" t="str">
        <f>IF($A99="","",VLOOKUP($A99,기본데이타!$A$8:$BV$103,COLUMN(기본데이타!G$8),0))</f>
        <v/>
      </c>
      <c r="F99" s="9" t="str">
        <f>IF($A99="","",VLOOKUP($A99,기본데이타!$A$8:$BV$103,COLUMN(기본데이타!H$8),0))</f>
        <v/>
      </c>
      <c r="G99" s="9" t="str">
        <f>IF($A99="","",VLOOKUP($A99,기본데이타!$A$8:$BV$103,COLUMN(기본데이타!I$8),0))</f>
        <v/>
      </c>
      <c r="H99" s="9" t="str">
        <f>IF($A99="","",VLOOKUP($A99,기본데이타!$A$8:$BV$103,COLUMN(기본데이타!J$8),0))</f>
        <v/>
      </c>
      <c r="I99" s="17" t="str">
        <f>IF($A99="","",VLOOKUP($A99,기본데이타!$A$8:$BV$103,COLUMN(기본데이타!AJ$8),0))</f>
        <v/>
      </c>
      <c r="J99" s="381" t="str">
        <f>IF($A99="","",VLOOKUP($A99,기본데이타!$A$8:$BV$103,COLUMN(기본데이타!AK$8),0))</f>
        <v/>
      </c>
      <c r="K99" s="381" t="str">
        <f>IF($A99="","",VLOOKUP($A99,기본데이타!$A$8:$BV$103,COLUMN(기본데이타!AL$8),0))</f>
        <v/>
      </c>
      <c r="L99" s="381" t="str">
        <f>IF($A99="","",VLOOKUP($A99,기본데이타!$A$8:$BV$103,COLUMN(기본데이타!AM$8),0))</f>
        <v/>
      </c>
      <c r="M99" s="381" t="str">
        <f>IF($A99="","",VLOOKUP($A99,기본데이타!$A$8:$BV$103,COLUMN(기본데이타!AN$8),0))</f>
        <v/>
      </c>
      <c r="N99" s="381" t="str">
        <f>IF($A99="","",VLOOKUP($A99,기본데이타!$A$8:$BV$103,COLUMN(기본데이타!AO$8),0))</f>
        <v/>
      </c>
      <c r="O99" s="381" t="str">
        <f>IF($A99="","",VLOOKUP($A99,기본데이타!$A$8:$BV$103,COLUMN(기본데이타!AP$8),0))</f>
        <v/>
      </c>
      <c r="P99" s="381" t="str">
        <f>IF($A99="","",VLOOKUP($A99,기본데이타!$A$8:$BV$103,COLUMN(기본데이타!AQ$8),0))</f>
        <v/>
      </c>
      <c r="Q99" s="381" t="str">
        <f>IF($A99="","",VLOOKUP($A99,기본데이타!$A$8:$BV$103,COLUMN(기본데이타!AR$8),0))</f>
        <v/>
      </c>
      <c r="R99" s="381" t="str">
        <f>IF($A99="","",VLOOKUP($A99,기본데이타!$A$8:$BV$103,COLUMN(기본데이타!AS$8),0))</f>
        <v/>
      </c>
      <c r="S99" s="381" t="str">
        <f>IF($A99="","",VLOOKUP($A99,기본데이타!$A$8:$BV$103,COLUMN(기본데이타!AT$8),0))</f>
        <v/>
      </c>
      <c r="T99" s="381" t="str">
        <f>IF($A99="","",VLOOKUP($A99,기본데이타!$A$8:$BV$103,COLUMN(기본데이타!AU$8),0))</f>
        <v/>
      </c>
      <c r="U99" s="381" t="str">
        <f>IF($A99="","",VLOOKUP($A99,기본데이타!$A$8:$BV$103,COLUMN(기본데이타!AV$8),0))</f>
        <v/>
      </c>
      <c r="V99" s="16" t="str">
        <f>IF($A99="","",VLOOKUP($A99,기본데이타!$A$8:$BV$103,COLUMN(기본데이타!AW$8),0))</f>
        <v/>
      </c>
      <c r="W99" s="16" t="str">
        <f>IF($A99="","",VLOOKUP($A99,기본데이타!$A$8:$BV$103,COLUMN(기본데이타!AX$8),0))</f>
        <v/>
      </c>
      <c r="X99" s="16" t="str">
        <f>IF($A99="","",VLOOKUP($A99,기본데이타!$A$8:$BV$103,COLUMN(기본데이타!AY$8),0))</f>
        <v/>
      </c>
      <c r="Y99" s="16" t="str">
        <f>IF($A99="","",VLOOKUP($A99,기본데이타!$A$8:$BV$103,COLUMN(기본데이타!AZ$8),0))</f>
        <v/>
      </c>
      <c r="Z99" s="17" t="str">
        <f>IF($A99="","",VLOOKUP($A99,기본데이타!$A$8:$BV$103,COLUMN(기본데이타!BN$8),0))</f>
        <v/>
      </c>
      <c r="AA99" s="17" t="str">
        <f>IF($A99="","",VLOOKUP($A99,기본데이타!$A$8:$BV$103,COLUMN(기본데이타!BO$8),0))</f>
        <v/>
      </c>
      <c r="AB99" s="17" t="str">
        <f>IF($A99="","",VLOOKUP($A99,기본데이타!$A$8:$BV$103,COLUMN(기본데이타!BP$8),0))</f>
        <v/>
      </c>
      <c r="AC99" s="17" t="str">
        <f>IF($A99="","",VLOOKUP($A99,기본데이타!$A$8:$BV$103,COLUMN(기본데이타!BQ$8),0))</f>
        <v/>
      </c>
      <c r="AD99" s="17" t="str">
        <f>IF($A99="","",VLOOKUP($A99,기본데이타!$A$8:$BV$103,COLUMN(기본데이타!BR$8),0))</f>
        <v/>
      </c>
      <c r="AE99" s="17" t="str">
        <f>IF($A99="","",VLOOKUP($A99,기본데이타!$A$8:$BV$103,COLUMN(기본데이타!BS$8),0))</f>
        <v/>
      </c>
      <c r="AF99" s="524" t="str">
        <f>IF($A99="","",VLOOKUP($A99,기본데이타!$A$8:$BV$103,COLUMN(기본데이타!BT$8),0))</f>
        <v/>
      </c>
      <c r="AG99" s="432" t="str">
        <f>IF($A99="","",VLOOKUP($A99,기본데이타!$A$8:$BV$103,COLUMN(기본데이타!BU$8),0))</f>
        <v/>
      </c>
      <c r="AH99" s="18" t="str">
        <f t="shared" si="28"/>
        <v/>
      </c>
    </row>
    <row r="100" spans="1:35" s="187" customFormat="1" ht="35.1" hidden="1" customHeight="1">
      <c r="A100" s="189"/>
      <c r="C100" s="1283"/>
      <c r="D100" s="8" t="str">
        <f>IF($A100="","",VLOOKUP($A100,기본데이타!$A$8:$BV$103,COLUMN(기본데이타!F$8),0))</f>
        <v/>
      </c>
      <c r="E100" s="252" t="str">
        <f>IF($A100="","",VLOOKUP($A100,기본데이타!$A$8:$BV$103,COLUMN(기본데이타!G$8),0))</f>
        <v/>
      </c>
      <c r="F100" s="9" t="str">
        <f>IF($A100="","",VLOOKUP($A100,기본데이타!$A$8:$BV$103,COLUMN(기본데이타!H$8),0))</f>
        <v/>
      </c>
      <c r="G100" s="9" t="str">
        <f>IF($A100="","",VLOOKUP($A100,기본데이타!$A$8:$BV$103,COLUMN(기본데이타!I$8),0))</f>
        <v/>
      </c>
      <c r="H100" s="9" t="str">
        <f>IF($A100="","",VLOOKUP($A100,기본데이타!$A$8:$BV$103,COLUMN(기본데이타!J$8),0))</f>
        <v/>
      </c>
      <c r="I100" s="17" t="str">
        <f>IF($A100="","",VLOOKUP($A100,기본데이타!$A$8:$BV$103,COLUMN(기본데이타!AJ$8),0))</f>
        <v/>
      </c>
      <c r="J100" s="381" t="str">
        <f>IF($A100="","",VLOOKUP($A100,기본데이타!$A$8:$BV$103,COLUMN(기본데이타!AK$8),0))</f>
        <v/>
      </c>
      <c r="K100" s="381" t="str">
        <f>IF($A100="","",VLOOKUP($A100,기본데이타!$A$8:$BV$103,COLUMN(기본데이타!AL$8),0))</f>
        <v/>
      </c>
      <c r="L100" s="381" t="str">
        <f>IF($A100="","",VLOOKUP($A100,기본데이타!$A$8:$BV$103,COLUMN(기본데이타!AM$8),0))</f>
        <v/>
      </c>
      <c r="M100" s="381" t="str">
        <f>IF($A100="","",VLOOKUP($A100,기본데이타!$A$8:$BV$103,COLUMN(기본데이타!AN$8),0))</f>
        <v/>
      </c>
      <c r="N100" s="381" t="str">
        <f>IF($A100="","",VLOOKUP($A100,기본데이타!$A$8:$BV$103,COLUMN(기본데이타!AO$8),0))</f>
        <v/>
      </c>
      <c r="O100" s="381" t="str">
        <f>IF($A100="","",VLOOKUP($A100,기본데이타!$A$8:$BV$103,COLUMN(기본데이타!AP$8),0))</f>
        <v/>
      </c>
      <c r="P100" s="381" t="str">
        <f>IF($A100="","",VLOOKUP($A100,기본데이타!$A$8:$BV$103,COLUMN(기본데이타!AQ$8),0))</f>
        <v/>
      </c>
      <c r="Q100" s="381" t="str">
        <f>IF($A100="","",VLOOKUP($A100,기본데이타!$A$8:$BV$103,COLUMN(기본데이타!AR$8),0))</f>
        <v/>
      </c>
      <c r="R100" s="381" t="str">
        <f>IF($A100="","",VLOOKUP($A100,기본데이타!$A$8:$BV$103,COLUMN(기본데이타!AS$8),0))</f>
        <v/>
      </c>
      <c r="S100" s="381" t="str">
        <f>IF($A100="","",VLOOKUP($A100,기본데이타!$A$8:$BV$103,COLUMN(기본데이타!AT$8),0))</f>
        <v/>
      </c>
      <c r="T100" s="381" t="str">
        <f>IF($A100="","",VLOOKUP($A100,기본데이타!$A$8:$BV$103,COLUMN(기본데이타!AU$8),0))</f>
        <v/>
      </c>
      <c r="U100" s="381" t="str">
        <f>IF($A100="","",VLOOKUP($A100,기본데이타!$A$8:$BV$103,COLUMN(기본데이타!AV$8),0))</f>
        <v/>
      </c>
      <c r="V100" s="16" t="str">
        <f>IF($A100="","",VLOOKUP($A100,기본데이타!$A$8:$BV$103,COLUMN(기본데이타!AW$8),0))</f>
        <v/>
      </c>
      <c r="W100" s="16" t="str">
        <f>IF($A100="","",VLOOKUP($A100,기본데이타!$A$8:$BV$103,COLUMN(기본데이타!AX$8),0))</f>
        <v/>
      </c>
      <c r="X100" s="16" t="str">
        <f>IF($A100="","",VLOOKUP($A100,기본데이타!$A$8:$BV$103,COLUMN(기본데이타!AY$8),0))</f>
        <v/>
      </c>
      <c r="Y100" s="16" t="str">
        <f>IF($A100="","",VLOOKUP($A100,기본데이타!$A$8:$BV$103,COLUMN(기본데이타!AZ$8),0))</f>
        <v/>
      </c>
      <c r="Z100" s="17" t="str">
        <f>IF($A100="","",VLOOKUP($A100,기본데이타!$A$8:$BV$103,COLUMN(기본데이타!BN$8),0))</f>
        <v/>
      </c>
      <c r="AA100" s="17" t="str">
        <f>IF($A100="","",VLOOKUP($A100,기본데이타!$A$8:$BV$103,COLUMN(기본데이타!BO$8),0))</f>
        <v/>
      </c>
      <c r="AB100" s="17" t="str">
        <f>IF($A100="","",VLOOKUP($A100,기본데이타!$A$8:$BV$103,COLUMN(기본데이타!BP$8),0))</f>
        <v/>
      </c>
      <c r="AC100" s="17" t="str">
        <f>IF($A100="","",VLOOKUP($A100,기본데이타!$A$8:$BV$103,COLUMN(기본데이타!BQ$8),0))</f>
        <v/>
      </c>
      <c r="AD100" s="17" t="str">
        <f>IF($A100="","",VLOOKUP($A100,기본데이타!$A$8:$BV$103,COLUMN(기본데이타!BR$8),0))</f>
        <v/>
      </c>
      <c r="AE100" s="17" t="str">
        <f>IF($A100="","",VLOOKUP($A100,기본데이타!$A$8:$BV$103,COLUMN(기본데이타!BS$8),0))</f>
        <v/>
      </c>
      <c r="AF100" s="524" t="str">
        <f>IF($A100="","",VLOOKUP($A100,기본데이타!$A$8:$BV$103,COLUMN(기본데이타!BT$8),0))</f>
        <v/>
      </c>
      <c r="AG100" s="432" t="str">
        <f>IF($A100="","",VLOOKUP($A100,기본데이타!$A$8:$BV$103,COLUMN(기본데이타!BU$8),0))</f>
        <v/>
      </c>
      <c r="AH100" s="18" t="str">
        <f t="shared" si="28"/>
        <v/>
      </c>
    </row>
    <row r="101" spans="1:35" s="187" customFormat="1" ht="35.1" hidden="1" customHeight="1">
      <c r="A101" s="189"/>
      <c r="C101" s="1283"/>
      <c r="D101" s="8" t="str">
        <f>IF($A101="","",VLOOKUP($A101,기본데이타!$A$8:$BV$103,COLUMN(기본데이타!F$8),0))</f>
        <v/>
      </c>
      <c r="E101" s="252" t="str">
        <f>IF($A101="","",VLOOKUP($A101,기본데이타!$A$8:$BV$103,COLUMN(기본데이타!G$8),0))</f>
        <v/>
      </c>
      <c r="F101" s="9" t="str">
        <f>IF($A101="","",VLOOKUP($A101,기본데이타!$A$8:$BV$103,COLUMN(기본데이타!H$8),0))</f>
        <v/>
      </c>
      <c r="G101" s="9" t="str">
        <f>IF($A101="","",VLOOKUP($A101,기본데이타!$A$8:$BV$103,COLUMN(기본데이타!I$8),0))</f>
        <v/>
      </c>
      <c r="H101" s="9" t="str">
        <f>IF($A101="","",VLOOKUP($A101,기본데이타!$A$8:$BV$103,COLUMN(기본데이타!J$8),0))</f>
        <v/>
      </c>
      <c r="I101" s="17" t="str">
        <f>IF($A101="","",VLOOKUP($A101,기본데이타!$A$8:$BV$103,COLUMN(기본데이타!AJ$8),0))</f>
        <v/>
      </c>
      <c r="J101" s="381" t="str">
        <f>IF($A101="","",VLOOKUP($A101,기본데이타!$A$8:$BV$103,COLUMN(기본데이타!AK$8),0))</f>
        <v/>
      </c>
      <c r="K101" s="381" t="str">
        <f>IF($A101="","",VLOOKUP($A101,기본데이타!$A$8:$BV$103,COLUMN(기본데이타!AL$8),0))</f>
        <v/>
      </c>
      <c r="L101" s="381" t="str">
        <f>IF($A101="","",VLOOKUP($A101,기본데이타!$A$8:$BV$103,COLUMN(기본데이타!AM$8),0))</f>
        <v/>
      </c>
      <c r="M101" s="381" t="str">
        <f>IF($A101="","",VLOOKUP($A101,기본데이타!$A$8:$BV$103,COLUMN(기본데이타!AN$8),0))</f>
        <v/>
      </c>
      <c r="N101" s="381" t="str">
        <f>IF($A101="","",VLOOKUP($A101,기본데이타!$A$8:$BV$103,COLUMN(기본데이타!AO$8),0))</f>
        <v/>
      </c>
      <c r="O101" s="381" t="str">
        <f>IF($A101="","",VLOOKUP($A101,기본데이타!$A$8:$BV$103,COLUMN(기본데이타!AP$8),0))</f>
        <v/>
      </c>
      <c r="P101" s="381" t="str">
        <f>IF($A101="","",VLOOKUP($A101,기본데이타!$A$8:$BV$103,COLUMN(기본데이타!AQ$8),0))</f>
        <v/>
      </c>
      <c r="Q101" s="381" t="str">
        <f>IF($A101="","",VLOOKUP($A101,기본데이타!$A$8:$BV$103,COLUMN(기본데이타!AR$8),0))</f>
        <v/>
      </c>
      <c r="R101" s="381" t="str">
        <f>IF($A101="","",VLOOKUP($A101,기본데이타!$A$8:$BV$103,COLUMN(기본데이타!AS$8),0))</f>
        <v/>
      </c>
      <c r="S101" s="381" t="str">
        <f>IF($A101="","",VLOOKUP($A101,기본데이타!$A$8:$BV$103,COLUMN(기본데이타!AT$8),0))</f>
        <v/>
      </c>
      <c r="T101" s="381" t="str">
        <f>IF($A101="","",VLOOKUP($A101,기본데이타!$A$8:$BV$103,COLUMN(기본데이타!AU$8),0))</f>
        <v/>
      </c>
      <c r="U101" s="381" t="str">
        <f>IF($A101="","",VLOOKUP($A101,기본데이타!$A$8:$BV$103,COLUMN(기본데이타!AV$8),0))</f>
        <v/>
      </c>
      <c r="V101" s="16" t="str">
        <f>IF($A101="","",VLOOKUP($A101,기본데이타!$A$8:$BV$103,COLUMN(기본데이타!AW$8),0))</f>
        <v/>
      </c>
      <c r="W101" s="16" t="str">
        <f>IF($A101="","",VLOOKUP($A101,기본데이타!$A$8:$BV$103,COLUMN(기본데이타!AX$8),0))</f>
        <v/>
      </c>
      <c r="X101" s="16" t="str">
        <f>IF($A101="","",VLOOKUP($A101,기본데이타!$A$8:$BV$103,COLUMN(기본데이타!AY$8),0))</f>
        <v/>
      </c>
      <c r="Y101" s="16" t="str">
        <f>IF($A101="","",VLOOKUP($A101,기본데이타!$A$8:$BV$103,COLUMN(기본데이타!AZ$8),0))</f>
        <v/>
      </c>
      <c r="Z101" s="17" t="str">
        <f>IF($A101="","",VLOOKUP($A101,기본데이타!$A$8:$BV$103,COLUMN(기본데이타!BN$8),0))</f>
        <v/>
      </c>
      <c r="AA101" s="17" t="str">
        <f>IF($A101="","",VLOOKUP($A101,기본데이타!$A$8:$BV$103,COLUMN(기본데이타!BO$8),0))</f>
        <v/>
      </c>
      <c r="AB101" s="17" t="str">
        <f>IF($A101="","",VLOOKUP($A101,기본데이타!$A$8:$BV$103,COLUMN(기본데이타!BP$8),0))</f>
        <v/>
      </c>
      <c r="AC101" s="17" t="str">
        <f>IF($A101="","",VLOOKUP($A101,기본데이타!$A$8:$BV$103,COLUMN(기본데이타!BQ$8),0))</f>
        <v/>
      </c>
      <c r="AD101" s="17" t="str">
        <f>IF($A101="","",VLOOKUP($A101,기본데이타!$A$8:$BV$103,COLUMN(기본데이타!BR$8),0))</f>
        <v/>
      </c>
      <c r="AE101" s="17" t="str">
        <f>IF($A101="","",VLOOKUP($A101,기본데이타!$A$8:$BV$103,COLUMN(기본데이타!BS$8),0))</f>
        <v/>
      </c>
      <c r="AF101" s="524" t="str">
        <f>IF($A101="","",VLOOKUP($A101,기본데이타!$A$8:$BV$103,COLUMN(기본데이타!BT$8),0))</f>
        <v/>
      </c>
      <c r="AG101" s="432" t="str">
        <f>IF($A101="","",VLOOKUP($A101,기본데이타!$A$8:$BV$103,COLUMN(기본데이타!BU$8),0))</f>
        <v/>
      </c>
      <c r="AH101" s="18" t="str">
        <f t="shared" si="28"/>
        <v/>
      </c>
    </row>
    <row r="102" spans="1:35" s="187" customFormat="1" ht="35.1" hidden="1" customHeight="1">
      <c r="A102" s="189"/>
      <c r="C102" s="1283"/>
      <c r="D102" s="8" t="str">
        <f>IF($A102="","",VLOOKUP($A102,기본데이타!$A$8:$BV$103,COLUMN(기본데이타!F$8),0))</f>
        <v/>
      </c>
      <c r="E102" s="252" t="str">
        <f>IF($A102="","",VLOOKUP($A102,기본데이타!$A$8:$BV$103,COLUMN(기본데이타!G$8),0))</f>
        <v/>
      </c>
      <c r="F102" s="9" t="str">
        <f>IF($A102="","",VLOOKUP($A102,기본데이타!$A$8:$BV$103,COLUMN(기본데이타!H$8),0))</f>
        <v/>
      </c>
      <c r="G102" s="9" t="str">
        <f>IF($A102="","",VLOOKUP($A102,기본데이타!$A$8:$BV$103,COLUMN(기본데이타!I$8),0))</f>
        <v/>
      </c>
      <c r="H102" s="9" t="str">
        <f>IF($A102="","",VLOOKUP($A102,기본데이타!$A$8:$BV$103,COLUMN(기본데이타!J$8),0))</f>
        <v/>
      </c>
      <c r="I102" s="17" t="str">
        <f>IF($A102="","",VLOOKUP($A102,기본데이타!$A$8:$BV$103,COLUMN(기본데이타!AJ$8),0))</f>
        <v/>
      </c>
      <c r="J102" s="381" t="str">
        <f>IF($A102="","",VLOOKUP($A102,기본데이타!$A$8:$BV$103,COLUMN(기본데이타!AK$8),0))</f>
        <v/>
      </c>
      <c r="K102" s="381" t="str">
        <f>IF($A102="","",VLOOKUP($A102,기본데이타!$A$8:$BV$103,COLUMN(기본데이타!AL$8),0))</f>
        <v/>
      </c>
      <c r="L102" s="381" t="str">
        <f>IF($A102="","",VLOOKUP($A102,기본데이타!$A$8:$BV$103,COLUMN(기본데이타!AM$8),0))</f>
        <v/>
      </c>
      <c r="M102" s="381" t="str">
        <f>IF($A102="","",VLOOKUP($A102,기본데이타!$A$8:$BV$103,COLUMN(기본데이타!AN$8),0))</f>
        <v/>
      </c>
      <c r="N102" s="381" t="str">
        <f>IF($A102="","",VLOOKUP($A102,기본데이타!$A$8:$BV$103,COLUMN(기본데이타!AO$8),0))</f>
        <v/>
      </c>
      <c r="O102" s="381" t="str">
        <f>IF($A102="","",VLOOKUP($A102,기본데이타!$A$8:$BV$103,COLUMN(기본데이타!AP$8),0))</f>
        <v/>
      </c>
      <c r="P102" s="381" t="str">
        <f>IF($A102="","",VLOOKUP($A102,기본데이타!$A$8:$BV$103,COLUMN(기본데이타!AQ$8),0))</f>
        <v/>
      </c>
      <c r="Q102" s="381" t="str">
        <f>IF($A102="","",VLOOKUP($A102,기본데이타!$A$8:$BV$103,COLUMN(기본데이타!AR$8),0))</f>
        <v/>
      </c>
      <c r="R102" s="381" t="str">
        <f>IF($A102="","",VLOOKUP($A102,기본데이타!$A$8:$BV$103,COLUMN(기본데이타!AS$8),0))</f>
        <v/>
      </c>
      <c r="S102" s="381" t="str">
        <f>IF($A102="","",VLOOKUP($A102,기본데이타!$A$8:$BV$103,COLUMN(기본데이타!AT$8),0))</f>
        <v/>
      </c>
      <c r="T102" s="381" t="str">
        <f>IF($A102="","",VLOOKUP($A102,기본데이타!$A$8:$BV$103,COLUMN(기본데이타!AU$8),0))</f>
        <v/>
      </c>
      <c r="U102" s="381" t="str">
        <f>IF($A102="","",VLOOKUP($A102,기본데이타!$A$8:$BV$103,COLUMN(기본데이타!AV$8),0))</f>
        <v/>
      </c>
      <c r="V102" s="16" t="str">
        <f>IF($A102="","",VLOOKUP($A102,기본데이타!$A$8:$BV$103,COLUMN(기본데이타!AW$8),0))</f>
        <v/>
      </c>
      <c r="W102" s="16" t="str">
        <f>IF($A102="","",VLOOKUP($A102,기본데이타!$A$8:$BV$103,COLUMN(기본데이타!AX$8),0))</f>
        <v/>
      </c>
      <c r="X102" s="16" t="str">
        <f>IF($A102="","",VLOOKUP($A102,기본데이타!$A$8:$BV$103,COLUMN(기본데이타!AY$8),0))</f>
        <v/>
      </c>
      <c r="Y102" s="16" t="str">
        <f>IF($A102="","",VLOOKUP($A102,기본데이타!$A$8:$BV$103,COLUMN(기본데이타!AZ$8),0))</f>
        <v/>
      </c>
      <c r="Z102" s="17" t="str">
        <f>IF($A102="","",VLOOKUP($A102,기본데이타!$A$8:$BV$103,COLUMN(기본데이타!BN$8),0))</f>
        <v/>
      </c>
      <c r="AA102" s="17" t="str">
        <f>IF($A102="","",VLOOKUP($A102,기본데이타!$A$8:$BV$103,COLUMN(기본데이타!BO$8),0))</f>
        <v/>
      </c>
      <c r="AB102" s="17" t="str">
        <f>IF($A102="","",VLOOKUP($A102,기본데이타!$A$8:$BV$103,COLUMN(기본데이타!BP$8),0))</f>
        <v/>
      </c>
      <c r="AC102" s="17" t="str">
        <f>IF($A102="","",VLOOKUP($A102,기본데이타!$A$8:$BV$103,COLUMN(기본데이타!BQ$8),0))</f>
        <v/>
      </c>
      <c r="AD102" s="17" t="str">
        <f>IF($A102="","",VLOOKUP($A102,기본데이타!$A$8:$BV$103,COLUMN(기본데이타!BR$8),0))</f>
        <v/>
      </c>
      <c r="AE102" s="17" t="str">
        <f>IF($A102="","",VLOOKUP($A102,기본데이타!$A$8:$BV$103,COLUMN(기본데이타!BS$8),0))</f>
        <v/>
      </c>
      <c r="AF102" s="524" t="str">
        <f>IF($A102="","",VLOOKUP($A102,기본데이타!$A$8:$BV$103,COLUMN(기본데이타!BT$8),0))</f>
        <v/>
      </c>
      <c r="AG102" s="432" t="str">
        <f>IF($A102="","",VLOOKUP($A102,기본데이타!$A$8:$BV$103,COLUMN(기본데이타!BU$8),0))</f>
        <v/>
      </c>
      <c r="AH102" s="18" t="str">
        <f t="shared" si="28"/>
        <v/>
      </c>
    </row>
    <row r="103" spans="1:35" s="187" customFormat="1" ht="35.1" hidden="1" customHeight="1">
      <c r="A103" s="189"/>
      <c r="C103" s="1283"/>
      <c r="D103" s="1090" t="str">
        <f>IF($A103="","",VLOOKUP($A103,기본데이타!$A$8:$BV$103,COLUMN(기본데이타!F$8),0))</f>
        <v/>
      </c>
      <c r="E103" s="1091" t="str">
        <f>IF($A103="","",VLOOKUP($A103,기본데이타!$A$8:$BV$103,COLUMN(기본데이타!G$8),0))</f>
        <v/>
      </c>
      <c r="F103" s="1092" t="str">
        <f>IF($A103="","",VLOOKUP($A103,기본데이타!$A$8:$BV$103,COLUMN(기본데이타!H$8),0))</f>
        <v/>
      </c>
      <c r="G103" s="1092" t="str">
        <f>IF($A103="","",VLOOKUP($A103,기본데이타!$A$8:$BV$103,COLUMN(기본데이타!I$8),0))</f>
        <v/>
      </c>
      <c r="H103" s="1092" t="str">
        <f>IF($A103="","",VLOOKUP($A103,기본데이타!$A$8:$BV$103,COLUMN(기본데이타!J$8),0))</f>
        <v/>
      </c>
      <c r="I103" s="1093" t="str">
        <f>IF($A103="","",VLOOKUP($A103,기본데이타!$A$8:$BV$103,COLUMN(기본데이타!AJ$8),0))</f>
        <v/>
      </c>
      <c r="J103" s="1284" t="str">
        <f>IF($A103="","",VLOOKUP($A103,기본데이타!$A$8:$BV$103,COLUMN(기본데이타!AK$8),0))</f>
        <v/>
      </c>
      <c r="K103" s="1284" t="str">
        <f>IF($A103="","",VLOOKUP($A103,기본데이타!$A$8:$BV$103,COLUMN(기본데이타!AL$8),0))</f>
        <v/>
      </c>
      <c r="L103" s="1284" t="str">
        <f>IF($A103="","",VLOOKUP($A103,기본데이타!$A$8:$BV$103,COLUMN(기본데이타!AM$8),0))</f>
        <v/>
      </c>
      <c r="M103" s="1284" t="str">
        <f>IF($A103="","",VLOOKUP($A103,기본데이타!$A$8:$BV$103,COLUMN(기본데이타!AN$8),0))</f>
        <v/>
      </c>
      <c r="N103" s="1284" t="str">
        <f>IF($A103="","",VLOOKUP($A103,기본데이타!$A$8:$BV$103,COLUMN(기본데이타!AO$8),0))</f>
        <v/>
      </c>
      <c r="O103" s="1284" t="str">
        <f>IF($A103="","",VLOOKUP($A103,기본데이타!$A$8:$BV$103,COLUMN(기본데이타!AP$8),0))</f>
        <v/>
      </c>
      <c r="P103" s="1284" t="str">
        <f>IF($A103="","",VLOOKUP($A103,기본데이타!$A$8:$BV$103,COLUMN(기본데이타!AQ$8),0))</f>
        <v/>
      </c>
      <c r="Q103" s="1284" t="str">
        <f>IF($A103="","",VLOOKUP($A103,기본데이타!$A$8:$BV$103,COLUMN(기본데이타!AR$8),0))</f>
        <v/>
      </c>
      <c r="R103" s="1284" t="str">
        <f>IF($A103="","",VLOOKUP($A103,기본데이타!$A$8:$BV$103,COLUMN(기본데이타!AS$8),0))</f>
        <v/>
      </c>
      <c r="S103" s="1284" t="str">
        <f>IF($A103="","",VLOOKUP($A103,기본데이타!$A$8:$BV$103,COLUMN(기본데이타!AT$8),0))</f>
        <v/>
      </c>
      <c r="T103" s="1284" t="str">
        <f>IF($A103="","",VLOOKUP($A103,기본데이타!$A$8:$BV$103,COLUMN(기본데이타!AU$8),0))</f>
        <v/>
      </c>
      <c r="U103" s="1284" t="str">
        <f>IF($A103="","",VLOOKUP($A103,기본데이타!$A$8:$BV$103,COLUMN(기본데이타!AV$8),0))</f>
        <v/>
      </c>
      <c r="V103" s="1094" t="str">
        <f>IF($A103="","",VLOOKUP($A103,기본데이타!$A$8:$BV$103,COLUMN(기본데이타!AW$8),0))</f>
        <v/>
      </c>
      <c r="W103" s="1094" t="str">
        <f>IF($A103="","",VLOOKUP($A103,기본데이타!$A$8:$BV$103,COLUMN(기본데이타!AX$8),0))</f>
        <v/>
      </c>
      <c r="X103" s="1094" t="str">
        <f>IF($A103="","",VLOOKUP($A103,기본데이타!$A$8:$BV$103,COLUMN(기본데이타!AY$8),0))</f>
        <v/>
      </c>
      <c r="Y103" s="1094" t="str">
        <f>IF($A103="","",VLOOKUP($A103,기본데이타!$A$8:$BV$103,COLUMN(기본데이타!AZ$8),0))</f>
        <v/>
      </c>
      <c r="Z103" s="1093" t="str">
        <f>IF($A103="","",VLOOKUP($A103,기본데이타!$A$8:$BV$103,COLUMN(기본데이타!BN$8),0))</f>
        <v/>
      </c>
      <c r="AA103" s="1093" t="str">
        <f>IF($A103="","",VLOOKUP($A103,기본데이타!$A$8:$BV$103,COLUMN(기본데이타!BO$8),0))</f>
        <v/>
      </c>
      <c r="AB103" s="1093" t="str">
        <f>IF($A103="","",VLOOKUP($A103,기본데이타!$A$8:$BV$103,COLUMN(기본데이타!BP$8),0))</f>
        <v/>
      </c>
      <c r="AC103" s="1093" t="str">
        <f>IF($A103="","",VLOOKUP($A103,기본데이타!$A$8:$BV$103,COLUMN(기본데이타!BQ$8),0))</f>
        <v/>
      </c>
      <c r="AD103" s="1093" t="str">
        <f>IF($A103="","",VLOOKUP($A103,기본데이타!$A$8:$BV$103,COLUMN(기본데이타!BR$8),0))</f>
        <v/>
      </c>
      <c r="AE103" s="1093" t="str">
        <f>IF($A103="","",VLOOKUP($A103,기본데이타!$A$8:$BV$103,COLUMN(기본데이타!BS$8),0))</f>
        <v/>
      </c>
      <c r="AF103" s="1095" t="str">
        <f>IF($A103="","",VLOOKUP($A103,기본데이타!$A$8:$BV$103,COLUMN(기본데이타!BT$8),0))</f>
        <v/>
      </c>
      <c r="AG103" s="1096" t="str">
        <f>IF($A103="","",VLOOKUP($A103,기본데이타!$A$8:$BV$103,COLUMN(기본데이타!BU$8),0))</f>
        <v/>
      </c>
      <c r="AH103" s="1097" t="str">
        <f t="shared" si="28"/>
        <v/>
      </c>
    </row>
    <row r="104" spans="1:35" s="187" customFormat="1" ht="35.1" hidden="1" customHeight="1">
      <c r="A104" s="189"/>
      <c r="C104" s="193"/>
      <c r="D104" s="308">
        <f>COUNTA(A92:A104)</f>
        <v>0</v>
      </c>
      <c r="E104" s="309">
        <f t="shared" ref="E104:AC104" si="29">SUM(E92:E103)</f>
        <v>0</v>
      </c>
      <c r="F104" s="310">
        <f t="shared" si="29"/>
        <v>0</v>
      </c>
      <c r="G104" s="310">
        <f t="shared" si="29"/>
        <v>0</v>
      </c>
      <c r="H104" s="310">
        <f t="shared" si="29"/>
        <v>0</v>
      </c>
      <c r="I104" s="311">
        <f t="shared" si="29"/>
        <v>0</v>
      </c>
      <c r="J104" s="382">
        <f t="shared" si="29"/>
        <v>0</v>
      </c>
      <c r="K104" s="382">
        <f t="shared" si="29"/>
        <v>0</v>
      </c>
      <c r="L104" s="382">
        <f t="shared" si="29"/>
        <v>0</v>
      </c>
      <c r="M104" s="382">
        <f t="shared" si="29"/>
        <v>0</v>
      </c>
      <c r="N104" s="382">
        <f t="shared" si="29"/>
        <v>0</v>
      </c>
      <c r="O104" s="382">
        <f t="shared" si="29"/>
        <v>0</v>
      </c>
      <c r="P104" s="382">
        <f t="shared" si="29"/>
        <v>0</v>
      </c>
      <c r="Q104" s="382">
        <f t="shared" si="29"/>
        <v>0</v>
      </c>
      <c r="R104" s="382">
        <f t="shared" si="29"/>
        <v>0</v>
      </c>
      <c r="S104" s="382">
        <f t="shared" si="29"/>
        <v>0</v>
      </c>
      <c r="T104" s="382">
        <f t="shared" si="29"/>
        <v>0</v>
      </c>
      <c r="U104" s="382">
        <f t="shared" si="29"/>
        <v>0</v>
      </c>
      <c r="V104" s="312">
        <f t="shared" si="29"/>
        <v>0</v>
      </c>
      <c r="W104" s="312">
        <f t="shared" si="29"/>
        <v>0</v>
      </c>
      <c r="X104" s="312">
        <f t="shared" si="29"/>
        <v>0</v>
      </c>
      <c r="Y104" s="312">
        <f t="shared" si="29"/>
        <v>0</v>
      </c>
      <c r="Z104" s="311">
        <f t="shared" si="29"/>
        <v>0</v>
      </c>
      <c r="AA104" s="311">
        <f t="shared" si="29"/>
        <v>0</v>
      </c>
      <c r="AB104" s="311">
        <f t="shared" si="29"/>
        <v>0</v>
      </c>
      <c r="AC104" s="311">
        <f t="shared" si="29"/>
        <v>0</v>
      </c>
      <c r="AD104" s="313"/>
      <c r="AE104" s="314">
        <f>IF(COUNTA(AE92:AE103)=1,AE92,용도별분석!BQ20)</f>
        <v>0</v>
      </c>
      <c r="AF104" s="808">
        <f>용도별분석!BR7</f>
        <v>80.658150909601218</v>
      </c>
      <c r="AG104" s="434">
        <f>용도별분석!BS7</f>
        <v>5962.5</v>
      </c>
      <c r="AH104" s="298" t="str">
        <f t="shared" si="28"/>
        <v/>
      </c>
      <c r="AI104" s="264">
        <f>AE104-SUM(AE92:AE103)</f>
        <v>0</v>
      </c>
    </row>
    <row r="105" spans="1:35" s="187" customFormat="1" ht="35.1" hidden="1" customHeight="1">
      <c r="A105" s="189"/>
      <c r="C105" s="194" t="s">
        <v>409</v>
      </c>
      <c r="D105" s="247" t="str">
        <f>IF($A105="","",VLOOKUP($A105,기본데이타!$A$8:$BV$103,COLUMN(기본데이타!F$8),0))</f>
        <v/>
      </c>
      <c r="E105" s="248" t="str">
        <f>IF($A105="","",VLOOKUP($A105,기본데이타!$A$8:$BV$103,COLUMN(기본데이타!G$8),0))</f>
        <v/>
      </c>
      <c r="F105" s="249" t="str">
        <f>IF($A105="","",VLOOKUP($A105,기본데이타!$A$8:$BV$103,COLUMN(기본데이타!H$8),0))</f>
        <v/>
      </c>
      <c r="G105" s="249" t="str">
        <f>IF($A105="","",VLOOKUP($A105,기본데이타!$A$8:$BV$103,COLUMN(기본데이타!I$8),0))</f>
        <v/>
      </c>
      <c r="H105" s="249" t="str">
        <f>IF($A105="","",VLOOKUP($A105,기본데이타!$A$8:$BV$103,COLUMN(기본데이타!J$8),0))</f>
        <v/>
      </c>
      <c r="I105" s="250" t="str">
        <f>IF($A105="","",VLOOKUP($A105,기본데이타!$A$8:$BV$103,COLUMN(기본데이타!AJ$8),0))</f>
        <v/>
      </c>
      <c r="J105" s="376" t="str">
        <f>IF($A105="","",VLOOKUP($A105,기본데이타!$A$8:$BV$103,COLUMN(기본데이타!AK$8),0))</f>
        <v/>
      </c>
      <c r="K105" s="376" t="str">
        <f>IF($A105="","",VLOOKUP($A105,기본데이타!$A$8:$BV$103,COLUMN(기본데이타!AL$8),0))</f>
        <v/>
      </c>
      <c r="L105" s="376" t="str">
        <f>IF($A105="","",VLOOKUP($A105,기본데이타!$A$8:$BV$103,COLUMN(기본데이타!AM$8),0))</f>
        <v/>
      </c>
      <c r="M105" s="376" t="str">
        <f>IF($A105="","",VLOOKUP($A105,기본데이타!$A$8:$BV$103,COLUMN(기본데이타!AN$8),0))</f>
        <v/>
      </c>
      <c r="N105" s="376" t="str">
        <f>IF($A105="","",VLOOKUP($A105,기본데이타!$A$8:$BV$103,COLUMN(기본데이타!AO$8),0))</f>
        <v/>
      </c>
      <c r="O105" s="376" t="str">
        <f>IF($A105="","",VLOOKUP($A105,기본데이타!$A$8:$BV$103,COLUMN(기본데이타!AP$8),0))</f>
        <v/>
      </c>
      <c r="P105" s="376" t="str">
        <f>IF($A105="","",VLOOKUP($A105,기본데이타!$A$8:$BV$103,COLUMN(기본데이타!AQ$8),0))</f>
        <v/>
      </c>
      <c r="Q105" s="376" t="str">
        <f>IF($A105="","",VLOOKUP($A105,기본데이타!$A$8:$BV$103,COLUMN(기본데이타!AR$8),0))</f>
        <v/>
      </c>
      <c r="R105" s="376" t="str">
        <f>IF($A105="","",VLOOKUP($A105,기본데이타!$A$8:$BV$103,COLUMN(기본데이타!AS$8),0))</f>
        <v/>
      </c>
      <c r="S105" s="376" t="str">
        <f>IF($A105="","",VLOOKUP($A105,기본데이타!$A$8:$BV$103,COLUMN(기본데이타!AT$8),0))</f>
        <v/>
      </c>
      <c r="T105" s="376" t="str">
        <f>IF($A105="","",VLOOKUP($A105,기본데이타!$A$8:$BV$103,COLUMN(기본데이타!AU$8),0))</f>
        <v/>
      </c>
      <c r="U105" s="376" t="str">
        <f>IF($A105="","",VLOOKUP($A105,기본데이타!$A$8:$BV$103,COLUMN(기본데이타!AV$8),0))</f>
        <v/>
      </c>
      <c r="V105" s="188" t="str">
        <f>IF($A105="","",VLOOKUP($A105,기본데이타!$A$8:$BV$103,COLUMN(기본데이타!AW$8),0))</f>
        <v/>
      </c>
      <c r="W105" s="188" t="str">
        <f>IF($A105="","",VLOOKUP($A105,기본데이타!$A$8:$BV$103,COLUMN(기본데이타!AX$8),0))</f>
        <v/>
      </c>
      <c r="X105" s="188" t="str">
        <f>IF($A105="","",VLOOKUP($A105,기본데이타!$A$8:$BV$103,COLUMN(기본데이타!AY$8),0))</f>
        <v/>
      </c>
      <c r="Y105" s="188" t="str">
        <f>IF($A105="","",VLOOKUP($A105,기본데이타!$A$8:$BV$103,COLUMN(기본데이타!AZ$8),0))</f>
        <v/>
      </c>
      <c r="Z105" s="250" t="str">
        <f>IF($A105="","",VLOOKUP($A105,기본데이타!$A$8:$BV$103,COLUMN(기본데이타!BN$8),0))</f>
        <v/>
      </c>
      <c r="AA105" s="250" t="str">
        <f>IF($A105="","",VLOOKUP($A105,기본데이타!$A$8:$BV$103,COLUMN(기본데이타!BO$8),0))</f>
        <v/>
      </c>
      <c r="AB105" s="250" t="str">
        <f>IF($A105="","",VLOOKUP($A105,기본데이타!$A$8:$BV$103,COLUMN(기본데이타!BP$8),0))</f>
        <v/>
      </c>
      <c r="AC105" s="250" t="str">
        <f>IF($A105="","",VLOOKUP($A105,기본데이타!$A$8:$BV$103,COLUMN(기본데이타!BQ$8),0))</f>
        <v/>
      </c>
      <c r="AD105" s="250" t="str">
        <f>IF($A105="","",VLOOKUP($A105,기본데이타!$A$8:$BV$103,COLUMN(기본데이타!BR$8),0))</f>
        <v/>
      </c>
      <c r="AE105" s="250" t="str">
        <f>IF($A105="","",VLOOKUP($A105,기본데이타!$A$8:$BV$103,COLUMN(기본데이타!BS$8),0))</f>
        <v/>
      </c>
      <c r="AF105" s="523" t="str">
        <f>IF($A105="","",VLOOKUP($A105,기본데이타!$A$8:$BV$103,COLUMN(기본데이타!BT$8),0))</f>
        <v/>
      </c>
      <c r="AG105" s="435" t="str">
        <f>IF($A105="","",VLOOKUP($A105,기본데이타!$A$8:$BV$103,COLUMN(기본데이타!BU$8),0))</f>
        <v/>
      </c>
      <c r="AH105" s="251" t="str">
        <f t="shared" ref="AH105:AH117" si="30">IF(A105="","",A105)</f>
        <v/>
      </c>
    </row>
    <row r="106" spans="1:35" s="187" customFormat="1" ht="35.1" hidden="1" customHeight="1">
      <c r="A106" s="189"/>
      <c r="C106" s="190"/>
      <c r="D106" s="8" t="str">
        <f>IF($A106="","",VLOOKUP($A106,기본데이타!$A$8:$BV$103,COLUMN(기본데이타!F$8),0))</f>
        <v/>
      </c>
      <c r="E106" s="252" t="str">
        <f>IF($A106="","",VLOOKUP($A106,기본데이타!$A$8:$BV$103,COLUMN(기본데이타!G$8),0))</f>
        <v/>
      </c>
      <c r="F106" s="15" t="str">
        <f>IF($A106="","",VLOOKUP($A106,기본데이타!$A$8:$BV$103,COLUMN(기본데이타!H$8),0))</f>
        <v/>
      </c>
      <c r="G106" s="15" t="str">
        <f>IF($A106="","",VLOOKUP($A106,기본데이타!$A$8:$BV$103,COLUMN(기본데이타!I$8),0))</f>
        <v/>
      </c>
      <c r="H106" s="15" t="str">
        <f>IF($A106="","",VLOOKUP($A106,기본데이타!$A$8:$BV$103,COLUMN(기본데이타!J$8),0))</f>
        <v/>
      </c>
      <c r="I106" s="17" t="str">
        <f>IF($A106="","",VLOOKUP($A106,기본데이타!$A$8:$BV$103,COLUMN(기본데이타!AJ$8),0))</f>
        <v/>
      </c>
      <c r="J106" s="381" t="str">
        <f>IF($A106="","",VLOOKUP($A106,기본데이타!$A$8:$BV$103,COLUMN(기본데이타!AK$8),0))</f>
        <v/>
      </c>
      <c r="K106" s="381" t="str">
        <f>IF($A106="","",VLOOKUP($A106,기본데이타!$A$8:$BV$103,COLUMN(기본데이타!AL$8),0))</f>
        <v/>
      </c>
      <c r="L106" s="381" t="str">
        <f>IF($A106="","",VLOOKUP($A106,기본데이타!$A$8:$BV$103,COLUMN(기본데이타!AM$8),0))</f>
        <v/>
      </c>
      <c r="M106" s="381" t="str">
        <f>IF($A106="","",VLOOKUP($A106,기본데이타!$A$8:$BV$103,COLUMN(기본데이타!AN$8),0))</f>
        <v/>
      </c>
      <c r="N106" s="381" t="str">
        <f>IF($A106="","",VLOOKUP($A106,기본데이타!$A$8:$BV$103,COLUMN(기본데이타!AO$8),0))</f>
        <v/>
      </c>
      <c r="O106" s="381" t="str">
        <f>IF($A106="","",VLOOKUP($A106,기본데이타!$A$8:$BV$103,COLUMN(기본데이타!AP$8),0))</f>
        <v/>
      </c>
      <c r="P106" s="381" t="str">
        <f>IF($A106="","",VLOOKUP($A106,기본데이타!$A$8:$BV$103,COLUMN(기본데이타!AQ$8),0))</f>
        <v/>
      </c>
      <c r="Q106" s="381" t="str">
        <f>IF($A106="","",VLOOKUP($A106,기본데이타!$A$8:$BV$103,COLUMN(기본데이타!AR$8),0))</f>
        <v/>
      </c>
      <c r="R106" s="381" t="str">
        <f>IF($A106="","",VLOOKUP($A106,기본데이타!$A$8:$BV$103,COLUMN(기본데이타!AS$8),0))</f>
        <v/>
      </c>
      <c r="S106" s="381" t="str">
        <f>IF($A106="","",VLOOKUP($A106,기본데이타!$A$8:$BV$103,COLUMN(기본데이타!AT$8),0))</f>
        <v/>
      </c>
      <c r="T106" s="381" t="str">
        <f>IF($A106="","",VLOOKUP($A106,기본데이타!$A$8:$BV$103,COLUMN(기본데이타!AU$8),0))</f>
        <v/>
      </c>
      <c r="U106" s="381" t="str">
        <f>IF($A106="","",VLOOKUP($A106,기본데이타!$A$8:$BV$103,COLUMN(기본데이타!AV$8),0))</f>
        <v/>
      </c>
      <c r="V106" s="16" t="str">
        <f>IF($A106="","",VLOOKUP($A106,기본데이타!$A$8:$BV$103,COLUMN(기본데이타!AW$8),0))</f>
        <v/>
      </c>
      <c r="W106" s="16" t="str">
        <f>IF($A106="","",VLOOKUP($A106,기본데이타!$A$8:$BV$103,COLUMN(기본데이타!AX$8),0))</f>
        <v/>
      </c>
      <c r="X106" s="16" t="str">
        <f>IF($A106="","",VLOOKUP($A106,기본데이타!$A$8:$BV$103,COLUMN(기본데이타!AY$8),0))</f>
        <v/>
      </c>
      <c r="Y106" s="16" t="str">
        <f>IF($A106="","",VLOOKUP($A106,기본데이타!$A$8:$BV$103,COLUMN(기본데이타!AZ$8),0))</f>
        <v/>
      </c>
      <c r="Z106" s="17" t="str">
        <f>IF($A106="","",VLOOKUP($A106,기본데이타!$A$8:$BV$103,COLUMN(기본데이타!BN$8),0))</f>
        <v/>
      </c>
      <c r="AA106" s="17" t="str">
        <f>IF($A106="","",VLOOKUP($A106,기본데이타!$A$8:$BV$103,COLUMN(기본데이타!BO$8),0))</f>
        <v/>
      </c>
      <c r="AB106" s="17" t="str">
        <f>IF($A106="","",VLOOKUP($A106,기본데이타!$A$8:$BV$103,COLUMN(기본데이타!BP$8),0))</f>
        <v/>
      </c>
      <c r="AC106" s="17" t="str">
        <f>IF($A106="","",VLOOKUP($A106,기본데이타!$A$8:$BV$103,COLUMN(기본데이타!BQ$8),0))</f>
        <v/>
      </c>
      <c r="AD106" s="17" t="str">
        <f>IF($A106="","",VLOOKUP($A106,기본데이타!$A$8:$BV$103,COLUMN(기본데이타!BR$8),0))</f>
        <v/>
      </c>
      <c r="AE106" s="17" t="str">
        <f>IF($A106="","",VLOOKUP($A106,기본데이타!$A$8:$BV$103,COLUMN(기본데이타!BS$8),0))</f>
        <v/>
      </c>
      <c r="AF106" s="524" t="str">
        <f>IF($A106="","",VLOOKUP($A106,기본데이타!$A$8:$BV$103,COLUMN(기본데이타!BT$8),0))</f>
        <v/>
      </c>
      <c r="AG106" s="432" t="str">
        <f>IF($A106="","",VLOOKUP($A106,기본데이타!$A$8:$BV$103,COLUMN(기본데이타!BU$8),0))</f>
        <v/>
      </c>
      <c r="AH106" s="18" t="str">
        <f t="shared" si="30"/>
        <v/>
      </c>
    </row>
    <row r="107" spans="1:35" s="187" customFormat="1" ht="35.1" hidden="1" customHeight="1">
      <c r="A107" s="189"/>
      <c r="C107" s="190"/>
      <c r="D107" s="8" t="str">
        <f>IF($A107="","",VLOOKUP($A107,기본데이타!$A$8:$BV$103,COLUMN(기본데이타!F$8),0))</f>
        <v/>
      </c>
      <c r="E107" s="252" t="str">
        <f>IF($A107="","",VLOOKUP($A107,기본데이타!$A$8:$BV$103,COLUMN(기본데이타!G$8),0))</f>
        <v/>
      </c>
      <c r="F107" s="15" t="str">
        <f>IF($A107="","",VLOOKUP($A107,기본데이타!$A$8:$BV$103,COLUMN(기본데이타!H$8),0))</f>
        <v/>
      </c>
      <c r="G107" s="15" t="str">
        <f>IF($A107="","",VLOOKUP($A107,기본데이타!$A$8:$BV$103,COLUMN(기본데이타!I$8),0))</f>
        <v/>
      </c>
      <c r="H107" s="15" t="str">
        <f>IF($A107="","",VLOOKUP($A107,기본데이타!$A$8:$BV$103,COLUMN(기본데이타!J$8),0))</f>
        <v/>
      </c>
      <c r="I107" s="17" t="str">
        <f>IF($A107="","",VLOOKUP($A107,기본데이타!$A$8:$BV$103,COLUMN(기본데이타!AJ$8),0))</f>
        <v/>
      </c>
      <c r="J107" s="381" t="str">
        <f>IF($A107="","",VLOOKUP($A107,기본데이타!$A$8:$BV$103,COLUMN(기본데이타!AK$8),0))</f>
        <v/>
      </c>
      <c r="K107" s="381" t="str">
        <f>IF($A107="","",VLOOKUP($A107,기본데이타!$A$8:$BV$103,COLUMN(기본데이타!AL$8),0))</f>
        <v/>
      </c>
      <c r="L107" s="381" t="str">
        <f>IF($A107="","",VLOOKUP($A107,기본데이타!$A$8:$BV$103,COLUMN(기본데이타!AM$8),0))</f>
        <v/>
      </c>
      <c r="M107" s="381" t="str">
        <f>IF($A107="","",VLOOKUP($A107,기본데이타!$A$8:$BV$103,COLUMN(기본데이타!AN$8),0))</f>
        <v/>
      </c>
      <c r="N107" s="381" t="str">
        <f>IF($A107="","",VLOOKUP($A107,기본데이타!$A$8:$BV$103,COLUMN(기본데이타!AO$8),0))</f>
        <v/>
      </c>
      <c r="O107" s="381" t="str">
        <f>IF($A107="","",VLOOKUP($A107,기본데이타!$A$8:$BV$103,COLUMN(기본데이타!AP$8),0))</f>
        <v/>
      </c>
      <c r="P107" s="381" t="str">
        <f>IF($A107="","",VLOOKUP($A107,기본데이타!$A$8:$BV$103,COLUMN(기본데이타!AQ$8),0))</f>
        <v/>
      </c>
      <c r="Q107" s="381" t="str">
        <f>IF($A107="","",VLOOKUP($A107,기본데이타!$A$8:$BV$103,COLUMN(기본데이타!AR$8),0))</f>
        <v/>
      </c>
      <c r="R107" s="381" t="str">
        <f>IF($A107="","",VLOOKUP($A107,기본데이타!$A$8:$BV$103,COLUMN(기본데이타!AS$8),0))</f>
        <v/>
      </c>
      <c r="S107" s="381" t="str">
        <f>IF($A107="","",VLOOKUP($A107,기본데이타!$A$8:$BV$103,COLUMN(기본데이타!AT$8),0))</f>
        <v/>
      </c>
      <c r="T107" s="381" t="str">
        <f>IF($A107="","",VLOOKUP($A107,기본데이타!$A$8:$BV$103,COLUMN(기본데이타!AU$8),0))</f>
        <v/>
      </c>
      <c r="U107" s="381" t="str">
        <f>IF($A107="","",VLOOKUP($A107,기본데이타!$A$8:$BV$103,COLUMN(기본데이타!AV$8),0))</f>
        <v/>
      </c>
      <c r="V107" s="16" t="str">
        <f>IF($A107="","",VLOOKUP($A107,기본데이타!$A$8:$BV$103,COLUMN(기본데이타!AW$8),0))</f>
        <v/>
      </c>
      <c r="W107" s="16" t="str">
        <f>IF($A107="","",VLOOKUP($A107,기본데이타!$A$8:$BV$103,COLUMN(기본데이타!AX$8),0))</f>
        <v/>
      </c>
      <c r="X107" s="16" t="str">
        <f>IF($A107="","",VLOOKUP($A107,기본데이타!$A$8:$BV$103,COLUMN(기본데이타!AY$8),0))</f>
        <v/>
      </c>
      <c r="Y107" s="16" t="str">
        <f>IF($A107="","",VLOOKUP($A107,기본데이타!$A$8:$BV$103,COLUMN(기본데이타!AZ$8),0))</f>
        <v/>
      </c>
      <c r="Z107" s="17" t="str">
        <f>IF($A107="","",VLOOKUP($A107,기본데이타!$A$8:$BV$103,COLUMN(기본데이타!BN$8),0))</f>
        <v/>
      </c>
      <c r="AA107" s="17" t="str">
        <f>IF($A107="","",VLOOKUP($A107,기본데이타!$A$8:$BV$103,COLUMN(기본데이타!BO$8),0))</f>
        <v/>
      </c>
      <c r="AB107" s="17" t="str">
        <f>IF($A107="","",VLOOKUP($A107,기본데이타!$A$8:$BV$103,COLUMN(기본데이타!BP$8),0))</f>
        <v/>
      </c>
      <c r="AC107" s="17" t="str">
        <f>IF($A107="","",VLOOKUP($A107,기본데이타!$A$8:$BV$103,COLUMN(기본데이타!BQ$8),0))</f>
        <v/>
      </c>
      <c r="AD107" s="17" t="str">
        <f>IF($A107="","",VLOOKUP($A107,기본데이타!$A$8:$BV$103,COLUMN(기본데이타!BR$8),0))</f>
        <v/>
      </c>
      <c r="AE107" s="17" t="str">
        <f>IF($A107="","",VLOOKUP($A107,기본데이타!$A$8:$BV$103,COLUMN(기본데이타!BS$8),0))</f>
        <v/>
      </c>
      <c r="AF107" s="524" t="str">
        <f>IF($A107="","",VLOOKUP($A107,기본데이타!$A$8:$BV$103,COLUMN(기본데이타!BT$8),0))</f>
        <v/>
      </c>
      <c r="AG107" s="432" t="str">
        <f>IF($A107="","",VLOOKUP($A107,기본데이타!$A$8:$BV$103,COLUMN(기본데이타!BU$8),0))</f>
        <v/>
      </c>
      <c r="AH107" s="18" t="str">
        <f t="shared" si="30"/>
        <v/>
      </c>
    </row>
    <row r="108" spans="1:35" s="187" customFormat="1" ht="35.1" hidden="1" customHeight="1">
      <c r="A108" s="189"/>
      <c r="C108" s="190"/>
      <c r="D108" s="8" t="str">
        <f>IF($A108="","",VLOOKUP($A108,기본데이타!$A$8:$BV$103,COLUMN(기본데이타!F$8),0))</f>
        <v/>
      </c>
      <c r="E108" s="252" t="str">
        <f>IF($A108="","",VLOOKUP($A108,기본데이타!$A$8:$BV$103,COLUMN(기본데이타!G$8),0))</f>
        <v/>
      </c>
      <c r="F108" s="15" t="str">
        <f>IF($A108="","",VLOOKUP($A108,기본데이타!$A$8:$BV$103,COLUMN(기본데이타!H$8),0))</f>
        <v/>
      </c>
      <c r="G108" s="15" t="str">
        <f>IF($A108="","",VLOOKUP($A108,기본데이타!$A$8:$BV$103,COLUMN(기본데이타!I$8),0))</f>
        <v/>
      </c>
      <c r="H108" s="15" t="str">
        <f>IF($A108="","",VLOOKUP($A108,기본데이타!$A$8:$BV$103,COLUMN(기본데이타!J$8),0))</f>
        <v/>
      </c>
      <c r="I108" s="17" t="str">
        <f>IF($A108="","",VLOOKUP($A108,기본데이타!$A$8:$BV$103,COLUMN(기본데이타!AJ$8),0))</f>
        <v/>
      </c>
      <c r="J108" s="381" t="str">
        <f>IF($A108="","",VLOOKUP($A108,기본데이타!$A$8:$BV$103,COLUMN(기본데이타!AK$8),0))</f>
        <v/>
      </c>
      <c r="K108" s="381" t="str">
        <f>IF($A108="","",VLOOKUP($A108,기본데이타!$A$8:$BV$103,COLUMN(기본데이타!AL$8),0))</f>
        <v/>
      </c>
      <c r="L108" s="381" t="str">
        <f>IF($A108="","",VLOOKUP($A108,기본데이타!$A$8:$BV$103,COLUMN(기본데이타!AM$8),0))</f>
        <v/>
      </c>
      <c r="M108" s="381" t="str">
        <f>IF($A108="","",VLOOKUP($A108,기본데이타!$A$8:$BV$103,COLUMN(기본데이타!AN$8),0))</f>
        <v/>
      </c>
      <c r="N108" s="381" t="str">
        <f>IF($A108="","",VLOOKUP($A108,기본데이타!$A$8:$BV$103,COLUMN(기본데이타!AO$8),0))</f>
        <v/>
      </c>
      <c r="O108" s="381" t="str">
        <f>IF($A108="","",VLOOKUP($A108,기본데이타!$A$8:$BV$103,COLUMN(기본데이타!AP$8),0))</f>
        <v/>
      </c>
      <c r="P108" s="381" t="str">
        <f>IF($A108="","",VLOOKUP($A108,기본데이타!$A$8:$BV$103,COLUMN(기본데이타!AQ$8),0))</f>
        <v/>
      </c>
      <c r="Q108" s="381" t="str">
        <f>IF($A108="","",VLOOKUP($A108,기본데이타!$A$8:$BV$103,COLUMN(기본데이타!AR$8),0))</f>
        <v/>
      </c>
      <c r="R108" s="381" t="str">
        <f>IF($A108="","",VLOOKUP($A108,기본데이타!$A$8:$BV$103,COLUMN(기본데이타!AS$8),0))</f>
        <v/>
      </c>
      <c r="S108" s="381" t="str">
        <f>IF($A108="","",VLOOKUP($A108,기본데이타!$A$8:$BV$103,COLUMN(기본데이타!AT$8),0))</f>
        <v/>
      </c>
      <c r="T108" s="381" t="str">
        <f>IF($A108="","",VLOOKUP($A108,기본데이타!$A$8:$BV$103,COLUMN(기본데이타!AU$8),0))</f>
        <v/>
      </c>
      <c r="U108" s="381" t="str">
        <f>IF($A108="","",VLOOKUP($A108,기본데이타!$A$8:$BV$103,COLUMN(기본데이타!AV$8),0))</f>
        <v/>
      </c>
      <c r="V108" s="16" t="str">
        <f>IF($A108="","",VLOOKUP($A108,기본데이타!$A$8:$BV$103,COLUMN(기본데이타!AW$8),0))</f>
        <v/>
      </c>
      <c r="W108" s="16" t="str">
        <f>IF($A108="","",VLOOKUP($A108,기본데이타!$A$8:$BV$103,COLUMN(기본데이타!AX$8),0))</f>
        <v/>
      </c>
      <c r="X108" s="16" t="str">
        <f>IF($A108="","",VLOOKUP($A108,기본데이타!$A$8:$BV$103,COLUMN(기본데이타!AY$8),0))</f>
        <v/>
      </c>
      <c r="Y108" s="16" t="str">
        <f>IF($A108="","",VLOOKUP($A108,기본데이타!$A$8:$BV$103,COLUMN(기본데이타!AZ$8),0))</f>
        <v/>
      </c>
      <c r="Z108" s="17" t="str">
        <f>IF($A108="","",VLOOKUP($A108,기본데이타!$A$8:$BV$103,COLUMN(기본데이타!BN$8),0))</f>
        <v/>
      </c>
      <c r="AA108" s="17" t="str">
        <f>IF($A108="","",VLOOKUP($A108,기본데이타!$A$8:$BV$103,COLUMN(기본데이타!BO$8),0))</f>
        <v/>
      </c>
      <c r="AB108" s="17" t="str">
        <f>IF($A108="","",VLOOKUP($A108,기본데이타!$A$8:$BV$103,COLUMN(기본데이타!BP$8),0))</f>
        <v/>
      </c>
      <c r="AC108" s="17" t="str">
        <f>IF($A108="","",VLOOKUP($A108,기본데이타!$A$8:$BV$103,COLUMN(기본데이타!BQ$8),0))</f>
        <v/>
      </c>
      <c r="AD108" s="17" t="str">
        <f>IF($A108="","",VLOOKUP($A108,기본데이타!$A$8:$BV$103,COLUMN(기본데이타!BR$8),0))</f>
        <v/>
      </c>
      <c r="AE108" s="17" t="str">
        <f>IF($A108="","",VLOOKUP($A108,기본데이타!$A$8:$BV$103,COLUMN(기본데이타!BS$8),0))</f>
        <v/>
      </c>
      <c r="AF108" s="524" t="str">
        <f>IF($A108="","",VLOOKUP($A108,기본데이타!$A$8:$BV$103,COLUMN(기본데이타!BT$8),0))</f>
        <v/>
      </c>
      <c r="AG108" s="432" t="str">
        <f>IF($A108="","",VLOOKUP($A108,기본데이타!$A$8:$BV$103,COLUMN(기본데이타!BU$8),0))</f>
        <v/>
      </c>
      <c r="AH108" s="18" t="str">
        <f t="shared" si="30"/>
        <v/>
      </c>
    </row>
    <row r="109" spans="1:35" s="187" customFormat="1" ht="35.1" hidden="1" customHeight="1">
      <c r="A109" s="189"/>
      <c r="C109" s="190"/>
      <c r="D109" s="8" t="str">
        <f>IF($A109="","",VLOOKUP($A109,기본데이타!$A$8:$BV$103,COLUMN(기본데이타!F$8),0))</f>
        <v/>
      </c>
      <c r="E109" s="252" t="str">
        <f>IF($A109="","",VLOOKUP($A109,기본데이타!$A$8:$BV$103,COLUMN(기본데이타!G$8),0))</f>
        <v/>
      </c>
      <c r="F109" s="15" t="str">
        <f>IF($A109="","",VLOOKUP($A109,기본데이타!$A$8:$BV$103,COLUMN(기본데이타!H$8),0))</f>
        <v/>
      </c>
      <c r="G109" s="15" t="str">
        <f>IF($A109="","",VLOOKUP($A109,기본데이타!$A$8:$BV$103,COLUMN(기본데이타!I$8),0))</f>
        <v/>
      </c>
      <c r="H109" s="15" t="str">
        <f>IF($A109="","",VLOOKUP($A109,기본데이타!$A$8:$BV$103,COLUMN(기본데이타!J$8),0))</f>
        <v/>
      </c>
      <c r="I109" s="17" t="str">
        <f>IF($A109="","",VLOOKUP($A109,기본데이타!$A$8:$BV$103,COLUMN(기본데이타!AJ$8),0))</f>
        <v/>
      </c>
      <c r="J109" s="381" t="str">
        <f>IF($A109="","",VLOOKUP($A109,기본데이타!$A$8:$BV$103,COLUMN(기본데이타!AK$8),0))</f>
        <v/>
      </c>
      <c r="K109" s="381" t="str">
        <f>IF($A109="","",VLOOKUP($A109,기본데이타!$A$8:$BV$103,COLUMN(기본데이타!AL$8),0))</f>
        <v/>
      </c>
      <c r="L109" s="381" t="str">
        <f>IF($A109="","",VLOOKUP($A109,기본데이타!$A$8:$BV$103,COLUMN(기본데이타!AM$8),0))</f>
        <v/>
      </c>
      <c r="M109" s="381" t="str">
        <f>IF($A109="","",VLOOKUP($A109,기본데이타!$A$8:$BV$103,COLUMN(기본데이타!AN$8),0))</f>
        <v/>
      </c>
      <c r="N109" s="381" t="str">
        <f>IF($A109="","",VLOOKUP($A109,기본데이타!$A$8:$BV$103,COLUMN(기본데이타!AO$8),0))</f>
        <v/>
      </c>
      <c r="O109" s="381" t="str">
        <f>IF($A109="","",VLOOKUP($A109,기본데이타!$A$8:$BV$103,COLUMN(기본데이타!AP$8),0))</f>
        <v/>
      </c>
      <c r="P109" s="381" t="str">
        <f>IF($A109="","",VLOOKUP($A109,기본데이타!$A$8:$BV$103,COLUMN(기본데이타!AQ$8),0))</f>
        <v/>
      </c>
      <c r="Q109" s="381" t="str">
        <f>IF($A109="","",VLOOKUP($A109,기본데이타!$A$8:$BV$103,COLUMN(기본데이타!AR$8),0))</f>
        <v/>
      </c>
      <c r="R109" s="381" t="str">
        <f>IF($A109="","",VLOOKUP($A109,기본데이타!$A$8:$BV$103,COLUMN(기본데이타!AS$8),0))</f>
        <v/>
      </c>
      <c r="S109" s="381" t="str">
        <f>IF($A109="","",VLOOKUP($A109,기본데이타!$A$8:$BV$103,COLUMN(기본데이타!AT$8),0))</f>
        <v/>
      </c>
      <c r="T109" s="381" t="str">
        <f>IF($A109="","",VLOOKUP($A109,기본데이타!$A$8:$BV$103,COLUMN(기본데이타!AU$8),0))</f>
        <v/>
      </c>
      <c r="U109" s="381" t="str">
        <f>IF($A109="","",VLOOKUP($A109,기본데이타!$A$8:$BV$103,COLUMN(기본데이타!AV$8),0))</f>
        <v/>
      </c>
      <c r="V109" s="16" t="str">
        <f>IF($A109="","",VLOOKUP($A109,기본데이타!$A$8:$BV$103,COLUMN(기본데이타!AW$8),0))</f>
        <v/>
      </c>
      <c r="W109" s="16" t="str">
        <f>IF($A109="","",VLOOKUP($A109,기본데이타!$A$8:$BV$103,COLUMN(기본데이타!AX$8),0))</f>
        <v/>
      </c>
      <c r="X109" s="16" t="str">
        <f>IF($A109="","",VLOOKUP($A109,기본데이타!$A$8:$BV$103,COLUMN(기본데이타!AY$8),0))</f>
        <v/>
      </c>
      <c r="Y109" s="16" t="str">
        <f>IF($A109="","",VLOOKUP($A109,기본데이타!$A$8:$BV$103,COLUMN(기본데이타!AZ$8),0))</f>
        <v/>
      </c>
      <c r="Z109" s="17" t="str">
        <f>IF($A109="","",VLOOKUP($A109,기본데이타!$A$8:$BV$103,COLUMN(기본데이타!BN$8),0))</f>
        <v/>
      </c>
      <c r="AA109" s="17" t="str">
        <f>IF($A109="","",VLOOKUP($A109,기본데이타!$A$8:$BV$103,COLUMN(기본데이타!BO$8),0))</f>
        <v/>
      </c>
      <c r="AB109" s="17" t="str">
        <f>IF($A109="","",VLOOKUP($A109,기본데이타!$A$8:$BV$103,COLUMN(기본데이타!BP$8),0))</f>
        <v/>
      </c>
      <c r="AC109" s="17" t="str">
        <f>IF($A109="","",VLOOKUP($A109,기본데이타!$A$8:$BV$103,COLUMN(기본데이타!BQ$8),0))</f>
        <v/>
      </c>
      <c r="AD109" s="17" t="str">
        <f>IF($A109="","",VLOOKUP($A109,기본데이타!$A$8:$BV$103,COLUMN(기본데이타!BR$8),0))</f>
        <v/>
      </c>
      <c r="AE109" s="17" t="str">
        <f>IF($A109="","",VLOOKUP($A109,기본데이타!$A$8:$BV$103,COLUMN(기본데이타!BS$8),0))</f>
        <v/>
      </c>
      <c r="AF109" s="524" t="str">
        <f>IF($A109="","",VLOOKUP($A109,기본데이타!$A$8:$BV$103,COLUMN(기본데이타!BT$8),0))</f>
        <v/>
      </c>
      <c r="AG109" s="432" t="str">
        <f>IF($A109="","",VLOOKUP($A109,기본데이타!$A$8:$BV$103,COLUMN(기본데이타!BU$8),0))</f>
        <v/>
      </c>
      <c r="AH109" s="18" t="str">
        <f t="shared" si="30"/>
        <v/>
      </c>
    </row>
    <row r="110" spans="1:35" s="187" customFormat="1" ht="35.1" hidden="1" customHeight="1">
      <c r="A110" s="189"/>
      <c r="C110" s="190"/>
      <c r="D110" s="8" t="str">
        <f>IF($A110="","",VLOOKUP($A110,기본데이타!$A$8:$BV$103,COLUMN(기본데이타!F$8),0))</f>
        <v/>
      </c>
      <c r="E110" s="252" t="str">
        <f>IF($A110="","",VLOOKUP($A110,기본데이타!$A$8:$BV$103,COLUMN(기본데이타!G$8),0))</f>
        <v/>
      </c>
      <c r="F110" s="15" t="str">
        <f>IF($A110="","",VLOOKUP($A110,기본데이타!$A$8:$BV$103,COLUMN(기본데이타!H$8),0))</f>
        <v/>
      </c>
      <c r="G110" s="15" t="str">
        <f>IF($A110="","",VLOOKUP($A110,기본데이타!$A$8:$BV$103,COLUMN(기본데이타!I$8),0))</f>
        <v/>
      </c>
      <c r="H110" s="15" t="str">
        <f>IF($A110="","",VLOOKUP($A110,기본데이타!$A$8:$BV$103,COLUMN(기본데이타!J$8),0))</f>
        <v/>
      </c>
      <c r="I110" s="17" t="str">
        <f>IF($A110="","",VLOOKUP($A110,기본데이타!$A$8:$BV$103,COLUMN(기본데이타!AJ$8),0))</f>
        <v/>
      </c>
      <c r="J110" s="381" t="str">
        <f>IF($A110="","",VLOOKUP($A110,기본데이타!$A$8:$BV$103,COLUMN(기본데이타!AK$8),0))</f>
        <v/>
      </c>
      <c r="K110" s="381" t="str">
        <f>IF($A110="","",VLOOKUP($A110,기본데이타!$A$8:$BV$103,COLUMN(기본데이타!AL$8),0))</f>
        <v/>
      </c>
      <c r="L110" s="381" t="str">
        <f>IF($A110="","",VLOOKUP($A110,기본데이타!$A$8:$BV$103,COLUMN(기본데이타!AM$8),0))</f>
        <v/>
      </c>
      <c r="M110" s="381" t="str">
        <f>IF($A110="","",VLOOKUP($A110,기본데이타!$A$8:$BV$103,COLUMN(기본데이타!AN$8),0))</f>
        <v/>
      </c>
      <c r="N110" s="381" t="str">
        <f>IF($A110="","",VLOOKUP($A110,기본데이타!$A$8:$BV$103,COLUMN(기본데이타!AO$8),0))</f>
        <v/>
      </c>
      <c r="O110" s="381" t="str">
        <f>IF($A110="","",VLOOKUP($A110,기본데이타!$A$8:$BV$103,COLUMN(기본데이타!AP$8),0))</f>
        <v/>
      </c>
      <c r="P110" s="381" t="str">
        <f>IF($A110="","",VLOOKUP($A110,기본데이타!$A$8:$BV$103,COLUMN(기본데이타!AQ$8),0))</f>
        <v/>
      </c>
      <c r="Q110" s="381" t="str">
        <f>IF($A110="","",VLOOKUP($A110,기본데이타!$A$8:$BV$103,COLUMN(기본데이타!AR$8),0))</f>
        <v/>
      </c>
      <c r="R110" s="381" t="str">
        <f>IF($A110="","",VLOOKUP($A110,기본데이타!$A$8:$BV$103,COLUMN(기본데이타!AS$8),0))</f>
        <v/>
      </c>
      <c r="S110" s="381" t="str">
        <f>IF($A110="","",VLOOKUP($A110,기본데이타!$A$8:$BV$103,COLUMN(기본데이타!AT$8),0))</f>
        <v/>
      </c>
      <c r="T110" s="381" t="str">
        <f>IF($A110="","",VLOOKUP($A110,기본데이타!$A$8:$BV$103,COLUMN(기본데이타!AU$8),0))</f>
        <v/>
      </c>
      <c r="U110" s="381" t="str">
        <f>IF($A110="","",VLOOKUP($A110,기본데이타!$A$8:$BV$103,COLUMN(기본데이타!AV$8),0))</f>
        <v/>
      </c>
      <c r="V110" s="16" t="str">
        <f>IF($A110="","",VLOOKUP($A110,기본데이타!$A$8:$BV$103,COLUMN(기본데이타!AW$8),0))</f>
        <v/>
      </c>
      <c r="W110" s="16" t="str">
        <f>IF($A110="","",VLOOKUP($A110,기본데이타!$A$8:$BV$103,COLUMN(기본데이타!AX$8),0))</f>
        <v/>
      </c>
      <c r="X110" s="16" t="str">
        <f>IF($A110="","",VLOOKUP($A110,기본데이타!$A$8:$BV$103,COLUMN(기본데이타!AY$8),0))</f>
        <v/>
      </c>
      <c r="Y110" s="16" t="str">
        <f>IF($A110="","",VLOOKUP($A110,기본데이타!$A$8:$BV$103,COLUMN(기본데이타!AZ$8),0))</f>
        <v/>
      </c>
      <c r="Z110" s="17" t="str">
        <f>IF($A110="","",VLOOKUP($A110,기본데이타!$A$8:$BV$103,COLUMN(기본데이타!BN$8),0))</f>
        <v/>
      </c>
      <c r="AA110" s="17" t="str">
        <f>IF($A110="","",VLOOKUP($A110,기본데이타!$A$8:$BV$103,COLUMN(기본데이타!BO$8),0))</f>
        <v/>
      </c>
      <c r="AB110" s="17" t="str">
        <f>IF($A110="","",VLOOKUP($A110,기본데이타!$A$8:$BV$103,COLUMN(기본데이타!BP$8),0))</f>
        <v/>
      </c>
      <c r="AC110" s="17" t="str">
        <f>IF($A110="","",VLOOKUP($A110,기본데이타!$A$8:$BV$103,COLUMN(기본데이타!BQ$8),0))</f>
        <v/>
      </c>
      <c r="AD110" s="17" t="str">
        <f>IF($A110="","",VLOOKUP($A110,기본데이타!$A$8:$BV$103,COLUMN(기본데이타!BR$8),0))</f>
        <v/>
      </c>
      <c r="AE110" s="17" t="str">
        <f>IF($A110="","",VLOOKUP($A110,기본데이타!$A$8:$BV$103,COLUMN(기본데이타!BS$8),0))</f>
        <v/>
      </c>
      <c r="AF110" s="524" t="str">
        <f>IF($A110="","",VLOOKUP($A110,기본데이타!$A$8:$BV$103,COLUMN(기본데이타!BT$8),0))</f>
        <v/>
      </c>
      <c r="AG110" s="432" t="str">
        <f>IF($A110="","",VLOOKUP($A110,기본데이타!$A$8:$BV$103,COLUMN(기본데이타!BU$8),0))</f>
        <v/>
      </c>
      <c r="AH110" s="18" t="str">
        <f t="shared" si="30"/>
        <v/>
      </c>
    </row>
    <row r="111" spans="1:35" s="187" customFormat="1" ht="35.1" hidden="1" customHeight="1">
      <c r="A111" s="189"/>
      <c r="C111" s="1283"/>
      <c r="D111" s="8" t="str">
        <f>IF($A111="","",VLOOKUP($A111,기본데이타!$A$8:$BV$103,COLUMN(기본데이타!F$8),0))</f>
        <v/>
      </c>
      <c r="E111" s="252" t="str">
        <f>IF($A111="","",VLOOKUP($A111,기본데이타!$A$8:$BV$103,COLUMN(기본데이타!G$8),0))</f>
        <v/>
      </c>
      <c r="F111" s="9" t="str">
        <f>IF($A111="","",VLOOKUP($A111,기본데이타!$A$8:$BV$103,COLUMN(기본데이타!H$8),0))</f>
        <v/>
      </c>
      <c r="G111" s="9" t="str">
        <f>IF($A111="","",VLOOKUP($A111,기본데이타!$A$8:$BV$103,COLUMN(기본데이타!I$8),0))</f>
        <v/>
      </c>
      <c r="H111" s="9" t="str">
        <f>IF($A111="","",VLOOKUP($A111,기본데이타!$A$8:$BV$103,COLUMN(기본데이타!J$8),0))</f>
        <v/>
      </c>
      <c r="I111" s="17" t="str">
        <f>IF($A111="","",VLOOKUP($A111,기본데이타!$A$8:$BV$103,COLUMN(기본데이타!AJ$8),0))</f>
        <v/>
      </c>
      <c r="J111" s="381" t="str">
        <f>IF($A111="","",VLOOKUP($A111,기본데이타!$A$8:$BV$103,COLUMN(기본데이타!AK$8),0))</f>
        <v/>
      </c>
      <c r="K111" s="381" t="str">
        <f>IF($A111="","",VLOOKUP($A111,기본데이타!$A$8:$BV$103,COLUMN(기본데이타!AL$8),0))</f>
        <v/>
      </c>
      <c r="L111" s="381" t="str">
        <f>IF($A111="","",VLOOKUP($A111,기본데이타!$A$8:$BV$103,COLUMN(기본데이타!AM$8),0))</f>
        <v/>
      </c>
      <c r="M111" s="381" t="str">
        <f>IF($A111="","",VLOOKUP($A111,기본데이타!$A$8:$BV$103,COLUMN(기본데이타!AN$8),0))</f>
        <v/>
      </c>
      <c r="N111" s="381" t="str">
        <f>IF($A111="","",VLOOKUP($A111,기본데이타!$A$8:$BV$103,COLUMN(기본데이타!AO$8),0))</f>
        <v/>
      </c>
      <c r="O111" s="381" t="str">
        <f>IF($A111="","",VLOOKUP($A111,기본데이타!$A$8:$BV$103,COLUMN(기본데이타!AP$8),0))</f>
        <v/>
      </c>
      <c r="P111" s="381" t="str">
        <f>IF($A111="","",VLOOKUP($A111,기본데이타!$A$8:$BV$103,COLUMN(기본데이타!AQ$8),0))</f>
        <v/>
      </c>
      <c r="Q111" s="381" t="str">
        <f>IF($A111="","",VLOOKUP($A111,기본데이타!$A$8:$BV$103,COLUMN(기본데이타!AR$8),0))</f>
        <v/>
      </c>
      <c r="R111" s="381" t="str">
        <f>IF($A111="","",VLOOKUP($A111,기본데이타!$A$8:$BV$103,COLUMN(기본데이타!AS$8),0))</f>
        <v/>
      </c>
      <c r="S111" s="381" t="str">
        <f>IF($A111="","",VLOOKUP($A111,기본데이타!$A$8:$BV$103,COLUMN(기본데이타!AT$8),0))</f>
        <v/>
      </c>
      <c r="T111" s="381" t="str">
        <f>IF($A111="","",VLOOKUP($A111,기본데이타!$A$8:$BV$103,COLUMN(기본데이타!AU$8),0))</f>
        <v/>
      </c>
      <c r="U111" s="381" t="str">
        <f>IF($A111="","",VLOOKUP($A111,기본데이타!$A$8:$BV$103,COLUMN(기본데이타!AV$8),0))</f>
        <v/>
      </c>
      <c r="V111" s="16" t="str">
        <f>IF($A111="","",VLOOKUP($A111,기본데이타!$A$8:$BV$103,COLUMN(기본데이타!AW$8),0))</f>
        <v/>
      </c>
      <c r="W111" s="16" t="str">
        <f>IF($A111="","",VLOOKUP($A111,기본데이타!$A$8:$BV$103,COLUMN(기본데이타!AX$8),0))</f>
        <v/>
      </c>
      <c r="X111" s="16" t="str">
        <f>IF($A111="","",VLOOKUP($A111,기본데이타!$A$8:$BV$103,COLUMN(기본데이타!AY$8),0))</f>
        <v/>
      </c>
      <c r="Y111" s="16" t="str">
        <f>IF($A111="","",VLOOKUP($A111,기본데이타!$A$8:$BV$103,COLUMN(기본데이타!AZ$8),0))</f>
        <v/>
      </c>
      <c r="Z111" s="17" t="str">
        <f>IF($A111="","",VLOOKUP($A111,기본데이타!$A$8:$BV$103,COLUMN(기본데이타!BN$8),0))</f>
        <v/>
      </c>
      <c r="AA111" s="17" t="str">
        <f>IF($A111="","",VLOOKUP($A111,기본데이타!$A$8:$BV$103,COLUMN(기본데이타!BO$8),0))</f>
        <v/>
      </c>
      <c r="AB111" s="17" t="str">
        <f>IF($A111="","",VLOOKUP($A111,기본데이타!$A$8:$BV$103,COLUMN(기본데이타!BP$8),0))</f>
        <v/>
      </c>
      <c r="AC111" s="17" t="str">
        <f>IF($A111="","",VLOOKUP($A111,기본데이타!$A$8:$BV$103,COLUMN(기본데이타!BQ$8),0))</f>
        <v/>
      </c>
      <c r="AD111" s="17" t="str">
        <f>IF($A111="","",VLOOKUP($A111,기본데이타!$A$8:$BV$103,COLUMN(기본데이타!BR$8),0))</f>
        <v/>
      </c>
      <c r="AE111" s="17" t="str">
        <f>IF($A111="","",VLOOKUP($A111,기본데이타!$A$8:$BV$103,COLUMN(기본데이타!BS$8),0))</f>
        <v/>
      </c>
      <c r="AF111" s="524" t="str">
        <f>IF($A111="","",VLOOKUP($A111,기본데이타!$A$8:$BV$103,COLUMN(기본데이타!BT$8),0))</f>
        <v/>
      </c>
      <c r="AG111" s="432" t="str">
        <f>IF($A111="","",VLOOKUP($A111,기본데이타!$A$8:$BV$103,COLUMN(기본데이타!BU$8),0))</f>
        <v/>
      </c>
      <c r="AH111" s="18" t="str">
        <f t="shared" si="30"/>
        <v/>
      </c>
    </row>
    <row r="112" spans="1:35" s="187" customFormat="1" ht="35.1" hidden="1" customHeight="1">
      <c r="A112" s="189"/>
      <c r="C112" s="1283"/>
      <c r="D112" s="8" t="str">
        <f>IF($A112="","",VLOOKUP($A112,기본데이타!$A$8:$BV$103,COLUMN(기본데이타!F$8),0))</f>
        <v/>
      </c>
      <c r="E112" s="252" t="str">
        <f>IF($A112="","",VLOOKUP($A112,기본데이타!$A$8:$BV$103,COLUMN(기본데이타!G$8),0))</f>
        <v/>
      </c>
      <c r="F112" s="9" t="str">
        <f>IF($A112="","",VLOOKUP($A112,기본데이타!$A$8:$BV$103,COLUMN(기본데이타!H$8),0))</f>
        <v/>
      </c>
      <c r="G112" s="9" t="str">
        <f>IF($A112="","",VLOOKUP($A112,기본데이타!$A$8:$BV$103,COLUMN(기본데이타!I$8),0))</f>
        <v/>
      </c>
      <c r="H112" s="9" t="str">
        <f>IF($A112="","",VLOOKUP($A112,기본데이타!$A$8:$BV$103,COLUMN(기본데이타!J$8),0))</f>
        <v/>
      </c>
      <c r="I112" s="17" t="str">
        <f>IF($A112="","",VLOOKUP($A112,기본데이타!$A$8:$BV$103,COLUMN(기본데이타!AJ$8),0))</f>
        <v/>
      </c>
      <c r="J112" s="381" t="str">
        <f>IF($A112="","",VLOOKUP($A112,기본데이타!$A$8:$BV$103,COLUMN(기본데이타!AK$8),0))</f>
        <v/>
      </c>
      <c r="K112" s="381" t="str">
        <f>IF($A112="","",VLOOKUP($A112,기본데이타!$A$8:$BV$103,COLUMN(기본데이타!AL$8),0))</f>
        <v/>
      </c>
      <c r="L112" s="381" t="str">
        <f>IF($A112="","",VLOOKUP($A112,기본데이타!$A$8:$BV$103,COLUMN(기본데이타!AM$8),0))</f>
        <v/>
      </c>
      <c r="M112" s="381" t="str">
        <f>IF($A112="","",VLOOKUP($A112,기본데이타!$A$8:$BV$103,COLUMN(기본데이타!AN$8),0))</f>
        <v/>
      </c>
      <c r="N112" s="381" t="str">
        <f>IF($A112="","",VLOOKUP($A112,기본데이타!$A$8:$BV$103,COLUMN(기본데이타!AO$8),0))</f>
        <v/>
      </c>
      <c r="O112" s="381" t="str">
        <f>IF($A112="","",VLOOKUP($A112,기본데이타!$A$8:$BV$103,COLUMN(기본데이타!AP$8),0))</f>
        <v/>
      </c>
      <c r="P112" s="381" t="str">
        <f>IF($A112="","",VLOOKUP($A112,기본데이타!$A$8:$BV$103,COLUMN(기본데이타!AQ$8),0))</f>
        <v/>
      </c>
      <c r="Q112" s="381" t="str">
        <f>IF($A112="","",VLOOKUP($A112,기본데이타!$A$8:$BV$103,COLUMN(기본데이타!AR$8),0))</f>
        <v/>
      </c>
      <c r="R112" s="381" t="str">
        <f>IF($A112="","",VLOOKUP($A112,기본데이타!$A$8:$BV$103,COLUMN(기본데이타!AS$8),0))</f>
        <v/>
      </c>
      <c r="S112" s="381" t="str">
        <f>IF($A112="","",VLOOKUP($A112,기본데이타!$A$8:$BV$103,COLUMN(기본데이타!AT$8),0))</f>
        <v/>
      </c>
      <c r="T112" s="381" t="str">
        <f>IF($A112="","",VLOOKUP($A112,기본데이타!$A$8:$BV$103,COLUMN(기본데이타!AU$8),0))</f>
        <v/>
      </c>
      <c r="U112" s="381" t="str">
        <f>IF($A112="","",VLOOKUP($A112,기본데이타!$A$8:$BV$103,COLUMN(기본데이타!AV$8),0))</f>
        <v/>
      </c>
      <c r="V112" s="16" t="str">
        <f>IF($A112="","",VLOOKUP($A112,기본데이타!$A$8:$BV$103,COLUMN(기본데이타!AW$8),0))</f>
        <v/>
      </c>
      <c r="W112" s="16" t="str">
        <f>IF($A112="","",VLOOKUP($A112,기본데이타!$A$8:$BV$103,COLUMN(기본데이타!AX$8),0))</f>
        <v/>
      </c>
      <c r="X112" s="16" t="str">
        <f>IF($A112="","",VLOOKUP($A112,기본데이타!$A$8:$BV$103,COLUMN(기본데이타!AY$8),0))</f>
        <v/>
      </c>
      <c r="Y112" s="16" t="str">
        <f>IF($A112="","",VLOOKUP($A112,기본데이타!$A$8:$BV$103,COLUMN(기본데이타!AZ$8),0))</f>
        <v/>
      </c>
      <c r="Z112" s="17" t="str">
        <f>IF($A112="","",VLOOKUP($A112,기본데이타!$A$8:$BV$103,COLUMN(기본데이타!BN$8),0))</f>
        <v/>
      </c>
      <c r="AA112" s="17" t="str">
        <f>IF($A112="","",VLOOKUP($A112,기본데이타!$A$8:$BV$103,COLUMN(기본데이타!BO$8),0))</f>
        <v/>
      </c>
      <c r="AB112" s="17" t="str">
        <f>IF($A112="","",VLOOKUP($A112,기본데이타!$A$8:$BV$103,COLUMN(기본데이타!BP$8),0))</f>
        <v/>
      </c>
      <c r="AC112" s="17" t="str">
        <f>IF($A112="","",VLOOKUP($A112,기본데이타!$A$8:$BV$103,COLUMN(기본데이타!BQ$8),0))</f>
        <v/>
      </c>
      <c r="AD112" s="17" t="str">
        <f>IF($A112="","",VLOOKUP($A112,기본데이타!$A$8:$BV$103,COLUMN(기본데이타!BR$8),0))</f>
        <v/>
      </c>
      <c r="AE112" s="17" t="str">
        <f>IF($A112="","",VLOOKUP($A112,기본데이타!$A$8:$BV$103,COLUMN(기본데이타!BS$8),0))</f>
        <v/>
      </c>
      <c r="AF112" s="524" t="str">
        <f>IF($A112="","",VLOOKUP($A112,기본데이타!$A$8:$BV$103,COLUMN(기본데이타!BT$8),0))</f>
        <v/>
      </c>
      <c r="AG112" s="432" t="str">
        <f>IF($A112="","",VLOOKUP($A112,기본데이타!$A$8:$BV$103,COLUMN(기본데이타!BU$8),0))</f>
        <v/>
      </c>
      <c r="AH112" s="18" t="str">
        <f t="shared" si="30"/>
        <v/>
      </c>
    </row>
    <row r="113" spans="1:35" s="187" customFormat="1" ht="35.1" hidden="1" customHeight="1">
      <c r="A113" s="189"/>
      <c r="C113" s="1283"/>
      <c r="D113" s="8" t="str">
        <f>IF($A113="","",VLOOKUP($A113,기본데이타!$A$8:$BV$103,COLUMN(기본데이타!F$8),0))</f>
        <v/>
      </c>
      <c r="E113" s="252" t="str">
        <f>IF($A113="","",VLOOKUP($A113,기본데이타!$A$8:$BV$103,COLUMN(기본데이타!G$8),0))</f>
        <v/>
      </c>
      <c r="F113" s="9" t="str">
        <f>IF($A113="","",VLOOKUP($A113,기본데이타!$A$8:$BV$103,COLUMN(기본데이타!H$8),0))</f>
        <v/>
      </c>
      <c r="G113" s="9" t="str">
        <f>IF($A113="","",VLOOKUP($A113,기본데이타!$A$8:$BV$103,COLUMN(기본데이타!I$8),0))</f>
        <v/>
      </c>
      <c r="H113" s="9" t="str">
        <f>IF($A113="","",VLOOKUP($A113,기본데이타!$A$8:$BV$103,COLUMN(기본데이타!J$8),0))</f>
        <v/>
      </c>
      <c r="I113" s="17" t="str">
        <f>IF($A113="","",VLOOKUP($A113,기본데이타!$A$8:$BV$103,COLUMN(기본데이타!AJ$8),0))</f>
        <v/>
      </c>
      <c r="J113" s="381" t="str">
        <f>IF($A113="","",VLOOKUP($A113,기본데이타!$A$8:$BV$103,COLUMN(기본데이타!AK$8),0))</f>
        <v/>
      </c>
      <c r="K113" s="381" t="str">
        <f>IF($A113="","",VLOOKUP($A113,기본데이타!$A$8:$BV$103,COLUMN(기본데이타!AL$8),0))</f>
        <v/>
      </c>
      <c r="L113" s="381" t="str">
        <f>IF($A113="","",VLOOKUP($A113,기본데이타!$A$8:$BV$103,COLUMN(기본데이타!AM$8),0))</f>
        <v/>
      </c>
      <c r="M113" s="381" t="str">
        <f>IF($A113="","",VLOOKUP($A113,기본데이타!$A$8:$BV$103,COLUMN(기본데이타!AN$8),0))</f>
        <v/>
      </c>
      <c r="N113" s="381" t="str">
        <f>IF($A113="","",VLOOKUP($A113,기본데이타!$A$8:$BV$103,COLUMN(기본데이타!AO$8),0))</f>
        <v/>
      </c>
      <c r="O113" s="381" t="str">
        <f>IF($A113="","",VLOOKUP($A113,기본데이타!$A$8:$BV$103,COLUMN(기본데이타!AP$8),0))</f>
        <v/>
      </c>
      <c r="P113" s="381" t="str">
        <f>IF($A113="","",VLOOKUP($A113,기본데이타!$A$8:$BV$103,COLUMN(기본데이타!AQ$8),0))</f>
        <v/>
      </c>
      <c r="Q113" s="381" t="str">
        <f>IF($A113="","",VLOOKUP($A113,기본데이타!$A$8:$BV$103,COLUMN(기본데이타!AR$8),0))</f>
        <v/>
      </c>
      <c r="R113" s="381" t="str">
        <f>IF($A113="","",VLOOKUP($A113,기본데이타!$A$8:$BV$103,COLUMN(기본데이타!AS$8),0))</f>
        <v/>
      </c>
      <c r="S113" s="381" t="str">
        <f>IF($A113="","",VLOOKUP($A113,기본데이타!$A$8:$BV$103,COLUMN(기본데이타!AT$8),0))</f>
        <v/>
      </c>
      <c r="T113" s="381" t="str">
        <f>IF($A113="","",VLOOKUP($A113,기본데이타!$A$8:$BV$103,COLUMN(기본데이타!AU$8),0))</f>
        <v/>
      </c>
      <c r="U113" s="381" t="str">
        <f>IF($A113="","",VLOOKUP($A113,기본데이타!$A$8:$BV$103,COLUMN(기본데이타!AV$8),0))</f>
        <v/>
      </c>
      <c r="V113" s="16" t="str">
        <f>IF($A113="","",VLOOKUP($A113,기본데이타!$A$8:$BV$103,COLUMN(기본데이타!AW$8),0))</f>
        <v/>
      </c>
      <c r="W113" s="16" t="str">
        <f>IF($A113="","",VLOOKUP($A113,기본데이타!$A$8:$BV$103,COLUMN(기본데이타!AX$8),0))</f>
        <v/>
      </c>
      <c r="X113" s="16" t="str">
        <f>IF($A113="","",VLOOKUP($A113,기본데이타!$A$8:$BV$103,COLUMN(기본데이타!AY$8),0))</f>
        <v/>
      </c>
      <c r="Y113" s="16" t="str">
        <f>IF($A113="","",VLOOKUP($A113,기본데이타!$A$8:$BV$103,COLUMN(기본데이타!AZ$8),0))</f>
        <v/>
      </c>
      <c r="Z113" s="17" t="str">
        <f>IF($A113="","",VLOOKUP($A113,기본데이타!$A$8:$BV$103,COLUMN(기본데이타!BN$8),0))</f>
        <v/>
      </c>
      <c r="AA113" s="17" t="str">
        <f>IF($A113="","",VLOOKUP($A113,기본데이타!$A$8:$BV$103,COLUMN(기본데이타!BO$8),0))</f>
        <v/>
      </c>
      <c r="AB113" s="17" t="str">
        <f>IF($A113="","",VLOOKUP($A113,기본데이타!$A$8:$BV$103,COLUMN(기본데이타!BP$8),0))</f>
        <v/>
      </c>
      <c r="AC113" s="17" t="str">
        <f>IF($A113="","",VLOOKUP($A113,기본데이타!$A$8:$BV$103,COLUMN(기본데이타!BQ$8),0))</f>
        <v/>
      </c>
      <c r="AD113" s="17" t="str">
        <f>IF($A113="","",VLOOKUP($A113,기본데이타!$A$8:$BV$103,COLUMN(기본데이타!BR$8),0))</f>
        <v/>
      </c>
      <c r="AE113" s="17" t="str">
        <f>IF($A113="","",VLOOKUP($A113,기본데이타!$A$8:$BV$103,COLUMN(기본데이타!BS$8),0))</f>
        <v/>
      </c>
      <c r="AF113" s="524" t="str">
        <f>IF($A113="","",VLOOKUP($A113,기본데이타!$A$8:$BV$103,COLUMN(기본데이타!BT$8),0))</f>
        <v/>
      </c>
      <c r="AG113" s="432" t="str">
        <f>IF($A113="","",VLOOKUP($A113,기본데이타!$A$8:$BV$103,COLUMN(기본데이타!BU$8),0))</f>
        <v/>
      </c>
      <c r="AH113" s="18" t="str">
        <f t="shared" si="30"/>
        <v/>
      </c>
    </row>
    <row r="114" spans="1:35" s="187" customFormat="1" ht="35.1" hidden="1" customHeight="1">
      <c r="A114" s="189"/>
      <c r="C114" s="1283"/>
      <c r="D114" s="8" t="str">
        <f>IF($A114="","",VLOOKUP($A114,기본데이타!$A$8:$BV$103,COLUMN(기본데이타!F$8),0))</f>
        <v/>
      </c>
      <c r="E114" s="252" t="str">
        <f>IF($A114="","",VLOOKUP($A114,기본데이타!$A$8:$BV$103,COLUMN(기본데이타!G$8),0))</f>
        <v/>
      </c>
      <c r="F114" s="9" t="str">
        <f>IF($A114="","",VLOOKUP($A114,기본데이타!$A$8:$BV$103,COLUMN(기본데이타!H$8),0))</f>
        <v/>
      </c>
      <c r="G114" s="9" t="str">
        <f>IF($A114="","",VLOOKUP($A114,기본데이타!$A$8:$BV$103,COLUMN(기본데이타!I$8),0))</f>
        <v/>
      </c>
      <c r="H114" s="9" t="str">
        <f>IF($A114="","",VLOOKUP($A114,기본데이타!$A$8:$BV$103,COLUMN(기본데이타!J$8),0))</f>
        <v/>
      </c>
      <c r="I114" s="17" t="str">
        <f>IF($A114="","",VLOOKUP($A114,기본데이타!$A$8:$BV$103,COLUMN(기본데이타!AJ$8),0))</f>
        <v/>
      </c>
      <c r="J114" s="381" t="str">
        <f>IF($A114="","",VLOOKUP($A114,기본데이타!$A$8:$BV$103,COLUMN(기본데이타!AK$8),0))</f>
        <v/>
      </c>
      <c r="K114" s="381" t="str">
        <f>IF($A114="","",VLOOKUP($A114,기본데이타!$A$8:$BV$103,COLUMN(기본데이타!AL$8),0))</f>
        <v/>
      </c>
      <c r="L114" s="381" t="str">
        <f>IF($A114="","",VLOOKUP($A114,기본데이타!$A$8:$BV$103,COLUMN(기본데이타!AM$8),0))</f>
        <v/>
      </c>
      <c r="M114" s="381" t="str">
        <f>IF($A114="","",VLOOKUP($A114,기본데이타!$A$8:$BV$103,COLUMN(기본데이타!AN$8),0))</f>
        <v/>
      </c>
      <c r="N114" s="381" t="str">
        <f>IF($A114="","",VLOOKUP($A114,기본데이타!$A$8:$BV$103,COLUMN(기본데이타!AO$8),0))</f>
        <v/>
      </c>
      <c r="O114" s="381" t="str">
        <f>IF($A114="","",VLOOKUP($A114,기본데이타!$A$8:$BV$103,COLUMN(기본데이타!AP$8),0))</f>
        <v/>
      </c>
      <c r="P114" s="381" t="str">
        <f>IF($A114="","",VLOOKUP($A114,기본데이타!$A$8:$BV$103,COLUMN(기본데이타!AQ$8),0))</f>
        <v/>
      </c>
      <c r="Q114" s="381" t="str">
        <f>IF($A114="","",VLOOKUP($A114,기본데이타!$A$8:$BV$103,COLUMN(기본데이타!AR$8),0))</f>
        <v/>
      </c>
      <c r="R114" s="381" t="str">
        <f>IF($A114="","",VLOOKUP($A114,기본데이타!$A$8:$BV$103,COLUMN(기본데이타!AS$8),0))</f>
        <v/>
      </c>
      <c r="S114" s="381" t="str">
        <f>IF($A114="","",VLOOKUP($A114,기본데이타!$A$8:$BV$103,COLUMN(기본데이타!AT$8),0))</f>
        <v/>
      </c>
      <c r="T114" s="381" t="str">
        <f>IF($A114="","",VLOOKUP($A114,기본데이타!$A$8:$BV$103,COLUMN(기본데이타!AU$8),0))</f>
        <v/>
      </c>
      <c r="U114" s="381" t="str">
        <f>IF($A114="","",VLOOKUP($A114,기본데이타!$A$8:$BV$103,COLUMN(기본데이타!AV$8),0))</f>
        <v/>
      </c>
      <c r="V114" s="16" t="str">
        <f>IF($A114="","",VLOOKUP($A114,기본데이타!$A$8:$BV$103,COLUMN(기본데이타!AW$8),0))</f>
        <v/>
      </c>
      <c r="W114" s="16" t="str">
        <f>IF($A114="","",VLOOKUP($A114,기본데이타!$A$8:$BV$103,COLUMN(기본데이타!AX$8),0))</f>
        <v/>
      </c>
      <c r="X114" s="16" t="str">
        <f>IF($A114="","",VLOOKUP($A114,기본데이타!$A$8:$BV$103,COLUMN(기본데이타!AY$8),0))</f>
        <v/>
      </c>
      <c r="Y114" s="16" t="str">
        <f>IF($A114="","",VLOOKUP($A114,기본데이타!$A$8:$BV$103,COLUMN(기본데이타!AZ$8),0))</f>
        <v/>
      </c>
      <c r="Z114" s="17" t="str">
        <f>IF($A114="","",VLOOKUP($A114,기본데이타!$A$8:$BV$103,COLUMN(기본데이타!BN$8),0))</f>
        <v/>
      </c>
      <c r="AA114" s="17" t="str">
        <f>IF($A114="","",VLOOKUP($A114,기본데이타!$A$8:$BV$103,COLUMN(기본데이타!BO$8),0))</f>
        <v/>
      </c>
      <c r="AB114" s="17" t="str">
        <f>IF($A114="","",VLOOKUP($A114,기본데이타!$A$8:$BV$103,COLUMN(기본데이타!BP$8),0))</f>
        <v/>
      </c>
      <c r="AC114" s="17" t="str">
        <f>IF($A114="","",VLOOKUP($A114,기본데이타!$A$8:$BV$103,COLUMN(기본데이타!BQ$8),0))</f>
        <v/>
      </c>
      <c r="AD114" s="17" t="str">
        <f>IF($A114="","",VLOOKUP($A114,기본데이타!$A$8:$BV$103,COLUMN(기본데이타!BR$8),0))</f>
        <v/>
      </c>
      <c r="AE114" s="17" t="str">
        <f>IF($A114="","",VLOOKUP($A114,기본데이타!$A$8:$BV$103,COLUMN(기본데이타!BS$8),0))</f>
        <v/>
      </c>
      <c r="AF114" s="524" t="str">
        <f>IF($A114="","",VLOOKUP($A114,기본데이타!$A$8:$BV$103,COLUMN(기본데이타!BT$8),0))</f>
        <v/>
      </c>
      <c r="AG114" s="432" t="str">
        <f>IF($A114="","",VLOOKUP($A114,기본데이타!$A$8:$BV$103,COLUMN(기본데이타!BU$8),0))</f>
        <v/>
      </c>
      <c r="AH114" s="18" t="str">
        <f t="shared" si="30"/>
        <v/>
      </c>
    </row>
    <row r="115" spans="1:35" s="187" customFormat="1" ht="35.1" hidden="1" customHeight="1">
      <c r="A115" s="189"/>
      <c r="C115" s="1283"/>
      <c r="D115" s="8" t="str">
        <f>IF($A115="","",VLOOKUP($A115,기본데이타!$A$8:$BV$103,COLUMN(기본데이타!F$8),0))</f>
        <v/>
      </c>
      <c r="E115" s="252" t="str">
        <f>IF($A115="","",VLOOKUP($A115,기본데이타!$A$8:$BV$103,COLUMN(기본데이타!G$8),0))</f>
        <v/>
      </c>
      <c r="F115" s="9" t="str">
        <f>IF($A115="","",VLOOKUP($A115,기본데이타!$A$8:$BV$103,COLUMN(기본데이타!H$8),0))</f>
        <v/>
      </c>
      <c r="G115" s="9" t="str">
        <f>IF($A115="","",VLOOKUP($A115,기본데이타!$A$8:$BV$103,COLUMN(기본데이타!I$8),0))</f>
        <v/>
      </c>
      <c r="H115" s="9" t="str">
        <f>IF($A115="","",VLOOKUP($A115,기본데이타!$A$8:$BV$103,COLUMN(기본데이타!J$8),0))</f>
        <v/>
      </c>
      <c r="I115" s="17" t="str">
        <f>IF($A115="","",VLOOKUP($A115,기본데이타!$A$8:$BV$103,COLUMN(기본데이타!AJ$8),0))</f>
        <v/>
      </c>
      <c r="J115" s="381" t="str">
        <f>IF($A115="","",VLOOKUP($A115,기본데이타!$A$8:$BV$103,COLUMN(기본데이타!AK$8),0))</f>
        <v/>
      </c>
      <c r="K115" s="381" t="str">
        <f>IF($A115="","",VLOOKUP($A115,기본데이타!$A$8:$BV$103,COLUMN(기본데이타!AL$8),0))</f>
        <v/>
      </c>
      <c r="L115" s="381" t="str">
        <f>IF($A115="","",VLOOKUP($A115,기본데이타!$A$8:$BV$103,COLUMN(기본데이타!AM$8),0))</f>
        <v/>
      </c>
      <c r="M115" s="381" t="str">
        <f>IF($A115="","",VLOOKUP($A115,기본데이타!$A$8:$BV$103,COLUMN(기본데이타!AN$8),0))</f>
        <v/>
      </c>
      <c r="N115" s="381" t="str">
        <f>IF($A115="","",VLOOKUP($A115,기본데이타!$A$8:$BV$103,COLUMN(기본데이타!AO$8),0))</f>
        <v/>
      </c>
      <c r="O115" s="381" t="str">
        <f>IF($A115="","",VLOOKUP($A115,기본데이타!$A$8:$BV$103,COLUMN(기본데이타!AP$8),0))</f>
        <v/>
      </c>
      <c r="P115" s="381" t="str">
        <f>IF($A115="","",VLOOKUP($A115,기본데이타!$A$8:$BV$103,COLUMN(기본데이타!AQ$8),0))</f>
        <v/>
      </c>
      <c r="Q115" s="381" t="str">
        <f>IF($A115="","",VLOOKUP($A115,기본데이타!$A$8:$BV$103,COLUMN(기본데이타!AR$8),0))</f>
        <v/>
      </c>
      <c r="R115" s="381" t="str">
        <f>IF($A115="","",VLOOKUP($A115,기본데이타!$A$8:$BV$103,COLUMN(기본데이타!AS$8),0))</f>
        <v/>
      </c>
      <c r="S115" s="381" t="str">
        <f>IF($A115="","",VLOOKUP($A115,기본데이타!$A$8:$BV$103,COLUMN(기본데이타!AT$8),0))</f>
        <v/>
      </c>
      <c r="T115" s="381" t="str">
        <f>IF($A115="","",VLOOKUP($A115,기본데이타!$A$8:$BV$103,COLUMN(기본데이타!AU$8),0))</f>
        <v/>
      </c>
      <c r="U115" s="381" t="str">
        <f>IF($A115="","",VLOOKUP($A115,기본데이타!$A$8:$BV$103,COLUMN(기본데이타!AV$8),0))</f>
        <v/>
      </c>
      <c r="V115" s="16" t="str">
        <f>IF($A115="","",VLOOKUP($A115,기본데이타!$A$8:$BV$103,COLUMN(기본데이타!AW$8),0))</f>
        <v/>
      </c>
      <c r="W115" s="16" t="str">
        <f>IF($A115="","",VLOOKUP($A115,기본데이타!$A$8:$BV$103,COLUMN(기본데이타!AX$8),0))</f>
        <v/>
      </c>
      <c r="X115" s="16" t="str">
        <f>IF($A115="","",VLOOKUP($A115,기본데이타!$A$8:$BV$103,COLUMN(기본데이타!AY$8),0))</f>
        <v/>
      </c>
      <c r="Y115" s="16" t="str">
        <f>IF($A115="","",VLOOKUP($A115,기본데이타!$A$8:$BV$103,COLUMN(기본데이타!AZ$8),0))</f>
        <v/>
      </c>
      <c r="Z115" s="17" t="str">
        <f>IF($A115="","",VLOOKUP($A115,기본데이타!$A$8:$BV$103,COLUMN(기본데이타!BN$8),0))</f>
        <v/>
      </c>
      <c r="AA115" s="17" t="str">
        <f>IF($A115="","",VLOOKUP($A115,기본데이타!$A$8:$BV$103,COLUMN(기본데이타!BO$8),0))</f>
        <v/>
      </c>
      <c r="AB115" s="17" t="str">
        <f>IF($A115="","",VLOOKUP($A115,기본데이타!$A$8:$BV$103,COLUMN(기본데이타!BP$8),0))</f>
        <v/>
      </c>
      <c r="AC115" s="17" t="str">
        <f>IF($A115="","",VLOOKUP($A115,기본데이타!$A$8:$BV$103,COLUMN(기본데이타!BQ$8),0))</f>
        <v/>
      </c>
      <c r="AD115" s="17" t="str">
        <f>IF($A115="","",VLOOKUP($A115,기본데이타!$A$8:$BV$103,COLUMN(기본데이타!BR$8),0))</f>
        <v/>
      </c>
      <c r="AE115" s="17" t="str">
        <f>IF($A115="","",VLOOKUP($A115,기본데이타!$A$8:$BV$103,COLUMN(기본데이타!BS$8),0))</f>
        <v/>
      </c>
      <c r="AF115" s="524" t="str">
        <f>IF($A115="","",VLOOKUP($A115,기본데이타!$A$8:$BV$103,COLUMN(기본데이타!BT$8),0))</f>
        <v/>
      </c>
      <c r="AG115" s="432" t="str">
        <f>IF($A115="","",VLOOKUP($A115,기본데이타!$A$8:$BV$103,COLUMN(기본데이타!BU$8),0))</f>
        <v/>
      </c>
      <c r="AH115" s="18" t="str">
        <f t="shared" si="30"/>
        <v/>
      </c>
    </row>
    <row r="116" spans="1:35" s="187" customFormat="1" ht="35.1" hidden="1" customHeight="1">
      <c r="A116" s="189"/>
      <c r="C116" s="1283"/>
      <c r="D116" s="1090" t="str">
        <f>IF($A116="","",VLOOKUP($A116,기본데이타!$A$8:$BV$103,COLUMN(기본데이타!F$8),0))</f>
        <v/>
      </c>
      <c r="E116" s="1091" t="str">
        <f>IF($A116="","",VLOOKUP($A116,기본데이타!$A$8:$BV$103,COLUMN(기본데이타!G$8),0))</f>
        <v/>
      </c>
      <c r="F116" s="1092" t="str">
        <f>IF($A116="","",VLOOKUP($A116,기본데이타!$A$8:$BV$103,COLUMN(기본데이타!H$8),0))</f>
        <v/>
      </c>
      <c r="G116" s="1092" t="str">
        <f>IF($A116="","",VLOOKUP($A116,기본데이타!$A$8:$BV$103,COLUMN(기본데이타!I$8),0))</f>
        <v/>
      </c>
      <c r="H116" s="1092" t="str">
        <f>IF($A116="","",VLOOKUP($A116,기본데이타!$A$8:$BV$103,COLUMN(기본데이타!J$8),0))</f>
        <v/>
      </c>
      <c r="I116" s="1093" t="str">
        <f>IF($A116="","",VLOOKUP($A116,기본데이타!$A$8:$BV$103,COLUMN(기본데이타!AJ$8),0))</f>
        <v/>
      </c>
      <c r="J116" s="1284" t="str">
        <f>IF($A116="","",VLOOKUP($A116,기본데이타!$A$8:$BV$103,COLUMN(기본데이타!AK$8),0))</f>
        <v/>
      </c>
      <c r="K116" s="1284" t="str">
        <f>IF($A116="","",VLOOKUP($A116,기본데이타!$A$8:$BV$103,COLUMN(기본데이타!AL$8),0))</f>
        <v/>
      </c>
      <c r="L116" s="1284" t="str">
        <f>IF($A116="","",VLOOKUP($A116,기본데이타!$A$8:$BV$103,COLUMN(기본데이타!AM$8),0))</f>
        <v/>
      </c>
      <c r="M116" s="1284" t="str">
        <f>IF($A116="","",VLOOKUP($A116,기본데이타!$A$8:$BV$103,COLUMN(기본데이타!AN$8),0))</f>
        <v/>
      </c>
      <c r="N116" s="1284" t="str">
        <f>IF($A116="","",VLOOKUP($A116,기본데이타!$A$8:$BV$103,COLUMN(기본데이타!AO$8),0))</f>
        <v/>
      </c>
      <c r="O116" s="1284" t="str">
        <f>IF($A116="","",VLOOKUP($A116,기본데이타!$A$8:$BV$103,COLUMN(기본데이타!AP$8),0))</f>
        <v/>
      </c>
      <c r="P116" s="1284" t="str">
        <f>IF($A116="","",VLOOKUP($A116,기본데이타!$A$8:$BV$103,COLUMN(기본데이타!AQ$8),0))</f>
        <v/>
      </c>
      <c r="Q116" s="1284" t="str">
        <f>IF($A116="","",VLOOKUP($A116,기본데이타!$A$8:$BV$103,COLUMN(기본데이타!AR$8),0))</f>
        <v/>
      </c>
      <c r="R116" s="1284" t="str">
        <f>IF($A116="","",VLOOKUP($A116,기본데이타!$A$8:$BV$103,COLUMN(기본데이타!AS$8),0))</f>
        <v/>
      </c>
      <c r="S116" s="1284" t="str">
        <f>IF($A116="","",VLOOKUP($A116,기본데이타!$A$8:$BV$103,COLUMN(기본데이타!AT$8),0))</f>
        <v/>
      </c>
      <c r="T116" s="1284" t="str">
        <f>IF($A116="","",VLOOKUP($A116,기본데이타!$A$8:$BV$103,COLUMN(기본데이타!AU$8),0))</f>
        <v/>
      </c>
      <c r="U116" s="1284" t="str">
        <f>IF($A116="","",VLOOKUP($A116,기본데이타!$A$8:$BV$103,COLUMN(기본데이타!AV$8),0))</f>
        <v/>
      </c>
      <c r="V116" s="1094" t="str">
        <f>IF($A116="","",VLOOKUP($A116,기본데이타!$A$8:$BV$103,COLUMN(기본데이타!AW$8),0))</f>
        <v/>
      </c>
      <c r="W116" s="1094" t="str">
        <f>IF($A116="","",VLOOKUP($A116,기본데이타!$A$8:$BV$103,COLUMN(기본데이타!AX$8),0))</f>
        <v/>
      </c>
      <c r="X116" s="1094" t="str">
        <f>IF($A116="","",VLOOKUP($A116,기본데이타!$A$8:$BV$103,COLUMN(기본데이타!AY$8),0))</f>
        <v/>
      </c>
      <c r="Y116" s="1094" t="str">
        <f>IF($A116="","",VLOOKUP($A116,기본데이타!$A$8:$BV$103,COLUMN(기본데이타!AZ$8),0))</f>
        <v/>
      </c>
      <c r="Z116" s="1093" t="str">
        <f>IF($A116="","",VLOOKUP($A116,기본데이타!$A$8:$BV$103,COLUMN(기본데이타!BN$8),0))</f>
        <v/>
      </c>
      <c r="AA116" s="1093" t="str">
        <f>IF($A116="","",VLOOKUP($A116,기본데이타!$A$8:$BV$103,COLUMN(기본데이타!BO$8),0))</f>
        <v/>
      </c>
      <c r="AB116" s="1093" t="str">
        <f>IF($A116="","",VLOOKUP($A116,기본데이타!$A$8:$BV$103,COLUMN(기본데이타!BP$8),0))</f>
        <v/>
      </c>
      <c r="AC116" s="1093" t="str">
        <f>IF($A116="","",VLOOKUP($A116,기본데이타!$A$8:$BV$103,COLUMN(기본데이타!BQ$8),0))</f>
        <v/>
      </c>
      <c r="AD116" s="1093" t="str">
        <f>IF($A116="","",VLOOKUP($A116,기본데이타!$A$8:$BV$103,COLUMN(기본데이타!BR$8),0))</f>
        <v/>
      </c>
      <c r="AE116" s="1093" t="str">
        <f>IF($A116="","",VLOOKUP($A116,기본데이타!$A$8:$BV$103,COLUMN(기본데이타!BS$8),0))</f>
        <v/>
      </c>
      <c r="AF116" s="1095" t="str">
        <f>IF($A116="","",VLOOKUP($A116,기본데이타!$A$8:$BV$103,COLUMN(기본데이타!BT$8),0))</f>
        <v/>
      </c>
      <c r="AG116" s="1096" t="str">
        <f>IF($A116="","",VLOOKUP($A116,기본데이타!$A$8:$BV$103,COLUMN(기본데이타!BU$8),0))</f>
        <v/>
      </c>
      <c r="AH116" s="1097" t="str">
        <f t="shared" si="30"/>
        <v/>
      </c>
    </row>
    <row r="117" spans="1:35" s="187" customFormat="1" ht="35.1" hidden="1" customHeight="1">
      <c r="A117" s="189"/>
      <c r="C117" s="193"/>
      <c r="D117" s="308">
        <f>COUNTA(A105:A117)</f>
        <v>0</v>
      </c>
      <c r="E117" s="309">
        <f t="shared" ref="E117:AC117" si="31">SUM(E105:E116)</f>
        <v>0</v>
      </c>
      <c r="F117" s="310">
        <f t="shared" si="31"/>
        <v>0</v>
      </c>
      <c r="G117" s="310">
        <f t="shared" si="31"/>
        <v>0</v>
      </c>
      <c r="H117" s="310">
        <f t="shared" si="31"/>
        <v>0</v>
      </c>
      <c r="I117" s="311">
        <f t="shared" si="31"/>
        <v>0</v>
      </c>
      <c r="J117" s="382">
        <f t="shared" si="31"/>
        <v>0</v>
      </c>
      <c r="K117" s="382">
        <f t="shared" si="31"/>
        <v>0</v>
      </c>
      <c r="L117" s="382">
        <f t="shared" si="31"/>
        <v>0</v>
      </c>
      <c r="M117" s="382">
        <f t="shared" si="31"/>
        <v>0</v>
      </c>
      <c r="N117" s="382">
        <f t="shared" si="31"/>
        <v>0</v>
      </c>
      <c r="O117" s="382">
        <f t="shared" si="31"/>
        <v>0</v>
      </c>
      <c r="P117" s="382">
        <f t="shared" si="31"/>
        <v>0</v>
      </c>
      <c r="Q117" s="382">
        <f t="shared" si="31"/>
        <v>0</v>
      </c>
      <c r="R117" s="382">
        <f t="shared" si="31"/>
        <v>0</v>
      </c>
      <c r="S117" s="382">
        <f t="shared" si="31"/>
        <v>0</v>
      </c>
      <c r="T117" s="382">
        <f t="shared" si="31"/>
        <v>0</v>
      </c>
      <c r="U117" s="382">
        <f t="shared" si="31"/>
        <v>0</v>
      </c>
      <c r="V117" s="312">
        <f t="shared" si="31"/>
        <v>0</v>
      </c>
      <c r="W117" s="312">
        <f t="shared" si="31"/>
        <v>0</v>
      </c>
      <c r="X117" s="312">
        <f t="shared" si="31"/>
        <v>0</v>
      </c>
      <c r="Y117" s="312">
        <f t="shared" si="31"/>
        <v>0</v>
      </c>
      <c r="Z117" s="311">
        <f t="shared" si="31"/>
        <v>0</v>
      </c>
      <c r="AA117" s="311">
        <f t="shared" si="31"/>
        <v>0</v>
      </c>
      <c r="AB117" s="311">
        <f t="shared" si="31"/>
        <v>0</v>
      </c>
      <c r="AC117" s="311">
        <f t="shared" si="31"/>
        <v>0</v>
      </c>
      <c r="AD117" s="313"/>
      <c r="AE117" s="314">
        <f>IF(COUNTA(AE105:AE116)=1,AE105,용도별분석!BQ29)</f>
        <v>0</v>
      </c>
      <c r="AF117" s="808" t="str">
        <f>용도별분석!BR29</f>
        <v>한도초과</v>
      </c>
      <c r="AG117" s="434" t="e">
        <f>용도별분석!BS29</f>
        <v>#DIV/0!</v>
      </c>
      <c r="AH117" s="298" t="str">
        <f t="shared" si="30"/>
        <v/>
      </c>
      <c r="AI117" s="264">
        <f>AE117-SUM(AE105:AE116)</f>
        <v>0</v>
      </c>
    </row>
    <row r="118" spans="1:35" s="187" customFormat="1" ht="35.1" hidden="1" customHeight="1">
      <c r="A118" s="189"/>
      <c r="C118" s="194" t="s">
        <v>410</v>
      </c>
      <c r="D118" s="247" t="str">
        <f>IF($A118="","",VLOOKUP($A118,기본데이타!$A$8:$BV$103,COLUMN(기본데이타!F$8),0))</f>
        <v/>
      </c>
      <c r="E118" s="248" t="str">
        <f>IF($A118="","",VLOOKUP($A118,기본데이타!$A$8:$BV$103,COLUMN(기본데이타!G$8),0))</f>
        <v/>
      </c>
      <c r="F118" s="249" t="str">
        <f>IF($A118="","",VLOOKUP($A118,기본데이타!$A$8:$BV$103,COLUMN(기본데이타!H$8),0))</f>
        <v/>
      </c>
      <c r="G118" s="249" t="str">
        <f>IF($A118="","",VLOOKUP($A118,기본데이타!$A$8:$BV$103,COLUMN(기본데이타!I$8),0))</f>
        <v/>
      </c>
      <c r="H118" s="249" t="str">
        <f>IF($A118="","",VLOOKUP($A118,기본데이타!$A$8:$BV$103,COLUMN(기본데이타!J$8),0))</f>
        <v/>
      </c>
      <c r="I118" s="250" t="str">
        <f>IF($A118="","",VLOOKUP($A118,기본데이타!$A$8:$BV$103,COLUMN(기본데이타!AJ$8),0))</f>
        <v/>
      </c>
      <c r="J118" s="376" t="str">
        <f>IF($A118="","",VLOOKUP($A118,기본데이타!$A$8:$BV$103,COLUMN(기본데이타!AK$8),0))</f>
        <v/>
      </c>
      <c r="K118" s="376" t="str">
        <f>IF($A118="","",VLOOKUP($A118,기본데이타!$A$8:$BV$103,COLUMN(기본데이타!AL$8),0))</f>
        <v/>
      </c>
      <c r="L118" s="376" t="str">
        <f>IF($A118="","",VLOOKUP($A118,기본데이타!$A$8:$BV$103,COLUMN(기본데이타!AM$8),0))</f>
        <v/>
      </c>
      <c r="M118" s="376" t="str">
        <f>IF($A118="","",VLOOKUP($A118,기본데이타!$A$8:$BV$103,COLUMN(기본데이타!AN$8),0))</f>
        <v/>
      </c>
      <c r="N118" s="376" t="str">
        <f>IF($A118="","",VLOOKUP($A118,기본데이타!$A$8:$BV$103,COLUMN(기본데이타!AO$8),0))</f>
        <v/>
      </c>
      <c r="O118" s="376" t="str">
        <f>IF($A118="","",VLOOKUP($A118,기본데이타!$A$8:$BV$103,COLUMN(기본데이타!AP$8),0))</f>
        <v/>
      </c>
      <c r="P118" s="376" t="str">
        <f>IF($A118="","",VLOOKUP($A118,기본데이타!$A$8:$BV$103,COLUMN(기본데이타!AQ$8),0))</f>
        <v/>
      </c>
      <c r="Q118" s="376" t="str">
        <f>IF($A118="","",VLOOKUP($A118,기본데이타!$A$8:$BV$103,COLUMN(기본데이타!AR$8),0))</f>
        <v/>
      </c>
      <c r="R118" s="376" t="str">
        <f>IF($A118="","",VLOOKUP($A118,기본데이타!$A$8:$BV$103,COLUMN(기본데이타!AS$8),0))</f>
        <v/>
      </c>
      <c r="S118" s="376" t="str">
        <f>IF($A118="","",VLOOKUP($A118,기본데이타!$A$8:$BV$103,COLUMN(기본데이타!AT$8),0))</f>
        <v/>
      </c>
      <c r="T118" s="376" t="str">
        <f>IF($A118="","",VLOOKUP($A118,기본데이타!$A$8:$BV$103,COLUMN(기본데이타!AU$8),0))</f>
        <v/>
      </c>
      <c r="U118" s="376" t="str">
        <f>IF($A118="","",VLOOKUP($A118,기본데이타!$A$8:$BV$103,COLUMN(기본데이타!AV$8),0))</f>
        <v/>
      </c>
      <c r="V118" s="188" t="str">
        <f>IF($A118="","",VLOOKUP($A118,기본데이타!$A$8:$BV$103,COLUMN(기본데이타!AW$8),0))</f>
        <v/>
      </c>
      <c r="W118" s="188" t="str">
        <f>IF($A118="","",VLOOKUP($A118,기본데이타!$A$8:$BV$103,COLUMN(기본데이타!AX$8),0))</f>
        <v/>
      </c>
      <c r="X118" s="188" t="str">
        <f>IF($A118="","",VLOOKUP($A118,기본데이타!$A$8:$BV$103,COLUMN(기본데이타!AY$8),0))</f>
        <v/>
      </c>
      <c r="Y118" s="188" t="str">
        <f>IF($A118="","",VLOOKUP($A118,기본데이타!$A$8:$BV$103,COLUMN(기본데이타!AZ$8),0))</f>
        <v/>
      </c>
      <c r="Z118" s="250" t="str">
        <f>IF($A118="","",VLOOKUP($A118,기본데이타!$A$8:$BV$103,COLUMN(기본데이타!BN$8),0))</f>
        <v/>
      </c>
      <c r="AA118" s="250" t="str">
        <f>IF($A118="","",VLOOKUP($A118,기본데이타!$A$8:$BV$103,COLUMN(기본데이타!BO$8),0))</f>
        <v/>
      </c>
      <c r="AB118" s="250" t="str">
        <f>IF($A118="","",VLOOKUP($A118,기본데이타!$A$8:$BV$103,COLUMN(기본데이타!BP$8),0))</f>
        <v/>
      </c>
      <c r="AC118" s="250" t="str">
        <f>IF($A118="","",VLOOKUP($A118,기본데이타!$A$8:$BV$103,COLUMN(기본데이타!BQ$8),0))</f>
        <v/>
      </c>
      <c r="AD118" s="250" t="str">
        <f>IF($A118="","",VLOOKUP($A118,기본데이타!$A$8:$BV$103,COLUMN(기본데이타!BR$8),0))</f>
        <v/>
      </c>
      <c r="AE118" s="250" t="str">
        <f>IF($A118="","",VLOOKUP($A118,기본데이타!$A$8:$BV$103,COLUMN(기본데이타!BS$8),0))</f>
        <v/>
      </c>
      <c r="AF118" s="523" t="str">
        <f>IF($A118="","",VLOOKUP($A118,기본데이타!$A$8:$BV$103,COLUMN(기본데이타!BT$8),0))</f>
        <v/>
      </c>
      <c r="AG118" s="435" t="str">
        <f>IF($A118="","",VLOOKUP($A118,기본데이타!$A$8:$BV$103,COLUMN(기본데이타!BU$8),0))</f>
        <v/>
      </c>
      <c r="AH118" s="251" t="str">
        <f t="shared" ref="AH118:AH130" si="32">IF(A118="","",A118)</f>
        <v/>
      </c>
    </row>
    <row r="119" spans="1:35" s="187" customFormat="1" ht="35.1" hidden="1" customHeight="1">
      <c r="A119" s="189"/>
      <c r="C119" s="190"/>
      <c r="D119" s="8" t="str">
        <f>IF($A119="","",VLOOKUP($A119,기본데이타!$A$8:$BV$103,COLUMN(기본데이타!F$8),0))</f>
        <v/>
      </c>
      <c r="E119" s="252" t="str">
        <f>IF($A119="","",VLOOKUP($A119,기본데이타!$A$8:$BV$103,COLUMN(기본데이타!G$8),0))</f>
        <v/>
      </c>
      <c r="F119" s="15" t="str">
        <f>IF($A119="","",VLOOKUP($A119,기본데이타!$A$8:$BV$103,COLUMN(기본데이타!H$8),0))</f>
        <v/>
      </c>
      <c r="G119" s="15" t="str">
        <f>IF($A119="","",VLOOKUP($A119,기본데이타!$A$8:$BV$103,COLUMN(기본데이타!I$8),0))</f>
        <v/>
      </c>
      <c r="H119" s="15" t="str">
        <f>IF($A119="","",VLOOKUP($A119,기본데이타!$A$8:$BV$103,COLUMN(기본데이타!J$8),0))</f>
        <v/>
      </c>
      <c r="I119" s="17" t="str">
        <f>IF($A119="","",VLOOKUP($A119,기본데이타!$A$8:$BV$103,COLUMN(기본데이타!AJ$8),0))</f>
        <v/>
      </c>
      <c r="J119" s="381" t="str">
        <f>IF($A119="","",VLOOKUP($A119,기본데이타!$A$8:$BV$103,COLUMN(기본데이타!AK$8),0))</f>
        <v/>
      </c>
      <c r="K119" s="381" t="str">
        <f>IF($A119="","",VLOOKUP($A119,기본데이타!$A$8:$BV$103,COLUMN(기본데이타!AL$8),0))</f>
        <v/>
      </c>
      <c r="L119" s="381" t="str">
        <f>IF($A119="","",VLOOKUP($A119,기본데이타!$A$8:$BV$103,COLUMN(기본데이타!AM$8),0))</f>
        <v/>
      </c>
      <c r="M119" s="381" t="str">
        <f>IF($A119="","",VLOOKUP($A119,기본데이타!$A$8:$BV$103,COLUMN(기본데이타!AN$8),0))</f>
        <v/>
      </c>
      <c r="N119" s="381" t="str">
        <f>IF($A119="","",VLOOKUP($A119,기본데이타!$A$8:$BV$103,COLUMN(기본데이타!AO$8),0))</f>
        <v/>
      </c>
      <c r="O119" s="381" t="str">
        <f>IF($A119="","",VLOOKUP($A119,기본데이타!$A$8:$BV$103,COLUMN(기본데이타!AP$8),0))</f>
        <v/>
      </c>
      <c r="P119" s="381" t="str">
        <f>IF($A119="","",VLOOKUP($A119,기본데이타!$A$8:$BV$103,COLUMN(기본데이타!AQ$8),0))</f>
        <v/>
      </c>
      <c r="Q119" s="381" t="str">
        <f>IF($A119="","",VLOOKUP($A119,기본데이타!$A$8:$BV$103,COLUMN(기본데이타!AR$8),0))</f>
        <v/>
      </c>
      <c r="R119" s="381" t="str">
        <f>IF($A119="","",VLOOKUP($A119,기본데이타!$A$8:$BV$103,COLUMN(기본데이타!AS$8),0))</f>
        <v/>
      </c>
      <c r="S119" s="381" t="str">
        <f>IF($A119="","",VLOOKUP($A119,기본데이타!$A$8:$BV$103,COLUMN(기본데이타!AT$8),0))</f>
        <v/>
      </c>
      <c r="T119" s="381" t="str">
        <f>IF($A119="","",VLOOKUP($A119,기본데이타!$A$8:$BV$103,COLUMN(기본데이타!AU$8),0))</f>
        <v/>
      </c>
      <c r="U119" s="381" t="str">
        <f>IF($A119="","",VLOOKUP($A119,기본데이타!$A$8:$BV$103,COLUMN(기본데이타!AV$8),0))</f>
        <v/>
      </c>
      <c r="V119" s="16" t="str">
        <f>IF($A119="","",VLOOKUP($A119,기본데이타!$A$8:$BV$103,COLUMN(기본데이타!AW$8),0))</f>
        <v/>
      </c>
      <c r="W119" s="16" t="str">
        <f>IF($A119="","",VLOOKUP($A119,기본데이타!$A$8:$BV$103,COLUMN(기본데이타!AX$8),0))</f>
        <v/>
      </c>
      <c r="X119" s="16" t="str">
        <f>IF($A119="","",VLOOKUP($A119,기본데이타!$A$8:$BV$103,COLUMN(기본데이타!AY$8),0))</f>
        <v/>
      </c>
      <c r="Y119" s="16" t="str">
        <f>IF($A119="","",VLOOKUP($A119,기본데이타!$A$8:$BV$103,COLUMN(기본데이타!AZ$8),0))</f>
        <v/>
      </c>
      <c r="Z119" s="17" t="str">
        <f>IF($A119="","",VLOOKUP($A119,기본데이타!$A$8:$BV$103,COLUMN(기본데이타!BN$8),0))</f>
        <v/>
      </c>
      <c r="AA119" s="17" t="str">
        <f>IF($A119="","",VLOOKUP($A119,기본데이타!$A$8:$BV$103,COLUMN(기본데이타!BO$8),0))</f>
        <v/>
      </c>
      <c r="AB119" s="17" t="str">
        <f>IF($A119="","",VLOOKUP($A119,기본데이타!$A$8:$BV$103,COLUMN(기본데이타!BP$8),0))</f>
        <v/>
      </c>
      <c r="AC119" s="17" t="str">
        <f>IF($A119="","",VLOOKUP($A119,기본데이타!$A$8:$BV$103,COLUMN(기본데이타!BQ$8),0))</f>
        <v/>
      </c>
      <c r="AD119" s="17" t="str">
        <f>IF($A119="","",VLOOKUP($A119,기본데이타!$A$8:$BV$103,COLUMN(기본데이타!BR$8),0))</f>
        <v/>
      </c>
      <c r="AE119" s="17" t="str">
        <f>IF($A119="","",VLOOKUP($A119,기본데이타!$A$8:$BV$103,COLUMN(기본데이타!BS$8),0))</f>
        <v/>
      </c>
      <c r="AF119" s="524" t="str">
        <f>IF($A119="","",VLOOKUP($A119,기본데이타!$A$8:$BV$103,COLUMN(기본데이타!BT$8),0))</f>
        <v/>
      </c>
      <c r="AG119" s="432" t="str">
        <f>IF($A119="","",VLOOKUP($A119,기본데이타!$A$8:$BV$103,COLUMN(기본데이타!BU$8),0))</f>
        <v/>
      </c>
      <c r="AH119" s="18" t="str">
        <f t="shared" si="32"/>
        <v/>
      </c>
    </row>
    <row r="120" spans="1:35" s="187" customFormat="1" ht="35.1" hidden="1" customHeight="1">
      <c r="A120" s="189"/>
      <c r="C120" s="190"/>
      <c r="D120" s="8" t="str">
        <f>IF($A120="","",VLOOKUP($A120,기본데이타!$A$8:$BV$103,COLUMN(기본데이타!F$8),0))</f>
        <v/>
      </c>
      <c r="E120" s="252" t="str">
        <f>IF($A120="","",VLOOKUP($A120,기본데이타!$A$8:$BV$103,COLUMN(기본데이타!G$8),0))</f>
        <v/>
      </c>
      <c r="F120" s="15" t="str">
        <f>IF($A120="","",VLOOKUP($A120,기본데이타!$A$8:$BV$103,COLUMN(기본데이타!H$8),0))</f>
        <v/>
      </c>
      <c r="G120" s="15" t="str">
        <f>IF($A120="","",VLOOKUP($A120,기본데이타!$A$8:$BV$103,COLUMN(기본데이타!I$8),0))</f>
        <v/>
      </c>
      <c r="H120" s="15" t="str">
        <f>IF($A120="","",VLOOKUP($A120,기본데이타!$A$8:$BV$103,COLUMN(기본데이타!J$8),0))</f>
        <v/>
      </c>
      <c r="I120" s="17" t="str">
        <f>IF($A120="","",VLOOKUP($A120,기본데이타!$A$8:$BV$103,COLUMN(기본데이타!AJ$8),0))</f>
        <v/>
      </c>
      <c r="J120" s="381" t="str">
        <f>IF($A120="","",VLOOKUP($A120,기본데이타!$A$8:$BV$103,COLUMN(기본데이타!AK$8),0))</f>
        <v/>
      </c>
      <c r="K120" s="381" t="str">
        <f>IF($A120="","",VLOOKUP($A120,기본데이타!$A$8:$BV$103,COLUMN(기본데이타!AL$8),0))</f>
        <v/>
      </c>
      <c r="L120" s="381" t="str">
        <f>IF($A120="","",VLOOKUP($A120,기본데이타!$A$8:$BV$103,COLUMN(기본데이타!AM$8),0))</f>
        <v/>
      </c>
      <c r="M120" s="381" t="str">
        <f>IF($A120="","",VLOOKUP($A120,기본데이타!$A$8:$BV$103,COLUMN(기본데이타!AN$8),0))</f>
        <v/>
      </c>
      <c r="N120" s="381" t="str">
        <f>IF($A120="","",VLOOKUP($A120,기본데이타!$A$8:$BV$103,COLUMN(기본데이타!AO$8),0))</f>
        <v/>
      </c>
      <c r="O120" s="381" t="str">
        <f>IF($A120="","",VLOOKUP($A120,기본데이타!$A$8:$BV$103,COLUMN(기본데이타!AP$8),0))</f>
        <v/>
      </c>
      <c r="P120" s="381" t="str">
        <f>IF($A120="","",VLOOKUP($A120,기본데이타!$A$8:$BV$103,COLUMN(기본데이타!AQ$8),0))</f>
        <v/>
      </c>
      <c r="Q120" s="381" t="str">
        <f>IF($A120="","",VLOOKUP($A120,기본데이타!$A$8:$BV$103,COLUMN(기본데이타!AR$8),0))</f>
        <v/>
      </c>
      <c r="R120" s="381" t="str">
        <f>IF($A120="","",VLOOKUP($A120,기본데이타!$A$8:$BV$103,COLUMN(기본데이타!AS$8),0))</f>
        <v/>
      </c>
      <c r="S120" s="381" t="str">
        <f>IF($A120="","",VLOOKUP($A120,기본데이타!$A$8:$BV$103,COLUMN(기본데이타!AT$8),0))</f>
        <v/>
      </c>
      <c r="T120" s="381" t="str">
        <f>IF($A120="","",VLOOKUP($A120,기본데이타!$A$8:$BV$103,COLUMN(기본데이타!AU$8),0))</f>
        <v/>
      </c>
      <c r="U120" s="381" t="str">
        <f>IF($A120="","",VLOOKUP($A120,기본데이타!$A$8:$BV$103,COLUMN(기본데이타!AV$8),0))</f>
        <v/>
      </c>
      <c r="V120" s="16" t="str">
        <f>IF($A120="","",VLOOKUP($A120,기본데이타!$A$8:$BV$103,COLUMN(기본데이타!AW$8),0))</f>
        <v/>
      </c>
      <c r="W120" s="16" t="str">
        <f>IF($A120="","",VLOOKUP($A120,기본데이타!$A$8:$BV$103,COLUMN(기본데이타!AX$8),0))</f>
        <v/>
      </c>
      <c r="X120" s="16" t="str">
        <f>IF($A120="","",VLOOKUP($A120,기본데이타!$A$8:$BV$103,COLUMN(기본데이타!AY$8),0))</f>
        <v/>
      </c>
      <c r="Y120" s="16" t="str">
        <f>IF($A120="","",VLOOKUP($A120,기본데이타!$A$8:$BV$103,COLUMN(기본데이타!AZ$8),0))</f>
        <v/>
      </c>
      <c r="Z120" s="17" t="str">
        <f>IF($A120="","",VLOOKUP($A120,기본데이타!$A$8:$BV$103,COLUMN(기본데이타!BN$8),0))</f>
        <v/>
      </c>
      <c r="AA120" s="17" t="str">
        <f>IF($A120="","",VLOOKUP($A120,기본데이타!$A$8:$BV$103,COLUMN(기본데이타!BO$8),0))</f>
        <v/>
      </c>
      <c r="AB120" s="17" t="str">
        <f>IF($A120="","",VLOOKUP($A120,기본데이타!$A$8:$BV$103,COLUMN(기본데이타!BP$8),0))</f>
        <v/>
      </c>
      <c r="AC120" s="17" t="str">
        <f>IF($A120="","",VLOOKUP($A120,기본데이타!$A$8:$BV$103,COLUMN(기본데이타!BQ$8),0))</f>
        <v/>
      </c>
      <c r="AD120" s="17" t="str">
        <f>IF($A120="","",VLOOKUP($A120,기본데이타!$A$8:$BV$103,COLUMN(기본데이타!BR$8),0))</f>
        <v/>
      </c>
      <c r="AE120" s="17" t="str">
        <f>IF($A120="","",VLOOKUP($A120,기본데이타!$A$8:$BV$103,COLUMN(기본데이타!BS$8),0))</f>
        <v/>
      </c>
      <c r="AF120" s="524" t="str">
        <f>IF($A120="","",VLOOKUP($A120,기본데이타!$A$8:$BV$103,COLUMN(기본데이타!BT$8),0))</f>
        <v/>
      </c>
      <c r="AG120" s="432" t="str">
        <f>IF($A120="","",VLOOKUP($A120,기본데이타!$A$8:$BV$103,COLUMN(기본데이타!BU$8),0))</f>
        <v/>
      </c>
      <c r="AH120" s="18" t="str">
        <f t="shared" si="32"/>
        <v/>
      </c>
    </row>
    <row r="121" spans="1:35" s="187" customFormat="1" ht="35.1" hidden="1" customHeight="1">
      <c r="A121" s="189"/>
      <c r="C121" s="190"/>
      <c r="D121" s="8" t="str">
        <f>IF($A121="","",VLOOKUP($A121,기본데이타!$A$8:$BV$103,COLUMN(기본데이타!F$8),0))</f>
        <v/>
      </c>
      <c r="E121" s="252" t="str">
        <f>IF($A121="","",VLOOKUP($A121,기본데이타!$A$8:$BV$103,COLUMN(기본데이타!G$8),0))</f>
        <v/>
      </c>
      <c r="F121" s="15" t="str">
        <f>IF($A121="","",VLOOKUP($A121,기본데이타!$A$8:$BV$103,COLUMN(기본데이타!H$8),0))</f>
        <v/>
      </c>
      <c r="G121" s="15" t="str">
        <f>IF($A121="","",VLOOKUP($A121,기본데이타!$A$8:$BV$103,COLUMN(기본데이타!I$8),0))</f>
        <v/>
      </c>
      <c r="H121" s="15" t="str">
        <f>IF($A121="","",VLOOKUP($A121,기본데이타!$A$8:$BV$103,COLUMN(기본데이타!J$8),0))</f>
        <v/>
      </c>
      <c r="I121" s="17" t="str">
        <f>IF($A121="","",VLOOKUP($A121,기본데이타!$A$8:$BV$103,COLUMN(기본데이타!AJ$8),0))</f>
        <v/>
      </c>
      <c r="J121" s="381" t="str">
        <f>IF($A121="","",VLOOKUP($A121,기본데이타!$A$8:$BV$103,COLUMN(기본데이타!AK$8),0))</f>
        <v/>
      </c>
      <c r="K121" s="381" t="str">
        <f>IF($A121="","",VLOOKUP($A121,기본데이타!$A$8:$BV$103,COLUMN(기본데이타!AL$8),0))</f>
        <v/>
      </c>
      <c r="L121" s="381" t="str">
        <f>IF($A121="","",VLOOKUP($A121,기본데이타!$A$8:$BV$103,COLUMN(기본데이타!AM$8),0))</f>
        <v/>
      </c>
      <c r="M121" s="381" t="str">
        <f>IF($A121="","",VLOOKUP($A121,기본데이타!$A$8:$BV$103,COLUMN(기본데이타!AN$8),0))</f>
        <v/>
      </c>
      <c r="N121" s="381" t="str">
        <f>IF($A121="","",VLOOKUP($A121,기본데이타!$A$8:$BV$103,COLUMN(기본데이타!AO$8),0))</f>
        <v/>
      </c>
      <c r="O121" s="381" t="str">
        <f>IF($A121="","",VLOOKUP($A121,기본데이타!$A$8:$BV$103,COLUMN(기본데이타!AP$8),0))</f>
        <v/>
      </c>
      <c r="P121" s="381" t="str">
        <f>IF($A121="","",VLOOKUP($A121,기본데이타!$A$8:$BV$103,COLUMN(기본데이타!AQ$8),0))</f>
        <v/>
      </c>
      <c r="Q121" s="381" t="str">
        <f>IF($A121="","",VLOOKUP($A121,기본데이타!$A$8:$BV$103,COLUMN(기본데이타!AR$8),0))</f>
        <v/>
      </c>
      <c r="R121" s="381" t="str">
        <f>IF($A121="","",VLOOKUP($A121,기본데이타!$A$8:$BV$103,COLUMN(기본데이타!AS$8),0))</f>
        <v/>
      </c>
      <c r="S121" s="381" t="str">
        <f>IF($A121="","",VLOOKUP($A121,기본데이타!$A$8:$BV$103,COLUMN(기본데이타!AT$8),0))</f>
        <v/>
      </c>
      <c r="T121" s="381" t="str">
        <f>IF($A121="","",VLOOKUP($A121,기본데이타!$A$8:$BV$103,COLUMN(기본데이타!AU$8),0))</f>
        <v/>
      </c>
      <c r="U121" s="381" t="str">
        <f>IF($A121="","",VLOOKUP($A121,기본데이타!$A$8:$BV$103,COLUMN(기본데이타!AV$8),0))</f>
        <v/>
      </c>
      <c r="V121" s="16" t="str">
        <f>IF($A121="","",VLOOKUP($A121,기본데이타!$A$8:$BV$103,COLUMN(기본데이타!AW$8),0))</f>
        <v/>
      </c>
      <c r="W121" s="16" t="str">
        <f>IF($A121="","",VLOOKUP($A121,기본데이타!$A$8:$BV$103,COLUMN(기본데이타!AX$8),0))</f>
        <v/>
      </c>
      <c r="X121" s="16" t="str">
        <f>IF($A121="","",VLOOKUP($A121,기본데이타!$A$8:$BV$103,COLUMN(기본데이타!AY$8),0))</f>
        <v/>
      </c>
      <c r="Y121" s="16" t="str">
        <f>IF($A121="","",VLOOKUP($A121,기본데이타!$A$8:$BV$103,COLUMN(기본데이타!AZ$8),0))</f>
        <v/>
      </c>
      <c r="Z121" s="17" t="str">
        <f>IF($A121="","",VLOOKUP($A121,기본데이타!$A$8:$BV$103,COLUMN(기본데이타!BN$8),0))</f>
        <v/>
      </c>
      <c r="AA121" s="17" t="str">
        <f>IF($A121="","",VLOOKUP($A121,기본데이타!$A$8:$BV$103,COLUMN(기본데이타!BO$8),0))</f>
        <v/>
      </c>
      <c r="AB121" s="17" t="str">
        <f>IF($A121="","",VLOOKUP($A121,기본데이타!$A$8:$BV$103,COLUMN(기본데이타!BP$8),0))</f>
        <v/>
      </c>
      <c r="AC121" s="17" t="str">
        <f>IF($A121="","",VLOOKUP($A121,기본데이타!$A$8:$BV$103,COLUMN(기본데이타!BQ$8),0))</f>
        <v/>
      </c>
      <c r="AD121" s="17" t="str">
        <f>IF($A121="","",VLOOKUP($A121,기본데이타!$A$8:$BV$103,COLUMN(기본데이타!BR$8),0))</f>
        <v/>
      </c>
      <c r="AE121" s="17" t="str">
        <f>IF($A121="","",VLOOKUP($A121,기본데이타!$A$8:$BV$103,COLUMN(기본데이타!BS$8),0))</f>
        <v/>
      </c>
      <c r="AF121" s="524" t="str">
        <f>IF($A121="","",VLOOKUP($A121,기본데이타!$A$8:$BV$103,COLUMN(기본데이타!BT$8),0))</f>
        <v/>
      </c>
      <c r="AG121" s="432" t="str">
        <f>IF($A121="","",VLOOKUP($A121,기본데이타!$A$8:$BV$103,COLUMN(기본데이타!BU$8),0))</f>
        <v/>
      </c>
      <c r="AH121" s="18" t="str">
        <f t="shared" si="32"/>
        <v/>
      </c>
    </row>
    <row r="122" spans="1:35" s="187" customFormat="1" ht="35.1" hidden="1" customHeight="1">
      <c r="A122" s="189"/>
      <c r="C122" s="190"/>
      <c r="D122" s="8" t="str">
        <f>IF($A122="","",VLOOKUP($A122,기본데이타!$A$8:$BV$103,COLUMN(기본데이타!F$8),0))</f>
        <v/>
      </c>
      <c r="E122" s="252" t="str">
        <f>IF($A122="","",VLOOKUP($A122,기본데이타!$A$8:$BV$103,COLUMN(기본데이타!G$8),0))</f>
        <v/>
      </c>
      <c r="F122" s="15" t="str">
        <f>IF($A122="","",VLOOKUP($A122,기본데이타!$A$8:$BV$103,COLUMN(기본데이타!H$8),0))</f>
        <v/>
      </c>
      <c r="G122" s="15" t="str">
        <f>IF($A122="","",VLOOKUP($A122,기본데이타!$A$8:$BV$103,COLUMN(기본데이타!I$8),0))</f>
        <v/>
      </c>
      <c r="H122" s="15" t="str">
        <f>IF($A122="","",VLOOKUP($A122,기본데이타!$A$8:$BV$103,COLUMN(기본데이타!J$8),0))</f>
        <v/>
      </c>
      <c r="I122" s="17" t="str">
        <f>IF($A122="","",VLOOKUP($A122,기본데이타!$A$8:$BV$103,COLUMN(기본데이타!AJ$8),0))</f>
        <v/>
      </c>
      <c r="J122" s="381" t="str">
        <f>IF($A122="","",VLOOKUP($A122,기본데이타!$A$8:$BV$103,COLUMN(기본데이타!AK$8),0))</f>
        <v/>
      </c>
      <c r="K122" s="381" t="str">
        <f>IF($A122="","",VLOOKUP($A122,기본데이타!$A$8:$BV$103,COLUMN(기본데이타!AL$8),0))</f>
        <v/>
      </c>
      <c r="L122" s="381" t="str">
        <f>IF($A122="","",VLOOKUP($A122,기본데이타!$A$8:$BV$103,COLUMN(기본데이타!AM$8),0))</f>
        <v/>
      </c>
      <c r="M122" s="381" t="str">
        <f>IF($A122="","",VLOOKUP($A122,기본데이타!$A$8:$BV$103,COLUMN(기본데이타!AN$8),0))</f>
        <v/>
      </c>
      <c r="N122" s="381" t="str">
        <f>IF($A122="","",VLOOKUP($A122,기본데이타!$A$8:$BV$103,COLUMN(기본데이타!AO$8),0))</f>
        <v/>
      </c>
      <c r="O122" s="381" t="str">
        <f>IF($A122="","",VLOOKUP($A122,기본데이타!$A$8:$BV$103,COLUMN(기본데이타!AP$8),0))</f>
        <v/>
      </c>
      <c r="P122" s="381" t="str">
        <f>IF($A122="","",VLOOKUP($A122,기본데이타!$A$8:$BV$103,COLUMN(기본데이타!AQ$8),0))</f>
        <v/>
      </c>
      <c r="Q122" s="381" t="str">
        <f>IF($A122="","",VLOOKUP($A122,기본데이타!$A$8:$BV$103,COLUMN(기본데이타!AR$8),0))</f>
        <v/>
      </c>
      <c r="R122" s="381" t="str">
        <f>IF($A122="","",VLOOKUP($A122,기본데이타!$A$8:$BV$103,COLUMN(기본데이타!AS$8),0))</f>
        <v/>
      </c>
      <c r="S122" s="381" t="str">
        <f>IF($A122="","",VLOOKUP($A122,기본데이타!$A$8:$BV$103,COLUMN(기본데이타!AT$8),0))</f>
        <v/>
      </c>
      <c r="T122" s="381" t="str">
        <f>IF($A122="","",VLOOKUP($A122,기본데이타!$A$8:$BV$103,COLUMN(기본데이타!AU$8),0))</f>
        <v/>
      </c>
      <c r="U122" s="381" t="str">
        <f>IF($A122="","",VLOOKUP($A122,기본데이타!$A$8:$BV$103,COLUMN(기본데이타!AV$8),0))</f>
        <v/>
      </c>
      <c r="V122" s="16" t="str">
        <f>IF($A122="","",VLOOKUP($A122,기본데이타!$A$8:$BV$103,COLUMN(기본데이타!AW$8),0))</f>
        <v/>
      </c>
      <c r="W122" s="16" t="str">
        <f>IF($A122="","",VLOOKUP($A122,기본데이타!$A$8:$BV$103,COLUMN(기본데이타!AX$8),0))</f>
        <v/>
      </c>
      <c r="X122" s="16" t="str">
        <f>IF($A122="","",VLOOKUP($A122,기본데이타!$A$8:$BV$103,COLUMN(기본데이타!AY$8),0))</f>
        <v/>
      </c>
      <c r="Y122" s="16" t="str">
        <f>IF($A122="","",VLOOKUP($A122,기본데이타!$A$8:$BV$103,COLUMN(기본데이타!AZ$8),0))</f>
        <v/>
      </c>
      <c r="Z122" s="17" t="str">
        <f>IF($A122="","",VLOOKUP($A122,기본데이타!$A$8:$BV$103,COLUMN(기본데이타!BN$8),0))</f>
        <v/>
      </c>
      <c r="AA122" s="17" t="str">
        <f>IF($A122="","",VLOOKUP($A122,기본데이타!$A$8:$BV$103,COLUMN(기본데이타!BO$8),0))</f>
        <v/>
      </c>
      <c r="AB122" s="17" t="str">
        <f>IF($A122="","",VLOOKUP($A122,기본데이타!$A$8:$BV$103,COLUMN(기본데이타!BP$8),0))</f>
        <v/>
      </c>
      <c r="AC122" s="17" t="str">
        <f>IF($A122="","",VLOOKUP($A122,기본데이타!$A$8:$BV$103,COLUMN(기본데이타!BQ$8),0))</f>
        <v/>
      </c>
      <c r="AD122" s="17" t="str">
        <f>IF($A122="","",VLOOKUP($A122,기본데이타!$A$8:$BV$103,COLUMN(기본데이타!BR$8),0))</f>
        <v/>
      </c>
      <c r="AE122" s="17" t="str">
        <f>IF($A122="","",VLOOKUP($A122,기본데이타!$A$8:$BV$103,COLUMN(기본데이타!BS$8),0))</f>
        <v/>
      </c>
      <c r="AF122" s="524" t="str">
        <f>IF($A122="","",VLOOKUP($A122,기본데이타!$A$8:$BV$103,COLUMN(기본데이타!BT$8),0))</f>
        <v/>
      </c>
      <c r="AG122" s="432" t="str">
        <f>IF($A122="","",VLOOKUP($A122,기본데이타!$A$8:$BV$103,COLUMN(기본데이타!BU$8),0))</f>
        <v/>
      </c>
      <c r="AH122" s="18" t="str">
        <f t="shared" si="32"/>
        <v/>
      </c>
    </row>
    <row r="123" spans="1:35" s="187" customFormat="1" ht="35.1" hidden="1" customHeight="1">
      <c r="A123" s="189"/>
      <c r="C123" s="190"/>
      <c r="D123" s="8" t="str">
        <f>IF($A123="","",VLOOKUP($A123,기본데이타!$A$8:$BV$103,COLUMN(기본데이타!F$8),0))</f>
        <v/>
      </c>
      <c r="E123" s="252" t="str">
        <f>IF($A123="","",VLOOKUP($A123,기본데이타!$A$8:$BV$103,COLUMN(기본데이타!G$8),0))</f>
        <v/>
      </c>
      <c r="F123" s="15" t="str">
        <f>IF($A123="","",VLOOKUP($A123,기본데이타!$A$8:$BV$103,COLUMN(기본데이타!H$8),0))</f>
        <v/>
      </c>
      <c r="G123" s="15" t="str">
        <f>IF($A123="","",VLOOKUP($A123,기본데이타!$A$8:$BV$103,COLUMN(기본데이타!I$8),0))</f>
        <v/>
      </c>
      <c r="H123" s="15" t="str">
        <f>IF($A123="","",VLOOKUP($A123,기본데이타!$A$8:$BV$103,COLUMN(기본데이타!J$8),0))</f>
        <v/>
      </c>
      <c r="I123" s="17" t="str">
        <f>IF($A123="","",VLOOKUP($A123,기본데이타!$A$8:$BV$103,COLUMN(기본데이타!AJ$8),0))</f>
        <v/>
      </c>
      <c r="J123" s="381" t="str">
        <f>IF($A123="","",VLOOKUP($A123,기본데이타!$A$8:$BV$103,COLUMN(기본데이타!AK$8),0))</f>
        <v/>
      </c>
      <c r="K123" s="381" t="str">
        <f>IF($A123="","",VLOOKUP($A123,기본데이타!$A$8:$BV$103,COLUMN(기본데이타!AL$8),0))</f>
        <v/>
      </c>
      <c r="L123" s="381" t="str">
        <f>IF($A123="","",VLOOKUP($A123,기본데이타!$A$8:$BV$103,COLUMN(기본데이타!AM$8),0))</f>
        <v/>
      </c>
      <c r="M123" s="381" t="str">
        <f>IF($A123="","",VLOOKUP($A123,기본데이타!$A$8:$BV$103,COLUMN(기본데이타!AN$8),0))</f>
        <v/>
      </c>
      <c r="N123" s="381" t="str">
        <f>IF($A123="","",VLOOKUP($A123,기본데이타!$A$8:$BV$103,COLUMN(기본데이타!AO$8),0))</f>
        <v/>
      </c>
      <c r="O123" s="381" t="str">
        <f>IF($A123="","",VLOOKUP($A123,기본데이타!$A$8:$BV$103,COLUMN(기본데이타!AP$8),0))</f>
        <v/>
      </c>
      <c r="P123" s="381" t="str">
        <f>IF($A123="","",VLOOKUP($A123,기본데이타!$A$8:$BV$103,COLUMN(기본데이타!AQ$8),0))</f>
        <v/>
      </c>
      <c r="Q123" s="381" t="str">
        <f>IF($A123="","",VLOOKUP($A123,기본데이타!$A$8:$BV$103,COLUMN(기본데이타!AR$8),0))</f>
        <v/>
      </c>
      <c r="R123" s="381" t="str">
        <f>IF($A123="","",VLOOKUP($A123,기본데이타!$A$8:$BV$103,COLUMN(기본데이타!AS$8),0))</f>
        <v/>
      </c>
      <c r="S123" s="381" t="str">
        <f>IF($A123="","",VLOOKUP($A123,기본데이타!$A$8:$BV$103,COLUMN(기본데이타!AT$8),0))</f>
        <v/>
      </c>
      <c r="T123" s="381" t="str">
        <f>IF($A123="","",VLOOKUP($A123,기본데이타!$A$8:$BV$103,COLUMN(기본데이타!AU$8),0))</f>
        <v/>
      </c>
      <c r="U123" s="381" t="str">
        <f>IF($A123="","",VLOOKUP($A123,기본데이타!$A$8:$BV$103,COLUMN(기본데이타!AV$8),0))</f>
        <v/>
      </c>
      <c r="V123" s="16" t="str">
        <f>IF($A123="","",VLOOKUP($A123,기본데이타!$A$8:$BV$103,COLUMN(기본데이타!AW$8),0))</f>
        <v/>
      </c>
      <c r="W123" s="16" t="str">
        <f>IF($A123="","",VLOOKUP($A123,기본데이타!$A$8:$BV$103,COLUMN(기본데이타!AX$8),0))</f>
        <v/>
      </c>
      <c r="X123" s="16" t="str">
        <f>IF($A123="","",VLOOKUP($A123,기본데이타!$A$8:$BV$103,COLUMN(기본데이타!AY$8),0))</f>
        <v/>
      </c>
      <c r="Y123" s="16" t="str">
        <f>IF($A123="","",VLOOKUP($A123,기본데이타!$A$8:$BV$103,COLUMN(기본데이타!AZ$8),0))</f>
        <v/>
      </c>
      <c r="Z123" s="17" t="str">
        <f>IF($A123="","",VLOOKUP($A123,기본데이타!$A$8:$BV$103,COLUMN(기본데이타!BN$8),0))</f>
        <v/>
      </c>
      <c r="AA123" s="17" t="str">
        <f>IF($A123="","",VLOOKUP($A123,기본데이타!$A$8:$BV$103,COLUMN(기본데이타!BO$8),0))</f>
        <v/>
      </c>
      <c r="AB123" s="17" t="str">
        <f>IF($A123="","",VLOOKUP($A123,기본데이타!$A$8:$BV$103,COLUMN(기본데이타!BP$8),0))</f>
        <v/>
      </c>
      <c r="AC123" s="17" t="str">
        <f>IF($A123="","",VLOOKUP($A123,기본데이타!$A$8:$BV$103,COLUMN(기본데이타!BQ$8),0))</f>
        <v/>
      </c>
      <c r="AD123" s="17" t="str">
        <f>IF($A123="","",VLOOKUP($A123,기본데이타!$A$8:$BV$103,COLUMN(기본데이타!BR$8),0))</f>
        <v/>
      </c>
      <c r="AE123" s="17" t="str">
        <f>IF($A123="","",VLOOKUP($A123,기본데이타!$A$8:$BV$103,COLUMN(기본데이타!BS$8),0))</f>
        <v/>
      </c>
      <c r="AF123" s="524" t="str">
        <f>IF($A123="","",VLOOKUP($A123,기본데이타!$A$8:$BV$103,COLUMN(기본데이타!BT$8),0))</f>
        <v/>
      </c>
      <c r="AG123" s="432" t="str">
        <f>IF($A123="","",VLOOKUP($A123,기본데이타!$A$8:$BV$103,COLUMN(기본데이타!BU$8),0))</f>
        <v/>
      </c>
      <c r="AH123" s="18" t="str">
        <f t="shared" si="32"/>
        <v/>
      </c>
    </row>
    <row r="124" spans="1:35" s="187" customFormat="1" ht="35.1" hidden="1" customHeight="1">
      <c r="A124" s="189"/>
      <c r="C124" s="1283"/>
      <c r="D124" s="8" t="str">
        <f>IF($A124="","",VLOOKUP($A124,기본데이타!$A$8:$BV$103,COLUMN(기본데이타!F$8),0))</f>
        <v/>
      </c>
      <c r="E124" s="252" t="str">
        <f>IF($A124="","",VLOOKUP($A124,기본데이타!$A$8:$BV$103,COLUMN(기본데이타!G$8),0))</f>
        <v/>
      </c>
      <c r="F124" s="9" t="str">
        <f>IF($A124="","",VLOOKUP($A124,기본데이타!$A$8:$BV$103,COLUMN(기본데이타!H$8),0))</f>
        <v/>
      </c>
      <c r="G124" s="9" t="str">
        <f>IF($A124="","",VLOOKUP($A124,기본데이타!$A$8:$BV$103,COLUMN(기본데이타!I$8),0))</f>
        <v/>
      </c>
      <c r="H124" s="9" t="str">
        <f>IF($A124="","",VLOOKUP($A124,기본데이타!$A$8:$BV$103,COLUMN(기본데이타!J$8),0))</f>
        <v/>
      </c>
      <c r="I124" s="17" t="str">
        <f>IF($A124="","",VLOOKUP($A124,기본데이타!$A$8:$BV$103,COLUMN(기본데이타!AJ$8),0))</f>
        <v/>
      </c>
      <c r="J124" s="381" t="str">
        <f>IF($A124="","",VLOOKUP($A124,기본데이타!$A$8:$BV$103,COLUMN(기본데이타!AK$8),0))</f>
        <v/>
      </c>
      <c r="K124" s="381" t="str">
        <f>IF($A124="","",VLOOKUP($A124,기본데이타!$A$8:$BV$103,COLUMN(기본데이타!AL$8),0))</f>
        <v/>
      </c>
      <c r="L124" s="381" t="str">
        <f>IF($A124="","",VLOOKUP($A124,기본데이타!$A$8:$BV$103,COLUMN(기본데이타!AM$8),0))</f>
        <v/>
      </c>
      <c r="M124" s="381" t="str">
        <f>IF($A124="","",VLOOKUP($A124,기본데이타!$A$8:$BV$103,COLUMN(기본데이타!AN$8),0))</f>
        <v/>
      </c>
      <c r="N124" s="381" t="str">
        <f>IF($A124="","",VLOOKUP($A124,기본데이타!$A$8:$BV$103,COLUMN(기본데이타!AO$8),0))</f>
        <v/>
      </c>
      <c r="O124" s="381" t="str">
        <f>IF($A124="","",VLOOKUP($A124,기본데이타!$A$8:$BV$103,COLUMN(기본데이타!AP$8),0))</f>
        <v/>
      </c>
      <c r="P124" s="381" t="str">
        <f>IF($A124="","",VLOOKUP($A124,기본데이타!$A$8:$BV$103,COLUMN(기본데이타!AQ$8),0))</f>
        <v/>
      </c>
      <c r="Q124" s="381" t="str">
        <f>IF($A124="","",VLOOKUP($A124,기본데이타!$A$8:$BV$103,COLUMN(기본데이타!AR$8),0))</f>
        <v/>
      </c>
      <c r="R124" s="381" t="str">
        <f>IF($A124="","",VLOOKUP($A124,기본데이타!$A$8:$BV$103,COLUMN(기본데이타!AS$8),0))</f>
        <v/>
      </c>
      <c r="S124" s="381" t="str">
        <f>IF($A124="","",VLOOKUP($A124,기본데이타!$A$8:$BV$103,COLUMN(기본데이타!AT$8),0))</f>
        <v/>
      </c>
      <c r="T124" s="381" t="str">
        <f>IF($A124="","",VLOOKUP($A124,기본데이타!$A$8:$BV$103,COLUMN(기본데이타!AU$8),0))</f>
        <v/>
      </c>
      <c r="U124" s="381" t="str">
        <f>IF($A124="","",VLOOKUP($A124,기본데이타!$A$8:$BV$103,COLUMN(기본데이타!AV$8),0))</f>
        <v/>
      </c>
      <c r="V124" s="16" t="str">
        <f>IF($A124="","",VLOOKUP($A124,기본데이타!$A$8:$BV$103,COLUMN(기본데이타!AW$8),0))</f>
        <v/>
      </c>
      <c r="W124" s="16" t="str">
        <f>IF($A124="","",VLOOKUP($A124,기본데이타!$A$8:$BV$103,COLUMN(기본데이타!AX$8),0))</f>
        <v/>
      </c>
      <c r="X124" s="16" t="str">
        <f>IF($A124="","",VLOOKUP($A124,기본데이타!$A$8:$BV$103,COLUMN(기본데이타!AY$8),0))</f>
        <v/>
      </c>
      <c r="Y124" s="16" t="str">
        <f>IF($A124="","",VLOOKUP($A124,기본데이타!$A$8:$BV$103,COLUMN(기본데이타!AZ$8),0))</f>
        <v/>
      </c>
      <c r="Z124" s="17" t="str">
        <f>IF($A124="","",VLOOKUP($A124,기본데이타!$A$8:$BV$103,COLUMN(기본데이타!BN$8),0))</f>
        <v/>
      </c>
      <c r="AA124" s="17" t="str">
        <f>IF($A124="","",VLOOKUP($A124,기본데이타!$A$8:$BV$103,COLUMN(기본데이타!BO$8),0))</f>
        <v/>
      </c>
      <c r="AB124" s="17" t="str">
        <f>IF($A124="","",VLOOKUP($A124,기본데이타!$A$8:$BV$103,COLUMN(기본데이타!BP$8),0))</f>
        <v/>
      </c>
      <c r="AC124" s="17" t="str">
        <f>IF($A124="","",VLOOKUP($A124,기본데이타!$A$8:$BV$103,COLUMN(기본데이타!BQ$8),0))</f>
        <v/>
      </c>
      <c r="AD124" s="17" t="str">
        <f>IF($A124="","",VLOOKUP($A124,기본데이타!$A$8:$BV$103,COLUMN(기본데이타!BR$8),0))</f>
        <v/>
      </c>
      <c r="AE124" s="17" t="str">
        <f>IF($A124="","",VLOOKUP($A124,기본데이타!$A$8:$BV$103,COLUMN(기본데이타!BS$8),0))</f>
        <v/>
      </c>
      <c r="AF124" s="524" t="str">
        <f>IF($A124="","",VLOOKUP($A124,기본데이타!$A$8:$BV$103,COLUMN(기본데이타!BT$8),0))</f>
        <v/>
      </c>
      <c r="AG124" s="432" t="str">
        <f>IF($A124="","",VLOOKUP($A124,기본데이타!$A$8:$BV$103,COLUMN(기본데이타!BU$8),0))</f>
        <v/>
      </c>
      <c r="AH124" s="18" t="str">
        <f t="shared" si="32"/>
        <v/>
      </c>
    </row>
    <row r="125" spans="1:35" s="187" customFormat="1" ht="35.1" hidden="1" customHeight="1">
      <c r="A125" s="189"/>
      <c r="C125" s="1283"/>
      <c r="D125" s="8" t="str">
        <f>IF($A125="","",VLOOKUP($A125,기본데이타!$A$8:$BV$103,COLUMN(기본데이타!F$8),0))</f>
        <v/>
      </c>
      <c r="E125" s="252" t="str">
        <f>IF($A125="","",VLOOKUP($A125,기본데이타!$A$8:$BV$103,COLUMN(기본데이타!G$8),0))</f>
        <v/>
      </c>
      <c r="F125" s="9" t="str">
        <f>IF($A125="","",VLOOKUP($A125,기본데이타!$A$8:$BV$103,COLUMN(기본데이타!H$8),0))</f>
        <v/>
      </c>
      <c r="G125" s="9" t="str">
        <f>IF($A125="","",VLOOKUP($A125,기본데이타!$A$8:$BV$103,COLUMN(기본데이타!I$8),0))</f>
        <v/>
      </c>
      <c r="H125" s="9" t="str">
        <f>IF($A125="","",VLOOKUP($A125,기본데이타!$A$8:$BV$103,COLUMN(기본데이타!J$8),0))</f>
        <v/>
      </c>
      <c r="I125" s="17" t="str">
        <f>IF($A125="","",VLOOKUP($A125,기본데이타!$A$8:$BV$103,COLUMN(기본데이타!AJ$8),0))</f>
        <v/>
      </c>
      <c r="J125" s="381" t="str">
        <f>IF($A125="","",VLOOKUP($A125,기본데이타!$A$8:$BV$103,COLUMN(기본데이타!AK$8),0))</f>
        <v/>
      </c>
      <c r="K125" s="381" t="str">
        <f>IF($A125="","",VLOOKUP($A125,기본데이타!$A$8:$BV$103,COLUMN(기본데이타!AL$8),0))</f>
        <v/>
      </c>
      <c r="L125" s="381" t="str">
        <f>IF($A125="","",VLOOKUP($A125,기본데이타!$A$8:$BV$103,COLUMN(기본데이타!AM$8),0))</f>
        <v/>
      </c>
      <c r="M125" s="381" t="str">
        <f>IF($A125="","",VLOOKUP($A125,기본데이타!$A$8:$BV$103,COLUMN(기본데이타!AN$8),0))</f>
        <v/>
      </c>
      <c r="N125" s="381" t="str">
        <f>IF($A125="","",VLOOKUP($A125,기본데이타!$A$8:$BV$103,COLUMN(기본데이타!AO$8),0))</f>
        <v/>
      </c>
      <c r="O125" s="381" t="str">
        <f>IF($A125="","",VLOOKUP($A125,기본데이타!$A$8:$BV$103,COLUMN(기본데이타!AP$8),0))</f>
        <v/>
      </c>
      <c r="P125" s="381" t="str">
        <f>IF($A125="","",VLOOKUP($A125,기본데이타!$A$8:$BV$103,COLUMN(기본데이타!AQ$8),0))</f>
        <v/>
      </c>
      <c r="Q125" s="381" t="str">
        <f>IF($A125="","",VLOOKUP($A125,기본데이타!$A$8:$BV$103,COLUMN(기본데이타!AR$8),0))</f>
        <v/>
      </c>
      <c r="R125" s="381" t="str">
        <f>IF($A125="","",VLOOKUP($A125,기본데이타!$A$8:$BV$103,COLUMN(기본데이타!AS$8),0))</f>
        <v/>
      </c>
      <c r="S125" s="381" t="str">
        <f>IF($A125="","",VLOOKUP($A125,기본데이타!$A$8:$BV$103,COLUMN(기본데이타!AT$8),0))</f>
        <v/>
      </c>
      <c r="T125" s="381" t="str">
        <f>IF($A125="","",VLOOKUP($A125,기본데이타!$A$8:$BV$103,COLUMN(기본데이타!AU$8),0))</f>
        <v/>
      </c>
      <c r="U125" s="381" t="str">
        <f>IF($A125="","",VLOOKUP($A125,기본데이타!$A$8:$BV$103,COLUMN(기본데이타!AV$8),0))</f>
        <v/>
      </c>
      <c r="V125" s="16" t="str">
        <f>IF($A125="","",VLOOKUP($A125,기본데이타!$A$8:$BV$103,COLUMN(기본데이타!AW$8),0))</f>
        <v/>
      </c>
      <c r="W125" s="16" t="str">
        <f>IF($A125="","",VLOOKUP($A125,기본데이타!$A$8:$BV$103,COLUMN(기본데이타!AX$8),0))</f>
        <v/>
      </c>
      <c r="X125" s="16" t="str">
        <f>IF($A125="","",VLOOKUP($A125,기본데이타!$A$8:$BV$103,COLUMN(기본데이타!AY$8),0))</f>
        <v/>
      </c>
      <c r="Y125" s="16" t="str">
        <f>IF($A125="","",VLOOKUP($A125,기본데이타!$A$8:$BV$103,COLUMN(기본데이타!AZ$8),0))</f>
        <v/>
      </c>
      <c r="Z125" s="17" t="str">
        <f>IF($A125="","",VLOOKUP($A125,기본데이타!$A$8:$BV$103,COLUMN(기본데이타!BN$8),0))</f>
        <v/>
      </c>
      <c r="AA125" s="17" t="str">
        <f>IF($A125="","",VLOOKUP($A125,기본데이타!$A$8:$BV$103,COLUMN(기본데이타!BO$8),0))</f>
        <v/>
      </c>
      <c r="AB125" s="17" t="str">
        <f>IF($A125="","",VLOOKUP($A125,기본데이타!$A$8:$BV$103,COLUMN(기본데이타!BP$8),0))</f>
        <v/>
      </c>
      <c r="AC125" s="17" t="str">
        <f>IF($A125="","",VLOOKUP($A125,기본데이타!$A$8:$BV$103,COLUMN(기본데이타!BQ$8),0))</f>
        <v/>
      </c>
      <c r="AD125" s="17" t="str">
        <f>IF($A125="","",VLOOKUP($A125,기본데이타!$A$8:$BV$103,COLUMN(기본데이타!BR$8),0))</f>
        <v/>
      </c>
      <c r="AE125" s="17" t="str">
        <f>IF($A125="","",VLOOKUP($A125,기본데이타!$A$8:$BV$103,COLUMN(기본데이타!BS$8),0))</f>
        <v/>
      </c>
      <c r="AF125" s="524" t="str">
        <f>IF($A125="","",VLOOKUP($A125,기본데이타!$A$8:$BV$103,COLUMN(기본데이타!BT$8),0))</f>
        <v/>
      </c>
      <c r="AG125" s="432" t="str">
        <f>IF($A125="","",VLOOKUP($A125,기본데이타!$A$8:$BV$103,COLUMN(기본데이타!BU$8),0))</f>
        <v/>
      </c>
      <c r="AH125" s="18" t="str">
        <f t="shared" si="32"/>
        <v/>
      </c>
    </row>
    <row r="126" spans="1:35" s="187" customFormat="1" ht="35.1" hidden="1" customHeight="1">
      <c r="A126" s="189"/>
      <c r="C126" s="1283"/>
      <c r="D126" s="8" t="str">
        <f>IF($A126="","",VLOOKUP($A126,기본데이타!$A$8:$BV$103,COLUMN(기본데이타!F$8),0))</f>
        <v/>
      </c>
      <c r="E126" s="252" t="str">
        <f>IF($A126="","",VLOOKUP($A126,기본데이타!$A$8:$BV$103,COLUMN(기본데이타!G$8),0))</f>
        <v/>
      </c>
      <c r="F126" s="9" t="str">
        <f>IF($A126="","",VLOOKUP($A126,기본데이타!$A$8:$BV$103,COLUMN(기본데이타!H$8),0))</f>
        <v/>
      </c>
      <c r="G126" s="9" t="str">
        <f>IF($A126="","",VLOOKUP($A126,기본데이타!$A$8:$BV$103,COLUMN(기본데이타!I$8),0))</f>
        <v/>
      </c>
      <c r="H126" s="9" t="str">
        <f>IF($A126="","",VLOOKUP($A126,기본데이타!$A$8:$BV$103,COLUMN(기본데이타!J$8),0))</f>
        <v/>
      </c>
      <c r="I126" s="17" t="str">
        <f>IF($A126="","",VLOOKUP($A126,기본데이타!$A$8:$BV$103,COLUMN(기본데이타!AJ$8),0))</f>
        <v/>
      </c>
      <c r="J126" s="381" t="str">
        <f>IF($A126="","",VLOOKUP($A126,기본데이타!$A$8:$BV$103,COLUMN(기본데이타!AK$8),0))</f>
        <v/>
      </c>
      <c r="K126" s="381" t="str">
        <f>IF($A126="","",VLOOKUP($A126,기본데이타!$A$8:$BV$103,COLUMN(기본데이타!AL$8),0))</f>
        <v/>
      </c>
      <c r="L126" s="381" t="str">
        <f>IF($A126="","",VLOOKUP($A126,기본데이타!$A$8:$BV$103,COLUMN(기본데이타!AM$8),0))</f>
        <v/>
      </c>
      <c r="M126" s="381" t="str">
        <f>IF($A126="","",VLOOKUP($A126,기본데이타!$A$8:$BV$103,COLUMN(기본데이타!AN$8),0))</f>
        <v/>
      </c>
      <c r="N126" s="381" t="str">
        <f>IF($A126="","",VLOOKUP($A126,기본데이타!$A$8:$BV$103,COLUMN(기본데이타!AO$8),0))</f>
        <v/>
      </c>
      <c r="O126" s="381" t="str">
        <f>IF($A126="","",VLOOKUP($A126,기본데이타!$A$8:$BV$103,COLUMN(기본데이타!AP$8),0))</f>
        <v/>
      </c>
      <c r="P126" s="381" t="str">
        <f>IF($A126="","",VLOOKUP($A126,기본데이타!$A$8:$BV$103,COLUMN(기본데이타!AQ$8),0))</f>
        <v/>
      </c>
      <c r="Q126" s="381" t="str">
        <f>IF($A126="","",VLOOKUP($A126,기본데이타!$A$8:$BV$103,COLUMN(기본데이타!AR$8),0))</f>
        <v/>
      </c>
      <c r="R126" s="381" t="str">
        <f>IF($A126="","",VLOOKUP($A126,기본데이타!$A$8:$BV$103,COLUMN(기본데이타!AS$8),0))</f>
        <v/>
      </c>
      <c r="S126" s="381" t="str">
        <f>IF($A126="","",VLOOKUP($A126,기본데이타!$A$8:$BV$103,COLUMN(기본데이타!AT$8),0))</f>
        <v/>
      </c>
      <c r="T126" s="381" t="str">
        <f>IF($A126="","",VLOOKUP($A126,기본데이타!$A$8:$BV$103,COLUMN(기본데이타!AU$8),0))</f>
        <v/>
      </c>
      <c r="U126" s="381" t="str">
        <f>IF($A126="","",VLOOKUP($A126,기본데이타!$A$8:$BV$103,COLUMN(기본데이타!AV$8),0))</f>
        <v/>
      </c>
      <c r="V126" s="16" t="str">
        <f>IF($A126="","",VLOOKUP($A126,기본데이타!$A$8:$BV$103,COLUMN(기본데이타!AW$8),0))</f>
        <v/>
      </c>
      <c r="W126" s="16" t="str">
        <f>IF($A126="","",VLOOKUP($A126,기본데이타!$A$8:$BV$103,COLUMN(기본데이타!AX$8),0))</f>
        <v/>
      </c>
      <c r="X126" s="16" t="str">
        <f>IF($A126="","",VLOOKUP($A126,기본데이타!$A$8:$BV$103,COLUMN(기본데이타!AY$8),0))</f>
        <v/>
      </c>
      <c r="Y126" s="16" t="str">
        <f>IF($A126="","",VLOOKUP($A126,기본데이타!$A$8:$BV$103,COLUMN(기본데이타!AZ$8),0))</f>
        <v/>
      </c>
      <c r="Z126" s="17" t="str">
        <f>IF($A126="","",VLOOKUP($A126,기본데이타!$A$8:$BV$103,COLUMN(기본데이타!BN$8),0))</f>
        <v/>
      </c>
      <c r="AA126" s="17" t="str">
        <f>IF($A126="","",VLOOKUP($A126,기본데이타!$A$8:$BV$103,COLUMN(기본데이타!BO$8),0))</f>
        <v/>
      </c>
      <c r="AB126" s="17" t="str">
        <f>IF($A126="","",VLOOKUP($A126,기본데이타!$A$8:$BV$103,COLUMN(기본데이타!BP$8),0))</f>
        <v/>
      </c>
      <c r="AC126" s="17" t="str">
        <f>IF($A126="","",VLOOKUP($A126,기본데이타!$A$8:$BV$103,COLUMN(기본데이타!BQ$8),0))</f>
        <v/>
      </c>
      <c r="AD126" s="17" t="str">
        <f>IF($A126="","",VLOOKUP($A126,기본데이타!$A$8:$BV$103,COLUMN(기본데이타!BR$8),0))</f>
        <v/>
      </c>
      <c r="AE126" s="17" t="str">
        <f>IF($A126="","",VLOOKUP($A126,기본데이타!$A$8:$BV$103,COLUMN(기본데이타!BS$8),0))</f>
        <v/>
      </c>
      <c r="AF126" s="524" t="str">
        <f>IF($A126="","",VLOOKUP($A126,기본데이타!$A$8:$BV$103,COLUMN(기본데이타!BT$8),0))</f>
        <v/>
      </c>
      <c r="AG126" s="432" t="str">
        <f>IF($A126="","",VLOOKUP($A126,기본데이타!$A$8:$BV$103,COLUMN(기본데이타!BU$8),0))</f>
        <v/>
      </c>
      <c r="AH126" s="18" t="str">
        <f t="shared" si="32"/>
        <v/>
      </c>
    </row>
    <row r="127" spans="1:35" s="187" customFormat="1" ht="35.1" hidden="1" customHeight="1">
      <c r="A127" s="189"/>
      <c r="C127" s="1283"/>
      <c r="D127" s="8" t="str">
        <f>IF($A127="","",VLOOKUP($A127,기본데이타!$A$8:$BV$103,COLUMN(기본데이타!F$8),0))</f>
        <v/>
      </c>
      <c r="E127" s="252" t="str">
        <f>IF($A127="","",VLOOKUP($A127,기본데이타!$A$8:$BV$103,COLUMN(기본데이타!G$8),0))</f>
        <v/>
      </c>
      <c r="F127" s="9" t="str">
        <f>IF($A127="","",VLOOKUP($A127,기본데이타!$A$8:$BV$103,COLUMN(기본데이타!H$8),0))</f>
        <v/>
      </c>
      <c r="G127" s="9" t="str">
        <f>IF($A127="","",VLOOKUP($A127,기본데이타!$A$8:$BV$103,COLUMN(기본데이타!I$8),0))</f>
        <v/>
      </c>
      <c r="H127" s="9" t="str">
        <f>IF($A127="","",VLOOKUP($A127,기본데이타!$A$8:$BV$103,COLUMN(기본데이타!J$8),0))</f>
        <v/>
      </c>
      <c r="I127" s="17" t="str">
        <f>IF($A127="","",VLOOKUP($A127,기본데이타!$A$8:$BV$103,COLUMN(기본데이타!AJ$8),0))</f>
        <v/>
      </c>
      <c r="J127" s="381" t="str">
        <f>IF($A127="","",VLOOKUP($A127,기본데이타!$A$8:$BV$103,COLUMN(기본데이타!AK$8),0))</f>
        <v/>
      </c>
      <c r="K127" s="381" t="str">
        <f>IF($A127="","",VLOOKUP($A127,기본데이타!$A$8:$BV$103,COLUMN(기본데이타!AL$8),0))</f>
        <v/>
      </c>
      <c r="L127" s="381" t="str">
        <f>IF($A127="","",VLOOKUP($A127,기본데이타!$A$8:$BV$103,COLUMN(기본데이타!AM$8),0))</f>
        <v/>
      </c>
      <c r="M127" s="381" t="str">
        <f>IF($A127="","",VLOOKUP($A127,기본데이타!$A$8:$BV$103,COLUMN(기본데이타!AN$8),0))</f>
        <v/>
      </c>
      <c r="N127" s="381" t="str">
        <f>IF($A127="","",VLOOKUP($A127,기본데이타!$A$8:$BV$103,COLUMN(기본데이타!AO$8),0))</f>
        <v/>
      </c>
      <c r="O127" s="381" t="str">
        <f>IF($A127="","",VLOOKUP($A127,기본데이타!$A$8:$BV$103,COLUMN(기본데이타!AP$8),0))</f>
        <v/>
      </c>
      <c r="P127" s="381" t="str">
        <f>IF($A127="","",VLOOKUP($A127,기본데이타!$A$8:$BV$103,COLUMN(기본데이타!AQ$8),0))</f>
        <v/>
      </c>
      <c r="Q127" s="381" t="str">
        <f>IF($A127="","",VLOOKUP($A127,기본데이타!$A$8:$BV$103,COLUMN(기본데이타!AR$8),0))</f>
        <v/>
      </c>
      <c r="R127" s="381" t="str">
        <f>IF($A127="","",VLOOKUP($A127,기본데이타!$A$8:$BV$103,COLUMN(기본데이타!AS$8),0))</f>
        <v/>
      </c>
      <c r="S127" s="381" t="str">
        <f>IF($A127="","",VLOOKUP($A127,기본데이타!$A$8:$BV$103,COLUMN(기본데이타!AT$8),0))</f>
        <v/>
      </c>
      <c r="T127" s="381" t="str">
        <f>IF($A127="","",VLOOKUP($A127,기본데이타!$A$8:$BV$103,COLUMN(기본데이타!AU$8),0))</f>
        <v/>
      </c>
      <c r="U127" s="381" t="str">
        <f>IF($A127="","",VLOOKUP($A127,기본데이타!$A$8:$BV$103,COLUMN(기본데이타!AV$8),0))</f>
        <v/>
      </c>
      <c r="V127" s="16" t="str">
        <f>IF($A127="","",VLOOKUP($A127,기본데이타!$A$8:$BV$103,COLUMN(기본데이타!AW$8),0))</f>
        <v/>
      </c>
      <c r="W127" s="16" t="str">
        <f>IF($A127="","",VLOOKUP($A127,기본데이타!$A$8:$BV$103,COLUMN(기본데이타!AX$8),0))</f>
        <v/>
      </c>
      <c r="X127" s="16" t="str">
        <f>IF($A127="","",VLOOKUP($A127,기본데이타!$A$8:$BV$103,COLUMN(기본데이타!AY$8),0))</f>
        <v/>
      </c>
      <c r="Y127" s="16" t="str">
        <f>IF($A127="","",VLOOKUP($A127,기본데이타!$A$8:$BV$103,COLUMN(기본데이타!AZ$8),0))</f>
        <v/>
      </c>
      <c r="Z127" s="17" t="str">
        <f>IF($A127="","",VLOOKUP($A127,기본데이타!$A$8:$BV$103,COLUMN(기본데이타!BN$8),0))</f>
        <v/>
      </c>
      <c r="AA127" s="17" t="str">
        <f>IF($A127="","",VLOOKUP($A127,기본데이타!$A$8:$BV$103,COLUMN(기본데이타!BO$8),0))</f>
        <v/>
      </c>
      <c r="AB127" s="17" t="str">
        <f>IF($A127="","",VLOOKUP($A127,기본데이타!$A$8:$BV$103,COLUMN(기본데이타!BP$8),0))</f>
        <v/>
      </c>
      <c r="AC127" s="17" t="str">
        <f>IF($A127="","",VLOOKUP($A127,기본데이타!$A$8:$BV$103,COLUMN(기본데이타!BQ$8),0))</f>
        <v/>
      </c>
      <c r="AD127" s="17" t="str">
        <f>IF($A127="","",VLOOKUP($A127,기본데이타!$A$8:$BV$103,COLUMN(기본데이타!BR$8),0))</f>
        <v/>
      </c>
      <c r="AE127" s="17" t="str">
        <f>IF($A127="","",VLOOKUP($A127,기본데이타!$A$8:$BV$103,COLUMN(기본데이타!BS$8),0))</f>
        <v/>
      </c>
      <c r="AF127" s="524" t="str">
        <f>IF($A127="","",VLOOKUP($A127,기본데이타!$A$8:$BV$103,COLUMN(기본데이타!BT$8),0))</f>
        <v/>
      </c>
      <c r="AG127" s="432" t="str">
        <f>IF($A127="","",VLOOKUP($A127,기본데이타!$A$8:$BV$103,COLUMN(기본데이타!BU$8),0))</f>
        <v/>
      </c>
      <c r="AH127" s="18" t="str">
        <f t="shared" si="32"/>
        <v/>
      </c>
    </row>
    <row r="128" spans="1:35" s="187" customFormat="1" ht="35.1" hidden="1" customHeight="1">
      <c r="A128" s="189"/>
      <c r="C128" s="1283"/>
      <c r="D128" s="8" t="str">
        <f>IF($A128="","",VLOOKUP($A128,기본데이타!$A$8:$BV$103,COLUMN(기본데이타!F$8),0))</f>
        <v/>
      </c>
      <c r="E128" s="252" t="str">
        <f>IF($A128="","",VLOOKUP($A128,기본데이타!$A$8:$BV$103,COLUMN(기본데이타!G$8),0))</f>
        <v/>
      </c>
      <c r="F128" s="9" t="str">
        <f>IF($A128="","",VLOOKUP($A128,기본데이타!$A$8:$BV$103,COLUMN(기본데이타!H$8),0))</f>
        <v/>
      </c>
      <c r="G128" s="9" t="str">
        <f>IF($A128="","",VLOOKUP($A128,기본데이타!$A$8:$BV$103,COLUMN(기본데이타!I$8),0))</f>
        <v/>
      </c>
      <c r="H128" s="9" t="str">
        <f>IF($A128="","",VLOOKUP($A128,기본데이타!$A$8:$BV$103,COLUMN(기본데이타!J$8),0))</f>
        <v/>
      </c>
      <c r="I128" s="17" t="str">
        <f>IF($A128="","",VLOOKUP($A128,기본데이타!$A$8:$BV$103,COLUMN(기본데이타!AJ$8),0))</f>
        <v/>
      </c>
      <c r="J128" s="381" t="str">
        <f>IF($A128="","",VLOOKUP($A128,기본데이타!$A$8:$BV$103,COLUMN(기본데이타!AK$8),0))</f>
        <v/>
      </c>
      <c r="K128" s="381" t="str">
        <f>IF($A128="","",VLOOKUP($A128,기본데이타!$A$8:$BV$103,COLUMN(기본데이타!AL$8),0))</f>
        <v/>
      </c>
      <c r="L128" s="381" t="str">
        <f>IF($A128="","",VLOOKUP($A128,기본데이타!$A$8:$BV$103,COLUMN(기본데이타!AM$8),0))</f>
        <v/>
      </c>
      <c r="M128" s="381" t="str">
        <f>IF($A128="","",VLOOKUP($A128,기본데이타!$A$8:$BV$103,COLUMN(기본데이타!AN$8),0))</f>
        <v/>
      </c>
      <c r="N128" s="381" t="str">
        <f>IF($A128="","",VLOOKUP($A128,기본데이타!$A$8:$BV$103,COLUMN(기본데이타!AO$8),0))</f>
        <v/>
      </c>
      <c r="O128" s="381" t="str">
        <f>IF($A128="","",VLOOKUP($A128,기본데이타!$A$8:$BV$103,COLUMN(기본데이타!AP$8),0))</f>
        <v/>
      </c>
      <c r="P128" s="381" t="str">
        <f>IF($A128="","",VLOOKUP($A128,기본데이타!$A$8:$BV$103,COLUMN(기본데이타!AQ$8),0))</f>
        <v/>
      </c>
      <c r="Q128" s="381" t="str">
        <f>IF($A128="","",VLOOKUP($A128,기본데이타!$A$8:$BV$103,COLUMN(기본데이타!AR$8),0))</f>
        <v/>
      </c>
      <c r="R128" s="381" t="str">
        <f>IF($A128="","",VLOOKUP($A128,기본데이타!$A$8:$BV$103,COLUMN(기본데이타!AS$8),0))</f>
        <v/>
      </c>
      <c r="S128" s="381" t="str">
        <f>IF($A128="","",VLOOKUP($A128,기본데이타!$A$8:$BV$103,COLUMN(기본데이타!AT$8),0))</f>
        <v/>
      </c>
      <c r="T128" s="381" t="str">
        <f>IF($A128="","",VLOOKUP($A128,기본데이타!$A$8:$BV$103,COLUMN(기본데이타!AU$8),0))</f>
        <v/>
      </c>
      <c r="U128" s="381" t="str">
        <f>IF($A128="","",VLOOKUP($A128,기본데이타!$A$8:$BV$103,COLUMN(기본데이타!AV$8),0))</f>
        <v/>
      </c>
      <c r="V128" s="16" t="str">
        <f>IF($A128="","",VLOOKUP($A128,기본데이타!$A$8:$BV$103,COLUMN(기본데이타!AW$8),0))</f>
        <v/>
      </c>
      <c r="W128" s="16" t="str">
        <f>IF($A128="","",VLOOKUP($A128,기본데이타!$A$8:$BV$103,COLUMN(기본데이타!AX$8),0))</f>
        <v/>
      </c>
      <c r="X128" s="16" t="str">
        <f>IF($A128="","",VLOOKUP($A128,기본데이타!$A$8:$BV$103,COLUMN(기본데이타!AY$8),0))</f>
        <v/>
      </c>
      <c r="Y128" s="16" t="str">
        <f>IF($A128="","",VLOOKUP($A128,기본데이타!$A$8:$BV$103,COLUMN(기본데이타!AZ$8),0))</f>
        <v/>
      </c>
      <c r="Z128" s="17" t="str">
        <f>IF($A128="","",VLOOKUP($A128,기본데이타!$A$8:$BV$103,COLUMN(기본데이타!BN$8),0))</f>
        <v/>
      </c>
      <c r="AA128" s="17" t="str">
        <f>IF($A128="","",VLOOKUP($A128,기본데이타!$A$8:$BV$103,COLUMN(기본데이타!BO$8),0))</f>
        <v/>
      </c>
      <c r="AB128" s="17" t="str">
        <f>IF($A128="","",VLOOKUP($A128,기본데이타!$A$8:$BV$103,COLUMN(기본데이타!BP$8),0))</f>
        <v/>
      </c>
      <c r="AC128" s="17" t="str">
        <f>IF($A128="","",VLOOKUP($A128,기본데이타!$A$8:$BV$103,COLUMN(기본데이타!BQ$8),0))</f>
        <v/>
      </c>
      <c r="AD128" s="17" t="str">
        <f>IF($A128="","",VLOOKUP($A128,기본데이타!$A$8:$BV$103,COLUMN(기본데이타!BR$8),0))</f>
        <v/>
      </c>
      <c r="AE128" s="17" t="str">
        <f>IF($A128="","",VLOOKUP($A128,기본데이타!$A$8:$BV$103,COLUMN(기본데이타!BS$8),0))</f>
        <v/>
      </c>
      <c r="AF128" s="524" t="str">
        <f>IF($A128="","",VLOOKUP($A128,기본데이타!$A$8:$BV$103,COLUMN(기본데이타!BT$8),0))</f>
        <v/>
      </c>
      <c r="AG128" s="432" t="str">
        <f>IF($A128="","",VLOOKUP($A128,기본데이타!$A$8:$BV$103,COLUMN(기본데이타!BU$8),0))</f>
        <v/>
      </c>
      <c r="AH128" s="18" t="str">
        <f t="shared" si="32"/>
        <v/>
      </c>
    </row>
    <row r="129" spans="1:35" s="187" customFormat="1" ht="35.1" hidden="1" customHeight="1">
      <c r="A129" s="189"/>
      <c r="C129" s="1283"/>
      <c r="D129" s="1090" t="str">
        <f>IF($A129="","",VLOOKUP($A129,기본데이타!$A$8:$BV$103,COLUMN(기본데이타!F$8),0))</f>
        <v/>
      </c>
      <c r="E129" s="1091" t="str">
        <f>IF($A129="","",VLOOKUP($A129,기본데이타!$A$8:$BV$103,COLUMN(기본데이타!G$8),0))</f>
        <v/>
      </c>
      <c r="F129" s="1092" t="str">
        <f>IF($A129="","",VLOOKUP($A129,기본데이타!$A$8:$BV$103,COLUMN(기본데이타!H$8),0))</f>
        <v/>
      </c>
      <c r="G129" s="1092" t="str">
        <f>IF($A129="","",VLOOKUP($A129,기본데이타!$A$8:$BV$103,COLUMN(기본데이타!I$8),0))</f>
        <v/>
      </c>
      <c r="H129" s="1092" t="str">
        <f>IF($A129="","",VLOOKUP($A129,기본데이타!$A$8:$BV$103,COLUMN(기본데이타!J$8),0))</f>
        <v/>
      </c>
      <c r="I129" s="1093" t="str">
        <f>IF($A129="","",VLOOKUP($A129,기본데이타!$A$8:$BV$103,COLUMN(기본데이타!AJ$8),0))</f>
        <v/>
      </c>
      <c r="J129" s="1284" t="str">
        <f>IF($A129="","",VLOOKUP($A129,기본데이타!$A$8:$BV$103,COLUMN(기본데이타!AK$8),0))</f>
        <v/>
      </c>
      <c r="K129" s="1284" t="str">
        <f>IF($A129="","",VLOOKUP($A129,기본데이타!$A$8:$BV$103,COLUMN(기본데이타!AL$8),0))</f>
        <v/>
      </c>
      <c r="L129" s="1284" t="str">
        <f>IF($A129="","",VLOOKUP($A129,기본데이타!$A$8:$BV$103,COLUMN(기본데이타!AM$8),0))</f>
        <v/>
      </c>
      <c r="M129" s="1284" t="str">
        <f>IF($A129="","",VLOOKUP($A129,기본데이타!$A$8:$BV$103,COLUMN(기본데이타!AN$8),0))</f>
        <v/>
      </c>
      <c r="N129" s="1284" t="str">
        <f>IF($A129="","",VLOOKUP($A129,기본데이타!$A$8:$BV$103,COLUMN(기본데이타!AO$8),0))</f>
        <v/>
      </c>
      <c r="O129" s="1284" t="str">
        <f>IF($A129="","",VLOOKUP($A129,기본데이타!$A$8:$BV$103,COLUMN(기본데이타!AP$8),0))</f>
        <v/>
      </c>
      <c r="P129" s="1284" t="str">
        <f>IF($A129="","",VLOOKUP($A129,기본데이타!$A$8:$BV$103,COLUMN(기본데이타!AQ$8),0))</f>
        <v/>
      </c>
      <c r="Q129" s="1284" t="str">
        <f>IF($A129="","",VLOOKUP($A129,기본데이타!$A$8:$BV$103,COLUMN(기본데이타!AR$8),0))</f>
        <v/>
      </c>
      <c r="R129" s="1284" t="str">
        <f>IF($A129="","",VLOOKUP($A129,기본데이타!$A$8:$BV$103,COLUMN(기본데이타!AS$8),0))</f>
        <v/>
      </c>
      <c r="S129" s="1284" t="str">
        <f>IF($A129="","",VLOOKUP($A129,기본데이타!$A$8:$BV$103,COLUMN(기본데이타!AT$8),0))</f>
        <v/>
      </c>
      <c r="T129" s="1284" t="str">
        <f>IF($A129="","",VLOOKUP($A129,기본데이타!$A$8:$BV$103,COLUMN(기본데이타!AU$8),0))</f>
        <v/>
      </c>
      <c r="U129" s="1284" t="str">
        <f>IF($A129="","",VLOOKUP($A129,기본데이타!$A$8:$BV$103,COLUMN(기본데이타!AV$8),0))</f>
        <v/>
      </c>
      <c r="V129" s="1094" t="str">
        <f>IF($A129="","",VLOOKUP($A129,기본데이타!$A$8:$BV$103,COLUMN(기본데이타!AW$8),0))</f>
        <v/>
      </c>
      <c r="W129" s="1094" t="str">
        <f>IF($A129="","",VLOOKUP($A129,기본데이타!$A$8:$BV$103,COLUMN(기본데이타!AX$8),0))</f>
        <v/>
      </c>
      <c r="X129" s="1094" t="str">
        <f>IF($A129="","",VLOOKUP($A129,기본데이타!$A$8:$BV$103,COLUMN(기본데이타!AY$8),0))</f>
        <v/>
      </c>
      <c r="Y129" s="1094" t="str">
        <f>IF($A129="","",VLOOKUP($A129,기본데이타!$A$8:$BV$103,COLUMN(기본데이타!AZ$8),0))</f>
        <v/>
      </c>
      <c r="Z129" s="1093" t="str">
        <f>IF($A129="","",VLOOKUP($A129,기본데이타!$A$8:$BV$103,COLUMN(기본데이타!BN$8),0))</f>
        <v/>
      </c>
      <c r="AA129" s="1093" t="str">
        <f>IF($A129="","",VLOOKUP($A129,기본데이타!$A$8:$BV$103,COLUMN(기본데이타!BO$8),0))</f>
        <v/>
      </c>
      <c r="AB129" s="1093" t="str">
        <f>IF($A129="","",VLOOKUP($A129,기본데이타!$A$8:$BV$103,COLUMN(기본데이타!BP$8),0))</f>
        <v/>
      </c>
      <c r="AC129" s="1093" t="str">
        <f>IF($A129="","",VLOOKUP($A129,기본데이타!$A$8:$BV$103,COLUMN(기본데이타!BQ$8),0))</f>
        <v/>
      </c>
      <c r="AD129" s="1093" t="str">
        <f>IF($A129="","",VLOOKUP($A129,기본데이타!$A$8:$BV$103,COLUMN(기본데이타!BR$8),0))</f>
        <v/>
      </c>
      <c r="AE129" s="1093" t="str">
        <f>IF($A129="","",VLOOKUP($A129,기본데이타!$A$8:$BV$103,COLUMN(기본데이타!BS$8),0))</f>
        <v/>
      </c>
      <c r="AF129" s="1095" t="str">
        <f>IF($A129="","",VLOOKUP($A129,기본데이타!$A$8:$BV$103,COLUMN(기본데이타!BT$8),0))</f>
        <v/>
      </c>
      <c r="AG129" s="1096" t="str">
        <f>IF($A129="","",VLOOKUP($A129,기본데이타!$A$8:$BV$103,COLUMN(기본데이타!BU$8),0))</f>
        <v/>
      </c>
      <c r="AH129" s="1097" t="str">
        <f t="shared" si="32"/>
        <v/>
      </c>
    </row>
    <row r="130" spans="1:35" s="187" customFormat="1" ht="35.1" hidden="1" customHeight="1">
      <c r="A130" s="189"/>
      <c r="C130" s="193"/>
      <c r="D130" s="308">
        <f>COUNTA(A118:A130)</f>
        <v>0</v>
      </c>
      <c r="E130" s="309">
        <f t="shared" ref="E130:AC130" si="33">SUM(E118:E129)</f>
        <v>0</v>
      </c>
      <c r="F130" s="310">
        <f t="shared" si="33"/>
        <v>0</v>
      </c>
      <c r="G130" s="310">
        <f t="shared" si="33"/>
        <v>0</v>
      </c>
      <c r="H130" s="310">
        <f t="shared" si="33"/>
        <v>0</v>
      </c>
      <c r="I130" s="311">
        <f t="shared" si="33"/>
        <v>0</v>
      </c>
      <c r="J130" s="382">
        <f t="shared" si="33"/>
        <v>0</v>
      </c>
      <c r="K130" s="382">
        <f t="shared" si="33"/>
        <v>0</v>
      </c>
      <c r="L130" s="382">
        <f t="shared" si="33"/>
        <v>0</v>
      </c>
      <c r="M130" s="382">
        <f t="shared" si="33"/>
        <v>0</v>
      </c>
      <c r="N130" s="382">
        <f t="shared" si="33"/>
        <v>0</v>
      </c>
      <c r="O130" s="382">
        <f t="shared" si="33"/>
        <v>0</v>
      </c>
      <c r="P130" s="382">
        <f t="shared" si="33"/>
        <v>0</v>
      </c>
      <c r="Q130" s="382">
        <f t="shared" si="33"/>
        <v>0</v>
      </c>
      <c r="R130" s="382">
        <f t="shared" si="33"/>
        <v>0</v>
      </c>
      <c r="S130" s="382">
        <f t="shared" si="33"/>
        <v>0</v>
      </c>
      <c r="T130" s="382">
        <f t="shared" si="33"/>
        <v>0</v>
      </c>
      <c r="U130" s="382">
        <f t="shared" si="33"/>
        <v>0</v>
      </c>
      <c r="V130" s="312">
        <f t="shared" si="33"/>
        <v>0</v>
      </c>
      <c r="W130" s="312">
        <f t="shared" si="33"/>
        <v>0</v>
      </c>
      <c r="X130" s="312">
        <f t="shared" si="33"/>
        <v>0</v>
      </c>
      <c r="Y130" s="312">
        <f t="shared" si="33"/>
        <v>0</v>
      </c>
      <c r="Z130" s="311">
        <f t="shared" si="33"/>
        <v>0</v>
      </c>
      <c r="AA130" s="311">
        <f t="shared" si="33"/>
        <v>0</v>
      </c>
      <c r="AB130" s="311">
        <f t="shared" si="33"/>
        <v>0</v>
      </c>
      <c r="AC130" s="311">
        <f t="shared" si="33"/>
        <v>0</v>
      </c>
      <c r="AD130" s="313"/>
      <c r="AE130" s="314">
        <f>IF(COUNTA(AE118:AE129)=1,AE118,용도별분석!BQ42)</f>
        <v>0</v>
      </c>
      <c r="AF130" s="808">
        <f>용도별분석!BR42</f>
        <v>0</v>
      </c>
      <c r="AG130" s="434">
        <f>용도별분석!BS42</f>
        <v>0</v>
      </c>
      <c r="AH130" s="298" t="str">
        <f t="shared" si="32"/>
        <v/>
      </c>
      <c r="AI130" s="264">
        <f>AE130-SUM(AE118:AE129)</f>
        <v>0</v>
      </c>
    </row>
    <row r="131" spans="1:35" s="187" customFormat="1" ht="34.5" hidden="1" customHeight="1">
      <c r="A131" s="189"/>
      <c r="C131" s="194" t="s">
        <v>200</v>
      </c>
      <c r="D131" s="247" t="str">
        <f>IF($A131="","",VLOOKUP($A131,기본데이타!$A$8:$BV$103,COLUMN(기본데이타!F$8),0))</f>
        <v/>
      </c>
      <c r="E131" s="248" t="str">
        <f>IF($A131="","",VLOOKUP($A131,기본데이타!$A$8:$BV$103,COLUMN(기본데이타!G$8),0))</f>
        <v/>
      </c>
      <c r="F131" s="249" t="str">
        <f>IF($A131="","",VLOOKUP($A131,기본데이타!$A$8:$BV$103,COLUMN(기본데이타!H$8),0))</f>
        <v/>
      </c>
      <c r="G131" s="249" t="str">
        <f>IF($A131="","",VLOOKUP($A131,기본데이타!$A$8:$BV$103,COLUMN(기본데이타!I$8),0))</f>
        <v/>
      </c>
      <c r="H131" s="249" t="str">
        <f>IF($A131="","",VLOOKUP($A131,기본데이타!$A$8:$BV$103,COLUMN(기본데이타!J$8),0))</f>
        <v/>
      </c>
      <c r="I131" s="250" t="str">
        <f>IF($A131="","",VLOOKUP($A131,기본데이타!$A$8:$BV$103,COLUMN(기본데이타!AJ$8),0))</f>
        <v/>
      </c>
      <c r="J131" s="376" t="str">
        <f>IF($A131="","",VLOOKUP($A131,기본데이타!$A$8:$BV$103,COLUMN(기본데이타!AK$8),0))</f>
        <v/>
      </c>
      <c r="K131" s="376" t="str">
        <f>IF($A131="","",VLOOKUP($A131,기본데이타!$A$8:$BV$103,COLUMN(기본데이타!AL$8),0))</f>
        <v/>
      </c>
      <c r="L131" s="376" t="str">
        <f>IF($A131="","",VLOOKUP($A131,기본데이타!$A$8:$BV$103,COLUMN(기본데이타!AM$8),0))</f>
        <v/>
      </c>
      <c r="M131" s="376" t="str">
        <f>IF($A131="","",VLOOKUP($A131,기본데이타!$A$8:$BV$103,COLUMN(기본데이타!AN$8),0))</f>
        <v/>
      </c>
      <c r="N131" s="376" t="str">
        <f>IF($A131="","",VLOOKUP($A131,기본데이타!$A$8:$BV$103,COLUMN(기본데이타!AO$8),0))</f>
        <v/>
      </c>
      <c r="O131" s="376" t="str">
        <f>IF($A131="","",VLOOKUP($A131,기본데이타!$A$8:$BV$103,COLUMN(기본데이타!AP$8),0))</f>
        <v/>
      </c>
      <c r="P131" s="376" t="str">
        <f>IF($A131="","",VLOOKUP($A131,기본데이타!$A$8:$BV$103,COLUMN(기본데이타!AQ$8),0))</f>
        <v/>
      </c>
      <c r="Q131" s="376" t="str">
        <f>IF($A131="","",VLOOKUP($A131,기본데이타!$A$8:$BV$103,COLUMN(기본데이타!AR$8),0))</f>
        <v/>
      </c>
      <c r="R131" s="376" t="str">
        <f>IF($A131="","",VLOOKUP($A131,기본데이타!$A$8:$BV$103,COLUMN(기본데이타!AS$8),0))</f>
        <v/>
      </c>
      <c r="S131" s="376" t="str">
        <f>IF($A131="","",VLOOKUP($A131,기본데이타!$A$8:$BV$103,COLUMN(기본데이타!AT$8),0))</f>
        <v/>
      </c>
      <c r="T131" s="376" t="str">
        <f>IF($A131="","",VLOOKUP($A131,기본데이타!$A$8:$BV$103,COLUMN(기본데이타!AU$8),0))</f>
        <v/>
      </c>
      <c r="U131" s="376" t="str">
        <f>IF($A131="","",VLOOKUP($A131,기본데이타!$A$8:$BV$103,COLUMN(기본데이타!AV$8),0))</f>
        <v/>
      </c>
      <c r="V131" s="188" t="str">
        <f>IF($A131="","",VLOOKUP($A131,기본데이타!$A$8:$BV$103,COLUMN(기본데이타!AW$8),0))</f>
        <v/>
      </c>
      <c r="W131" s="188" t="str">
        <f>IF($A131="","",VLOOKUP($A131,기본데이타!$A$8:$BV$103,COLUMN(기본데이타!AX$8),0))</f>
        <v/>
      </c>
      <c r="X131" s="188" t="str">
        <f>IF($A131="","",VLOOKUP($A131,기본데이타!$A$8:$BV$103,COLUMN(기본데이타!AY$8),0))</f>
        <v/>
      </c>
      <c r="Y131" s="188" t="str">
        <f>IF($A131="","",VLOOKUP($A131,기본데이타!$A$8:$BV$103,COLUMN(기본데이타!AZ$8),0))</f>
        <v/>
      </c>
      <c r="Z131" s="250" t="str">
        <f>IF($A131="","",VLOOKUP($A131,기본데이타!$A$8:$BV$103,COLUMN(기본데이타!BN$8),0))</f>
        <v/>
      </c>
      <c r="AA131" s="250" t="str">
        <f>IF($A131="","",VLOOKUP($A131,기본데이타!$A$8:$BV$103,COLUMN(기본데이타!BO$8),0))</f>
        <v/>
      </c>
      <c r="AB131" s="250" t="str">
        <f>IF($A131="","",VLOOKUP($A131,기본데이타!$A$8:$BV$103,COLUMN(기본데이타!BP$8),0))</f>
        <v/>
      </c>
      <c r="AC131" s="250" t="str">
        <f>IF($A131="","",VLOOKUP($A131,기본데이타!$A$8:$BV$103,COLUMN(기본데이타!BQ$8),0))</f>
        <v/>
      </c>
      <c r="AD131" s="250" t="str">
        <f>IF($A131="","",VLOOKUP($A131,기본데이타!$A$8:$BV$103,COLUMN(기본데이타!BR$8),0))</f>
        <v/>
      </c>
      <c r="AE131" s="250" t="str">
        <f>IF($A131="","",VLOOKUP($A131,기본데이타!$A$8:$BV$103,COLUMN(기본데이타!BS$8),0))</f>
        <v/>
      </c>
      <c r="AF131" s="523" t="str">
        <f>IF($A131="","",VLOOKUP($A131,기본데이타!$A$8:$BV$103,COLUMN(기본데이타!BT$8),0))</f>
        <v/>
      </c>
      <c r="AG131" s="435" t="str">
        <f>IF($A131="","",VLOOKUP($A131,기본데이타!$A$8:$BV$103,COLUMN(기본데이타!BU$8),0))</f>
        <v/>
      </c>
      <c r="AH131" s="251" t="str">
        <f t="shared" si="27"/>
        <v/>
      </c>
    </row>
    <row r="132" spans="1:35" s="187" customFormat="1" ht="35.1" hidden="1" customHeight="1">
      <c r="A132" s="189"/>
      <c r="C132" s="190"/>
      <c r="D132" s="8" t="str">
        <f>IF($A132="","",VLOOKUP($A132,기본데이타!$A$8:$BV$103,COLUMN(기본데이타!F$8),0))</f>
        <v/>
      </c>
      <c r="E132" s="252" t="str">
        <f>IF($A132="","",VLOOKUP($A132,기본데이타!$A$8:$BV$103,COLUMN(기본데이타!G$8),0))</f>
        <v/>
      </c>
      <c r="F132" s="15" t="str">
        <f>IF($A132="","",VLOOKUP($A132,기본데이타!$A$8:$BV$103,COLUMN(기본데이타!H$8),0))</f>
        <v/>
      </c>
      <c r="G132" s="15" t="str">
        <f>IF($A132="","",VLOOKUP($A132,기본데이타!$A$8:$BV$103,COLUMN(기본데이타!I$8),0))</f>
        <v/>
      </c>
      <c r="H132" s="15" t="str">
        <f>IF($A132="","",VLOOKUP($A132,기본데이타!$A$8:$BV$103,COLUMN(기본데이타!J$8),0))</f>
        <v/>
      </c>
      <c r="I132" s="17" t="str">
        <f>IF($A132="","",VLOOKUP($A132,기본데이타!$A$8:$BV$103,COLUMN(기본데이타!AJ$8),0))</f>
        <v/>
      </c>
      <c r="J132" s="381" t="str">
        <f>IF($A132="","",VLOOKUP($A132,기본데이타!$A$8:$BV$103,COLUMN(기본데이타!AK$8),0))</f>
        <v/>
      </c>
      <c r="K132" s="381" t="str">
        <f>IF($A132="","",VLOOKUP($A132,기본데이타!$A$8:$BV$103,COLUMN(기본데이타!AL$8),0))</f>
        <v/>
      </c>
      <c r="L132" s="381" t="str">
        <f>IF($A132="","",VLOOKUP($A132,기본데이타!$A$8:$BV$103,COLUMN(기본데이타!AM$8),0))</f>
        <v/>
      </c>
      <c r="M132" s="381" t="str">
        <f>IF($A132="","",VLOOKUP($A132,기본데이타!$A$8:$BV$103,COLUMN(기본데이타!AN$8),0))</f>
        <v/>
      </c>
      <c r="N132" s="381" t="str">
        <f>IF($A132="","",VLOOKUP($A132,기본데이타!$A$8:$BV$103,COLUMN(기본데이타!AO$8),0))</f>
        <v/>
      </c>
      <c r="O132" s="381" t="str">
        <f>IF($A132="","",VLOOKUP($A132,기본데이타!$A$8:$BV$103,COLUMN(기본데이타!AP$8),0))</f>
        <v/>
      </c>
      <c r="P132" s="381" t="str">
        <f>IF($A132="","",VLOOKUP($A132,기본데이타!$A$8:$BV$103,COLUMN(기본데이타!AQ$8),0))</f>
        <v/>
      </c>
      <c r="Q132" s="381" t="str">
        <f>IF($A132="","",VLOOKUP($A132,기본데이타!$A$8:$BV$103,COLUMN(기본데이타!AR$8),0))</f>
        <v/>
      </c>
      <c r="R132" s="381" t="str">
        <f>IF($A132="","",VLOOKUP($A132,기본데이타!$A$8:$BV$103,COLUMN(기본데이타!AS$8),0))</f>
        <v/>
      </c>
      <c r="S132" s="381" t="str">
        <f>IF($A132="","",VLOOKUP($A132,기본데이타!$A$8:$BV$103,COLUMN(기본데이타!AT$8),0))</f>
        <v/>
      </c>
      <c r="T132" s="381" t="str">
        <f>IF($A132="","",VLOOKUP($A132,기본데이타!$A$8:$BV$103,COLUMN(기본데이타!AU$8),0))</f>
        <v/>
      </c>
      <c r="U132" s="381" t="str">
        <f>IF($A132="","",VLOOKUP($A132,기본데이타!$A$8:$BV$103,COLUMN(기본데이타!AV$8),0))</f>
        <v/>
      </c>
      <c r="V132" s="16" t="str">
        <f>IF($A132="","",VLOOKUP($A132,기본데이타!$A$8:$BV$103,COLUMN(기본데이타!AW$8),0))</f>
        <v/>
      </c>
      <c r="W132" s="16" t="str">
        <f>IF($A132="","",VLOOKUP($A132,기본데이타!$A$8:$BV$103,COLUMN(기본데이타!AX$8),0))</f>
        <v/>
      </c>
      <c r="X132" s="16" t="str">
        <f>IF($A132="","",VLOOKUP($A132,기본데이타!$A$8:$BV$103,COLUMN(기본데이타!AY$8),0))</f>
        <v/>
      </c>
      <c r="Y132" s="16" t="str">
        <f>IF($A132="","",VLOOKUP($A132,기본데이타!$A$8:$BV$103,COLUMN(기본데이타!AZ$8),0))</f>
        <v/>
      </c>
      <c r="Z132" s="17" t="str">
        <f>IF($A132="","",VLOOKUP($A132,기본데이타!$A$8:$BV$103,COLUMN(기본데이타!BN$8),0))</f>
        <v/>
      </c>
      <c r="AA132" s="17" t="str">
        <f>IF($A132="","",VLOOKUP($A132,기본데이타!$A$8:$BV$103,COLUMN(기본데이타!BO$8),0))</f>
        <v/>
      </c>
      <c r="AB132" s="17" t="str">
        <f>IF($A132="","",VLOOKUP($A132,기본데이타!$A$8:$BV$103,COLUMN(기본데이타!BP$8),0))</f>
        <v/>
      </c>
      <c r="AC132" s="17" t="str">
        <f>IF($A132="","",VLOOKUP($A132,기본데이타!$A$8:$BV$103,COLUMN(기본데이타!BQ$8),0))</f>
        <v/>
      </c>
      <c r="AD132" s="17" t="str">
        <f>IF($A132="","",VLOOKUP($A132,기본데이타!$A$8:$BV$103,COLUMN(기본데이타!BR$8),0))</f>
        <v/>
      </c>
      <c r="AE132" s="17" t="str">
        <f>IF($A132="","",VLOOKUP($A132,기본데이타!$A$8:$BV$103,COLUMN(기본데이타!BS$8),0))</f>
        <v/>
      </c>
      <c r="AF132" s="524" t="str">
        <f>IF($A132="","",VLOOKUP($A132,기본데이타!$A$8:$BV$103,COLUMN(기본데이타!BT$8),0))</f>
        <v/>
      </c>
      <c r="AG132" s="432" t="str">
        <f>IF($A132="","",VLOOKUP($A132,기본데이타!$A$8:$BV$103,COLUMN(기본데이타!BU$8),0))</f>
        <v/>
      </c>
      <c r="AH132" s="18" t="str">
        <f t="shared" si="27"/>
        <v/>
      </c>
    </row>
    <row r="133" spans="1:35" s="187" customFormat="1" ht="35.1" hidden="1" customHeight="1">
      <c r="A133" s="189"/>
      <c r="C133" s="190"/>
      <c r="D133" s="8" t="str">
        <f>IF($A133="","",VLOOKUP($A133,기본데이타!$A$8:$BV$103,COLUMN(기본데이타!F$8),0))</f>
        <v/>
      </c>
      <c r="E133" s="252" t="str">
        <f>IF($A133="","",VLOOKUP($A133,기본데이타!$A$8:$BV$103,COLUMN(기본데이타!G$8),0))</f>
        <v/>
      </c>
      <c r="F133" s="15" t="str">
        <f>IF($A133="","",VLOOKUP($A133,기본데이타!$A$8:$BV$103,COLUMN(기본데이타!H$8),0))</f>
        <v/>
      </c>
      <c r="G133" s="15" t="str">
        <f>IF($A133="","",VLOOKUP($A133,기본데이타!$A$8:$BV$103,COLUMN(기본데이타!I$8),0))</f>
        <v/>
      </c>
      <c r="H133" s="15" t="str">
        <f>IF($A133="","",VLOOKUP($A133,기본데이타!$A$8:$BV$103,COLUMN(기본데이타!J$8),0))</f>
        <v/>
      </c>
      <c r="I133" s="17" t="str">
        <f>IF($A133="","",VLOOKUP($A133,기본데이타!$A$8:$BV$103,COLUMN(기본데이타!AJ$8),0))</f>
        <v/>
      </c>
      <c r="J133" s="381" t="str">
        <f>IF($A133="","",VLOOKUP($A133,기본데이타!$A$8:$BV$103,COLUMN(기본데이타!AK$8),0))</f>
        <v/>
      </c>
      <c r="K133" s="381" t="str">
        <f>IF($A133="","",VLOOKUP($A133,기본데이타!$A$8:$BV$103,COLUMN(기본데이타!AL$8),0))</f>
        <v/>
      </c>
      <c r="L133" s="381" t="str">
        <f>IF($A133="","",VLOOKUP($A133,기본데이타!$A$8:$BV$103,COLUMN(기본데이타!AM$8),0))</f>
        <v/>
      </c>
      <c r="M133" s="381" t="str">
        <f>IF($A133="","",VLOOKUP($A133,기본데이타!$A$8:$BV$103,COLUMN(기본데이타!AN$8),0))</f>
        <v/>
      </c>
      <c r="N133" s="381" t="str">
        <f>IF($A133="","",VLOOKUP($A133,기본데이타!$A$8:$BV$103,COLUMN(기본데이타!AO$8),0))</f>
        <v/>
      </c>
      <c r="O133" s="381" t="str">
        <f>IF($A133="","",VLOOKUP($A133,기본데이타!$A$8:$BV$103,COLUMN(기본데이타!AP$8),0))</f>
        <v/>
      </c>
      <c r="P133" s="381" t="str">
        <f>IF($A133="","",VLOOKUP($A133,기본데이타!$A$8:$BV$103,COLUMN(기본데이타!AQ$8),0))</f>
        <v/>
      </c>
      <c r="Q133" s="381" t="str">
        <f>IF($A133="","",VLOOKUP($A133,기본데이타!$A$8:$BV$103,COLUMN(기본데이타!AR$8),0))</f>
        <v/>
      </c>
      <c r="R133" s="381" t="str">
        <f>IF($A133="","",VLOOKUP($A133,기본데이타!$A$8:$BV$103,COLUMN(기본데이타!AS$8),0))</f>
        <v/>
      </c>
      <c r="S133" s="381" t="str">
        <f>IF($A133="","",VLOOKUP($A133,기본데이타!$A$8:$BV$103,COLUMN(기본데이타!AT$8),0))</f>
        <v/>
      </c>
      <c r="T133" s="381" t="str">
        <f>IF($A133="","",VLOOKUP($A133,기본데이타!$A$8:$BV$103,COLUMN(기본데이타!AU$8),0))</f>
        <v/>
      </c>
      <c r="U133" s="381" t="str">
        <f>IF($A133="","",VLOOKUP($A133,기본데이타!$A$8:$BV$103,COLUMN(기본데이타!AV$8),0))</f>
        <v/>
      </c>
      <c r="V133" s="16" t="str">
        <f>IF($A133="","",VLOOKUP($A133,기본데이타!$A$8:$BV$103,COLUMN(기본데이타!AW$8),0))</f>
        <v/>
      </c>
      <c r="W133" s="16" t="str">
        <f>IF($A133="","",VLOOKUP($A133,기본데이타!$A$8:$BV$103,COLUMN(기본데이타!AX$8),0))</f>
        <v/>
      </c>
      <c r="X133" s="16" t="str">
        <f>IF($A133="","",VLOOKUP($A133,기본데이타!$A$8:$BV$103,COLUMN(기본데이타!AY$8),0))</f>
        <v/>
      </c>
      <c r="Y133" s="16" t="str">
        <f>IF($A133="","",VLOOKUP($A133,기본데이타!$A$8:$BV$103,COLUMN(기본데이타!AZ$8),0))</f>
        <v/>
      </c>
      <c r="Z133" s="17" t="str">
        <f>IF($A133="","",VLOOKUP($A133,기본데이타!$A$8:$BV$103,COLUMN(기본데이타!BN$8),0))</f>
        <v/>
      </c>
      <c r="AA133" s="17" t="str">
        <f>IF($A133="","",VLOOKUP($A133,기본데이타!$A$8:$BV$103,COLUMN(기본데이타!BO$8),0))</f>
        <v/>
      </c>
      <c r="AB133" s="17" t="str">
        <f>IF($A133="","",VLOOKUP($A133,기본데이타!$A$8:$BV$103,COLUMN(기본데이타!BP$8),0))</f>
        <v/>
      </c>
      <c r="AC133" s="17" t="str">
        <f>IF($A133="","",VLOOKUP($A133,기본데이타!$A$8:$BV$103,COLUMN(기본데이타!BQ$8),0))</f>
        <v/>
      </c>
      <c r="AD133" s="17" t="str">
        <f>IF($A133="","",VLOOKUP($A133,기본데이타!$A$8:$BV$103,COLUMN(기본데이타!BR$8),0))</f>
        <v/>
      </c>
      <c r="AE133" s="17" t="str">
        <f>IF($A133="","",VLOOKUP($A133,기본데이타!$A$8:$BV$103,COLUMN(기본데이타!BS$8),0))</f>
        <v/>
      </c>
      <c r="AF133" s="524" t="str">
        <f>IF($A133="","",VLOOKUP($A133,기본데이타!$A$8:$BV$103,COLUMN(기본데이타!BT$8),0))</f>
        <v/>
      </c>
      <c r="AG133" s="432" t="str">
        <f>IF($A133="","",VLOOKUP($A133,기본데이타!$A$8:$BV$103,COLUMN(기본데이타!BU$8),0))</f>
        <v/>
      </c>
      <c r="AH133" s="18" t="str">
        <f t="shared" si="27"/>
        <v/>
      </c>
    </row>
    <row r="134" spans="1:35" s="187" customFormat="1" ht="35.1" hidden="1" customHeight="1">
      <c r="A134" s="189"/>
      <c r="C134" s="190"/>
      <c r="D134" s="8" t="str">
        <f>IF($A134="","",VLOOKUP($A134,기본데이타!$A$8:$BV$103,COLUMN(기본데이타!F$8),0))</f>
        <v/>
      </c>
      <c r="E134" s="252" t="str">
        <f>IF($A134="","",VLOOKUP($A134,기본데이타!$A$8:$BV$103,COLUMN(기본데이타!G$8),0))</f>
        <v/>
      </c>
      <c r="F134" s="15" t="str">
        <f>IF($A134="","",VLOOKUP($A134,기본데이타!$A$8:$BV$103,COLUMN(기본데이타!H$8),0))</f>
        <v/>
      </c>
      <c r="G134" s="15" t="str">
        <f>IF($A134="","",VLOOKUP($A134,기본데이타!$A$8:$BV$103,COLUMN(기본데이타!I$8),0))</f>
        <v/>
      </c>
      <c r="H134" s="15" t="str">
        <f>IF($A134="","",VLOOKUP($A134,기본데이타!$A$8:$BV$103,COLUMN(기본데이타!J$8),0))</f>
        <v/>
      </c>
      <c r="I134" s="17" t="str">
        <f>IF($A134="","",VLOOKUP($A134,기본데이타!$A$8:$BV$103,COLUMN(기본데이타!AJ$8),0))</f>
        <v/>
      </c>
      <c r="J134" s="381" t="str">
        <f>IF($A134="","",VLOOKUP($A134,기본데이타!$A$8:$BV$103,COLUMN(기본데이타!AK$8),0))</f>
        <v/>
      </c>
      <c r="K134" s="381" t="str">
        <f>IF($A134="","",VLOOKUP($A134,기본데이타!$A$8:$BV$103,COLUMN(기본데이타!AL$8),0))</f>
        <v/>
      </c>
      <c r="L134" s="381" t="str">
        <f>IF($A134="","",VLOOKUP($A134,기본데이타!$A$8:$BV$103,COLUMN(기본데이타!AM$8),0))</f>
        <v/>
      </c>
      <c r="M134" s="381" t="str">
        <f>IF($A134="","",VLOOKUP($A134,기본데이타!$A$8:$BV$103,COLUMN(기본데이타!AN$8),0))</f>
        <v/>
      </c>
      <c r="N134" s="381" t="str">
        <f>IF($A134="","",VLOOKUP($A134,기본데이타!$A$8:$BV$103,COLUMN(기본데이타!AO$8),0))</f>
        <v/>
      </c>
      <c r="O134" s="381" t="str">
        <f>IF($A134="","",VLOOKUP($A134,기본데이타!$A$8:$BV$103,COLUMN(기본데이타!AP$8),0))</f>
        <v/>
      </c>
      <c r="P134" s="381" t="str">
        <f>IF($A134="","",VLOOKUP($A134,기본데이타!$A$8:$BV$103,COLUMN(기본데이타!AQ$8),0))</f>
        <v/>
      </c>
      <c r="Q134" s="381" t="str">
        <f>IF($A134="","",VLOOKUP($A134,기본데이타!$A$8:$BV$103,COLUMN(기본데이타!AR$8),0))</f>
        <v/>
      </c>
      <c r="R134" s="381" t="str">
        <f>IF($A134="","",VLOOKUP($A134,기본데이타!$A$8:$BV$103,COLUMN(기본데이타!AS$8),0))</f>
        <v/>
      </c>
      <c r="S134" s="381" t="str">
        <f>IF($A134="","",VLOOKUP($A134,기본데이타!$A$8:$BV$103,COLUMN(기본데이타!AT$8),0))</f>
        <v/>
      </c>
      <c r="T134" s="381" t="str">
        <f>IF($A134="","",VLOOKUP($A134,기본데이타!$A$8:$BV$103,COLUMN(기본데이타!AU$8),0))</f>
        <v/>
      </c>
      <c r="U134" s="381" t="str">
        <f>IF($A134="","",VLOOKUP($A134,기본데이타!$A$8:$BV$103,COLUMN(기본데이타!AV$8),0))</f>
        <v/>
      </c>
      <c r="V134" s="16" t="str">
        <f>IF($A134="","",VLOOKUP($A134,기본데이타!$A$8:$BV$103,COLUMN(기본데이타!AW$8),0))</f>
        <v/>
      </c>
      <c r="W134" s="16" t="str">
        <f>IF($A134="","",VLOOKUP($A134,기본데이타!$A$8:$BV$103,COLUMN(기본데이타!AX$8),0))</f>
        <v/>
      </c>
      <c r="X134" s="16" t="str">
        <f>IF($A134="","",VLOOKUP($A134,기본데이타!$A$8:$BV$103,COLUMN(기본데이타!AY$8),0))</f>
        <v/>
      </c>
      <c r="Y134" s="16" t="str">
        <f>IF($A134="","",VLOOKUP($A134,기본데이타!$A$8:$BV$103,COLUMN(기본데이타!AZ$8),0))</f>
        <v/>
      </c>
      <c r="Z134" s="17" t="str">
        <f>IF($A134="","",VLOOKUP($A134,기본데이타!$A$8:$BV$103,COLUMN(기본데이타!BN$8),0))</f>
        <v/>
      </c>
      <c r="AA134" s="17" t="str">
        <f>IF($A134="","",VLOOKUP($A134,기본데이타!$A$8:$BV$103,COLUMN(기본데이타!BO$8),0))</f>
        <v/>
      </c>
      <c r="AB134" s="17" t="str">
        <f>IF($A134="","",VLOOKUP($A134,기본데이타!$A$8:$BV$103,COLUMN(기본데이타!BP$8),0))</f>
        <v/>
      </c>
      <c r="AC134" s="17" t="str">
        <f>IF($A134="","",VLOOKUP($A134,기본데이타!$A$8:$BV$103,COLUMN(기본데이타!BQ$8),0))</f>
        <v/>
      </c>
      <c r="AD134" s="17" t="str">
        <f>IF($A134="","",VLOOKUP($A134,기본데이타!$A$8:$BV$103,COLUMN(기본데이타!BR$8),0))</f>
        <v/>
      </c>
      <c r="AE134" s="17" t="str">
        <f>IF($A134="","",VLOOKUP($A134,기본데이타!$A$8:$BV$103,COLUMN(기본데이타!BS$8),0))</f>
        <v/>
      </c>
      <c r="AF134" s="524" t="str">
        <f>IF($A134="","",VLOOKUP($A134,기본데이타!$A$8:$BV$103,COLUMN(기본데이타!BT$8),0))</f>
        <v/>
      </c>
      <c r="AG134" s="432" t="str">
        <f>IF($A134="","",VLOOKUP($A134,기본데이타!$A$8:$BV$103,COLUMN(기본데이타!BU$8),0))</f>
        <v/>
      </c>
      <c r="AH134" s="18" t="str">
        <f t="shared" si="27"/>
        <v/>
      </c>
    </row>
    <row r="135" spans="1:35" s="187" customFormat="1" ht="35.1" hidden="1" customHeight="1">
      <c r="A135" s="189"/>
      <c r="C135" s="190"/>
      <c r="D135" s="8" t="str">
        <f>IF($A135="","",VLOOKUP($A135,기본데이타!$A$8:$BV$103,COLUMN(기본데이타!F$8),0))</f>
        <v/>
      </c>
      <c r="E135" s="252" t="str">
        <f>IF($A135="","",VLOOKUP($A135,기본데이타!$A$8:$BV$103,COLUMN(기본데이타!G$8),0))</f>
        <v/>
      </c>
      <c r="F135" s="15" t="str">
        <f>IF($A135="","",VLOOKUP($A135,기본데이타!$A$8:$BV$103,COLUMN(기본데이타!H$8),0))</f>
        <v/>
      </c>
      <c r="G135" s="15" t="str">
        <f>IF($A135="","",VLOOKUP($A135,기본데이타!$A$8:$BV$103,COLUMN(기본데이타!I$8),0))</f>
        <v/>
      </c>
      <c r="H135" s="15" t="str">
        <f>IF($A135="","",VLOOKUP($A135,기본데이타!$A$8:$BV$103,COLUMN(기본데이타!J$8),0))</f>
        <v/>
      </c>
      <c r="I135" s="17" t="str">
        <f>IF($A135="","",VLOOKUP($A135,기본데이타!$A$8:$BV$103,COLUMN(기본데이타!AJ$8),0))</f>
        <v/>
      </c>
      <c r="J135" s="381" t="str">
        <f>IF($A135="","",VLOOKUP($A135,기본데이타!$A$8:$BV$103,COLUMN(기본데이타!AK$8),0))</f>
        <v/>
      </c>
      <c r="K135" s="381" t="str">
        <f>IF($A135="","",VLOOKUP($A135,기본데이타!$A$8:$BV$103,COLUMN(기본데이타!AL$8),0))</f>
        <v/>
      </c>
      <c r="L135" s="381" t="str">
        <f>IF($A135="","",VLOOKUP($A135,기본데이타!$A$8:$BV$103,COLUMN(기본데이타!AM$8),0))</f>
        <v/>
      </c>
      <c r="M135" s="381" t="str">
        <f>IF($A135="","",VLOOKUP($A135,기본데이타!$A$8:$BV$103,COLUMN(기본데이타!AN$8),0))</f>
        <v/>
      </c>
      <c r="N135" s="381" t="str">
        <f>IF($A135="","",VLOOKUP($A135,기본데이타!$A$8:$BV$103,COLUMN(기본데이타!AO$8),0))</f>
        <v/>
      </c>
      <c r="O135" s="381" t="str">
        <f>IF($A135="","",VLOOKUP($A135,기본데이타!$A$8:$BV$103,COLUMN(기본데이타!AP$8),0))</f>
        <v/>
      </c>
      <c r="P135" s="381" t="str">
        <f>IF($A135="","",VLOOKUP($A135,기본데이타!$A$8:$BV$103,COLUMN(기본데이타!AQ$8),0))</f>
        <v/>
      </c>
      <c r="Q135" s="381" t="str">
        <f>IF($A135="","",VLOOKUP($A135,기본데이타!$A$8:$BV$103,COLUMN(기본데이타!AR$8),0))</f>
        <v/>
      </c>
      <c r="R135" s="381" t="str">
        <f>IF($A135="","",VLOOKUP($A135,기본데이타!$A$8:$BV$103,COLUMN(기본데이타!AS$8),0))</f>
        <v/>
      </c>
      <c r="S135" s="381" t="str">
        <f>IF($A135="","",VLOOKUP($A135,기본데이타!$A$8:$BV$103,COLUMN(기본데이타!AT$8),0))</f>
        <v/>
      </c>
      <c r="T135" s="381" t="str">
        <f>IF($A135="","",VLOOKUP($A135,기본데이타!$A$8:$BV$103,COLUMN(기본데이타!AU$8),0))</f>
        <v/>
      </c>
      <c r="U135" s="381" t="str">
        <f>IF($A135="","",VLOOKUP($A135,기본데이타!$A$8:$BV$103,COLUMN(기본데이타!AV$8),0))</f>
        <v/>
      </c>
      <c r="V135" s="16" t="str">
        <f>IF($A135="","",VLOOKUP($A135,기본데이타!$A$8:$BV$103,COLUMN(기본데이타!AW$8),0))</f>
        <v/>
      </c>
      <c r="W135" s="16" t="str">
        <f>IF($A135="","",VLOOKUP($A135,기본데이타!$A$8:$BV$103,COLUMN(기본데이타!AX$8),0))</f>
        <v/>
      </c>
      <c r="X135" s="16" t="str">
        <f>IF($A135="","",VLOOKUP($A135,기본데이타!$A$8:$BV$103,COLUMN(기본데이타!AY$8),0))</f>
        <v/>
      </c>
      <c r="Y135" s="16" t="str">
        <f>IF($A135="","",VLOOKUP($A135,기본데이타!$A$8:$BV$103,COLUMN(기본데이타!AZ$8),0))</f>
        <v/>
      </c>
      <c r="Z135" s="17" t="str">
        <f>IF($A135="","",VLOOKUP($A135,기본데이타!$A$8:$BV$103,COLUMN(기본데이타!BN$8),0))</f>
        <v/>
      </c>
      <c r="AA135" s="17" t="str">
        <f>IF($A135="","",VLOOKUP($A135,기본데이타!$A$8:$BV$103,COLUMN(기본데이타!BO$8),0))</f>
        <v/>
      </c>
      <c r="AB135" s="17" t="str">
        <f>IF($A135="","",VLOOKUP($A135,기본데이타!$A$8:$BV$103,COLUMN(기본데이타!BP$8),0))</f>
        <v/>
      </c>
      <c r="AC135" s="17" t="str">
        <f>IF($A135="","",VLOOKUP($A135,기본데이타!$A$8:$BV$103,COLUMN(기본데이타!BQ$8),0))</f>
        <v/>
      </c>
      <c r="AD135" s="17" t="str">
        <f>IF($A135="","",VLOOKUP($A135,기본데이타!$A$8:$BV$103,COLUMN(기본데이타!BR$8),0))</f>
        <v/>
      </c>
      <c r="AE135" s="17" t="str">
        <f>IF($A135="","",VLOOKUP($A135,기본데이타!$A$8:$BV$103,COLUMN(기본데이타!BS$8),0))</f>
        <v/>
      </c>
      <c r="AF135" s="524" t="str">
        <f>IF($A135="","",VLOOKUP($A135,기본데이타!$A$8:$BV$103,COLUMN(기본데이타!BT$8),0))</f>
        <v/>
      </c>
      <c r="AG135" s="432" t="str">
        <f>IF($A135="","",VLOOKUP($A135,기본데이타!$A$8:$BV$103,COLUMN(기본데이타!BU$8),0))</f>
        <v/>
      </c>
      <c r="AH135" s="18" t="str">
        <f t="shared" si="27"/>
        <v/>
      </c>
    </row>
    <row r="136" spans="1:35" s="187" customFormat="1" ht="35.1" hidden="1" customHeight="1">
      <c r="A136" s="189"/>
      <c r="C136" s="190"/>
      <c r="D136" s="8" t="str">
        <f>IF($A136="","",VLOOKUP($A136,기본데이타!$A$8:$BV$103,COLUMN(기본데이타!F$8),0))</f>
        <v/>
      </c>
      <c r="E136" s="252" t="str">
        <f>IF($A136="","",VLOOKUP($A136,기본데이타!$A$8:$BV$103,COLUMN(기본데이타!G$8),0))</f>
        <v/>
      </c>
      <c r="F136" s="15" t="str">
        <f>IF($A136="","",VLOOKUP($A136,기본데이타!$A$8:$BV$103,COLUMN(기본데이타!H$8),0))</f>
        <v/>
      </c>
      <c r="G136" s="15" t="str">
        <f>IF($A136="","",VLOOKUP($A136,기본데이타!$A$8:$BV$103,COLUMN(기본데이타!I$8),0))</f>
        <v/>
      </c>
      <c r="H136" s="15" t="str">
        <f>IF($A136="","",VLOOKUP($A136,기본데이타!$A$8:$BV$103,COLUMN(기본데이타!J$8),0))</f>
        <v/>
      </c>
      <c r="I136" s="17" t="str">
        <f>IF($A136="","",VLOOKUP($A136,기본데이타!$A$8:$BV$103,COLUMN(기본데이타!AJ$8),0))</f>
        <v/>
      </c>
      <c r="J136" s="381" t="str">
        <f>IF($A136="","",VLOOKUP($A136,기본데이타!$A$8:$BV$103,COLUMN(기본데이타!AK$8),0))</f>
        <v/>
      </c>
      <c r="K136" s="381" t="str">
        <f>IF($A136="","",VLOOKUP($A136,기본데이타!$A$8:$BV$103,COLUMN(기본데이타!AL$8),0))</f>
        <v/>
      </c>
      <c r="L136" s="381" t="str">
        <f>IF($A136="","",VLOOKUP($A136,기본데이타!$A$8:$BV$103,COLUMN(기본데이타!AM$8),0))</f>
        <v/>
      </c>
      <c r="M136" s="381" t="str">
        <f>IF($A136="","",VLOOKUP($A136,기본데이타!$A$8:$BV$103,COLUMN(기본데이타!AN$8),0))</f>
        <v/>
      </c>
      <c r="N136" s="381" t="str">
        <f>IF($A136="","",VLOOKUP($A136,기본데이타!$A$8:$BV$103,COLUMN(기본데이타!AO$8),0))</f>
        <v/>
      </c>
      <c r="O136" s="381" t="str">
        <f>IF($A136="","",VLOOKUP($A136,기본데이타!$A$8:$BV$103,COLUMN(기본데이타!AP$8),0))</f>
        <v/>
      </c>
      <c r="P136" s="381" t="str">
        <f>IF($A136="","",VLOOKUP($A136,기본데이타!$A$8:$BV$103,COLUMN(기본데이타!AQ$8),0))</f>
        <v/>
      </c>
      <c r="Q136" s="381" t="str">
        <f>IF($A136="","",VLOOKUP($A136,기본데이타!$A$8:$BV$103,COLUMN(기본데이타!AR$8),0))</f>
        <v/>
      </c>
      <c r="R136" s="381" t="str">
        <f>IF($A136="","",VLOOKUP($A136,기본데이타!$A$8:$BV$103,COLUMN(기본데이타!AS$8),0))</f>
        <v/>
      </c>
      <c r="S136" s="381" t="str">
        <f>IF($A136="","",VLOOKUP($A136,기본데이타!$A$8:$BV$103,COLUMN(기본데이타!AT$8),0))</f>
        <v/>
      </c>
      <c r="T136" s="381" t="str">
        <f>IF($A136="","",VLOOKUP($A136,기본데이타!$A$8:$BV$103,COLUMN(기본데이타!AU$8),0))</f>
        <v/>
      </c>
      <c r="U136" s="381" t="str">
        <f>IF($A136="","",VLOOKUP($A136,기본데이타!$A$8:$BV$103,COLUMN(기본데이타!AV$8),0))</f>
        <v/>
      </c>
      <c r="V136" s="16" t="str">
        <f>IF($A136="","",VLOOKUP($A136,기본데이타!$A$8:$BV$103,COLUMN(기본데이타!AW$8),0))</f>
        <v/>
      </c>
      <c r="W136" s="16" t="str">
        <f>IF($A136="","",VLOOKUP($A136,기본데이타!$A$8:$BV$103,COLUMN(기본데이타!AX$8),0))</f>
        <v/>
      </c>
      <c r="X136" s="16" t="str">
        <f>IF($A136="","",VLOOKUP($A136,기본데이타!$A$8:$BV$103,COLUMN(기본데이타!AY$8),0))</f>
        <v/>
      </c>
      <c r="Y136" s="16" t="str">
        <f>IF($A136="","",VLOOKUP($A136,기본데이타!$A$8:$BV$103,COLUMN(기본데이타!AZ$8),0))</f>
        <v/>
      </c>
      <c r="Z136" s="17" t="str">
        <f>IF($A136="","",VLOOKUP($A136,기본데이타!$A$8:$BV$103,COLUMN(기본데이타!BN$8),0))</f>
        <v/>
      </c>
      <c r="AA136" s="17" t="str">
        <f>IF($A136="","",VLOOKUP($A136,기본데이타!$A$8:$BV$103,COLUMN(기본데이타!BO$8),0))</f>
        <v/>
      </c>
      <c r="AB136" s="17" t="str">
        <f>IF($A136="","",VLOOKUP($A136,기본데이타!$A$8:$BV$103,COLUMN(기본데이타!BP$8),0))</f>
        <v/>
      </c>
      <c r="AC136" s="17" t="str">
        <f>IF($A136="","",VLOOKUP($A136,기본데이타!$A$8:$BV$103,COLUMN(기본데이타!BQ$8),0))</f>
        <v/>
      </c>
      <c r="AD136" s="17" t="str">
        <f>IF($A136="","",VLOOKUP($A136,기본데이타!$A$8:$BV$103,COLUMN(기본데이타!BR$8),0))</f>
        <v/>
      </c>
      <c r="AE136" s="17" t="str">
        <f>IF($A136="","",VLOOKUP($A136,기본데이타!$A$8:$BV$103,COLUMN(기본데이타!BS$8),0))</f>
        <v/>
      </c>
      <c r="AF136" s="524" t="str">
        <f>IF($A136="","",VLOOKUP($A136,기본데이타!$A$8:$BV$103,COLUMN(기본데이타!BT$8),0))</f>
        <v/>
      </c>
      <c r="AG136" s="432" t="str">
        <f>IF($A136="","",VLOOKUP($A136,기본데이타!$A$8:$BV$103,COLUMN(기본데이타!BU$8),0))</f>
        <v/>
      </c>
      <c r="AH136" s="18" t="str">
        <f t="shared" si="27"/>
        <v/>
      </c>
    </row>
    <row r="137" spans="1:35" s="187" customFormat="1" ht="35.1" hidden="1" customHeight="1">
      <c r="A137" s="189"/>
      <c r="C137" s="1283"/>
      <c r="D137" s="8" t="str">
        <f>IF($A137="","",VLOOKUP($A137,기본데이타!$A$8:$BV$103,COLUMN(기본데이타!F$8),0))</f>
        <v/>
      </c>
      <c r="E137" s="252" t="str">
        <f>IF($A137="","",VLOOKUP($A137,기본데이타!$A$8:$BV$103,COLUMN(기본데이타!G$8),0))</f>
        <v/>
      </c>
      <c r="F137" s="9" t="str">
        <f>IF($A137="","",VLOOKUP($A137,기본데이타!$A$8:$BV$103,COLUMN(기본데이타!H$8),0))</f>
        <v/>
      </c>
      <c r="G137" s="9" t="str">
        <f>IF($A137="","",VLOOKUP($A137,기본데이타!$A$8:$BV$103,COLUMN(기본데이타!I$8),0))</f>
        <v/>
      </c>
      <c r="H137" s="9" t="str">
        <f>IF($A137="","",VLOOKUP($A137,기본데이타!$A$8:$BV$103,COLUMN(기본데이타!J$8),0))</f>
        <v/>
      </c>
      <c r="I137" s="17" t="str">
        <f>IF($A137="","",VLOOKUP($A137,기본데이타!$A$8:$BV$103,COLUMN(기본데이타!AJ$8),0))</f>
        <v/>
      </c>
      <c r="J137" s="381" t="str">
        <f>IF($A137="","",VLOOKUP($A137,기본데이타!$A$8:$BV$103,COLUMN(기본데이타!AK$8),0))</f>
        <v/>
      </c>
      <c r="K137" s="381" t="str">
        <f>IF($A137="","",VLOOKUP($A137,기본데이타!$A$8:$BV$103,COLUMN(기본데이타!AL$8),0))</f>
        <v/>
      </c>
      <c r="L137" s="381" t="str">
        <f>IF($A137="","",VLOOKUP($A137,기본데이타!$A$8:$BV$103,COLUMN(기본데이타!AM$8),0))</f>
        <v/>
      </c>
      <c r="M137" s="381" t="str">
        <f>IF($A137="","",VLOOKUP($A137,기본데이타!$A$8:$BV$103,COLUMN(기본데이타!AN$8),0))</f>
        <v/>
      </c>
      <c r="N137" s="381" t="str">
        <f>IF($A137="","",VLOOKUP($A137,기본데이타!$A$8:$BV$103,COLUMN(기본데이타!AO$8),0))</f>
        <v/>
      </c>
      <c r="O137" s="381" t="str">
        <f>IF($A137="","",VLOOKUP($A137,기본데이타!$A$8:$BV$103,COLUMN(기본데이타!AP$8),0))</f>
        <v/>
      </c>
      <c r="P137" s="381" t="str">
        <f>IF($A137="","",VLOOKUP($A137,기본데이타!$A$8:$BV$103,COLUMN(기본데이타!AQ$8),0))</f>
        <v/>
      </c>
      <c r="Q137" s="381" t="str">
        <f>IF($A137="","",VLOOKUP($A137,기본데이타!$A$8:$BV$103,COLUMN(기본데이타!AR$8),0))</f>
        <v/>
      </c>
      <c r="R137" s="381" t="str">
        <f>IF($A137="","",VLOOKUP($A137,기본데이타!$A$8:$BV$103,COLUMN(기본데이타!AS$8),0))</f>
        <v/>
      </c>
      <c r="S137" s="381" t="str">
        <f>IF($A137="","",VLOOKUP($A137,기본데이타!$A$8:$BV$103,COLUMN(기본데이타!AT$8),0))</f>
        <v/>
      </c>
      <c r="T137" s="381" t="str">
        <f>IF($A137="","",VLOOKUP($A137,기본데이타!$A$8:$BV$103,COLUMN(기본데이타!AU$8),0))</f>
        <v/>
      </c>
      <c r="U137" s="381" t="str">
        <f>IF($A137="","",VLOOKUP($A137,기본데이타!$A$8:$BV$103,COLUMN(기본데이타!AV$8),0))</f>
        <v/>
      </c>
      <c r="V137" s="16" t="str">
        <f>IF($A137="","",VLOOKUP($A137,기본데이타!$A$8:$BV$103,COLUMN(기본데이타!AW$8),0))</f>
        <v/>
      </c>
      <c r="W137" s="16" t="str">
        <f>IF($A137="","",VLOOKUP($A137,기본데이타!$A$8:$BV$103,COLUMN(기본데이타!AX$8),0))</f>
        <v/>
      </c>
      <c r="X137" s="16" t="str">
        <f>IF($A137="","",VLOOKUP($A137,기본데이타!$A$8:$BV$103,COLUMN(기본데이타!AY$8),0))</f>
        <v/>
      </c>
      <c r="Y137" s="16" t="str">
        <f>IF($A137="","",VLOOKUP($A137,기본데이타!$A$8:$BV$103,COLUMN(기본데이타!AZ$8),0))</f>
        <v/>
      </c>
      <c r="Z137" s="17" t="str">
        <f>IF($A137="","",VLOOKUP($A137,기본데이타!$A$8:$BV$103,COLUMN(기본데이타!BN$8),0))</f>
        <v/>
      </c>
      <c r="AA137" s="17" t="str">
        <f>IF($A137="","",VLOOKUP($A137,기본데이타!$A$8:$BV$103,COLUMN(기본데이타!BO$8),0))</f>
        <v/>
      </c>
      <c r="AB137" s="17" t="str">
        <f>IF($A137="","",VLOOKUP($A137,기본데이타!$A$8:$BV$103,COLUMN(기본데이타!BP$8),0))</f>
        <v/>
      </c>
      <c r="AC137" s="17" t="str">
        <f>IF($A137="","",VLOOKUP($A137,기본데이타!$A$8:$BV$103,COLUMN(기본데이타!BQ$8),0))</f>
        <v/>
      </c>
      <c r="AD137" s="17" t="str">
        <f>IF($A137="","",VLOOKUP($A137,기본데이타!$A$8:$BV$103,COLUMN(기본데이타!BR$8),0))</f>
        <v/>
      </c>
      <c r="AE137" s="17" t="str">
        <f>IF($A137="","",VLOOKUP($A137,기본데이타!$A$8:$BV$103,COLUMN(기본데이타!BS$8),0))</f>
        <v/>
      </c>
      <c r="AF137" s="524" t="str">
        <f>IF($A137="","",VLOOKUP($A137,기본데이타!$A$8:$BV$103,COLUMN(기본데이타!BT$8),0))</f>
        <v/>
      </c>
      <c r="AG137" s="432" t="str">
        <f>IF($A137="","",VLOOKUP($A137,기본데이타!$A$8:$BV$103,COLUMN(기본데이타!BU$8),0))</f>
        <v/>
      </c>
      <c r="AH137" s="18" t="str">
        <f t="shared" si="27"/>
        <v/>
      </c>
    </row>
    <row r="138" spans="1:35" s="187" customFormat="1" ht="35.1" hidden="1" customHeight="1">
      <c r="A138" s="189"/>
      <c r="C138" s="1283"/>
      <c r="D138" s="8" t="str">
        <f>IF($A138="","",VLOOKUP($A138,기본데이타!$A$8:$BV$103,COLUMN(기본데이타!F$8),0))</f>
        <v/>
      </c>
      <c r="E138" s="252" t="str">
        <f>IF($A138="","",VLOOKUP($A138,기본데이타!$A$8:$BV$103,COLUMN(기본데이타!G$8),0))</f>
        <v/>
      </c>
      <c r="F138" s="9" t="str">
        <f>IF($A138="","",VLOOKUP($A138,기본데이타!$A$8:$BV$103,COLUMN(기본데이타!H$8),0))</f>
        <v/>
      </c>
      <c r="G138" s="9" t="str">
        <f>IF($A138="","",VLOOKUP($A138,기본데이타!$A$8:$BV$103,COLUMN(기본데이타!I$8),0))</f>
        <v/>
      </c>
      <c r="H138" s="9" t="str">
        <f>IF($A138="","",VLOOKUP($A138,기본데이타!$A$8:$BV$103,COLUMN(기본데이타!J$8),0))</f>
        <v/>
      </c>
      <c r="I138" s="17" t="str">
        <f>IF($A138="","",VLOOKUP($A138,기본데이타!$A$8:$BV$103,COLUMN(기본데이타!AJ$8),0))</f>
        <v/>
      </c>
      <c r="J138" s="381" t="str">
        <f>IF($A138="","",VLOOKUP($A138,기본데이타!$A$8:$BV$103,COLUMN(기본데이타!AK$8),0))</f>
        <v/>
      </c>
      <c r="K138" s="381" t="str">
        <f>IF($A138="","",VLOOKUP($A138,기본데이타!$A$8:$BV$103,COLUMN(기본데이타!AL$8),0))</f>
        <v/>
      </c>
      <c r="L138" s="381" t="str">
        <f>IF($A138="","",VLOOKUP($A138,기본데이타!$A$8:$BV$103,COLUMN(기본데이타!AM$8),0))</f>
        <v/>
      </c>
      <c r="M138" s="381" t="str">
        <f>IF($A138="","",VLOOKUP($A138,기본데이타!$A$8:$BV$103,COLUMN(기본데이타!AN$8),0))</f>
        <v/>
      </c>
      <c r="N138" s="381" t="str">
        <f>IF($A138="","",VLOOKUP($A138,기본데이타!$A$8:$BV$103,COLUMN(기본데이타!AO$8),0))</f>
        <v/>
      </c>
      <c r="O138" s="381" t="str">
        <f>IF($A138="","",VLOOKUP($A138,기본데이타!$A$8:$BV$103,COLUMN(기본데이타!AP$8),0))</f>
        <v/>
      </c>
      <c r="P138" s="381" t="str">
        <f>IF($A138="","",VLOOKUP($A138,기본데이타!$A$8:$BV$103,COLUMN(기본데이타!AQ$8),0))</f>
        <v/>
      </c>
      <c r="Q138" s="381" t="str">
        <f>IF($A138="","",VLOOKUP($A138,기본데이타!$A$8:$BV$103,COLUMN(기본데이타!AR$8),0))</f>
        <v/>
      </c>
      <c r="R138" s="381" t="str">
        <f>IF($A138="","",VLOOKUP($A138,기본데이타!$A$8:$BV$103,COLUMN(기본데이타!AS$8),0))</f>
        <v/>
      </c>
      <c r="S138" s="381" t="str">
        <f>IF($A138="","",VLOOKUP($A138,기본데이타!$A$8:$BV$103,COLUMN(기본데이타!AT$8),0))</f>
        <v/>
      </c>
      <c r="T138" s="381" t="str">
        <f>IF($A138="","",VLOOKUP($A138,기본데이타!$A$8:$BV$103,COLUMN(기본데이타!AU$8),0))</f>
        <v/>
      </c>
      <c r="U138" s="381" t="str">
        <f>IF($A138="","",VLOOKUP($A138,기본데이타!$A$8:$BV$103,COLUMN(기본데이타!AV$8),0))</f>
        <v/>
      </c>
      <c r="V138" s="16" t="str">
        <f>IF($A138="","",VLOOKUP($A138,기본데이타!$A$8:$BV$103,COLUMN(기본데이타!AW$8),0))</f>
        <v/>
      </c>
      <c r="W138" s="16" t="str">
        <f>IF($A138="","",VLOOKUP($A138,기본데이타!$A$8:$BV$103,COLUMN(기본데이타!AX$8),0))</f>
        <v/>
      </c>
      <c r="X138" s="16" t="str">
        <f>IF($A138="","",VLOOKUP($A138,기본데이타!$A$8:$BV$103,COLUMN(기본데이타!AY$8),0))</f>
        <v/>
      </c>
      <c r="Y138" s="16" t="str">
        <f>IF($A138="","",VLOOKUP($A138,기본데이타!$A$8:$BV$103,COLUMN(기본데이타!AZ$8),0))</f>
        <v/>
      </c>
      <c r="Z138" s="17" t="str">
        <f>IF($A138="","",VLOOKUP($A138,기본데이타!$A$8:$BV$103,COLUMN(기본데이타!BN$8),0))</f>
        <v/>
      </c>
      <c r="AA138" s="17" t="str">
        <f>IF($A138="","",VLOOKUP($A138,기본데이타!$A$8:$BV$103,COLUMN(기본데이타!BO$8),0))</f>
        <v/>
      </c>
      <c r="AB138" s="17" t="str">
        <f>IF($A138="","",VLOOKUP($A138,기본데이타!$A$8:$BV$103,COLUMN(기본데이타!BP$8),0))</f>
        <v/>
      </c>
      <c r="AC138" s="17" t="str">
        <f>IF($A138="","",VLOOKUP($A138,기본데이타!$A$8:$BV$103,COLUMN(기본데이타!BQ$8),0))</f>
        <v/>
      </c>
      <c r="AD138" s="17" t="str">
        <f>IF($A138="","",VLOOKUP($A138,기본데이타!$A$8:$BV$103,COLUMN(기본데이타!BR$8),0))</f>
        <v/>
      </c>
      <c r="AE138" s="17" t="str">
        <f>IF($A138="","",VLOOKUP($A138,기본데이타!$A$8:$BV$103,COLUMN(기본데이타!BS$8),0))</f>
        <v/>
      </c>
      <c r="AF138" s="524" t="str">
        <f>IF($A138="","",VLOOKUP($A138,기본데이타!$A$8:$BV$103,COLUMN(기본데이타!BT$8),0))</f>
        <v/>
      </c>
      <c r="AG138" s="432" t="str">
        <f>IF($A138="","",VLOOKUP($A138,기본데이타!$A$8:$BV$103,COLUMN(기본데이타!BU$8),0))</f>
        <v/>
      </c>
      <c r="AH138" s="18" t="str">
        <f t="shared" ref="AH138:AH142" si="34">IF(A138="","",A138)</f>
        <v/>
      </c>
    </row>
    <row r="139" spans="1:35" s="187" customFormat="1" ht="35.1" hidden="1" customHeight="1">
      <c r="A139" s="189"/>
      <c r="C139" s="1283"/>
      <c r="D139" s="8" t="str">
        <f>IF($A139="","",VLOOKUP($A139,기본데이타!$A$8:$BV$103,COLUMN(기본데이타!F$8),0))</f>
        <v/>
      </c>
      <c r="E139" s="252" t="str">
        <f>IF($A139="","",VLOOKUP($A139,기본데이타!$A$8:$BV$103,COLUMN(기본데이타!G$8),0))</f>
        <v/>
      </c>
      <c r="F139" s="9" t="str">
        <f>IF($A139="","",VLOOKUP($A139,기본데이타!$A$8:$BV$103,COLUMN(기본데이타!H$8),0))</f>
        <v/>
      </c>
      <c r="G139" s="9" t="str">
        <f>IF($A139="","",VLOOKUP($A139,기본데이타!$A$8:$BV$103,COLUMN(기본데이타!I$8),0))</f>
        <v/>
      </c>
      <c r="H139" s="9" t="str">
        <f>IF($A139="","",VLOOKUP($A139,기본데이타!$A$8:$BV$103,COLUMN(기본데이타!J$8),0))</f>
        <v/>
      </c>
      <c r="I139" s="17" t="str">
        <f>IF($A139="","",VLOOKUP($A139,기본데이타!$A$8:$BV$103,COLUMN(기본데이타!AJ$8),0))</f>
        <v/>
      </c>
      <c r="J139" s="381" t="str">
        <f>IF($A139="","",VLOOKUP($A139,기본데이타!$A$8:$BV$103,COLUMN(기본데이타!AK$8),0))</f>
        <v/>
      </c>
      <c r="K139" s="381" t="str">
        <f>IF($A139="","",VLOOKUP($A139,기본데이타!$A$8:$BV$103,COLUMN(기본데이타!AL$8),0))</f>
        <v/>
      </c>
      <c r="L139" s="381" t="str">
        <f>IF($A139="","",VLOOKUP($A139,기본데이타!$A$8:$BV$103,COLUMN(기본데이타!AM$8),0))</f>
        <v/>
      </c>
      <c r="M139" s="381" t="str">
        <f>IF($A139="","",VLOOKUP($A139,기본데이타!$A$8:$BV$103,COLUMN(기본데이타!AN$8),0))</f>
        <v/>
      </c>
      <c r="N139" s="381" t="str">
        <f>IF($A139="","",VLOOKUP($A139,기본데이타!$A$8:$BV$103,COLUMN(기본데이타!AO$8),0))</f>
        <v/>
      </c>
      <c r="O139" s="381" t="str">
        <f>IF($A139="","",VLOOKUP($A139,기본데이타!$A$8:$BV$103,COLUMN(기본데이타!AP$8),0))</f>
        <v/>
      </c>
      <c r="P139" s="381" t="str">
        <f>IF($A139="","",VLOOKUP($A139,기본데이타!$A$8:$BV$103,COLUMN(기본데이타!AQ$8),0))</f>
        <v/>
      </c>
      <c r="Q139" s="381" t="str">
        <f>IF($A139="","",VLOOKUP($A139,기본데이타!$A$8:$BV$103,COLUMN(기본데이타!AR$8),0))</f>
        <v/>
      </c>
      <c r="R139" s="381" t="str">
        <f>IF($A139="","",VLOOKUP($A139,기본데이타!$A$8:$BV$103,COLUMN(기본데이타!AS$8),0))</f>
        <v/>
      </c>
      <c r="S139" s="381" t="str">
        <f>IF($A139="","",VLOOKUP($A139,기본데이타!$A$8:$BV$103,COLUMN(기본데이타!AT$8),0))</f>
        <v/>
      </c>
      <c r="T139" s="381" t="str">
        <f>IF($A139="","",VLOOKUP($A139,기본데이타!$A$8:$BV$103,COLUMN(기본데이타!AU$8),0))</f>
        <v/>
      </c>
      <c r="U139" s="381" t="str">
        <f>IF($A139="","",VLOOKUP($A139,기본데이타!$A$8:$BV$103,COLUMN(기본데이타!AV$8),0))</f>
        <v/>
      </c>
      <c r="V139" s="16" t="str">
        <f>IF($A139="","",VLOOKUP($A139,기본데이타!$A$8:$BV$103,COLUMN(기본데이타!AW$8),0))</f>
        <v/>
      </c>
      <c r="W139" s="16" t="str">
        <f>IF($A139="","",VLOOKUP($A139,기본데이타!$A$8:$BV$103,COLUMN(기본데이타!AX$8),0))</f>
        <v/>
      </c>
      <c r="X139" s="16" t="str">
        <f>IF($A139="","",VLOOKUP($A139,기본데이타!$A$8:$BV$103,COLUMN(기본데이타!AY$8),0))</f>
        <v/>
      </c>
      <c r="Y139" s="16" t="str">
        <f>IF($A139="","",VLOOKUP($A139,기본데이타!$A$8:$BV$103,COLUMN(기본데이타!AZ$8),0))</f>
        <v/>
      </c>
      <c r="Z139" s="17" t="str">
        <f>IF($A139="","",VLOOKUP($A139,기본데이타!$A$8:$BV$103,COLUMN(기본데이타!BN$8),0))</f>
        <v/>
      </c>
      <c r="AA139" s="17" t="str">
        <f>IF($A139="","",VLOOKUP($A139,기본데이타!$A$8:$BV$103,COLUMN(기본데이타!BO$8),0))</f>
        <v/>
      </c>
      <c r="AB139" s="17" t="str">
        <f>IF($A139="","",VLOOKUP($A139,기본데이타!$A$8:$BV$103,COLUMN(기본데이타!BP$8),0))</f>
        <v/>
      </c>
      <c r="AC139" s="17" t="str">
        <f>IF($A139="","",VLOOKUP($A139,기본데이타!$A$8:$BV$103,COLUMN(기본데이타!BQ$8),0))</f>
        <v/>
      </c>
      <c r="AD139" s="17" t="str">
        <f>IF($A139="","",VLOOKUP($A139,기본데이타!$A$8:$BV$103,COLUMN(기본데이타!BR$8),0))</f>
        <v/>
      </c>
      <c r="AE139" s="17" t="str">
        <f>IF($A139="","",VLOOKUP($A139,기본데이타!$A$8:$BV$103,COLUMN(기본데이타!BS$8),0))</f>
        <v/>
      </c>
      <c r="AF139" s="524" t="str">
        <f>IF($A139="","",VLOOKUP($A139,기본데이타!$A$8:$BV$103,COLUMN(기본데이타!BT$8),0))</f>
        <v/>
      </c>
      <c r="AG139" s="432" t="str">
        <f>IF($A139="","",VLOOKUP($A139,기본데이타!$A$8:$BV$103,COLUMN(기본데이타!BU$8),0))</f>
        <v/>
      </c>
      <c r="AH139" s="18" t="str">
        <f t="shared" si="34"/>
        <v/>
      </c>
    </row>
    <row r="140" spans="1:35" s="187" customFormat="1" ht="35.1" hidden="1" customHeight="1">
      <c r="A140" s="189"/>
      <c r="C140" s="1283"/>
      <c r="D140" s="8" t="str">
        <f>IF($A140="","",VLOOKUP($A140,기본데이타!$A$8:$BV$103,COLUMN(기본데이타!F$8),0))</f>
        <v/>
      </c>
      <c r="E140" s="252" t="str">
        <f>IF($A140="","",VLOOKUP($A140,기본데이타!$A$8:$BV$103,COLUMN(기본데이타!G$8),0))</f>
        <v/>
      </c>
      <c r="F140" s="9" t="str">
        <f>IF($A140="","",VLOOKUP($A140,기본데이타!$A$8:$BV$103,COLUMN(기본데이타!H$8),0))</f>
        <v/>
      </c>
      <c r="G140" s="9" t="str">
        <f>IF($A140="","",VLOOKUP($A140,기본데이타!$A$8:$BV$103,COLUMN(기본데이타!I$8),0))</f>
        <v/>
      </c>
      <c r="H140" s="9" t="str">
        <f>IF($A140="","",VLOOKUP($A140,기본데이타!$A$8:$BV$103,COLUMN(기본데이타!J$8),0))</f>
        <v/>
      </c>
      <c r="I140" s="17" t="str">
        <f>IF($A140="","",VLOOKUP($A140,기본데이타!$A$8:$BV$103,COLUMN(기본데이타!AJ$8),0))</f>
        <v/>
      </c>
      <c r="J140" s="381" t="str">
        <f>IF($A140="","",VLOOKUP($A140,기본데이타!$A$8:$BV$103,COLUMN(기본데이타!AK$8),0))</f>
        <v/>
      </c>
      <c r="K140" s="381" t="str">
        <f>IF($A140="","",VLOOKUP($A140,기본데이타!$A$8:$BV$103,COLUMN(기본데이타!AL$8),0))</f>
        <v/>
      </c>
      <c r="L140" s="381" t="str">
        <f>IF($A140="","",VLOOKUP($A140,기본데이타!$A$8:$BV$103,COLUMN(기본데이타!AM$8),0))</f>
        <v/>
      </c>
      <c r="M140" s="381" t="str">
        <f>IF($A140="","",VLOOKUP($A140,기본데이타!$A$8:$BV$103,COLUMN(기본데이타!AN$8),0))</f>
        <v/>
      </c>
      <c r="N140" s="381" t="str">
        <f>IF($A140="","",VLOOKUP($A140,기본데이타!$A$8:$BV$103,COLUMN(기본데이타!AO$8),0))</f>
        <v/>
      </c>
      <c r="O140" s="381" t="str">
        <f>IF($A140="","",VLOOKUP($A140,기본데이타!$A$8:$BV$103,COLUMN(기본데이타!AP$8),0))</f>
        <v/>
      </c>
      <c r="P140" s="381" t="str">
        <f>IF($A140="","",VLOOKUP($A140,기본데이타!$A$8:$BV$103,COLUMN(기본데이타!AQ$8),0))</f>
        <v/>
      </c>
      <c r="Q140" s="381" t="str">
        <f>IF($A140="","",VLOOKUP($A140,기본데이타!$A$8:$BV$103,COLUMN(기본데이타!AR$8),0))</f>
        <v/>
      </c>
      <c r="R140" s="381" t="str">
        <f>IF($A140="","",VLOOKUP($A140,기본데이타!$A$8:$BV$103,COLUMN(기본데이타!AS$8),0))</f>
        <v/>
      </c>
      <c r="S140" s="381" t="str">
        <f>IF($A140="","",VLOOKUP($A140,기본데이타!$A$8:$BV$103,COLUMN(기본데이타!AT$8),0))</f>
        <v/>
      </c>
      <c r="T140" s="381" t="str">
        <f>IF($A140="","",VLOOKUP($A140,기본데이타!$A$8:$BV$103,COLUMN(기본데이타!AU$8),0))</f>
        <v/>
      </c>
      <c r="U140" s="381" t="str">
        <f>IF($A140="","",VLOOKUP($A140,기본데이타!$A$8:$BV$103,COLUMN(기본데이타!AV$8),0))</f>
        <v/>
      </c>
      <c r="V140" s="16" t="str">
        <f>IF($A140="","",VLOOKUP($A140,기본데이타!$A$8:$BV$103,COLUMN(기본데이타!AW$8),0))</f>
        <v/>
      </c>
      <c r="W140" s="16" t="str">
        <f>IF($A140="","",VLOOKUP($A140,기본데이타!$A$8:$BV$103,COLUMN(기본데이타!AX$8),0))</f>
        <v/>
      </c>
      <c r="X140" s="16" t="str">
        <f>IF($A140="","",VLOOKUP($A140,기본데이타!$A$8:$BV$103,COLUMN(기본데이타!AY$8),0))</f>
        <v/>
      </c>
      <c r="Y140" s="16" t="str">
        <f>IF($A140="","",VLOOKUP($A140,기본데이타!$A$8:$BV$103,COLUMN(기본데이타!AZ$8),0))</f>
        <v/>
      </c>
      <c r="Z140" s="17" t="str">
        <f>IF($A140="","",VLOOKUP($A140,기본데이타!$A$8:$BV$103,COLUMN(기본데이타!BN$8),0))</f>
        <v/>
      </c>
      <c r="AA140" s="17" t="str">
        <f>IF($A140="","",VLOOKUP($A140,기본데이타!$A$8:$BV$103,COLUMN(기본데이타!BO$8),0))</f>
        <v/>
      </c>
      <c r="AB140" s="17" t="str">
        <f>IF($A140="","",VLOOKUP($A140,기본데이타!$A$8:$BV$103,COLUMN(기본데이타!BP$8),0))</f>
        <v/>
      </c>
      <c r="AC140" s="17" t="str">
        <f>IF($A140="","",VLOOKUP($A140,기본데이타!$A$8:$BV$103,COLUMN(기본데이타!BQ$8),0))</f>
        <v/>
      </c>
      <c r="AD140" s="17" t="str">
        <f>IF($A140="","",VLOOKUP($A140,기본데이타!$A$8:$BV$103,COLUMN(기본데이타!BR$8),0))</f>
        <v/>
      </c>
      <c r="AE140" s="17" t="str">
        <f>IF($A140="","",VLOOKUP($A140,기본데이타!$A$8:$BV$103,COLUMN(기본데이타!BS$8),0))</f>
        <v/>
      </c>
      <c r="AF140" s="524" t="str">
        <f>IF($A140="","",VLOOKUP($A140,기본데이타!$A$8:$BV$103,COLUMN(기본데이타!BT$8),0))</f>
        <v/>
      </c>
      <c r="AG140" s="432" t="str">
        <f>IF($A140="","",VLOOKUP($A140,기본데이타!$A$8:$BV$103,COLUMN(기본데이타!BU$8),0))</f>
        <v/>
      </c>
      <c r="AH140" s="18" t="str">
        <f t="shared" si="34"/>
        <v/>
      </c>
    </row>
    <row r="141" spans="1:35" s="187" customFormat="1" ht="35.1" hidden="1" customHeight="1">
      <c r="A141" s="189"/>
      <c r="C141" s="1283"/>
      <c r="D141" s="8" t="str">
        <f>IF($A141="","",VLOOKUP($A141,기본데이타!$A$8:$BV$103,COLUMN(기본데이타!F$8),0))</f>
        <v/>
      </c>
      <c r="E141" s="252" t="str">
        <f>IF($A141="","",VLOOKUP($A141,기본데이타!$A$8:$BV$103,COLUMN(기본데이타!G$8),0))</f>
        <v/>
      </c>
      <c r="F141" s="9" t="str">
        <f>IF($A141="","",VLOOKUP($A141,기본데이타!$A$8:$BV$103,COLUMN(기본데이타!H$8),0))</f>
        <v/>
      </c>
      <c r="G141" s="9" t="str">
        <f>IF($A141="","",VLOOKUP($A141,기본데이타!$A$8:$BV$103,COLUMN(기본데이타!I$8),0))</f>
        <v/>
      </c>
      <c r="H141" s="9" t="str">
        <f>IF($A141="","",VLOOKUP($A141,기본데이타!$A$8:$BV$103,COLUMN(기본데이타!J$8),0))</f>
        <v/>
      </c>
      <c r="I141" s="17" t="str">
        <f>IF($A141="","",VLOOKUP($A141,기본데이타!$A$8:$BV$103,COLUMN(기본데이타!AJ$8),0))</f>
        <v/>
      </c>
      <c r="J141" s="381" t="str">
        <f>IF($A141="","",VLOOKUP($A141,기본데이타!$A$8:$BV$103,COLUMN(기본데이타!AK$8),0))</f>
        <v/>
      </c>
      <c r="K141" s="381" t="str">
        <f>IF($A141="","",VLOOKUP($A141,기본데이타!$A$8:$BV$103,COLUMN(기본데이타!AL$8),0))</f>
        <v/>
      </c>
      <c r="L141" s="381" t="str">
        <f>IF($A141="","",VLOOKUP($A141,기본데이타!$A$8:$BV$103,COLUMN(기본데이타!AM$8),0))</f>
        <v/>
      </c>
      <c r="M141" s="381" t="str">
        <f>IF($A141="","",VLOOKUP($A141,기본데이타!$A$8:$BV$103,COLUMN(기본데이타!AN$8),0))</f>
        <v/>
      </c>
      <c r="N141" s="381" t="str">
        <f>IF($A141="","",VLOOKUP($A141,기본데이타!$A$8:$BV$103,COLUMN(기본데이타!AO$8),0))</f>
        <v/>
      </c>
      <c r="O141" s="381" t="str">
        <f>IF($A141="","",VLOOKUP($A141,기본데이타!$A$8:$BV$103,COLUMN(기본데이타!AP$8),0))</f>
        <v/>
      </c>
      <c r="P141" s="381" t="str">
        <f>IF($A141="","",VLOOKUP($A141,기본데이타!$A$8:$BV$103,COLUMN(기본데이타!AQ$8),0))</f>
        <v/>
      </c>
      <c r="Q141" s="381" t="str">
        <f>IF($A141="","",VLOOKUP($A141,기본데이타!$A$8:$BV$103,COLUMN(기본데이타!AR$8),0))</f>
        <v/>
      </c>
      <c r="R141" s="381" t="str">
        <f>IF($A141="","",VLOOKUP($A141,기본데이타!$A$8:$BV$103,COLUMN(기본데이타!AS$8),0))</f>
        <v/>
      </c>
      <c r="S141" s="381" t="str">
        <f>IF($A141="","",VLOOKUP($A141,기본데이타!$A$8:$BV$103,COLUMN(기본데이타!AT$8),0))</f>
        <v/>
      </c>
      <c r="T141" s="381" t="str">
        <f>IF($A141="","",VLOOKUP($A141,기본데이타!$A$8:$BV$103,COLUMN(기본데이타!AU$8),0))</f>
        <v/>
      </c>
      <c r="U141" s="381" t="str">
        <f>IF($A141="","",VLOOKUP($A141,기본데이타!$A$8:$BV$103,COLUMN(기본데이타!AV$8),0))</f>
        <v/>
      </c>
      <c r="V141" s="16" t="str">
        <f>IF($A141="","",VLOOKUP($A141,기본데이타!$A$8:$BV$103,COLUMN(기본데이타!AW$8),0))</f>
        <v/>
      </c>
      <c r="W141" s="16" t="str">
        <f>IF($A141="","",VLOOKUP($A141,기본데이타!$A$8:$BV$103,COLUMN(기본데이타!AX$8),0))</f>
        <v/>
      </c>
      <c r="X141" s="16" t="str">
        <f>IF($A141="","",VLOOKUP($A141,기본데이타!$A$8:$BV$103,COLUMN(기본데이타!AY$8),0))</f>
        <v/>
      </c>
      <c r="Y141" s="16" t="str">
        <f>IF($A141="","",VLOOKUP($A141,기본데이타!$A$8:$BV$103,COLUMN(기본데이타!AZ$8),0))</f>
        <v/>
      </c>
      <c r="Z141" s="17" t="str">
        <f>IF($A141="","",VLOOKUP($A141,기본데이타!$A$8:$BV$103,COLUMN(기본데이타!BN$8),0))</f>
        <v/>
      </c>
      <c r="AA141" s="17" t="str">
        <f>IF($A141="","",VLOOKUP($A141,기본데이타!$A$8:$BV$103,COLUMN(기본데이타!BO$8),0))</f>
        <v/>
      </c>
      <c r="AB141" s="17" t="str">
        <f>IF($A141="","",VLOOKUP($A141,기본데이타!$A$8:$BV$103,COLUMN(기본데이타!BP$8),0))</f>
        <v/>
      </c>
      <c r="AC141" s="17" t="str">
        <f>IF($A141="","",VLOOKUP($A141,기본데이타!$A$8:$BV$103,COLUMN(기본데이타!BQ$8),0))</f>
        <v/>
      </c>
      <c r="AD141" s="17" t="str">
        <f>IF($A141="","",VLOOKUP($A141,기본데이타!$A$8:$BV$103,COLUMN(기본데이타!BR$8),0))</f>
        <v/>
      </c>
      <c r="AE141" s="17" t="str">
        <f>IF($A141="","",VLOOKUP($A141,기본데이타!$A$8:$BV$103,COLUMN(기본데이타!BS$8),0))</f>
        <v/>
      </c>
      <c r="AF141" s="524" t="str">
        <f>IF($A141="","",VLOOKUP($A141,기본데이타!$A$8:$BV$103,COLUMN(기본데이타!BT$8),0))</f>
        <v/>
      </c>
      <c r="AG141" s="432" t="str">
        <f>IF($A141="","",VLOOKUP($A141,기본데이타!$A$8:$BV$103,COLUMN(기본데이타!BU$8),0))</f>
        <v/>
      </c>
      <c r="AH141" s="18" t="str">
        <f t="shared" si="34"/>
        <v/>
      </c>
    </row>
    <row r="142" spans="1:35" s="187" customFormat="1" ht="35.1" hidden="1" customHeight="1">
      <c r="A142" s="189"/>
      <c r="C142" s="1283"/>
      <c r="D142" s="1090" t="str">
        <f>IF($A142="","",VLOOKUP($A142,기본데이타!$A$8:$BV$103,COLUMN(기본데이타!F$8),0))</f>
        <v/>
      </c>
      <c r="E142" s="1091" t="str">
        <f>IF($A142="","",VLOOKUP($A142,기본데이타!$A$8:$BV$103,COLUMN(기본데이타!G$8),0))</f>
        <v/>
      </c>
      <c r="F142" s="1092" t="str">
        <f>IF($A142="","",VLOOKUP($A142,기본데이타!$A$8:$BV$103,COLUMN(기본데이타!H$8),0))</f>
        <v/>
      </c>
      <c r="G142" s="1092" t="str">
        <f>IF($A142="","",VLOOKUP($A142,기본데이타!$A$8:$BV$103,COLUMN(기본데이타!I$8),0))</f>
        <v/>
      </c>
      <c r="H142" s="1092" t="str">
        <f>IF($A142="","",VLOOKUP($A142,기본데이타!$A$8:$BV$103,COLUMN(기본데이타!J$8),0))</f>
        <v/>
      </c>
      <c r="I142" s="1093" t="str">
        <f>IF($A142="","",VLOOKUP($A142,기본데이타!$A$8:$BV$103,COLUMN(기본데이타!AJ$8),0))</f>
        <v/>
      </c>
      <c r="J142" s="1284" t="str">
        <f>IF($A142="","",VLOOKUP($A142,기본데이타!$A$8:$BV$103,COLUMN(기본데이타!AK$8),0))</f>
        <v/>
      </c>
      <c r="K142" s="1284" t="str">
        <f>IF($A142="","",VLOOKUP($A142,기본데이타!$A$8:$BV$103,COLUMN(기본데이타!AL$8),0))</f>
        <v/>
      </c>
      <c r="L142" s="1284" t="str">
        <f>IF($A142="","",VLOOKUP($A142,기본데이타!$A$8:$BV$103,COLUMN(기본데이타!AM$8),0))</f>
        <v/>
      </c>
      <c r="M142" s="1284" t="str">
        <f>IF($A142="","",VLOOKUP($A142,기본데이타!$A$8:$BV$103,COLUMN(기본데이타!AN$8),0))</f>
        <v/>
      </c>
      <c r="N142" s="1284" t="str">
        <f>IF($A142="","",VLOOKUP($A142,기본데이타!$A$8:$BV$103,COLUMN(기본데이타!AO$8),0))</f>
        <v/>
      </c>
      <c r="O142" s="1284" t="str">
        <f>IF($A142="","",VLOOKUP($A142,기본데이타!$A$8:$BV$103,COLUMN(기본데이타!AP$8),0))</f>
        <v/>
      </c>
      <c r="P142" s="1284" t="str">
        <f>IF($A142="","",VLOOKUP($A142,기본데이타!$A$8:$BV$103,COLUMN(기본데이타!AQ$8),0))</f>
        <v/>
      </c>
      <c r="Q142" s="1284" t="str">
        <f>IF($A142="","",VLOOKUP($A142,기본데이타!$A$8:$BV$103,COLUMN(기본데이타!AR$8),0))</f>
        <v/>
      </c>
      <c r="R142" s="1284" t="str">
        <f>IF($A142="","",VLOOKUP($A142,기본데이타!$A$8:$BV$103,COLUMN(기본데이타!AS$8),0))</f>
        <v/>
      </c>
      <c r="S142" s="1284" t="str">
        <f>IF($A142="","",VLOOKUP($A142,기본데이타!$A$8:$BV$103,COLUMN(기본데이타!AT$8),0))</f>
        <v/>
      </c>
      <c r="T142" s="1284" t="str">
        <f>IF($A142="","",VLOOKUP($A142,기본데이타!$A$8:$BV$103,COLUMN(기본데이타!AU$8),0))</f>
        <v/>
      </c>
      <c r="U142" s="1284" t="str">
        <f>IF($A142="","",VLOOKUP($A142,기본데이타!$A$8:$BV$103,COLUMN(기본데이타!AV$8),0))</f>
        <v/>
      </c>
      <c r="V142" s="1094" t="str">
        <f>IF($A142="","",VLOOKUP($A142,기본데이타!$A$8:$BV$103,COLUMN(기본데이타!AW$8),0))</f>
        <v/>
      </c>
      <c r="W142" s="1094" t="str">
        <f>IF($A142="","",VLOOKUP($A142,기본데이타!$A$8:$BV$103,COLUMN(기본데이타!AX$8),0))</f>
        <v/>
      </c>
      <c r="X142" s="1094" t="str">
        <f>IF($A142="","",VLOOKUP($A142,기본데이타!$A$8:$BV$103,COLUMN(기본데이타!AY$8),0))</f>
        <v/>
      </c>
      <c r="Y142" s="1094" t="str">
        <f>IF($A142="","",VLOOKUP($A142,기본데이타!$A$8:$BV$103,COLUMN(기본데이타!AZ$8),0))</f>
        <v/>
      </c>
      <c r="Z142" s="1093" t="str">
        <f>IF($A142="","",VLOOKUP($A142,기본데이타!$A$8:$BV$103,COLUMN(기본데이타!BN$8),0))</f>
        <v/>
      </c>
      <c r="AA142" s="1093" t="str">
        <f>IF($A142="","",VLOOKUP($A142,기본데이타!$A$8:$BV$103,COLUMN(기본데이타!BO$8),0))</f>
        <v/>
      </c>
      <c r="AB142" s="1093" t="str">
        <f>IF($A142="","",VLOOKUP($A142,기본데이타!$A$8:$BV$103,COLUMN(기본데이타!BP$8),0))</f>
        <v/>
      </c>
      <c r="AC142" s="1093" t="str">
        <f>IF($A142="","",VLOOKUP($A142,기본데이타!$A$8:$BV$103,COLUMN(기본데이타!BQ$8),0))</f>
        <v/>
      </c>
      <c r="AD142" s="1093" t="str">
        <f>IF($A142="","",VLOOKUP($A142,기본데이타!$A$8:$BV$103,COLUMN(기본데이타!BR$8),0))</f>
        <v/>
      </c>
      <c r="AE142" s="1093" t="str">
        <f>IF($A142="","",VLOOKUP($A142,기본데이타!$A$8:$BV$103,COLUMN(기본데이타!BS$8),0))</f>
        <v/>
      </c>
      <c r="AF142" s="1095" t="str">
        <f>IF($A142="","",VLOOKUP($A142,기본데이타!$A$8:$BV$103,COLUMN(기본데이타!BT$8),0))</f>
        <v/>
      </c>
      <c r="AG142" s="1096" t="str">
        <f>IF($A142="","",VLOOKUP($A142,기본데이타!$A$8:$BV$103,COLUMN(기본데이타!BU$8),0))</f>
        <v/>
      </c>
      <c r="AH142" s="1097" t="str">
        <f t="shared" si="34"/>
        <v/>
      </c>
    </row>
    <row r="143" spans="1:35" s="187" customFormat="1" ht="35.1" hidden="1" customHeight="1">
      <c r="A143" s="189"/>
      <c r="C143" s="193"/>
      <c r="D143" s="308">
        <f>COUNTA(A131:A143)</f>
        <v>0</v>
      </c>
      <c r="E143" s="309">
        <f t="shared" ref="E143:AC143" si="35">SUM(E131:E142)</f>
        <v>0</v>
      </c>
      <c r="F143" s="310">
        <f t="shared" si="35"/>
        <v>0</v>
      </c>
      <c r="G143" s="310">
        <f t="shared" si="35"/>
        <v>0</v>
      </c>
      <c r="H143" s="310">
        <f t="shared" si="35"/>
        <v>0</v>
      </c>
      <c r="I143" s="311">
        <f t="shared" si="35"/>
        <v>0</v>
      </c>
      <c r="J143" s="382">
        <f t="shared" si="35"/>
        <v>0</v>
      </c>
      <c r="K143" s="382">
        <f t="shared" si="35"/>
        <v>0</v>
      </c>
      <c r="L143" s="382">
        <f t="shared" si="35"/>
        <v>0</v>
      </c>
      <c r="M143" s="382">
        <f t="shared" si="35"/>
        <v>0</v>
      </c>
      <c r="N143" s="382">
        <f t="shared" si="35"/>
        <v>0</v>
      </c>
      <c r="O143" s="382">
        <f t="shared" si="35"/>
        <v>0</v>
      </c>
      <c r="P143" s="382">
        <f t="shared" si="35"/>
        <v>0</v>
      </c>
      <c r="Q143" s="382">
        <f t="shared" si="35"/>
        <v>0</v>
      </c>
      <c r="R143" s="382">
        <f t="shared" ref="R143:S143" si="36">SUM(R131:R142)</f>
        <v>0</v>
      </c>
      <c r="S143" s="382">
        <f t="shared" si="36"/>
        <v>0</v>
      </c>
      <c r="T143" s="382">
        <f t="shared" ref="T143" si="37">SUM(T131:T142)</f>
        <v>0</v>
      </c>
      <c r="U143" s="382">
        <f t="shared" si="35"/>
        <v>0</v>
      </c>
      <c r="V143" s="312">
        <f t="shared" si="35"/>
        <v>0</v>
      </c>
      <c r="W143" s="312">
        <f t="shared" si="35"/>
        <v>0</v>
      </c>
      <c r="X143" s="312">
        <f t="shared" si="35"/>
        <v>0</v>
      </c>
      <c r="Y143" s="312">
        <f t="shared" si="35"/>
        <v>0</v>
      </c>
      <c r="Z143" s="311">
        <f t="shared" si="35"/>
        <v>0</v>
      </c>
      <c r="AA143" s="311">
        <f t="shared" si="35"/>
        <v>0</v>
      </c>
      <c r="AB143" s="311">
        <f t="shared" si="35"/>
        <v>0</v>
      </c>
      <c r="AC143" s="311">
        <f t="shared" si="35"/>
        <v>0</v>
      </c>
      <c r="AD143" s="313"/>
      <c r="AE143" s="314">
        <f>IF(COUNTA(AE131:AE142)=1,AE131,용도별분석!BQ29)</f>
        <v>0</v>
      </c>
      <c r="AF143" s="808" t="str">
        <f>용도별분석!BR29</f>
        <v>한도초과</v>
      </c>
      <c r="AG143" s="434" t="e">
        <f>용도별분석!BS29</f>
        <v>#DIV/0!</v>
      </c>
      <c r="AH143" s="298" t="str">
        <f t="shared" si="27"/>
        <v/>
      </c>
      <c r="AI143" s="264">
        <f>AE143-SUM(AE131:AE142)</f>
        <v>0</v>
      </c>
    </row>
    <row r="144" spans="1:35" s="187" customFormat="1" ht="35.1" hidden="1" customHeight="1">
      <c r="A144" s="189"/>
      <c r="C144" s="190" t="s">
        <v>0</v>
      </c>
      <c r="D144" s="191" t="str">
        <f>IF($A144="","",VLOOKUP($A144,기본데이타!$A$8:$BV$103,COLUMN(기본데이타!F$8),0))</f>
        <v/>
      </c>
      <c r="E144" s="252" t="str">
        <f>IF($A144="","",VLOOKUP($A144,기본데이타!$A$8:$BV$103,COLUMN(기본데이타!G$8),0))</f>
        <v/>
      </c>
      <c r="F144" s="301" t="str">
        <f>IF($A144="","",VLOOKUP($A144,기본데이타!$A$8:$BV$103,COLUMN(기본데이타!H$8),0))</f>
        <v/>
      </c>
      <c r="G144" s="301" t="str">
        <f>IF($A144="","",VLOOKUP($A144,기본데이타!$A$8:$BV$103,COLUMN(기본데이타!I$8),0))</f>
        <v/>
      </c>
      <c r="H144" s="301" t="str">
        <f>IF($A144="","",VLOOKUP($A144,기본데이타!$A$8:$BV$103,COLUMN(기본데이타!J$8),0))</f>
        <v/>
      </c>
      <c r="I144" s="303" t="str">
        <f>IF($A144="","",VLOOKUP($A144,기본데이타!$A$8:$BV$103,COLUMN(기본데이타!AJ$8),0))</f>
        <v/>
      </c>
      <c r="J144" s="383" t="str">
        <f>IF($A144="","",VLOOKUP($A144,기본데이타!$A$8:$BV$103,COLUMN(기본데이타!AK$8),0))</f>
        <v/>
      </c>
      <c r="K144" s="383" t="str">
        <f>IF($A144="","",VLOOKUP($A144,기본데이타!$A$8:$BV$103,COLUMN(기본데이타!AL$8),0))</f>
        <v/>
      </c>
      <c r="L144" s="383" t="str">
        <f>IF($A144="","",VLOOKUP($A144,기본데이타!$A$8:$BV$103,COLUMN(기본데이타!AM$8),0))</f>
        <v/>
      </c>
      <c r="M144" s="383" t="str">
        <f>IF($A144="","",VLOOKUP($A144,기본데이타!$A$8:$BV$103,COLUMN(기본데이타!AN$8),0))</f>
        <v/>
      </c>
      <c r="N144" s="383" t="str">
        <f>IF($A144="","",VLOOKUP($A144,기본데이타!$A$8:$BV$103,COLUMN(기본데이타!AO$8),0))</f>
        <v/>
      </c>
      <c r="O144" s="383" t="str">
        <f>IF($A144="","",VLOOKUP($A144,기본데이타!$A$8:$BV$103,COLUMN(기본데이타!AP$8),0))</f>
        <v/>
      </c>
      <c r="P144" s="383" t="str">
        <f>IF($A144="","",VLOOKUP($A144,기본데이타!$A$8:$BV$103,COLUMN(기본데이타!AQ$8),0))</f>
        <v/>
      </c>
      <c r="Q144" s="383" t="str">
        <f>IF($A144="","",VLOOKUP($A144,기본데이타!$A$8:$BV$103,COLUMN(기본데이타!AR$8),0))</f>
        <v/>
      </c>
      <c r="R144" s="383" t="str">
        <f>IF($A144="","",VLOOKUP($A144,기본데이타!$A$8:$BV$103,COLUMN(기본데이타!AS$8),0))</f>
        <v/>
      </c>
      <c r="S144" s="383" t="str">
        <f>IF($A144="","",VLOOKUP($A144,기본데이타!$A$8:$BV$103,COLUMN(기본데이타!AT$8),0))</f>
        <v/>
      </c>
      <c r="T144" s="383" t="str">
        <f>IF($A144="","",VLOOKUP($A144,기본데이타!$A$8:$BV$103,COLUMN(기본데이타!AU$8),0))</f>
        <v/>
      </c>
      <c r="U144" s="383" t="str">
        <f>IF($A144="","",VLOOKUP($A144,기본데이타!$A$8:$BV$103,COLUMN(기본데이타!AV$8),0))</f>
        <v/>
      </c>
      <c r="V144" s="302" t="str">
        <f>IF($A144="","",VLOOKUP($A144,기본데이타!$A$8:$BV$103,COLUMN(기본데이타!AW$8),0))</f>
        <v/>
      </c>
      <c r="W144" s="302" t="str">
        <f>IF($A144="","",VLOOKUP($A144,기본데이타!$A$8:$BV$103,COLUMN(기본데이타!AX$8),0))</f>
        <v/>
      </c>
      <c r="X144" s="302" t="str">
        <f>IF($A144="","",VLOOKUP($A144,기본데이타!$A$8:$BV$103,COLUMN(기본데이타!AY$8),0))</f>
        <v/>
      </c>
      <c r="Y144" s="302" t="str">
        <f>IF($A144="","",VLOOKUP($A144,기본데이타!$A$8:$BV$103,COLUMN(기본데이타!AZ$8),0))</f>
        <v/>
      </c>
      <c r="Z144" s="303" t="str">
        <f>IF($A144="","",VLOOKUP($A144,기본데이타!$A$8:$BV$103,COLUMN(기본데이타!BN$8),0))</f>
        <v/>
      </c>
      <c r="AA144" s="303" t="str">
        <f>IF($A144="","",VLOOKUP($A144,기본데이타!$A$8:$BV$103,COLUMN(기본데이타!BO$8),0))</f>
        <v/>
      </c>
      <c r="AB144" s="303" t="str">
        <f>IF($A144="","",VLOOKUP($A144,기본데이타!$A$8:$BV$103,COLUMN(기본데이타!BP$8),0))</f>
        <v/>
      </c>
      <c r="AC144" s="303" t="str">
        <f>IF($A144="","",VLOOKUP($A144,기본데이타!$A$8:$BV$103,COLUMN(기본데이타!BQ$8),0))</f>
        <v/>
      </c>
      <c r="AD144" s="303" t="str">
        <f>IF($A144="","",VLOOKUP($A144,기본데이타!$A$8:$BV$103,COLUMN(기본데이타!BR$8),0))</f>
        <v/>
      </c>
      <c r="AE144" s="303" t="str">
        <f>IF($A144="","",VLOOKUP($A144,기본데이타!$A$8:$BV$103,COLUMN(기본데이타!BS$8),0))</f>
        <v/>
      </c>
      <c r="AF144" s="1177" t="str">
        <f>IF($A144="","",VLOOKUP($A144,기본데이타!$A$8:$BV$103,COLUMN(기본데이타!BT$8),0))</f>
        <v/>
      </c>
      <c r="AG144" s="436" t="str">
        <f>IF($A144="","",VLOOKUP($A144,기본데이타!$A$8:$BV$103,COLUMN(기본데이타!BU$8),0))</f>
        <v/>
      </c>
      <c r="AH144" s="304" t="str">
        <f t="shared" ref="AH144" si="38">IF(A144="","",A144)</f>
        <v/>
      </c>
      <c r="AI144" s="264"/>
    </row>
    <row r="145" spans="1:34" s="187" customFormat="1" ht="35.1" hidden="1" customHeight="1">
      <c r="A145" s="189"/>
      <c r="C145" s="190"/>
      <c r="D145" s="191" t="str">
        <f>IF($A145="","",VLOOKUP($A145,기본데이타!$A$8:$BV$103,COLUMN(기본데이타!F$8),0))</f>
        <v/>
      </c>
      <c r="E145" s="252" t="str">
        <f>IF($A145="","",VLOOKUP($A145,기본데이타!$A$8:$BV$103,COLUMN(기본데이타!G$8),0))</f>
        <v/>
      </c>
      <c r="F145" s="301" t="str">
        <f>IF($A145="","",VLOOKUP($A145,기본데이타!$A$8:$BV$103,COLUMN(기본데이타!H$8),0))</f>
        <v/>
      </c>
      <c r="G145" s="301" t="str">
        <f>IF($A145="","",VLOOKUP($A145,기본데이타!$A$8:$BV$103,COLUMN(기본데이타!I$8),0))</f>
        <v/>
      </c>
      <c r="H145" s="301" t="str">
        <f>IF($A145="","",VLOOKUP($A145,기본데이타!$A$8:$BV$103,COLUMN(기본데이타!J$8),0))</f>
        <v/>
      </c>
      <c r="I145" s="303" t="str">
        <f>IF($A145="","",VLOOKUP($A145,기본데이타!$A$8:$BV$103,COLUMN(기본데이타!AJ$8),0))</f>
        <v/>
      </c>
      <c r="J145" s="383" t="str">
        <f>IF($A145="","",VLOOKUP($A145,기본데이타!$A$8:$BV$103,COLUMN(기본데이타!AK$8),0))</f>
        <v/>
      </c>
      <c r="K145" s="383" t="str">
        <f>IF($A145="","",VLOOKUP($A145,기본데이타!$A$8:$BV$103,COLUMN(기본데이타!AL$8),0))</f>
        <v/>
      </c>
      <c r="L145" s="383" t="str">
        <f>IF($A145="","",VLOOKUP($A145,기본데이타!$A$8:$BV$103,COLUMN(기본데이타!AM$8),0))</f>
        <v/>
      </c>
      <c r="M145" s="383" t="str">
        <f>IF($A145="","",VLOOKUP($A145,기본데이타!$A$8:$BV$103,COLUMN(기본데이타!AN$8),0))</f>
        <v/>
      </c>
      <c r="N145" s="383" t="str">
        <f>IF($A145="","",VLOOKUP($A145,기본데이타!$A$8:$BV$103,COLUMN(기본데이타!AO$8),0))</f>
        <v/>
      </c>
      <c r="O145" s="383" t="str">
        <f>IF($A145="","",VLOOKUP($A145,기본데이타!$A$8:$BV$103,COLUMN(기본데이타!AP$8),0))</f>
        <v/>
      </c>
      <c r="P145" s="383" t="str">
        <f>IF($A145="","",VLOOKUP($A145,기본데이타!$A$8:$BV$103,COLUMN(기본데이타!AQ$8),0))</f>
        <v/>
      </c>
      <c r="Q145" s="383" t="str">
        <f>IF($A145="","",VLOOKUP($A145,기본데이타!$A$8:$BV$103,COLUMN(기본데이타!AR$8),0))</f>
        <v/>
      </c>
      <c r="R145" s="383" t="str">
        <f>IF($A145="","",VLOOKUP($A145,기본데이타!$A$8:$BV$103,COLUMN(기본데이타!AS$8),0))</f>
        <v/>
      </c>
      <c r="S145" s="383" t="str">
        <f>IF($A145="","",VLOOKUP($A145,기본데이타!$A$8:$BV$103,COLUMN(기본데이타!AT$8),0))</f>
        <v/>
      </c>
      <c r="T145" s="383" t="str">
        <f>IF($A145="","",VLOOKUP($A145,기본데이타!$A$8:$BV$103,COLUMN(기본데이타!AU$8),0))</f>
        <v/>
      </c>
      <c r="U145" s="383" t="str">
        <f>IF($A145="","",VLOOKUP($A145,기본데이타!$A$8:$BV$103,COLUMN(기본데이타!AV$8),0))</f>
        <v/>
      </c>
      <c r="V145" s="302" t="str">
        <f>IF($A145="","",VLOOKUP($A145,기본데이타!$A$8:$BV$103,COLUMN(기본데이타!AW$8),0))</f>
        <v/>
      </c>
      <c r="W145" s="302" t="str">
        <f>IF($A145="","",VLOOKUP($A145,기본데이타!$A$8:$BV$103,COLUMN(기본데이타!AX$8),0))</f>
        <v/>
      </c>
      <c r="X145" s="302" t="str">
        <f>IF($A145="","",VLOOKUP($A145,기본데이타!$A$8:$BV$103,COLUMN(기본데이타!AY$8),0))</f>
        <v/>
      </c>
      <c r="Y145" s="302" t="str">
        <f>IF($A145="","",VLOOKUP($A145,기본데이타!$A$8:$BV$103,COLUMN(기본데이타!AZ$8),0))</f>
        <v/>
      </c>
      <c r="Z145" s="303" t="str">
        <f>IF($A145="","",VLOOKUP($A145,기본데이타!$A$8:$BV$103,COLUMN(기본데이타!BN$8),0))</f>
        <v/>
      </c>
      <c r="AA145" s="303" t="str">
        <f>IF($A145="","",VLOOKUP($A145,기본데이타!$A$8:$BV$103,COLUMN(기본데이타!BO$8),0))</f>
        <v/>
      </c>
      <c r="AB145" s="303" t="str">
        <f>IF($A145="","",VLOOKUP($A145,기본데이타!$A$8:$BV$103,COLUMN(기본데이타!BP$8),0))</f>
        <v/>
      </c>
      <c r="AC145" s="303" t="str">
        <f>IF($A145="","",VLOOKUP($A145,기본데이타!$A$8:$BV$103,COLUMN(기본데이타!BQ$8),0))</f>
        <v/>
      </c>
      <c r="AD145" s="303" t="str">
        <f>IF($A145="","",VLOOKUP($A145,기본데이타!$A$8:$BV$103,COLUMN(기본데이타!BR$8),0))</f>
        <v/>
      </c>
      <c r="AE145" s="303" t="str">
        <f>IF($A145="","",VLOOKUP($A145,기본데이타!$A$8:$BV$103,COLUMN(기본데이타!BS$8),0))</f>
        <v/>
      </c>
      <c r="AF145" s="1177" t="str">
        <f>IF($A145="","",VLOOKUP($A145,기본데이타!$A$8:$BV$103,COLUMN(기본데이타!BT$8),0))</f>
        <v/>
      </c>
      <c r="AG145" s="436" t="str">
        <f>IF($A145="","",VLOOKUP($A145,기본데이타!$A$8:$BV$103,COLUMN(기본데이타!BU$8),0))</f>
        <v/>
      </c>
      <c r="AH145" s="304" t="str">
        <f t="shared" si="27"/>
        <v/>
      </c>
    </row>
    <row r="146" spans="1:34" s="187" customFormat="1" ht="35.1" hidden="1" customHeight="1">
      <c r="A146" s="189"/>
      <c r="C146" s="190"/>
      <c r="D146" s="8" t="str">
        <f>IF($A146="","",VLOOKUP($A146,기본데이타!$A$8:$BV$103,COLUMN(기본데이타!F$8),0))</f>
        <v/>
      </c>
      <c r="E146" s="252" t="str">
        <f>IF($A146="","",VLOOKUP($A146,기본데이타!$A$8:$BV$103,COLUMN(기본데이타!G$8),0))</f>
        <v/>
      </c>
      <c r="F146" s="15" t="str">
        <f>IF($A146="","",VLOOKUP($A146,기본데이타!$A$8:$BV$103,COLUMN(기본데이타!H$8),0))</f>
        <v/>
      </c>
      <c r="G146" s="15" t="str">
        <f>IF($A146="","",VLOOKUP($A146,기본데이타!$A$8:$BV$103,COLUMN(기본데이타!I$8),0))</f>
        <v/>
      </c>
      <c r="H146" s="15" t="str">
        <f>IF($A146="","",VLOOKUP($A146,기본데이타!$A$8:$BV$103,COLUMN(기본데이타!J$8),0))</f>
        <v/>
      </c>
      <c r="I146" s="17" t="str">
        <f>IF($A146="","",VLOOKUP($A146,기본데이타!$A$8:$BV$103,COLUMN(기본데이타!AJ$8),0))</f>
        <v/>
      </c>
      <c r="J146" s="381" t="str">
        <f>IF($A146="","",VLOOKUP($A146,기본데이타!$A$8:$BV$103,COLUMN(기본데이타!AK$8),0))</f>
        <v/>
      </c>
      <c r="K146" s="381" t="str">
        <f>IF($A146="","",VLOOKUP($A146,기본데이타!$A$8:$BV$103,COLUMN(기본데이타!AL$8),0))</f>
        <v/>
      </c>
      <c r="L146" s="381" t="str">
        <f>IF($A146="","",VLOOKUP($A146,기본데이타!$A$8:$BV$103,COLUMN(기본데이타!AM$8),0))</f>
        <v/>
      </c>
      <c r="M146" s="381" t="str">
        <f>IF($A146="","",VLOOKUP($A146,기본데이타!$A$8:$BV$103,COLUMN(기본데이타!AN$8),0))</f>
        <v/>
      </c>
      <c r="N146" s="381" t="str">
        <f>IF($A146="","",VLOOKUP($A146,기본데이타!$A$8:$BV$103,COLUMN(기본데이타!AO$8),0))</f>
        <v/>
      </c>
      <c r="O146" s="381" t="str">
        <f>IF($A146="","",VLOOKUP($A146,기본데이타!$A$8:$BV$103,COLUMN(기본데이타!AP$8),0))</f>
        <v/>
      </c>
      <c r="P146" s="381" t="str">
        <f>IF($A146="","",VLOOKUP($A146,기본데이타!$A$8:$BV$103,COLUMN(기본데이타!AQ$8),0))</f>
        <v/>
      </c>
      <c r="Q146" s="381" t="str">
        <f>IF($A146="","",VLOOKUP($A146,기본데이타!$A$8:$BV$103,COLUMN(기본데이타!AR$8),0))</f>
        <v/>
      </c>
      <c r="R146" s="381" t="str">
        <f>IF($A146="","",VLOOKUP($A146,기본데이타!$A$8:$BV$103,COLUMN(기본데이타!AS$8),0))</f>
        <v/>
      </c>
      <c r="S146" s="381" t="str">
        <f>IF($A146="","",VLOOKUP($A146,기본데이타!$A$8:$BV$103,COLUMN(기본데이타!AT$8),0))</f>
        <v/>
      </c>
      <c r="T146" s="381" t="str">
        <f>IF($A146="","",VLOOKUP($A146,기본데이타!$A$8:$BV$103,COLUMN(기본데이타!AU$8),0))</f>
        <v/>
      </c>
      <c r="U146" s="381" t="str">
        <f>IF($A146="","",VLOOKUP($A146,기본데이타!$A$8:$BV$103,COLUMN(기본데이타!AV$8),0))</f>
        <v/>
      </c>
      <c r="V146" s="16" t="str">
        <f>IF($A146="","",VLOOKUP($A146,기본데이타!$A$8:$BV$103,COLUMN(기본데이타!AW$8),0))</f>
        <v/>
      </c>
      <c r="W146" s="16" t="str">
        <f>IF($A146="","",VLOOKUP($A146,기본데이타!$A$8:$BV$103,COLUMN(기본데이타!AX$8),0))</f>
        <v/>
      </c>
      <c r="X146" s="16" t="str">
        <f>IF($A146="","",VLOOKUP($A146,기본데이타!$A$8:$BV$103,COLUMN(기본데이타!AY$8),0))</f>
        <v/>
      </c>
      <c r="Y146" s="16" t="str">
        <f>IF($A146="","",VLOOKUP($A146,기본데이타!$A$8:$BV$103,COLUMN(기본데이타!AZ$8),0))</f>
        <v/>
      </c>
      <c r="Z146" s="17" t="str">
        <f>IF($A146="","",VLOOKUP($A146,기본데이타!$A$8:$BV$103,COLUMN(기본데이타!BN$8),0))</f>
        <v/>
      </c>
      <c r="AA146" s="17" t="str">
        <f>IF($A146="","",VLOOKUP($A146,기본데이타!$A$8:$BV$103,COLUMN(기본데이타!BO$8),0))</f>
        <v/>
      </c>
      <c r="AB146" s="17" t="str">
        <f>IF($A146="","",VLOOKUP($A146,기본데이타!$A$8:$BV$103,COLUMN(기본데이타!BP$8),0))</f>
        <v/>
      </c>
      <c r="AC146" s="17" t="str">
        <f>IF($A146="","",VLOOKUP($A146,기본데이타!$A$8:$BV$103,COLUMN(기본데이타!BQ$8),0))</f>
        <v/>
      </c>
      <c r="AD146" s="17" t="str">
        <f>IF($A146="","",VLOOKUP($A146,기본데이타!$A$8:$BV$103,COLUMN(기본데이타!BR$8),0))</f>
        <v/>
      </c>
      <c r="AE146" s="17" t="str">
        <f>IF($A146="","",VLOOKUP($A146,기본데이타!$A$8:$BV$103,COLUMN(기본데이타!BS$8),0))</f>
        <v/>
      </c>
      <c r="AF146" s="1177" t="str">
        <f>IF($A146="","",VLOOKUP($A146,기본데이타!$A$8:$BV$103,COLUMN(기본데이타!BT$8),0))</f>
        <v/>
      </c>
      <c r="AG146" s="432" t="str">
        <f>IF($A146="","",VLOOKUP($A146,기본데이타!$A$8:$BV$103,COLUMN(기본데이타!BU$8),0))</f>
        <v/>
      </c>
      <c r="AH146" s="18" t="str">
        <f t="shared" si="27"/>
        <v/>
      </c>
    </row>
    <row r="147" spans="1:34" s="187" customFormat="1" ht="35.1" hidden="1" customHeight="1">
      <c r="A147" s="189"/>
      <c r="C147" s="190"/>
      <c r="D147" s="8" t="str">
        <f>IF($A147="","",VLOOKUP($A147,기본데이타!$A$8:$BV$103,COLUMN(기본데이타!F$8),0))</f>
        <v/>
      </c>
      <c r="E147" s="252" t="str">
        <f>IF($A147="","",VLOOKUP($A147,기본데이타!$A$8:$BV$103,COLUMN(기본데이타!G$8),0))</f>
        <v/>
      </c>
      <c r="F147" s="15" t="str">
        <f>IF($A147="","",VLOOKUP($A147,기본데이타!$A$8:$BV$103,COLUMN(기본데이타!H$8),0))</f>
        <v/>
      </c>
      <c r="G147" s="15" t="str">
        <f>IF($A147="","",VLOOKUP($A147,기본데이타!$A$8:$BV$103,COLUMN(기본데이타!I$8),0))</f>
        <v/>
      </c>
      <c r="H147" s="15" t="str">
        <f>IF($A147="","",VLOOKUP($A147,기본데이타!$A$8:$BV$103,COLUMN(기본데이타!J$8),0))</f>
        <v/>
      </c>
      <c r="I147" s="17" t="str">
        <f>IF($A147="","",VLOOKUP($A147,기본데이타!$A$8:$BV$103,COLUMN(기본데이타!AJ$8),0))</f>
        <v/>
      </c>
      <c r="J147" s="381" t="str">
        <f>IF($A147="","",VLOOKUP($A147,기본데이타!$A$8:$BV$103,COLUMN(기본데이타!AK$8),0))</f>
        <v/>
      </c>
      <c r="K147" s="381" t="str">
        <f>IF($A147="","",VLOOKUP($A147,기본데이타!$A$8:$BV$103,COLUMN(기본데이타!AL$8),0))</f>
        <v/>
      </c>
      <c r="L147" s="381" t="str">
        <f>IF($A147="","",VLOOKUP($A147,기본데이타!$A$8:$BV$103,COLUMN(기본데이타!AM$8),0))</f>
        <v/>
      </c>
      <c r="M147" s="381" t="str">
        <f>IF($A147="","",VLOOKUP($A147,기본데이타!$A$8:$BV$103,COLUMN(기본데이타!AN$8),0))</f>
        <v/>
      </c>
      <c r="N147" s="381" t="str">
        <f>IF($A147="","",VLOOKUP($A147,기본데이타!$A$8:$BV$103,COLUMN(기본데이타!AO$8),0))</f>
        <v/>
      </c>
      <c r="O147" s="381" t="str">
        <f>IF($A147="","",VLOOKUP($A147,기본데이타!$A$8:$BV$103,COLUMN(기본데이타!AP$8),0))</f>
        <v/>
      </c>
      <c r="P147" s="381" t="str">
        <f>IF($A147="","",VLOOKUP($A147,기본데이타!$A$8:$BV$103,COLUMN(기본데이타!AQ$8),0))</f>
        <v/>
      </c>
      <c r="Q147" s="381" t="str">
        <f>IF($A147="","",VLOOKUP($A147,기본데이타!$A$8:$BV$103,COLUMN(기본데이타!AR$8),0))</f>
        <v/>
      </c>
      <c r="R147" s="381" t="str">
        <f>IF($A147="","",VLOOKUP($A147,기본데이타!$A$8:$BV$103,COLUMN(기본데이타!AS$8),0))</f>
        <v/>
      </c>
      <c r="S147" s="381" t="str">
        <f>IF($A147="","",VLOOKUP($A147,기본데이타!$A$8:$BV$103,COLUMN(기본데이타!AT$8),0))</f>
        <v/>
      </c>
      <c r="T147" s="381" t="str">
        <f>IF($A147="","",VLOOKUP($A147,기본데이타!$A$8:$BV$103,COLUMN(기본데이타!AU$8),0))</f>
        <v/>
      </c>
      <c r="U147" s="381" t="str">
        <f>IF($A147="","",VLOOKUP($A147,기본데이타!$A$8:$BV$103,COLUMN(기본데이타!AV$8),0))</f>
        <v/>
      </c>
      <c r="V147" s="16" t="str">
        <f>IF($A147="","",VLOOKUP($A147,기본데이타!$A$8:$BV$103,COLUMN(기본데이타!AW$8),0))</f>
        <v/>
      </c>
      <c r="W147" s="16" t="str">
        <f>IF($A147="","",VLOOKUP($A147,기본데이타!$A$8:$BV$103,COLUMN(기본데이타!AX$8),0))</f>
        <v/>
      </c>
      <c r="X147" s="16" t="str">
        <f>IF($A147="","",VLOOKUP($A147,기본데이타!$A$8:$BV$103,COLUMN(기본데이타!AY$8),0))</f>
        <v/>
      </c>
      <c r="Y147" s="16" t="str">
        <f>IF($A147="","",VLOOKUP($A147,기본데이타!$A$8:$BV$103,COLUMN(기본데이타!AZ$8),0))</f>
        <v/>
      </c>
      <c r="Z147" s="17" t="str">
        <f>IF($A147="","",VLOOKUP($A147,기본데이타!$A$8:$BV$103,COLUMN(기본데이타!BN$8),0))</f>
        <v/>
      </c>
      <c r="AA147" s="17" t="str">
        <f>IF($A147="","",VLOOKUP($A147,기본데이타!$A$8:$BV$103,COLUMN(기본데이타!BO$8),0))</f>
        <v/>
      </c>
      <c r="AB147" s="17" t="str">
        <f>IF($A147="","",VLOOKUP($A147,기본데이타!$A$8:$BV$103,COLUMN(기본데이타!BP$8),0))</f>
        <v/>
      </c>
      <c r="AC147" s="17" t="str">
        <f>IF($A147="","",VLOOKUP($A147,기본데이타!$A$8:$BV$103,COLUMN(기본데이타!BQ$8),0))</f>
        <v/>
      </c>
      <c r="AD147" s="17" t="str">
        <f>IF($A147="","",VLOOKUP($A147,기본데이타!$A$8:$BV$103,COLUMN(기본데이타!BR$8),0))</f>
        <v/>
      </c>
      <c r="AE147" s="17" t="str">
        <f>IF($A147="","",VLOOKUP($A147,기본데이타!$A$8:$BV$103,COLUMN(기본데이타!BS$8),0))</f>
        <v/>
      </c>
      <c r="AF147" s="1177" t="str">
        <f>IF($A147="","",VLOOKUP($A147,기본데이타!$A$8:$BV$103,COLUMN(기본데이타!BT$8),0))</f>
        <v/>
      </c>
      <c r="AG147" s="432" t="str">
        <f>IF($A147="","",VLOOKUP($A147,기본데이타!$A$8:$BV$103,COLUMN(기본데이타!BU$8),0))</f>
        <v/>
      </c>
      <c r="AH147" s="18" t="str">
        <f t="shared" si="27"/>
        <v/>
      </c>
    </row>
    <row r="148" spans="1:34" s="187" customFormat="1" ht="35.1" hidden="1" customHeight="1">
      <c r="A148" s="189"/>
      <c r="C148" s="190"/>
      <c r="D148" s="8" t="str">
        <f>IF($A148="","",VLOOKUP($A148,기본데이타!$A$8:$BV$103,COLUMN(기본데이타!F$8),0))</f>
        <v/>
      </c>
      <c r="E148" s="252" t="str">
        <f>IF($A148="","",VLOOKUP($A148,기본데이타!$A$8:$BV$103,COLUMN(기본데이타!G$8),0))</f>
        <v/>
      </c>
      <c r="F148" s="15" t="str">
        <f>IF($A148="","",VLOOKUP($A148,기본데이타!$A$8:$BV$103,COLUMN(기본데이타!H$8),0))</f>
        <v/>
      </c>
      <c r="G148" s="15" t="str">
        <f>IF($A148="","",VLOOKUP($A148,기본데이타!$A$8:$BV$103,COLUMN(기본데이타!I$8),0))</f>
        <v/>
      </c>
      <c r="H148" s="15" t="str">
        <f>IF($A148="","",VLOOKUP($A148,기본데이타!$A$8:$BV$103,COLUMN(기본데이타!J$8),0))</f>
        <v/>
      </c>
      <c r="I148" s="17" t="str">
        <f>IF($A148="","",VLOOKUP($A148,기본데이타!$A$8:$BV$103,COLUMN(기본데이타!AJ$8),0))</f>
        <v/>
      </c>
      <c r="J148" s="381" t="str">
        <f>IF($A148="","",VLOOKUP($A148,기본데이타!$A$8:$BV$103,COLUMN(기본데이타!AK$8),0))</f>
        <v/>
      </c>
      <c r="K148" s="381" t="str">
        <f>IF($A148="","",VLOOKUP($A148,기본데이타!$A$8:$BV$103,COLUMN(기본데이타!AL$8),0))</f>
        <v/>
      </c>
      <c r="L148" s="381" t="str">
        <f>IF($A148="","",VLOOKUP($A148,기본데이타!$A$8:$BV$103,COLUMN(기본데이타!AM$8),0))</f>
        <v/>
      </c>
      <c r="M148" s="381" t="str">
        <f>IF($A148="","",VLOOKUP($A148,기본데이타!$A$8:$BV$103,COLUMN(기본데이타!AN$8),0))</f>
        <v/>
      </c>
      <c r="N148" s="381" t="str">
        <f>IF($A148="","",VLOOKUP($A148,기본데이타!$A$8:$BV$103,COLUMN(기본데이타!AO$8),0))</f>
        <v/>
      </c>
      <c r="O148" s="381" t="str">
        <f>IF($A148="","",VLOOKUP($A148,기본데이타!$A$8:$BV$103,COLUMN(기본데이타!AP$8),0))</f>
        <v/>
      </c>
      <c r="P148" s="381" t="str">
        <f>IF($A148="","",VLOOKUP($A148,기본데이타!$A$8:$BV$103,COLUMN(기본데이타!AQ$8),0))</f>
        <v/>
      </c>
      <c r="Q148" s="381" t="str">
        <f>IF($A148="","",VLOOKUP($A148,기본데이타!$A$8:$BV$103,COLUMN(기본데이타!AR$8),0))</f>
        <v/>
      </c>
      <c r="R148" s="381" t="str">
        <f>IF($A148="","",VLOOKUP($A148,기본데이타!$A$8:$BV$103,COLUMN(기본데이타!AS$8),0))</f>
        <v/>
      </c>
      <c r="S148" s="381" t="str">
        <f>IF($A148="","",VLOOKUP($A148,기본데이타!$A$8:$BV$103,COLUMN(기본데이타!AT$8),0))</f>
        <v/>
      </c>
      <c r="T148" s="381" t="str">
        <f>IF($A148="","",VLOOKUP($A148,기본데이타!$A$8:$BV$103,COLUMN(기본데이타!AU$8),0))</f>
        <v/>
      </c>
      <c r="U148" s="381" t="str">
        <f>IF($A148="","",VLOOKUP($A148,기본데이타!$A$8:$BV$103,COLUMN(기본데이타!AV$8),0))</f>
        <v/>
      </c>
      <c r="V148" s="16" t="str">
        <f>IF($A148="","",VLOOKUP($A148,기본데이타!$A$8:$BV$103,COLUMN(기본데이타!AW$8),0))</f>
        <v/>
      </c>
      <c r="W148" s="16" t="str">
        <f>IF($A148="","",VLOOKUP($A148,기본데이타!$A$8:$BV$103,COLUMN(기본데이타!AX$8),0))</f>
        <v/>
      </c>
      <c r="X148" s="16" t="str">
        <f>IF($A148="","",VLOOKUP($A148,기본데이타!$A$8:$BV$103,COLUMN(기본데이타!AY$8),0))</f>
        <v/>
      </c>
      <c r="Y148" s="16" t="str">
        <f>IF($A148="","",VLOOKUP($A148,기본데이타!$A$8:$BV$103,COLUMN(기본데이타!AZ$8),0))</f>
        <v/>
      </c>
      <c r="Z148" s="17" t="str">
        <f>IF($A148="","",VLOOKUP($A148,기본데이타!$A$8:$BV$103,COLUMN(기본데이타!BN$8),0))</f>
        <v/>
      </c>
      <c r="AA148" s="17" t="str">
        <f>IF($A148="","",VLOOKUP($A148,기본데이타!$A$8:$BV$103,COLUMN(기본데이타!BO$8),0))</f>
        <v/>
      </c>
      <c r="AB148" s="17" t="str">
        <f>IF($A148="","",VLOOKUP($A148,기본데이타!$A$8:$BV$103,COLUMN(기본데이타!BP$8),0))</f>
        <v/>
      </c>
      <c r="AC148" s="17" t="str">
        <f>IF($A148="","",VLOOKUP($A148,기본데이타!$A$8:$BV$103,COLUMN(기본데이타!BQ$8),0))</f>
        <v/>
      </c>
      <c r="AD148" s="17" t="str">
        <f>IF($A148="","",VLOOKUP($A148,기본데이타!$A$8:$BV$103,COLUMN(기본데이타!BR$8),0))</f>
        <v/>
      </c>
      <c r="AE148" s="17" t="str">
        <f>IF($A148="","",VLOOKUP($A148,기본데이타!$A$8:$BV$103,COLUMN(기본데이타!BS$8),0))</f>
        <v/>
      </c>
      <c r="AF148" s="524" t="str">
        <f>IF($A148="","",VLOOKUP($A148,기본데이타!$A$8:$BV$103,COLUMN(기본데이타!BT$8),0))</f>
        <v/>
      </c>
      <c r="AG148" s="432" t="str">
        <f>IF($A148="","",VLOOKUP($A148,기본데이타!$A$8:$BV$103,COLUMN(기본데이타!BU$8),0))</f>
        <v/>
      </c>
      <c r="AH148" s="18" t="str">
        <f t="shared" si="27"/>
        <v/>
      </c>
    </row>
    <row r="149" spans="1:34" s="187" customFormat="1" ht="35.1" hidden="1" customHeight="1">
      <c r="A149" s="189"/>
      <c r="C149" s="190"/>
      <c r="D149" s="8" t="str">
        <f>IF($A149="","",VLOOKUP($A149,기본데이타!$A$8:$BV$103,COLUMN(기본데이타!F$8),0))</f>
        <v/>
      </c>
      <c r="E149" s="252" t="str">
        <f>IF($A149="","",VLOOKUP($A149,기본데이타!$A$8:$BV$103,COLUMN(기본데이타!G$8),0))</f>
        <v/>
      </c>
      <c r="F149" s="15" t="str">
        <f>IF($A149="","",VLOOKUP($A149,기본데이타!$A$8:$BV$103,COLUMN(기본데이타!H$8),0))</f>
        <v/>
      </c>
      <c r="G149" s="15" t="str">
        <f>IF($A149="","",VLOOKUP($A149,기본데이타!$A$8:$BV$103,COLUMN(기본데이타!I$8),0))</f>
        <v/>
      </c>
      <c r="H149" s="15" t="str">
        <f>IF($A149="","",VLOOKUP($A149,기본데이타!$A$8:$BV$103,COLUMN(기본데이타!J$8),0))</f>
        <v/>
      </c>
      <c r="I149" s="17" t="str">
        <f>IF($A149="","",VLOOKUP($A149,기본데이타!$A$8:$BV$103,COLUMN(기본데이타!AJ$8),0))</f>
        <v/>
      </c>
      <c r="J149" s="381" t="str">
        <f>IF($A149="","",VLOOKUP($A149,기본데이타!$A$8:$BV$103,COLUMN(기본데이타!AK$8),0))</f>
        <v/>
      </c>
      <c r="K149" s="381" t="str">
        <f>IF($A149="","",VLOOKUP($A149,기본데이타!$A$8:$BV$103,COLUMN(기본데이타!AL$8),0))</f>
        <v/>
      </c>
      <c r="L149" s="381" t="str">
        <f>IF($A149="","",VLOOKUP($A149,기본데이타!$A$8:$BV$103,COLUMN(기본데이타!AM$8),0))</f>
        <v/>
      </c>
      <c r="M149" s="381" t="str">
        <f>IF($A149="","",VLOOKUP($A149,기본데이타!$A$8:$BV$103,COLUMN(기본데이타!AN$8),0))</f>
        <v/>
      </c>
      <c r="N149" s="381" t="str">
        <f>IF($A149="","",VLOOKUP($A149,기본데이타!$A$8:$BV$103,COLUMN(기본데이타!AO$8),0))</f>
        <v/>
      </c>
      <c r="O149" s="381" t="str">
        <f>IF($A149="","",VLOOKUP($A149,기본데이타!$A$8:$BV$103,COLUMN(기본데이타!AP$8),0))</f>
        <v/>
      </c>
      <c r="P149" s="381" t="str">
        <f>IF($A149="","",VLOOKUP($A149,기본데이타!$A$8:$BV$103,COLUMN(기본데이타!AQ$8),0))</f>
        <v/>
      </c>
      <c r="Q149" s="381" t="str">
        <f>IF($A149="","",VLOOKUP($A149,기본데이타!$A$8:$BV$103,COLUMN(기본데이타!AR$8),0))</f>
        <v/>
      </c>
      <c r="R149" s="381" t="str">
        <f>IF($A149="","",VLOOKUP($A149,기본데이타!$A$8:$BV$103,COLUMN(기본데이타!AS$8),0))</f>
        <v/>
      </c>
      <c r="S149" s="381" t="str">
        <f>IF($A149="","",VLOOKUP($A149,기본데이타!$A$8:$BV$103,COLUMN(기본데이타!AT$8),0))</f>
        <v/>
      </c>
      <c r="T149" s="381" t="str">
        <f>IF($A149="","",VLOOKUP($A149,기본데이타!$A$8:$BV$103,COLUMN(기본데이타!AU$8),0))</f>
        <v/>
      </c>
      <c r="U149" s="381" t="str">
        <f>IF($A149="","",VLOOKUP($A149,기본데이타!$A$8:$BV$103,COLUMN(기본데이타!AV$8),0))</f>
        <v/>
      </c>
      <c r="V149" s="16" t="str">
        <f>IF($A149="","",VLOOKUP($A149,기본데이타!$A$8:$BV$103,COLUMN(기본데이타!AW$8),0))</f>
        <v/>
      </c>
      <c r="W149" s="16" t="str">
        <f>IF($A149="","",VLOOKUP($A149,기본데이타!$A$8:$BV$103,COLUMN(기본데이타!AX$8),0))</f>
        <v/>
      </c>
      <c r="X149" s="16" t="str">
        <f>IF($A149="","",VLOOKUP($A149,기본데이타!$A$8:$BV$103,COLUMN(기본데이타!AY$8),0))</f>
        <v/>
      </c>
      <c r="Y149" s="16" t="str">
        <f>IF($A149="","",VLOOKUP($A149,기본데이타!$A$8:$BV$103,COLUMN(기본데이타!AZ$8),0))</f>
        <v/>
      </c>
      <c r="Z149" s="17" t="str">
        <f>IF($A149="","",VLOOKUP($A149,기본데이타!$A$8:$BV$103,COLUMN(기본데이타!BN$8),0))</f>
        <v/>
      </c>
      <c r="AA149" s="17" t="str">
        <f>IF($A149="","",VLOOKUP($A149,기본데이타!$A$8:$BV$103,COLUMN(기본데이타!BO$8),0))</f>
        <v/>
      </c>
      <c r="AB149" s="17" t="str">
        <f>IF($A149="","",VLOOKUP($A149,기본데이타!$A$8:$BV$103,COLUMN(기본데이타!BP$8),0))</f>
        <v/>
      </c>
      <c r="AC149" s="17" t="str">
        <f>IF($A149="","",VLOOKUP($A149,기본데이타!$A$8:$BV$103,COLUMN(기본데이타!BQ$8),0))</f>
        <v/>
      </c>
      <c r="AD149" s="17" t="str">
        <f>IF($A149="","",VLOOKUP($A149,기본데이타!$A$8:$BV$103,COLUMN(기본데이타!BR$8),0))</f>
        <v/>
      </c>
      <c r="AE149" s="17" t="str">
        <f>IF($A149="","",VLOOKUP($A149,기본데이타!$A$8:$BV$103,COLUMN(기본데이타!BS$8),0))</f>
        <v/>
      </c>
      <c r="AF149" s="524" t="str">
        <f>IF($A149="","",VLOOKUP($A149,기본데이타!$A$8:$BV$103,COLUMN(기본데이타!BT$8),0))</f>
        <v/>
      </c>
      <c r="AG149" s="432" t="str">
        <f>IF($A149="","",VLOOKUP($A149,기본데이타!$A$8:$BV$103,COLUMN(기본데이타!BU$8),0))</f>
        <v/>
      </c>
      <c r="AH149" s="18" t="str">
        <f t="shared" si="27"/>
        <v/>
      </c>
    </row>
    <row r="150" spans="1:34" s="187" customFormat="1" ht="35.1" hidden="1" customHeight="1">
      <c r="A150" s="189"/>
      <c r="C150" s="190"/>
      <c r="D150" s="8" t="str">
        <f>IF($A150="","",VLOOKUP($A150,기본데이타!$A$10:$BV$103,COLUMN(기본데이타!F$8),0))</f>
        <v/>
      </c>
      <c r="E150" s="252" t="str">
        <f>IF($A150="","",VLOOKUP($A150,기본데이타!$A$8:$BV$103,COLUMN(기본데이타!G$8),0))</f>
        <v/>
      </c>
      <c r="F150" s="15" t="str">
        <f>IF($A150="","",VLOOKUP($A150,기본데이타!$A$8:$BV$103,COLUMN(기본데이타!H$8),0))</f>
        <v/>
      </c>
      <c r="G150" s="15" t="str">
        <f>IF($A150="","",VLOOKUP($A150,기본데이타!$A$8:$BV$103,COLUMN(기본데이타!I$8),0))</f>
        <v/>
      </c>
      <c r="H150" s="15" t="str">
        <f>IF($A150="","",VLOOKUP($A150,기본데이타!$A$8:$BV$103,COLUMN(기본데이타!J$8),0))</f>
        <v/>
      </c>
      <c r="I150" s="17" t="str">
        <f>IF($A150="","",VLOOKUP($A150,기본데이타!$A$8:$BV$103,COLUMN(기본데이타!AJ$8),0))</f>
        <v/>
      </c>
      <c r="J150" s="381" t="str">
        <f>IF($A150="","",VLOOKUP($A150,기본데이타!$A$8:$BV$103,COLUMN(기본데이타!AK$8),0))</f>
        <v/>
      </c>
      <c r="K150" s="381" t="str">
        <f>IF($A150="","",VLOOKUP($A150,기본데이타!$A$8:$BV$103,COLUMN(기본데이타!AL$8),0))</f>
        <v/>
      </c>
      <c r="L150" s="381" t="str">
        <f>IF($A150="","",VLOOKUP($A150,기본데이타!$A$8:$BV$103,COLUMN(기본데이타!AM$8),0))</f>
        <v/>
      </c>
      <c r="M150" s="381" t="str">
        <f>IF($A150="","",VLOOKUP($A150,기본데이타!$A$8:$BV$103,COLUMN(기본데이타!AN$8),0))</f>
        <v/>
      </c>
      <c r="N150" s="381" t="str">
        <f>IF($A150="","",VLOOKUP($A150,기본데이타!$A$8:$BV$103,COLUMN(기본데이타!AO$8),0))</f>
        <v/>
      </c>
      <c r="O150" s="381" t="str">
        <f>IF($A150="","",VLOOKUP($A150,기본데이타!$A$8:$BV$103,COLUMN(기본데이타!AP$8),0))</f>
        <v/>
      </c>
      <c r="P150" s="381" t="str">
        <f>IF($A150="","",VLOOKUP($A150,기본데이타!$A$8:$BV$103,COLUMN(기본데이타!AQ$8),0))</f>
        <v/>
      </c>
      <c r="Q150" s="381" t="str">
        <f>IF($A150="","",VLOOKUP($A150,기본데이타!$A$8:$BV$103,COLUMN(기본데이타!AR$8),0))</f>
        <v/>
      </c>
      <c r="R150" s="381" t="str">
        <f>IF($A150="","",VLOOKUP($A150,기본데이타!$A$8:$BV$103,COLUMN(기본데이타!AS$8),0))</f>
        <v/>
      </c>
      <c r="S150" s="381" t="str">
        <f>IF($A150="","",VLOOKUP($A150,기본데이타!$A$8:$BV$103,COLUMN(기본데이타!AT$8),0))</f>
        <v/>
      </c>
      <c r="T150" s="381" t="str">
        <f>IF($A150="","",VLOOKUP($A150,기본데이타!$A$8:$BV$103,COLUMN(기본데이타!AU$8),0))</f>
        <v/>
      </c>
      <c r="U150" s="381" t="str">
        <f>IF($A150="","",VLOOKUP($A150,기본데이타!$A$8:$BV$103,COLUMN(기본데이타!AV$8),0))</f>
        <v/>
      </c>
      <c r="V150" s="16" t="str">
        <f>IF($A150="","",VLOOKUP($A150,기본데이타!$A$8:$BV$103,COLUMN(기본데이타!AW$8),0))</f>
        <v/>
      </c>
      <c r="W150" s="16" t="str">
        <f>IF($A150="","",VLOOKUP($A150,기본데이타!$A$8:$BV$103,COLUMN(기본데이타!AX$8),0))</f>
        <v/>
      </c>
      <c r="X150" s="16" t="str">
        <f>IF($A150="","",VLOOKUP($A150,기본데이타!$A$8:$BV$103,COLUMN(기본데이타!AY$8),0))</f>
        <v/>
      </c>
      <c r="Y150" s="16" t="str">
        <f>IF($A150="","",VLOOKUP($A150,기본데이타!$A$8:$BV$103,COLUMN(기본데이타!AZ$8),0))</f>
        <v/>
      </c>
      <c r="Z150" s="17" t="str">
        <f>IF($A150="","",VLOOKUP($A150,기본데이타!$A$8:$BV$103,COLUMN(기본데이타!BN$8),0))</f>
        <v/>
      </c>
      <c r="AA150" s="17" t="str">
        <f>IF($A150="","",VLOOKUP($A150,기본데이타!$A$8:$BV$103,COLUMN(기본데이타!BO$8),0))</f>
        <v/>
      </c>
      <c r="AB150" s="17" t="str">
        <f>IF($A150="","",VLOOKUP($A150,기본데이타!$A$8:$BV$103,COLUMN(기본데이타!BP$8),0))</f>
        <v/>
      </c>
      <c r="AC150" s="17" t="str">
        <f>IF($A150="","",VLOOKUP($A150,기본데이타!$A$8:$BV$103,COLUMN(기본데이타!BQ$8),0))</f>
        <v/>
      </c>
      <c r="AD150" s="17" t="str">
        <f>IF($A150="","",VLOOKUP($A150,기본데이타!$A$8:$BV$103,COLUMN(기본데이타!BR$8),0))</f>
        <v/>
      </c>
      <c r="AE150" s="17" t="str">
        <f>IF($A150="","",VLOOKUP($A150,기본데이타!$A$8:$BV$103,COLUMN(기본데이타!BS$8),0))</f>
        <v/>
      </c>
      <c r="AF150" s="524" t="str">
        <f>IF($A150="","",VLOOKUP($A150,기본데이타!$A$8:$BV$103,COLUMN(기본데이타!BT$8),0))</f>
        <v/>
      </c>
      <c r="AG150" s="432" t="str">
        <f>IF($A150="","",VLOOKUP($A150,기본데이타!$A$8:$BV$103,COLUMN(기본데이타!BU$8),0))</f>
        <v/>
      </c>
      <c r="AH150" s="18" t="str">
        <f t="shared" ref="AH150:AH158" si="39">IF(A150="","",A150)</f>
        <v/>
      </c>
    </row>
    <row r="151" spans="1:34" s="187" customFormat="1" ht="35.1" hidden="1" customHeight="1">
      <c r="A151" s="189"/>
      <c r="C151" s="190"/>
      <c r="D151" s="8" t="str">
        <f>IF($A151="","",VLOOKUP($A151,기본데이타!$A$10:$BV$103,COLUMN(기본데이타!F$8),0))</f>
        <v/>
      </c>
      <c r="E151" s="252" t="str">
        <f>IF($A151="","",VLOOKUP($A151,기본데이타!$A$8:$BV$103,COLUMN(기본데이타!G$8),0))</f>
        <v/>
      </c>
      <c r="F151" s="15" t="str">
        <f>IF($A151="","",VLOOKUP($A151,기본데이타!$A$8:$BV$103,COLUMN(기본데이타!H$8),0))</f>
        <v/>
      </c>
      <c r="G151" s="15" t="str">
        <f>IF($A151="","",VLOOKUP($A151,기본데이타!$A$8:$BV$103,COLUMN(기본데이타!I$8),0))</f>
        <v/>
      </c>
      <c r="H151" s="15" t="str">
        <f>IF($A151="","",VLOOKUP($A151,기본데이타!$A$8:$BV$103,COLUMN(기본데이타!J$8),0))</f>
        <v/>
      </c>
      <c r="I151" s="17" t="str">
        <f>IF($A151="","",VLOOKUP($A151,기본데이타!$A$8:$BV$103,COLUMN(기본데이타!AJ$8),0))</f>
        <v/>
      </c>
      <c r="J151" s="381" t="str">
        <f>IF($A151="","",VLOOKUP($A151,기본데이타!$A$8:$BV$103,COLUMN(기본데이타!AK$8),0))</f>
        <v/>
      </c>
      <c r="K151" s="381" t="str">
        <f>IF($A151="","",VLOOKUP($A151,기본데이타!$A$8:$BV$103,COLUMN(기본데이타!AL$8),0))</f>
        <v/>
      </c>
      <c r="L151" s="381" t="str">
        <f>IF($A151="","",VLOOKUP($A151,기본데이타!$A$8:$BV$103,COLUMN(기본데이타!AM$8),0))</f>
        <v/>
      </c>
      <c r="M151" s="381" t="str">
        <f>IF($A151="","",VLOOKUP($A151,기본데이타!$A$8:$BV$103,COLUMN(기본데이타!AN$8),0))</f>
        <v/>
      </c>
      <c r="N151" s="381" t="str">
        <f>IF($A151="","",VLOOKUP($A151,기본데이타!$A$8:$BV$103,COLUMN(기본데이타!AO$8),0))</f>
        <v/>
      </c>
      <c r="O151" s="381" t="str">
        <f>IF($A151="","",VLOOKUP($A151,기본데이타!$A$8:$BV$103,COLUMN(기본데이타!AP$8),0))</f>
        <v/>
      </c>
      <c r="P151" s="381" t="str">
        <f>IF($A151="","",VLOOKUP($A151,기본데이타!$A$8:$BV$103,COLUMN(기본데이타!AQ$8),0))</f>
        <v/>
      </c>
      <c r="Q151" s="381" t="str">
        <f>IF($A151="","",VLOOKUP($A151,기본데이타!$A$8:$BV$103,COLUMN(기본데이타!AR$8),0))</f>
        <v/>
      </c>
      <c r="R151" s="381" t="str">
        <f>IF($A151="","",VLOOKUP($A151,기본데이타!$A$8:$BV$103,COLUMN(기본데이타!AS$8),0))</f>
        <v/>
      </c>
      <c r="S151" s="381" t="str">
        <f>IF($A151="","",VLOOKUP($A151,기본데이타!$A$8:$BV$103,COLUMN(기본데이타!AT$8),0))</f>
        <v/>
      </c>
      <c r="T151" s="381" t="str">
        <f>IF($A151="","",VLOOKUP($A151,기본데이타!$A$8:$BV$103,COLUMN(기본데이타!AU$8),0))</f>
        <v/>
      </c>
      <c r="U151" s="381" t="str">
        <f>IF($A151="","",VLOOKUP($A151,기본데이타!$A$8:$BV$103,COLUMN(기본데이타!AV$8),0))</f>
        <v/>
      </c>
      <c r="V151" s="16" t="str">
        <f>IF($A151="","",VLOOKUP($A151,기본데이타!$A$8:$BV$103,COLUMN(기본데이타!AW$8),0))</f>
        <v/>
      </c>
      <c r="W151" s="16" t="str">
        <f>IF($A151="","",VLOOKUP($A151,기본데이타!$A$8:$BV$103,COLUMN(기본데이타!AX$8),0))</f>
        <v/>
      </c>
      <c r="X151" s="16" t="str">
        <f>IF($A151="","",VLOOKUP($A151,기본데이타!$A$8:$BV$103,COLUMN(기본데이타!AY$8),0))</f>
        <v/>
      </c>
      <c r="Y151" s="16" t="str">
        <f>IF($A151="","",VLOOKUP($A151,기본데이타!$A$8:$BV$103,COLUMN(기본데이타!AZ$8),0))</f>
        <v/>
      </c>
      <c r="Z151" s="17" t="str">
        <f>IF($A151="","",VLOOKUP($A151,기본데이타!$A$8:$BV$103,COLUMN(기본데이타!BN$8),0))</f>
        <v/>
      </c>
      <c r="AA151" s="17" t="str">
        <f>IF($A151="","",VLOOKUP($A151,기본데이타!$A$8:$BV$103,COLUMN(기본데이타!BO$8),0))</f>
        <v/>
      </c>
      <c r="AB151" s="17" t="str">
        <f>IF($A151="","",VLOOKUP($A151,기본데이타!$A$8:$BV$103,COLUMN(기본데이타!BP$8),0))</f>
        <v/>
      </c>
      <c r="AC151" s="17" t="str">
        <f>IF($A151="","",VLOOKUP($A151,기본데이타!$A$8:$BV$103,COLUMN(기본데이타!BQ$8),0))</f>
        <v/>
      </c>
      <c r="AD151" s="17" t="str">
        <f>IF($A151="","",VLOOKUP($A151,기본데이타!$A$8:$BV$103,COLUMN(기본데이타!BR$8),0))</f>
        <v/>
      </c>
      <c r="AE151" s="17" t="str">
        <f>IF($A151="","",VLOOKUP($A151,기본데이타!$A$8:$BV$103,COLUMN(기본데이타!BS$8),0))</f>
        <v/>
      </c>
      <c r="AF151" s="524" t="str">
        <f>IF($A151="","",VLOOKUP($A151,기본데이타!$A$8:$BV$103,COLUMN(기본데이타!BT$8),0))</f>
        <v/>
      </c>
      <c r="AG151" s="432" t="str">
        <f>IF($A151="","",VLOOKUP($A151,기본데이타!$A$8:$BV$103,COLUMN(기본데이타!BU$8),0))</f>
        <v/>
      </c>
      <c r="AH151" s="18" t="str">
        <f t="shared" si="39"/>
        <v/>
      </c>
    </row>
    <row r="152" spans="1:34" s="187" customFormat="1" ht="35.1" hidden="1" customHeight="1">
      <c r="A152" s="189"/>
      <c r="C152" s="190"/>
      <c r="D152" s="8" t="str">
        <f>IF($A152="","",VLOOKUP($A152,기본데이타!$A$10:$BV$103,COLUMN(기본데이타!F$8),0))</f>
        <v/>
      </c>
      <c r="E152" s="252" t="str">
        <f>IF($A152="","",VLOOKUP($A152,기본데이타!$A$8:$BV$103,COLUMN(기본데이타!G$8),0))</f>
        <v/>
      </c>
      <c r="F152" s="15" t="str">
        <f>IF($A152="","",VLOOKUP($A152,기본데이타!$A$8:$BV$103,COLUMN(기본데이타!H$8),0))</f>
        <v/>
      </c>
      <c r="G152" s="15" t="str">
        <f>IF($A152="","",VLOOKUP($A152,기본데이타!$A$8:$BV$103,COLUMN(기본데이타!I$8),0))</f>
        <v/>
      </c>
      <c r="H152" s="15" t="str">
        <f>IF($A152="","",VLOOKUP($A152,기본데이타!$A$8:$BV$103,COLUMN(기본데이타!J$8),0))</f>
        <v/>
      </c>
      <c r="I152" s="17" t="str">
        <f>IF($A152="","",VLOOKUP($A152,기본데이타!$A$8:$BV$103,COLUMN(기본데이타!AJ$8),0))</f>
        <v/>
      </c>
      <c r="J152" s="381" t="str">
        <f>IF($A152="","",VLOOKUP($A152,기본데이타!$A$8:$BV$103,COLUMN(기본데이타!AK$8),0))</f>
        <v/>
      </c>
      <c r="K152" s="381" t="str">
        <f>IF($A152="","",VLOOKUP($A152,기본데이타!$A$8:$BV$103,COLUMN(기본데이타!AL$8),0))</f>
        <v/>
      </c>
      <c r="L152" s="381" t="str">
        <f>IF($A152="","",VLOOKUP($A152,기본데이타!$A$8:$BV$103,COLUMN(기본데이타!AM$8),0))</f>
        <v/>
      </c>
      <c r="M152" s="381" t="str">
        <f>IF($A152="","",VLOOKUP($A152,기본데이타!$A$8:$BV$103,COLUMN(기본데이타!AN$8),0))</f>
        <v/>
      </c>
      <c r="N152" s="381" t="str">
        <f>IF($A152="","",VLOOKUP($A152,기본데이타!$A$8:$BV$103,COLUMN(기본데이타!AO$8),0))</f>
        <v/>
      </c>
      <c r="O152" s="381" t="str">
        <f>IF($A152="","",VLOOKUP($A152,기본데이타!$A$8:$BV$103,COLUMN(기본데이타!AP$8),0))</f>
        <v/>
      </c>
      <c r="P152" s="381" t="str">
        <f>IF($A152="","",VLOOKUP($A152,기본데이타!$A$8:$BV$103,COLUMN(기본데이타!AQ$8),0))</f>
        <v/>
      </c>
      <c r="Q152" s="381" t="str">
        <f>IF($A152="","",VLOOKUP($A152,기본데이타!$A$8:$BV$103,COLUMN(기본데이타!AR$8),0))</f>
        <v/>
      </c>
      <c r="R152" s="381" t="str">
        <f>IF($A152="","",VLOOKUP($A152,기본데이타!$A$8:$BV$103,COLUMN(기본데이타!AS$8),0))</f>
        <v/>
      </c>
      <c r="S152" s="381" t="str">
        <f>IF($A152="","",VLOOKUP($A152,기본데이타!$A$8:$BV$103,COLUMN(기본데이타!AT$8),0))</f>
        <v/>
      </c>
      <c r="T152" s="381" t="str">
        <f>IF($A152="","",VLOOKUP($A152,기본데이타!$A$8:$BV$103,COLUMN(기본데이타!AU$8),0))</f>
        <v/>
      </c>
      <c r="U152" s="381" t="str">
        <f>IF($A152="","",VLOOKUP($A152,기본데이타!$A$8:$BV$103,COLUMN(기본데이타!AV$8),0))</f>
        <v/>
      </c>
      <c r="V152" s="16" t="str">
        <f>IF($A152="","",VLOOKUP($A152,기본데이타!$A$8:$BV$103,COLUMN(기본데이타!AW$8),0))</f>
        <v/>
      </c>
      <c r="W152" s="16" t="str">
        <f>IF($A152="","",VLOOKUP($A152,기본데이타!$A$8:$BV$103,COLUMN(기본데이타!AX$8),0))</f>
        <v/>
      </c>
      <c r="X152" s="16" t="str">
        <f>IF($A152="","",VLOOKUP($A152,기본데이타!$A$8:$BV$103,COLUMN(기본데이타!AY$8),0))</f>
        <v/>
      </c>
      <c r="Y152" s="16" t="str">
        <f>IF($A152="","",VLOOKUP($A152,기본데이타!$A$8:$BV$103,COLUMN(기본데이타!AZ$8),0))</f>
        <v/>
      </c>
      <c r="Z152" s="17" t="str">
        <f>IF($A152="","",VLOOKUP($A152,기본데이타!$A$8:$BV$103,COLUMN(기본데이타!BN$8),0))</f>
        <v/>
      </c>
      <c r="AA152" s="17" t="str">
        <f>IF($A152="","",VLOOKUP($A152,기본데이타!$A$8:$BV$103,COLUMN(기본데이타!BO$8),0))</f>
        <v/>
      </c>
      <c r="AB152" s="17" t="str">
        <f>IF($A152="","",VLOOKUP($A152,기본데이타!$A$8:$BV$103,COLUMN(기본데이타!BP$8),0))</f>
        <v/>
      </c>
      <c r="AC152" s="17" t="str">
        <f>IF($A152="","",VLOOKUP($A152,기본데이타!$A$8:$BV$103,COLUMN(기본데이타!BQ$8),0))</f>
        <v/>
      </c>
      <c r="AD152" s="17" t="str">
        <f>IF($A152="","",VLOOKUP($A152,기본데이타!$A$8:$BV$103,COLUMN(기본데이타!BR$8),0))</f>
        <v/>
      </c>
      <c r="AE152" s="17" t="str">
        <f>IF($A152="","",VLOOKUP($A152,기본데이타!$A$8:$BV$103,COLUMN(기본데이타!BS$8),0))</f>
        <v/>
      </c>
      <c r="AF152" s="524" t="str">
        <f>IF($A152="","",VLOOKUP($A152,기본데이타!$A$8:$BV$103,COLUMN(기본데이타!BT$8),0))</f>
        <v/>
      </c>
      <c r="AG152" s="432" t="str">
        <f>IF($A152="","",VLOOKUP($A152,기본데이타!$A$8:$BV$103,COLUMN(기본데이타!BU$8),0))</f>
        <v/>
      </c>
      <c r="AH152" s="18" t="str">
        <f t="shared" si="39"/>
        <v/>
      </c>
    </row>
    <row r="153" spans="1:34" s="187" customFormat="1" ht="35.1" hidden="1" customHeight="1">
      <c r="A153" s="189"/>
      <c r="C153" s="190"/>
      <c r="D153" s="8" t="str">
        <f>IF($A153="","",VLOOKUP($A153,기본데이타!$A$10:$BV$103,COLUMN(기본데이타!F$8),0))</f>
        <v/>
      </c>
      <c r="E153" s="252" t="str">
        <f>IF($A153="","",VLOOKUP($A153,기본데이타!$A$8:$BV$103,COLUMN(기본데이타!G$8),0))</f>
        <v/>
      </c>
      <c r="F153" s="15" t="str">
        <f>IF($A153="","",VLOOKUP($A153,기본데이타!$A$8:$BV$103,COLUMN(기본데이타!H$8),0))</f>
        <v/>
      </c>
      <c r="G153" s="15" t="str">
        <f>IF($A153="","",VLOOKUP($A153,기본데이타!$A$8:$BV$103,COLUMN(기본데이타!I$8),0))</f>
        <v/>
      </c>
      <c r="H153" s="15" t="str">
        <f>IF($A153="","",VLOOKUP($A153,기본데이타!$A$8:$BV$103,COLUMN(기본데이타!J$8),0))</f>
        <v/>
      </c>
      <c r="I153" s="17" t="str">
        <f>IF($A153="","",VLOOKUP($A153,기본데이타!$A$8:$BV$103,COLUMN(기본데이타!AJ$8),0))</f>
        <v/>
      </c>
      <c r="J153" s="381" t="str">
        <f>IF($A153="","",VLOOKUP($A153,기본데이타!$A$8:$BV$103,COLUMN(기본데이타!AK$8),0))</f>
        <v/>
      </c>
      <c r="K153" s="381" t="str">
        <f>IF($A153="","",VLOOKUP($A153,기본데이타!$A$8:$BV$103,COLUMN(기본데이타!AL$8),0))</f>
        <v/>
      </c>
      <c r="L153" s="381" t="str">
        <f>IF($A153="","",VLOOKUP($A153,기본데이타!$A$8:$BV$103,COLUMN(기본데이타!AM$8),0))</f>
        <v/>
      </c>
      <c r="M153" s="381" t="str">
        <f>IF($A153="","",VLOOKUP($A153,기본데이타!$A$8:$BV$103,COLUMN(기본데이타!AN$8),0))</f>
        <v/>
      </c>
      <c r="N153" s="381" t="str">
        <f>IF($A153="","",VLOOKUP($A153,기본데이타!$A$8:$BV$103,COLUMN(기본데이타!AO$8),0))</f>
        <v/>
      </c>
      <c r="O153" s="381" t="str">
        <f>IF($A153="","",VLOOKUP($A153,기본데이타!$A$8:$BV$103,COLUMN(기본데이타!AP$8),0))</f>
        <v/>
      </c>
      <c r="P153" s="381" t="str">
        <f>IF($A153="","",VLOOKUP($A153,기본데이타!$A$8:$BV$103,COLUMN(기본데이타!AQ$8),0))</f>
        <v/>
      </c>
      <c r="Q153" s="381" t="str">
        <f>IF($A153="","",VLOOKUP($A153,기본데이타!$A$8:$BV$103,COLUMN(기본데이타!AR$8),0))</f>
        <v/>
      </c>
      <c r="R153" s="381" t="str">
        <f>IF($A153="","",VLOOKUP($A153,기본데이타!$A$8:$BV$103,COLUMN(기본데이타!AS$8),0))</f>
        <v/>
      </c>
      <c r="S153" s="381" t="str">
        <f>IF($A153="","",VLOOKUP($A153,기본데이타!$A$8:$BV$103,COLUMN(기본데이타!AT$8),0))</f>
        <v/>
      </c>
      <c r="T153" s="381" t="str">
        <f>IF($A153="","",VLOOKUP($A153,기본데이타!$A$8:$BV$103,COLUMN(기본데이타!AU$8),0))</f>
        <v/>
      </c>
      <c r="U153" s="381" t="str">
        <f>IF($A153="","",VLOOKUP($A153,기본데이타!$A$8:$BV$103,COLUMN(기본데이타!AV$8),0))</f>
        <v/>
      </c>
      <c r="V153" s="16" t="str">
        <f>IF($A153="","",VLOOKUP($A153,기본데이타!$A$8:$BV$103,COLUMN(기본데이타!AW$8),0))</f>
        <v/>
      </c>
      <c r="W153" s="16" t="str">
        <f>IF($A153="","",VLOOKUP($A153,기본데이타!$A$8:$BV$103,COLUMN(기본데이타!AX$8),0))</f>
        <v/>
      </c>
      <c r="X153" s="16" t="str">
        <f>IF($A153="","",VLOOKUP($A153,기본데이타!$A$8:$BV$103,COLUMN(기본데이타!AY$8),0))</f>
        <v/>
      </c>
      <c r="Y153" s="16" t="str">
        <f>IF($A153="","",VLOOKUP($A153,기본데이타!$A$8:$BV$103,COLUMN(기본데이타!AZ$8),0))</f>
        <v/>
      </c>
      <c r="Z153" s="17" t="str">
        <f>IF($A153="","",VLOOKUP($A153,기본데이타!$A$8:$BV$103,COLUMN(기본데이타!BN$8),0))</f>
        <v/>
      </c>
      <c r="AA153" s="17" t="str">
        <f>IF($A153="","",VLOOKUP($A153,기본데이타!$A$8:$BV$103,COLUMN(기본데이타!BO$8),0))</f>
        <v/>
      </c>
      <c r="AB153" s="17" t="str">
        <f>IF($A153="","",VLOOKUP($A153,기본데이타!$A$8:$BV$103,COLUMN(기본데이타!BP$8),0))</f>
        <v/>
      </c>
      <c r="AC153" s="17" t="str">
        <f>IF($A153="","",VLOOKUP($A153,기본데이타!$A$8:$BV$103,COLUMN(기본데이타!BQ$8),0))</f>
        <v/>
      </c>
      <c r="AD153" s="17" t="str">
        <f>IF($A153="","",VLOOKUP($A153,기본데이타!$A$8:$BV$103,COLUMN(기본데이타!BR$8),0))</f>
        <v/>
      </c>
      <c r="AE153" s="17" t="str">
        <f>IF($A153="","",VLOOKUP($A153,기본데이타!$A$8:$BV$103,COLUMN(기본데이타!BS$8),0))</f>
        <v/>
      </c>
      <c r="AF153" s="524" t="str">
        <f>IF($A153="","",VLOOKUP($A153,기본데이타!$A$8:$BV$103,COLUMN(기본데이타!BT$8),0))</f>
        <v/>
      </c>
      <c r="AG153" s="432" t="str">
        <f>IF($A153="","",VLOOKUP($A153,기본데이타!$A$8:$BV$103,COLUMN(기본데이타!BU$8),0))</f>
        <v/>
      </c>
      <c r="AH153" s="18" t="str">
        <f t="shared" si="39"/>
        <v/>
      </c>
    </row>
    <row r="154" spans="1:34" s="187" customFormat="1" ht="35.1" hidden="1" customHeight="1">
      <c r="A154" s="189"/>
      <c r="C154" s="190"/>
      <c r="D154" s="8" t="str">
        <f>IF($A154="","",VLOOKUP($A154,기본데이타!$A$10:$BV$103,COLUMN(기본데이타!F$8),0))</f>
        <v/>
      </c>
      <c r="E154" s="252" t="str">
        <f>IF($A154="","",VLOOKUP($A154,기본데이타!$A$8:$BV$103,COLUMN(기본데이타!G$8),0))</f>
        <v/>
      </c>
      <c r="F154" s="15" t="str">
        <f>IF($A154="","",VLOOKUP($A154,기본데이타!$A$8:$BV$103,COLUMN(기본데이타!H$8),0))</f>
        <v/>
      </c>
      <c r="G154" s="15" t="str">
        <f>IF($A154="","",VLOOKUP($A154,기본데이타!$A$8:$BV$103,COLUMN(기본데이타!I$8),0))</f>
        <v/>
      </c>
      <c r="H154" s="15" t="str">
        <f>IF($A154="","",VLOOKUP($A154,기본데이타!$A$8:$BV$103,COLUMN(기본데이타!J$8),0))</f>
        <v/>
      </c>
      <c r="I154" s="17" t="str">
        <f>IF($A154="","",VLOOKUP($A154,기본데이타!$A$8:$BV$103,COLUMN(기본데이타!AJ$8),0))</f>
        <v/>
      </c>
      <c r="J154" s="381" t="str">
        <f>IF($A154="","",VLOOKUP($A154,기본데이타!$A$8:$BV$103,COLUMN(기본데이타!AK$8),0))</f>
        <v/>
      </c>
      <c r="K154" s="381" t="str">
        <f>IF($A154="","",VLOOKUP($A154,기본데이타!$A$8:$BV$103,COLUMN(기본데이타!AL$8),0))</f>
        <v/>
      </c>
      <c r="L154" s="381" t="str">
        <f>IF($A154="","",VLOOKUP($A154,기본데이타!$A$8:$BV$103,COLUMN(기본데이타!AM$8),0))</f>
        <v/>
      </c>
      <c r="M154" s="381" t="str">
        <f>IF($A154="","",VLOOKUP($A154,기본데이타!$A$8:$BV$103,COLUMN(기본데이타!AN$8),0))</f>
        <v/>
      </c>
      <c r="N154" s="381" t="str">
        <f>IF($A154="","",VLOOKUP($A154,기본데이타!$A$8:$BV$103,COLUMN(기본데이타!AO$8),0))</f>
        <v/>
      </c>
      <c r="O154" s="381" t="str">
        <f>IF($A154="","",VLOOKUP($A154,기본데이타!$A$8:$BV$103,COLUMN(기본데이타!AP$8),0))</f>
        <v/>
      </c>
      <c r="P154" s="381" t="str">
        <f>IF($A154="","",VLOOKUP($A154,기본데이타!$A$8:$BV$103,COLUMN(기본데이타!AQ$8),0))</f>
        <v/>
      </c>
      <c r="Q154" s="381" t="str">
        <f>IF($A154="","",VLOOKUP($A154,기본데이타!$A$8:$BV$103,COLUMN(기본데이타!AR$8),0))</f>
        <v/>
      </c>
      <c r="R154" s="381" t="str">
        <f>IF($A154="","",VLOOKUP($A154,기본데이타!$A$8:$BV$103,COLUMN(기본데이타!AS$8),0))</f>
        <v/>
      </c>
      <c r="S154" s="381" t="str">
        <f>IF($A154="","",VLOOKUP($A154,기본데이타!$A$8:$BV$103,COLUMN(기본데이타!AT$8),0))</f>
        <v/>
      </c>
      <c r="T154" s="381" t="str">
        <f>IF($A154="","",VLOOKUP($A154,기본데이타!$A$8:$BV$103,COLUMN(기본데이타!AU$8),0))</f>
        <v/>
      </c>
      <c r="U154" s="381" t="str">
        <f>IF($A154="","",VLOOKUP($A154,기본데이타!$A$8:$BV$103,COLUMN(기본데이타!AV$8),0))</f>
        <v/>
      </c>
      <c r="V154" s="16" t="str">
        <f>IF($A154="","",VLOOKUP($A154,기본데이타!$A$8:$BV$103,COLUMN(기본데이타!AW$8),0))</f>
        <v/>
      </c>
      <c r="W154" s="16" t="str">
        <f>IF($A154="","",VLOOKUP($A154,기본데이타!$A$8:$BV$103,COLUMN(기본데이타!AX$8),0))</f>
        <v/>
      </c>
      <c r="X154" s="16" t="str">
        <f>IF($A154="","",VLOOKUP($A154,기본데이타!$A$8:$BV$103,COLUMN(기본데이타!AY$8),0))</f>
        <v/>
      </c>
      <c r="Y154" s="16" t="str">
        <f>IF($A154="","",VLOOKUP($A154,기본데이타!$A$8:$BV$103,COLUMN(기본데이타!AZ$8),0))</f>
        <v/>
      </c>
      <c r="Z154" s="17" t="str">
        <f>IF($A154="","",VLOOKUP($A154,기본데이타!$A$8:$BV$103,COLUMN(기본데이타!BN$8),0))</f>
        <v/>
      </c>
      <c r="AA154" s="17" t="str">
        <f>IF($A154="","",VLOOKUP($A154,기본데이타!$A$8:$BV$103,COLUMN(기본데이타!BO$8),0))</f>
        <v/>
      </c>
      <c r="AB154" s="17" t="str">
        <f>IF($A154="","",VLOOKUP($A154,기본데이타!$A$8:$BV$103,COLUMN(기본데이타!BP$8),0))</f>
        <v/>
      </c>
      <c r="AC154" s="17" t="str">
        <f>IF($A154="","",VLOOKUP($A154,기본데이타!$A$8:$BV$103,COLUMN(기본데이타!BQ$8),0))</f>
        <v/>
      </c>
      <c r="AD154" s="17" t="str">
        <f>IF($A154="","",VLOOKUP($A154,기본데이타!$A$8:$BV$103,COLUMN(기본데이타!BR$8),0))</f>
        <v/>
      </c>
      <c r="AE154" s="17" t="str">
        <f>IF($A154="","",VLOOKUP($A154,기본데이타!$A$8:$BV$103,COLUMN(기본데이타!BS$8),0))</f>
        <v/>
      </c>
      <c r="AF154" s="524" t="str">
        <f>IF($A154="","",VLOOKUP($A154,기본데이타!$A$8:$BV$103,COLUMN(기본데이타!BT$8),0))</f>
        <v/>
      </c>
      <c r="AG154" s="432" t="str">
        <f>IF($A154="","",VLOOKUP($A154,기본데이타!$A$8:$BV$103,COLUMN(기본데이타!BU$8),0))</f>
        <v/>
      </c>
      <c r="AH154" s="18" t="str">
        <f t="shared" si="39"/>
        <v/>
      </c>
    </row>
    <row r="155" spans="1:34" s="187" customFormat="1" ht="35.1" hidden="1" customHeight="1">
      <c r="A155" s="189"/>
      <c r="C155" s="190"/>
      <c r="D155" s="8" t="str">
        <f>IF($A155="","",VLOOKUP($A155,기본데이타!$A$10:$BV$103,COLUMN(기본데이타!F$8),0))</f>
        <v/>
      </c>
      <c r="E155" s="252" t="str">
        <f>IF($A155="","",VLOOKUP($A155,기본데이타!$A$8:$BV$103,COLUMN(기본데이타!G$8),0))</f>
        <v/>
      </c>
      <c r="F155" s="15" t="str">
        <f>IF($A155="","",VLOOKUP($A155,기본데이타!$A$8:$BV$103,COLUMN(기본데이타!H$8),0))</f>
        <v/>
      </c>
      <c r="G155" s="15" t="str">
        <f>IF($A155="","",VLOOKUP($A155,기본데이타!$A$8:$BV$103,COLUMN(기본데이타!I$8),0))</f>
        <v/>
      </c>
      <c r="H155" s="15" t="str">
        <f>IF($A155="","",VLOOKUP($A155,기본데이타!$A$8:$BV$103,COLUMN(기본데이타!J$8),0))</f>
        <v/>
      </c>
      <c r="I155" s="17" t="str">
        <f>IF($A155="","",VLOOKUP($A155,기본데이타!$A$8:$BV$103,COLUMN(기본데이타!AJ$8),0))</f>
        <v/>
      </c>
      <c r="J155" s="381" t="str">
        <f>IF($A155="","",VLOOKUP($A155,기본데이타!$A$8:$BV$103,COLUMN(기본데이타!AK$8),0))</f>
        <v/>
      </c>
      <c r="K155" s="381" t="str">
        <f>IF($A155="","",VLOOKUP($A155,기본데이타!$A$8:$BV$103,COLUMN(기본데이타!AL$8),0))</f>
        <v/>
      </c>
      <c r="L155" s="381" t="str">
        <f>IF($A155="","",VLOOKUP($A155,기본데이타!$A$8:$BV$103,COLUMN(기본데이타!AM$8),0))</f>
        <v/>
      </c>
      <c r="M155" s="381" t="str">
        <f>IF($A155="","",VLOOKUP($A155,기본데이타!$A$8:$BV$103,COLUMN(기본데이타!AN$8),0))</f>
        <v/>
      </c>
      <c r="N155" s="381" t="str">
        <f>IF($A155="","",VLOOKUP($A155,기본데이타!$A$8:$BV$103,COLUMN(기본데이타!AO$8),0))</f>
        <v/>
      </c>
      <c r="O155" s="381" t="str">
        <f>IF($A155="","",VLOOKUP($A155,기본데이타!$A$8:$BV$103,COLUMN(기본데이타!AP$8),0))</f>
        <v/>
      </c>
      <c r="P155" s="381" t="str">
        <f>IF($A155="","",VLOOKUP($A155,기본데이타!$A$8:$BV$103,COLUMN(기본데이타!AQ$8),0))</f>
        <v/>
      </c>
      <c r="Q155" s="381" t="str">
        <f>IF($A155="","",VLOOKUP($A155,기본데이타!$A$8:$BV$103,COLUMN(기본데이타!AR$8),0))</f>
        <v/>
      </c>
      <c r="R155" s="381" t="str">
        <f>IF($A155="","",VLOOKUP($A155,기본데이타!$A$8:$BV$103,COLUMN(기본데이타!AS$8),0))</f>
        <v/>
      </c>
      <c r="S155" s="381" t="str">
        <f>IF($A155="","",VLOOKUP($A155,기본데이타!$A$8:$BV$103,COLUMN(기본데이타!AT$8),0))</f>
        <v/>
      </c>
      <c r="T155" s="381" t="str">
        <f>IF($A155="","",VLOOKUP($A155,기본데이타!$A$8:$BV$103,COLUMN(기본데이타!AU$8),0))</f>
        <v/>
      </c>
      <c r="U155" s="381" t="str">
        <f>IF($A155="","",VLOOKUP($A155,기본데이타!$A$8:$BV$103,COLUMN(기본데이타!AV$8),0))</f>
        <v/>
      </c>
      <c r="V155" s="16" t="str">
        <f>IF($A155="","",VLOOKUP($A155,기본데이타!$A$8:$BV$103,COLUMN(기본데이타!AW$8),0))</f>
        <v/>
      </c>
      <c r="W155" s="16" t="str">
        <f>IF($A155="","",VLOOKUP($A155,기본데이타!$A$8:$BV$103,COLUMN(기본데이타!AX$8),0))</f>
        <v/>
      </c>
      <c r="X155" s="16" t="str">
        <f>IF($A155="","",VLOOKUP($A155,기본데이타!$A$8:$BV$103,COLUMN(기본데이타!AY$8),0))</f>
        <v/>
      </c>
      <c r="Y155" s="16" t="str">
        <f>IF($A155="","",VLOOKUP($A155,기본데이타!$A$8:$BV$103,COLUMN(기본데이타!AZ$8),0))</f>
        <v/>
      </c>
      <c r="Z155" s="17" t="str">
        <f>IF($A155="","",VLOOKUP($A155,기본데이타!$A$8:$BV$103,COLUMN(기본데이타!BN$8),0))</f>
        <v/>
      </c>
      <c r="AA155" s="17" t="str">
        <f>IF($A155="","",VLOOKUP($A155,기본데이타!$A$8:$BV$103,COLUMN(기본데이타!BO$8),0))</f>
        <v/>
      </c>
      <c r="AB155" s="17" t="str">
        <f>IF($A155="","",VLOOKUP($A155,기본데이타!$A$8:$BV$103,COLUMN(기본데이타!BP$8),0))</f>
        <v/>
      </c>
      <c r="AC155" s="17" t="str">
        <f>IF($A155="","",VLOOKUP($A155,기본데이타!$A$8:$BV$103,COLUMN(기본데이타!BQ$8),0))</f>
        <v/>
      </c>
      <c r="AD155" s="17" t="str">
        <f>IF($A155="","",VLOOKUP($A155,기본데이타!$A$8:$BV$103,COLUMN(기본데이타!BR$8),0))</f>
        <v/>
      </c>
      <c r="AE155" s="17" t="str">
        <f>IF($A155="","",VLOOKUP($A155,기본데이타!$A$8:$BV$103,COLUMN(기본데이타!BS$8),0))</f>
        <v/>
      </c>
      <c r="AF155" s="524" t="str">
        <f>IF($A155="","",VLOOKUP($A155,기본데이타!$A$8:$BV$103,COLUMN(기본데이타!BT$8),0))</f>
        <v/>
      </c>
      <c r="AG155" s="432" t="str">
        <f>IF($A155="","",VLOOKUP($A155,기본데이타!$A$8:$BV$103,COLUMN(기본데이타!BU$8),0))</f>
        <v/>
      </c>
      <c r="AH155" s="18" t="str">
        <f t="shared" si="39"/>
        <v/>
      </c>
    </row>
    <row r="156" spans="1:34" s="187" customFormat="1" ht="35.1" hidden="1" customHeight="1">
      <c r="A156" s="189"/>
      <c r="C156" s="190"/>
      <c r="D156" s="8" t="str">
        <f>IF($A156="","",VLOOKUP($A156,기본데이타!$A$10:$BV$103,COLUMN(기본데이타!F$8),0))</f>
        <v/>
      </c>
      <c r="E156" s="252" t="str">
        <f>IF($A156="","",VLOOKUP($A156,기본데이타!$A$8:$BV$103,COLUMN(기본데이타!G$8),0))</f>
        <v/>
      </c>
      <c r="F156" s="15" t="str">
        <f>IF($A156="","",VLOOKUP($A156,기본데이타!$A$8:$BV$103,COLUMN(기본데이타!H$8),0))</f>
        <v/>
      </c>
      <c r="G156" s="15" t="str">
        <f>IF($A156="","",VLOOKUP($A156,기본데이타!$A$8:$BV$103,COLUMN(기본데이타!I$8),0))</f>
        <v/>
      </c>
      <c r="H156" s="15" t="str">
        <f>IF($A156="","",VLOOKUP($A156,기본데이타!$A$8:$BV$103,COLUMN(기본데이타!J$8),0))</f>
        <v/>
      </c>
      <c r="I156" s="17" t="str">
        <f>IF($A156="","",VLOOKUP($A156,기본데이타!$A$8:$BV$103,COLUMN(기본데이타!AJ$8),0))</f>
        <v/>
      </c>
      <c r="J156" s="381" t="str">
        <f>IF($A156="","",VLOOKUP($A156,기본데이타!$A$8:$BV$103,COLUMN(기본데이타!AK$8),0))</f>
        <v/>
      </c>
      <c r="K156" s="381" t="str">
        <f>IF($A156="","",VLOOKUP($A156,기본데이타!$A$8:$BV$103,COLUMN(기본데이타!AL$8),0))</f>
        <v/>
      </c>
      <c r="L156" s="381" t="str">
        <f>IF($A156="","",VLOOKUP($A156,기본데이타!$A$8:$BV$103,COLUMN(기본데이타!AM$8),0))</f>
        <v/>
      </c>
      <c r="M156" s="381" t="str">
        <f>IF($A156="","",VLOOKUP($A156,기본데이타!$A$8:$BV$103,COLUMN(기본데이타!AN$8),0))</f>
        <v/>
      </c>
      <c r="N156" s="381" t="str">
        <f>IF($A156="","",VLOOKUP($A156,기본데이타!$A$8:$BV$103,COLUMN(기본데이타!AO$8),0))</f>
        <v/>
      </c>
      <c r="O156" s="381" t="str">
        <f>IF($A156="","",VLOOKUP($A156,기본데이타!$A$8:$BV$103,COLUMN(기본데이타!AP$8),0))</f>
        <v/>
      </c>
      <c r="P156" s="381" t="str">
        <f>IF($A156="","",VLOOKUP($A156,기본데이타!$A$8:$BV$103,COLUMN(기본데이타!AQ$8),0))</f>
        <v/>
      </c>
      <c r="Q156" s="381" t="str">
        <f>IF($A156="","",VLOOKUP($A156,기본데이타!$A$8:$BV$103,COLUMN(기본데이타!AR$8),0))</f>
        <v/>
      </c>
      <c r="R156" s="381" t="str">
        <f>IF($A156="","",VLOOKUP($A156,기본데이타!$A$8:$BV$103,COLUMN(기본데이타!AS$8),0))</f>
        <v/>
      </c>
      <c r="S156" s="381" t="str">
        <f>IF($A156="","",VLOOKUP($A156,기본데이타!$A$8:$BV$103,COLUMN(기본데이타!AT$8),0))</f>
        <v/>
      </c>
      <c r="T156" s="381" t="str">
        <f>IF($A156="","",VLOOKUP($A156,기본데이타!$A$8:$BV$103,COLUMN(기본데이타!AU$8),0))</f>
        <v/>
      </c>
      <c r="U156" s="381" t="str">
        <f>IF($A156="","",VLOOKUP($A156,기본데이타!$A$8:$BV$103,COLUMN(기본데이타!AV$8),0))</f>
        <v/>
      </c>
      <c r="V156" s="16" t="str">
        <f>IF($A156="","",VLOOKUP($A156,기본데이타!$A$8:$BV$103,COLUMN(기본데이타!AW$8),0))</f>
        <v/>
      </c>
      <c r="W156" s="16" t="str">
        <f>IF($A156="","",VLOOKUP($A156,기본데이타!$A$8:$BV$103,COLUMN(기본데이타!AX$8),0))</f>
        <v/>
      </c>
      <c r="X156" s="16" t="str">
        <f>IF($A156="","",VLOOKUP($A156,기본데이타!$A$8:$BV$103,COLUMN(기본데이타!AY$8),0))</f>
        <v/>
      </c>
      <c r="Y156" s="16" t="str">
        <f>IF($A156="","",VLOOKUP($A156,기본데이타!$A$8:$BV$103,COLUMN(기본데이타!AZ$8),0))</f>
        <v/>
      </c>
      <c r="Z156" s="17" t="str">
        <f>IF($A156="","",VLOOKUP($A156,기본데이타!$A$8:$BV$103,COLUMN(기본데이타!BN$8),0))</f>
        <v/>
      </c>
      <c r="AA156" s="17" t="str">
        <f>IF($A156="","",VLOOKUP($A156,기본데이타!$A$8:$BV$103,COLUMN(기본데이타!BO$8),0))</f>
        <v/>
      </c>
      <c r="AB156" s="17" t="str">
        <f>IF($A156="","",VLOOKUP($A156,기본데이타!$A$8:$BV$103,COLUMN(기본데이타!BP$8),0))</f>
        <v/>
      </c>
      <c r="AC156" s="17" t="str">
        <f>IF($A156="","",VLOOKUP($A156,기본데이타!$A$8:$BV$103,COLUMN(기본데이타!BQ$8),0))</f>
        <v/>
      </c>
      <c r="AD156" s="17" t="str">
        <f>IF($A156="","",VLOOKUP($A156,기본데이타!$A$8:$BV$103,COLUMN(기본데이타!BR$8),0))</f>
        <v/>
      </c>
      <c r="AE156" s="17" t="str">
        <f>IF($A156="","",VLOOKUP($A156,기본데이타!$A$8:$BV$103,COLUMN(기본데이타!BS$8),0))</f>
        <v/>
      </c>
      <c r="AF156" s="524" t="str">
        <f>IF($A156="","",VLOOKUP($A156,기본데이타!$A$8:$BV$103,COLUMN(기본데이타!BT$8),0))</f>
        <v/>
      </c>
      <c r="AG156" s="432" t="str">
        <f>IF($A156="","",VLOOKUP($A156,기본데이타!$A$8:$BV$103,COLUMN(기본데이타!BU$8),0))</f>
        <v/>
      </c>
      <c r="AH156" s="18" t="str">
        <f t="shared" si="39"/>
        <v/>
      </c>
    </row>
    <row r="157" spans="1:34" s="187" customFormat="1" ht="35.1" hidden="1" customHeight="1">
      <c r="A157" s="189"/>
      <c r="C157" s="190"/>
      <c r="D157" s="8" t="str">
        <f>IF($A157="","",VLOOKUP($A157,기본데이타!$A$10:$BV$103,COLUMN(기본데이타!F$8),0))</f>
        <v/>
      </c>
      <c r="E157" s="252" t="str">
        <f>IF($A157="","",VLOOKUP($A157,기본데이타!$A$8:$BV$103,COLUMN(기본데이타!G$8),0))</f>
        <v/>
      </c>
      <c r="F157" s="15" t="str">
        <f>IF($A157="","",VLOOKUP($A157,기본데이타!$A$8:$BV$103,COLUMN(기본데이타!H$8),0))</f>
        <v/>
      </c>
      <c r="G157" s="15" t="str">
        <f>IF($A157="","",VLOOKUP($A157,기본데이타!$A$8:$BV$103,COLUMN(기본데이타!I$8),0))</f>
        <v/>
      </c>
      <c r="H157" s="15" t="str">
        <f>IF($A157="","",VLOOKUP($A157,기본데이타!$A$8:$BV$103,COLUMN(기본데이타!J$8),0))</f>
        <v/>
      </c>
      <c r="I157" s="17" t="str">
        <f>IF($A157="","",VLOOKUP($A157,기본데이타!$A$8:$BV$103,COLUMN(기본데이타!AJ$8),0))</f>
        <v/>
      </c>
      <c r="J157" s="381" t="str">
        <f>IF($A157="","",VLOOKUP($A157,기본데이타!$A$8:$BV$103,COLUMN(기본데이타!AK$8),0))</f>
        <v/>
      </c>
      <c r="K157" s="381" t="str">
        <f>IF($A157="","",VLOOKUP($A157,기본데이타!$A$8:$BV$103,COLUMN(기본데이타!AL$8),0))</f>
        <v/>
      </c>
      <c r="L157" s="381" t="str">
        <f>IF($A157="","",VLOOKUP($A157,기본데이타!$A$8:$BV$103,COLUMN(기본데이타!AM$8),0))</f>
        <v/>
      </c>
      <c r="M157" s="381" t="str">
        <f>IF($A157="","",VLOOKUP($A157,기본데이타!$A$8:$BV$103,COLUMN(기본데이타!AN$8),0))</f>
        <v/>
      </c>
      <c r="N157" s="381" t="str">
        <f>IF($A157="","",VLOOKUP($A157,기본데이타!$A$8:$BV$103,COLUMN(기본데이타!AO$8),0))</f>
        <v/>
      </c>
      <c r="O157" s="381" t="str">
        <f>IF($A157="","",VLOOKUP($A157,기본데이타!$A$8:$BV$103,COLUMN(기본데이타!AP$8),0))</f>
        <v/>
      </c>
      <c r="P157" s="381" t="str">
        <f>IF($A157="","",VLOOKUP($A157,기본데이타!$A$8:$BV$103,COLUMN(기본데이타!AQ$8),0))</f>
        <v/>
      </c>
      <c r="Q157" s="381" t="str">
        <f>IF($A157="","",VLOOKUP($A157,기본데이타!$A$8:$BV$103,COLUMN(기본데이타!AR$8),0))</f>
        <v/>
      </c>
      <c r="R157" s="381" t="str">
        <f>IF($A157="","",VLOOKUP($A157,기본데이타!$A$8:$BV$103,COLUMN(기본데이타!AS$8),0))</f>
        <v/>
      </c>
      <c r="S157" s="381" t="str">
        <f>IF($A157="","",VLOOKUP($A157,기본데이타!$A$8:$BV$103,COLUMN(기본데이타!AT$8),0))</f>
        <v/>
      </c>
      <c r="T157" s="381" t="str">
        <f>IF($A157="","",VLOOKUP($A157,기본데이타!$A$8:$BV$103,COLUMN(기본데이타!AU$8),0))</f>
        <v/>
      </c>
      <c r="U157" s="381" t="str">
        <f>IF($A157="","",VLOOKUP($A157,기본데이타!$A$8:$BV$103,COLUMN(기본데이타!AV$8),0))</f>
        <v/>
      </c>
      <c r="V157" s="16" t="str">
        <f>IF($A157="","",VLOOKUP($A157,기본데이타!$A$8:$BV$103,COLUMN(기본데이타!AW$8),0))</f>
        <v/>
      </c>
      <c r="W157" s="16" t="str">
        <f>IF($A157="","",VLOOKUP($A157,기본데이타!$A$8:$BV$103,COLUMN(기본데이타!AX$8),0))</f>
        <v/>
      </c>
      <c r="X157" s="16" t="str">
        <f>IF($A157="","",VLOOKUP($A157,기본데이타!$A$8:$BV$103,COLUMN(기본데이타!AY$8),0))</f>
        <v/>
      </c>
      <c r="Y157" s="16" t="str">
        <f>IF($A157="","",VLOOKUP($A157,기본데이타!$A$8:$BV$103,COLUMN(기본데이타!AZ$8),0))</f>
        <v/>
      </c>
      <c r="Z157" s="17" t="str">
        <f>IF($A157="","",VLOOKUP($A157,기본데이타!$A$8:$BV$103,COLUMN(기본데이타!BN$8),0))</f>
        <v/>
      </c>
      <c r="AA157" s="17" t="str">
        <f>IF($A157="","",VLOOKUP($A157,기본데이타!$A$8:$BV$103,COLUMN(기본데이타!BO$8),0))</f>
        <v/>
      </c>
      <c r="AB157" s="17" t="str">
        <f>IF($A157="","",VLOOKUP($A157,기본데이타!$A$8:$BV$103,COLUMN(기본데이타!BP$8),0))</f>
        <v/>
      </c>
      <c r="AC157" s="17" t="str">
        <f>IF($A157="","",VLOOKUP($A157,기본데이타!$A$8:$BV$103,COLUMN(기본데이타!BQ$8),0))</f>
        <v/>
      </c>
      <c r="AD157" s="17" t="str">
        <f>IF($A157="","",VLOOKUP($A157,기본데이타!$A$8:$BV$103,COLUMN(기본데이타!BR$8),0))</f>
        <v/>
      </c>
      <c r="AE157" s="17" t="str">
        <f>IF($A157="","",VLOOKUP($A157,기본데이타!$A$8:$BV$103,COLUMN(기본데이타!BS$8),0))</f>
        <v/>
      </c>
      <c r="AF157" s="524" t="str">
        <f>IF($A157="","",VLOOKUP($A157,기본데이타!$A$8:$BV$103,COLUMN(기본데이타!BT$8),0))</f>
        <v/>
      </c>
      <c r="AG157" s="432" t="str">
        <f>IF($A157="","",VLOOKUP($A157,기본데이타!$A$8:$BV$103,COLUMN(기본데이타!BU$8),0))</f>
        <v/>
      </c>
      <c r="AH157" s="18" t="str">
        <f t="shared" si="39"/>
        <v/>
      </c>
    </row>
    <row r="158" spans="1:34" s="187" customFormat="1" ht="35.1" hidden="1" customHeight="1">
      <c r="A158" s="189"/>
      <c r="C158" s="190"/>
      <c r="D158" s="8" t="str">
        <f>IF($A158="","",VLOOKUP($A158,기본데이타!$A$10:$BV$103,COLUMN(기본데이타!F$8),0))</f>
        <v/>
      </c>
      <c r="E158" s="252" t="str">
        <f>IF($A158="","",VLOOKUP($A158,기본데이타!$A$8:$BV$103,COLUMN(기본데이타!G$8),0))</f>
        <v/>
      </c>
      <c r="F158" s="15" t="str">
        <f>IF($A158="","",VLOOKUP($A158,기본데이타!$A$8:$BV$103,COLUMN(기본데이타!H$8),0))</f>
        <v/>
      </c>
      <c r="G158" s="15" t="str">
        <f>IF($A158="","",VLOOKUP($A158,기본데이타!$A$8:$BV$103,COLUMN(기본데이타!I$8),0))</f>
        <v/>
      </c>
      <c r="H158" s="15" t="str">
        <f>IF($A158="","",VLOOKUP($A158,기본데이타!$A$8:$BV$103,COLUMN(기본데이타!J$8),0))</f>
        <v/>
      </c>
      <c r="I158" s="17" t="str">
        <f>IF($A158="","",VLOOKUP($A158,기본데이타!$A$8:$BV$103,COLUMN(기본데이타!AJ$8),0))</f>
        <v/>
      </c>
      <c r="J158" s="381" t="str">
        <f>IF($A158="","",VLOOKUP($A158,기본데이타!$A$8:$BV$103,COLUMN(기본데이타!AK$8),0))</f>
        <v/>
      </c>
      <c r="K158" s="381" t="str">
        <f>IF($A158="","",VLOOKUP($A158,기본데이타!$A$8:$BV$103,COLUMN(기본데이타!AL$8),0))</f>
        <v/>
      </c>
      <c r="L158" s="381" t="str">
        <f>IF($A158="","",VLOOKUP($A158,기본데이타!$A$8:$BV$103,COLUMN(기본데이타!AM$8),0))</f>
        <v/>
      </c>
      <c r="M158" s="381" t="str">
        <f>IF($A158="","",VLOOKUP($A158,기본데이타!$A$8:$BV$103,COLUMN(기본데이타!AN$8),0))</f>
        <v/>
      </c>
      <c r="N158" s="381" t="str">
        <f>IF($A158="","",VLOOKUP($A158,기본데이타!$A$8:$BV$103,COLUMN(기본데이타!AO$8),0))</f>
        <v/>
      </c>
      <c r="O158" s="381" t="str">
        <f>IF($A158="","",VLOOKUP($A158,기본데이타!$A$8:$BV$103,COLUMN(기본데이타!AP$8),0))</f>
        <v/>
      </c>
      <c r="P158" s="381" t="str">
        <f>IF($A158="","",VLOOKUP($A158,기본데이타!$A$8:$BV$103,COLUMN(기본데이타!AQ$8),0))</f>
        <v/>
      </c>
      <c r="Q158" s="381" t="str">
        <f>IF($A158="","",VLOOKUP($A158,기본데이타!$A$8:$BV$103,COLUMN(기본데이타!AR$8),0))</f>
        <v/>
      </c>
      <c r="R158" s="381" t="str">
        <f>IF($A158="","",VLOOKUP($A158,기본데이타!$A$8:$BV$103,COLUMN(기본데이타!AS$8),0))</f>
        <v/>
      </c>
      <c r="S158" s="381" t="str">
        <f>IF($A158="","",VLOOKUP($A158,기본데이타!$A$8:$BV$103,COLUMN(기본데이타!AT$8),0))</f>
        <v/>
      </c>
      <c r="T158" s="381" t="str">
        <f>IF($A158="","",VLOOKUP($A158,기본데이타!$A$8:$BV$103,COLUMN(기본데이타!AU$8),0))</f>
        <v/>
      </c>
      <c r="U158" s="381" t="str">
        <f>IF($A158="","",VLOOKUP($A158,기본데이타!$A$8:$BV$103,COLUMN(기본데이타!AV$8),0))</f>
        <v/>
      </c>
      <c r="V158" s="16" t="str">
        <f>IF($A158="","",VLOOKUP($A158,기본데이타!$A$8:$BV$103,COLUMN(기본데이타!AW$8),0))</f>
        <v/>
      </c>
      <c r="W158" s="16" t="str">
        <f>IF($A158="","",VLOOKUP($A158,기본데이타!$A$8:$BV$103,COLUMN(기본데이타!AX$8),0))</f>
        <v/>
      </c>
      <c r="X158" s="16" t="str">
        <f>IF($A158="","",VLOOKUP($A158,기본데이타!$A$8:$BV$103,COLUMN(기본데이타!AY$8),0))</f>
        <v/>
      </c>
      <c r="Y158" s="16" t="str">
        <f>IF($A158="","",VLOOKUP($A158,기본데이타!$A$8:$BV$103,COLUMN(기본데이타!AZ$8),0))</f>
        <v/>
      </c>
      <c r="Z158" s="17" t="str">
        <f>IF($A158="","",VLOOKUP($A158,기본데이타!$A$8:$BV$103,COLUMN(기본데이타!BN$8),0))</f>
        <v/>
      </c>
      <c r="AA158" s="17" t="str">
        <f>IF($A158="","",VLOOKUP($A158,기본데이타!$A$8:$BV$103,COLUMN(기본데이타!BO$8),0))</f>
        <v/>
      </c>
      <c r="AB158" s="17" t="str">
        <f>IF($A158="","",VLOOKUP($A158,기본데이타!$A$8:$BV$103,COLUMN(기본데이타!BP$8),0))</f>
        <v/>
      </c>
      <c r="AC158" s="17" t="str">
        <f>IF($A158="","",VLOOKUP($A158,기본데이타!$A$8:$BV$103,COLUMN(기본데이타!BQ$8),0))</f>
        <v/>
      </c>
      <c r="AD158" s="17" t="str">
        <f>IF($A158="","",VLOOKUP($A158,기본데이타!$A$8:$BV$103,COLUMN(기본데이타!BR$8),0))</f>
        <v/>
      </c>
      <c r="AE158" s="17" t="str">
        <f>IF($A158="","",VLOOKUP($A158,기본데이타!$A$8:$BV$103,COLUMN(기본데이타!BS$8),0))</f>
        <v/>
      </c>
      <c r="AF158" s="524" t="str">
        <f>IF($A158="","",VLOOKUP($A158,기본데이타!$A$8:$BV$103,COLUMN(기본데이타!BT$8),0))</f>
        <v/>
      </c>
      <c r="AG158" s="432" t="str">
        <f>IF($A158="","",VLOOKUP($A158,기본데이타!$A$8:$BV$103,COLUMN(기본데이타!BU$8),0))</f>
        <v/>
      </c>
      <c r="AH158" s="18" t="str">
        <f t="shared" si="39"/>
        <v/>
      </c>
    </row>
    <row r="159" spans="1:34" s="187" customFormat="1" ht="35.1" hidden="1" customHeight="1">
      <c r="A159" s="189"/>
      <c r="C159" s="190"/>
      <c r="D159" s="8" t="str">
        <f>IF($A159="","",VLOOKUP($A159,기본데이타!$A$10:$BV$103,COLUMN(기본데이타!F$8),0))</f>
        <v/>
      </c>
      <c r="E159" s="252" t="str">
        <f>IF($A159="","",VLOOKUP($A159,기본데이타!$A$8:$BV$103,COLUMN(기본데이타!G$8),0))</f>
        <v/>
      </c>
      <c r="F159" s="15" t="str">
        <f>IF($A159="","",VLOOKUP($A159,기본데이타!$A$8:$BV$103,COLUMN(기본데이타!H$8),0))</f>
        <v/>
      </c>
      <c r="G159" s="15" t="str">
        <f>IF($A159="","",VLOOKUP($A159,기본데이타!$A$8:$BV$103,COLUMN(기본데이타!I$8),0))</f>
        <v/>
      </c>
      <c r="H159" s="15" t="str">
        <f>IF($A159="","",VLOOKUP($A159,기본데이타!$A$8:$BV$103,COLUMN(기본데이타!J$8),0))</f>
        <v/>
      </c>
      <c r="I159" s="17" t="str">
        <f>IF($A159="","",VLOOKUP($A159,기본데이타!$A$8:$BV$103,COLUMN(기본데이타!AJ$8),0))</f>
        <v/>
      </c>
      <c r="J159" s="381" t="str">
        <f>IF($A159="","",VLOOKUP($A159,기본데이타!$A$8:$BV$103,COLUMN(기본데이타!AK$8),0))</f>
        <v/>
      </c>
      <c r="K159" s="381" t="str">
        <f>IF($A159="","",VLOOKUP($A159,기본데이타!$A$8:$BV$103,COLUMN(기본데이타!AL$8),0))</f>
        <v/>
      </c>
      <c r="L159" s="381" t="str">
        <f>IF($A159="","",VLOOKUP($A159,기본데이타!$A$8:$BV$103,COLUMN(기본데이타!AM$8),0))</f>
        <v/>
      </c>
      <c r="M159" s="381" t="str">
        <f>IF($A159="","",VLOOKUP($A159,기본데이타!$A$8:$BV$103,COLUMN(기본데이타!AN$8),0))</f>
        <v/>
      </c>
      <c r="N159" s="381" t="str">
        <f>IF($A159="","",VLOOKUP($A159,기본데이타!$A$8:$BV$103,COLUMN(기본데이타!AO$8),0))</f>
        <v/>
      </c>
      <c r="O159" s="381" t="str">
        <f>IF($A159="","",VLOOKUP($A159,기본데이타!$A$8:$BV$103,COLUMN(기본데이타!AP$8),0))</f>
        <v/>
      </c>
      <c r="P159" s="381" t="str">
        <f>IF($A159="","",VLOOKUP($A159,기본데이타!$A$8:$BV$103,COLUMN(기본데이타!AQ$8),0))</f>
        <v/>
      </c>
      <c r="Q159" s="381" t="str">
        <f>IF($A159="","",VLOOKUP($A159,기본데이타!$A$8:$BV$103,COLUMN(기본데이타!AR$8),0))</f>
        <v/>
      </c>
      <c r="R159" s="381" t="str">
        <f>IF($A159="","",VLOOKUP($A159,기본데이타!$A$8:$BV$103,COLUMN(기본데이타!AS$8),0))</f>
        <v/>
      </c>
      <c r="S159" s="381" t="str">
        <f>IF($A159="","",VLOOKUP($A159,기본데이타!$A$8:$BV$103,COLUMN(기본데이타!AT$8),0))</f>
        <v/>
      </c>
      <c r="T159" s="381" t="str">
        <f>IF($A159="","",VLOOKUP($A159,기본데이타!$A$8:$BV$103,COLUMN(기본데이타!AU$8),0))</f>
        <v/>
      </c>
      <c r="U159" s="381" t="str">
        <f>IF($A159="","",VLOOKUP($A159,기본데이타!$A$8:$BV$103,COLUMN(기본데이타!AV$8),0))</f>
        <v/>
      </c>
      <c r="V159" s="16" t="str">
        <f>IF($A159="","",VLOOKUP($A159,기본데이타!$A$8:$BV$103,COLUMN(기본데이타!AW$8),0))</f>
        <v/>
      </c>
      <c r="W159" s="16" t="str">
        <f>IF($A159="","",VLOOKUP($A159,기본데이타!$A$8:$BV$103,COLUMN(기본데이타!AX$8),0))</f>
        <v/>
      </c>
      <c r="X159" s="16" t="str">
        <f>IF($A159="","",VLOOKUP($A159,기본데이타!$A$8:$BV$103,COLUMN(기본데이타!AY$8),0))</f>
        <v/>
      </c>
      <c r="Y159" s="16" t="str">
        <f>IF($A159="","",VLOOKUP($A159,기본데이타!$A$8:$BV$103,COLUMN(기본데이타!AZ$8),0))</f>
        <v/>
      </c>
      <c r="Z159" s="17" t="str">
        <f>IF($A159="","",VLOOKUP($A159,기본데이타!$A$8:$BV$103,COLUMN(기본데이타!BN$8),0))</f>
        <v/>
      </c>
      <c r="AA159" s="17" t="str">
        <f>IF($A159="","",VLOOKUP($A159,기본데이타!$A$8:$BV$103,COLUMN(기본데이타!BO$8),0))</f>
        <v/>
      </c>
      <c r="AB159" s="17" t="str">
        <f>IF($A159="","",VLOOKUP($A159,기본데이타!$A$8:$BV$103,COLUMN(기본데이타!BP$8),0))</f>
        <v/>
      </c>
      <c r="AC159" s="17" t="str">
        <f>IF($A159="","",VLOOKUP($A159,기본데이타!$A$8:$BV$103,COLUMN(기본데이타!BQ$8),0))</f>
        <v/>
      </c>
      <c r="AD159" s="17" t="str">
        <f>IF($A159="","",VLOOKUP($A159,기본데이타!$A$8:$BV$103,COLUMN(기본데이타!BR$8),0))</f>
        <v/>
      </c>
      <c r="AE159" s="17" t="str">
        <f>IF($A159="","",VLOOKUP($A159,기본데이타!$A$8:$BV$103,COLUMN(기본데이타!BS$8),0))</f>
        <v/>
      </c>
      <c r="AF159" s="524" t="str">
        <f>IF($A159="","",VLOOKUP($A159,기본데이타!$A$8:$BV$103,COLUMN(기본데이타!BT$8),0))</f>
        <v/>
      </c>
      <c r="AG159" s="432" t="str">
        <f>IF($A159="","",VLOOKUP($A159,기본데이타!$A$8:$BV$103,COLUMN(기본데이타!BU$8),0))</f>
        <v/>
      </c>
      <c r="AH159" s="18" t="str">
        <f>IF(A159="","",A159)</f>
        <v/>
      </c>
    </row>
    <row r="160" spans="1:34" s="187" customFormat="1" ht="35.1" hidden="1" customHeight="1">
      <c r="A160" s="189"/>
      <c r="C160" s="190"/>
      <c r="D160" s="8" t="str">
        <f>IF($A160="","",VLOOKUP($A160,기본데이타!$A$10:$BV$103,COLUMN(기본데이타!F$8),0))</f>
        <v/>
      </c>
      <c r="E160" s="252" t="str">
        <f>IF($A160="","",VLOOKUP($A160,기본데이타!$A$8:$BV$103,COLUMN(기본데이타!G$8),0))</f>
        <v/>
      </c>
      <c r="F160" s="15" t="str">
        <f>IF($A160="","",VLOOKUP($A160,기본데이타!$A$8:$BV$103,COLUMN(기본데이타!H$8),0))</f>
        <v/>
      </c>
      <c r="G160" s="15" t="str">
        <f>IF($A160="","",VLOOKUP($A160,기본데이타!$A$8:$BV$103,COLUMN(기본데이타!I$8),0))</f>
        <v/>
      </c>
      <c r="H160" s="15" t="str">
        <f>IF($A160="","",VLOOKUP($A160,기본데이타!$A$8:$BV$103,COLUMN(기본데이타!J$8),0))</f>
        <v/>
      </c>
      <c r="I160" s="17" t="str">
        <f>IF($A160="","",VLOOKUP($A160,기본데이타!$A$8:$BV$103,COLUMN(기본데이타!AJ$8),0))</f>
        <v/>
      </c>
      <c r="J160" s="381" t="str">
        <f>IF($A160="","",VLOOKUP($A160,기본데이타!$A$8:$BV$103,COLUMN(기본데이타!AK$8),0))</f>
        <v/>
      </c>
      <c r="K160" s="381" t="str">
        <f>IF($A160="","",VLOOKUP($A160,기본데이타!$A$8:$BV$103,COLUMN(기본데이타!AL$8),0))</f>
        <v/>
      </c>
      <c r="L160" s="381" t="str">
        <f>IF($A160="","",VLOOKUP($A160,기본데이타!$A$8:$BV$103,COLUMN(기본데이타!AM$8),0))</f>
        <v/>
      </c>
      <c r="M160" s="381" t="str">
        <f>IF($A160="","",VLOOKUP($A160,기본데이타!$A$8:$BV$103,COLUMN(기본데이타!AN$8),0))</f>
        <v/>
      </c>
      <c r="N160" s="381" t="str">
        <f>IF($A160="","",VLOOKUP($A160,기본데이타!$A$8:$BV$103,COLUMN(기본데이타!AO$8),0))</f>
        <v/>
      </c>
      <c r="O160" s="381" t="str">
        <f>IF($A160="","",VLOOKUP($A160,기본데이타!$A$8:$BV$103,COLUMN(기본데이타!AP$8),0))</f>
        <v/>
      </c>
      <c r="P160" s="381" t="str">
        <f>IF($A160="","",VLOOKUP($A160,기본데이타!$A$8:$BV$103,COLUMN(기본데이타!AQ$8),0))</f>
        <v/>
      </c>
      <c r="Q160" s="381" t="str">
        <f>IF($A160="","",VLOOKUP($A160,기본데이타!$A$8:$BV$103,COLUMN(기본데이타!AR$8),0))</f>
        <v/>
      </c>
      <c r="R160" s="381" t="str">
        <f>IF($A160="","",VLOOKUP($A160,기본데이타!$A$8:$BV$103,COLUMN(기본데이타!AS$8),0))</f>
        <v/>
      </c>
      <c r="S160" s="381" t="str">
        <f>IF($A160="","",VLOOKUP($A160,기본데이타!$A$8:$BV$103,COLUMN(기본데이타!AT$8),0))</f>
        <v/>
      </c>
      <c r="T160" s="381" t="str">
        <f>IF($A160="","",VLOOKUP($A160,기본데이타!$A$8:$BV$103,COLUMN(기본데이타!AU$8),0))</f>
        <v/>
      </c>
      <c r="U160" s="381" t="str">
        <f>IF($A160="","",VLOOKUP($A160,기본데이타!$A$8:$BV$103,COLUMN(기본데이타!AV$8),0))</f>
        <v/>
      </c>
      <c r="V160" s="16" t="str">
        <f>IF($A160="","",VLOOKUP($A160,기본데이타!$A$8:$BV$103,COLUMN(기본데이타!AW$8),0))</f>
        <v/>
      </c>
      <c r="W160" s="16" t="str">
        <f>IF($A160="","",VLOOKUP($A160,기본데이타!$A$8:$BV$103,COLUMN(기본데이타!AX$8),0))</f>
        <v/>
      </c>
      <c r="X160" s="16" t="str">
        <f>IF($A160="","",VLOOKUP($A160,기본데이타!$A$8:$BV$103,COLUMN(기본데이타!AY$8),0))</f>
        <v/>
      </c>
      <c r="Y160" s="16" t="str">
        <f>IF($A160="","",VLOOKUP($A160,기본데이타!$A$8:$BV$103,COLUMN(기본데이타!AZ$8),0))</f>
        <v/>
      </c>
      <c r="Z160" s="17" t="str">
        <f>IF($A160="","",VLOOKUP($A160,기본데이타!$A$8:$BV$103,COLUMN(기본데이타!BN$8),0))</f>
        <v/>
      </c>
      <c r="AA160" s="17" t="str">
        <f>IF($A160="","",VLOOKUP($A160,기본데이타!$A$8:$BV$103,COLUMN(기본데이타!BO$8),0))</f>
        <v/>
      </c>
      <c r="AB160" s="17" t="str">
        <f>IF($A160="","",VLOOKUP($A160,기본데이타!$A$8:$BV$103,COLUMN(기본데이타!BP$8),0))</f>
        <v/>
      </c>
      <c r="AC160" s="17" t="str">
        <f>IF($A160="","",VLOOKUP($A160,기본데이타!$A$8:$BV$103,COLUMN(기본데이타!BQ$8),0))</f>
        <v/>
      </c>
      <c r="AD160" s="17" t="str">
        <f>IF($A160="","",VLOOKUP($A160,기본데이타!$A$8:$BV$103,COLUMN(기본데이타!BR$8),0))</f>
        <v/>
      </c>
      <c r="AE160" s="17" t="str">
        <f>IF($A160="","",VLOOKUP($A160,기본데이타!$A$8:$BV$103,COLUMN(기본데이타!BS$8),0))</f>
        <v/>
      </c>
      <c r="AF160" s="524" t="str">
        <f>IF($A160="","",VLOOKUP($A160,기본데이타!$A$8:$BV$103,COLUMN(기본데이타!BT$8),0))</f>
        <v/>
      </c>
      <c r="AG160" s="432" t="str">
        <f>IF($A160="","",VLOOKUP($A160,기본데이타!$A$8:$BV$103,COLUMN(기본데이타!BU$8),0))</f>
        <v/>
      </c>
      <c r="AH160" s="18" t="str">
        <f>IF(A160="","",A160)</f>
        <v/>
      </c>
    </row>
    <row r="161" spans="1:34" s="187" customFormat="1" ht="35.1" hidden="1" customHeight="1">
      <c r="A161" s="189"/>
      <c r="C161" s="190"/>
      <c r="D161" s="8" t="str">
        <f>IF($A161="","",VLOOKUP($A161,기본데이타!$A$10:$BV$103,COLUMN(기본데이타!F$8),0))</f>
        <v/>
      </c>
      <c r="E161" s="252" t="str">
        <f>IF($A161="","",VLOOKUP($A161,기본데이타!$A$8:$BV$103,COLUMN(기본데이타!G$8),0))</f>
        <v/>
      </c>
      <c r="F161" s="15" t="str">
        <f>IF($A161="","",VLOOKUP($A161,기본데이타!$A$8:$BV$103,COLUMN(기본데이타!H$8),0))</f>
        <v/>
      </c>
      <c r="G161" s="15" t="str">
        <f>IF($A161="","",VLOOKUP($A161,기본데이타!$A$8:$BV$103,COLUMN(기본데이타!I$8),0))</f>
        <v/>
      </c>
      <c r="H161" s="15" t="str">
        <f>IF($A161="","",VLOOKUP($A161,기본데이타!$A$8:$BV$103,COLUMN(기본데이타!J$8),0))</f>
        <v/>
      </c>
      <c r="I161" s="17" t="str">
        <f>IF($A161="","",VLOOKUP($A161,기본데이타!$A$8:$BV$103,COLUMN(기본데이타!AJ$8),0))</f>
        <v/>
      </c>
      <c r="J161" s="381" t="str">
        <f>IF($A161="","",VLOOKUP($A161,기본데이타!$A$8:$BV$103,COLUMN(기본데이타!AK$8),0))</f>
        <v/>
      </c>
      <c r="K161" s="381" t="str">
        <f>IF($A161="","",VLOOKUP($A161,기본데이타!$A$8:$BV$103,COLUMN(기본데이타!AL$8),0))</f>
        <v/>
      </c>
      <c r="L161" s="381" t="str">
        <f>IF($A161="","",VLOOKUP($A161,기본데이타!$A$8:$BV$103,COLUMN(기본데이타!AM$8),0))</f>
        <v/>
      </c>
      <c r="M161" s="381" t="str">
        <f>IF($A161="","",VLOOKUP($A161,기본데이타!$A$8:$BV$103,COLUMN(기본데이타!AN$8),0))</f>
        <v/>
      </c>
      <c r="N161" s="381" t="str">
        <f>IF($A161="","",VLOOKUP($A161,기본데이타!$A$8:$BV$103,COLUMN(기본데이타!AO$8),0))</f>
        <v/>
      </c>
      <c r="O161" s="381" t="str">
        <f>IF($A161="","",VLOOKUP($A161,기본데이타!$A$8:$BV$103,COLUMN(기본데이타!AP$8),0))</f>
        <v/>
      </c>
      <c r="P161" s="381" t="str">
        <f>IF($A161="","",VLOOKUP($A161,기본데이타!$A$8:$BV$103,COLUMN(기본데이타!AQ$8),0))</f>
        <v/>
      </c>
      <c r="Q161" s="381" t="str">
        <f>IF($A161="","",VLOOKUP($A161,기본데이타!$A$8:$BV$103,COLUMN(기본데이타!AR$8),0))</f>
        <v/>
      </c>
      <c r="R161" s="381" t="str">
        <f>IF($A161="","",VLOOKUP($A161,기본데이타!$A$8:$BV$103,COLUMN(기본데이타!AS$8),0))</f>
        <v/>
      </c>
      <c r="S161" s="381" t="str">
        <f>IF($A161="","",VLOOKUP($A161,기본데이타!$A$8:$BV$103,COLUMN(기본데이타!AT$8),0))</f>
        <v/>
      </c>
      <c r="T161" s="381" t="str">
        <f>IF($A161="","",VLOOKUP($A161,기본데이타!$A$8:$BV$103,COLUMN(기본데이타!AU$8),0))</f>
        <v/>
      </c>
      <c r="U161" s="381" t="str">
        <f>IF($A161="","",VLOOKUP($A161,기본데이타!$A$8:$BV$103,COLUMN(기본데이타!AV$8),0))</f>
        <v/>
      </c>
      <c r="V161" s="16" t="str">
        <f>IF($A161="","",VLOOKUP($A161,기본데이타!$A$8:$BV$103,COLUMN(기본데이타!AW$8),0))</f>
        <v/>
      </c>
      <c r="W161" s="16" t="str">
        <f>IF($A161="","",VLOOKUP($A161,기본데이타!$A$8:$BV$103,COLUMN(기본데이타!AX$8),0))</f>
        <v/>
      </c>
      <c r="X161" s="16" t="str">
        <f>IF($A161="","",VLOOKUP($A161,기본데이타!$A$8:$BV$103,COLUMN(기본데이타!AY$8),0))</f>
        <v/>
      </c>
      <c r="Y161" s="16" t="str">
        <f>IF($A161="","",VLOOKUP($A161,기본데이타!$A$8:$BV$103,COLUMN(기본데이타!AZ$8),0))</f>
        <v/>
      </c>
      <c r="Z161" s="17" t="str">
        <f>IF($A161="","",VLOOKUP($A161,기본데이타!$A$8:$BV$103,COLUMN(기본데이타!BN$8),0))</f>
        <v/>
      </c>
      <c r="AA161" s="17" t="str">
        <f>IF($A161="","",VLOOKUP($A161,기본데이타!$A$8:$BV$103,COLUMN(기본데이타!BO$8),0))</f>
        <v/>
      </c>
      <c r="AB161" s="17" t="str">
        <f>IF($A161="","",VLOOKUP($A161,기본데이타!$A$8:$BV$103,COLUMN(기본데이타!BP$8),0))</f>
        <v/>
      </c>
      <c r="AC161" s="17" t="str">
        <f>IF($A161="","",VLOOKUP($A161,기본데이타!$A$8:$BV$103,COLUMN(기본데이타!BQ$8),0))</f>
        <v/>
      </c>
      <c r="AD161" s="17" t="str">
        <f>IF($A161="","",VLOOKUP($A161,기본데이타!$A$8:$BV$103,COLUMN(기본데이타!BR$8),0))</f>
        <v/>
      </c>
      <c r="AE161" s="17" t="str">
        <f>IF($A161="","",VLOOKUP($A161,기본데이타!$A$8:$BV$103,COLUMN(기본데이타!BS$8),0))</f>
        <v/>
      </c>
      <c r="AF161" s="524" t="str">
        <f>IF($A161="","",VLOOKUP($A161,기본데이타!$A$8:$BV$103,COLUMN(기본데이타!BT$8),0))</f>
        <v/>
      </c>
      <c r="AG161" s="432" t="str">
        <f>IF($A161="","",VLOOKUP($A161,기본데이타!$A$8:$BV$103,COLUMN(기본데이타!BU$8),0))</f>
        <v/>
      </c>
      <c r="AH161" s="18" t="str">
        <f>IF(A161="","",A161)</f>
        <v/>
      </c>
    </row>
    <row r="162" spans="1:34" s="187" customFormat="1" ht="35.1" hidden="1" customHeight="1">
      <c r="A162" s="189"/>
      <c r="C162" s="190"/>
      <c r="D162" s="8" t="str">
        <f>IF($A162="","",VLOOKUP($A162,기본데이타!$A$10:$BV$103,COLUMN(기본데이타!F$8),0))</f>
        <v/>
      </c>
      <c r="E162" s="252" t="str">
        <f>IF($A162="","",VLOOKUP($A162,기본데이타!$A$8:$BV$103,COLUMN(기본데이타!G$8),0))</f>
        <v/>
      </c>
      <c r="F162" s="15" t="str">
        <f>IF($A162="","",VLOOKUP($A162,기본데이타!$A$8:$BV$103,COLUMN(기본데이타!H$8),0))</f>
        <v/>
      </c>
      <c r="G162" s="15" t="str">
        <f>IF($A162="","",VLOOKUP($A162,기본데이타!$A$8:$BV$103,COLUMN(기본데이타!I$8),0))</f>
        <v/>
      </c>
      <c r="H162" s="15" t="str">
        <f>IF($A162="","",VLOOKUP($A162,기본데이타!$A$8:$BV$103,COLUMN(기본데이타!J$8),0))</f>
        <v/>
      </c>
      <c r="I162" s="17" t="str">
        <f>IF($A162="","",VLOOKUP($A162,기본데이타!$A$8:$BV$103,COLUMN(기본데이타!AJ$8),0))</f>
        <v/>
      </c>
      <c r="J162" s="381" t="str">
        <f>IF($A162="","",VLOOKUP($A162,기본데이타!$A$8:$BV$103,COLUMN(기본데이타!AK$8),0))</f>
        <v/>
      </c>
      <c r="K162" s="381" t="str">
        <f>IF($A162="","",VLOOKUP($A162,기본데이타!$A$8:$BV$103,COLUMN(기본데이타!AL$8),0))</f>
        <v/>
      </c>
      <c r="L162" s="381" t="str">
        <f>IF($A162="","",VLOOKUP($A162,기본데이타!$A$8:$BV$103,COLUMN(기본데이타!AM$8),0))</f>
        <v/>
      </c>
      <c r="M162" s="381" t="str">
        <f>IF($A162="","",VLOOKUP($A162,기본데이타!$A$8:$BV$103,COLUMN(기본데이타!AN$8),0))</f>
        <v/>
      </c>
      <c r="N162" s="381" t="str">
        <f>IF($A162="","",VLOOKUP($A162,기본데이타!$A$8:$BV$103,COLUMN(기본데이타!AO$8),0))</f>
        <v/>
      </c>
      <c r="O162" s="381" t="str">
        <f>IF($A162="","",VLOOKUP($A162,기본데이타!$A$8:$BV$103,COLUMN(기본데이타!AP$8),0))</f>
        <v/>
      </c>
      <c r="P162" s="381" t="str">
        <f>IF($A162="","",VLOOKUP($A162,기본데이타!$A$8:$BV$103,COLUMN(기본데이타!AQ$8),0))</f>
        <v/>
      </c>
      <c r="Q162" s="381" t="str">
        <f>IF($A162="","",VLOOKUP($A162,기본데이타!$A$8:$BV$103,COLUMN(기본데이타!AR$8),0))</f>
        <v/>
      </c>
      <c r="R162" s="381" t="str">
        <f>IF($A162="","",VLOOKUP($A162,기본데이타!$A$8:$BV$103,COLUMN(기본데이타!AS$8),0))</f>
        <v/>
      </c>
      <c r="S162" s="381" t="str">
        <f>IF($A162="","",VLOOKUP($A162,기본데이타!$A$8:$BV$103,COLUMN(기본데이타!AT$8),0))</f>
        <v/>
      </c>
      <c r="T162" s="381" t="str">
        <f>IF($A162="","",VLOOKUP($A162,기본데이타!$A$8:$BV$103,COLUMN(기본데이타!AU$8),0))</f>
        <v/>
      </c>
      <c r="U162" s="381" t="str">
        <f>IF($A162="","",VLOOKUP($A162,기본데이타!$A$8:$BV$103,COLUMN(기본데이타!AV$8),0))</f>
        <v/>
      </c>
      <c r="V162" s="16" t="str">
        <f>IF($A162="","",VLOOKUP($A162,기본데이타!$A$8:$BV$103,COLUMN(기본데이타!AW$8),0))</f>
        <v/>
      </c>
      <c r="W162" s="16" t="str">
        <f>IF($A162="","",VLOOKUP($A162,기본데이타!$A$8:$BV$103,COLUMN(기본데이타!AX$8),0))</f>
        <v/>
      </c>
      <c r="X162" s="16" t="str">
        <f>IF($A162="","",VLOOKUP($A162,기본데이타!$A$8:$BV$103,COLUMN(기본데이타!AY$8),0))</f>
        <v/>
      </c>
      <c r="Y162" s="16" t="str">
        <f>IF($A162="","",VLOOKUP($A162,기본데이타!$A$8:$BV$103,COLUMN(기본데이타!AZ$8),0))</f>
        <v/>
      </c>
      <c r="Z162" s="17" t="str">
        <f>IF($A162="","",VLOOKUP($A162,기본데이타!$A$8:$BV$103,COLUMN(기본데이타!BN$8),0))</f>
        <v/>
      </c>
      <c r="AA162" s="17" t="str">
        <f>IF($A162="","",VLOOKUP($A162,기본데이타!$A$8:$BV$103,COLUMN(기본데이타!BO$8),0))</f>
        <v/>
      </c>
      <c r="AB162" s="17" t="str">
        <f>IF($A162="","",VLOOKUP($A162,기본데이타!$A$8:$BV$103,COLUMN(기본데이타!BP$8),0))</f>
        <v/>
      </c>
      <c r="AC162" s="17" t="str">
        <f>IF($A162="","",VLOOKUP($A162,기본데이타!$A$8:$BV$103,COLUMN(기본데이타!BQ$8),0))</f>
        <v/>
      </c>
      <c r="AD162" s="17" t="str">
        <f>IF($A162="","",VLOOKUP($A162,기본데이타!$A$8:$BV$103,COLUMN(기본데이타!BR$8),0))</f>
        <v/>
      </c>
      <c r="AE162" s="17" t="str">
        <f>IF($A162="","",VLOOKUP($A162,기본데이타!$A$8:$BV$103,COLUMN(기본데이타!BS$8),0))</f>
        <v/>
      </c>
      <c r="AF162" s="524" t="str">
        <f>IF($A162="","",VLOOKUP($A162,기본데이타!$A$8:$BV$103,COLUMN(기본데이타!BT$8),0))</f>
        <v/>
      </c>
      <c r="AG162" s="432" t="str">
        <f>IF($A162="","",VLOOKUP($A162,기본데이타!$A$8:$BV$103,COLUMN(기본데이타!BU$8),0))</f>
        <v/>
      </c>
      <c r="AH162" s="18" t="str">
        <f>IF(A162="","",A162)</f>
        <v/>
      </c>
    </row>
    <row r="163" spans="1:34" s="187" customFormat="1" ht="35.1" hidden="1" customHeight="1">
      <c r="A163" s="189"/>
      <c r="C163" s="190"/>
      <c r="D163" s="8" t="str">
        <f>IF($A163="","",VLOOKUP($A163,기본데이타!$A$10:$BV$103,COLUMN(기본데이타!F$8),0))</f>
        <v/>
      </c>
      <c r="E163" s="252" t="str">
        <f>IF($A163="","",VLOOKUP($A163,기본데이타!$A$8:$BV$103,COLUMN(기본데이타!G$8),0))</f>
        <v/>
      </c>
      <c r="F163" s="15" t="str">
        <f>IF($A163="","",VLOOKUP($A163,기본데이타!$A$8:$BV$103,COLUMN(기본데이타!H$8),0))</f>
        <v/>
      </c>
      <c r="G163" s="15" t="str">
        <f>IF($A163="","",VLOOKUP($A163,기본데이타!$A$8:$BV$103,COLUMN(기본데이타!I$8),0))</f>
        <v/>
      </c>
      <c r="H163" s="15" t="str">
        <f>IF($A163="","",VLOOKUP($A163,기본데이타!$A$8:$BV$103,COLUMN(기본데이타!J$8),0))</f>
        <v/>
      </c>
      <c r="I163" s="17" t="str">
        <f>IF($A163="","",VLOOKUP($A163,기본데이타!$A$8:$BV$103,COLUMN(기본데이타!AJ$8),0))</f>
        <v/>
      </c>
      <c r="J163" s="381" t="str">
        <f>IF($A163="","",VLOOKUP($A163,기본데이타!$A$8:$BV$103,COLUMN(기본데이타!AK$8),0))</f>
        <v/>
      </c>
      <c r="K163" s="381" t="str">
        <f>IF($A163="","",VLOOKUP($A163,기본데이타!$A$8:$BV$103,COLUMN(기본데이타!AL$8),0))</f>
        <v/>
      </c>
      <c r="L163" s="381" t="str">
        <f>IF($A163="","",VLOOKUP($A163,기본데이타!$A$8:$BV$103,COLUMN(기본데이타!AM$8),0))</f>
        <v/>
      </c>
      <c r="M163" s="381" t="str">
        <f>IF($A163="","",VLOOKUP($A163,기본데이타!$A$8:$BV$103,COLUMN(기본데이타!AN$8),0))</f>
        <v/>
      </c>
      <c r="N163" s="381" t="str">
        <f>IF($A163="","",VLOOKUP($A163,기본데이타!$A$8:$BV$103,COLUMN(기본데이타!AO$8),0))</f>
        <v/>
      </c>
      <c r="O163" s="381" t="str">
        <f>IF($A163="","",VLOOKUP($A163,기본데이타!$A$8:$BV$103,COLUMN(기본데이타!AP$8),0))</f>
        <v/>
      </c>
      <c r="P163" s="381" t="str">
        <f>IF($A163="","",VLOOKUP($A163,기본데이타!$A$8:$BV$103,COLUMN(기본데이타!AQ$8),0))</f>
        <v/>
      </c>
      <c r="Q163" s="381" t="str">
        <f>IF($A163="","",VLOOKUP($A163,기본데이타!$A$8:$BV$103,COLUMN(기본데이타!AR$8),0))</f>
        <v/>
      </c>
      <c r="R163" s="381" t="str">
        <f>IF($A163="","",VLOOKUP($A163,기본데이타!$A$8:$BV$103,COLUMN(기본데이타!AS$8),0))</f>
        <v/>
      </c>
      <c r="S163" s="381" t="str">
        <f>IF($A163="","",VLOOKUP($A163,기본데이타!$A$8:$BV$103,COLUMN(기본데이타!AT$8),0))</f>
        <v/>
      </c>
      <c r="T163" s="381" t="str">
        <f>IF($A163="","",VLOOKUP($A163,기본데이타!$A$8:$BV$103,COLUMN(기본데이타!AU$8),0))</f>
        <v/>
      </c>
      <c r="U163" s="381" t="str">
        <f>IF($A163="","",VLOOKUP($A163,기본데이타!$A$8:$BV$103,COLUMN(기본데이타!AV$8),0))</f>
        <v/>
      </c>
      <c r="V163" s="16" t="str">
        <f>IF($A163="","",VLOOKUP($A163,기본데이타!$A$8:$BV$103,COLUMN(기본데이타!AW$8),0))</f>
        <v/>
      </c>
      <c r="W163" s="16" t="str">
        <f>IF($A163="","",VLOOKUP($A163,기본데이타!$A$8:$BV$103,COLUMN(기본데이타!AX$8),0))</f>
        <v/>
      </c>
      <c r="X163" s="16" t="str">
        <f>IF($A163="","",VLOOKUP($A163,기본데이타!$A$8:$BV$103,COLUMN(기본데이타!AY$8),0))</f>
        <v/>
      </c>
      <c r="Y163" s="16" t="str">
        <f>IF($A163="","",VLOOKUP($A163,기본데이타!$A$8:$BV$103,COLUMN(기본데이타!AZ$8),0))</f>
        <v/>
      </c>
      <c r="Z163" s="17" t="str">
        <f>IF($A163="","",VLOOKUP($A163,기본데이타!$A$8:$BV$103,COLUMN(기본데이타!BN$8),0))</f>
        <v/>
      </c>
      <c r="AA163" s="17" t="str">
        <f>IF($A163="","",VLOOKUP($A163,기본데이타!$A$8:$BV$103,COLUMN(기본데이타!BO$8),0))</f>
        <v/>
      </c>
      <c r="AB163" s="17" t="str">
        <f>IF($A163="","",VLOOKUP($A163,기본데이타!$A$8:$BV$103,COLUMN(기본데이타!BP$8),0))</f>
        <v/>
      </c>
      <c r="AC163" s="17" t="str">
        <f>IF($A163="","",VLOOKUP($A163,기본데이타!$A$8:$BV$103,COLUMN(기본데이타!BQ$8),0))</f>
        <v/>
      </c>
      <c r="AD163" s="17" t="str">
        <f>IF($A163="","",VLOOKUP($A163,기본데이타!$A$8:$BV$103,COLUMN(기본데이타!BR$8),0))</f>
        <v/>
      </c>
      <c r="AE163" s="17" t="str">
        <f>IF($A163="","",VLOOKUP($A163,기본데이타!$A$8:$BV$103,COLUMN(기본데이타!BS$8),0))</f>
        <v/>
      </c>
      <c r="AF163" s="524" t="str">
        <f>IF($A163="","",VLOOKUP($A163,기본데이타!$A$8:$BV$103,COLUMN(기본데이타!BT$8),0))</f>
        <v/>
      </c>
      <c r="AG163" s="432" t="str">
        <f>IF($A163="","",VLOOKUP($A163,기본데이타!$A$8:$BV$103,COLUMN(기본데이타!BU$8),0))</f>
        <v/>
      </c>
      <c r="AH163" s="18" t="str">
        <f>IF(A163="","",A163)</f>
        <v/>
      </c>
    </row>
    <row r="164" spans="1:34" s="187" customFormat="1" ht="35.1" hidden="1" customHeight="1">
      <c r="A164" s="189"/>
      <c r="C164" s="190"/>
      <c r="D164" s="8" t="str">
        <f>IF($A164="","",VLOOKUP($A164,기본데이타!$A$10:$BV$103,COLUMN(기본데이타!F$8),0))</f>
        <v/>
      </c>
      <c r="E164" s="252" t="str">
        <f>IF($A164="","",VLOOKUP($A164,기본데이타!$A$8:$BV$103,COLUMN(기본데이타!G$8),0))</f>
        <v/>
      </c>
      <c r="F164" s="15" t="str">
        <f>IF($A164="","",VLOOKUP($A164,기본데이타!$A$8:$BV$103,COLUMN(기본데이타!H$8),0))</f>
        <v/>
      </c>
      <c r="G164" s="15" t="str">
        <f>IF($A164="","",VLOOKUP($A164,기본데이타!$A$8:$BV$103,COLUMN(기본데이타!I$8),0))</f>
        <v/>
      </c>
      <c r="H164" s="15" t="str">
        <f>IF($A164="","",VLOOKUP($A164,기본데이타!$A$8:$BV$103,COLUMN(기본데이타!J$8),0))</f>
        <v/>
      </c>
      <c r="I164" s="17" t="str">
        <f>IF($A164="","",VLOOKUP($A164,기본데이타!$A$8:$BV$103,COLUMN(기본데이타!AJ$8),0))</f>
        <v/>
      </c>
      <c r="J164" s="381" t="str">
        <f>IF($A164="","",VLOOKUP($A164,기본데이타!$A$8:$BV$103,COLUMN(기본데이타!AK$8),0))</f>
        <v/>
      </c>
      <c r="K164" s="381" t="str">
        <f>IF($A164="","",VLOOKUP($A164,기본데이타!$A$8:$BV$103,COLUMN(기본데이타!AL$8),0))</f>
        <v/>
      </c>
      <c r="L164" s="381" t="str">
        <f>IF($A164="","",VLOOKUP($A164,기본데이타!$A$8:$BV$103,COLUMN(기본데이타!AM$8),0))</f>
        <v/>
      </c>
      <c r="M164" s="381" t="str">
        <f>IF($A164="","",VLOOKUP($A164,기본데이타!$A$8:$BV$103,COLUMN(기본데이타!AN$8),0))</f>
        <v/>
      </c>
      <c r="N164" s="381" t="str">
        <f>IF($A164="","",VLOOKUP($A164,기본데이타!$A$8:$BV$103,COLUMN(기본데이타!AO$8),0))</f>
        <v/>
      </c>
      <c r="O164" s="381" t="str">
        <f>IF($A164="","",VLOOKUP($A164,기본데이타!$A$8:$BV$103,COLUMN(기본데이타!AP$8),0))</f>
        <v/>
      </c>
      <c r="P164" s="381" t="str">
        <f>IF($A164="","",VLOOKUP($A164,기본데이타!$A$8:$BV$103,COLUMN(기본데이타!AQ$8),0))</f>
        <v/>
      </c>
      <c r="Q164" s="381" t="str">
        <f>IF($A164="","",VLOOKUP($A164,기본데이타!$A$8:$BV$103,COLUMN(기본데이타!AR$8),0))</f>
        <v/>
      </c>
      <c r="R164" s="381" t="str">
        <f>IF($A164="","",VLOOKUP($A164,기본데이타!$A$8:$BV$103,COLUMN(기본데이타!AS$8),0))</f>
        <v/>
      </c>
      <c r="S164" s="381" t="str">
        <f>IF($A164="","",VLOOKUP($A164,기본데이타!$A$8:$BV$103,COLUMN(기본데이타!AT$8),0))</f>
        <v/>
      </c>
      <c r="T164" s="381" t="str">
        <f>IF($A164="","",VLOOKUP($A164,기본데이타!$A$8:$BV$103,COLUMN(기본데이타!AU$8),0))</f>
        <v/>
      </c>
      <c r="U164" s="381" t="str">
        <f>IF($A164="","",VLOOKUP($A164,기본데이타!$A$8:$BV$103,COLUMN(기본데이타!AV$8),0))</f>
        <v/>
      </c>
      <c r="V164" s="16" t="str">
        <f>IF($A164="","",VLOOKUP($A164,기본데이타!$A$8:$BV$103,COLUMN(기본데이타!AW$8),0))</f>
        <v/>
      </c>
      <c r="W164" s="16" t="str">
        <f>IF($A164="","",VLOOKUP($A164,기본데이타!$A$8:$BV$103,COLUMN(기본데이타!AX$8),0))</f>
        <v/>
      </c>
      <c r="X164" s="16" t="str">
        <f>IF($A164="","",VLOOKUP($A164,기본데이타!$A$8:$BV$103,COLUMN(기본데이타!AY$8),0))</f>
        <v/>
      </c>
      <c r="Y164" s="16" t="str">
        <f>IF($A164="","",VLOOKUP($A164,기본데이타!$A$8:$BV$103,COLUMN(기본데이타!AZ$8),0))</f>
        <v/>
      </c>
      <c r="Z164" s="17" t="str">
        <f>IF($A164="","",VLOOKUP($A164,기본데이타!$A$8:$BV$103,COLUMN(기본데이타!BN$8),0))</f>
        <v/>
      </c>
      <c r="AA164" s="17" t="str">
        <f>IF($A164="","",VLOOKUP($A164,기본데이타!$A$8:$BV$103,COLUMN(기본데이타!BO$8),0))</f>
        <v/>
      </c>
      <c r="AB164" s="17" t="str">
        <f>IF($A164="","",VLOOKUP($A164,기본데이타!$A$8:$BV$103,COLUMN(기본데이타!BP$8),0))</f>
        <v/>
      </c>
      <c r="AC164" s="17" t="str">
        <f>IF($A164="","",VLOOKUP($A164,기본데이타!$A$8:$BV$103,COLUMN(기본데이타!BQ$8),0))</f>
        <v/>
      </c>
      <c r="AD164" s="17" t="str">
        <f>IF($A164="","",VLOOKUP($A164,기본데이타!$A$8:$BV$103,COLUMN(기본데이타!BR$8),0))</f>
        <v/>
      </c>
      <c r="AE164" s="17" t="str">
        <f>IF($A164="","",VLOOKUP($A164,기본데이타!$A$8:$BV$103,COLUMN(기본데이타!BS$8),0))</f>
        <v/>
      </c>
      <c r="AF164" s="524" t="str">
        <f>IF($A164="","",VLOOKUP($A164,기본데이타!$A$8:$BV$103,COLUMN(기본데이타!BT$8),0))</f>
        <v/>
      </c>
      <c r="AG164" s="432" t="str">
        <f>IF($A164="","",VLOOKUP($A164,기본데이타!$A$8:$BV$103,COLUMN(기본데이타!BU$8),0))</f>
        <v/>
      </c>
      <c r="AH164" s="18" t="str">
        <f t="shared" ref="AH164:AH176" si="40">IF(A164="","",A164)</f>
        <v/>
      </c>
    </row>
    <row r="165" spans="1:34" s="187" customFormat="1" ht="35.1" hidden="1" customHeight="1">
      <c r="A165" s="189"/>
      <c r="C165" s="190"/>
      <c r="D165" s="8" t="str">
        <f>IF($A165="","",VLOOKUP($A165,기본데이타!$A$10:$BV$103,COLUMN(기본데이타!F$8),0))</f>
        <v/>
      </c>
      <c r="E165" s="252" t="str">
        <f>IF($A165="","",VLOOKUP($A165,기본데이타!$A$8:$BV$103,COLUMN(기본데이타!G$8),0))</f>
        <v/>
      </c>
      <c r="F165" s="15" t="str">
        <f>IF($A165="","",VLOOKUP($A165,기본데이타!$A$8:$BV$103,COLUMN(기본데이타!H$8),0))</f>
        <v/>
      </c>
      <c r="G165" s="15" t="str">
        <f>IF($A165="","",VLOOKUP($A165,기본데이타!$A$8:$BV$103,COLUMN(기본데이타!I$8),0))</f>
        <v/>
      </c>
      <c r="H165" s="15" t="str">
        <f>IF($A165="","",VLOOKUP($A165,기본데이타!$A$8:$BV$103,COLUMN(기본데이타!J$8),0))</f>
        <v/>
      </c>
      <c r="I165" s="17" t="str">
        <f>IF($A165="","",VLOOKUP($A165,기본데이타!$A$8:$BV$103,COLUMN(기본데이타!AJ$8),0))</f>
        <v/>
      </c>
      <c r="J165" s="381" t="str">
        <f>IF($A165="","",VLOOKUP($A165,기본데이타!$A$8:$BV$103,COLUMN(기본데이타!AK$8),0))</f>
        <v/>
      </c>
      <c r="K165" s="381" t="str">
        <f>IF($A165="","",VLOOKUP($A165,기본데이타!$A$8:$BV$103,COLUMN(기본데이타!AL$8),0))</f>
        <v/>
      </c>
      <c r="L165" s="381" t="str">
        <f>IF($A165="","",VLOOKUP($A165,기본데이타!$A$8:$BV$103,COLUMN(기본데이타!AM$8),0))</f>
        <v/>
      </c>
      <c r="M165" s="381" t="str">
        <f>IF($A165="","",VLOOKUP($A165,기본데이타!$A$8:$BV$103,COLUMN(기본데이타!AN$8),0))</f>
        <v/>
      </c>
      <c r="N165" s="381" t="str">
        <f>IF($A165="","",VLOOKUP($A165,기본데이타!$A$8:$BV$103,COLUMN(기본데이타!AO$8),0))</f>
        <v/>
      </c>
      <c r="O165" s="381" t="str">
        <f>IF($A165="","",VLOOKUP($A165,기본데이타!$A$8:$BV$103,COLUMN(기본데이타!AP$8),0))</f>
        <v/>
      </c>
      <c r="P165" s="381" t="str">
        <f>IF($A165="","",VLOOKUP($A165,기본데이타!$A$8:$BV$103,COLUMN(기본데이타!AQ$8),0))</f>
        <v/>
      </c>
      <c r="Q165" s="381" t="str">
        <f>IF($A165="","",VLOOKUP($A165,기본데이타!$A$8:$BV$103,COLUMN(기본데이타!AR$8),0))</f>
        <v/>
      </c>
      <c r="R165" s="381" t="str">
        <f>IF($A165="","",VLOOKUP($A165,기본데이타!$A$8:$BV$103,COLUMN(기본데이타!AS$8),0))</f>
        <v/>
      </c>
      <c r="S165" s="381" t="str">
        <f>IF($A165="","",VLOOKUP($A165,기본데이타!$A$8:$BV$103,COLUMN(기본데이타!AT$8),0))</f>
        <v/>
      </c>
      <c r="T165" s="381" t="str">
        <f>IF($A165="","",VLOOKUP($A165,기본데이타!$A$8:$BV$103,COLUMN(기본데이타!AU$8),0))</f>
        <v/>
      </c>
      <c r="U165" s="381" t="str">
        <f>IF($A165="","",VLOOKUP($A165,기본데이타!$A$8:$BV$103,COLUMN(기본데이타!AV$8),0))</f>
        <v/>
      </c>
      <c r="V165" s="16" t="str">
        <f>IF($A165="","",VLOOKUP($A165,기본데이타!$A$8:$BV$103,COLUMN(기본데이타!AW$8),0))</f>
        <v/>
      </c>
      <c r="W165" s="16" t="str">
        <f>IF($A165="","",VLOOKUP($A165,기본데이타!$A$8:$BV$103,COLUMN(기본데이타!AX$8),0))</f>
        <v/>
      </c>
      <c r="X165" s="16" t="str">
        <f>IF($A165="","",VLOOKUP($A165,기본데이타!$A$8:$BV$103,COLUMN(기본데이타!AY$8),0))</f>
        <v/>
      </c>
      <c r="Y165" s="16" t="str">
        <f>IF($A165="","",VLOOKUP($A165,기본데이타!$A$8:$BV$103,COLUMN(기본데이타!AZ$8),0))</f>
        <v/>
      </c>
      <c r="Z165" s="17" t="str">
        <f>IF($A165="","",VLOOKUP($A165,기본데이타!$A$8:$BV$103,COLUMN(기본데이타!BN$8),0))</f>
        <v/>
      </c>
      <c r="AA165" s="17" t="str">
        <f>IF($A165="","",VLOOKUP($A165,기본데이타!$A$8:$BV$103,COLUMN(기본데이타!BO$8),0))</f>
        <v/>
      </c>
      <c r="AB165" s="17" t="str">
        <f>IF($A165="","",VLOOKUP($A165,기본데이타!$A$8:$BV$103,COLUMN(기본데이타!BP$8),0))</f>
        <v/>
      </c>
      <c r="AC165" s="17" t="str">
        <f>IF($A165="","",VLOOKUP($A165,기본데이타!$A$8:$BV$103,COLUMN(기본데이타!BQ$8),0))</f>
        <v/>
      </c>
      <c r="AD165" s="17" t="str">
        <f>IF($A165="","",VLOOKUP($A165,기본데이타!$A$8:$BV$103,COLUMN(기본데이타!BR$8),0))</f>
        <v/>
      </c>
      <c r="AE165" s="17" t="str">
        <f>IF($A165="","",VLOOKUP($A165,기본데이타!$A$8:$BV$103,COLUMN(기본데이타!BS$8),0))</f>
        <v/>
      </c>
      <c r="AF165" s="524" t="str">
        <f>IF($A165="","",VLOOKUP($A165,기본데이타!$A$8:$BV$103,COLUMN(기본데이타!BT$8),0))</f>
        <v/>
      </c>
      <c r="AG165" s="432" t="str">
        <f>IF($A165="","",VLOOKUP($A165,기본데이타!$A$8:$BV$103,COLUMN(기본데이타!BU$8),0))</f>
        <v/>
      </c>
      <c r="AH165" s="18" t="str">
        <f t="shared" si="40"/>
        <v/>
      </c>
    </row>
    <row r="166" spans="1:34" s="187" customFormat="1" ht="35.1" hidden="1" customHeight="1">
      <c r="A166" s="189"/>
      <c r="C166" s="190"/>
      <c r="D166" s="8" t="str">
        <f>IF($A166="","",VLOOKUP($A166,기본데이타!$A$10:$BV$103,COLUMN(기본데이타!F$8),0))</f>
        <v/>
      </c>
      <c r="E166" s="252" t="str">
        <f>IF($A166="","",VLOOKUP($A166,기본데이타!$A$8:$BV$103,COLUMN(기본데이타!G$8),0))</f>
        <v/>
      </c>
      <c r="F166" s="15" t="str">
        <f>IF($A166="","",VLOOKUP($A166,기본데이타!$A$8:$BV$103,COLUMN(기본데이타!H$8),0))</f>
        <v/>
      </c>
      <c r="G166" s="15" t="str">
        <f>IF($A166="","",VLOOKUP($A166,기본데이타!$A$8:$BV$103,COLUMN(기본데이타!I$8),0))</f>
        <v/>
      </c>
      <c r="H166" s="15" t="str">
        <f>IF($A166="","",VLOOKUP($A166,기본데이타!$A$8:$BV$103,COLUMN(기본데이타!J$8),0))</f>
        <v/>
      </c>
      <c r="I166" s="17" t="str">
        <f>IF($A166="","",VLOOKUP($A166,기본데이타!$A$8:$BV$103,COLUMN(기본데이타!AJ$8),0))</f>
        <v/>
      </c>
      <c r="J166" s="381" t="str">
        <f>IF($A166="","",VLOOKUP($A166,기본데이타!$A$8:$BV$103,COLUMN(기본데이타!AK$8),0))</f>
        <v/>
      </c>
      <c r="K166" s="381" t="str">
        <f>IF($A166="","",VLOOKUP($A166,기본데이타!$A$8:$BV$103,COLUMN(기본데이타!AL$8),0))</f>
        <v/>
      </c>
      <c r="L166" s="381" t="str">
        <f>IF($A166="","",VLOOKUP($A166,기본데이타!$A$8:$BV$103,COLUMN(기본데이타!AM$8),0))</f>
        <v/>
      </c>
      <c r="M166" s="381" t="str">
        <f>IF($A166="","",VLOOKUP($A166,기본데이타!$A$8:$BV$103,COLUMN(기본데이타!AN$8),0))</f>
        <v/>
      </c>
      <c r="N166" s="381" t="str">
        <f>IF($A166="","",VLOOKUP($A166,기본데이타!$A$8:$BV$103,COLUMN(기본데이타!AO$8),0))</f>
        <v/>
      </c>
      <c r="O166" s="381" t="str">
        <f>IF($A166="","",VLOOKUP($A166,기본데이타!$A$8:$BV$103,COLUMN(기본데이타!AP$8),0))</f>
        <v/>
      </c>
      <c r="P166" s="381" t="str">
        <f>IF($A166="","",VLOOKUP($A166,기본데이타!$A$8:$BV$103,COLUMN(기본데이타!AQ$8),0))</f>
        <v/>
      </c>
      <c r="Q166" s="381" t="str">
        <f>IF($A166="","",VLOOKUP($A166,기본데이타!$A$8:$BV$103,COLUMN(기본데이타!AR$8),0))</f>
        <v/>
      </c>
      <c r="R166" s="381" t="str">
        <f>IF($A166="","",VLOOKUP($A166,기본데이타!$A$8:$BV$103,COLUMN(기본데이타!AS$8),0))</f>
        <v/>
      </c>
      <c r="S166" s="381" t="str">
        <f>IF($A166="","",VLOOKUP($A166,기본데이타!$A$8:$BV$103,COLUMN(기본데이타!AT$8),0))</f>
        <v/>
      </c>
      <c r="T166" s="381" t="str">
        <f>IF($A166="","",VLOOKUP($A166,기본데이타!$A$8:$BV$103,COLUMN(기본데이타!AU$8),0))</f>
        <v/>
      </c>
      <c r="U166" s="381" t="str">
        <f>IF($A166="","",VLOOKUP($A166,기본데이타!$A$8:$BV$103,COLUMN(기본데이타!AV$8),0))</f>
        <v/>
      </c>
      <c r="V166" s="16" t="str">
        <f>IF($A166="","",VLOOKUP($A166,기본데이타!$A$8:$BV$103,COLUMN(기본데이타!AW$8),0))</f>
        <v/>
      </c>
      <c r="W166" s="16" t="str">
        <f>IF($A166="","",VLOOKUP($A166,기본데이타!$A$8:$BV$103,COLUMN(기본데이타!AX$8),0))</f>
        <v/>
      </c>
      <c r="X166" s="16" t="str">
        <f>IF($A166="","",VLOOKUP($A166,기본데이타!$A$8:$BV$103,COLUMN(기본데이타!AY$8),0))</f>
        <v/>
      </c>
      <c r="Y166" s="16" t="str">
        <f>IF($A166="","",VLOOKUP($A166,기본데이타!$A$8:$BV$103,COLUMN(기본데이타!AZ$8),0))</f>
        <v/>
      </c>
      <c r="Z166" s="17" t="str">
        <f>IF($A166="","",VLOOKUP($A166,기본데이타!$A$8:$BV$103,COLUMN(기본데이타!BN$8),0))</f>
        <v/>
      </c>
      <c r="AA166" s="17" t="str">
        <f>IF($A166="","",VLOOKUP($A166,기본데이타!$A$8:$BV$103,COLUMN(기본데이타!BO$8),0))</f>
        <v/>
      </c>
      <c r="AB166" s="17" t="str">
        <f>IF($A166="","",VLOOKUP($A166,기본데이타!$A$8:$BV$103,COLUMN(기본데이타!BP$8),0))</f>
        <v/>
      </c>
      <c r="AC166" s="17" t="str">
        <f>IF($A166="","",VLOOKUP($A166,기본데이타!$A$8:$BV$103,COLUMN(기본데이타!BQ$8),0))</f>
        <v/>
      </c>
      <c r="AD166" s="17" t="str">
        <f>IF($A166="","",VLOOKUP($A166,기본데이타!$A$8:$BV$103,COLUMN(기본데이타!BR$8),0))</f>
        <v/>
      </c>
      <c r="AE166" s="17" t="str">
        <f>IF($A166="","",VLOOKUP($A166,기본데이타!$A$8:$BV$103,COLUMN(기본데이타!BS$8),0))</f>
        <v/>
      </c>
      <c r="AF166" s="524" t="str">
        <f>IF($A166="","",VLOOKUP($A166,기본데이타!$A$8:$BV$103,COLUMN(기본데이타!BT$8),0))</f>
        <v/>
      </c>
      <c r="AG166" s="432" t="str">
        <f>IF($A166="","",VLOOKUP($A166,기본데이타!$A$8:$BV$103,COLUMN(기본데이타!BU$8),0))</f>
        <v/>
      </c>
      <c r="AH166" s="18" t="str">
        <f t="shared" si="40"/>
        <v/>
      </c>
    </row>
    <row r="167" spans="1:34" s="187" customFormat="1" ht="35.1" hidden="1" customHeight="1">
      <c r="A167" s="189"/>
      <c r="C167" s="190"/>
      <c r="D167" s="8" t="str">
        <f>IF($A167="","",VLOOKUP($A167,기본데이타!$A$10:$BV$103,COLUMN(기본데이타!F$8),0))</f>
        <v/>
      </c>
      <c r="E167" s="252" t="str">
        <f>IF($A167="","",VLOOKUP($A167,기본데이타!$A$8:$BV$103,COLUMN(기본데이타!G$8),0))</f>
        <v/>
      </c>
      <c r="F167" s="15" t="str">
        <f>IF($A167="","",VLOOKUP($A167,기본데이타!$A$8:$BV$103,COLUMN(기본데이타!H$8),0))</f>
        <v/>
      </c>
      <c r="G167" s="15" t="str">
        <f>IF($A167="","",VLOOKUP($A167,기본데이타!$A$8:$BV$103,COLUMN(기본데이타!I$8),0))</f>
        <v/>
      </c>
      <c r="H167" s="15" t="str">
        <f>IF($A167="","",VLOOKUP($A167,기본데이타!$A$8:$BV$103,COLUMN(기본데이타!J$8),0))</f>
        <v/>
      </c>
      <c r="I167" s="17" t="str">
        <f>IF($A167="","",VLOOKUP($A167,기본데이타!$A$8:$BV$103,COLUMN(기본데이타!AJ$8),0))</f>
        <v/>
      </c>
      <c r="J167" s="381" t="str">
        <f>IF($A167="","",VLOOKUP($A167,기본데이타!$A$8:$BV$103,COLUMN(기본데이타!AK$8),0))</f>
        <v/>
      </c>
      <c r="K167" s="381" t="str">
        <f>IF($A167="","",VLOOKUP($A167,기본데이타!$A$8:$BV$103,COLUMN(기본데이타!AL$8),0))</f>
        <v/>
      </c>
      <c r="L167" s="381" t="str">
        <f>IF($A167="","",VLOOKUP($A167,기본데이타!$A$8:$BV$103,COLUMN(기본데이타!AM$8),0))</f>
        <v/>
      </c>
      <c r="M167" s="381" t="str">
        <f>IF($A167="","",VLOOKUP($A167,기본데이타!$A$8:$BV$103,COLUMN(기본데이타!AN$8),0))</f>
        <v/>
      </c>
      <c r="N167" s="381" t="str">
        <f>IF($A167="","",VLOOKUP($A167,기본데이타!$A$8:$BV$103,COLUMN(기본데이타!AO$8),0))</f>
        <v/>
      </c>
      <c r="O167" s="381" t="str">
        <f>IF($A167="","",VLOOKUP($A167,기본데이타!$A$8:$BV$103,COLUMN(기본데이타!AP$8),0))</f>
        <v/>
      </c>
      <c r="P167" s="381" t="str">
        <f>IF($A167="","",VLOOKUP($A167,기본데이타!$A$8:$BV$103,COLUMN(기본데이타!AQ$8),0))</f>
        <v/>
      </c>
      <c r="Q167" s="381" t="str">
        <f>IF($A167="","",VLOOKUP($A167,기본데이타!$A$8:$BV$103,COLUMN(기본데이타!AR$8),0))</f>
        <v/>
      </c>
      <c r="R167" s="381" t="str">
        <f>IF($A167="","",VLOOKUP($A167,기본데이타!$A$8:$BV$103,COLUMN(기본데이타!AS$8),0))</f>
        <v/>
      </c>
      <c r="S167" s="381" t="str">
        <f>IF($A167="","",VLOOKUP($A167,기본데이타!$A$8:$BV$103,COLUMN(기본데이타!AT$8),0))</f>
        <v/>
      </c>
      <c r="T167" s="381" t="str">
        <f>IF($A167="","",VLOOKUP($A167,기본데이타!$A$8:$BV$103,COLUMN(기본데이타!AU$8),0))</f>
        <v/>
      </c>
      <c r="U167" s="381" t="str">
        <f>IF($A167="","",VLOOKUP($A167,기본데이타!$A$8:$BV$103,COLUMN(기본데이타!AV$8),0))</f>
        <v/>
      </c>
      <c r="V167" s="16" t="str">
        <f>IF($A167="","",VLOOKUP($A167,기본데이타!$A$8:$BV$103,COLUMN(기본데이타!AW$8),0))</f>
        <v/>
      </c>
      <c r="W167" s="16" t="str">
        <f>IF($A167="","",VLOOKUP($A167,기본데이타!$A$8:$BV$103,COLUMN(기본데이타!AX$8),0))</f>
        <v/>
      </c>
      <c r="X167" s="16" t="str">
        <f>IF($A167="","",VLOOKUP($A167,기본데이타!$A$8:$BV$103,COLUMN(기본데이타!AY$8),0))</f>
        <v/>
      </c>
      <c r="Y167" s="16" t="str">
        <f>IF($A167="","",VLOOKUP($A167,기본데이타!$A$8:$BV$103,COLUMN(기본데이타!AZ$8),0))</f>
        <v/>
      </c>
      <c r="Z167" s="17" t="str">
        <f>IF($A167="","",VLOOKUP($A167,기본데이타!$A$8:$BV$103,COLUMN(기본데이타!BN$8),0))</f>
        <v/>
      </c>
      <c r="AA167" s="17" t="str">
        <f>IF($A167="","",VLOOKUP($A167,기본데이타!$A$8:$BV$103,COLUMN(기본데이타!BO$8),0))</f>
        <v/>
      </c>
      <c r="AB167" s="17" t="str">
        <f>IF($A167="","",VLOOKUP($A167,기본데이타!$A$8:$BV$103,COLUMN(기본데이타!BP$8),0))</f>
        <v/>
      </c>
      <c r="AC167" s="17" t="str">
        <f>IF($A167="","",VLOOKUP($A167,기본데이타!$A$8:$BV$103,COLUMN(기본데이타!BQ$8),0))</f>
        <v/>
      </c>
      <c r="AD167" s="17" t="str">
        <f>IF($A167="","",VLOOKUP($A167,기본데이타!$A$8:$BV$103,COLUMN(기본데이타!BR$8),0))</f>
        <v/>
      </c>
      <c r="AE167" s="17" t="str">
        <f>IF($A167="","",VLOOKUP($A167,기본데이타!$A$8:$BV$103,COLUMN(기본데이타!BS$8),0))</f>
        <v/>
      </c>
      <c r="AF167" s="524" t="str">
        <f>IF($A167="","",VLOOKUP($A167,기본데이타!$A$8:$BV$103,COLUMN(기본데이타!BT$8),0))</f>
        <v/>
      </c>
      <c r="AG167" s="432" t="str">
        <f>IF($A167="","",VLOOKUP($A167,기본데이타!$A$8:$BV$103,COLUMN(기본데이타!BU$8),0))</f>
        <v/>
      </c>
      <c r="AH167" s="18" t="str">
        <f t="shared" si="40"/>
        <v/>
      </c>
    </row>
    <row r="168" spans="1:34" s="187" customFormat="1" ht="35.1" hidden="1" customHeight="1">
      <c r="A168" s="189"/>
      <c r="C168" s="190"/>
      <c r="D168" s="261" t="str">
        <f>IF($A168="","",VLOOKUP($A168,기본데이타!$A$10:$BV$103,COLUMN(기본데이타!F$8),0))</f>
        <v/>
      </c>
      <c r="E168" s="262" t="str">
        <f>IF($A168="","",VLOOKUP($A168,기본데이타!$A$8:$BV$103,COLUMN(기본데이타!G$8),0))</f>
        <v/>
      </c>
      <c r="F168" s="263" t="str">
        <f>IF($A168="","",VLOOKUP($A168,기본데이타!$A$8:$BV$103,COLUMN(기본데이타!H$8),0))</f>
        <v/>
      </c>
      <c r="G168" s="263" t="str">
        <f>IF($A168="","",VLOOKUP($A168,기본데이타!$A$8:$BV$103,COLUMN(기본데이타!I$8),0))</f>
        <v/>
      </c>
      <c r="H168" s="263" t="str">
        <f>IF($A168="","",VLOOKUP($A168,기본데이타!$A$8:$BV$103,COLUMN(기본데이타!J$8),0))</f>
        <v/>
      </c>
      <c r="I168" s="17" t="str">
        <f>IF($A168="","",VLOOKUP($A168,기본데이타!$A$8:$BV$103,COLUMN(기본데이타!AJ$8),0))</f>
        <v/>
      </c>
      <c r="J168" s="381" t="str">
        <f>IF($A168="","",VLOOKUP($A168,기본데이타!$A$8:$BV$103,COLUMN(기본데이타!AK$8),0))</f>
        <v/>
      </c>
      <c r="K168" s="381" t="str">
        <f>IF($A168="","",VLOOKUP($A168,기본데이타!$A$8:$BV$103,COLUMN(기본데이타!AL$8),0))</f>
        <v/>
      </c>
      <c r="L168" s="381" t="str">
        <f>IF($A168="","",VLOOKUP($A168,기본데이타!$A$8:$BV$103,COLUMN(기본데이타!AM$8),0))</f>
        <v/>
      </c>
      <c r="M168" s="381" t="str">
        <f>IF($A168="","",VLOOKUP($A168,기본데이타!$A$8:$BV$103,COLUMN(기본데이타!AN$8),0))</f>
        <v/>
      </c>
      <c r="N168" s="381" t="str">
        <f>IF($A168="","",VLOOKUP($A168,기본데이타!$A$8:$BV$103,COLUMN(기본데이타!AO$8),0))</f>
        <v/>
      </c>
      <c r="O168" s="381" t="str">
        <f>IF($A168="","",VLOOKUP($A168,기본데이타!$A$8:$BV$103,COLUMN(기본데이타!AP$8),0))</f>
        <v/>
      </c>
      <c r="P168" s="381" t="str">
        <f>IF($A168="","",VLOOKUP($A168,기본데이타!$A$8:$BV$103,COLUMN(기본데이타!AQ$8),0))</f>
        <v/>
      </c>
      <c r="Q168" s="381" t="str">
        <f>IF($A168="","",VLOOKUP($A168,기본데이타!$A$8:$BV$103,COLUMN(기본데이타!AR$8),0))</f>
        <v/>
      </c>
      <c r="R168" s="381" t="str">
        <f>IF($A168="","",VLOOKUP($A168,기본데이타!$A$8:$BV$103,COLUMN(기본데이타!AS$8),0))</f>
        <v/>
      </c>
      <c r="S168" s="381" t="str">
        <f>IF($A168="","",VLOOKUP($A168,기본데이타!$A$8:$BV$103,COLUMN(기본데이타!AT$8),0))</f>
        <v/>
      </c>
      <c r="T168" s="381" t="str">
        <f>IF($A168="","",VLOOKUP($A168,기본데이타!$A$8:$BV$103,COLUMN(기본데이타!AU$8),0))</f>
        <v/>
      </c>
      <c r="U168" s="381" t="str">
        <f>IF($A168="","",VLOOKUP($A168,기본데이타!$A$8:$BV$103,COLUMN(기본데이타!AV$8),0))</f>
        <v/>
      </c>
      <c r="V168" s="16" t="str">
        <f>IF($A168="","",VLOOKUP($A168,기본데이타!$A$8:$BV$103,COLUMN(기본데이타!AW$8),0))</f>
        <v/>
      </c>
      <c r="W168" s="16" t="str">
        <f>IF($A168="","",VLOOKUP($A168,기본데이타!$A$8:$BV$103,COLUMN(기본데이타!AX$8),0))</f>
        <v/>
      </c>
      <c r="X168" s="16" t="str">
        <f>IF($A168="","",VLOOKUP($A168,기본데이타!$A$8:$BV$103,COLUMN(기본데이타!AY$8),0))</f>
        <v/>
      </c>
      <c r="Y168" s="16" t="str">
        <f>IF($A168="","",VLOOKUP($A168,기본데이타!$A$8:$BV$103,COLUMN(기본데이타!AZ$8),0))</f>
        <v/>
      </c>
      <c r="Z168" s="17" t="str">
        <f>IF($A168="","",VLOOKUP($A168,기본데이타!$A$8:$BV$103,COLUMN(기본데이타!BN$8),0))</f>
        <v/>
      </c>
      <c r="AA168" s="17" t="str">
        <f>IF($A168="","",VLOOKUP($A168,기본데이타!$A$8:$BV$103,COLUMN(기본데이타!BO$8),0))</f>
        <v/>
      </c>
      <c r="AB168" s="17" t="str">
        <f>IF($A168="","",VLOOKUP($A168,기본데이타!$A$8:$BV$103,COLUMN(기본데이타!BP$8),0))</f>
        <v/>
      </c>
      <c r="AC168" s="17" t="str">
        <f>IF($A168="","",VLOOKUP($A168,기본데이타!$A$8:$BV$103,COLUMN(기본데이타!BQ$8),0))</f>
        <v/>
      </c>
      <c r="AD168" s="17" t="str">
        <f>IF($A168="","",VLOOKUP($A168,기본데이타!$A$8:$BV$103,COLUMN(기본데이타!BR$8),0))</f>
        <v/>
      </c>
      <c r="AE168" s="17" t="str">
        <f>IF($A168="","",VLOOKUP($A168,기본데이타!$A$8:$BV$103,COLUMN(기본데이타!BS$8),0))</f>
        <v/>
      </c>
      <c r="AF168" s="524" t="str">
        <f>IF($A168="","",VLOOKUP($A168,기본데이타!$A$8:$BV$103,COLUMN(기본데이타!BT$8),0))</f>
        <v/>
      </c>
      <c r="AG168" s="432" t="str">
        <f>IF($A168="","",VLOOKUP($A168,기본데이타!$A$8:$BV$103,COLUMN(기본데이타!BU$8),0))</f>
        <v/>
      </c>
      <c r="AH168" s="18" t="str">
        <f t="shared" si="40"/>
        <v/>
      </c>
    </row>
    <row r="169" spans="1:34" s="187" customFormat="1" ht="35.1" hidden="1" customHeight="1">
      <c r="A169" s="189"/>
      <c r="C169" s="190"/>
      <c r="D169" s="8" t="str">
        <f>IF($A169="","",VLOOKUP($A169,기본데이타!$A$10:$BV$103,COLUMN(기본데이타!F$8),0))</f>
        <v/>
      </c>
      <c r="E169" s="252" t="str">
        <f>IF($A169="","",VLOOKUP($A169,기본데이타!$A$8:$BV$103,COLUMN(기본데이타!G$8),0))</f>
        <v/>
      </c>
      <c r="F169" s="15" t="str">
        <f>IF($A169="","",VLOOKUP($A169,기본데이타!$A$8:$BV$103,COLUMN(기본데이타!H$8),0))</f>
        <v/>
      </c>
      <c r="G169" s="15" t="str">
        <f>IF($A169="","",VLOOKUP($A169,기본데이타!$A$8:$BV$103,COLUMN(기본데이타!I$8),0))</f>
        <v/>
      </c>
      <c r="H169" s="15" t="str">
        <f>IF($A169="","",VLOOKUP($A169,기본데이타!$A$8:$BV$103,COLUMN(기본데이타!J$8),0))</f>
        <v/>
      </c>
      <c r="I169" s="17" t="str">
        <f>IF($A169="","",VLOOKUP($A169,기본데이타!$A$8:$BV$103,COLUMN(기본데이타!AJ$8),0))</f>
        <v/>
      </c>
      <c r="J169" s="381" t="str">
        <f>IF($A169="","",VLOOKUP($A169,기본데이타!$A$8:$BV$103,COLUMN(기본데이타!AK$8),0))</f>
        <v/>
      </c>
      <c r="K169" s="381" t="str">
        <f>IF($A169="","",VLOOKUP($A169,기본데이타!$A$8:$BV$103,COLUMN(기본데이타!AL$8),0))</f>
        <v/>
      </c>
      <c r="L169" s="381" t="str">
        <f>IF($A169="","",VLOOKUP($A169,기본데이타!$A$8:$BV$103,COLUMN(기본데이타!AM$8),0))</f>
        <v/>
      </c>
      <c r="M169" s="381" t="str">
        <f>IF($A169="","",VLOOKUP($A169,기본데이타!$A$8:$BV$103,COLUMN(기본데이타!AN$8),0))</f>
        <v/>
      </c>
      <c r="N169" s="381" t="str">
        <f>IF($A169="","",VLOOKUP($A169,기본데이타!$A$8:$BV$103,COLUMN(기본데이타!AO$8),0))</f>
        <v/>
      </c>
      <c r="O169" s="381" t="str">
        <f>IF($A169="","",VLOOKUP($A169,기본데이타!$A$8:$BV$103,COLUMN(기본데이타!AP$8),0))</f>
        <v/>
      </c>
      <c r="P169" s="381" t="str">
        <f>IF($A169="","",VLOOKUP($A169,기본데이타!$A$8:$BV$103,COLUMN(기본데이타!AQ$8),0))</f>
        <v/>
      </c>
      <c r="Q169" s="381" t="str">
        <f>IF($A169="","",VLOOKUP($A169,기본데이타!$A$8:$BV$103,COLUMN(기본데이타!AR$8),0))</f>
        <v/>
      </c>
      <c r="R169" s="381" t="str">
        <f>IF($A169="","",VLOOKUP($A169,기본데이타!$A$8:$BV$103,COLUMN(기본데이타!AS$8),0))</f>
        <v/>
      </c>
      <c r="S169" s="381" t="str">
        <f>IF($A169="","",VLOOKUP($A169,기본데이타!$A$8:$BV$103,COLUMN(기본데이타!AT$8),0))</f>
        <v/>
      </c>
      <c r="T169" s="381" t="str">
        <f>IF($A169="","",VLOOKUP($A169,기본데이타!$A$8:$BV$103,COLUMN(기본데이타!AU$8),0))</f>
        <v/>
      </c>
      <c r="U169" s="381" t="str">
        <f>IF($A169="","",VLOOKUP($A169,기본데이타!$A$8:$BV$103,COLUMN(기본데이타!AV$8),0))</f>
        <v/>
      </c>
      <c r="V169" s="16" t="str">
        <f>IF($A169="","",VLOOKUP($A169,기본데이타!$A$8:$BV$103,COLUMN(기본데이타!AW$8),0))</f>
        <v/>
      </c>
      <c r="W169" s="16" t="str">
        <f>IF($A169="","",VLOOKUP($A169,기본데이타!$A$8:$BV$103,COLUMN(기본데이타!AX$8),0))</f>
        <v/>
      </c>
      <c r="X169" s="16" t="str">
        <f>IF($A169="","",VLOOKUP($A169,기본데이타!$A$8:$BV$103,COLUMN(기본데이타!AY$8),0))</f>
        <v/>
      </c>
      <c r="Y169" s="16" t="str">
        <f>IF($A169="","",VLOOKUP($A169,기본데이타!$A$8:$BV$103,COLUMN(기본데이타!AZ$8),0))</f>
        <v/>
      </c>
      <c r="Z169" s="17" t="str">
        <f>IF($A169="","",VLOOKUP($A169,기본데이타!$A$8:$BV$103,COLUMN(기본데이타!BN$8),0))</f>
        <v/>
      </c>
      <c r="AA169" s="17" t="str">
        <f>IF($A169="","",VLOOKUP($A169,기본데이타!$A$8:$BV$103,COLUMN(기본데이타!BO$8),0))</f>
        <v/>
      </c>
      <c r="AB169" s="17" t="str">
        <f>IF($A169="","",VLOOKUP($A169,기본데이타!$A$8:$BV$103,COLUMN(기본데이타!BP$8),0))</f>
        <v/>
      </c>
      <c r="AC169" s="17" t="str">
        <f>IF($A169="","",VLOOKUP($A169,기본데이타!$A$8:$BV$103,COLUMN(기본데이타!BQ$8),0))</f>
        <v/>
      </c>
      <c r="AD169" s="17" t="str">
        <f>IF($A169="","",VLOOKUP($A169,기본데이타!$A$8:$BV$103,COLUMN(기본데이타!BR$8),0))</f>
        <v/>
      </c>
      <c r="AE169" s="17" t="str">
        <f>IF($A169="","",VLOOKUP($A169,기본데이타!$A$8:$BV$103,COLUMN(기본데이타!BS$8),0))</f>
        <v/>
      </c>
      <c r="AF169" s="524" t="str">
        <f>IF($A169="","",VLOOKUP($A169,기본데이타!$A$8:$BV$103,COLUMN(기본데이타!BT$8),0))</f>
        <v/>
      </c>
      <c r="AG169" s="432" t="str">
        <f>IF($A169="","",VLOOKUP($A169,기본데이타!$A$8:$BV$103,COLUMN(기본데이타!BU$8),0))</f>
        <v/>
      </c>
      <c r="AH169" s="18" t="str">
        <f t="shared" si="40"/>
        <v/>
      </c>
    </row>
    <row r="170" spans="1:34" s="187" customFormat="1" ht="35.1" hidden="1" customHeight="1">
      <c r="A170" s="189"/>
      <c r="C170" s="190"/>
      <c r="D170" s="8" t="str">
        <f>IF($A170="","",VLOOKUP($A170,기본데이타!$A$10:$BV$103,COLUMN(기본데이타!F$8),0))</f>
        <v/>
      </c>
      <c r="E170" s="252" t="str">
        <f>IF($A170="","",VLOOKUP($A170,기본데이타!$A$8:$BV$103,COLUMN(기본데이타!G$8),0))</f>
        <v/>
      </c>
      <c r="F170" s="15" t="str">
        <f>IF($A170="","",VLOOKUP($A170,기본데이타!$A$8:$BV$103,COLUMN(기본데이타!H$8),0))</f>
        <v/>
      </c>
      <c r="G170" s="15" t="str">
        <f>IF($A170="","",VLOOKUP($A170,기본데이타!$A$8:$BV$103,COLUMN(기본데이타!I$8),0))</f>
        <v/>
      </c>
      <c r="H170" s="15" t="str">
        <f>IF($A170="","",VLOOKUP($A170,기본데이타!$A$8:$BV$103,COLUMN(기본데이타!J$8),0))</f>
        <v/>
      </c>
      <c r="I170" s="17" t="str">
        <f>IF($A170="","",VLOOKUP($A170,기본데이타!$A$8:$BV$103,COLUMN(기본데이타!AJ$8),0))</f>
        <v/>
      </c>
      <c r="J170" s="381" t="str">
        <f>IF($A170="","",VLOOKUP($A170,기본데이타!$A$8:$BV$103,COLUMN(기본데이타!AK$8),0))</f>
        <v/>
      </c>
      <c r="K170" s="381" t="str">
        <f>IF($A170="","",VLOOKUP($A170,기본데이타!$A$8:$BV$103,COLUMN(기본데이타!AL$8),0))</f>
        <v/>
      </c>
      <c r="L170" s="381" t="str">
        <f>IF($A170="","",VLOOKUP($A170,기본데이타!$A$8:$BV$103,COLUMN(기본데이타!AM$8),0))</f>
        <v/>
      </c>
      <c r="M170" s="381" t="str">
        <f>IF($A170="","",VLOOKUP($A170,기본데이타!$A$8:$BV$103,COLUMN(기본데이타!AN$8),0))</f>
        <v/>
      </c>
      <c r="N170" s="381" t="str">
        <f>IF($A170="","",VLOOKUP($A170,기본데이타!$A$8:$BV$103,COLUMN(기본데이타!AO$8),0))</f>
        <v/>
      </c>
      <c r="O170" s="381" t="str">
        <f>IF($A170="","",VLOOKUP($A170,기본데이타!$A$8:$BV$103,COLUMN(기본데이타!AP$8),0))</f>
        <v/>
      </c>
      <c r="P170" s="381" t="str">
        <f>IF($A170="","",VLOOKUP($A170,기본데이타!$A$8:$BV$103,COLUMN(기본데이타!AQ$8),0))</f>
        <v/>
      </c>
      <c r="Q170" s="381" t="str">
        <f>IF($A170="","",VLOOKUP($A170,기본데이타!$A$8:$BV$103,COLUMN(기본데이타!AR$8),0))</f>
        <v/>
      </c>
      <c r="R170" s="381" t="str">
        <f>IF($A170="","",VLOOKUP($A170,기본데이타!$A$8:$BV$103,COLUMN(기본데이타!AS$8),0))</f>
        <v/>
      </c>
      <c r="S170" s="381" t="str">
        <f>IF($A170="","",VLOOKUP($A170,기본데이타!$A$8:$BV$103,COLUMN(기본데이타!AT$8),0))</f>
        <v/>
      </c>
      <c r="T170" s="381" t="str">
        <f>IF($A170="","",VLOOKUP($A170,기본데이타!$A$8:$BV$103,COLUMN(기본데이타!AU$8),0))</f>
        <v/>
      </c>
      <c r="U170" s="381" t="str">
        <f>IF($A170="","",VLOOKUP($A170,기본데이타!$A$8:$BV$103,COLUMN(기본데이타!AV$8),0))</f>
        <v/>
      </c>
      <c r="V170" s="16" t="str">
        <f>IF($A170="","",VLOOKUP($A170,기본데이타!$A$8:$BV$103,COLUMN(기본데이타!AW$8),0))</f>
        <v/>
      </c>
      <c r="W170" s="16" t="str">
        <f>IF($A170="","",VLOOKUP($A170,기본데이타!$A$8:$BV$103,COLUMN(기본데이타!AX$8),0))</f>
        <v/>
      </c>
      <c r="X170" s="16" t="str">
        <f>IF($A170="","",VLOOKUP($A170,기본데이타!$A$8:$BV$103,COLUMN(기본데이타!AY$8),0))</f>
        <v/>
      </c>
      <c r="Y170" s="16" t="str">
        <f>IF($A170="","",VLOOKUP($A170,기본데이타!$A$8:$BV$103,COLUMN(기본데이타!AZ$8),0))</f>
        <v/>
      </c>
      <c r="Z170" s="17" t="str">
        <f>IF($A170="","",VLOOKUP($A170,기본데이타!$A$8:$BV$103,COLUMN(기본데이타!BN$8),0))</f>
        <v/>
      </c>
      <c r="AA170" s="17" t="str">
        <f>IF($A170="","",VLOOKUP($A170,기본데이타!$A$8:$BV$103,COLUMN(기본데이타!BO$8),0))</f>
        <v/>
      </c>
      <c r="AB170" s="17" t="str">
        <f>IF($A170="","",VLOOKUP($A170,기본데이타!$A$8:$BV$103,COLUMN(기본데이타!BP$8),0))</f>
        <v/>
      </c>
      <c r="AC170" s="17" t="str">
        <f>IF($A170="","",VLOOKUP($A170,기본데이타!$A$8:$BV$103,COLUMN(기본데이타!BQ$8),0))</f>
        <v/>
      </c>
      <c r="AD170" s="17" t="str">
        <f>IF($A170="","",VLOOKUP($A170,기본데이타!$A$8:$BV$103,COLUMN(기본데이타!BR$8),0))</f>
        <v/>
      </c>
      <c r="AE170" s="17" t="str">
        <f>IF($A170="","",VLOOKUP($A170,기본데이타!$A$8:$BV$103,COLUMN(기본데이타!BS$8),0))</f>
        <v/>
      </c>
      <c r="AF170" s="524" t="str">
        <f>IF($A170="","",VLOOKUP($A170,기본데이타!$A$8:$BV$103,COLUMN(기본데이타!BT$8),0))</f>
        <v/>
      </c>
      <c r="AG170" s="432" t="str">
        <f>IF($A170="","",VLOOKUP($A170,기본데이타!$A$8:$BV$103,COLUMN(기본데이타!BU$8),0))</f>
        <v/>
      </c>
      <c r="AH170" s="18" t="str">
        <f t="shared" si="40"/>
        <v/>
      </c>
    </row>
    <row r="171" spans="1:34" s="187" customFormat="1" ht="35.1" hidden="1" customHeight="1">
      <c r="A171" s="189"/>
      <c r="C171" s="190"/>
      <c r="D171" s="8" t="str">
        <f>IF($A171="","",VLOOKUP($A171,기본데이타!$A$10:$BV$103,COLUMN(기본데이타!F$8),0))</f>
        <v/>
      </c>
      <c r="E171" s="252" t="str">
        <f>IF($A171="","",VLOOKUP($A171,기본데이타!$A$8:$BV$103,COLUMN(기본데이타!G$8),0))</f>
        <v/>
      </c>
      <c r="F171" s="15" t="str">
        <f>IF($A171="","",VLOOKUP($A171,기본데이타!$A$8:$BV$103,COLUMN(기본데이타!H$8),0))</f>
        <v/>
      </c>
      <c r="G171" s="15" t="str">
        <f>IF($A171="","",VLOOKUP($A171,기본데이타!$A$8:$BV$103,COLUMN(기본데이타!I$8),0))</f>
        <v/>
      </c>
      <c r="H171" s="15" t="str">
        <f>IF($A171="","",VLOOKUP($A171,기본데이타!$A$8:$BV$103,COLUMN(기본데이타!J$8),0))</f>
        <v/>
      </c>
      <c r="I171" s="17" t="str">
        <f>IF($A171="","",VLOOKUP($A171,기본데이타!$A$8:$BV$103,COLUMN(기본데이타!AJ$8),0))</f>
        <v/>
      </c>
      <c r="J171" s="381" t="str">
        <f>IF($A171="","",VLOOKUP($A171,기본데이타!$A$8:$BV$103,COLUMN(기본데이타!AK$8),0))</f>
        <v/>
      </c>
      <c r="K171" s="381" t="str">
        <f>IF($A171="","",VLOOKUP($A171,기본데이타!$A$8:$BV$103,COLUMN(기본데이타!AL$8),0))</f>
        <v/>
      </c>
      <c r="L171" s="381" t="str">
        <f>IF($A171="","",VLOOKUP($A171,기본데이타!$A$8:$BV$103,COLUMN(기본데이타!AM$8),0))</f>
        <v/>
      </c>
      <c r="M171" s="381" t="str">
        <f>IF($A171="","",VLOOKUP($A171,기본데이타!$A$8:$BV$103,COLUMN(기본데이타!AN$8),0))</f>
        <v/>
      </c>
      <c r="N171" s="381" t="str">
        <f>IF($A171="","",VLOOKUP($A171,기본데이타!$A$8:$BV$103,COLUMN(기본데이타!AO$8),0))</f>
        <v/>
      </c>
      <c r="O171" s="381" t="str">
        <f>IF($A171="","",VLOOKUP($A171,기본데이타!$A$8:$BV$103,COLUMN(기본데이타!AP$8),0))</f>
        <v/>
      </c>
      <c r="P171" s="381" t="str">
        <f>IF($A171="","",VLOOKUP($A171,기본데이타!$A$8:$BV$103,COLUMN(기본데이타!AQ$8),0))</f>
        <v/>
      </c>
      <c r="Q171" s="381" t="str">
        <f>IF($A171="","",VLOOKUP($A171,기본데이타!$A$8:$BV$103,COLUMN(기본데이타!AR$8),0))</f>
        <v/>
      </c>
      <c r="R171" s="381" t="str">
        <f>IF($A171="","",VLOOKUP($A171,기본데이타!$A$8:$BV$103,COLUMN(기본데이타!AS$8),0))</f>
        <v/>
      </c>
      <c r="S171" s="381" t="str">
        <f>IF($A171="","",VLOOKUP($A171,기본데이타!$A$8:$BV$103,COLUMN(기본데이타!AT$8),0))</f>
        <v/>
      </c>
      <c r="T171" s="381" t="str">
        <f>IF($A171="","",VLOOKUP($A171,기본데이타!$A$8:$BV$103,COLUMN(기본데이타!AU$8),0))</f>
        <v/>
      </c>
      <c r="U171" s="381" t="str">
        <f>IF($A171="","",VLOOKUP($A171,기본데이타!$A$8:$BV$103,COLUMN(기본데이타!AV$8),0))</f>
        <v/>
      </c>
      <c r="V171" s="16" t="str">
        <f>IF($A171="","",VLOOKUP($A171,기본데이타!$A$8:$BV$103,COLUMN(기본데이타!AW$8),0))</f>
        <v/>
      </c>
      <c r="W171" s="16" t="str">
        <f>IF($A171="","",VLOOKUP($A171,기본데이타!$A$8:$BV$103,COLUMN(기본데이타!AX$8),0))</f>
        <v/>
      </c>
      <c r="X171" s="16" t="str">
        <f>IF($A171="","",VLOOKUP($A171,기본데이타!$A$8:$BV$103,COLUMN(기본데이타!AY$8),0))</f>
        <v/>
      </c>
      <c r="Y171" s="16" t="str">
        <f>IF($A171="","",VLOOKUP($A171,기본데이타!$A$8:$BV$103,COLUMN(기본데이타!AZ$8),0))</f>
        <v/>
      </c>
      <c r="Z171" s="17" t="str">
        <f>IF($A171="","",VLOOKUP($A171,기본데이타!$A$8:$BV$103,COLUMN(기본데이타!BN$8),0))</f>
        <v/>
      </c>
      <c r="AA171" s="17" t="str">
        <f>IF($A171="","",VLOOKUP($A171,기본데이타!$A$8:$BV$103,COLUMN(기본데이타!BO$8),0))</f>
        <v/>
      </c>
      <c r="AB171" s="17" t="str">
        <f>IF($A171="","",VLOOKUP($A171,기본데이타!$A$8:$BV$103,COLUMN(기본데이타!BP$8),0))</f>
        <v/>
      </c>
      <c r="AC171" s="17" t="str">
        <f>IF($A171="","",VLOOKUP($A171,기본데이타!$A$8:$BV$103,COLUMN(기본데이타!BQ$8),0))</f>
        <v/>
      </c>
      <c r="AD171" s="17" t="str">
        <f>IF($A171="","",VLOOKUP($A171,기본데이타!$A$8:$BV$103,COLUMN(기본데이타!BR$8),0))</f>
        <v/>
      </c>
      <c r="AE171" s="17" t="str">
        <f>IF($A171="","",VLOOKUP($A171,기본데이타!$A$8:$BV$103,COLUMN(기본데이타!BS$8),0))</f>
        <v/>
      </c>
      <c r="AF171" s="524" t="str">
        <f>IF($A171="","",VLOOKUP($A171,기본데이타!$A$8:$BV$103,COLUMN(기본데이타!BT$8),0))</f>
        <v/>
      </c>
      <c r="AG171" s="432" t="str">
        <f>IF($A171="","",VLOOKUP($A171,기본데이타!$A$8:$BV$103,COLUMN(기본데이타!BU$8),0))</f>
        <v/>
      </c>
      <c r="AH171" s="18" t="str">
        <f t="shared" si="40"/>
        <v/>
      </c>
    </row>
    <row r="172" spans="1:34" s="187" customFormat="1" ht="35.1" hidden="1" customHeight="1">
      <c r="A172" s="189"/>
      <c r="C172" s="190"/>
      <c r="D172" s="8" t="str">
        <f>IF($A172="","",VLOOKUP($A172,기본데이타!$A$10:$BV$103,COLUMN(기본데이타!F$8),0))</f>
        <v/>
      </c>
      <c r="E172" s="252" t="str">
        <f>IF($A172="","",VLOOKUP($A172,기본데이타!$A$8:$BV$103,COLUMN(기본데이타!G$8),0))</f>
        <v/>
      </c>
      <c r="F172" s="15" t="str">
        <f>IF($A172="","",VLOOKUP($A172,기본데이타!$A$8:$BV$103,COLUMN(기본데이타!H$8),0))</f>
        <v/>
      </c>
      <c r="G172" s="15" t="str">
        <f>IF($A172="","",VLOOKUP($A172,기본데이타!$A$8:$BV$103,COLUMN(기본데이타!I$8),0))</f>
        <v/>
      </c>
      <c r="H172" s="15" t="str">
        <f>IF($A172="","",VLOOKUP($A172,기본데이타!$A$8:$BV$103,COLUMN(기본데이타!J$8),0))</f>
        <v/>
      </c>
      <c r="I172" s="17" t="str">
        <f>IF($A172="","",VLOOKUP($A172,기본데이타!$A$8:$BV$103,COLUMN(기본데이타!AJ$8),0))</f>
        <v/>
      </c>
      <c r="J172" s="381" t="str">
        <f>IF($A172="","",VLOOKUP($A172,기본데이타!$A$8:$BV$103,COLUMN(기본데이타!AK$8),0))</f>
        <v/>
      </c>
      <c r="K172" s="381" t="str">
        <f>IF($A172="","",VLOOKUP($A172,기본데이타!$A$8:$BV$103,COLUMN(기본데이타!AL$8),0))</f>
        <v/>
      </c>
      <c r="L172" s="381" t="str">
        <f>IF($A172="","",VLOOKUP($A172,기본데이타!$A$8:$BV$103,COLUMN(기본데이타!AM$8),0))</f>
        <v/>
      </c>
      <c r="M172" s="381" t="str">
        <f>IF($A172="","",VLOOKUP($A172,기본데이타!$A$8:$BV$103,COLUMN(기본데이타!AN$8),0))</f>
        <v/>
      </c>
      <c r="N172" s="381" t="str">
        <f>IF($A172="","",VLOOKUP($A172,기본데이타!$A$8:$BV$103,COLUMN(기본데이타!AO$8),0))</f>
        <v/>
      </c>
      <c r="O172" s="381" t="str">
        <f>IF($A172="","",VLOOKUP($A172,기본데이타!$A$8:$BV$103,COLUMN(기본데이타!AP$8),0))</f>
        <v/>
      </c>
      <c r="P172" s="381" t="str">
        <f>IF($A172="","",VLOOKUP($A172,기본데이타!$A$8:$BV$103,COLUMN(기본데이타!AQ$8),0))</f>
        <v/>
      </c>
      <c r="Q172" s="381" t="str">
        <f>IF($A172="","",VLOOKUP($A172,기본데이타!$A$8:$BV$103,COLUMN(기본데이타!AR$8),0))</f>
        <v/>
      </c>
      <c r="R172" s="381" t="str">
        <f>IF($A172="","",VLOOKUP($A172,기본데이타!$A$8:$BV$103,COLUMN(기본데이타!AS$8),0))</f>
        <v/>
      </c>
      <c r="S172" s="381" t="str">
        <f>IF($A172="","",VLOOKUP($A172,기본데이타!$A$8:$BV$103,COLUMN(기본데이타!AT$8),0))</f>
        <v/>
      </c>
      <c r="T172" s="381" t="str">
        <f>IF($A172="","",VLOOKUP($A172,기본데이타!$A$8:$BV$103,COLUMN(기본데이타!AU$8),0))</f>
        <v/>
      </c>
      <c r="U172" s="381" t="str">
        <f>IF($A172="","",VLOOKUP($A172,기본데이타!$A$8:$BV$103,COLUMN(기본데이타!AV$8),0))</f>
        <v/>
      </c>
      <c r="V172" s="16" t="str">
        <f>IF($A172="","",VLOOKUP($A172,기본데이타!$A$8:$BV$103,COLUMN(기본데이타!AW$8),0))</f>
        <v/>
      </c>
      <c r="W172" s="16" t="str">
        <f>IF($A172="","",VLOOKUP($A172,기본데이타!$A$8:$BV$103,COLUMN(기본데이타!AX$8),0))</f>
        <v/>
      </c>
      <c r="X172" s="16" t="str">
        <f>IF($A172="","",VLOOKUP($A172,기본데이타!$A$8:$BV$103,COLUMN(기본데이타!AY$8),0))</f>
        <v/>
      </c>
      <c r="Y172" s="16" t="str">
        <f>IF($A172="","",VLOOKUP($A172,기본데이타!$A$8:$BV$103,COLUMN(기본데이타!AZ$8),0))</f>
        <v/>
      </c>
      <c r="Z172" s="17" t="str">
        <f>IF($A172="","",VLOOKUP($A172,기본데이타!$A$8:$BV$103,COLUMN(기본데이타!BN$8),0))</f>
        <v/>
      </c>
      <c r="AA172" s="17" t="str">
        <f>IF($A172="","",VLOOKUP($A172,기본데이타!$A$8:$BV$103,COLUMN(기본데이타!BO$8),0))</f>
        <v/>
      </c>
      <c r="AB172" s="17" t="str">
        <f>IF($A172="","",VLOOKUP($A172,기본데이타!$A$8:$BV$103,COLUMN(기본데이타!BP$8),0))</f>
        <v/>
      </c>
      <c r="AC172" s="17" t="str">
        <f>IF($A172="","",VLOOKUP($A172,기본데이타!$A$8:$BV$103,COLUMN(기본데이타!BQ$8),0))</f>
        <v/>
      </c>
      <c r="AD172" s="17" t="str">
        <f>IF($A172="","",VLOOKUP($A172,기본데이타!$A$8:$BV$103,COLUMN(기본데이타!BR$8),0))</f>
        <v/>
      </c>
      <c r="AE172" s="17" t="str">
        <f>IF($A172="","",VLOOKUP($A172,기본데이타!$A$8:$BV$103,COLUMN(기본데이타!BS$8),0))</f>
        <v/>
      </c>
      <c r="AF172" s="524" t="str">
        <f>IF($A172="","",VLOOKUP($A172,기본데이타!$A$8:$BV$103,COLUMN(기본데이타!BT$8),0))</f>
        <v/>
      </c>
      <c r="AG172" s="432" t="str">
        <f>IF($A172="","",VLOOKUP($A172,기본데이타!$A$8:$BV$103,COLUMN(기본데이타!BU$8),0))</f>
        <v/>
      </c>
      <c r="AH172" s="18" t="str">
        <f t="shared" si="40"/>
        <v/>
      </c>
    </row>
    <row r="173" spans="1:34" s="187" customFormat="1" ht="35.1" hidden="1" customHeight="1">
      <c r="A173" s="189"/>
      <c r="C173" s="190"/>
      <c r="D173" s="8" t="str">
        <f>IF($A173="","",VLOOKUP($A173,기본데이타!$A$10:$BV$103,COLUMN(기본데이타!F$8),0))</f>
        <v/>
      </c>
      <c r="E173" s="252" t="str">
        <f>IF($A173="","",VLOOKUP($A173,기본데이타!$A$8:$BV$103,COLUMN(기본데이타!G$8),0))</f>
        <v/>
      </c>
      <c r="F173" s="15" t="str">
        <f>IF($A173="","",VLOOKUP($A173,기본데이타!$A$8:$BV$103,COLUMN(기본데이타!H$8),0))</f>
        <v/>
      </c>
      <c r="G173" s="15" t="str">
        <f>IF($A173="","",VLOOKUP($A173,기본데이타!$A$8:$BV$103,COLUMN(기본데이타!I$8),0))</f>
        <v/>
      </c>
      <c r="H173" s="15" t="str">
        <f>IF($A173="","",VLOOKUP($A173,기본데이타!$A$8:$BV$103,COLUMN(기본데이타!J$8),0))</f>
        <v/>
      </c>
      <c r="I173" s="17" t="str">
        <f>IF($A173="","",VLOOKUP($A173,기본데이타!$A$8:$BV$103,COLUMN(기본데이타!AJ$8),0))</f>
        <v/>
      </c>
      <c r="J173" s="381" t="str">
        <f>IF($A173="","",VLOOKUP($A173,기본데이타!$A$8:$BV$103,COLUMN(기본데이타!AK$8),0))</f>
        <v/>
      </c>
      <c r="K173" s="381" t="str">
        <f>IF($A173="","",VLOOKUP($A173,기본데이타!$A$8:$BV$103,COLUMN(기본데이타!AL$8),0))</f>
        <v/>
      </c>
      <c r="L173" s="381" t="str">
        <f>IF($A173="","",VLOOKUP($A173,기본데이타!$A$8:$BV$103,COLUMN(기본데이타!AM$8),0))</f>
        <v/>
      </c>
      <c r="M173" s="381" t="str">
        <f>IF($A173="","",VLOOKUP($A173,기본데이타!$A$8:$BV$103,COLUMN(기본데이타!AN$8),0))</f>
        <v/>
      </c>
      <c r="N173" s="381" t="str">
        <f>IF($A173="","",VLOOKUP($A173,기본데이타!$A$8:$BV$103,COLUMN(기본데이타!AO$8),0))</f>
        <v/>
      </c>
      <c r="O173" s="381" t="str">
        <f>IF($A173="","",VLOOKUP($A173,기본데이타!$A$8:$BV$103,COLUMN(기본데이타!AP$8),0))</f>
        <v/>
      </c>
      <c r="P173" s="381" t="str">
        <f>IF($A173="","",VLOOKUP($A173,기본데이타!$A$8:$BV$103,COLUMN(기본데이타!AQ$8),0))</f>
        <v/>
      </c>
      <c r="Q173" s="381" t="str">
        <f>IF($A173="","",VLOOKUP($A173,기본데이타!$A$8:$BV$103,COLUMN(기본데이타!AR$8),0))</f>
        <v/>
      </c>
      <c r="R173" s="381" t="str">
        <f>IF($A173="","",VLOOKUP($A173,기본데이타!$A$8:$BV$103,COLUMN(기본데이타!AS$8),0))</f>
        <v/>
      </c>
      <c r="S173" s="381" t="str">
        <f>IF($A173="","",VLOOKUP($A173,기본데이타!$A$8:$BV$103,COLUMN(기본데이타!AT$8),0))</f>
        <v/>
      </c>
      <c r="T173" s="381" t="str">
        <f>IF($A173="","",VLOOKUP($A173,기본데이타!$A$8:$BV$103,COLUMN(기본데이타!AU$8),0))</f>
        <v/>
      </c>
      <c r="U173" s="381" t="str">
        <f>IF($A173="","",VLOOKUP($A173,기본데이타!$A$8:$BV$103,COLUMN(기본데이타!AV$8),0))</f>
        <v/>
      </c>
      <c r="V173" s="16" t="str">
        <f>IF($A173="","",VLOOKUP($A173,기본데이타!$A$8:$BV$103,COLUMN(기본데이타!AW$8),0))</f>
        <v/>
      </c>
      <c r="W173" s="16" t="str">
        <f>IF($A173="","",VLOOKUP($A173,기본데이타!$A$8:$BV$103,COLUMN(기본데이타!AX$8),0))</f>
        <v/>
      </c>
      <c r="X173" s="16" t="str">
        <f>IF($A173="","",VLOOKUP($A173,기본데이타!$A$8:$BV$103,COLUMN(기본데이타!AY$8),0))</f>
        <v/>
      </c>
      <c r="Y173" s="16" t="str">
        <f>IF($A173="","",VLOOKUP($A173,기본데이타!$A$8:$BV$103,COLUMN(기본데이타!AZ$8),0))</f>
        <v/>
      </c>
      <c r="Z173" s="17" t="str">
        <f>IF($A173="","",VLOOKUP($A173,기본데이타!$A$8:$BV$103,COLUMN(기본데이타!BN$8),0))</f>
        <v/>
      </c>
      <c r="AA173" s="17" t="str">
        <f>IF($A173="","",VLOOKUP($A173,기본데이타!$A$8:$BV$103,COLUMN(기본데이타!BO$8),0))</f>
        <v/>
      </c>
      <c r="AB173" s="17" t="str">
        <f>IF($A173="","",VLOOKUP($A173,기본데이타!$A$8:$BV$103,COLUMN(기본데이타!BP$8),0))</f>
        <v/>
      </c>
      <c r="AC173" s="17" t="str">
        <f>IF($A173="","",VLOOKUP($A173,기본데이타!$A$8:$BV$103,COLUMN(기본데이타!BQ$8),0))</f>
        <v/>
      </c>
      <c r="AD173" s="17" t="str">
        <f>IF($A173="","",VLOOKUP($A173,기본데이타!$A$8:$BV$103,COLUMN(기본데이타!BR$8),0))</f>
        <v/>
      </c>
      <c r="AE173" s="17" t="str">
        <f>IF($A173="","",VLOOKUP($A173,기본데이타!$A$8:$BV$103,COLUMN(기본데이타!BS$8),0))</f>
        <v/>
      </c>
      <c r="AF173" s="524" t="str">
        <f>IF($A173="","",VLOOKUP($A173,기본데이타!$A$8:$BV$103,COLUMN(기본데이타!BT$8),0))</f>
        <v/>
      </c>
      <c r="AG173" s="432" t="str">
        <f>IF($A173="","",VLOOKUP($A173,기본데이타!$A$8:$BV$103,COLUMN(기본데이타!BU$8),0))</f>
        <v/>
      </c>
      <c r="AH173" s="18" t="str">
        <f t="shared" si="40"/>
        <v/>
      </c>
    </row>
    <row r="174" spans="1:34" s="187" customFormat="1" ht="35.1" hidden="1" customHeight="1">
      <c r="A174" s="189"/>
      <c r="C174" s="190"/>
      <c r="D174" s="8" t="str">
        <f>IF($A174="","",VLOOKUP($A174,기본데이타!$A$10:$BV$103,COLUMN(기본데이타!F$8),0))</f>
        <v/>
      </c>
      <c r="E174" s="252" t="str">
        <f>IF($A174="","",VLOOKUP($A174,기본데이타!$A$8:$BV$103,COLUMN(기본데이타!G$8),0))</f>
        <v/>
      </c>
      <c r="F174" s="15" t="str">
        <f>IF($A174="","",VLOOKUP($A174,기본데이타!$A$8:$BV$103,COLUMN(기본데이타!H$8),0))</f>
        <v/>
      </c>
      <c r="G174" s="15" t="str">
        <f>IF($A174="","",VLOOKUP($A174,기본데이타!$A$8:$BV$103,COLUMN(기본데이타!I$8),0))</f>
        <v/>
      </c>
      <c r="H174" s="15" t="str">
        <f>IF($A174="","",VLOOKUP($A174,기본데이타!$A$8:$BV$103,COLUMN(기본데이타!J$8),0))</f>
        <v/>
      </c>
      <c r="I174" s="17" t="str">
        <f>IF($A174="","",VLOOKUP($A174,기본데이타!$A$8:$BV$103,COLUMN(기본데이타!AJ$8),0))</f>
        <v/>
      </c>
      <c r="J174" s="381" t="str">
        <f>IF($A174="","",VLOOKUP($A174,기본데이타!$A$8:$BV$103,COLUMN(기본데이타!AK$8),0))</f>
        <v/>
      </c>
      <c r="K174" s="381" t="str">
        <f>IF($A174="","",VLOOKUP($A174,기본데이타!$A$8:$BV$103,COLUMN(기본데이타!AL$8),0))</f>
        <v/>
      </c>
      <c r="L174" s="381" t="str">
        <f>IF($A174="","",VLOOKUP($A174,기본데이타!$A$8:$BV$103,COLUMN(기본데이타!AM$8),0))</f>
        <v/>
      </c>
      <c r="M174" s="381" t="str">
        <f>IF($A174="","",VLOOKUP($A174,기본데이타!$A$8:$BV$103,COLUMN(기본데이타!AN$8),0))</f>
        <v/>
      </c>
      <c r="N174" s="381" t="str">
        <f>IF($A174="","",VLOOKUP($A174,기본데이타!$A$8:$BV$103,COLUMN(기본데이타!AO$8),0))</f>
        <v/>
      </c>
      <c r="O174" s="381" t="str">
        <f>IF($A174="","",VLOOKUP($A174,기본데이타!$A$8:$BV$103,COLUMN(기본데이타!AP$8),0))</f>
        <v/>
      </c>
      <c r="P174" s="381" t="str">
        <f>IF($A174="","",VLOOKUP($A174,기본데이타!$A$8:$BV$103,COLUMN(기본데이타!AQ$8),0))</f>
        <v/>
      </c>
      <c r="Q174" s="381" t="str">
        <f>IF($A174="","",VLOOKUP($A174,기본데이타!$A$8:$BV$103,COLUMN(기본데이타!AR$8),0))</f>
        <v/>
      </c>
      <c r="R174" s="381" t="str">
        <f>IF($A174="","",VLOOKUP($A174,기본데이타!$A$8:$BV$103,COLUMN(기본데이타!AS$8),0))</f>
        <v/>
      </c>
      <c r="S174" s="381" t="str">
        <f>IF($A174="","",VLOOKUP($A174,기본데이타!$A$8:$BV$103,COLUMN(기본데이타!AT$8),0))</f>
        <v/>
      </c>
      <c r="T174" s="381" t="str">
        <f>IF($A174="","",VLOOKUP($A174,기본데이타!$A$8:$BV$103,COLUMN(기본데이타!AU$8),0))</f>
        <v/>
      </c>
      <c r="U174" s="381" t="str">
        <f>IF($A174="","",VLOOKUP($A174,기본데이타!$A$8:$BV$103,COLUMN(기본데이타!AV$8),0))</f>
        <v/>
      </c>
      <c r="V174" s="16" t="str">
        <f>IF($A174="","",VLOOKUP($A174,기본데이타!$A$8:$BV$103,COLUMN(기본데이타!AW$8),0))</f>
        <v/>
      </c>
      <c r="W174" s="16" t="str">
        <f>IF($A174="","",VLOOKUP($A174,기본데이타!$A$8:$BV$103,COLUMN(기본데이타!AX$8),0))</f>
        <v/>
      </c>
      <c r="X174" s="16" t="str">
        <f>IF($A174="","",VLOOKUP($A174,기본데이타!$A$8:$BV$103,COLUMN(기본데이타!AY$8),0))</f>
        <v/>
      </c>
      <c r="Y174" s="16" t="str">
        <f>IF($A174="","",VLOOKUP($A174,기본데이타!$A$8:$BV$103,COLUMN(기본데이타!AZ$8),0))</f>
        <v/>
      </c>
      <c r="Z174" s="17" t="str">
        <f>IF($A174="","",VLOOKUP($A174,기본데이타!$A$8:$BV$103,COLUMN(기본데이타!BN$8),0))</f>
        <v/>
      </c>
      <c r="AA174" s="17" t="str">
        <f>IF($A174="","",VLOOKUP($A174,기본데이타!$A$8:$BV$103,COLUMN(기본데이타!BO$8),0))</f>
        <v/>
      </c>
      <c r="AB174" s="17" t="str">
        <f>IF($A174="","",VLOOKUP($A174,기본데이타!$A$8:$BV$103,COLUMN(기본데이타!BP$8),0))</f>
        <v/>
      </c>
      <c r="AC174" s="17" t="str">
        <f>IF($A174="","",VLOOKUP($A174,기본데이타!$A$8:$BV$103,COLUMN(기본데이타!BQ$8),0))</f>
        <v/>
      </c>
      <c r="AD174" s="17" t="str">
        <f>IF($A174="","",VLOOKUP($A174,기본데이타!$A$8:$BV$103,COLUMN(기본데이타!BR$8),0))</f>
        <v/>
      </c>
      <c r="AE174" s="17" t="str">
        <f>IF($A174="","",VLOOKUP($A174,기본데이타!$A$8:$BV$103,COLUMN(기본데이타!BS$8),0))</f>
        <v/>
      </c>
      <c r="AF174" s="524" t="str">
        <f>IF($A174="","",VLOOKUP($A174,기본데이타!$A$8:$BV$103,COLUMN(기본데이타!BT$8),0))</f>
        <v/>
      </c>
      <c r="AG174" s="432" t="str">
        <f>IF($A174="","",VLOOKUP($A174,기본데이타!$A$8:$BV$103,COLUMN(기본데이타!BU$8),0))</f>
        <v/>
      </c>
      <c r="AH174" s="18" t="str">
        <f t="shared" si="40"/>
        <v/>
      </c>
    </row>
    <row r="175" spans="1:34" s="187" customFormat="1" ht="35.1" hidden="1" customHeight="1">
      <c r="A175" s="189"/>
      <c r="C175" s="190"/>
      <c r="D175" s="8" t="str">
        <f>IF($A175="","",VLOOKUP($A175,기본데이타!$A$10:$BV$103,COLUMN(기본데이타!F$8),0))</f>
        <v/>
      </c>
      <c r="E175" s="252" t="str">
        <f>IF($A175="","",VLOOKUP($A175,기본데이타!$A$8:$BV$103,COLUMN(기본데이타!G$8),0))</f>
        <v/>
      </c>
      <c r="F175" s="15" t="str">
        <f>IF($A175="","",VLOOKUP($A175,기본데이타!$A$8:$BV$103,COLUMN(기본데이타!H$8),0))</f>
        <v/>
      </c>
      <c r="G175" s="15" t="str">
        <f>IF($A175="","",VLOOKUP($A175,기본데이타!$A$8:$BV$103,COLUMN(기본데이타!I$8),0))</f>
        <v/>
      </c>
      <c r="H175" s="15" t="str">
        <f>IF($A175="","",VLOOKUP($A175,기본데이타!$A$8:$BV$103,COLUMN(기본데이타!J$8),0))</f>
        <v/>
      </c>
      <c r="I175" s="17" t="str">
        <f>IF($A175="","",VLOOKUP($A175,기본데이타!$A$8:$BV$103,COLUMN(기본데이타!AJ$8),0))</f>
        <v/>
      </c>
      <c r="J175" s="381" t="str">
        <f>IF($A175="","",VLOOKUP($A175,기본데이타!$A$8:$BV$103,COLUMN(기본데이타!AK$8),0))</f>
        <v/>
      </c>
      <c r="K175" s="381" t="str">
        <f>IF($A175="","",VLOOKUP($A175,기본데이타!$A$8:$BV$103,COLUMN(기본데이타!AL$8),0))</f>
        <v/>
      </c>
      <c r="L175" s="381" t="str">
        <f>IF($A175="","",VLOOKUP($A175,기본데이타!$A$8:$BV$103,COLUMN(기본데이타!AM$8),0))</f>
        <v/>
      </c>
      <c r="M175" s="381" t="str">
        <f>IF($A175="","",VLOOKUP($A175,기본데이타!$A$8:$BV$103,COLUMN(기본데이타!AN$8),0))</f>
        <v/>
      </c>
      <c r="N175" s="381" t="str">
        <f>IF($A175="","",VLOOKUP($A175,기본데이타!$A$8:$BV$103,COLUMN(기본데이타!AO$8),0))</f>
        <v/>
      </c>
      <c r="O175" s="381" t="str">
        <f>IF($A175="","",VLOOKUP($A175,기본데이타!$A$8:$BV$103,COLUMN(기본데이타!AP$8),0))</f>
        <v/>
      </c>
      <c r="P175" s="381" t="str">
        <f>IF($A175="","",VLOOKUP($A175,기본데이타!$A$8:$BV$103,COLUMN(기본데이타!AQ$8),0))</f>
        <v/>
      </c>
      <c r="Q175" s="381" t="str">
        <f>IF($A175="","",VLOOKUP($A175,기본데이타!$A$8:$BV$103,COLUMN(기본데이타!AR$8),0))</f>
        <v/>
      </c>
      <c r="R175" s="381" t="str">
        <f>IF($A175="","",VLOOKUP($A175,기본데이타!$A$8:$BV$103,COLUMN(기본데이타!AS$8),0))</f>
        <v/>
      </c>
      <c r="S175" s="381" t="str">
        <f>IF($A175="","",VLOOKUP($A175,기본데이타!$A$8:$BV$103,COLUMN(기본데이타!AT$8),0))</f>
        <v/>
      </c>
      <c r="T175" s="381" t="str">
        <f>IF($A175="","",VLOOKUP($A175,기본데이타!$A$8:$BV$103,COLUMN(기본데이타!AU$8),0))</f>
        <v/>
      </c>
      <c r="U175" s="381" t="str">
        <f>IF($A175="","",VLOOKUP($A175,기본데이타!$A$8:$BV$103,COLUMN(기본데이타!AV$8),0))</f>
        <v/>
      </c>
      <c r="V175" s="16" t="str">
        <f>IF($A175="","",VLOOKUP($A175,기본데이타!$A$8:$BV$103,COLUMN(기본데이타!AW$8),0))</f>
        <v/>
      </c>
      <c r="W175" s="16" t="str">
        <f>IF($A175="","",VLOOKUP($A175,기본데이타!$A$8:$BV$103,COLUMN(기본데이타!AX$8),0))</f>
        <v/>
      </c>
      <c r="X175" s="16" t="str">
        <f>IF($A175="","",VLOOKUP($A175,기본데이타!$A$8:$BV$103,COLUMN(기본데이타!AY$8),0))</f>
        <v/>
      </c>
      <c r="Y175" s="16" t="str">
        <f>IF($A175="","",VLOOKUP($A175,기본데이타!$A$8:$BV$103,COLUMN(기본데이타!AZ$8),0))</f>
        <v/>
      </c>
      <c r="Z175" s="17" t="str">
        <f>IF($A175="","",VLOOKUP($A175,기본데이타!$A$8:$BV$103,COLUMN(기본데이타!BN$8),0))</f>
        <v/>
      </c>
      <c r="AA175" s="17" t="str">
        <f>IF($A175="","",VLOOKUP($A175,기본데이타!$A$8:$BV$103,COLUMN(기본데이타!BO$8),0))</f>
        <v/>
      </c>
      <c r="AB175" s="17" t="str">
        <f>IF($A175="","",VLOOKUP($A175,기본데이타!$A$8:$BV$103,COLUMN(기본데이타!BP$8),0))</f>
        <v/>
      </c>
      <c r="AC175" s="17" t="str">
        <f>IF($A175="","",VLOOKUP($A175,기본데이타!$A$8:$BV$103,COLUMN(기본데이타!BQ$8),0))</f>
        <v/>
      </c>
      <c r="AD175" s="17" t="str">
        <f>IF($A175="","",VLOOKUP($A175,기본데이타!$A$8:$BV$103,COLUMN(기본데이타!BR$8),0))</f>
        <v/>
      </c>
      <c r="AE175" s="17" t="str">
        <f>IF($A175="","",VLOOKUP($A175,기본데이타!$A$8:$BV$103,COLUMN(기본데이타!BS$8),0))</f>
        <v/>
      </c>
      <c r="AF175" s="524" t="str">
        <f>IF($A175="","",VLOOKUP($A175,기본데이타!$A$8:$BV$103,COLUMN(기본데이타!BT$8),0))</f>
        <v/>
      </c>
      <c r="AG175" s="432" t="str">
        <f>IF($A175="","",VLOOKUP($A175,기본데이타!$A$8:$BV$103,COLUMN(기본데이타!BU$8),0))</f>
        <v/>
      </c>
      <c r="AH175" s="18" t="str">
        <f t="shared" si="40"/>
        <v/>
      </c>
    </row>
    <row r="176" spans="1:34" s="187" customFormat="1" ht="35.1" hidden="1" customHeight="1">
      <c r="A176" s="189"/>
      <c r="C176" s="190"/>
      <c r="D176" s="8" t="str">
        <f>IF($A176="","",VLOOKUP($A176,기본데이타!$A$10:$BV$103,COLUMN(기본데이타!F$8),0))</f>
        <v/>
      </c>
      <c r="E176" s="252" t="str">
        <f>IF($A176="","",VLOOKUP($A176,기본데이타!$A$8:$BV$103,COLUMN(기본데이타!G$8),0))</f>
        <v/>
      </c>
      <c r="F176" s="15" t="str">
        <f>IF($A176="","",VLOOKUP($A176,기본데이타!$A$8:$BV$103,COLUMN(기본데이타!H$8),0))</f>
        <v/>
      </c>
      <c r="G176" s="15" t="str">
        <f>IF($A176="","",VLOOKUP($A176,기본데이타!$A$8:$BV$103,COLUMN(기본데이타!I$8),0))</f>
        <v/>
      </c>
      <c r="H176" s="15" t="str">
        <f>IF($A176="","",VLOOKUP($A176,기본데이타!$A$8:$BV$103,COLUMN(기본데이타!J$8),0))</f>
        <v/>
      </c>
      <c r="I176" s="17" t="str">
        <f>IF($A176="","",VLOOKUP($A176,기본데이타!$A$8:$BV$103,COLUMN(기본데이타!AJ$8),0))</f>
        <v/>
      </c>
      <c r="J176" s="381" t="str">
        <f>IF($A176="","",VLOOKUP($A176,기본데이타!$A$8:$BV$103,COLUMN(기본데이타!AK$8),0))</f>
        <v/>
      </c>
      <c r="K176" s="381" t="str">
        <f>IF($A176="","",VLOOKUP($A176,기본데이타!$A$8:$BV$103,COLUMN(기본데이타!AL$8),0))</f>
        <v/>
      </c>
      <c r="L176" s="381" t="str">
        <f>IF($A176="","",VLOOKUP($A176,기본데이타!$A$8:$BV$103,COLUMN(기본데이타!AM$8),0))</f>
        <v/>
      </c>
      <c r="M176" s="381" t="str">
        <f>IF($A176="","",VLOOKUP($A176,기본데이타!$A$8:$BV$103,COLUMN(기본데이타!AN$8),0))</f>
        <v/>
      </c>
      <c r="N176" s="381" t="str">
        <f>IF($A176="","",VLOOKUP($A176,기본데이타!$A$8:$BV$103,COLUMN(기본데이타!AO$8),0))</f>
        <v/>
      </c>
      <c r="O176" s="381" t="str">
        <f>IF($A176="","",VLOOKUP($A176,기본데이타!$A$8:$BV$103,COLUMN(기본데이타!AP$8),0))</f>
        <v/>
      </c>
      <c r="P176" s="381" t="str">
        <f>IF($A176="","",VLOOKUP($A176,기본데이타!$A$8:$BV$103,COLUMN(기본데이타!AQ$8),0))</f>
        <v/>
      </c>
      <c r="Q176" s="381" t="str">
        <f>IF($A176="","",VLOOKUP($A176,기본데이타!$A$8:$BV$103,COLUMN(기본데이타!AR$8),0))</f>
        <v/>
      </c>
      <c r="R176" s="381" t="str">
        <f>IF($A176="","",VLOOKUP($A176,기본데이타!$A$8:$BV$103,COLUMN(기본데이타!AS$8),0))</f>
        <v/>
      </c>
      <c r="S176" s="381" t="str">
        <f>IF($A176="","",VLOOKUP($A176,기본데이타!$A$8:$BV$103,COLUMN(기본데이타!AT$8),0))</f>
        <v/>
      </c>
      <c r="T176" s="381" t="str">
        <f>IF($A176="","",VLOOKUP($A176,기본데이타!$A$8:$BV$103,COLUMN(기본데이타!AU$8),0))</f>
        <v/>
      </c>
      <c r="U176" s="381" t="str">
        <f>IF($A176="","",VLOOKUP($A176,기본데이타!$A$8:$BV$103,COLUMN(기본데이타!AV$8),0))</f>
        <v/>
      </c>
      <c r="V176" s="16" t="str">
        <f>IF($A176="","",VLOOKUP($A176,기본데이타!$A$8:$BV$103,COLUMN(기본데이타!AW$8),0))</f>
        <v/>
      </c>
      <c r="W176" s="16" t="str">
        <f>IF($A176="","",VLOOKUP($A176,기본데이타!$A$8:$BV$103,COLUMN(기본데이타!AX$8),0))</f>
        <v/>
      </c>
      <c r="X176" s="16" t="str">
        <f>IF($A176="","",VLOOKUP($A176,기본데이타!$A$8:$BV$103,COLUMN(기본데이타!AY$8),0))</f>
        <v/>
      </c>
      <c r="Y176" s="16" t="str">
        <f>IF($A176="","",VLOOKUP($A176,기본데이타!$A$8:$BV$103,COLUMN(기본데이타!AZ$8),0))</f>
        <v/>
      </c>
      <c r="Z176" s="17" t="str">
        <f>IF($A176="","",VLOOKUP($A176,기본데이타!$A$8:$BV$103,COLUMN(기본데이타!BN$8),0))</f>
        <v/>
      </c>
      <c r="AA176" s="17" t="str">
        <f>IF($A176="","",VLOOKUP($A176,기본데이타!$A$8:$BV$103,COLUMN(기본데이타!BO$8),0))</f>
        <v/>
      </c>
      <c r="AB176" s="17" t="str">
        <f>IF($A176="","",VLOOKUP($A176,기본데이타!$A$8:$BV$103,COLUMN(기본데이타!BP$8),0))</f>
        <v/>
      </c>
      <c r="AC176" s="17" t="str">
        <f>IF($A176="","",VLOOKUP($A176,기본데이타!$A$8:$BV$103,COLUMN(기본데이타!BQ$8),0))</f>
        <v/>
      </c>
      <c r="AD176" s="17" t="str">
        <f>IF($A176="","",VLOOKUP($A176,기본데이타!$A$8:$BV$103,COLUMN(기본데이타!BR$8),0))</f>
        <v/>
      </c>
      <c r="AE176" s="17" t="str">
        <f>IF($A176="","",VLOOKUP($A176,기본데이타!$A$8:$BV$103,COLUMN(기본데이타!BS$8),0))</f>
        <v/>
      </c>
      <c r="AF176" s="524" t="str">
        <f>IF($A176="","",VLOOKUP($A176,기본데이타!$A$8:$BV$103,COLUMN(기본데이타!BT$8),0))</f>
        <v/>
      </c>
      <c r="AG176" s="432" t="str">
        <f>IF($A176="","",VLOOKUP($A176,기본데이타!$A$8:$BV$103,COLUMN(기본데이타!BU$8),0))</f>
        <v/>
      </c>
      <c r="AH176" s="18" t="str">
        <f t="shared" si="40"/>
        <v/>
      </c>
    </row>
    <row r="177" spans="1:34" s="187" customFormat="1" ht="35.1" hidden="1" customHeight="1">
      <c r="A177" s="189"/>
      <c r="C177" s="190"/>
      <c r="D177" s="8" t="str">
        <f>IF($A177="","",VLOOKUP($A177,기본데이타!$A$10:$BV$103,COLUMN(기본데이타!F$8),0))</f>
        <v/>
      </c>
      <c r="E177" s="252" t="str">
        <f>IF($A177="","",VLOOKUP($A177,기본데이타!$A$8:$BV$103,COLUMN(기본데이타!G$8),0))</f>
        <v/>
      </c>
      <c r="F177" s="15" t="str">
        <f>IF($A177="","",VLOOKUP($A177,기본데이타!$A$8:$BV$103,COLUMN(기본데이타!H$8),0))</f>
        <v/>
      </c>
      <c r="G177" s="15" t="str">
        <f>IF($A177="","",VLOOKUP($A177,기본데이타!$A$8:$BV$103,COLUMN(기본데이타!I$8),0))</f>
        <v/>
      </c>
      <c r="H177" s="15" t="str">
        <f>IF($A177="","",VLOOKUP($A177,기본데이타!$A$8:$BV$103,COLUMN(기본데이타!J$8),0))</f>
        <v/>
      </c>
      <c r="I177" s="17" t="str">
        <f>IF($A177="","",VLOOKUP($A177,기본데이타!$A$8:$BV$103,COLUMN(기본데이타!AJ$8),0))</f>
        <v/>
      </c>
      <c r="J177" s="381" t="str">
        <f>IF($A177="","",VLOOKUP($A177,기본데이타!$A$8:$BV$103,COLUMN(기본데이타!AK$8),0))</f>
        <v/>
      </c>
      <c r="K177" s="381" t="str">
        <f>IF($A177="","",VLOOKUP($A177,기본데이타!$A$8:$BV$103,COLUMN(기본데이타!AL$8),0))</f>
        <v/>
      </c>
      <c r="L177" s="381" t="str">
        <f>IF($A177="","",VLOOKUP($A177,기본데이타!$A$8:$BV$103,COLUMN(기본데이타!AM$8),0))</f>
        <v/>
      </c>
      <c r="M177" s="381" t="str">
        <f>IF($A177="","",VLOOKUP($A177,기본데이타!$A$8:$BV$103,COLUMN(기본데이타!AN$8),0))</f>
        <v/>
      </c>
      <c r="N177" s="381" t="str">
        <f>IF($A177="","",VLOOKUP($A177,기본데이타!$A$8:$BV$103,COLUMN(기본데이타!AO$8),0))</f>
        <v/>
      </c>
      <c r="O177" s="381" t="str">
        <f>IF($A177="","",VLOOKUP($A177,기본데이타!$A$8:$BV$103,COLUMN(기본데이타!AP$8),0))</f>
        <v/>
      </c>
      <c r="P177" s="381" t="str">
        <f>IF($A177="","",VLOOKUP($A177,기본데이타!$A$8:$BV$103,COLUMN(기본데이타!AQ$8),0))</f>
        <v/>
      </c>
      <c r="Q177" s="381" t="str">
        <f>IF($A177="","",VLOOKUP($A177,기본데이타!$A$8:$BV$103,COLUMN(기본데이타!AR$8),0))</f>
        <v/>
      </c>
      <c r="R177" s="381" t="str">
        <f>IF($A177="","",VLOOKUP($A177,기본데이타!$A$8:$BV$103,COLUMN(기본데이타!AS$8),0))</f>
        <v/>
      </c>
      <c r="S177" s="381" t="str">
        <f>IF($A177="","",VLOOKUP($A177,기본데이타!$A$8:$BV$103,COLUMN(기본데이타!AT$8),0))</f>
        <v/>
      </c>
      <c r="T177" s="381" t="str">
        <f>IF($A177="","",VLOOKUP($A177,기본데이타!$A$8:$BV$103,COLUMN(기본데이타!AU$8),0))</f>
        <v/>
      </c>
      <c r="U177" s="381" t="str">
        <f>IF($A177="","",VLOOKUP($A177,기본데이타!$A$8:$BV$103,COLUMN(기본데이타!AV$8),0))</f>
        <v/>
      </c>
      <c r="V177" s="16" t="str">
        <f>IF($A177="","",VLOOKUP($A177,기본데이타!$A$8:$BV$103,COLUMN(기본데이타!AW$8),0))</f>
        <v/>
      </c>
      <c r="W177" s="16" t="str">
        <f>IF($A177="","",VLOOKUP($A177,기본데이타!$A$8:$BV$103,COLUMN(기본데이타!AX$8),0))</f>
        <v/>
      </c>
      <c r="X177" s="16" t="str">
        <f>IF($A177="","",VLOOKUP($A177,기본데이타!$A$8:$BV$103,COLUMN(기본데이타!AY$8),0))</f>
        <v/>
      </c>
      <c r="Y177" s="16" t="str">
        <f>IF($A177="","",VLOOKUP($A177,기본데이타!$A$8:$BV$103,COLUMN(기본데이타!AZ$8),0))</f>
        <v/>
      </c>
      <c r="Z177" s="17" t="str">
        <f>IF($A177="","",VLOOKUP($A177,기본데이타!$A$8:$BV$103,COLUMN(기본데이타!BN$8),0))</f>
        <v/>
      </c>
      <c r="AA177" s="17" t="str">
        <f>IF($A177="","",VLOOKUP($A177,기본데이타!$A$8:$BV$103,COLUMN(기본데이타!BO$8),0))</f>
        <v/>
      </c>
      <c r="AB177" s="17" t="str">
        <f>IF($A177="","",VLOOKUP($A177,기본데이타!$A$8:$BV$103,COLUMN(기본데이타!BP$8),0))</f>
        <v/>
      </c>
      <c r="AC177" s="17" t="str">
        <f>IF($A177="","",VLOOKUP($A177,기본데이타!$A$8:$BV$103,COLUMN(기본데이타!BQ$8),0))</f>
        <v/>
      </c>
      <c r="AD177" s="17" t="str">
        <f>IF($A177="","",VLOOKUP($A177,기본데이타!$A$8:$BV$103,COLUMN(기본데이타!BR$8),0))</f>
        <v/>
      </c>
      <c r="AE177" s="17" t="str">
        <f>IF($A177="","",VLOOKUP($A177,기본데이타!$A$8:$BV$103,COLUMN(기본데이타!BS$8),0))</f>
        <v/>
      </c>
      <c r="AF177" s="524" t="str">
        <f>IF($A177="","",VLOOKUP($A177,기본데이타!$A$8:$BV$103,COLUMN(기본데이타!BT$8),0))</f>
        <v/>
      </c>
      <c r="AG177" s="432" t="str">
        <f>IF($A177="","",VLOOKUP($A177,기본데이타!$A$8:$BV$103,COLUMN(기본데이타!BU$8),0))</f>
        <v/>
      </c>
      <c r="AH177" s="18" t="str">
        <f t="shared" ref="AH177:AH220" si="41">IF(A177="","",A177)</f>
        <v/>
      </c>
    </row>
    <row r="178" spans="1:34" s="187" customFormat="1" ht="35.1" hidden="1" customHeight="1">
      <c r="A178" s="189"/>
      <c r="C178" s="190"/>
      <c r="D178" s="8" t="str">
        <f>IF($A178="","",VLOOKUP($A178,기본데이타!$A$10:$BV$103,COLUMN(기본데이타!F$8),0))</f>
        <v/>
      </c>
      <c r="E178" s="252" t="str">
        <f>IF($A178="","",VLOOKUP($A178,기본데이타!$A$8:$BV$103,COLUMN(기본데이타!G$8),0))</f>
        <v/>
      </c>
      <c r="F178" s="15" t="str">
        <f>IF($A178="","",VLOOKUP($A178,기본데이타!$A$8:$BV$103,COLUMN(기본데이타!H$8),0))</f>
        <v/>
      </c>
      <c r="G178" s="15" t="str">
        <f>IF($A178="","",VLOOKUP($A178,기본데이타!$A$8:$BV$103,COLUMN(기본데이타!I$8),0))</f>
        <v/>
      </c>
      <c r="H178" s="15" t="str">
        <f>IF($A178="","",VLOOKUP($A178,기본데이타!$A$8:$BV$103,COLUMN(기본데이타!J$8),0))</f>
        <v/>
      </c>
      <c r="I178" s="17" t="str">
        <f>IF($A178="","",VLOOKUP($A178,기본데이타!$A$8:$BV$103,COLUMN(기본데이타!AJ$8),0))</f>
        <v/>
      </c>
      <c r="J178" s="381" t="str">
        <f>IF($A178="","",VLOOKUP($A178,기본데이타!$A$8:$BV$103,COLUMN(기본데이타!AK$8),0))</f>
        <v/>
      </c>
      <c r="K178" s="381" t="str">
        <f>IF($A178="","",VLOOKUP($A178,기본데이타!$A$8:$BV$103,COLUMN(기본데이타!AL$8),0))</f>
        <v/>
      </c>
      <c r="L178" s="381" t="str">
        <f>IF($A178="","",VLOOKUP($A178,기본데이타!$A$8:$BV$103,COLUMN(기본데이타!AM$8),0))</f>
        <v/>
      </c>
      <c r="M178" s="381" t="str">
        <f>IF($A178="","",VLOOKUP($A178,기본데이타!$A$8:$BV$103,COLUMN(기본데이타!AN$8),0))</f>
        <v/>
      </c>
      <c r="N178" s="381" t="str">
        <f>IF($A178="","",VLOOKUP($A178,기본데이타!$A$8:$BV$103,COLUMN(기본데이타!AO$8),0))</f>
        <v/>
      </c>
      <c r="O178" s="381" t="str">
        <f>IF($A178="","",VLOOKUP($A178,기본데이타!$A$8:$BV$103,COLUMN(기본데이타!AP$8),0))</f>
        <v/>
      </c>
      <c r="P178" s="381" t="str">
        <f>IF($A178="","",VLOOKUP($A178,기본데이타!$A$8:$BV$103,COLUMN(기본데이타!AQ$8),0))</f>
        <v/>
      </c>
      <c r="Q178" s="381" t="str">
        <f>IF($A178="","",VLOOKUP($A178,기본데이타!$A$8:$BV$103,COLUMN(기본데이타!AR$8),0))</f>
        <v/>
      </c>
      <c r="R178" s="381" t="str">
        <f>IF($A178="","",VLOOKUP($A178,기본데이타!$A$8:$BV$103,COLUMN(기본데이타!AS$8),0))</f>
        <v/>
      </c>
      <c r="S178" s="381" t="str">
        <f>IF($A178="","",VLOOKUP($A178,기본데이타!$A$8:$BV$103,COLUMN(기본데이타!AT$8),0))</f>
        <v/>
      </c>
      <c r="T178" s="381" t="str">
        <f>IF($A178="","",VLOOKUP($A178,기본데이타!$A$8:$BV$103,COLUMN(기본데이타!AU$8),0))</f>
        <v/>
      </c>
      <c r="U178" s="381" t="str">
        <f>IF($A178="","",VLOOKUP($A178,기본데이타!$A$8:$BV$103,COLUMN(기본데이타!AV$8),0))</f>
        <v/>
      </c>
      <c r="V178" s="16" t="str">
        <f>IF($A178="","",VLOOKUP($A178,기본데이타!$A$8:$BV$103,COLUMN(기본데이타!AW$8),0))</f>
        <v/>
      </c>
      <c r="W178" s="16" t="str">
        <f>IF($A178="","",VLOOKUP($A178,기본데이타!$A$8:$BV$103,COLUMN(기본데이타!AX$8),0))</f>
        <v/>
      </c>
      <c r="X178" s="16" t="str">
        <f>IF($A178="","",VLOOKUP($A178,기본데이타!$A$8:$BV$103,COLUMN(기본데이타!AY$8),0))</f>
        <v/>
      </c>
      <c r="Y178" s="16" t="str">
        <f>IF($A178="","",VLOOKUP($A178,기본데이타!$A$8:$BV$103,COLUMN(기본데이타!AZ$8),0))</f>
        <v/>
      </c>
      <c r="Z178" s="17" t="str">
        <f>IF($A178="","",VLOOKUP($A178,기본데이타!$A$8:$BV$103,COLUMN(기본데이타!BN$8),0))</f>
        <v/>
      </c>
      <c r="AA178" s="17" t="str">
        <f>IF($A178="","",VLOOKUP($A178,기본데이타!$A$8:$BV$103,COLUMN(기본데이타!BO$8),0))</f>
        <v/>
      </c>
      <c r="AB178" s="17" t="str">
        <f>IF($A178="","",VLOOKUP($A178,기본데이타!$A$8:$BV$103,COLUMN(기본데이타!BP$8),0))</f>
        <v/>
      </c>
      <c r="AC178" s="17" t="str">
        <f>IF($A178="","",VLOOKUP($A178,기본데이타!$A$8:$BV$103,COLUMN(기본데이타!BQ$8),0))</f>
        <v/>
      </c>
      <c r="AD178" s="17" t="str">
        <f>IF($A178="","",VLOOKUP($A178,기본데이타!$A$8:$BV$103,COLUMN(기본데이타!BR$8),0))</f>
        <v/>
      </c>
      <c r="AE178" s="17" t="str">
        <f>IF($A178="","",VLOOKUP($A178,기본데이타!$A$8:$BV$103,COLUMN(기본데이타!BS$8),0))</f>
        <v/>
      </c>
      <c r="AF178" s="524" t="str">
        <f>IF($A178="","",VLOOKUP($A178,기본데이타!$A$8:$BV$103,COLUMN(기본데이타!BT$8),0))</f>
        <v/>
      </c>
      <c r="AG178" s="432" t="str">
        <f>IF($A178="","",VLOOKUP($A178,기본데이타!$A$8:$BV$103,COLUMN(기본데이타!BU$8),0))</f>
        <v/>
      </c>
      <c r="AH178" s="18" t="str">
        <f t="shared" si="41"/>
        <v/>
      </c>
    </row>
    <row r="179" spans="1:34" s="187" customFormat="1" ht="35.1" hidden="1" customHeight="1">
      <c r="A179" s="189"/>
      <c r="C179" s="190"/>
      <c r="D179" s="8" t="str">
        <f>IF($A179="","",VLOOKUP($A179,기본데이타!$A$10:$BV$103,COLUMN(기본데이타!F$8),0))</f>
        <v/>
      </c>
      <c r="E179" s="252" t="str">
        <f>IF($A179="","",VLOOKUP($A179,기본데이타!$A$8:$BV$103,COLUMN(기본데이타!G$8),0))</f>
        <v/>
      </c>
      <c r="F179" s="15" t="str">
        <f>IF($A179="","",VLOOKUP($A179,기본데이타!$A$8:$BV$103,COLUMN(기본데이타!H$8),0))</f>
        <v/>
      </c>
      <c r="G179" s="15" t="str">
        <f>IF($A179="","",VLOOKUP($A179,기본데이타!$A$8:$BV$103,COLUMN(기본데이타!I$8),0))</f>
        <v/>
      </c>
      <c r="H179" s="15" t="str">
        <f>IF($A179="","",VLOOKUP($A179,기본데이타!$A$8:$BV$103,COLUMN(기본데이타!J$8),0))</f>
        <v/>
      </c>
      <c r="I179" s="17" t="str">
        <f>IF($A179="","",VLOOKUP($A179,기본데이타!$A$8:$BV$103,COLUMN(기본데이타!AJ$8),0))</f>
        <v/>
      </c>
      <c r="J179" s="381" t="str">
        <f>IF($A179="","",VLOOKUP($A179,기본데이타!$A$8:$BV$103,COLUMN(기본데이타!AK$8),0))</f>
        <v/>
      </c>
      <c r="K179" s="381" t="str">
        <f>IF($A179="","",VLOOKUP($A179,기본데이타!$A$8:$BV$103,COLUMN(기본데이타!AL$8),0))</f>
        <v/>
      </c>
      <c r="L179" s="381" t="str">
        <f>IF($A179="","",VLOOKUP($A179,기본데이타!$A$8:$BV$103,COLUMN(기본데이타!AM$8),0))</f>
        <v/>
      </c>
      <c r="M179" s="381" t="str">
        <f>IF($A179="","",VLOOKUP($A179,기본데이타!$A$8:$BV$103,COLUMN(기본데이타!AN$8),0))</f>
        <v/>
      </c>
      <c r="N179" s="381" t="str">
        <f>IF($A179="","",VLOOKUP($A179,기본데이타!$A$8:$BV$103,COLUMN(기본데이타!AO$8),0))</f>
        <v/>
      </c>
      <c r="O179" s="381" t="str">
        <f>IF($A179="","",VLOOKUP($A179,기본데이타!$A$8:$BV$103,COLUMN(기본데이타!AP$8),0))</f>
        <v/>
      </c>
      <c r="P179" s="381" t="str">
        <f>IF($A179="","",VLOOKUP($A179,기본데이타!$A$8:$BV$103,COLUMN(기본데이타!AQ$8),0))</f>
        <v/>
      </c>
      <c r="Q179" s="381" t="str">
        <f>IF($A179="","",VLOOKUP($A179,기본데이타!$A$8:$BV$103,COLUMN(기본데이타!AR$8),0))</f>
        <v/>
      </c>
      <c r="R179" s="381" t="str">
        <f>IF($A179="","",VLOOKUP($A179,기본데이타!$A$8:$BV$103,COLUMN(기본데이타!AS$8),0))</f>
        <v/>
      </c>
      <c r="S179" s="381" t="str">
        <f>IF($A179="","",VLOOKUP($A179,기본데이타!$A$8:$BV$103,COLUMN(기본데이타!AT$8),0))</f>
        <v/>
      </c>
      <c r="T179" s="381" t="str">
        <f>IF($A179="","",VLOOKUP($A179,기본데이타!$A$8:$BV$103,COLUMN(기본데이타!AU$8),0))</f>
        <v/>
      </c>
      <c r="U179" s="381" t="str">
        <f>IF($A179="","",VLOOKUP($A179,기본데이타!$A$8:$BV$103,COLUMN(기본데이타!AV$8),0))</f>
        <v/>
      </c>
      <c r="V179" s="16" t="str">
        <f>IF($A179="","",VLOOKUP($A179,기본데이타!$A$8:$BV$103,COLUMN(기본데이타!AW$8),0))</f>
        <v/>
      </c>
      <c r="W179" s="16" t="str">
        <f>IF($A179="","",VLOOKUP($A179,기본데이타!$A$8:$BV$103,COLUMN(기본데이타!AX$8),0))</f>
        <v/>
      </c>
      <c r="X179" s="16" t="str">
        <f>IF($A179="","",VLOOKUP($A179,기본데이타!$A$8:$BV$103,COLUMN(기본데이타!AY$8),0))</f>
        <v/>
      </c>
      <c r="Y179" s="16" t="str">
        <f>IF($A179="","",VLOOKUP($A179,기본데이타!$A$8:$BV$103,COLUMN(기본데이타!AZ$8),0))</f>
        <v/>
      </c>
      <c r="Z179" s="17" t="str">
        <f>IF($A179="","",VLOOKUP($A179,기본데이타!$A$8:$BV$103,COLUMN(기본데이타!BN$8),0))</f>
        <v/>
      </c>
      <c r="AA179" s="17" t="str">
        <f>IF($A179="","",VLOOKUP($A179,기본데이타!$A$8:$BV$103,COLUMN(기본데이타!BO$8),0))</f>
        <v/>
      </c>
      <c r="AB179" s="17" t="str">
        <f>IF($A179="","",VLOOKUP($A179,기본데이타!$A$8:$BV$103,COLUMN(기본데이타!BP$8),0))</f>
        <v/>
      </c>
      <c r="AC179" s="17" t="str">
        <f>IF($A179="","",VLOOKUP($A179,기본데이타!$A$8:$BV$103,COLUMN(기본데이타!BQ$8),0))</f>
        <v/>
      </c>
      <c r="AD179" s="17" t="str">
        <f>IF($A179="","",VLOOKUP($A179,기본데이타!$A$8:$BV$103,COLUMN(기본데이타!BR$8),0))</f>
        <v/>
      </c>
      <c r="AE179" s="17" t="str">
        <f>IF($A179="","",VLOOKUP($A179,기본데이타!$A$8:$BV$103,COLUMN(기본데이타!BS$8),0))</f>
        <v/>
      </c>
      <c r="AF179" s="524" t="str">
        <f>IF($A179="","",VLOOKUP($A179,기본데이타!$A$8:$BV$103,COLUMN(기본데이타!BT$8),0))</f>
        <v/>
      </c>
      <c r="AG179" s="432" t="str">
        <f>IF($A179="","",VLOOKUP($A179,기본데이타!$A$8:$BV$103,COLUMN(기본데이타!BU$8),0))</f>
        <v/>
      </c>
      <c r="AH179" s="18" t="str">
        <f t="shared" si="41"/>
        <v/>
      </c>
    </row>
    <row r="180" spans="1:34" s="187" customFormat="1" ht="35.1" hidden="1" customHeight="1">
      <c r="A180" s="189"/>
      <c r="C180" s="190"/>
      <c r="D180" s="8" t="str">
        <f>IF($A180="","",VLOOKUP($A180,기본데이타!$A$10:$BV$103,COLUMN(기본데이타!F$8),0))</f>
        <v/>
      </c>
      <c r="E180" s="252" t="str">
        <f>IF($A180="","",VLOOKUP($A180,기본데이타!$A$8:$BV$103,COLUMN(기본데이타!G$8),0))</f>
        <v/>
      </c>
      <c r="F180" s="15" t="str">
        <f>IF($A180="","",VLOOKUP($A180,기본데이타!$A$8:$BV$103,COLUMN(기본데이타!H$8),0))</f>
        <v/>
      </c>
      <c r="G180" s="15" t="str">
        <f>IF($A180="","",VLOOKUP($A180,기본데이타!$A$8:$BV$103,COLUMN(기본데이타!I$8),0))</f>
        <v/>
      </c>
      <c r="H180" s="15" t="str">
        <f>IF($A180="","",VLOOKUP($A180,기본데이타!$A$8:$BV$103,COLUMN(기본데이타!J$8),0))</f>
        <v/>
      </c>
      <c r="I180" s="17" t="str">
        <f>IF($A180="","",VLOOKUP($A180,기본데이타!$A$8:$BV$103,COLUMN(기본데이타!AJ$8),0))</f>
        <v/>
      </c>
      <c r="J180" s="381" t="str">
        <f>IF($A180="","",VLOOKUP($A180,기본데이타!$A$8:$BV$103,COLUMN(기본데이타!AK$8),0))</f>
        <v/>
      </c>
      <c r="K180" s="381" t="str">
        <f>IF($A180="","",VLOOKUP($A180,기본데이타!$A$8:$BV$103,COLUMN(기본데이타!AL$8),0))</f>
        <v/>
      </c>
      <c r="L180" s="381" t="str">
        <f>IF($A180="","",VLOOKUP($A180,기본데이타!$A$8:$BV$103,COLUMN(기본데이타!AM$8),0))</f>
        <v/>
      </c>
      <c r="M180" s="381" t="str">
        <f>IF($A180="","",VLOOKUP($A180,기본데이타!$A$8:$BV$103,COLUMN(기본데이타!AN$8),0))</f>
        <v/>
      </c>
      <c r="N180" s="381" t="str">
        <f>IF($A180="","",VLOOKUP($A180,기본데이타!$A$8:$BV$103,COLUMN(기본데이타!AO$8),0))</f>
        <v/>
      </c>
      <c r="O180" s="381" t="str">
        <f>IF($A180="","",VLOOKUP($A180,기본데이타!$A$8:$BV$103,COLUMN(기본데이타!AP$8),0))</f>
        <v/>
      </c>
      <c r="P180" s="381" t="str">
        <f>IF($A180="","",VLOOKUP($A180,기본데이타!$A$8:$BV$103,COLUMN(기본데이타!AQ$8),0))</f>
        <v/>
      </c>
      <c r="Q180" s="381" t="str">
        <f>IF($A180="","",VLOOKUP($A180,기본데이타!$A$8:$BV$103,COLUMN(기본데이타!AR$8),0))</f>
        <v/>
      </c>
      <c r="R180" s="381" t="str">
        <f>IF($A180="","",VLOOKUP($A180,기본데이타!$A$8:$BV$103,COLUMN(기본데이타!AS$8),0))</f>
        <v/>
      </c>
      <c r="S180" s="381" t="str">
        <f>IF($A180="","",VLOOKUP($A180,기본데이타!$A$8:$BV$103,COLUMN(기본데이타!AT$8),0))</f>
        <v/>
      </c>
      <c r="T180" s="381" t="str">
        <f>IF($A180="","",VLOOKUP($A180,기본데이타!$A$8:$BV$103,COLUMN(기본데이타!AU$8),0))</f>
        <v/>
      </c>
      <c r="U180" s="381" t="str">
        <f>IF($A180="","",VLOOKUP($A180,기본데이타!$A$8:$BV$103,COLUMN(기본데이타!AV$8),0))</f>
        <v/>
      </c>
      <c r="V180" s="16" t="str">
        <f>IF($A180="","",VLOOKUP($A180,기본데이타!$A$8:$BV$103,COLUMN(기본데이타!AW$8),0))</f>
        <v/>
      </c>
      <c r="W180" s="16" t="str">
        <f>IF($A180="","",VLOOKUP($A180,기본데이타!$A$8:$BV$103,COLUMN(기본데이타!AX$8),0))</f>
        <v/>
      </c>
      <c r="X180" s="16" t="str">
        <f>IF($A180="","",VLOOKUP($A180,기본데이타!$A$8:$BV$103,COLUMN(기본데이타!AY$8),0))</f>
        <v/>
      </c>
      <c r="Y180" s="16" t="str">
        <f>IF($A180="","",VLOOKUP($A180,기본데이타!$A$8:$BV$103,COLUMN(기본데이타!AZ$8),0))</f>
        <v/>
      </c>
      <c r="Z180" s="17" t="str">
        <f>IF($A180="","",VLOOKUP($A180,기본데이타!$A$8:$BV$103,COLUMN(기본데이타!BN$8),0))</f>
        <v/>
      </c>
      <c r="AA180" s="17" t="str">
        <f>IF($A180="","",VLOOKUP($A180,기본데이타!$A$8:$BV$103,COLUMN(기본데이타!BO$8),0))</f>
        <v/>
      </c>
      <c r="AB180" s="17" t="str">
        <f>IF($A180="","",VLOOKUP($A180,기본데이타!$A$8:$BV$103,COLUMN(기본데이타!BP$8),0))</f>
        <v/>
      </c>
      <c r="AC180" s="17" t="str">
        <f>IF($A180="","",VLOOKUP($A180,기본데이타!$A$8:$BV$103,COLUMN(기본데이타!BQ$8),0))</f>
        <v/>
      </c>
      <c r="AD180" s="17" t="str">
        <f>IF($A180="","",VLOOKUP($A180,기본데이타!$A$8:$BV$103,COLUMN(기본데이타!BR$8),0))</f>
        <v/>
      </c>
      <c r="AE180" s="17" t="str">
        <f>IF($A180="","",VLOOKUP($A180,기본데이타!$A$8:$BV$103,COLUMN(기본데이타!BS$8),0))</f>
        <v/>
      </c>
      <c r="AF180" s="524" t="str">
        <f>IF($A180="","",VLOOKUP($A180,기본데이타!$A$8:$BV$103,COLUMN(기본데이타!BT$8),0))</f>
        <v/>
      </c>
      <c r="AG180" s="432" t="str">
        <f>IF($A180="","",VLOOKUP($A180,기본데이타!$A$8:$BV$103,COLUMN(기본데이타!BU$8),0))</f>
        <v/>
      </c>
      <c r="AH180" s="18" t="str">
        <f t="shared" si="41"/>
        <v/>
      </c>
    </row>
    <row r="181" spans="1:34" s="187" customFormat="1" ht="35.1" hidden="1" customHeight="1">
      <c r="A181" s="189"/>
      <c r="C181" s="190"/>
      <c r="D181" s="8" t="str">
        <f>IF($A181="","",VLOOKUP($A181,기본데이타!$A$10:$BV$103,COLUMN(기본데이타!F$8),0))</f>
        <v/>
      </c>
      <c r="E181" s="252" t="str">
        <f>IF($A181="","",VLOOKUP($A181,기본데이타!$A$8:$BV$103,COLUMN(기본데이타!G$8),0))</f>
        <v/>
      </c>
      <c r="F181" s="15" t="str">
        <f>IF($A181="","",VLOOKUP($A181,기본데이타!$A$8:$BV$103,COLUMN(기본데이타!H$8),0))</f>
        <v/>
      </c>
      <c r="G181" s="15" t="str">
        <f>IF($A181="","",VLOOKUP($A181,기본데이타!$A$8:$BV$103,COLUMN(기본데이타!I$8),0))</f>
        <v/>
      </c>
      <c r="H181" s="15" t="str">
        <f>IF($A181="","",VLOOKUP($A181,기본데이타!$A$8:$BV$103,COLUMN(기본데이타!J$8),0))</f>
        <v/>
      </c>
      <c r="I181" s="17" t="str">
        <f>IF($A181="","",VLOOKUP($A181,기본데이타!$A$8:$BV$103,COLUMN(기본데이타!AJ$8),0))</f>
        <v/>
      </c>
      <c r="J181" s="381" t="str">
        <f>IF($A181="","",VLOOKUP($A181,기본데이타!$A$8:$BV$103,COLUMN(기본데이타!AK$8),0))</f>
        <v/>
      </c>
      <c r="K181" s="381" t="str">
        <f>IF($A181="","",VLOOKUP($A181,기본데이타!$A$8:$BV$103,COLUMN(기본데이타!AL$8),0))</f>
        <v/>
      </c>
      <c r="L181" s="381" t="str">
        <f>IF($A181="","",VLOOKUP($A181,기본데이타!$A$8:$BV$103,COLUMN(기본데이타!AM$8),0))</f>
        <v/>
      </c>
      <c r="M181" s="381" t="str">
        <f>IF($A181="","",VLOOKUP($A181,기본데이타!$A$8:$BV$103,COLUMN(기본데이타!AN$8),0))</f>
        <v/>
      </c>
      <c r="N181" s="381" t="str">
        <f>IF($A181="","",VLOOKUP($A181,기본데이타!$A$8:$BV$103,COLUMN(기본데이타!AO$8),0))</f>
        <v/>
      </c>
      <c r="O181" s="381" t="str">
        <f>IF($A181="","",VLOOKUP($A181,기본데이타!$A$8:$BV$103,COLUMN(기본데이타!AP$8),0))</f>
        <v/>
      </c>
      <c r="P181" s="381" t="str">
        <f>IF($A181="","",VLOOKUP($A181,기본데이타!$A$8:$BV$103,COLUMN(기본데이타!AQ$8),0))</f>
        <v/>
      </c>
      <c r="Q181" s="381" t="str">
        <f>IF($A181="","",VLOOKUP($A181,기본데이타!$A$8:$BV$103,COLUMN(기본데이타!AR$8),0))</f>
        <v/>
      </c>
      <c r="R181" s="381" t="str">
        <f>IF($A181="","",VLOOKUP($A181,기본데이타!$A$8:$BV$103,COLUMN(기본데이타!AS$8),0))</f>
        <v/>
      </c>
      <c r="S181" s="381" t="str">
        <f>IF($A181="","",VLOOKUP($A181,기본데이타!$A$8:$BV$103,COLUMN(기본데이타!AT$8),0))</f>
        <v/>
      </c>
      <c r="T181" s="381" t="str">
        <f>IF($A181="","",VLOOKUP($A181,기본데이타!$A$8:$BV$103,COLUMN(기본데이타!AU$8),0))</f>
        <v/>
      </c>
      <c r="U181" s="381" t="str">
        <f>IF($A181="","",VLOOKUP($A181,기본데이타!$A$8:$BV$103,COLUMN(기본데이타!AV$8),0))</f>
        <v/>
      </c>
      <c r="V181" s="16" t="str">
        <f>IF($A181="","",VLOOKUP($A181,기본데이타!$A$8:$BV$103,COLUMN(기본데이타!AW$8),0))</f>
        <v/>
      </c>
      <c r="W181" s="16" t="str">
        <f>IF($A181="","",VLOOKUP($A181,기본데이타!$A$8:$BV$103,COLUMN(기본데이타!AX$8),0))</f>
        <v/>
      </c>
      <c r="X181" s="16" t="str">
        <f>IF($A181="","",VLOOKUP($A181,기본데이타!$A$8:$BV$103,COLUMN(기본데이타!AY$8),0))</f>
        <v/>
      </c>
      <c r="Y181" s="16" t="str">
        <f>IF($A181="","",VLOOKUP($A181,기본데이타!$A$8:$BV$103,COLUMN(기본데이타!AZ$8),0))</f>
        <v/>
      </c>
      <c r="Z181" s="17" t="str">
        <f>IF($A181="","",VLOOKUP($A181,기본데이타!$A$8:$BV$103,COLUMN(기본데이타!BN$8),0))</f>
        <v/>
      </c>
      <c r="AA181" s="17" t="str">
        <f>IF($A181="","",VLOOKUP($A181,기본데이타!$A$8:$BV$103,COLUMN(기본데이타!BO$8),0))</f>
        <v/>
      </c>
      <c r="AB181" s="17" t="str">
        <f>IF($A181="","",VLOOKUP($A181,기본데이타!$A$8:$BV$103,COLUMN(기본데이타!BP$8),0))</f>
        <v/>
      </c>
      <c r="AC181" s="17" t="str">
        <f>IF($A181="","",VLOOKUP($A181,기본데이타!$A$8:$BV$103,COLUMN(기본데이타!BQ$8),0))</f>
        <v/>
      </c>
      <c r="AD181" s="17" t="str">
        <f>IF($A181="","",VLOOKUP($A181,기본데이타!$A$8:$BV$103,COLUMN(기본데이타!BR$8),0))</f>
        <v/>
      </c>
      <c r="AE181" s="17" t="str">
        <f>IF($A181="","",VLOOKUP($A181,기본데이타!$A$8:$BV$103,COLUMN(기본데이타!BS$8),0))</f>
        <v/>
      </c>
      <c r="AF181" s="524" t="str">
        <f>IF($A181="","",VLOOKUP($A181,기본데이타!$A$8:$BV$103,COLUMN(기본데이타!BT$8),0))</f>
        <v/>
      </c>
      <c r="AG181" s="432" t="str">
        <f>IF($A181="","",VLOOKUP($A181,기본데이타!$A$8:$BV$103,COLUMN(기본데이타!BU$8),0))</f>
        <v/>
      </c>
      <c r="AH181" s="18" t="str">
        <f t="shared" si="41"/>
        <v/>
      </c>
    </row>
    <row r="182" spans="1:34" s="187" customFormat="1" ht="35.1" hidden="1" customHeight="1">
      <c r="A182" s="189"/>
      <c r="C182" s="190"/>
      <c r="D182" s="8" t="str">
        <f>IF($A182="","",VLOOKUP($A182,기본데이타!$A$10:$BV$103,COLUMN(기본데이타!F$8),0))</f>
        <v/>
      </c>
      <c r="E182" s="252" t="str">
        <f>IF($A182="","",VLOOKUP($A182,기본데이타!$A$8:$BV$103,COLUMN(기본데이타!G$8),0))</f>
        <v/>
      </c>
      <c r="F182" s="15" t="str">
        <f>IF($A182="","",VLOOKUP($A182,기본데이타!$A$8:$BV$103,COLUMN(기본데이타!H$8),0))</f>
        <v/>
      </c>
      <c r="G182" s="15" t="str">
        <f>IF($A182="","",VLOOKUP($A182,기본데이타!$A$8:$BV$103,COLUMN(기본데이타!I$8),0))</f>
        <v/>
      </c>
      <c r="H182" s="15" t="str">
        <f>IF($A182="","",VLOOKUP($A182,기본데이타!$A$8:$BV$103,COLUMN(기본데이타!J$8),0))</f>
        <v/>
      </c>
      <c r="I182" s="17" t="str">
        <f>IF($A182="","",VLOOKUP($A182,기본데이타!$A$8:$BV$103,COLUMN(기본데이타!AJ$8),0))</f>
        <v/>
      </c>
      <c r="J182" s="381" t="str">
        <f>IF($A182="","",VLOOKUP($A182,기본데이타!$A$8:$BV$103,COLUMN(기본데이타!AK$8),0))</f>
        <v/>
      </c>
      <c r="K182" s="381" t="str">
        <f>IF($A182="","",VLOOKUP($A182,기본데이타!$A$8:$BV$103,COLUMN(기본데이타!AL$8),0))</f>
        <v/>
      </c>
      <c r="L182" s="381" t="str">
        <f>IF($A182="","",VLOOKUP($A182,기본데이타!$A$8:$BV$103,COLUMN(기본데이타!AM$8),0))</f>
        <v/>
      </c>
      <c r="M182" s="381" t="str">
        <f>IF($A182="","",VLOOKUP($A182,기본데이타!$A$8:$BV$103,COLUMN(기본데이타!AN$8),0))</f>
        <v/>
      </c>
      <c r="N182" s="381" t="str">
        <f>IF($A182="","",VLOOKUP($A182,기본데이타!$A$8:$BV$103,COLUMN(기본데이타!AO$8),0))</f>
        <v/>
      </c>
      <c r="O182" s="381" t="str">
        <f>IF($A182="","",VLOOKUP($A182,기본데이타!$A$8:$BV$103,COLUMN(기본데이타!AP$8),0))</f>
        <v/>
      </c>
      <c r="P182" s="381" t="str">
        <f>IF($A182="","",VLOOKUP($A182,기본데이타!$A$8:$BV$103,COLUMN(기본데이타!AQ$8),0))</f>
        <v/>
      </c>
      <c r="Q182" s="381" t="str">
        <f>IF($A182="","",VLOOKUP($A182,기본데이타!$A$8:$BV$103,COLUMN(기본데이타!AR$8),0))</f>
        <v/>
      </c>
      <c r="R182" s="381" t="str">
        <f>IF($A182="","",VLOOKUP($A182,기본데이타!$A$8:$BV$103,COLUMN(기본데이타!AS$8),0))</f>
        <v/>
      </c>
      <c r="S182" s="381" t="str">
        <f>IF($A182="","",VLOOKUP($A182,기본데이타!$A$8:$BV$103,COLUMN(기본데이타!AT$8),0))</f>
        <v/>
      </c>
      <c r="T182" s="381" t="str">
        <f>IF($A182="","",VLOOKUP($A182,기본데이타!$A$8:$BV$103,COLUMN(기본데이타!AU$8),0))</f>
        <v/>
      </c>
      <c r="U182" s="381" t="str">
        <f>IF($A182="","",VLOOKUP($A182,기본데이타!$A$8:$BV$103,COLUMN(기본데이타!AV$8),0))</f>
        <v/>
      </c>
      <c r="V182" s="16" t="str">
        <f>IF($A182="","",VLOOKUP($A182,기본데이타!$A$8:$BV$103,COLUMN(기본데이타!AW$8),0))</f>
        <v/>
      </c>
      <c r="W182" s="16" t="str">
        <f>IF($A182="","",VLOOKUP($A182,기본데이타!$A$8:$BV$103,COLUMN(기본데이타!AX$8),0))</f>
        <v/>
      </c>
      <c r="X182" s="16" t="str">
        <f>IF($A182="","",VLOOKUP($A182,기본데이타!$A$8:$BV$103,COLUMN(기본데이타!AY$8),0))</f>
        <v/>
      </c>
      <c r="Y182" s="16" t="str">
        <f>IF($A182="","",VLOOKUP($A182,기본데이타!$A$8:$BV$103,COLUMN(기본데이타!AZ$8),0))</f>
        <v/>
      </c>
      <c r="Z182" s="17" t="str">
        <f>IF($A182="","",VLOOKUP($A182,기본데이타!$A$8:$BV$103,COLUMN(기본데이타!BN$8),0))</f>
        <v/>
      </c>
      <c r="AA182" s="17" t="str">
        <f>IF($A182="","",VLOOKUP($A182,기본데이타!$A$8:$BV$103,COLUMN(기본데이타!BO$8),0))</f>
        <v/>
      </c>
      <c r="AB182" s="17" t="str">
        <f>IF($A182="","",VLOOKUP($A182,기본데이타!$A$8:$BV$103,COLUMN(기본데이타!BP$8),0))</f>
        <v/>
      </c>
      <c r="AC182" s="17" t="str">
        <f>IF($A182="","",VLOOKUP($A182,기본데이타!$A$8:$BV$103,COLUMN(기본데이타!BQ$8),0))</f>
        <v/>
      </c>
      <c r="AD182" s="17" t="str">
        <f>IF($A182="","",VLOOKUP($A182,기본데이타!$A$8:$BV$103,COLUMN(기본데이타!BR$8),0))</f>
        <v/>
      </c>
      <c r="AE182" s="17" t="str">
        <f>IF($A182="","",VLOOKUP($A182,기본데이타!$A$8:$BV$103,COLUMN(기본데이타!BS$8),0))</f>
        <v/>
      </c>
      <c r="AF182" s="524" t="str">
        <f>IF($A182="","",VLOOKUP($A182,기본데이타!$A$8:$BV$103,COLUMN(기본데이타!BT$8),0))</f>
        <v/>
      </c>
      <c r="AG182" s="432" t="str">
        <f>IF($A182="","",VLOOKUP($A182,기본데이타!$A$8:$BV$103,COLUMN(기본데이타!BU$8),0))</f>
        <v/>
      </c>
      <c r="AH182" s="18" t="str">
        <f t="shared" si="41"/>
        <v/>
      </c>
    </row>
    <row r="183" spans="1:34" s="187" customFormat="1" ht="35.1" hidden="1" customHeight="1">
      <c r="A183" s="189"/>
      <c r="C183" s="190"/>
      <c r="D183" s="8" t="str">
        <f>IF($A183="","",VLOOKUP($A183,기본데이타!$A$10:$BV$103,COLUMN(기본데이타!F$8),0))</f>
        <v/>
      </c>
      <c r="E183" s="252" t="str">
        <f>IF($A183="","",VLOOKUP($A183,기본데이타!$A$8:$BV$103,COLUMN(기본데이타!G$8),0))</f>
        <v/>
      </c>
      <c r="F183" s="15" t="str">
        <f>IF($A183="","",VLOOKUP($A183,기본데이타!$A$8:$BV$103,COLUMN(기본데이타!H$8),0))</f>
        <v/>
      </c>
      <c r="G183" s="15" t="str">
        <f>IF($A183="","",VLOOKUP($A183,기본데이타!$A$8:$BV$103,COLUMN(기본데이타!I$8),0))</f>
        <v/>
      </c>
      <c r="H183" s="15" t="str">
        <f>IF($A183="","",VLOOKUP($A183,기본데이타!$A$8:$BV$103,COLUMN(기본데이타!J$8),0))</f>
        <v/>
      </c>
      <c r="I183" s="17" t="str">
        <f>IF($A183="","",VLOOKUP($A183,기본데이타!$A$8:$BV$103,COLUMN(기본데이타!AJ$8),0))</f>
        <v/>
      </c>
      <c r="J183" s="381" t="str">
        <f>IF($A183="","",VLOOKUP($A183,기본데이타!$A$8:$BV$103,COLUMN(기본데이타!AK$8),0))</f>
        <v/>
      </c>
      <c r="K183" s="381" t="str">
        <f>IF($A183="","",VLOOKUP($A183,기본데이타!$A$8:$BV$103,COLUMN(기본데이타!AL$8),0))</f>
        <v/>
      </c>
      <c r="L183" s="381" t="str">
        <f>IF($A183="","",VLOOKUP($A183,기본데이타!$A$8:$BV$103,COLUMN(기본데이타!AM$8),0))</f>
        <v/>
      </c>
      <c r="M183" s="381" t="str">
        <f>IF($A183="","",VLOOKUP($A183,기본데이타!$A$8:$BV$103,COLUMN(기본데이타!AN$8),0))</f>
        <v/>
      </c>
      <c r="N183" s="381" t="str">
        <f>IF($A183="","",VLOOKUP($A183,기본데이타!$A$8:$BV$103,COLUMN(기본데이타!AO$8),0))</f>
        <v/>
      </c>
      <c r="O183" s="381" t="str">
        <f>IF($A183="","",VLOOKUP($A183,기본데이타!$A$8:$BV$103,COLUMN(기본데이타!AP$8),0))</f>
        <v/>
      </c>
      <c r="P183" s="381" t="str">
        <f>IF($A183="","",VLOOKUP($A183,기본데이타!$A$8:$BV$103,COLUMN(기본데이타!AQ$8),0))</f>
        <v/>
      </c>
      <c r="Q183" s="381" t="str">
        <f>IF($A183="","",VLOOKUP($A183,기본데이타!$A$8:$BV$103,COLUMN(기본데이타!AR$8),0))</f>
        <v/>
      </c>
      <c r="R183" s="381" t="str">
        <f>IF($A183="","",VLOOKUP($A183,기본데이타!$A$8:$BV$103,COLUMN(기본데이타!AS$8),0))</f>
        <v/>
      </c>
      <c r="S183" s="381" t="str">
        <f>IF($A183="","",VLOOKUP($A183,기본데이타!$A$8:$BV$103,COLUMN(기본데이타!AT$8),0))</f>
        <v/>
      </c>
      <c r="T183" s="381" t="str">
        <f>IF($A183="","",VLOOKUP($A183,기본데이타!$A$8:$BV$103,COLUMN(기본데이타!AU$8),0))</f>
        <v/>
      </c>
      <c r="U183" s="381" t="str">
        <f>IF($A183="","",VLOOKUP($A183,기본데이타!$A$8:$BV$103,COLUMN(기본데이타!AV$8),0))</f>
        <v/>
      </c>
      <c r="V183" s="16" t="str">
        <f>IF($A183="","",VLOOKUP($A183,기본데이타!$A$8:$BV$103,COLUMN(기본데이타!AW$8),0))</f>
        <v/>
      </c>
      <c r="W183" s="16" t="str">
        <f>IF($A183="","",VLOOKUP($A183,기본데이타!$A$8:$BV$103,COLUMN(기본데이타!AX$8),0))</f>
        <v/>
      </c>
      <c r="X183" s="16" t="str">
        <f>IF($A183="","",VLOOKUP($A183,기본데이타!$A$8:$BV$103,COLUMN(기본데이타!AY$8),0))</f>
        <v/>
      </c>
      <c r="Y183" s="16" t="str">
        <f>IF($A183="","",VLOOKUP($A183,기본데이타!$A$8:$BV$103,COLUMN(기본데이타!AZ$8),0))</f>
        <v/>
      </c>
      <c r="Z183" s="17" t="str">
        <f>IF($A183="","",VLOOKUP($A183,기본데이타!$A$8:$BV$103,COLUMN(기본데이타!BN$8),0))</f>
        <v/>
      </c>
      <c r="AA183" s="17" t="str">
        <f>IF($A183="","",VLOOKUP($A183,기본데이타!$A$8:$BV$103,COLUMN(기본데이타!BO$8),0))</f>
        <v/>
      </c>
      <c r="AB183" s="17" t="str">
        <f>IF($A183="","",VLOOKUP($A183,기본데이타!$A$8:$BV$103,COLUMN(기본데이타!BP$8),0))</f>
        <v/>
      </c>
      <c r="AC183" s="17" t="str">
        <f>IF($A183="","",VLOOKUP($A183,기본데이타!$A$8:$BV$103,COLUMN(기본데이타!BQ$8),0))</f>
        <v/>
      </c>
      <c r="AD183" s="17" t="str">
        <f>IF($A183="","",VLOOKUP($A183,기본데이타!$A$8:$BV$103,COLUMN(기본데이타!BR$8),0))</f>
        <v/>
      </c>
      <c r="AE183" s="17" t="str">
        <f>IF($A183="","",VLOOKUP($A183,기본데이타!$A$8:$BV$103,COLUMN(기본데이타!BS$8),0))</f>
        <v/>
      </c>
      <c r="AF183" s="294" t="str">
        <f>IF($A183="","",VLOOKUP($A183,기본데이타!$A$8:$BV$103,COLUMN(기본데이타!BT$8),0))</f>
        <v/>
      </c>
      <c r="AG183" s="432" t="str">
        <f>IF($A183="","",VLOOKUP($A183,기본데이타!$A$8:$BV$103,COLUMN(기본데이타!BU$8),0))</f>
        <v/>
      </c>
      <c r="AH183" s="18" t="str">
        <f t="shared" si="41"/>
        <v/>
      </c>
    </row>
    <row r="184" spans="1:34" s="187" customFormat="1" ht="35.1" hidden="1" customHeight="1">
      <c r="A184" s="189"/>
      <c r="C184" s="190"/>
      <c r="D184" s="8" t="str">
        <f>IF($A184="","",VLOOKUP($A184,기본데이타!$A$10:$BV$103,COLUMN(기본데이타!F$8),0))</f>
        <v/>
      </c>
      <c r="E184" s="252" t="str">
        <f>IF($A184="","",VLOOKUP($A184,기본데이타!$A$8:$BV$103,COLUMN(기본데이타!G$8),0))</f>
        <v/>
      </c>
      <c r="F184" s="15" t="str">
        <f>IF($A184="","",VLOOKUP($A184,기본데이타!$A$8:$BV$103,COLUMN(기본데이타!H$8),0))</f>
        <v/>
      </c>
      <c r="G184" s="15" t="str">
        <f>IF($A184="","",VLOOKUP($A184,기본데이타!$A$8:$BV$103,COLUMN(기본데이타!I$8),0))</f>
        <v/>
      </c>
      <c r="H184" s="15" t="str">
        <f>IF($A184="","",VLOOKUP($A184,기본데이타!$A$8:$BV$103,COLUMN(기본데이타!J$8),0))</f>
        <v/>
      </c>
      <c r="I184" s="17" t="str">
        <f>IF($A184="","",VLOOKUP($A184,기본데이타!$A$8:$BV$103,COLUMN(기본데이타!AJ$8),0))</f>
        <v/>
      </c>
      <c r="J184" s="381" t="str">
        <f>IF($A184="","",VLOOKUP($A184,기본데이타!$A$8:$BV$103,COLUMN(기본데이타!AK$8),0))</f>
        <v/>
      </c>
      <c r="K184" s="381" t="str">
        <f>IF($A184="","",VLOOKUP($A184,기본데이타!$A$8:$BV$103,COLUMN(기본데이타!AL$8),0))</f>
        <v/>
      </c>
      <c r="L184" s="381" t="str">
        <f>IF($A184="","",VLOOKUP($A184,기본데이타!$A$8:$BV$103,COLUMN(기본데이타!AM$8),0))</f>
        <v/>
      </c>
      <c r="M184" s="381" t="str">
        <f>IF($A184="","",VLOOKUP($A184,기본데이타!$A$8:$BV$103,COLUMN(기본데이타!AN$8),0))</f>
        <v/>
      </c>
      <c r="N184" s="381" t="str">
        <f>IF($A184="","",VLOOKUP($A184,기본데이타!$A$8:$BV$103,COLUMN(기본데이타!AO$8),0))</f>
        <v/>
      </c>
      <c r="O184" s="381" t="str">
        <f>IF($A184="","",VLOOKUP($A184,기본데이타!$A$8:$BV$103,COLUMN(기본데이타!AP$8),0))</f>
        <v/>
      </c>
      <c r="P184" s="381" t="str">
        <f>IF($A184="","",VLOOKUP($A184,기본데이타!$A$8:$BV$103,COLUMN(기본데이타!AQ$8),0))</f>
        <v/>
      </c>
      <c r="Q184" s="381" t="str">
        <f>IF($A184="","",VLOOKUP($A184,기본데이타!$A$8:$BV$103,COLUMN(기본데이타!AR$8),0))</f>
        <v/>
      </c>
      <c r="R184" s="381" t="str">
        <f>IF($A184="","",VLOOKUP($A184,기본데이타!$A$8:$BV$103,COLUMN(기본데이타!AS$8),0))</f>
        <v/>
      </c>
      <c r="S184" s="381" t="str">
        <f>IF($A184="","",VLOOKUP($A184,기본데이타!$A$8:$BV$103,COLUMN(기본데이타!AT$8),0))</f>
        <v/>
      </c>
      <c r="T184" s="381" t="str">
        <f>IF($A184="","",VLOOKUP($A184,기본데이타!$A$8:$BV$103,COLUMN(기본데이타!AU$8),0))</f>
        <v/>
      </c>
      <c r="U184" s="381" t="str">
        <f>IF($A184="","",VLOOKUP($A184,기본데이타!$A$8:$BV$103,COLUMN(기본데이타!AV$8),0))</f>
        <v/>
      </c>
      <c r="V184" s="16" t="str">
        <f>IF($A184="","",VLOOKUP($A184,기본데이타!$A$8:$BV$103,COLUMN(기본데이타!AW$8),0))</f>
        <v/>
      </c>
      <c r="W184" s="16" t="str">
        <f>IF($A184="","",VLOOKUP($A184,기본데이타!$A$8:$BV$103,COLUMN(기본데이타!AX$8),0))</f>
        <v/>
      </c>
      <c r="X184" s="16" t="str">
        <f>IF($A184="","",VLOOKUP($A184,기본데이타!$A$8:$BV$103,COLUMN(기본데이타!AY$8),0))</f>
        <v/>
      </c>
      <c r="Y184" s="16" t="str">
        <f>IF($A184="","",VLOOKUP($A184,기본데이타!$A$8:$BV$103,COLUMN(기본데이타!AZ$8),0))</f>
        <v/>
      </c>
      <c r="Z184" s="17" t="str">
        <f>IF($A184="","",VLOOKUP($A184,기본데이타!$A$8:$BV$103,COLUMN(기본데이타!BN$8),0))</f>
        <v/>
      </c>
      <c r="AA184" s="17" t="str">
        <f>IF($A184="","",VLOOKUP($A184,기본데이타!$A$8:$BV$103,COLUMN(기본데이타!BO$8),0))</f>
        <v/>
      </c>
      <c r="AB184" s="17" t="str">
        <f>IF($A184="","",VLOOKUP($A184,기본데이타!$A$8:$BV$103,COLUMN(기본데이타!BP$8),0))</f>
        <v/>
      </c>
      <c r="AC184" s="17" t="str">
        <f>IF($A184="","",VLOOKUP($A184,기본데이타!$A$8:$BV$103,COLUMN(기본데이타!BQ$8),0))</f>
        <v/>
      </c>
      <c r="AD184" s="17" t="str">
        <f>IF($A184="","",VLOOKUP($A184,기본데이타!$A$8:$BV$103,COLUMN(기본데이타!BR$8),0))</f>
        <v/>
      </c>
      <c r="AE184" s="17" t="str">
        <f>IF($A184="","",VLOOKUP($A184,기본데이타!$A$8:$BV$103,COLUMN(기본데이타!BS$8),0))</f>
        <v/>
      </c>
      <c r="AF184" s="294" t="str">
        <f>IF($A184="","",VLOOKUP($A184,기본데이타!$A$8:$BV$103,COLUMN(기본데이타!BT$8),0))</f>
        <v/>
      </c>
      <c r="AG184" s="432" t="str">
        <f>IF($A184="","",VLOOKUP($A184,기본데이타!$A$8:$BV$103,COLUMN(기본데이타!BU$8),0))</f>
        <v/>
      </c>
      <c r="AH184" s="18" t="str">
        <f t="shared" si="41"/>
        <v/>
      </c>
    </row>
    <row r="185" spans="1:34" s="187" customFormat="1" ht="35.1" hidden="1" customHeight="1">
      <c r="A185" s="189"/>
      <c r="C185" s="190"/>
      <c r="D185" s="8" t="str">
        <f>IF($A185="","",VLOOKUP($A185,기본데이타!$A$10:$BV$103,COLUMN(기본데이타!F$8),0))</f>
        <v/>
      </c>
      <c r="E185" s="252" t="str">
        <f>IF($A185="","",VLOOKUP($A185,기본데이타!$A$8:$BV$103,COLUMN(기본데이타!G$8),0))</f>
        <v/>
      </c>
      <c r="F185" s="15" t="str">
        <f>IF($A185="","",VLOOKUP($A185,기본데이타!$A$8:$BV$103,COLUMN(기본데이타!H$8),0))</f>
        <v/>
      </c>
      <c r="G185" s="15" t="str">
        <f>IF($A185="","",VLOOKUP($A185,기본데이타!$A$8:$BV$103,COLUMN(기본데이타!I$8),0))</f>
        <v/>
      </c>
      <c r="H185" s="15" t="str">
        <f>IF($A185="","",VLOOKUP($A185,기본데이타!$A$8:$BV$103,COLUMN(기본데이타!J$8),0))</f>
        <v/>
      </c>
      <c r="I185" s="17" t="str">
        <f>IF($A185="","",VLOOKUP($A185,기본데이타!$A$8:$BV$103,COLUMN(기본데이타!AJ$8),0))</f>
        <v/>
      </c>
      <c r="J185" s="381" t="str">
        <f>IF($A185="","",VLOOKUP($A185,기본데이타!$A$8:$BV$103,COLUMN(기본데이타!AK$8),0))</f>
        <v/>
      </c>
      <c r="K185" s="381" t="str">
        <f>IF($A185="","",VLOOKUP($A185,기본데이타!$A$8:$BV$103,COLUMN(기본데이타!AL$8),0))</f>
        <v/>
      </c>
      <c r="L185" s="381" t="str">
        <f>IF($A185="","",VLOOKUP($A185,기본데이타!$A$8:$BV$103,COLUMN(기본데이타!AM$8),0))</f>
        <v/>
      </c>
      <c r="M185" s="381" t="str">
        <f>IF($A185="","",VLOOKUP($A185,기본데이타!$A$8:$BV$103,COLUMN(기본데이타!AN$8),0))</f>
        <v/>
      </c>
      <c r="N185" s="381" t="str">
        <f>IF($A185="","",VLOOKUP($A185,기본데이타!$A$8:$BV$103,COLUMN(기본데이타!AO$8),0))</f>
        <v/>
      </c>
      <c r="O185" s="381" t="str">
        <f>IF($A185="","",VLOOKUP($A185,기본데이타!$A$8:$BV$103,COLUMN(기본데이타!AP$8),0))</f>
        <v/>
      </c>
      <c r="P185" s="381" t="str">
        <f>IF($A185="","",VLOOKUP($A185,기본데이타!$A$8:$BV$103,COLUMN(기본데이타!AQ$8),0))</f>
        <v/>
      </c>
      <c r="Q185" s="381" t="str">
        <f>IF($A185="","",VLOOKUP($A185,기본데이타!$A$8:$BV$103,COLUMN(기본데이타!AR$8),0))</f>
        <v/>
      </c>
      <c r="R185" s="381" t="str">
        <f>IF($A185="","",VLOOKUP($A185,기본데이타!$A$8:$BV$103,COLUMN(기본데이타!AS$8),0))</f>
        <v/>
      </c>
      <c r="S185" s="381" t="str">
        <f>IF($A185="","",VLOOKUP($A185,기본데이타!$A$8:$BV$103,COLUMN(기본데이타!AT$8),0))</f>
        <v/>
      </c>
      <c r="T185" s="381" t="str">
        <f>IF($A185="","",VLOOKUP($A185,기본데이타!$A$8:$BV$103,COLUMN(기본데이타!AU$8),0))</f>
        <v/>
      </c>
      <c r="U185" s="381" t="str">
        <f>IF($A185="","",VLOOKUP($A185,기본데이타!$A$8:$BV$103,COLUMN(기본데이타!AV$8),0))</f>
        <v/>
      </c>
      <c r="V185" s="16" t="str">
        <f>IF($A185="","",VLOOKUP($A185,기본데이타!$A$8:$BV$103,COLUMN(기본데이타!AW$8),0))</f>
        <v/>
      </c>
      <c r="W185" s="16" t="str">
        <f>IF($A185="","",VLOOKUP($A185,기본데이타!$A$8:$BV$103,COLUMN(기본데이타!AX$8),0))</f>
        <v/>
      </c>
      <c r="X185" s="16" t="str">
        <f>IF($A185="","",VLOOKUP($A185,기본데이타!$A$8:$BV$103,COLUMN(기본데이타!AY$8),0))</f>
        <v/>
      </c>
      <c r="Y185" s="16" t="str">
        <f>IF($A185="","",VLOOKUP($A185,기본데이타!$A$8:$BV$103,COLUMN(기본데이타!AZ$8),0))</f>
        <v/>
      </c>
      <c r="Z185" s="17" t="str">
        <f>IF($A185="","",VLOOKUP($A185,기본데이타!$A$8:$BV$103,COLUMN(기본데이타!BN$8),0))</f>
        <v/>
      </c>
      <c r="AA185" s="17" t="str">
        <f>IF($A185="","",VLOOKUP($A185,기본데이타!$A$8:$BV$103,COLUMN(기본데이타!BO$8),0))</f>
        <v/>
      </c>
      <c r="AB185" s="17" t="str">
        <f>IF($A185="","",VLOOKUP($A185,기본데이타!$A$8:$BV$103,COLUMN(기본데이타!BP$8),0))</f>
        <v/>
      </c>
      <c r="AC185" s="17" t="str">
        <f>IF($A185="","",VLOOKUP($A185,기본데이타!$A$8:$BV$103,COLUMN(기본데이타!BQ$8),0))</f>
        <v/>
      </c>
      <c r="AD185" s="17" t="str">
        <f>IF($A185="","",VLOOKUP($A185,기본데이타!$A$8:$BV$103,COLUMN(기본데이타!BR$8),0))</f>
        <v/>
      </c>
      <c r="AE185" s="17" t="str">
        <f>IF($A185="","",VLOOKUP($A185,기본데이타!$A$8:$BV$103,COLUMN(기본데이타!BS$8),0))</f>
        <v/>
      </c>
      <c r="AF185" s="294" t="str">
        <f>IF($A185="","",VLOOKUP($A185,기본데이타!$A$8:$BV$103,COLUMN(기본데이타!BT$8),0))</f>
        <v/>
      </c>
      <c r="AG185" s="432" t="str">
        <f>IF($A185="","",VLOOKUP($A185,기본데이타!$A$8:$BV$103,COLUMN(기본데이타!BU$8),0))</f>
        <v/>
      </c>
      <c r="AH185" s="18" t="str">
        <f t="shared" si="41"/>
        <v/>
      </c>
    </row>
    <row r="186" spans="1:34" s="187" customFormat="1" ht="35.1" hidden="1" customHeight="1">
      <c r="A186" s="189"/>
      <c r="C186" s="190"/>
      <c r="D186" s="8" t="str">
        <f>IF($A186="","",VLOOKUP($A186,기본데이타!$A$10:$BV$103,COLUMN(기본데이타!F$8),0))</f>
        <v/>
      </c>
      <c r="E186" s="252" t="str">
        <f>IF($A186="","",VLOOKUP($A186,기본데이타!$A$8:$BV$103,COLUMN(기본데이타!G$8),0))</f>
        <v/>
      </c>
      <c r="F186" s="15" t="str">
        <f>IF($A186="","",VLOOKUP($A186,기본데이타!$A$8:$BV$103,COLUMN(기본데이타!H$8),0))</f>
        <v/>
      </c>
      <c r="G186" s="15" t="str">
        <f>IF($A186="","",VLOOKUP($A186,기본데이타!$A$8:$BV$103,COLUMN(기본데이타!I$8),0))</f>
        <v/>
      </c>
      <c r="H186" s="15" t="str">
        <f>IF($A186="","",VLOOKUP($A186,기본데이타!$A$8:$BV$103,COLUMN(기본데이타!J$8),0))</f>
        <v/>
      </c>
      <c r="I186" s="17" t="str">
        <f>IF($A186="","",VLOOKUP($A186,기본데이타!$A$8:$BV$103,COLUMN(기본데이타!AJ$8),0))</f>
        <v/>
      </c>
      <c r="J186" s="381" t="str">
        <f>IF($A186="","",VLOOKUP($A186,기본데이타!$A$8:$BV$103,COLUMN(기본데이타!AK$8),0))</f>
        <v/>
      </c>
      <c r="K186" s="381" t="str">
        <f>IF($A186="","",VLOOKUP($A186,기본데이타!$A$8:$BV$103,COLUMN(기본데이타!AL$8),0))</f>
        <v/>
      </c>
      <c r="L186" s="381" t="str">
        <f>IF($A186="","",VLOOKUP($A186,기본데이타!$A$8:$BV$103,COLUMN(기본데이타!AM$8),0))</f>
        <v/>
      </c>
      <c r="M186" s="381" t="str">
        <f>IF($A186="","",VLOOKUP($A186,기본데이타!$A$8:$BV$103,COLUMN(기본데이타!AN$8),0))</f>
        <v/>
      </c>
      <c r="N186" s="381" t="str">
        <f>IF($A186="","",VLOOKUP($A186,기본데이타!$A$8:$BV$103,COLUMN(기본데이타!AO$8),0))</f>
        <v/>
      </c>
      <c r="O186" s="381" t="str">
        <f>IF($A186="","",VLOOKUP($A186,기본데이타!$A$8:$BV$103,COLUMN(기본데이타!AP$8),0))</f>
        <v/>
      </c>
      <c r="P186" s="381" t="str">
        <f>IF($A186="","",VLOOKUP($A186,기본데이타!$A$8:$BV$103,COLUMN(기본데이타!AQ$8),0))</f>
        <v/>
      </c>
      <c r="Q186" s="381" t="str">
        <f>IF($A186="","",VLOOKUP($A186,기본데이타!$A$8:$BV$103,COLUMN(기본데이타!AR$8),0))</f>
        <v/>
      </c>
      <c r="R186" s="381" t="str">
        <f>IF($A186="","",VLOOKUP($A186,기본데이타!$A$8:$BV$103,COLUMN(기본데이타!AS$8),0))</f>
        <v/>
      </c>
      <c r="S186" s="381" t="str">
        <f>IF($A186="","",VLOOKUP($A186,기본데이타!$A$8:$BV$103,COLUMN(기본데이타!AT$8),0))</f>
        <v/>
      </c>
      <c r="T186" s="381" t="str">
        <f>IF($A186="","",VLOOKUP($A186,기본데이타!$A$8:$BV$103,COLUMN(기본데이타!AU$8),0))</f>
        <v/>
      </c>
      <c r="U186" s="381" t="str">
        <f>IF($A186="","",VLOOKUP($A186,기본데이타!$A$8:$BV$103,COLUMN(기본데이타!AV$8),0))</f>
        <v/>
      </c>
      <c r="V186" s="16" t="str">
        <f>IF($A186="","",VLOOKUP($A186,기본데이타!$A$8:$BV$103,COLUMN(기본데이타!AW$8),0))</f>
        <v/>
      </c>
      <c r="W186" s="16" t="str">
        <f>IF($A186="","",VLOOKUP($A186,기본데이타!$A$8:$BV$103,COLUMN(기본데이타!AX$8),0))</f>
        <v/>
      </c>
      <c r="X186" s="16" t="str">
        <f>IF($A186="","",VLOOKUP($A186,기본데이타!$A$8:$BV$103,COLUMN(기본데이타!AY$8),0))</f>
        <v/>
      </c>
      <c r="Y186" s="16" t="str">
        <f>IF($A186="","",VLOOKUP($A186,기본데이타!$A$8:$BV$103,COLUMN(기본데이타!AZ$8),0))</f>
        <v/>
      </c>
      <c r="Z186" s="17" t="str">
        <f>IF($A186="","",VLOOKUP($A186,기본데이타!$A$8:$BV$103,COLUMN(기본데이타!BN$8),0))</f>
        <v/>
      </c>
      <c r="AA186" s="17" t="str">
        <f>IF($A186="","",VLOOKUP($A186,기본데이타!$A$8:$BV$103,COLUMN(기본데이타!BO$8),0))</f>
        <v/>
      </c>
      <c r="AB186" s="17" t="str">
        <f>IF($A186="","",VLOOKUP($A186,기본데이타!$A$8:$BV$103,COLUMN(기본데이타!BP$8),0))</f>
        <v/>
      </c>
      <c r="AC186" s="17" t="str">
        <f>IF($A186="","",VLOOKUP($A186,기본데이타!$A$8:$BV$103,COLUMN(기본데이타!BQ$8),0))</f>
        <v/>
      </c>
      <c r="AD186" s="17" t="str">
        <f>IF($A186="","",VLOOKUP($A186,기본데이타!$A$8:$BV$103,COLUMN(기본데이타!BR$8),0))</f>
        <v/>
      </c>
      <c r="AE186" s="17" t="str">
        <f>IF($A186="","",VLOOKUP($A186,기본데이타!$A$8:$BV$103,COLUMN(기본데이타!BS$8),0))</f>
        <v/>
      </c>
      <c r="AF186" s="294" t="str">
        <f>IF($A186="","",VLOOKUP($A186,기본데이타!$A$8:$BV$103,COLUMN(기본데이타!BT$8),0))</f>
        <v/>
      </c>
      <c r="AG186" s="432" t="str">
        <f>IF($A186="","",VLOOKUP($A186,기본데이타!$A$8:$BV$103,COLUMN(기본데이타!BU$8),0))</f>
        <v/>
      </c>
      <c r="AH186" s="18" t="str">
        <f t="shared" si="41"/>
        <v/>
      </c>
    </row>
    <row r="187" spans="1:34" s="187" customFormat="1" ht="35.1" hidden="1" customHeight="1">
      <c r="A187" s="189"/>
      <c r="C187" s="190"/>
      <c r="D187" s="8" t="str">
        <f>IF($A187="","",VLOOKUP($A187,기본데이타!$A$10:$BV$103,COLUMN(기본데이타!F$8),0))</f>
        <v/>
      </c>
      <c r="E187" s="252" t="str">
        <f>IF($A187="","",VLOOKUP($A187,기본데이타!$A$8:$BV$103,COLUMN(기본데이타!G$8),0))</f>
        <v/>
      </c>
      <c r="F187" s="15" t="str">
        <f>IF($A187="","",VLOOKUP($A187,기본데이타!$A$8:$BV$103,COLUMN(기본데이타!H$8),0))</f>
        <v/>
      </c>
      <c r="G187" s="15" t="str">
        <f>IF($A187="","",VLOOKUP($A187,기본데이타!$A$8:$BV$103,COLUMN(기본데이타!I$8),0))</f>
        <v/>
      </c>
      <c r="H187" s="15" t="str">
        <f>IF($A187="","",VLOOKUP($A187,기본데이타!$A$8:$BV$103,COLUMN(기본데이타!J$8),0))</f>
        <v/>
      </c>
      <c r="I187" s="17" t="str">
        <f>IF($A187="","",VLOOKUP($A187,기본데이타!$A$8:$BV$103,COLUMN(기본데이타!AJ$8),0))</f>
        <v/>
      </c>
      <c r="J187" s="381" t="str">
        <f>IF($A187="","",VLOOKUP($A187,기본데이타!$A$8:$BV$103,COLUMN(기본데이타!AK$8),0))</f>
        <v/>
      </c>
      <c r="K187" s="381" t="str">
        <f>IF($A187="","",VLOOKUP($A187,기본데이타!$A$8:$BV$103,COLUMN(기본데이타!AL$8),0))</f>
        <v/>
      </c>
      <c r="L187" s="381" t="str">
        <f>IF($A187="","",VLOOKUP($A187,기본데이타!$A$8:$BV$103,COLUMN(기본데이타!AM$8),0))</f>
        <v/>
      </c>
      <c r="M187" s="381" t="str">
        <f>IF($A187="","",VLOOKUP($A187,기본데이타!$A$8:$BV$103,COLUMN(기본데이타!AN$8),0))</f>
        <v/>
      </c>
      <c r="N187" s="381" t="str">
        <f>IF($A187="","",VLOOKUP($A187,기본데이타!$A$8:$BV$103,COLUMN(기본데이타!AO$8),0))</f>
        <v/>
      </c>
      <c r="O187" s="381" t="str">
        <f>IF($A187="","",VLOOKUP($A187,기본데이타!$A$8:$BV$103,COLUMN(기본데이타!AP$8),0))</f>
        <v/>
      </c>
      <c r="P187" s="381" t="str">
        <f>IF($A187="","",VLOOKUP($A187,기본데이타!$A$8:$BV$103,COLUMN(기본데이타!AQ$8),0))</f>
        <v/>
      </c>
      <c r="Q187" s="381" t="str">
        <f>IF($A187="","",VLOOKUP($A187,기본데이타!$A$8:$BV$103,COLUMN(기본데이타!AR$8),0))</f>
        <v/>
      </c>
      <c r="R187" s="381" t="str">
        <f>IF($A187="","",VLOOKUP($A187,기본데이타!$A$8:$BV$103,COLUMN(기본데이타!AS$8),0))</f>
        <v/>
      </c>
      <c r="S187" s="381" t="str">
        <f>IF($A187="","",VLOOKUP($A187,기본데이타!$A$8:$BV$103,COLUMN(기본데이타!AT$8),0))</f>
        <v/>
      </c>
      <c r="T187" s="381" t="str">
        <f>IF($A187="","",VLOOKUP($A187,기본데이타!$A$8:$BV$103,COLUMN(기본데이타!AU$8),0))</f>
        <v/>
      </c>
      <c r="U187" s="381" t="str">
        <f>IF($A187="","",VLOOKUP($A187,기본데이타!$A$8:$BV$103,COLUMN(기본데이타!AV$8),0))</f>
        <v/>
      </c>
      <c r="V187" s="16" t="str">
        <f>IF($A187="","",VLOOKUP($A187,기본데이타!$A$8:$BV$103,COLUMN(기본데이타!AW$8),0))</f>
        <v/>
      </c>
      <c r="W187" s="16" t="str">
        <f>IF($A187="","",VLOOKUP($A187,기본데이타!$A$8:$BV$103,COLUMN(기본데이타!AX$8),0))</f>
        <v/>
      </c>
      <c r="X187" s="16" t="str">
        <f>IF($A187="","",VLOOKUP($A187,기본데이타!$A$8:$BV$103,COLUMN(기본데이타!AY$8),0))</f>
        <v/>
      </c>
      <c r="Y187" s="16" t="str">
        <f>IF($A187="","",VLOOKUP($A187,기본데이타!$A$8:$BV$103,COLUMN(기본데이타!AZ$8),0))</f>
        <v/>
      </c>
      <c r="Z187" s="17" t="str">
        <f>IF($A187="","",VLOOKUP($A187,기본데이타!$A$8:$BV$103,COLUMN(기본데이타!BN$8),0))</f>
        <v/>
      </c>
      <c r="AA187" s="17" t="str">
        <f>IF($A187="","",VLOOKUP($A187,기본데이타!$A$8:$BV$103,COLUMN(기본데이타!BO$8),0))</f>
        <v/>
      </c>
      <c r="AB187" s="17" t="str">
        <f>IF($A187="","",VLOOKUP($A187,기본데이타!$A$8:$BV$103,COLUMN(기본데이타!BP$8),0))</f>
        <v/>
      </c>
      <c r="AC187" s="17" t="str">
        <f>IF($A187="","",VLOOKUP($A187,기본데이타!$A$8:$BV$103,COLUMN(기본데이타!BQ$8),0))</f>
        <v/>
      </c>
      <c r="AD187" s="17" t="str">
        <f>IF($A187="","",VLOOKUP($A187,기본데이타!$A$8:$BV$103,COLUMN(기본데이타!BR$8),0))</f>
        <v/>
      </c>
      <c r="AE187" s="17" t="str">
        <f>IF($A187="","",VLOOKUP($A187,기본데이타!$A$8:$BV$103,COLUMN(기본데이타!BS$8),0))</f>
        <v/>
      </c>
      <c r="AF187" s="294" t="str">
        <f>IF($A187="","",VLOOKUP($A187,기본데이타!$A$8:$BV$103,COLUMN(기본데이타!BT$8),0))</f>
        <v/>
      </c>
      <c r="AG187" s="432" t="str">
        <f>IF($A187="","",VLOOKUP($A187,기본데이타!$A$8:$BV$103,COLUMN(기본데이타!BU$8),0))</f>
        <v/>
      </c>
      <c r="AH187" s="18" t="str">
        <f t="shared" si="41"/>
        <v/>
      </c>
    </row>
    <row r="188" spans="1:34" s="187" customFormat="1" ht="35.1" hidden="1" customHeight="1">
      <c r="A188" s="189"/>
      <c r="C188" s="190"/>
      <c r="D188" s="8" t="str">
        <f>IF($A188="","",VLOOKUP($A188,기본데이타!$A$10:$BV$103,COLUMN(기본데이타!F$8),0))</f>
        <v/>
      </c>
      <c r="E188" s="252" t="str">
        <f>IF($A188="","",VLOOKUP($A188,기본데이타!$A$8:$BV$103,COLUMN(기본데이타!G$8),0))</f>
        <v/>
      </c>
      <c r="F188" s="15" t="str">
        <f>IF($A188="","",VLOOKUP($A188,기본데이타!$A$8:$BV$103,COLUMN(기본데이타!H$8),0))</f>
        <v/>
      </c>
      <c r="G188" s="15" t="str">
        <f>IF($A188="","",VLOOKUP($A188,기본데이타!$A$8:$BV$103,COLUMN(기본데이타!I$8),0))</f>
        <v/>
      </c>
      <c r="H188" s="15" t="str">
        <f>IF($A188="","",VLOOKUP($A188,기본데이타!$A$8:$BV$103,COLUMN(기본데이타!J$8),0))</f>
        <v/>
      </c>
      <c r="I188" s="17" t="str">
        <f>IF($A188="","",VLOOKUP($A188,기본데이타!$A$8:$BV$103,COLUMN(기본데이타!AJ$8),0))</f>
        <v/>
      </c>
      <c r="J188" s="381" t="str">
        <f>IF($A188="","",VLOOKUP($A188,기본데이타!$A$8:$BV$103,COLUMN(기본데이타!AK$8),0))</f>
        <v/>
      </c>
      <c r="K188" s="381" t="str">
        <f>IF($A188="","",VLOOKUP($A188,기본데이타!$A$8:$BV$103,COLUMN(기본데이타!AL$8),0))</f>
        <v/>
      </c>
      <c r="L188" s="381" t="str">
        <f>IF($A188="","",VLOOKUP($A188,기본데이타!$A$8:$BV$103,COLUMN(기본데이타!AM$8),0))</f>
        <v/>
      </c>
      <c r="M188" s="381" t="str">
        <f>IF($A188="","",VLOOKUP($A188,기본데이타!$A$8:$BV$103,COLUMN(기본데이타!AN$8),0))</f>
        <v/>
      </c>
      <c r="N188" s="381" t="str">
        <f>IF($A188="","",VLOOKUP($A188,기본데이타!$A$8:$BV$103,COLUMN(기본데이타!AO$8),0))</f>
        <v/>
      </c>
      <c r="O188" s="381" t="str">
        <f>IF($A188="","",VLOOKUP($A188,기본데이타!$A$8:$BV$103,COLUMN(기본데이타!AP$8),0))</f>
        <v/>
      </c>
      <c r="P188" s="381" t="str">
        <f>IF($A188="","",VLOOKUP($A188,기본데이타!$A$8:$BV$103,COLUMN(기본데이타!AQ$8),0))</f>
        <v/>
      </c>
      <c r="Q188" s="381" t="str">
        <f>IF($A188="","",VLOOKUP($A188,기본데이타!$A$8:$BV$103,COLUMN(기본데이타!AR$8),0))</f>
        <v/>
      </c>
      <c r="R188" s="381" t="str">
        <f>IF($A188="","",VLOOKUP($A188,기본데이타!$A$8:$BV$103,COLUMN(기본데이타!AS$8),0))</f>
        <v/>
      </c>
      <c r="S188" s="381" t="str">
        <f>IF($A188="","",VLOOKUP($A188,기본데이타!$A$8:$BV$103,COLUMN(기본데이타!AT$8),0))</f>
        <v/>
      </c>
      <c r="T188" s="381" t="str">
        <f>IF($A188="","",VLOOKUP($A188,기본데이타!$A$8:$BV$103,COLUMN(기본데이타!AU$8),0))</f>
        <v/>
      </c>
      <c r="U188" s="381" t="str">
        <f>IF($A188="","",VLOOKUP($A188,기본데이타!$A$8:$BV$103,COLUMN(기본데이타!AV$8),0))</f>
        <v/>
      </c>
      <c r="V188" s="16" t="str">
        <f>IF($A188="","",VLOOKUP($A188,기본데이타!$A$8:$BV$103,COLUMN(기본데이타!AW$8),0))</f>
        <v/>
      </c>
      <c r="W188" s="16" t="str">
        <f>IF($A188="","",VLOOKUP($A188,기본데이타!$A$8:$BV$103,COLUMN(기본데이타!AX$8),0))</f>
        <v/>
      </c>
      <c r="X188" s="16" t="str">
        <f>IF($A188="","",VLOOKUP($A188,기본데이타!$A$8:$BV$103,COLUMN(기본데이타!AY$8),0))</f>
        <v/>
      </c>
      <c r="Y188" s="16" t="str">
        <f>IF($A188="","",VLOOKUP($A188,기본데이타!$A$8:$BV$103,COLUMN(기본데이타!AZ$8),0))</f>
        <v/>
      </c>
      <c r="Z188" s="17" t="str">
        <f>IF($A188="","",VLOOKUP($A188,기본데이타!$A$8:$BV$103,COLUMN(기본데이타!BN$8),0))</f>
        <v/>
      </c>
      <c r="AA188" s="17" t="str">
        <f>IF($A188="","",VLOOKUP($A188,기본데이타!$A$8:$BV$103,COLUMN(기본데이타!BO$8),0))</f>
        <v/>
      </c>
      <c r="AB188" s="17" t="str">
        <f>IF($A188="","",VLOOKUP($A188,기본데이타!$A$8:$BV$103,COLUMN(기본데이타!BP$8),0))</f>
        <v/>
      </c>
      <c r="AC188" s="17" t="str">
        <f>IF($A188="","",VLOOKUP($A188,기본데이타!$A$8:$BV$103,COLUMN(기본데이타!BQ$8),0))</f>
        <v/>
      </c>
      <c r="AD188" s="17" t="str">
        <f>IF($A188="","",VLOOKUP($A188,기본데이타!$A$8:$BV$103,COLUMN(기본데이타!BR$8),0))</f>
        <v/>
      </c>
      <c r="AE188" s="17" t="str">
        <f>IF($A188="","",VLOOKUP($A188,기본데이타!$A$8:$BV$103,COLUMN(기본데이타!BS$8),0))</f>
        <v/>
      </c>
      <c r="AF188" s="294" t="str">
        <f>IF($A188="","",VLOOKUP($A188,기본데이타!$A$8:$BV$103,COLUMN(기본데이타!BT$8),0))</f>
        <v/>
      </c>
      <c r="AG188" s="432" t="str">
        <f>IF($A188="","",VLOOKUP($A188,기본데이타!$A$8:$BV$103,COLUMN(기본데이타!BU$8),0))</f>
        <v/>
      </c>
      <c r="AH188" s="18" t="str">
        <f t="shared" si="41"/>
        <v/>
      </c>
    </row>
    <row r="189" spans="1:34" s="187" customFormat="1" ht="35.1" hidden="1" customHeight="1">
      <c r="A189" s="189"/>
      <c r="C189" s="190"/>
      <c r="D189" s="8" t="str">
        <f>IF($A189="","",VLOOKUP($A189,기본데이타!$A$10:$BV$103,COLUMN(기본데이타!F$8),0))</f>
        <v/>
      </c>
      <c r="E189" s="252" t="str">
        <f>IF($A189="","",VLOOKUP($A189,기본데이타!$A$8:$BV$103,COLUMN(기본데이타!G$8),0))</f>
        <v/>
      </c>
      <c r="F189" s="15" t="str">
        <f>IF($A189="","",VLOOKUP($A189,기본데이타!$A$8:$BV$103,COLUMN(기본데이타!H$8),0))</f>
        <v/>
      </c>
      <c r="G189" s="15" t="str">
        <f>IF($A189="","",VLOOKUP($A189,기본데이타!$A$8:$BV$103,COLUMN(기본데이타!I$8),0))</f>
        <v/>
      </c>
      <c r="H189" s="15" t="str">
        <f>IF($A189="","",VLOOKUP($A189,기본데이타!$A$8:$BV$103,COLUMN(기본데이타!J$8),0))</f>
        <v/>
      </c>
      <c r="I189" s="17" t="str">
        <f>IF($A189="","",VLOOKUP($A189,기본데이타!$A$8:$BV$103,COLUMN(기본데이타!AJ$8),0))</f>
        <v/>
      </c>
      <c r="J189" s="381" t="str">
        <f>IF($A189="","",VLOOKUP($A189,기본데이타!$A$8:$BV$103,COLUMN(기본데이타!AK$8),0))</f>
        <v/>
      </c>
      <c r="K189" s="381" t="str">
        <f>IF($A189="","",VLOOKUP($A189,기본데이타!$A$8:$BV$103,COLUMN(기본데이타!AL$8),0))</f>
        <v/>
      </c>
      <c r="L189" s="381" t="str">
        <f>IF($A189="","",VLOOKUP($A189,기본데이타!$A$8:$BV$103,COLUMN(기본데이타!AM$8),0))</f>
        <v/>
      </c>
      <c r="M189" s="381" t="str">
        <f>IF($A189="","",VLOOKUP($A189,기본데이타!$A$8:$BV$103,COLUMN(기본데이타!AN$8),0))</f>
        <v/>
      </c>
      <c r="N189" s="381" t="str">
        <f>IF($A189="","",VLOOKUP($A189,기본데이타!$A$8:$BV$103,COLUMN(기본데이타!AO$8),0))</f>
        <v/>
      </c>
      <c r="O189" s="381" t="str">
        <f>IF($A189="","",VLOOKUP($A189,기본데이타!$A$8:$BV$103,COLUMN(기본데이타!AP$8),0))</f>
        <v/>
      </c>
      <c r="P189" s="381" t="str">
        <f>IF($A189="","",VLOOKUP($A189,기본데이타!$A$8:$BV$103,COLUMN(기본데이타!AQ$8),0))</f>
        <v/>
      </c>
      <c r="Q189" s="381" t="str">
        <f>IF($A189="","",VLOOKUP($A189,기본데이타!$A$8:$BV$103,COLUMN(기본데이타!AR$8),0))</f>
        <v/>
      </c>
      <c r="R189" s="381" t="str">
        <f>IF($A189="","",VLOOKUP($A189,기본데이타!$A$8:$BV$103,COLUMN(기본데이타!AS$8),0))</f>
        <v/>
      </c>
      <c r="S189" s="381" t="str">
        <f>IF($A189="","",VLOOKUP($A189,기본데이타!$A$8:$BV$103,COLUMN(기본데이타!AT$8),0))</f>
        <v/>
      </c>
      <c r="T189" s="381" t="str">
        <f>IF($A189="","",VLOOKUP($A189,기본데이타!$A$8:$BV$103,COLUMN(기본데이타!AU$8),0))</f>
        <v/>
      </c>
      <c r="U189" s="381" t="str">
        <f>IF($A189="","",VLOOKUP($A189,기본데이타!$A$8:$BV$103,COLUMN(기본데이타!AV$8),0))</f>
        <v/>
      </c>
      <c r="V189" s="16" t="str">
        <f>IF($A189="","",VLOOKUP($A189,기본데이타!$A$8:$BV$103,COLUMN(기본데이타!AW$8),0))</f>
        <v/>
      </c>
      <c r="W189" s="16" t="str">
        <f>IF($A189="","",VLOOKUP($A189,기본데이타!$A$8:$BV$103,COLUMN(기본데이타!AX$8),0))</f>
        <v/>
      </c>
      <c r="X189" s="16" t="str">
        <f>IF($A189="","",VLOOKUP($A189,기본데이타!$A$8:$BV$103,COLUMN(기본데이타!AY$8),0))</f>
        <v/>
      </c>
      <c r="Y189" s="16" t="str">
        <f>IF($A189="","",VLOOKUP($A189,기본데이타!$A$8:$BV$103,COLUMN(기본데이타!AZ$8),0))</f>
        <v/>
      </c>
      <c r="Z189" s="17" t="str">
        <f>IF($A189="","",VLOOKUP($A189,기본데이타!$A$8:$BV$103,COLUMN(기본데이타!BN$8),0))</f>
        <v/>
      </c>
      <c r="AA189" s="17" t="str">
        <f>IF($A189="","",VLOOKUP($A189,기본데이타!$A$8:$BV$103,COLUMN(기본데이타!BO$8),0))</f>
        <v/>
      </c>
      <c r="AB189" s="17" t="str">
        <f>IF($A189="","",VLOOKUP($A189,기본데이타!$A$8:$BV$103,COLUMN(기본데이타!BP$8),0))</f>
        <v/>
      </c>
      <c r="AC189" s="17" t="str">
        <f>IF($A189="","",VLOOKUP($A189,기본데이타!$A$8:$BV$103,COLUMN(기본데이타!BQ$8),0))</f>
        <v/>
      </c>
      <c r="AD189" s="17" t="str">
        <f>IF($A189="","",VLOOKUP($A189,기본데이타!$A$8:$BV$103,COLUMN(기본데이타!BR$8),0))</f>
        <v/>
      </c>
      <c r="AE189" s="17" t="str">
        <f>IF($A189="","",VLOOKUP($A189,기본데이타!$A$8:$BV$103,COLUMN(기본데이타!BS$8),0))</f>
        <v/>
      </c>
      <c r="AF189" s="294" t="str">
        <f>IF($A189="","",VLOOKUP($A189,기본데이타!$A$8:$BV$103,COLUMN(기본데이타!BT$8),0))</f>
        <v/>
      </c>
      <c r="AG189" s="432" t="str">
        <f>IF($A189="","",VLOOKUP($A189,기본데이타!$A$8:$BV$103,COLUMN(기본데이타!BU$8),0))</f>
        <v/>
      </c>
      <c r="AH189" s="18" t="str">
        <f t="shared" si="41"/>
        <v/>
      </c>
    </row>
    <row r="190" spans="1:34" s="187" customFormat="1" ht="35.1" hidden="1" customHeight="1">
      <c r="A190" s="189"/>
      <c r="C190" s="190"/>
      <c r="D190" s="8" t="str">
        <f>IF($A190="","",VLOOKUP($A190,기본데이타!$A$10:$BV$103,COLUMN(기본데이타!F$8),0))</f>
        <v/>
      </c>
      <c r="E190" s="252" t="str">
        <f>IF($A190="","",VLOOKUP($A190,기본데이타!$A$8:$BV$103,COLUMN(기본데이타!G$8),0))</f>
        <v/>
      </c>
      <c r="F190" s="15" t="str">
        <f>IF($A190="","",VLOOKUP($A190,기본데이타!$A$8:$BV$103,COLUMN(기본데이타!H$8),0))</f>
        <v/>
      </c>
      <c r="G190" s="15" t="str">
        <f>IF($A190="","",VLOOKUP($A190,기본데이타!$A$8:$BV$103,COLUMN(기본데이타!I$8),0))</f>
        <v/>
      </c>
      <c r="H190" s="15" t="str">
        <f>IF($A190="","",VLOOKUP($A190,기본데이타!$A$8:$BV$103,COLUMN(기본데이타!J$8),0))</f>
        <v/>
      </c>
      <c r="I190" s="17" t="str">
        <f>IF($A190="","",VLOOKUP($A190,기본데이타!$A$8:$BV$103,COLUMN(기본데이타!AJ$8),0))</f>
        <v/>
      </c>
      <c r="J190" s="381" t="str">
        <f>IF($A190="","",VLOOKUP($A190,기본데이타!$A$8:$BV$103,COLUMN(기본데이타!AK$8),0))</f>
        <v/>
      </c>
      <c r="K190" s="381" t="str">
        <f>IF($A190="","",VLOOKUP($A190,기본데이타!$A$8:$BV$103,COLUMN(기본데이타!AL$8),0))</f>
        <v/>
      </c>
      <c r="L190" s="381" t="str">
        <f>IF($A190="","",VLOOKUP($A190,기본데이타!$A$8:$BV$103,COLUMN(기본데이타!AM$8),0))</f>
        <v/>
      </c>
      <c r="M190" s="381" t="str">
        <f>IF($A190="","",VLOOKUP($A190,기본데이타!$A$8:$BV$103,COLUMN(기본데이타!AN$8),0))</f>
        <v/>
      </c>
      <c r="N190" s="381" t="str">
        <f>IF($A190="","",VLOOKUP($A190,기본데이타!$A$8:$BV$103,COLUMN(기본데이타!AO$8),0))</f>
        <v/>
      </c>
      <c r="O190" s="381" t="str">
        <f>IF($A190="","",VLOOKUP($A190,기본데이타!$A$8:$BV$103,COLUMN(기본데이타!AP$8),0))</f>
        <v/>
      </c>
      <c r="P190" s="381" t="str">
        <f>IF($A190="","",VLOOKUP($A190,기본데이타!$A$8:$BV$103,COLUMN(기본데이타!AQ$8),0))</f>
        <v/>
      </c>
      <c r="Q190" s="381" t="str">
        <f>IF($A190="","",VLOOKUP($A190,기본데이타!$A$8:$BV$103,COLUMN(기본데이타!AR$8),0))</f>
        <v/>
      </c>
      <c r="R190" s="381" t="str">
        <f>IF($A190="","",VLOOKUP($A190,기본데이타!$A$8:$BV$103,COLUMN(기본데이타!AS$8),0))</f>
        <v/>
      </c>
      <c r="S190" s="381" t="str">
        <f>IF($A190="","",VLOOKUP($A190,기본데이타!$A$8:$BV$103,COLUMN(기본데이타!AT$8),0))</f>
        <v/>
      </c>
      <c r="T190" s="381" t="str">
        <f>IF($A190="","",VLOOKUP($A190,기본데이타!$A$8:$BV$103,COLUMN(기본데이타!AU$8),0))</f>
        <v/>
      </c>
      <c r="U190" s="381" t="str">
        <f>IF($A190="","",VLOOKUP($A190,기본데이타!$A$8:$BV$103,COLUMN(기본데이타!AV$8),0))</f>
        <v/>
      </c>
      <c r="V190" s="16" t="str">
        <f>IF($A190="","",VLOOKUP($A190,기본데이타!$A$8:$BV$103,COLUMN(기본데이타!AW$8),0))</f>
        <v/>
      </c>
      <c r="W190" s="16" t="str">
        <f>IF($A190="","",VLOOKUP($A190,기본데이타!$A$8:$BV$103,COLUMN(기본데이타!AX$8),0))</f>
        <v/>
      </c>
      <c r="X190" s="16" t="str">
        <f>IF($A190="","",VLOOKUP($A190,기본데이타!$A$8:$BV$103,COLUMN(기본데이타!AY$8),0))</f>
        <v/>
      </c>
      <c r="Y190" s="16" t="str">
        <f>IF($A190="","",VLOOKUP($A190,기본데이타!$A$8:$BV$103,COLUMN(기본데이타!AZ$8),0))</f>
        <v/>
      </c>
      <c r="Z190" s="17" t="str">
        <f>IF($A190="","",VLOOKUP($A190,기본데이타!$A$8:$BV$103,COLUMN(기본데이타!BN$8),0))</f>
        <v/>
      </c>
      <c r="AA190" s="17" t="str">
        <f>IF($A190="","",VLOOKUP($A190,기본데이타!$A$8:$BV$103,COLUMN(기본데이타!BO$8),0))</f>
        <v/>
      </c>
      <c r="AB190" s="17" t="str">
        <f>IF($A190="","",VLOOKUP($A190,기본데이타!$A$8:$BV$103,COLUMN(기본데이타!BP$8),0))</f>
        <v/>
      </c>
      <c r="AC190" s="17" t="str">
        <f>IF($A190="","",VLOOKUP($A190,기본데이타!$A$8:$BV$103,COLUMN(기본데이타!BQ$8),0))</f>
        <v/>
      </c>
      <c r="AD190" s="17" t="str">
        <f>IF($A190="","",VLOOKUP($A190,기본데이타!$A$8:$BV$103,COLUMN(기본데이타!BR$8),0))</f>
        <v/>
      </c>
      <c r="AE190" s="17" t="str">
        <f>IF($A190="","",VLOOKUP($A190,기본데이타!$A$8:$BV$103,COLUMN(기본데이타!BS$8),0))</f>
        <v/>
      </c>
      <c r="AF190" s="294" t="str">
        <f>IF($A190="","",VLOOKUP($A190,기본데이타!$A$8:$BV$103,COLUMN(기본데이타!BT$8),0))</f>
        <v/>
      </c>
      <c r="AG190" s="432" t="str">
        <f>IF($A190="","",VLOOKUP($A190,기본데이타!$A$8:$BV$103,COLUMN(기본데이타!BU$8),0))</f>
        <v/>
      </c>
      <c r="AH190" s="18" t="str">
        <f t="shared" si="41"/>
        <v/>
      </c>
    </row>
    <row r="191" spans="1:34" s="187" customFormat="1" ht="35.1" hidden="1" customHeight="1">
      <c r="A191" s="189"/>
      <c r="C191" s="190"/>
      <c r="D191" s="8" t="str">
        <f>IF($A191="","",VLOOKUP($A191,기본데이타!$A$10:$BV$103,COLUMN(기본데이타!F$8),0))</f>
        <v/>
      </c>
      <c r="E191" s="252" t="str">
        <f>IF($A191="","",VLOOKUP($A191,기본데이타!$A$8:$BV$103,COLUMN(기본데이타!G$8),0))</f>
        <v/>
      </c>
      <c r="F191" s="15" t="str">
        <f>IF($A191="","",VLOOKUP($A191,기본데이타!$A$8:$BV$103,COLUMN(기본데이타!H$8),0))</f>
        <v/>
      </c>
      <c r="G191" s="15" t="str">
        <f>IF($A191="","",VLOOKUP($A191,기본데이타!$A$8:$BV$103,COLUMN(기본데이타!I$8),0))</f>
        <v/>
      </c>
      <c r="H191" s="15" t="str">
        <f>IF($A191="","",VLOOKUP($A191,기본데이타!$A$8:$BV$103,COLUMN(기본데이타!J$8),0))</f>
        <v/>
      </c>
      <c r="I191" s="17" t="str">
        <f>IF($A191="","",VLOOKUP($A191,기본데이타!$A$8:$BV$103,COLUMN(기본데이타!AJ$8),0))</f>
        <v/>
      </c>
      <c r="J191" s="381" t="str">
        <f>IF($A191="","",VLOOKUP($A191,기본데이타!$A$8:$BV$103,COLUMN(기본데이타!AK$8),0))</f>
        <v/>
      </c>
      <c r="K191" s="381" t="str">
        <f>IF($A191="","",VLOOKUP($A191,기본데이타!$A$8:$BV$103,COLUMN(기본데이타!AL$8),0))</f>
        <v/>
      </c>
      <c r="L191" s="381" t="str">
        <f>IF($A191="","",VLOOKUP($A191,기본데이타!$A$8:$BV$103,COLUMN(기본데이타!AM$8),0))</f>
        <v/>
      </c>
      <c r="M191" s="381" t="str">
        <f>IF($A191="","",VLOOKUP($A191,기본데이타!$A$8:$BV$103,COLUMN(기본데이타!AN$8),0))</f>
        <v/>
      </c>
      <c r="N191" s="381" t="str">
        <f>IF($A191="","",VLOOKUP($A191,기본데이타!$A$8:$BV$103,COLUMN(기본데이타!AO$8),0))</f>
        <v/>
      </c>
      <c r="O191" s="381" t="str">
        <f>IF($A191="","",VLOOKUP($A191,기본데이타!$A$8:$BV$103,COLUMN(기본데이타!AP$8),0))</f>
        <v/>
      </c>
      <c r="P191" s="381" t="str">
        <f>IF($A191="","",VLOOKUP($A191,기본데이타!$A$8:$BV$103,COLUMN(기본데이타!AQ$8),0))</f>
        <v/>
      </c>
      <c r="Q191" s="381" t="str">
        <f>IF($A191="","",VLOOKUP($A191,기본데이타!$A$8:$BV$103,COLUMN(기본데이타!AR$8),0))</f>
        <v/>
      </c>
      <c r="R191" s="381" t="str">
        <f>IF($A191="","",VLOOKUP($A191,기본데이타!$A$8:$BV$103,COLUMN(기본데이타!AS$8),0))</f>
        <v/>
      </c>
      <c r="S191" s="381" t="str">
        <f>IF($A191="","",VLOOKUP($A191,기본데이타!$A$8:$BV$103,COLUMN(기본데이타!AT$8),0))</f>
        <v/>
      </c>
      <c r="T191" s="381" t="str">
        <f>IF($A191="","",VLOOKUP($A191,기본데이타!$A$8:$BV$103,COLUMN(기본데이타!AU$8),0))</f>
        <v/>
      </c>
      <c r="U191" s="381" t="str">
        <f>IF($A191="","",VLOOKUP($A191,기본데이타!$A$8:$BV$103,COLUMN(기본데이타!AV$8),0))</f>
        <v/>
      </c>
      <c r="V191" s="16" t="str">
        <f>IF($A191="","",VLOOKUP($A191,기본데이타!$A$8:$BV$103,COLUMN(기본데이타!AW$8),0))</f>
        <v/>
      </c>
      <c r="W191" s="16" t="str">
        <f>IF($A191="","",VLOOKUP($A191,기본데이타!$A$8:$BV$103,COLUMN(기본데이타!AX$8),0))</f>
        <v/>
      </c>
      <c r="X191" s="16" t="str">
        <f>IF($A191="","",VLOOKUP($A191,기본데이타!$A$8:$BV$103,COLUMN(기본데이타!AY$8),0))</f>
        <v/>
      </c>
      <c r="Y191" s="16" t="str">
        <f>IF($A191="","",VLOOKUP($A191,기본데이타!$A$8:$BV$103,COLUMN(기본데이타!AZ$8),0))</f>
        <v/>
      </c>
      <c r="Z191" s="17" t="str">
        <f>IF($A191="","",VLOOKUP($A191,기본데이타!$A$8:$BV$103,COLUMN(기본데이타!BN$8),0))</f>
        <v/>
      </c>
      <c r="AA191" s="17" t="str">
        <f>IF($A191="","",VLOOKUP($A191,기본데이타!$A$8:$BV$103,COLUMN(기본데이타!BO$8),0))</f>
        <v/>
      </c>
      <c r="AB191" s="17" t="str">
        <f>IF($A191="","",VLOOKUP($A191,기본데이타!$A$8:$BV$103,COLUMN(기본데이타!BP$8),0))</f>
        <v/>
      </c>
      <c r="AC191" s="17" t="str">
        <f>IF($A191="","",VLOOKUP($A191,기본데이타!$A$8:$BV$103,COLUMN(기본데이타!BQ$8),0))</f>
        <v/>
      </c>
      <c r="AD191" s="17" t="str">
        <f>IF($A191="","",VLOOKUP($A191,기본데이타!$A$8:$BV$103,COLUMN(기본데이타!BR$8),0))</f>
        <v/>
      </c>
      <c r="AE191" s="17" t="str">
        <f>IF($A191="","",VLOOKUP($A191,기본데이타!$A$8:$BV$103,COLUMN(기본데이타!BS$8),0))</f>
        <v/>
      </c>
      <c r="AF191" s="294" t="str">
        <f>IF($A191="","",VLOOKUP($A191,기본데이타!$A$8:$BV$103,COLUMN(기본데이타!BT$8),0))</f>
        <v/>
      </c>
      <c r="AG191" s="432" t="str">
        <f>IF($A191="","",VLOOKUP($A191,기본데이타!$A$8:$BV$103,COLUMN(기본데이타!BU$8),0))</f>
        <v/>
      </c>
      <c r="AH191" s="18" t="str">
        <f t="shared" si="41"/>
        <v/>
      </c>
    </row>
    <row r="192" spans="1:34" s="187" customFormat="1" ht="35.1" hidden="1" customHeight="1">
      <c r="A192" s="189"/>
      <c r="C192" s="190"/>
      <c r="D192" s="8" t="str">
        <f>IF($A192="","",VLOOKUP($A192,기본데이타!$A$10:$BV$103,COLUMN(기본데이타!F$8),0))</f>
        <v/>
      </c>
      <c r="E192" s="252" t="str">
        <f>IF($A192="","",VLOOKUP($A192,기본데이타!$A$8:$BV$103,COLUMN(기본데이타!G$8),0))</f>
        <v/>
      </c>
      <c r="F192" s="15" t="str">
        <f>IF($A192="","",VLOOKUP($A192,기본데이타!$A$8:$BV$103,COLUMN(기본데이타!H$8),0))</f>
        <v/>
      </c>
      <c r="G192" s="15" t="str">
        <f>IF($A192="","",VLOOKUP($A192,기본데이타!$A$8:$BV$103,COLUMN(기본데이타!I$8),0))</f>
        <v/>
      </c>
      <c r="H192" s="15" t="str">
        <f>IF($A192="","",VLOOKUP($A192,기본데이타!$A$8:$BV$103,COLUMN(기본데이타!J$8),0))</f>
        <v/>
      </c>
      <c r="I192" s="17" t="str">
        <f>IF($A192="","",VLOOKUP($A192,기본데이타!$A$8:$BV$103,COLUMN(기본데이타!AJ$8),0))</f>
        <v/>
      </c>
      <c r="J192" s="381" t="str">
        <f>IF($A192="","",VLOOKUP($A192,기본데이타!$A$8:$BV$103,COLUMN(기본데이타!AK$8),0))</f>
        <v/>
      </c>
      <c r="K192" s="381" t="str">
        <f>IF($A192="","",VLOOKUP($A192,기본데이타!$A$8:$BV$103,COLUMN(기본데이타!AL$8),0))</f>
        <v/>
      </c>
      <c r="L192" s="381" t="str">
        <f>IF($A192="","",VLOOKUP($A192,기본데이타!$A$8:$BV$103,COLUMN(기본데이타!AM$8),0))</f>
        <v/>
      </c>
      <c r="M192" s="381" t="str">
        <f>IF($A192="","",VLOOKUP($A192,기본데이타!$A$8:$BV$103,COLUMN(기본데이타!AN$8),0))</f>
        <v/>
      </c>
      <c r="N192" s="381" t="str">
        <f>IF($A192="","",VLOOKUP($A192,기본데이타!$A$8:$BV$103,COLUMN(기본데이타!AO$8),0))</f>
        <v/>
      </c>
      <c r="O192" s="381" t="str">
        <f>IF($A192="","",VLOOKUP($A192,기본데이타!$A$8:$BV$103,COLUMN(기본데이타!AP$8),0))</f>
        <v/>
      </c>
      <c r="P192" s="381" t="str">
        <f>IF($A192="","",VLOOKUP($A192,기본데이타!$A$8:$BV$103,COLUMN(기본데이타!AQ$8),0))</f>
        <v/>
      </c>
      <c r="Q192" s="381" t="str">
        <f>IF($A192="","",VLOOKUP($A192,기본데이타!$A$8:$BV$103,COLUMN(기본데이타!AR$8),0))</f>
        <v/>
      </c>
      <c r="R192" s="381" t="str">
        <f>IF($A192="","",VLOOKUP($A192,기본데이타!$A$8:$BV$103,COLUMN(기본데이타!AS$8),0))</f>
        <v/>
      </c>
      <c r="S192" s="381" t="str">
        <f>IF($A192="","",VLOOKUP($A192,기본데이타!$A$8:$BV$103,COLUMN(기본데이타!AT$8),0))</f>
        <v/>
      </c>
      <c r="T192" s="381" t="str">
        <f>IF($A192="","",VLOOKUP($A192,기본데이타!$A$8:$BV$103,COLUMN(기본데이타!AU$8),0))</f>
        <v/>
      </c>
      <c r="U192" s="381" t="str">
        <f>IF($A192="","",VLOOKUP($A192,기본데이타!$A$8:$BV$103,COLUMN(기본데이타!AV$8),0))</f>
        <v/>
      </c>
      <c r="V192" s="16" t="str">
        <f>IF($A192="","",VLOOKUP($A192,기본데이타!$A$8:$BV$103,COLUMN(기본데이타!AW$8),0))</f>
        <v/>
      </c>
      <c r="W192" s="16" t="str">
        <f>IF($A192="","",VLOOKUP($A192,기본데이타!$A$8:$BV$103,COLUMN(기본데이타!AX$8),0))</f>
        <v/>
      </c>
      <c r="X192" s="16" t="str">
        <f>IF($A192="","",VLOOKUP($A192,기본데이타!$A$8:$BV$103,COLUMN(기본데이타!AY$8),0))</f>
        <v/>
      </c>
      <c r="Y192" s="16" t="str">
        <f>IF($A192="","",VLOOKUP($A192,기본데이타!$A$8:$BV$103,COLUMN(기본데이타!AZ$8),0))</f>
        <v/>
      </c>
      <c r="Z192" s="17" t="str">
        <f>IF($A192="","",VLOOKUP($A192,기본데이타!$A$8:$BV$103,COLUMN(기본데이타!BN$8),0))</f>
        <v/>
      </c>
      <c r="AA192" s="17" t="str">
        <f>IF($A192="","",VLOOKUP($A192,기본데이타!$A$8:$BV$103,COLUMN(기본데이타!BO$8),0))</f>
        <v/>
      </c>
      <c r="AB192" s="17" t="str">
        <f>IF($A192="","",VLOOKUP($A192,기본데이타!$A$8:$BV$103,COLUMN(기본데이타!BP$8),0))</f>
        <v/>
      </c>
      <c r="AC192" s="17" t="str">
        <f>IF($A192="","",VLOOKUP($A192,기본데이타!$A$8:$BV$103,COLUMN(기본데이타!BQ$8),0))</f>
        <v/>
      </c>
      <c r="AD192" s="17" t="str">
        <f>IF($A192="","",VLOOKUP($A192,기본데이타!$A$8:$BV$103,COLUMN(기본데이타!BR$8),0))</f>
        <v/>
      </c>
      <c r="AE192" s="17" t="str">
        <f>IF($A192="","",VLOOKUP($A192,기본데이타!$A$8:$BV$103,COLUMN(기본데이타!BS$8),0))</f>
        <v/>
      </c>
      <c r="AF192" s="294" t="str">
        <f>IF($A192="","",VLOOKUP($A192,기본데이타!$A$8:$BV$103,COLUMN(기본데이타!BT$8),0))</f>
        <v/>
      </c>
      <c r="AG192" s="432" t="str">
        <f>IF($A192="","",VLOOKUP($A192,기본데이타!$A$8:$BV$103,COLUMN(기본데이타!BU$8),0))</f>
        <v/>
      </c>
      <c r="AH192" s="18" t="str">
        <f t="shared" si="41"/>
        <v/>
      </c>
    </row>
    <row r="193" spans="1:34" s="187" customFormat="1" ht="35.1" hidden="1" customHeight="1">
      <c r="A193" s="189"/>
      <c r="C193" s="190"/>
      <c r="D193" s="8" t="str">
        <f>IF($A193="","",VLOOKUP($A193,기본데이타!$A$10:$BV$103,COLUMN(기본데이타!F$8),0))</f>
        <v/>
      </c>
      <c r="E193" s="252" t="str">
        <f>IF($A193="","",VLOOKUP($A193,기본데이타!$A$8:$BV$103,COLUMN(기본데이타!G$8),0))</f>
        <v/>
      </c>
      <c r="F193" s="15" t="str">
        <f>IF($A193="","",VLOOKUP($A193,기본데이타!$A$8:$BV$103,COLUMN(기본데이타!H$8),0))</f>
        <v/>
      </c>
      <c r="G193" s="15" t="str">
        <f>IF($A193="","",VLOOKUP($A193,기본데이타!$A$8:$BV$103,COLUMN(기본데이타!I$8),0))</f>
        <v/>
      </c>
      <c r="H193" s="15" t="str">
        <f>IF($A193="","",VLOOKUP($A193,기본데이타!$A$8:$BV$103,COLUMN(기본데이타!J$8),0))</f>
        <v/>
      </c>
      <c r="I193" s="17" t="str">
        <f>IF($A193="","",VLOOKUP($A193,기본데이타!$A$8:$BV$103,COLUMN(기본데이타!AJ$8),0))</f>
        <v/>
      </c>
      <c r="J193" s="381" t="str">
        <f>IF($A193="","",VLOOKUP($A193,기본데이타!$A$8:$BV$103,COLUMN(기본데이타!AK$8),0))</f>
        <v/>
      </c>
      <c r="K193" s="381" t="str">
        <f>IF($A193="","",VLOOKUP($A193,기본데이타!$A$8:$BV$103,COLUMN(기본데이타!AL$8),0))</f>
        <v/>
      </c>
      <c r="L193" s="381" t="str">
        <f>IF($A193="","",VLOOKUP($A193,기본데이타!$A$8:$BV$103,COLUMN(기본데이타!AM$8),0))</f>
        <v/>
      </c>
      <c r="M193" s="381" t="str">
        <f>IF($A193="","",VLOOKUP($A193,기본데이타!$A$8:$BV$103,COLUMN(기본데이타!AN$8),0))</f>
        <v/>
      </c>
      <c r="N193" s="381" t="str">
        <f>IF($A193="","",VLOOKUP($A193,기본데이타!$A$8:$BV$103,COLUMN(기본데이타!AO$8),0))</f>
        <v/>
      </c>
      <c r="O193" s="381" t="str">
        <f>IF($A193="","",VLOOKUP($A193,기본데이타!$A$8:$BV$103,COLUMN(기본데이타!AP$8),0))</f>
        <v/>
      </c>
      <c r="P193" s="381" t="str">
        <f>IF($A193="","",VLOOKUP($A193,기본데이타!$A$8:$BV$103,COLUMN(기본데이타!AQ$8),0))</f>
        <v/>
      </c>
      <c r="Q193" s="381" t="str">
        <f>IF($A193="","",VLOOKUP($A193,기본데이타!$A$8:$BV$103,COLUMN(기본데이타!AR$8),0))</f>
        <v/>
      </c>
      <c r="R193" s="381" t="str">
        <f>IF($A193="","",VLOOKUP($A193,기본데이타!$A$8:$BV$103,COLUMN(기본데이타!AS$8),0))</f>
        <v/>
      </c>
      <c r="S193" s="381" t="str">
        <f>IF($A193="","",VLOOKUP($A193,기본데이타!$A$8:$BV$103,COLUMN(기본데이타!AT$8),0))</f>
        <v/>
      </c>
      <c r="T193" s="381" t="str">
        <f>IF($A193="","",VLOOKUP($A193,기본데이타!$A$8:$BV$103,COLUMN(기본데이타!AU$8),0))</f>
        <v/>
      </c>
      <c r="U193" s="381" t="str">
        <f>IF($A193="","",VLOOKUP($A193,기본데이타!$A$8:$BV$103,COLUMN(기본데이타!AV$8),0))</f>
        <v/>
      </c>
      <c r="V193" s="16" t="str">
        <f>IF($A193="","",VLOOKUP($A193,기본데이타!$A$8:$BV$103,COLUMN(기본데이타!AW$8),0))</f>
        <v/>
      </c>
      <c r="W193" s="16" t="str">
        <f>IF($A193="","",VLOOKUP($A193,기본데이타!$A$8:$BV$103,COLUMN(기본데이타!AX$8),0))</f>
        <v/>
      </c>
      <c r="X193" s="16" t="str">
        <f>IF($A193="","",VLOOKUP($A193,기본데이타!$A$8:$BV$103,COLUMN(기본데이타!AY$8),0))</f>
        <v/>
      </c>
      <c r="Y193" s="16" t="str">
        <f>IF($A193="","",VLOOKUP($A193,기본데이타!$A$8:$BV$103,COLUMN(기본데이타!AZ$8),0))</f>
        <v/>
      </c>
      <c r="Z193" s="17" t="str">
        <f>IF($A193="","",VLOOKUP($A193,기본데이타!$A$8:$BV$103,COLUMN(기본데이타!BN$8),0))</f>
        <v/>
      </c>
      <c r="AA193" s="17" t="str">
        <f>IF($A193="","",VLOOKUP($A193,기본데이타!$A$8:$BV$103,COLUMN(기본데이타!BO$8),0))</f>
        <v/>
      </c>
      <c r="AB193" s="17" t="str">
        <f>IF($A193="","",VLOOKUP($A193,기본데이타!$A$8:$BV$103,COLUMN(기본데이타!BP$8),0))</f>
        <v/>
      </c>
      <c r="AC193" s="17" t="str">
        <f>IF($A193="","",VLOOKUP($A193,기본데이타!$A$8:$BV$103,COLUMN(기본데이타!BQ$8),0))</f>
        <v/>
      </c>
      <c r="AD193" s="17" t="str">
        <f>IF($A193="","",VLOOKUP($A193,기본데이타!$A$8:$BV$103,COLUMN(기본데이타!BR$8),0))</f>
        <v/>
      </c>
      <c r="AE193" s="17" t="str">
        <f>IF($A193="","",VLOOKUP($A193,기본데이타!$A$8:$BV$103,COLUMN(기본데이타!BS$8),0))</f>
        <v/>
      </c>
      <c r="AF193" s="294" t="str">
        <f>IF($A193="","",VLOOKUP($A193,기본데이타!$A$8:$BV$103,COLUMN(기본데이타!BT$8),0))</f>
        <v/>
      </c>
      <c r="AG193" s="432" t="str">
        <f>IF($A193="","",VLOOKUP($A193,기본데이타!$A$8:$BV$103,COLUMN(기본데이타!BU$8),0))</f>
        <v/>
      </c>
      <c r="AH193" s="18" t="str">
        <f t="shared" si="41"/>
        <v/>
      </c>
    </row>
    <row r="194" spans="1:34" s="187" customFormat="1" ht="35.1" hidden="1" customHeight="1">
      <c r="A194" s="189"/>
      <c r="C194" s="190"/>
      <c r="D194" s="8" t="str">
        <f>IF($A194="","",VLOOKUP($A194,기본데이타!$A$10:$BV$103,COLUMN(기본데이타!F$8),0))</f>
        <v/>
      </c>
      <c r="E194" s="252" t="str">
        <f>IF($A194="","",VLOOKUP($A194,기본데이타!$A$8:$BV$103,COLUMN(기본데이타!G$8),0))</f>
        <v/>
      </c>
      <c r="F194" s="15" t="str">
        <f>IF($A194="","",VLOOKUP($A194,기본데이타!$A$8:$BV$103,COLUMN(기본데이타!H$8),0))</f>
        <v/>
      </c>
      <c r="G194" s="15" t="str">
        <f>IF($A194="","",VLOOKUP($A194,기본데이타!$A$8:$BV$103,COLUMN(기본데이타!I$8),0))</f>
        <v/>
      </c>
      <c r="H194" s="15" t="str">
        <f>IF($A194="","",VLOOKUP($A194,기본데이타!$A$8:$BV$103,COLUMN(기본데이타!J$8),0))</f>
        <v/>
      </c>
      <c r="I194" s="17" t="str">
        <f>IF($A194="","",VLOOKUP($A194,기본데이타!$A$8:$BV$103,COLUMN(기본데이타!AJ$8),0))</f>
        <v/>
      </c>
      <c r="J194" s="381" t="str">
        <f>IF($A194="","",VLOOKUP($A194,기본데이타!$A$8:$BV$103,COLUMN(기본데이타!AK$8),0))</f>
        <v/>
      </c>
      <c r="K194" s="381" t="str">
        <f>IF($A194="","",VLOOKUP($A194,기본데이타!$A$8:$BV$103,COLUMN(기본데이타!AL$8),0))</f>
        <v/>
      </c>
      <c r="L194" s="381" t="str">
        <f>IF($A194="","",VLOOKUP($A194,기본데이타!$A$8:$BV$103,COLUMN(기본데이타!AM$8),0))</f>
        <v/>
      </c>
      <c r="M194" s="381" t="str">
        <f>IF($A194="","",VLOOKUP($A194,기본데이타!$A$8:$BV$103,COLUMN(기본데이타!AN$8),0))</f>
        <v/>
      </c>
      <c r="N194" s="381" t="str">
        <f>IF($A194="","",VLOOKUP($A194,기본데이타!$A$8:$BV$103,COLUMN(기본데이타!AO$8),0))</f>
        <v/>
      </c>
      <c r="O194" s="381" t="str">
        <f>IF($A194="","",VLOOKUP($A194,기본데이타!$A$8:$BV$103,COLUMN(기본데이타!AP$8),0))</f>
        <v/>
      </c>
      <c r="P194" s="381" t="str">
        <f>IF($A194="","",VLOOKUP($A194,기본데이타!$A$8:$BV$103,COLUMN(기본데이타!AQ$8),0))</f>
        <v/>
      </c>
      <c r="Q194" s="381" t="str">
        <f>IF($A194="","",VLOOKUP($A194,기본데이타!$A$8:$BV$103,COLUMN(기본데이타!AR$8),0))</f>
        <v/>
      </c>
      <c r="R194" s="381" t="str">
        <f>IF($A194="","",VLOOKUP($A194,기본데이타!$A$8:$BV$103,COLUMN(기본데이타!AS$8),0))</f>
        <v/>
      </c>
      <c r="S194" s="381" t="str">
        <f>IF($A194="","",VLOOKUP($A194,기본데이타!$A$8:$BV$103,COLUMN(기본데이타!AT$8),0))</f>
        <v/>
      </c>
      <c r="T194" s="381" t="str">
        <f>IF($A194="","",VLOOKUP($A194,기본데이타!$A$8:$BV$103,COLUMN(기본데이타!AU$8),0))</f>
        <v/>
      </c>
      <c r="U194" s="381" t="str">
        <f>IF($A194="","",VLOOKUP($A194,기본데이타!$A$8:$BV$103,COLUMN(기본데이타!AV$8),0))</f>
        <v/>
      </c>
      <c r="V194" s="16" t="str">
        <f>IF($A194="","",VLOOKUP($A194,기본데이타!$A$8:$BV$103,COLUMN(기본데이타!AW$8),0))</f>
        <v/>
      </c>
      <c r="W194" s="16" t="str">
        <f>IF($A194="","",VLOOKUP($A194,기본데이타!$A$8:$BV$103,COLUMN(기본데이타!AX$8),0))</f>
        <v/>
      </c>
      <c r="X194" s="16" t="str">
        <f>IF($A194="","",VLOOKUP($A194,기본데이타!$A$8:$BV$103,COLUMN(기본데이타!AY$8),0))</f>
        <v/>
      </c>
      <c r="Y194" s="16" t="str">
        <f>IF($A194="","",VLOOKUP($A194,기본데이타!$A$8:$BV$103,COLUMN(기본데이타!AZ$8),0))</f>
        <v/>
      </c>
      <c r="Z194" s="17" t="str">
        <f>IF($A194="","",VLOOKUP($A194,기본데이타!$A$8:$BV$103,COLUMN(기본데이타!BN$8),0))</f>
        <v/>
      </c>
      <c r="AA194" s="17" t="str">
        <f>IF($A194="","",VLOOKUP($A194,기본데이타!$A$8:$BV$103,COLUMN(기본데이타!BO$8),0))</f>
        <v/>
      </c>
      <c r="AB194" s="17" t="str">
        <f>IF($A194="","",VLOOKUP($A194,기본데이타!$A$8:$BV$103,COLUMN(기본데이타!BP$8),0))</f>
        <v/>
      </c>
      <c r="AC194" s="17" t="str">
        <f>IF($A194="","",VLOOKUP($A194,기본데이타!$A$8:$BV$103,COLUMN(기본데이타!BQ$8),0))</f>
        <v/>
      </c>
      <c r="AD194" s="17" t="str">
        <f>IF($A194="","",VLOOKUP($A194,기본데이타!$A$8:$BV$103,COLUMN(기본데이타!BR$8),0))</f>
        <v/>
      </c>
      <c r="AE194" s="17" t="str">
        <f>IF($A194="","",VLOOKUP($A194,기본데이타!$A$8:$BV$103,COLUMN(기본데이타!BS$8),0))</f>
        <v/>
      </c>
      <c r="AF194" s="294" t="str">
        <f>IF($A194="","",VLOOKUP($A194,기본데이타!$A$8:$BV$103,COLUMN(기본데이타!BT$8),0))</f>
        <v/>
      </c>
      <c r="AG194" s="432" t="str">
        <f>IF($A194="","",VLOOKUP($A194,기본데이타!$A$8:$BV$103,COLUMN(기본데이타!BU$8),0))</f>
        <v/>
      </c>
      <c r="AH194" s="18" t="str">
        <f t="shared" si="41"/>
        <v/>
      </c>
    </row>
    <row r="195" spans="1:34" s="187" customFormat="1" ht="35.1" hidden="1" customHeight="1">
      <c r="A195" s="189"/>
      <c r="C195" s="190"/>
      <c r="D195" s="8" t="str">
        <f>IF($A195="","",VLOOKUP($A195,기본데이타!$A$10:$BV$103,COLUMN(기본데이타!F$8),0))</f>
        <v/>
      </c>
      <c r="E195" s="252" t="str">
        <f>IF($A195="","",VLOOKUP($A195,기본데이타!$A$8:$BV$103,COLUMN(기본데이타!G$8),0))</f>
        <v/>
      </c>
      <c r="F195" s="15" t="str">
        <f>IF($A195="","",VLOOKUP($A195,기본데이타!$A$8:$BV$103,COLUMN(기본데이타!H$8),0))</f>
        <v/>
      </c>
      <c r="G195" s="15" t="str">
        <f>IF($A195="","",VLOOKUP($A195,기본데이타!$A$8:$BV$103,COLUMN(기본데이타!I$8),0))</f>
        <v/>
      </c>
      <c r="H195" s="15" t="str">
        <f>IF($A195="","",VLOOKUP($A195,기본데이타!$A$8:$BV$103,COLUMN(기본데이타!J$8),0))</f>
        <v/>
      </c>
      <c r="I195" s="17" t="str">
        <f>IF($A195="","",VLOOKUP($A195,기본데이타!$A$8:$BV$103,COLUMN(기본데이타!AJ$8),0))</f>
        <v/>
      </c>
      <c r="J195" s="381" t="str">
        <f>IF($A195="","",VLOOKUP($A195,기본데이타!$A$8:$BV$103,COLUMN(기본데이타!AK$8),0))</f>
        <v/>
      </c>
      <c r="K195" s="381" t="str">
        <f>IF($A195="","",VLOOKUP($A195,기본데이타!$A$8:$BV$103,COLUMN(기본데이타!AL$8),0))</f>
        <v/>
      </c>
      <c r="L195" s="381" t="str">
        <f>IF($A195="","",VLOOKUP($A195,기본데이타!$A$8:$BV$103,COLUMN(기본데이타!AM$8),0))</f>
        <v/>
      </c>
      <c r="M195" s="381" t="str">
        <f>IF($A195="","",VLOOKUP($A195,기본데이타!$A$8:$BV$103,COLUMN(기본데이타!AN$8),0))</f>
        <v/>
      </c>
      <c r="N195" s="381" t="str">
        <f>IF($A195="","",VLOOKUP($A195,기본데이타!$A$8:$BV$103,COLUMN(기본데이타!AO$8),0))</f>
        <v/>
      </c>
      <c r="O195" s="381" t="str">
        <f>IF($A195="","",VLOOKUP($A195,기본데이타!$A$8:$BV$103,COLUMN(기본데이타!AP$8),0))</f>
        <v/>
      </c>
      <c r="P195" s="381" t="str">
        <f>IF($A195="","",VLOOKUP($A195,기본데이타!$A$8:$BV$103,COLUMN(기본데이타!AQ$8),0))</f>
        <v/>
      </c>
      <c r="Q195" s="381" t="str">
        <f>IF($A195="","",VLOOKUP($A195,기본데이타!$A$8:$BV$103,COLUMN(기본데이타!AR$8),0))</f>
        <v/>
      </c>
      <c r="R195" s="381" t="str">
        <f>IF($A195="","",VLOOKUP($A195,기본데이타!$A$8:$BV$103,COLUMN(기본데이타!AS$8),0))</f>
        <v/>
      </c>
      <c r="S195" s="381" t="str">
        <f>IF($A195="","",VLOOKUP($A195,기본데이타!$A$8:$BV$103,COLUMN(기본데이타!AT$8),0))</f>
        <v/>
      </c>
      <c r="T195" s="381" t="str">
        <f>IF($A195="","",VLOOKUP($A195,기본데이타!$A$8:$BV$103,COLUMN(기본데이타!AU$8),0))</f>
        <v/>
      </c>
      <c r="U195" s="381" t="str">
        <f>IF($A195="","",VLOOKUP($A195,기본데이타!$A$8:$BV$103,COLUMN(기본데이타!AV$8),0))</f>
        <v/>
      </c>
      <c r="V195" s="16" t="str">
        <f>IF($A195="","",VLOOKUP($A195,기본데이타!$A$8:$BV$103,COLUMN(기본데이타!AW$8),0))</f>
        <v/>
      </c>
      <c r="W195" s="16" t="str">
        <f>IF($A195="","",VLOOKUP($A195,기본데이타!$A$8:$BV$103,COLUMN(기본데이타!AX$8),0))</f>
        <v/>
      </c>
      <c r="X195" s="16" t="str">
        <f>IF($A195="","",VLOOKUP($A195,기본데이타!$A$8:$BV$103,COLUMN(기본데이타!AY$8),0))</f>
        <v/>
      </c>
      <c r="Y195" s="16" t="str">
        <f>IF($A195="","",VLOOKUP($A195,기본데이타!$A$8:$BV$103,COLUMN(기본데이타!AZ$8),0))</f>
        <v/>
      </c>
      <c r="Z195" s="17" t="str">
        <f>IF($A195="","",VLOOKUP($A195,기본데이타!$A$8:$BV$103,COLUMN(기본데이타!BN$8),0))</f>
        <v/>
      </c>
      <c r="AA195" s="17" t="str">
        <f>IF($A195="","",VLOOKUP($A195,기본데이타!$A$8:$BV$103,COLUMN(기본데이타!BO$8),0))</f>
        <v/>
      </c>
      <c r="AB195" s="17" t="str">
        <f>IF($A195="","",VLOOKUP($A195,기본데이타!$A$8:$BV$103,COLUMN(기본데이타!BP$8),0))</f>
        <v/>
      </c>
      <c r="AC195" s="17" t="str">
        <f>IF($A195="","",VLOOKUP($A195,기본데이타!$A$8:$BV$103,COLUMN(기본데이타!BQ$8),0))</f>
        <v/>
      </c>
      <c r="AD195" s="17" t="str">
        <f>IF($A195="","",VLOOKUP($A195,기본데이타!$A$8:$BV$103,COLUMN(기본데이타!BR$8),0))</f>
        <v/>
      </c>
      <c r="AE195" s="17" t="str">
        <f>IF($A195="","",VLOOKUP($A195,기본데이타!$A$8:$BV$103,COLUMN(기본데이타!BS$8),0))</f>
        <v/>
      </c>
      <c r="AF195" s="294" t="str">
        <f>IF($A195="","",VLOOKUP($A195,기본데이타!$A$8:$BV$103,COLUMN(기본데이타!BT$8),0))</f>
        <v/>
      </c>
      <c r="AG195" s="432" t="str">
        <f>IF($A195="","",VLOOKUP($A195,기본데이타!$A$8:$BV$103,COLUMN(기본데이타!BU$8),0))</f>
        <v/>
      </c>
      <c r="AH195" s="18" t="str">
        <f t="shared" si="41"/>
        <v/>
      </c>
    </row>
    <row r="196" spans="1:34" s="187" customFormat="1" ht="35.1" hidden="1" customHeight="1">
      <c r="A196" s="189"/>
      <c r="C196" s="190"/>
      <c r="D196" s="8" t="str">
        <f>IF($A196="","",VLOOKUP($A196,기본데이타!$A$10:$BV$103,COLUMN(기본데이타!F$8),0))</f>
        <v/>
      </c>
      <c r="E196" s="252" t="str">
        <f>IF($A196="","",VLOOKUP($A196,기본데이타!$A$8:$BV$103,COLUMN(기본데이타!G$8),0))</f>
        <v/>
      </c>
      <c r="F196" s="15" t="str">
        <f>IF($A196="","",VLOOKUP($A196,기본데이타!$A$8:$BV$103,COLUMN(기본데이타!H$8),0))</f>
        <v/>
      </c>
      <c r="G196" s="15" t="str">
        <f>IF($A196="","",VLOOKUP($A196,기본데이타!$A$8:$BV$103,COLUMN(기본데이타!I$8),0))</f>
        <v/>
      </c>
      <c r="H196" s="15" t="str">
        <f>IF($A196="","",VLOOKUP($A196,기본데이타!$A$8:$BV$103,COLUMN(기본데이타!J$8),0))</f>
        <v/>
      </c>
      <c r="I196" s="17" t="str">
        <f>IF($A196="","",VLOOKUP($A196,기본데이타!$A$8:$BV$103,COLUMN(기본데이타!AJ$8),0))</f>
        <v/>
      </c>
      <c r="J196" s="381" t="str">
        <f>IF($A196="","",VLOOKUP($A196,기본데이타!$A$8:$BV$103,COLUMN(기본데이타!AK$8),0))</f>
        <v/>
      </c>
      <c r="K196" s="381" t="str">
        <f>IF($A196="","",VLOOKUP($A196,기본데이타!$A$8:$BV$103,COLUMN(기본데이타!AL$8),0))</f>
        <v/>
      </c>
      <c r="L196" s="381" t="str">
        <f>IF($A196="","",VLOOKUP($A196,기본데이타!$A$8:$BV$103,COLUMN(기본데이타!AM$8),0))</f>
        <v/>
      </c>
      <c r="M196" s="381" t="str">
        <f>IF($A196="","",VLOOKUP($A196,기본데이타!$A$8:$BV$103,COLUMN(기본데이타!AN$8),0))</f>
        <v/>
      </c>
      <c r="N196" s="381" t="str">
        <f>IF($A196="","",VLOOKUP($A196,기본데이타!$A$8:$BV$103,COLUMN(기본데이타!AO$8),0))</f>
        <v/>
      </c>
      <c r="O196" s="381" t="str">
        <f>IF($A196="","",VLOOKUP($A196,기본데이타!$A$8:$BV$103,COLUMN(기본데이타!AP$8),0))</f>
        <v/>
      </c>
      <c r="P196" s="381" t="str">
        <f>IF($A196="","",VLOOKUP($A196,기본데이타!$A$8:$BV$103,COLUMN(기본데이타!AQ$8),0))</f>
        <v/>
      </c>
      <c r="Q196" s="381" t="str">
        <f>IF($A196="","",VLOOKUP($A196,기본데이타!$A$8:$BV$103,COLUMN(기본데이타!AR$8),0))</f>
        <v/>
      </c>
      <c r="R196" s="381" t="str">
        <f>IF($A196="","",VLOOKUP($A196,기본데이타!$A$8:$BV$103,COLUMN(기본데이타!AS$8),0))</f>
        <v/>
      </c>
      <c r="S196" s="381" t="str">
        <f>IF($A196="","",VLOOKUP($A196,기본데이타!$A$8:$BV$103,COLUMN(기본데이타!AT$8),0))</f>
        <v/>
      </c>
      <c r="T196" s="381" t="str">
        <f>IF($A196="","",VLOOKUP($A196,기본데이타!$A$8:$BV$103,COLUMN(기본데이타!AU$8),0))</f>
        <v/>
      </c>
      <c r="U196" s="381" t="str">
        <f>IF($A196="","",VLOOKUP($A196,기본데이타!$A$8:$BV$103,COLUMN(기본데이타!AV$8),0))</f>
        <v/>
      </c>
      <c r="V196" s="16" t="str">
        <f>IF($A196="","",VLOOKUP($A196,기본데이타!$A$8:$BV$103,COLUMN(기본데이타!AW$8),0))</f>
        <v/>
      </c>
      <c r="W196" s="16" t="str">
        <f>IF($A196="","",VLOOKUP($A196,기본데이타!$A$8:$BV$103,COLUMN(기본데이타!AX$8),0))</f>
        <v/>
      </c>
      <c r="X196" s="16" t="str">
        <f>IF($A196="","",VLOOKUP($A196,기본데이타!$A$8:$BV$103,COLUMN(기본데이타!AY$8),0))</f>
        <v/>
      </c>
      <c r="Y196" s="16" t="str">
        <f>IF($A196="","",VLOOKUP($A196,기본데이타!$A$8:$BV$103,COLUMN(기본데이타!AZ$8),0))</f>
        <v/>
      </c>
      <c r="Z196" s="17" t="str">
        <f>IF($A196="","",VLOOKUP($A196,기본데이타!$A$8:$BV$103,COLUMN(기본데이타!BN$8),0))</f>
        <v/>
      </c>
      <c r="AA196" s="17" t="str">
        <f>IF($A196="","",VLOOKUP($A196,기본데이타!$A$8:$BV$103,COLUMN(기본데이타!BO$8),0))</f>
        <v/>
      </c>
      <c r="AB196" s="17" t="str">
        <f>IF($A196="","",VLOOKUP($A196,기본데이타!$A$8:$BV$103,COLUMN(기본데이타!BP$8),0))</f>
        <v/>
      </c>
      <c r="AC196" s="17" t="str">
        <f>IF($A196="","",VLOOKUP($A196,기본데이타!$A$8:$BV$103,COLUMN(기본데이타!BQ$8),0))</f>
        <v/>
      </c>
      <c r="AD196" s="17" t="str">
        <f>IF($A196="","",VLOOKUP($A196,기본데이타!$A$8:$BV$103,COLUMN(기본데이타!BR$8),0))</f>
        <v/>
      </c>
      <c r="AE196" s="17" t="str">
        <f>IF($A196="","",VLOOKUP($A196,기본데이타!$A$8:$BV$103,COLUMN(기본데이타!BS$8),0))</f>
        <v/>
      </c>
      <c r="AF196" s="294" t="str">
        <f>IF($A196="","",VLOOKUP($A196,기본데이타!$A$8:$BV$103,COLUMN(기본데이타!BT$8),0))</f>
        <v/>
      </c>
      <c r="AG196" s="432" t="str">
        <f>IF($A196="","",VLOOKUP($A196,기본데이타!$A$8:$BV$103,COLUMN(기본데이타!BU$8),0))</f>
        <v/>
      </c>
      <c r="AH196" s="18" t="str">
        <f t="shared" si="41"/>
        <v/>
      </c>
    </row>
    <row r="197" spans="1:34" s="187" customFormat="1" ht="35.1" hidden="1" customHeight="1">
      <c r="A197" s="189"/>
      <c r="C197" s="190"/>
      <c r="D197" s="8" t="str">
        <f>IF($A197="","",VLOOKUP($A197,기본데이타!$A$10:$BV$103,COLUMN(기본데이타!F$8),0))</f>
        <v/>
      </c>
      <c r="E197" s="252" t="str">
        <f>IF($A197="","",VLOOKUP($A197,기본데이타!$A$8:$BV$103,COLUMN(기본데이타!G$8),0))</f>
        <v/>
      </c>
      <c r="F197" s="15" t="str">
        <f>IF($A197="","",VLOOKUP($A197,기본데이타!$A$8:$BV$103,COLUMN(기본데이타!H$8),0))</f>
        <v/>
      </c>
      <c r="G197" s="15" t="str">
        <f>IF($A197="","",VLOOKUP($A197,기본데이타!$A$8:$BV$103,COLUMN(기본데이타!I$8),0))</f>
        <v/>
      </c>
      <c r="H197" s="15" t="str">
        <f>IF($A197="","",VLOOKUP($A197,기본데이타!$A$8:$BV$103,COLUMN(기본데이타!J$8),0))</f>
        <v/>
      </c>
      <c r="I197" s="17" t="str">
        <f>IF($A197="","",VLOOKUP($A197,기본데이타!$A$8:$BV$103,COLUMN(기본데이타!AJ$8),0))</f>
        <v/>
      </c>
      <c r="J197" s="381" t="str">
        <f>IF($A197="","",VLOOKUP($A197,기본데이타!$A$8:$BV$103,COLUMN(기본데이타!AK$8),0))</f>
        <v/>
      </c>
      <c r="K197" s="381" t="str">
        <f>IF($A197="","",VLOOKUP($A197,기본데이타!$A$8:$BV$103,COLUMN(기본데이타!AL$8),0))</f>
        <v/>
      </c>
      <c r="L197" s="381" t="str">
        <f>IF($A197="","",VLOOKUP($A197,기본데이타!$A$8:$BV$103,COLUMN(기본데이타!AM$8),0))</f>
        <v/>
      </c>
      <c r="M197" s="381" t="str">
        <f>IF($A197="","",VLOOKUP($A197,기본데이타!$A$8:$BV$103,COLUMN(기본데이타!AN$8),0))</f>
        <v/>
      </c>
      <c r="N197" s="381" t="str">
        <f>IF($A197="","",VLOOKUP($A197,기본데이타!$A$8:$BV$103,COLUMN(기본데이타!AO$8),0))</f>
        <v/>
      </c>
      <c r="O197" s="381" t="str">
        <f>IF($A197="","",VLOOKUP($A197,기본데이타!$A$8:$BV$103,COLUMN(기본데이타!AP$8),0))</f>
        <v/>
      </c>
      <c r="P197" s="381" t="str">
        <f>IF($A197="","",VLOOKUP($A197,기본데이타!$A$8:$BV$103,COLUMN(기본데이타!AQ$8),0))</f>
        <v/>
      </c>
      <c r="Q197" s="381" t="str">
        <f>IF($A197="","",VLOOKUP($A197,기본데이타!$A$8:$BV$103,COLUMN(기본데이타!AR$8),0))</f>
        <v/>
      </c>
      <c r="R197" s="381" t="str">
        <f>IF($A197="","",VLOOKUP($A197,기본데이타!$A$8:$BV$103,COLUMN(기본데이타!AS$8),0))</f>
        <v/>
      </c>
      <c r="S197" s="381" t="str">
        <f>IF($A197="","",VLOOKUP($A197,기본데이타!$A$8:$BV$103,COLUMN(기본데이타!AT$8),0))</f>
        <v/>
      </c>
      <c r="T197" s="381" t="str">
        <f>IF($A197="","",VLOOKUP($A197,기본데이타!$A$8:$BV$103,COLUMN(기본데이타!AU$8),0))</f>
        <v/>
      </c>
      <c r="U197" s="381" t="str">
        <f>IF($A197="","",VLOOKUP($A197,기본데이타!$A$8:$BV$103,COLUMN(기본데이타!AV$8),0))</f>
        <v/>
      </c>
      <c r="V197" s="16" t="str">
        <f>IF($A197="","",VLOOKUP($A197,기본데이타!$A$8:$BV$103,COLUMN(기본데이타!AW$8),0))</f>
        <v/>
      </c>
      <c r="W197" s="16" t="str">
        <f>IF($A197="","",VLOOKUP($A197,기본데이타!$A$8:$BV$103,COLUMN(기본데이타!AX$8),0))</f>
        <v/>
      </c>
      <c r="X197" s="16" t="str">
        <f>IF($A197="","",VLOOKUP($A197,기본데이타!$A$8:$BV$103,COLUMN(기본데이타!AY$8),0))</f>
        <v/>
      </c>
      <c r="Y197" s="16" t="str">
        <f>IF($A197="","",VLOOKUP($A197,기본데이타!$A$8:$BV$103,COLUMN(기본데이타!AZ$8),0))</f>
        <v/>
      </c>
      <c r="Z197" s="17" t="str">
        <f>IF($A197="","",VLOOKUP($A197,기본데이타!$A$8:$BV$103,COLUMN(기본데이타!BN$8),0))</f>
        <v/>
      </c>
      <c r="AA197" s="17" t="str">
        <f>IF($A197="","",VLOOKUP($A197,기본데이타!$A$8:$BV$103,COLUMN(기본데이타!BO$8),0))</f>
        <v/>
      </c>
      <c r="AB197" s="17" t="str">
        <f>IF($A197="","",VLOOKUP($A197,기본데이타!$A$8:$BV$103,COLUMN(기본데이타!BP$8),0))</f>
        <v/>
      </c>
      <c r="AC197" s="17" t="str">
        <f>IF($A197="","",VLOOKUP($A197,기본데이타!$A$8:$BV$103,COLUMN(기본데이타!BQ$8),0))</f>
        <v/>
      </c>
      <c r="AD197" s="17" t="str">
        <f>IF($A197="","",VLOOKUP($A197,기본데이타!$A$8:$BV$103,COLUMN(기본데이타!BR$8),0))</f>
        <v/>
      </c>
      <c r="AE197" s="17" t="str">
        <f>IF($A197="","",VLOOKUP($A197,기본데이타!$A$8:$BV$103,COLUMN(기본데이타!BS$8),0))</f>
        <v/>
      </c>
      <c r="AF197" s="294" t="str">
        <f>IF($A197="","",VLOOKUP($A197,기본데이타!$A$8:$BV$103,COLUMN(기본데이타!BT$8),0))</f>
        <v/>
      </c>
      <c r="AG197" s="432" t="str">
        <f>IF($A197="","",VLOOKUP($A197,기본데이타!$A$8:$BV$103,COLUMN(기본데이타!BU$8),0))</f>
        <v/>
      </c>
      <c r="AH197" s="18" t="str">
        <f t="shared" si="41"/>
        <v/>
      </c>
    </row>
    <row r="198" spans="1:34" s="187" customFormat="1" ht="35.1" hidden="1" customHeight="1">
      <c r="A198" s="189"/>
      <c r="C198" s="190"/>
      <c r="D198" s="8" t="str">
        <f>IF($A198="","",VLOOKUP($A198,기본데이타!$A$10:$BV$103,COLUMN(기본데이타!F$8),0))</f>
        <v/>
      </c>
      <c r="E198" s="252" t="str">
        <f>IF($A198="","",VLOOKUP($A198,기본데이타!$A$8:$BV$103,COLUMN(기본데이타!G$8),0))</f>
        <v/>
      </c>
      <c r="F198" s="15" t="str">
        <f>IF($A198="","",VLOOKUP($A198,기본데이타!$A$8:$BV$103,COLUMN(기본데이타!H$8),0))</f>
        <v/>
      </c>
      <c r="G198" s="15" t="str">
        <f>IF($A198="","",VLOOKUP($A198,기본데이타!$A$8:$BV$103,COLUMN(기본데이타!I$8),0))</f>
        <v/>
      </c>
      <c r="H198" s="15" t="str">
        <f>IF($A198="","",VLOOKUP($A198,기본데이타!$A$8:$BV$103,COLUMN(기본데이타!J$8),0))</f>
        <v/>
      </c>
      <c r="I198" s="17" t="str">
        <f>IF($A198="","",VLOOKUP($A198,기본데이타!$A$8:$BV$103,COLUMN(기본데이타!AJ$8),0))</f>
        <v/>
      </c>
      <c r="J198" s="381" t="str">
        <f>IF($A198="","",VLOOKUP($A198,기본데이타!$A$8:$BV$103,COLUMN(기본데이타!AK$8),0))</f>
        <v/>
      </c>
      <c r="K198" s="381" t="str">
        <f>IF($A198="","",VLOOKUP($A198,기본데이타!$A$8:$BV$103,COLUMN(기본데이타!AL$8),0))</f>
        <v/>
      </c>
      <c r="L198" s="381" t="str">
        <f>IF($A198="","",VLOOKUP($A198,기본데이타!$A$8:$BV$103,COLUMN(기본데이타!AM$8),0))</f>
        <v/>
      </c>
      <c r="M198" s="381" t="str">
        <f>IF($A198="","",VLOOKUP($A198,기본데이타!$A$8:$BV$103,COLUMN(기본데이타!AN$8),0))</f>
        <v/>
      </c>
      <c r="N198" s="381" t="str">
        <f>IF($A198="","",VLOOKUP($A198,기본데이타!$A$8:$BV$103,COLUMN(기본데이타!AO$8),0))</f>
        <v/>
      </c>
      <c r="O198" s="381" t="str">
        <f>IF($A198="","",VLOOKUP($A198,기본데이타!$A$8:$BV$103,COLUMN(기본데이타!AP$8),0))</f>
        <v/>
      </c>
      <c r="P198" s="381" t="str">
        <f>IF($A198="","",VLOOKUP($A198,기본데이타!$A$8:$BV$103,COLUMN(기본데이타!AQ$8),0))</f>
        <v/>
      </c>
      <c r="Q198" s="381" t="str">
        <f>IF($A198="","",VLOOKUP($A198,기본데이타!$A$8:$BV$103,COLUMN(기본데이타!AR$8),0))</f>
        <v/>
      </c>
      <c r="R198" s="381" t="str">
        <f>IF($A198="","",VLOOKUP($A198,기본데이타!$A$8:$BV$103,COLUMN(기본데이타!AS$8),0))</f>
        <v/>
      </c>
      <c r="S198" s="381" t="str">
        <f>IF($A198="","",VLOOKUP($A198,기본데이타!$A$8:$BV$103,COLUMN(기본데이타!AT$8),0))</f>
        <v/>
      </c>
      <c r="T198" s="381" t="str">
        <f>IF($A198="","",VLOOKUP($A198,기본데이타!$A$8:$BV$103,COLUMN(기본데이타!AU$8),0))</f>
        <v/>
      </c>
      <c r="U198" s="381" t="str">
        <f>IF($A198="","",VLOOKUP($A198,기본데이타!$A$8:$BV$103,COLUMN(기본데이타!AV$8),0))</f>
        <v/>
      </c>
      <c r="V198" s="16" t="str">
        <f>IF($A198="","",VLOOKUP($A198,기본데이타!$A$8:$BV$103,COLUMN(기본데이타!AW$8),0))</f>
        <v/>
      </c>
      <c r="W198" s="16" t="str">
        <f>IF($A198="","",VLOOKUP($A198,기본데이타!$A$8:$BV$103,COLUMN(기본데이타!AX$8),0))</f>
        <v/>
      </c>
      <c r="X198" s="16" t="str">
        <f>IF($A198="","",VLOOKUP($A198,기본데이타!$A$8:$BV$103,COLUMN(기본데이타!AY$8),0))</f>
        <v/>
      </c>
      <c r="Y198" s="16" t="str">
        <f>IF($A198="","",VLOOKUP($A198,기본데이타!$A$8:$BV$103,COLUMN(기본데이타!AZ$8),0))</f>
        <v/>
      </c>
      <c r="Z198" s="17" t="str">
        <f>IF($A198="","",VLOOKUP($A198,기본데이타!$A$8:$BV$103,COLUMN(기본데이타!BN$8),0))</f>
        <v/>
      </c>
      <c r="AA198" s="17" t="str">
        <f>IF($A198="","",VLOOKUP($A198,기본데이타!$A$8:$BV$103,COLUMN(기본데이타!BO$8),0))</f>
        <v/>
      </c>
      <c r="AB198" s="17" t="str">
        <f>IF($A198="","",VLOOKUP($A198,기본데이타!$A$8:$BV$103,COLUMN(기본데이타!BP$8),0))</f>
        <v/>
      </c>
      <c r="AC198" s="17" t="str">
        <f>IF($A198="","",VLOOKUP($A198,기본데이타!$A$8:$BV$103,COLUMN(기본데이타!BQ$8),0))</f>
        <v/>
      </c>
      <c r="AD198" s="17" t="str">
        <f>IF($A198="","",VLOOKUP($A198,기본데이타!$A$8:$BV$103,COLUMN(기본데이타!BR$8),0))</f>
        <v/>
      </c>
      <c r="AE198" s="17" t="str">
        <f>IF($A198="","",VLOOKUP($A198,기본데이타!$A$8:$BV$103,COLUMN(기본데이타!BS$8),0))</f>
        <v/>
      </c>
      <c r="AF198" s="294" t="str">
        <f>IF($A198="","",VLOOKUP($A198,기본데이타!$A$8:$BV$103,COLUMN(기본데이타!BT$8),0))</f>
        <v/>
      </c>
      <c r="AG198" s="432" t="str">
        <f>IF($A198="","",VLOOKUP($A198,기본데이타!$A$8:$BV$103,COLUMN(기본데이타!BU$8),0))</f>
        <v/>
      </c>
      <c r="AH198" s="18" t="str">
        <f t="shared" ref="AH198:AH205" si="42">IF(A198="","",A198)</f>
        <v/>
      </c>
    </row>
    <row r="199" spans="1:34" s="187" customFormat="1" ht="35.1" hidden="1" customHeight="1">
      <c r="A199" s="189"/>
      <c r="C199" s="190"/>
      <c r="D199" s="8" t="str">
        <f>IF($A199="","",VLOOKUP($A199,기본데이타!$A$10:$BV$103,COLUMN(기본데이타!F$8),0))</f>
        <v/>
      </c>
      <c r="E199" s="252" t="str">
        <f>IF($A199="","",VLOOKUP($A199,기본데이타!$A$8:$BV$103,COLUMN(기본데이타!G$8),0))</f>
        <v/>
      </c>
      <c r="F199" s="15" t="str">
        <f>IF($A199="","",VLOOKUP($A199,기본데이타!$A$8:$BV$103,COLUMN(기본데이타!H$8),0))</f>
        <v/>
      </c>
      <c r="G199" s="15" t="str">
        <f>IF($A199="","",VLOOKUP($A199,기본데이타!$A$8:$BV$103,COLUMN(기본데이타!I$8),0))</f>
        <v/>
      </c>
      <c r="H199" s="15" t="str">
        <f>IF($A199="","",VLOOKUP($A199,기본데이타!$A$8:$BV$103,COLUMN(기본데이타!J$8),0))</f>
        <v/>
      </c>
      <c r="I199" s="17" t="str">
        <f>IF($A199="","",VLOOKUP($A199,기본데이타!$A$8:$BV$103,COLUMN(기본데이타!AJ$8),0))</f>
        <v/>
      </c>
      <c r="J199" s="381" t="str">
        <f>IF($A199="","",VLOOKUP($A199,기본데이타!$A$8:$BV$103,COLUMN(기본데이타!AK$8),0))</f>
        <v/>
      </c>
      <c r="K199" s="381" t="str">
        <f>IF($A199="","",VLOOKUP($A199,기본데이타!$A$8:$BV$103,COLUMN(기본데이타!AL$8),0))</f>
        <v/>
      </c>
      <c r="L199" s="381" t="str">
        <f>IF($A199="","",VLOOKUP($A199,기본데이타!$A$8:$BV$103,COLUMN(기본데이타!AM$8),0))</f>
        <v/>
      </c>
      <c r="M199" s="381" t="str">
        <f>IF($A199="","",VLOOKUP($A199,기본데이타!$A$8:$BV$103,COLUMN(기본데이타!AN$8),0))</f>
        <v/>
      </c>
      <c r="N199" s="381" t="str">
        <f>IF($A199="","",VLOOKUP($A199,기본데이타!$A$8:$BV$103,COLUMN(기본데이타!AO$8),0))</f>
        <v/>
      </c>
      <c r="O199" s="381" t="str">
        <f>IF($A199="","",VLOOKUP($A199,기본데이타!$A$8:$BV$103,COLUMN(기본데이타!AP$8),0))</f>
        <v/>
      </c>
      <c r="P199" s="381" t="str">
        <f>IF($A199="","",VLOOKUP($A199,기본데이타!$A$8:$BV$103,COLUMN(기본데이타!AQ$8),0))</f>
        <v/>
      </c>
      <c r="Q199" s="381" t="str">
        <f>IF($A199="","",VLOOKUP($A199,기본데이타!$A$8:$BV$103,COLUMN(기본데이타!AR$8),0))</f>
        <v/>
      </c>
      <c r="R199" s="381" t="str">
        <f>IF($A199="","",VLOOKUP($A199,기본데이타!$A$8:$BV$103,COLUMN(기본데이타!AS$8),0))</f>
        <v/>
      </c>
      <c r="S199" s="381" t="str">
        <f>IF($A199="","",VLOOKUP($A199,기본데이타!$A$8:$BV$103,COLUMN(기본데이타!AT$8),0))</f>
        <v/>
      </c>
      <c r="T199" s="381" t="str">
        <f>IF($A199="","",VLOOKUP($A199,기본데이타!$A$8:$BV$103,COLUMN(기본데이타!AU$8),0))</f>
        <v/>
      </c>
      <c r="U199" s="381" t="str">
        <f>IF($A199="","",VLOOKUP($A199,기본데이타!$A$8:$BV$103,COLUMN(기본데이타!AV$8),0))</f>
        <v/>
      </c>
      <c r="V199" s="16" t="str">
        <f>IF($A199="","",VLOOKUP($A199,기본데이타!$A$8:$BV$103,COLUMN(기본데이타!AW$8),0))</f>
        <v/>
      </c>
      <c r="W199" s="16" t="str">
        <f>IF($A199="","",VLOOKUP($A199,기본데이타!$A$8:$BV$103,COLUMN(기본데이타!AX$8),0))</f>
        <v/>
      </c>
      <c r="X199" s="16" t="str">
        <f>IF($A199="","",VLOOKUP($A199,기본데이타!$A$8:$BV$103,COLUMN(기본데이타!AY$8),0))</f>
        <v/>
      </c>
      <c r="Y199" s="16" t="str">
        <f>IF($A199="","",VLOOKUP($A199,기본데이타!$A$8:$BV$103,COLUMN(기본데이타!AZ$8),0))</f>
        <v/>
      </c>
      <c r="Z199" s="17" t="str">
        <f>IF($A199="","",VLOOKUP($A199,기본데이타!$A$8:$BV$103,COLUMN(기본데이타!BN$8),0))</f>
        <v/>
      </c>
      <c r="AA199" s="17" t="str">
        <f>IF($A199="","",VLOOKUP($A199,기본데이타!$A$8:$BV$103,COLUMN(기본데이타!BO$8),0))</f>
        <v/>
      </c>
      <c r="AB199" s="17" t="str">
        <f>IF($A199="","",VLOOKUP($A199,기본데이타!$A$8:$BV$103,COLUMN(기본데이타!BP$8),0))</f>
        <v/>
      </c>
      <c r="AC199" s="17" t="str">
        <f>IF($A199="","",VLOOKUP($A199,기본데이타!$A$8:$BV$103,COLUMN(기본데이타!BQ$8),0))</f>
        <v/>
      </c>
      <c r="AD199" s="17" t="str">
        <f>IF($A199="","",VLOOKUP($A199,기본데이타!$A$8:$BV$103,COLUMN(기본데이타!BR$8),0))</f>
        <v/>
      </c>
      <c r="AE199" s="17" t="str">
        <f>IF($A199="","",VLOOKUP($A199,기본데이타!$A$8:$BV$103,COLUMN(기본데이타!BS$8),0))</f>
        <v/>
      </c>
      <c r="AF199" s="294" t="str">
        <f>IF($A199="","",VLOOKUP($A199,기본데이타!$A$8:$BV$103,COLUMN(기본데이타!BT$8),0))</f>
        <v/>
      </c>
      <c r="AG199" s="432" t="str">
        <f>IF($A199="","",VLOOKUP($A199,기본데이타!$A$8:$BV$103,COLUMN(기본데이타!BU$8),0))</f>
        <v/>
      </c>
      <c r="AH199" s="18" t="str">
        <f t="shared" si="42"/>
        <v/>
      </c>
    </row>
    <row r="200" spans="1:34" s="187" customFormat="1" ht="35.1" hidden="1" customHeight="1">
      <c r="A200" s="189"/>
      <c r="C200" s="190"/>
      <c r="D200" s="8" t="str">
        <f>IF($A200="","",VLOOKUP($A200,기본데이타!$A$10:$BV$103,COLUMN(기본데이타!F$8),0))</f>
        <v/>
      </c>
      <c r="E200" s="252" t="str">
        <f>IF($A200="","",VLOOKUP($A200,기본데이타!$A$8:$BV$103,COLUMN(기본데이타!G$8),0))</f>
        <v/>
      </c>
      <c r="F200" s="15" t="str">
        <f>IF($A200="","",VLOOKUP($A200,기본데이타!$A$8:$BV$103,COLUMN(기본데이타!H$8),0))</f>
        <v/>
      </c>
      <c r="G200" s="15" t="str">
        <f>IF($A200="","",VLOOKUP($A200,기본데이타!$A$8:$BV$103,COLUMN(기본데이타!I$8),0))</f>
        <v/>
      </c>
      <c r="H200" s="15" t="str">
        <f>IF($A200="","",VLOOKUP($A200,기본데이타!$A$8:$BV$103,COLUMN(기본데이타!J$8),0))</f>
        <v/>
      </c>
      <c r="I200" s="17" t="str">
        <f>IF($A200="","",VLOOKUP($A200,기본데이타!$A$8:$BV$103,COLUMN(기본데이타!AJ$8),0))</f>
        <v/>
      </c>
      <c r="J200" s="381" t="str">
        <f>IF($A200="","",VLOOKUP($A200,기본데이타!$A$8:$BV$103,COLUMN(기본데이타!AK$8),0))</f>
        <v/>
      </c>
      <c r="K200" s="381" t="str">
        <f>IF($A200="","",VLOOKUP($A200,기본데이타!$A$8:$BV$103,COLUMN(기본데이타!AL$8),0))</f>
        <v/>
      </c>
      <c r="L200" s="381" t="str">
        <f>IF($A200="","",VLOOKUP($A200,기본데이타!$A$8:$BV$103,COLUMN(기본데이타!AM$8),0))</f>
        <v/>
      </c>
      <c r="M200" s="381" t="str">
        <f>IF($A200="","",VLOOKUP($A200,기본데이타!$A$8:$BV$103,COLUMN(기본데이타!AN$8),0))</f>
        <v/>
      </c>
      <c r="N200" s="381" t="str">
        <f>IF($A200="","",VLOOKUP($A200,기본데이타!$A$8:$BV$103,COLUMN(기본데이타!AO$8),0))</f>
        <v/>
      </c>
      <c r="O200" s="381" t="str">
        <f>IF($A200="","",VLOOKUP($A200,기본데이타!$A$8:$BV$103,COLUMN(기본데이타!AP$8),0))</f>
        <v/>
      </c>
      <c r="P200" s="381" t="str">
        <f>IF($A200="","",VLOOKUP($A200,기본데이타!$A$8:$BV$103,COLUMN(기본데이타!AQ$8),0))</f>
        <v/>
      </c>
      <c r="Q200" s="381" t="str">
        <f>IF($A200="","",VLOOKUP($A200,기본데이타!$A$8:$BV$103,COLUMN(기본데이타!AR$8),0))</f>
        <v/>
      </c>
      <c r="R200" s="381" t="str">
        <f>IF($A200="","",VLOOKUP($A200,기본데이타!$A$8:$BV$103,COLUMN(기본데이타!AS$8),0))</f>
        <v/>
      </c>
      <c r="S200" s="381" t="str">
        <f>IF($A200="","",VLOOKUP($A200,기본데이타!$A$8:$BV$103,COLUMN(기본데이타!AT$8),0))</f>
        <v/>
      </c>
      <c r="T200" s="381" t="str">
        <f>IF($A200="","",VLOOKUP($A200,기본데이타!$A$8:$BV$103,COLUMN(기본데이타!AU$8),0))</f>
        <v/>
      </c>
      <c r="U200" s="381" t="str">
        <f>IF($A200="","",VLOOKUP($A200,기본데이타!$A$8:$BV$103,COLUMN(기본데이타!AV$8),0))</f>
        <v/>
      </c>
      <c r="V200" s="16" t="str">
        <f>IF($A200="","",VLOOKUP($A200,기본데이타!$A$8:$BV$103,COLUMN(기본데이타!AW$8),0))</f>
        <v/>
      </c>
      <c r="W200" s="16" t="str">
        <f>IF($A200="","",VLOOKUP($A200,기본데이타!$A$8:$BV$103,COLUMN(기본데이타!AX$8),0))</f>
        <v/>
      </c>
      <c r="X200" s="16" t="str">
        <f>IF($A200="","",VLOOKUP($A200,기본데이타!$A$8:$BV$103,COLUMN(기본데이타!AY$8),0))</f>
        <v/>
      </c>
      <c r="Y200" s="16" t="str">
        <f>IF($A200="","",VLOOKUP($A200,기본데이타!$A$8:$BV$103,COLUMN(기본데이타!AZ$8),0))</f>
        <v/>
      </c>
      <c r="Z200" s="17" t="str">
        <f>IF($A200="","",VLOOKUP($A200,기본데이타!$A$8:$BV$103,COLUMN(기본데이타!BN$8),0))</f>
        <v/>
      </c>
      <c r="AA200" s="17" t="str">
        <f>IF($A200="","",VLOOKUP($A200,기본데이타!$A$8:$BV$103,COLUMN(기본데이타!BO$8),0))</f>
        <v/>
      </c>
      <c r="AB200" s="17" t="str">
        <f>IF($A200="","",VLOOKUP($A200,기본데이타!$A$8:$BV$103,COLUMN(기본데이타!BP$8),0))</f>
        <v/>
      </c>
      <c r="AC200" s="17" t="str">
        <f>IF($A200="","",VLOOKUP($A200,기본데이타!$A$8:$BV$103,COLUMN(기본데이타!BQ$8),0))</f>
        <v/>
      </c>
      <c r="AD200" s="17" t="str">
        <f>IF($A200="","",VLOOKUP($A200,기본데이타!$A$8:$BV$103,COLUMN(기본데이타!BR$8),0))</f>
        <v/>
      </c>
      <c r="AE200" s="17" t="str">
        <f>IF($A200="","",VLOOKUP($A200,기본데이타!$A$8:$BV$103,COLUMN(기본데이타!BS$8),0))</f>
        <v/>
      </c>
      <c r="AF200" s="294" t="str">
        <f>IF($A200="","",VLOOKUP($A200,기본데이타!$A$8:$BV$103,COLUMN(기본데이타!BT$8),0))</f>
        <v/>
      </c>
      <c r="AG200" s="432" t="str">
        <f>IF($A200="","",VLOOKUP($A200,기본데이타!$A$8:$BV$103,COLUMN(기본데이타!BU$8),0))</f>
        <v/>
      </c>
      <c r="AH200" s="18" t="str">
        <f t="shared" si="42"/>
        <v/>
      </c>
    </row>
    <row r="201" spans="1:34" s="187" customFormat="1" ht="35.1" hidden="1" customHeight="1">
      <c r="A201" s="189"/>
      <c r="C201" s="190"/>
      <c r="D201" s="8" t="str">
        <f>IF($A201="","",VLOOKUP($A201,기본데이타!$A$10:$BV$103,COLUMN(기본데이타!F$8),0))</f>
        <v/>
      </c>
      <c r="E201" s="252" t="str">
        <f>IF($A201="","",VLOOKUP($A201,기본데이타!$A$8:$BV$103,COLUMN(기본데이타!G$8),0))</f>
        <v/>
      </c>
      <c r="F201" s="15" t="str">
        <f>IF($A201="","",VLOOKUP($A201,기본데이타!$A$8:$BV$103,COLUMN(기본데이타!H$8),0))</f>
        <v/>
      </c>
      <c r="G201" s="15" t="str">
        <f>IF($A201="","",VLOOKUP($A201,기본데이타!$A$8:$BV$103,COLUMN(기본데이타!I$8),0))</f>
        <v/>
      </c>
      <c r="H201" s="15" t="str">
        <f>IF($A201="","",VLOOKUP($A201,기본데이타!$A$8:$BV$103,COLUMN(기본데이타!J$8),0))</f>
        <v/>
      </c>
      <c r="I201" s="17" t="str">
        <f>IF($A201="","",VLOOKUP($A201,기본데이타!$A$8:$BV$103,COLUMN(기본데이타!AJ$8),0))</f>
        <v/>
      </c>
      <c r="J201" s="381" t="str">
        <f>IF($A201="","",VLOOKUP($A201,기본데이타!$A$8:$BV$103,COLUMN(기본데이타!AK$8),0))</f>
        <v/>
      </c>
      <c r="K201" s="381" t="str">
        <f>IF($A201="","",VLOOKUP($A201,기본데이타!$A$8:$BV$103,COLUMN(기본데이타!AL$8),0))</f>
        <v/>
      </c>
      <c r="L201" s="381" t="str">
        <f>IF($A201="","",VLOOKUP($A201,기본데이타!$A$8:$BV$103,COLUMN(기본데이타!AM$8),0))</f>
        <v/>
      </c>
      <c r="M201" s="381" t="str">
        <f>IF($A201="","",VLOOKUP($A201,기본데이타!$A$8:$BV$103,COLUMN(기본데이타!AN$8),0))</f>
        <v/>
      </c>
      <c r="N201" s="381" t="str">
        <f>IF($A201="","",VLOOKUP($A201,기본데이타!$A$8:$BV$103,COLUMN(기본데이타!AO$8),0))</f>
        <v/>
      </c>
      <c r="O201" s="381" t="str">
        <f>IF($A201="","",VLOOKUP($A201,기본데이타!$A$8:$BV$103,COLUMN(기본데이타!AP$8),0))</f>
        <v/>
      </c>
      <c r="P201" s="381" t="str">
        <f>IF($A201="","",VLOOKUP($A201,기본데이타!$A$8:$BV$103,COLUMN(기본데이타!AQ$8),0))</f>
        <v/>
      </c>
      <c r="Q201" s="381" t="str">
        <f>IF($A201="","",VLOOKUP($A201,기본데이타!$A$8:$BV$103,COLUMN(기본데이타!AR$8),0))</f>
        <v/>
      </c>
      <c r="R201" s="381" t="str">
        <f>IF($A201="","",VLOOKUP($A201,기본데이타!$A$8:$BV$103,COLUMN(기본데이타!AS$8),0))</f>
        <v/>
      </c>
      <c r="S201" s="381" t="str">
        <f>IF($A201="","",VLOOKUP($A201,기본데이타!$A$8:$BV$103,COLUMN(기본데이타!AT$8),0))</f>
        <v/>
      </c>
      <c r="T201" s="381" t="str">
        <f>IF($A201="","",VLOOKUP($A201,기본데이타!$A$8:$BV$103,COLUMN(기본데이타!AU$8),0))</f>
        <v/>
      </c>
      <c r="U201" s="381" t="str">
        <f>IF($A201="","",VLOOKUP($A201,기본데이타!$A$8:$BV$103,COLUMN(기본데이타!AV$8),0))</f>
        <v/>
      </c>
      <c r="V201" s="16" t="str">
        <f>IF($A201="","",VLOOKUP($A201,기본데이타!$A$8:$BV$103,COLUMN(기본데이타!AW$8),0))</f>
        <v/>
      </c>
      <c r="W201" s="16" t="str">
        <f>IF($A201="","",VLOOKUP($A201,기본데이타!$A$8:$BV$103,COLUMN(기본데이타!AX$8),0))</f>
        <v/>
      </c>
      <c r="X201" s="16" t="str">
        <f>IF($A201="","",VLOOKUP($A201,기본데이타!$A$8:$BV$103,COLUMN(기본데이타!AY$8),0))</f>
        <v/>
      </c>
      <c r="Y201" s="16" t="str">
        <f>IF($A201="","",VLOOKUP($A201,기본데이타!$A$8:$BV$103,COLUMN(기본데이타!AZ$8),0))</f>
        <v/>
      </c>
      <c r="Z201" s="17" t="str">
        <f>IF($A201="","",VLOOKUP($A201,기본데이타!$A$8:$BV$103,COLUMN(기본데이타!BN$8),0))</f>
        <v/>
      </c>
      <c r="AA201" s="17" t="str">
        <f>IF($A201="","",VLOOKUP($A201,기본데이타!$A$8:$BV$103,COLUMN(기본데이타!BO$8),0))</f>
        <v/>
      </c>
      <c r="AB201" s="17" t="str">
        <f>IF($A201="","",VLOOKUP($A201,기본데이타!$A$8:$BV$103,COLUMN(기본데이타!BP$8),0))</f>
        <v/>
      </c>
      <c r="AC201" s="17" t="str">
        <f>IF($A201="","",VLOOKUP($A201,기본데이타!$A$8:$BV$103,COLUMN(기본데이타!BQ$8),0))</f>
        <v/>
      </c>
      <c r="AD201" s="17" t="str">
        <f>IF($A201="","",VLOOKUP($A201,기본데이타!$A$8:$BV$103,COLUMN(기본데이타!BR$8),0))</f>
        <v/>
      </c>
      <c r="AE201" s="17" t="str">
        <f>IF($A201="","",VLOOKUP($A201,기본데이타!$A$8:$BV$103,COLUMN(기본데이타!BS$8),0))</f>
        <v/>
      </c>
      <c r="AF201" s="294" t="str">
        <f>IF($A201="","",VLOOKUP($A201,기본데이타!$A$8:$BV$103,COLUMN(기본데이타!BT$8),0))</f>
        <v/>
      </c>
      <c r="AG201" s="432" t="str">
        <f>IF($A201="","",VLOOKUP($A201,기본데이타!$A$8:$BV$103,COLUMN(기본데이타!BU$8),0))</f>
        <v/>
      </c>
      <c r="AH201" s="18" t="str">
        <f t="shared" si="42"/>
        <v/>
      </c>
    </row>
    <row r="202" spans="1:34" s="187" customFormat="1" ht="35.1" hidden="1" customHeight="1">
      <c r="A202" s="189"/>
      <c r="C202" s="190"/>
      <c r="D202" s="8" t="str">
        <f>IF($A202="","",VLOOKUP($A202,기본데이타!$A$10:$BV$103,COLUMN(기본데이타!F$8),0))</f>
        <v/>
      </c>
      <c r="E202" s="252" t="str">
        <f>IF($A202="","",VLOOKUP($A202,기본데이타!$A$8:$BV$103,COLUMN(기본데이타!G$8),0))</f>
        <v/>
      </c>
      <c r="F202" s="15" t="str">
        <f>IF($A202="","",VLOOKUP($A202,기본데이타!$A$8:$BV$103,COLUMN(기본데이타!H$8),0))</f>
        <v/>
      </c>
      <c r="G202" s="15" t="str">
        <f>IF($A202="","",VLOOKUP($A202,기본데이타!$A$8:$BV$103,COLUMN(기본데이타!I$8),0))</f>
        <v/>
      </c>
      <c r="H202" s="15" t="str">
        <f>IF($A202="","",VLOOKUP($A202,기본데이타!$A$8:$BV$103,COLUMN(기본데이타!J$8),0))</f>
        <v/>
      </c>
      <c r="I202" s="17" t="str">
        <f>IF($A202="","",VLOOKUP($A202,기본데이타!$A$8:$BV$103,COLUMN(기본데이타!AJ$8),0))</f>
        <v/>
      </c>
      <c r="J202" s="381" t="str">
        <f>IF($A202="","",VLOOKUP($A202,기본데이타!$A$8:$BV$103,COLUMN(기본데이타!AK$8),0))</f>
        <v/>
      </c>
      <c r="K202" s="381" t="str">
        <f>IF($A202="","",VLOOKUP($A202,기본데이타!$A$8:$BV$103,COLUMN(기본데이타!AL$8),0))</f>
        <v/>
      </c>
      <c r="L202" s="381" t="str">
        <f>IF($A202="","",VLOOKUP($A202,기본데이타!$A$8:$BV$103,COLUMN(기본데이타!AM$8),0))</f>
        <v/>
      </c>
      <c r="M202" s="381" t="str">
        <f>IF($A202="","",VLOOKUP($A202,기본데이타!$A$8:$BV$103,COLUMN(기본데이타!AN$8),0))</f>
        <v/>
      </c>
      <c r="N202" s="381" t="str">
        <f>IF($A202="","",VLOOKUP($A202,기본데이타!$A$8:$BV$103,COLUMN(기본데이타!AO$8),0))</f>
        <v/>
      </c>
      <c r="O202" s="381" t="str">
        <f>IF($A202="","",VLOOKUP($A202,기본데이타!$A$8:$BV$103,COLUMN(기본데이타!AP$8),0))</f>
        <v/>
      </c>
      <c r="P202" s="381" t="str">
        <f>IF($A202="","",VLOOKUP($A202,기본데이타!$A$8:$BV$103,COLUMN(기본데이타!AQ$8),0))</f>
        <v/>
      </c>
      <c r="Q202" s="381" t="str">
        <f>IF($A202="","",VLOOKUP($A202,기본데이타!$A$8:$BV$103,COLUMN(기본데이타!AR$8),0))</f>
        <v/>
      </c>
      <c r="R202" s="381" t="str">
        <f>IF($A202="","",VLOOKUP($A202,기본데이타!$A$8:$BV$103,COLUMN(기본데이타!AS$8),0))</f>
        <v/>
      </c>
      <c r="S202" s="381" t="str">
        <f>IF($A202="","",VLOOKUP($A202,기본데이타!$A$8:$BV$103,COLUMN(기본데이타!AT$8),0))</f>
        <v/>
      </c>
      <c r="T202" s="381" t="str">
        <f>IF($A202="","",VLOOKUP($A202,기본데이타!$A$8:$BV$103,COLUMN(기본데이타!AU$8),0))</f>
        <v/>
      </c>
      <c r="U202" s="381" t="str">
        <f>IF($A202="","",VLOOKUP($A202,기본데이타!$A$8:$BV$103,COLUMN(기본데이타!AV$8),0))</f>
        <v/>
      </c>
      <c r="V202" s="16" t="str">
        <f>IF($A202="","",VLOOKUP($A202,기본데이타!$A$8:$BV$103,COLUMN(기본데이타!AW$8),0))</f>
        <v/>
      </c>
      <c r="W202" s="16" t="str">
        <f>IF($A202="","",VLOOKUP($A202,기본데이타!$A$8:$BV$103,COLUMN(기본데이타!AX$8),0))</f>
        <v/>
      </c>
      <c r="X202" s="16" t="str">
        <f>IF($A202="","",VLOOKUP($A202,기본데이타!$A$8:$BV$103,COLUMN(기본데이타!AY$8),0))</f>
        <v/>
      </c>
      <c r="Y202" s="16" t="str">
        <f>IF($A202="","",VLOOKUP($A202,기본데이타!$A$8:$BV$103,COLUMN(기본데이타!AZ$8),0))</f>
        <v/>
      </c>
      <c r="Z202" s="17" t="str">
        <f>IF($A202="","",VLOOKUP($A202,기본데이타!$A$8:$BV$103,COLUMN(기본데이타!BN$8),0))</f>
        <v/>
      </c>
      <c r="AA202" s="17" t="str">
        <f>IF($A202="","",VLOOKUP($A202,기본데이타!$A$8:$BV$103,COLUMN(기본데이타!BO$8),0))</f>
        <v/>
      </c>
      <c r="AB202" s="17" t="str">
        <f>IF($A202="","",VLOOKUP($A202,기본데이타!$A$8:$BV$103,COLUMN(기본데이타!BP$8),0))</f>
        <v/>
      </c>
      <c r="AC202" s="17" t="str">
        <f>IF($A202="","",VLOOKUP($A202,기본데이타!$A$8:$BV$103,COLUMN(기본데이타!BQ$8),0))</f>
        <v/>
      </c>
      <c r="AD202" s="17" t="str">
        <f>IF($A202="","",VLOOKUP($A202,기본데이타!$A$8:$BV$103,COLUMN(기본데이타!BR$8),0))</f>
        <v/>
      </c>
      <c r="AE202" s="17" t="str">
        <f>IF($A202="","",VLOOKUP($A202,기본데이타!$A$8:$BV$103,COLUMN(기본데이타!BS$8),0))</f>
        <v/>
      </c>
      <c r="AF202" s="294" t="str">
        <f>IF($A202="","",VLOOKUP($A202,기본데이타!$A$8:$BV$103,COLUMN(기본데이타!BT$8),0))</f>
        <v/>
      </c>
      <c r="AG202" s="432" t="str">
        <f>IF($A202="","",VLOOKUP($A202,기본데이타!$A$8:$BV$103,COLUMN(기본데이타!BU$8),0))</f>
        <v/>
      </c>
      <c r="AH202" s="18" t="str">
        <f t="shared" si="42"/>
        <v/>
      </c>
    </row>
    <row r="203" spans="1:34" s="187" customFormat="1" ht="35.1" hidden="1" customHeight="1">
      <c r="A203" s="189"/>
      <c r="C203" s="190"/>
      <c r="D203" s="8" t="str">
        <f>IF($A203="","",VLOOKUP($A203,기본데이타!$A$10:$BV$103,COLUMN(기본데이타!F$8),0))</f>
        <v/>
      </c>
      <c r="E203" s="252" t="str">
        <f>IF($A203="","",VLOOKUP($A203,기본데이타!$A$8:$BV$103,COLUMN(기본데이타!G$8),0))</f>
        <v/>
      </c>
      <c r="F203" s="15" t="str">
        <f>IF($A203="","",VLOOKUP($A203,기본데이타!$A$8:$BV$103,COLUMN(기본데이타!H$8),0))</f>
        <v/>
      </c>
      <c r="G203" s="15" t="str">
        <f>IF($A203="","",VLOOKUP($A203,기본데이타!$A$8:$BV$103,COLUMN(기본데이타!I$8),0))</f>
        <v/>
      </c>
      <c r="H203" s="15" t="str">
        <f>IF($A203="","",VLOOKUP($A203,기본데이타!$A$8:$BV$103,COLUMN(기본데이타!J$8),0))</f>
        <v/>
      </c>
      <c r="I203" s="17" t="str">
        <f>IF($A203="","",VLOOKUP($A203,기본데이타!$A$8:$BV$103,COLUMN(기본데이타!AJ$8),0))</f>
        <v/>
      </c>
      <c r="J203" s="381" t="str">
        <f>IF($A203="","",VLOOKUP($A203,기본데이타!$A$8:$BV$103,COLUMN(기본데이타!AK$8),0))</f>
        <v/>
      </c>
      <c r="K203" s="381" t="str">
        <f>IF($A203="","",VLOOKUP($A203,기본데이타!$A$8:$BV$103,COLUMN(기본데이타!AL$8),0))</f>
        <v/>
      </c>
      <c r="L203" s="381" t="str">
        <f>IF($A203="","",VLOOKUP($A203,기본데이타!$A$8:$BV$103,COLUMN(기본데이타!AM$8),0))</f>
        <v/>
      </c>
      <c r="M203" s="381" t="str">
        <f>IF($A203="","",VLOOKUP($A203,기본데이타!$A$8:$BV$103,COLUMN(기본데이타!AN$8),0))</f>
        <v/>
      </c>
      <c r="N203" s="381" t="str">
        <f>IF($A203="","",VLOOKUP($A203,기본데이타!$A$8:$BV$103,COLUMN(기본데이타!AO$8),0))</f>
        <v/>
      </c>
      <c r="O203" s="381" t="str">
        <f>IF($A203="","",VLOOKUP($A203,기본데이타!$A$8:$BV$103,COLUMN(기본데이타!AP$8),0))</f>
        <v/>
      </c>
      <c r="P203" s="381" t="str">
        <f>IF($A203="","",VLOOKUP($A203,기본데이타!$A$8:$BV$103,COLUMN(기본데이타!AQ$8),0))</f>
        <v/>
      </c>
      <c r="Q203" s="381" t="str">
        <f>IF($A203="","",VLOOKUP($A203,기본데이타!$A$8:$BV$103,COLUMN(기본데이타!AR$8),0))</f>
        <v/>
      </c>
      <c r="R203" s="381" t="str">
        <f>IF($A203="","",VLOOKUP($A203,기본데이타!$A$8:$BV$103,COLUMN(기본데이타!AS$8),0))</f>
        <v/>
      </c>
      <c r="S203" s="381" t="str">
        <f>IF($A203="","",VLOOKUP($A203,기본데이타!$A$8:$BV$103,COLUMN(기본데이타!AT$8),0))</f>
        <v/>
      </c>
      <c r="T203" s="381" t="str">
        <f>IF($A203="","",VLOOKUP($A203,기본데이타!$A$8:$BV$103,COLUMN(기본데이타!AU$8),0))</f>
        <v/>
      </c>
      <c r="U203" s="381" t="str">
        <f>IF($A203="","",VLOOKUP($A203,기본데이타!$A$8:$BV$103,COLUMN(기본데이타!AV$8),0))</f>
        <v/>
      </c>
      <c r="V203" s="16" t="str">
        <f>IF($A203="","",VLOOKUP($A203,기본데이타!$A$8:$BV$103,COLUMN(기본데이타!AW$8),0))</f>
        <v/>
      </c>
      <c r="W203" s="16" t="str">
        <f>IF($A203="","",VLOOKUP($A203,기본데이타!$A$8:$BV$103,COLUMN(기본데이타!AX$8),0))</f>
        <v/>
      </c>
      <c r="X203" s="16" t="str">
        <f>IF($A203="","",VLOOKUP($A203,기본데이타!$A$8:$BV$103,COLUMN(기본데이타!AY$8),0))</f>
        <v/>
      </c>
      <c r="Y203" s="16" t="str">
        <f>IF($A203="","",VLOOKUP($A203,기본데이타!$A$8:$BV$103,COLUMN(기본데이타!AZ$8),0))</f>
        <v/>
      </c>
      <c r="Z203" s="17" t="str">
        <f>IF($A203="","",VLOOKUP($A203,기본데이타!$A$8:$BV$103,COLUMN(기본데이타!BN$8),0))</f>
        <v/>
      </c>
      <c r="AA203" s="17" t="str">
        <f>IF($A203="","",VLOOKUP($A203,기본데이타!$A$8:$BV$103,COLUMN(기본데이타!BO$8),0))</f>
        <v/>
      </c>
      <c r="AB203" s="17" t="str">
        <f>IF($A203="","",VLOOKUP($A203,기본데이타!$A$8:$BV$103,COLUMN(기본데이타!BP$8),0))</f>
        <v/>
      </c>
      <c r="AC203" s="17" t="str">
        <f>IF($A203="","",VLOOKUP($A203,기본데이타!$A$8:$BV$103,COLUMN(기본데이타!BQ$8),0))</f>
        <v/>
      </c>
      <c r="AD203" s="17" t="str">
        <f>IF($A203="","",VLOOKUP($A203,기본데이타!$A$8:$BV$103,COLUMN(기본데이타!BR$8),0))</f>
        <v/>
      </c>
      <c r="AE203" s="17" t="str">
        <f>IF($A203="","",VLOOKUP($A203,기본데이타!$A$8:$BV$103,COLUMN(기본데이타!BS$8),0))</f>
        <v/>
      </c>
      <c r="AF203" s="294" t="str">
        <f>IF($A203="","",VLOOKUP($A203,기본데이타!$A$8:$BV$103,COLUMN(기본데이타!BT$8),0))</f>
        <v/>
      </c>
      <c r="AG203" s="432" t="str">
        <f>IF($A203="","",VLOOKUP($A203,기본데이타!$A$8:$BV$103,COLUMN(기본데이타!BU$8),0))</f>
        <v/>
      </c>
      <c r="AH203" s="18" t="str">
        <f t="shared" si="42"/>
        <v/>
      </c>
    </row>
    <row r="204" spans="1:34" s="187" customFormat="1" ht="35.1" hidden="1" customHeight="1">
      <c r="A204" s="189"/>
      <c r="C204" s="190"/>
      <c r="D204" s="8" t="str">
        <f>IF($A204="","",VLOOKUP($A204,기본데이타!$A$10:$BV$103,COLUMN(기본데이타!F$8),0))</f>
        <v/>
      </c>
      <c r="E204" s="252" t="str">
        <f>IF($A204="","",VLOOKUP($A204,기본데이타!$A$8:$BV$103,COLUMN(기본데이타!G$8),0))</f>
        <v/>
      </c>
      <c r="F204" s="15" t="str">
        <f>IF($A204="","",VLOOKUP($A204,기본데이타!$A$8:$BV$103,COLUMN(기본데이타!H$8),0))</f>
        <v/>
      </c>
      <c r="G204" s="15" t="str">
        <f>IF($A204="","",VLOOKUP($A204,기본데이타!$A$8:$BV$103,COLUMN(기본데이타!I$8),0))</f>
        <v/>
      </c>
      <c r="H204" s="15" t="str">
        <f>IF($A204="","",VLOOKUP($A204,기본데이타!$A$8:$BV$103,COLUMN(기본데이타!J$8),0))</f>
        <v/>
      </c>
      <c r="I204" s="17" t="str">
        <f>IF($A204="","",VLOOKUP($A204,기본데이타!$A$8:$BV$103,COLUMN(기본데이타!AJ$8),0))</f>
        <v/>
      </c>
      <c r="J204" s="381" t="str">
        <f>IF($A204="","",VLOOKUP($A204,기본데이타!$A$8:$BV$103,COLUMN(기본데이타!AK$8),0))</f>
        <v/>
      </c>
      <c r="K204" s="381" t="str">
        <f>IF($A204="","",VLOOKUP($A204,기본데이타!$A$8:$BV$103,COLUMN(기본데이타!AL$8),0))</f>
        <v/>
      </c>
      <c r="L204" s="381" t="str">
        <f>IF($A204="","",VLOOKUP($A204,기본데이타!$A$8:$BV$103,COLUMN(기본데이타!AM$8),0))</f>
        <v/>
      </c>
      <c r="M204" s="381" t="str">
        <f>IF($A204="","",VLOOKUP($A204,기본데이타!$A$8:$BV$103,COLUMN(기본데이타!AN$8),0))</f>
        <v/>
      </c>
      <c r="N204" s="381" t="str">
        <f>IF($A204="","",VLOOKUP($A204,기본데이타!$A$8:$BV$103,COLUMN(기본데이타!AO$8),0))</f>
        <v/>
      </c>
      <c r="O204" s="381" t="str">
        <f>IF($A204="","",VLOOKUP($A204,기본데이타!$A$8:$BV$103,COLUMN(기본데이타!AP$8),0))</f>
        <v/>
      </c>
      <c r="P204" s="381" t="str">
        <f>IF($A204="","",VLOOKUP($A204,기본데이타!$A$8:$BV$103,COLUMN(기본데이타!AQ$8),0))</f>
        <v/>
      </c>
      <c r="Q204" s="381" t="str">
        <f>IF($A204="","",VLOOKUP($A204,기본데이타!$A$8:$BV$103,COLUMN(기본데이타!AR$8),0))</f>
        <v/>
      </c>
      <c r="R204" s="381" t="str">
        <f>IF($A204="","",VLOOKUP($A204,기본데이타!$A$8:$BV$103,COLUMN(기본데이타!AS$8),0))</f>
        <v/>
      </c>
      <c r="S204" s="381" t="str">
        <f>IF($A204="","",VLOOKUP($A204,기본데이타!$A$8:$BV$103,COLUMN(기본데이타!AT$8),0))</f>
        <v/>
      </c>
      <c r="T204" s="381" t="str">
        <f>IF($A204="","",VLOOKUP($A204,기본데이타!$A$8:$BV$103,COLUMN(기본데이타!AU$8),0))</f>
        <v/>
      </c>
      <c r="U204" s="381" t="str">
        <f>IF($A204="","",VLOOKUP($A204,기본데이타!$A$8:$BV$103,COLUMN(기본데이타!AV$8),0))</f>
        <v/>
      </c>
      <c r="V204" s="16" t="str">
        <f>IF($A204="","",VLOOKUP($A204,기본데이타!$A$8:$BV$103,COLUMN(기본데이타!AW$8),0))</f>
        <v/>
      </c>
      <c r="W204" s="16" t="str">
        <f>IF($A204="","",VLOOKUP($A204,기본데이타!$A$8:$BV$103,COLUMN(기본데이타!AX$8),0))</f>
        <v/>
      </c>
      <c r="X204" s="16" t="str">
        <f>IF($A204="","",VLOOKUP($A204,기본데이타!$A$8:$BV$103,COLUMN(기본데이타!AY$8),0))</f>
        <v/>
      </c>
      <c r="Y204" s="16" t="str">
        <f>IF($A204="","",VLOOKUP($A204,기본데이타!$A$8:$BV$103,COLUMN(기본데이타!AZ$8),0))</f>
        <v/>
      </c>
      <c r="Z204" s="17" t="str">
        <f>IF($A204="","",VLOOKUP($A204,기본데이타!$A$8:$BV$103,COLUMN(기본데이타!BN$8),0))</f>
        <v/>
      </c>
      <c r="AA204" s="17" t="str">
        <f>IF($A204="","",VLOOKUP($A204,기본데이타!$A$8:$BV$103,COLUMN(기본데이타!BO$8),0))</f>
        <v/>
      </c>
      <c r="AB204" s="17" t="str">
        <f>IF($A204="","",VLOOKUP($A204,기본데이타!$A$8:$BV$103,COLUMN(기본데이타!BP$8),0))</f>
        <v/>
      </c>
      <c r="AC204" s="17" t="str">
        <f>IF($A204="","",VLOOKUP($A204,기본데이타!$A$8:$BV$103,COLUMN(기본데이타!BQ$8),0))</f>
        <v/>
      </c>
      <c r="AD204" s="17" t="str">
        <f>IF($A204="","",VLOOKUP($A204,기본데이타!$A$8:$BV$103,COLUMN(기본데이타!BR$8),0))</f>
        <v/>
      </c>
      <c r="AE204" s="17" t="str">
        <f>IF($A204="","",VLOOKUP($A204,기본데이타!$A$8:$BV$103,COLUMN(기본데이타!BS$8),0))</f>
        <v/>
      </c>
      <c r="AF204" s="294" t="str">
        <f>IF($A204="","",VLOOKUP($A204,기본데이타!$A$8:$BV$103,COLUMN(기본데이타!BT$8),0))</f>
        <v/>
      </c>
      <c r="AG204" s="432" t="str">
        <f>IF($A204="","",VLOOKUP($A204,기본데이타!$A$8:$BV$103,COLUMN(기본데이타!BU$8),0))</f>
        <v/>
      </c>
      <c r="AH204" s="18" t="str">
        <f t="shared" si="42"/>
        <v/>
      </c>
    </row>
    <row r="205" spans="1:34" s="187" customFormat="1" ht="35.1" hidden="1" customHeight="1">
      <c r="A205" s="189"/>
      <c r="C205" s="190"/>
      <c r="D205" s="8" t="str">
        <f>IF($A205="","",VLOOKUP($A205,기본데이타!$A$10:$BV$103,COLUMN(기본데이타!F$8),0))</f>
        <v/>
      </c>
      <c r="E205" s="252" t="str">
        <f>IF($A205="","",VLOOKUP($A205,기본데이타!$A$8:$BV$103,COLUMN(기본데이타!G$8),0))</f>
        <v/>
      </c>
      <c r="F205" s="15" t="str">
        <f>IF($A205="","",VLOOKUP($A205,기본데이타!$A$8:$BV$103,COLUMN(기본데이타!H$8),0))</f>
        <v/>
      </c>
      <c r="G205" s="15" t="str">
        <f>IF($A205="","",VLOOKUP($A205,기본데이타!$A$8:$BV$103,COLUMN(기본데이타!I$8),0))</f>
        <v/>
      </c>
      <c r="H205" s="15" t="str">
        <f>IF($A205="","",VLOOKUP($A205,기본데이타!$A$8:$BV$103,COLUMN(기본데이타!J$8),0))</f>
        <v/>
      </c>
      <c r="I205" s="17" t="str">
        <f>IF($A205="","",VLOOKUP($A205,기본데이타!$A$8:$BV$103,COLUMN(기본데이타!AJ$8),0))</f>
        <v/>
      </c>
      <c r="J205" s="381" t="str">
        <f>IF($A205="","",VLOOKUP($A205,기본데이타!$A$8:$BV$103,COLUMN(기본데이타!AK$8),0))</f>
        <v/>
      </c>
      <c r="K205" s="381" t="str">
        <f>IF($A205="","",VLOOKUP($A205,기본데이타!$A$8:$BV$103,COLUMN(기본데이타!AL$8),0))</f>
        <v/>
      </c>
      <c r="L205" s="381" t="str">
        <f>IF($A205="","",VLOOKUP($A205,기본데이타!$A$8:$BV$103,COLUMN(기본데이타!AM$8),0))</f>
        <v/>
      </c>
      <c r="M205" s="381" t="str">
        <f>IF($A205="","",VLOOKUP($A205,기본데이타!$A$8:$BV$103,COLUMN(기본데이타!AN$8),0))</f>
        <v/>
      </c>
      <c r="N205" s="381" t="str">
        <f>IF($A205="","",VLOOKUP($A205,기본데이타!$A$8:$BV$103,COLUMN(기본데이타!AO$8),0))</f>
        <v/>
      </c>
      <c r="O205" s="381" t="str">
        <f>IF($A205="","",VLOOKUP($A205,기본데이타!$A$8:$BV$103,COLUMN(기본데이타!AP$8),0))</f>
        <v/>
      </c>
      <c r="P205" s="381" t="str">
        <f>IF($A205="","",VLOOKUP($A205,기본데이타!$A$8:$BV$103,COLUMN(기본데이타!AQ$8),0))</f>
        <v/>
      </c>
      <c r="Q205" s="381" t="str">
        <f>IF($A205="","",VLOOKUP($A205,기본데이타!$A$8:$BV$103,COLUMN(기본데이타!AR$8),0))</f>
        <v/>
      </c>
      <c r="R205" s="381" t="str">
        <f>IF($A205="","",VLOOKUP($A205,기본데이타!$A$8:$BV$103,COLUMN(기본데이타!AS$8),0))</f>
        <v/>
      </c>
      <c r="S205" s="381" t="str">
        <f>IF($A205="","",VLOOKUP($A205,기본데이타!$A$8:$BV$103,COLUMN(기본데이타!AT$8),0))</f>
        <v/>
      </c>
      <c r="T205" s="381" t="str">
        <f>IF($A205="","",VLOOKUP($A205,기본데이타!$A$8:$BV$103,COLUMN(기본데이타!AU$8),0))</f>
        <v/>
      </c>
      <c r="U205" s="381" t="str">
        <f>IF($A205="","",VLOOKUP($A205,기본데이타!$A$8:$BV$103,COLUMN(기본데이타!AV$8),0))</f>
        <v/>
      </c>
      <c r="V205" s="16" t="str">
        <f>IF($A205="","",VLOOKUP($A205,기본데이타!$A$8:$BV$103,COLUMN(기본데이타!AW$8),0))</f>
        <v/>
      </c>
      <c r="W205" s="16" t="str">
        <f>IF($A205="","",VLOOKUP($A205,기본데이타!$A$8:$BV$103,COLUMN(기본데이타!AX$8),0))</f>
        <v/>
      </c>
      <c r="X205" s="16" t="str">
        <f>IF($A205="","",VLOOKUP($A205,기본데이타!$A$8:$BV$103,COLUMN(기본데이타!AY$8),0))</f>
        <v/>
      </c>
      <c r="Y205" s="16" t="str">
        <f>IF($A205="","",VLOOKUP($A205,기본데이타!$A$8:$BV$103,COLUMN(기본데이타!AZ$8),0))</f>
        <v/>
      </c>
      <c r="Z205" s="17" t="str">
        <f>IF($A205="","",VLOOKUP($A205,기본데이타!$A$8:$BV$103,COLUMN(기본데이타!BN$8),0))</f>
        <v/>
      </c>
      <c r="AA205" s="17" t="str">
        <f>IF($A205="","",VLOOKUP($A205,기본데이타!$A$8:$BV$103,COLUMN(기본데이타!BO$8),0))</f>
        <v/>
      </c>
      <c r="AB205" s="17" t="str">
        <f>IF($A205="","",VLOOKUP($A205,기본데이타!$A$8:$BV$103,COLUMN(기본데이타!BP$8),0))</f>
        <v/>
      </c>
      <c r="AC205" s="17" t="str">
        <f>IF($A205="","",VLOOKUP($A205,기본데이타!$A$8:$BV$103,COLUMN(기본데이타!BQ$8),0))</f>
        <v/>
      </c>
      <c r="AD205" s="17" t="str">
        <f>IF($A205="","",VLOOKUP($A205,기본데이타!$A$8:$BV$103,COLUMN(기본데이타!BR$8),0))</f>
        <v/>
      </c>
      <c r="AE205" s="17" t="str">
        <f>IF($A205="","",VLOOKUP($A205,기본데이타!$A$8:$BV$103,COLUMN(기본데이타!BS$8),0))</f>
        <v/>
      </c>
      <c r="AF205" s="294" t="str">
        <f>IF($A205="","",VLOOKUP($A205,기본데이타!$A$8:$BV$103,COLUMN(기본데이타!BT$8),0))</f>
        <v/>
      </c>
      <c r="AG205" s="432" t="str">
        <f>IF($A205="","",VLOOKUP($A205,기본데이타!$A$8:$BV$103,COLUMN(기본데이타!BU$8),0))</f>
        <v/>
      </c>
      <c r="AH205" s="18" t="str">
        <f t="shared" si="42"/>
        <v/>
      </c>
    </row>
    <row r="206" spans="1:34" s="187" customFormat="1" ht="35.1" hidden="1" customHeight="1">
      <c r="A206" s="189"/>
      <c r="C206" s="190"/>
      <c r="D206" s="8" t="str">
        <f>IF($A206="","",VLOOKUP($A206,기본데이타!$A$10:$BV$103,COLUMN(기본데이타!F$8),0))</f>
        <v/>
      </c>
      <c r="E206" s="252" t="str">
        <f>IF($A206="","",VLOOKUP($A206,기본데이타!$A$8:$BV$103,COLUMN(기본데이타!G$8),0))</f>
        <v/>
      </c>
      <c r="F206" s="15" t="str">
        <f>IF($A206="","",VLOOKUP($A206,기본데이타!$A$8:$BV$103,COLUMN(기본데이타!H$8),0))</f>
        <v/>
      </c>
      <c r="G206" s="15" t="str">
        <f>IF($A206="","",VLOOKUP($A206,기본데이타!$A$8:$BV$103,COLUMN(기본데이타!I$8),0))</f>
        <v/>
      </c>
      <c r="H206" s="15" t="str">
        <f>IF($A206="","",VLOOKUP($A206,기본데이타!$A$8:$BV$103,COLUMN(기본데이타!J$8),0))</f>
        <v/>
      </c>
      <c r="I206" s="17" t="str">
        <f>IF($A206="","",VLOOKUP($A206,기본데이타!$A$8:$BV$103,COLUMN(기본데이타!AJ$8),0))</f>
        <v/>
      </c>
      <c r="J206" s="381" t="str">
        <f>IF($A206="","",VLOOKUP($A206,기본데이타!$A$8:$BV$103,COLUMN(기본데이타!AK$8),0))</f>
        <v/>
      </c>
      <c r="K206" s="381" t="str">
        <f>IF($A206="","",VLOOKUP($A206,기본데이타!$A$8:$BV$103,COLUMN(기본데이타!AL$8),0))</f>
        <v/>
      </c>
      <c r="L206" s="381" t="str">
        <f>IF($A206="","",VLOOKUP($A206,기본데이타!$A$8:$BV$103,COLUMN(기본데이타!AM$8),0))</f>
        <v/>
      </c>
      <c r="M206" s="381" t="str">
        <f>IF($A206="","",VLOOKUP($A206,기본데이타!$A$8:$BV$103,COLUMN(기본데이타!AN$8),0))</f>
        <v/>
      </c>
      <c r="N206" s="381" t="str">
        <f>IF($A206="","",VLOOKUP($A206,기본데이타!$A$8:$BV$103,COLUMN(기본데이타!AO$8),0))</f>
        <v/>
      </c>
      <c r="O206" s="381" t="str">
        <f>IF($A206="","",VLOOKUP($A206,기본데이타!$A$8:$BV$103,COLUMN(기본데이타!AP$8),0))</f>
        <v/>
      </c>
      <c r="P206" s="381" t="str">
        <f>IF($A206="","",VLOOKUP($A206,기본데이타!$A$8:$BV$103,COLUMN(기본데이타!AQ$8),0))</f>
        <v/>
      </c>
      <c r="Q206" s="381" t="str">
        <f>IF($A206="","",VLOOKUP($A206,기본데이타!$A$8:$BV$103,COLUMN(기본데이타!AR$8),0))</f>
        <v/>
      </c>
      <c r="R206" s="381" t="str">
        <f>IF($A206="","",VLOOKUP($A206,기본데이타!$A$8:$BV$103,COLUMN(기본데이타!AS$8),0))</f>
        <v/>
      </c>
      <c r="S206" s="381" t="str">
        <f>IF($A206="","",VLOOKUP($A206,기본데이타!$A$8:$BV$103,COLUMN(기본데이타!AT$8),0))</f>
        <v/>
      </c>
      <c r="T206" s="381" t="str">
        <f>IF($A206="","",VLOOKUP($A206,기본데이타!$A$8:$BV$103,COLUMN(기본데이타!AU$8),0))</f>
        <v/>
      </c>
      <c r="U206" s="381" t="str">
        <f>IF($A206="","",VLOOKUP($A206,기본데이타!$A$8:$BV$103,COLUMN(기본데이타!AV$8),0))</f>
        <v/>
      </c>
      <c r="V206" s="16" t="str">
        <f>IF($A206="","",VLOOKUP($A206,기본데이타!$A$8:$BV$103,COLUMN(기본데이타!AW$8),0))</f>
        <v/>
      </c>
      <c r="W206" s="16" t="str">
        <f>IF($A206="","",VLOOKUP($A206,기본데이타!$A$8:$BV$103,COLUMN(기본데이타!AX$8),0))</f>
        <v/>
      </c>
      <c r="X206" s="16" t="str">
        <f>IF($A206="","",VLOOKUP($A206,기본데이타!$A$8:$BV$103,COLUMN(기본데이타!AY$8),0))</f>
        <v/>
      </c>
      <c r="Y206" s="16" t="str">
        <f>IF($A206="","",VLOOKUP($A206,기본데이타!$A$8:$BV$103,COLUMN(기본데이타!AZ$8),0))</f>
        <v/>
      </c>
      <c r="Z206" s="17" t="str">
        <f>IF($A206="","",VLOOKUP($A206,기본데이타!$A$8:$BV$103,COLUMN(기본데이타!BN$8),0))</f>
        <v/>
      </c>
      <c r="AA206" s="17" t="str">
        <f>IF($A206="","",VLOOKUP($A206,기본데이타!$A$8:$BV$103,COLUMN(기본데이타!BO$8),0))</f>
        <v/>
      </c>
      <c r="AB206" s="17" t="str">
        <f>IF($A206="","",VLOOKUP($A206,기본데이타!$A$8:$BV$103,COLUMN(기본데이타!BP$8),0))</f>
        <v/>
      </c>
      <c r="AC206" s="17" t="str">
        <f>IF($A206="","",VLOOKUP($A206,기본데이타!$A$8:$BV$103,COLUMN(기본데이타!BQ$8),0))</f>
        <v/>
      </c>
      <c r="AD206" s="17" t="str">
        <f>IF($A206="","",VLOOKUP($A206,기본데이타!$A$8:$BV$103,COLUMN(기본데이타!BR$8),0))</f>
        <v/>
      </c>
      <c r="AE206" s="17" t="str">
        <f>IF($A206="","",VLOOKUP($A206,기본데이타!$A$8:$BV$103,COLUMN(기본데이타!BS$8),0))</f>
        <v/>
      </c>
      <c r="AF206" s="294" t="str">
        <f>IF($A206="","",VLOOKUP($A206,기본데이타!$A$8:$BV$103,COLUMN(기본데이타!BT$8),0))</f>
        <v/>
      </c>
      <c r="AG206" s="432" t="str">
        <f>IF($A206="","",VLOOKUP($A206,기본데이타!$A$8:$BV$103,COLUMN(기본데이타!BU$8),0))</f>
        <v/>
      </c>
      <c r="AH206" s="18" t="str">
        <f t="shared" si="41"/>
        <v/>
      </c>
    </row>
    <row r="207" spans="1:34" s="187" customFormat="1" ht="35.1" hidden="1" customHeight="1">
      <c r="A207" s="189"/>
      <c r="C207" s="190"/>
      <c r="D207" s="8" t="str">
        <f>IF($A207="","",VLOOKUP($A207,기본데이타!$A$10:$BV$103,COLUMN(기본데이타!F$8),0))</f>
        <v/>
      </c>
      <c r="E207" s="252" t="str">
        <f>IF($A207="","",VLOOKUP($A207,기본데이타!$A$8:$BV$103,COLUMN(기본데이타!G$8),0))</f>
        <v/>
      </c>
      <c r="F207" s="15" t="str">
        <f>IF($A207="","",VLOOKUP($A207,기본데이타!$A$8:$BV$103,COLUMN(기본데이타!H$8),0))</f>
        <v/>
      </c>
      <c r="G207" s="15" t="str">
        <f>IF($A207="","",VLOOKUP($A207,기본데이타!$A$8:$BV$103,COLUMN(기본데이타!I$8),0))</f>
        <v/>
      </c>
      <c r="H207" s="15" t="str">
        <f>IF($A207="","",VLOOKUP($A207,기본데이타!$A$8:$BV$103,COLUMN(기본데이타!J$8),0))</f>
        <v/>
      </c>
      <c r="I207" s="17" t="str">
        <f>IF($A207="","",VLOOKUP($A207,기본데이타!$A$8:$BV$103,COLUMN(기본데이타!AJ$8),0))</f>
        <v/>
      </c>
      <c r="J207" s="381" t="str">
        <f>IF($A207="","",VLOOKUP($A207,기본데이타!$A$8:$BV$103,COLUMN(기본데이타!AK$8),0))</f>
        <v/>
      </c>
      <c r="K207" s="381" t="str">
        <f>IF($A207="","",VLOOKUP($A207,기본데이타!$A$8:$BV$103,COLUMN(기본데이타!AL$8),0))</f>
        <v/>
      </c>
      <c r="L207" s="381" t="str">
        <f>IF($A207="","",VLOOKUP($A207,기본데이타!$A$8:$BV$103,COLUMN(기본데이타!AM$8),0))</f>
        <v/>
      </c>
      <c r="M207" s="381" t="str">
        <f>IF($A207="","",VLOOKUP($A207,기본데이타!$A$8:$BV$103,COLUMN(기본데이타!AN$8),0))</f>
        <v/>
      </c>
      <c r="N207" s="381" t="str">
        <f>IF($A207="","",VLOOKUP($A207,기본데이타!$A$8:$BV$103,COLUMN(기본데이타!AO$8),0))</f>
        <v/>
      </c>
      <c r="O207" s="381" t="str">
        <f>IF($A207="","",VLOOKUP($A207,기본데이타!$A$8:$BV$103,COLUMN(기본데이타!AP$8),0))</f>
        <v/>
      </c>
      <c r="P207" s="381" t="str">
        <f>IF($A207="","",VLOOKUP($A207,기본데이타!$A$8:$BV$103,COLUMN(기본데이타!AQ$8),0))</f>
        <v/>
      </c>
      <c r="Q207" s="381" t="str">
        <f>IF($A207="","",VLOOKUP($A207,기본데이타!$A$8:$BV$103,COLUMN(기본데이타!AR$8),0))</f>
        <v/>
      </c>
      <c r="R207" s="381" t="str">
        <f>IF($A207="","",VLOOKUP($A207,기본데이타!$A$8:$BV$103,COLUMN(기본데이타!AS$8),0))</f>
        <v/>
      </c>
      <c r="S207" s="381" t="str">
        <f>IF($A207="","",VLOOKUP($A207,기본데이타!$A$8:$BV$103,COLUMN(기본데이타!AT$8),0))</f>
        <v/>
      </c>
      <c r="T207" s="381" t="str">
        <f>IF($A207="","",VLOOKUP($A207,기본데이타!$A$8:$BV$103,COLUMN(기본데이타!AU$8),0))</f>
        <v/>
      </c>
      <c r="U207" s="381" t="str">
        <f>IF($A207="","",VLOOKUP($A207,기본데이타!$A$8:$BV$103,COLUMN(기본데이타!AV$8),0))</f>
        <v/>
      </c>
      <c r="V207" s="16" t="str">
        <f>IF($A207="","",VLOOKUP($A207,기본데이타!$A$8:$BV$103,COLUMN(기본데이타!AW$8),0))</f>
        <v/>
      </c>
      <c r="W207" s="16" t="str">
        <f>IF($A207="","",VLOOKUP($A207,기본데이타!$A$8:$BV$103,COLUMN(기본데이타!AX$8),0))</f>
        <v/>
      </c>
      <c r="X207" s="16" t="str">
        <f>IF($A207="","",VLOOKUP($A207,기본데이타!$A$8:$BV$103,COLUMN(기본데이타!AY$8),0))</f>
        <v/>
      </c>
      <c r="Y207" s="16" t="str">
        <f>IF($A207="","",VLOOKUP($A207,기본데이타!$A$8:$BV$103,COLUMN(기본데이타!AZ$8),0))</f>
        <v/>
      </c>
      <c r="Z207" s="17" t="str">
        <f>IF($A207="","",VLOOKUP($A207,기본데이타!$A$8:$BV$103,COLUMN(기본데이타!BN$8),0))</f>
        <v/>
      </c>
      <c r="AA207" s="17" t="str">
        <f>IF($A207="","",VLOOKUP($A207,기본데이타!$A$8:$BV$103,COLUMN(기본데이타!BO$8),0))</f>
        <v/>
      </c>
      <c r="AB207" s="17" t="str">
        <f>IF($A207="","",VLOOKUP($A207,기본데이타!$A$8:$BV$103,COLUMN(기본데이타!BP$8),0))</f>
        <v/>
      </c>
      <c r="AC207" s="17" t="str">
        <f>IF($A207="","",VLOOKUP($A207,기본데이타!$A$8:$BV$103,COLUMN(기본데이타!BQ$8),0))</f>
        <v/>
      </c>
      <c r="AD207" s="17" t="str">
        <f>IF($A207="","",VLOOKUP($A207,기본데이타!$A$8:$BV$103,COLUMN(기본데이타!BR$8),0))</f>
        <v/>
      </c>
      <c r="AE207" s="17" t="str">
        <f>IF($A207="","",VLOOKUP($A207,기본데이타!$A$8:$BV$103,COLUMN(기본데이타!BS$8),0))</f>
        <v/>
      </c>
      <c r="AF207" s="294" t="str">
        <f>IF($A207="","",VLOOKUP($A207,기본데이타!$A$8:$BV$103,COLUMN(기본데이타!BT$8),0))</f>
        <v/>
      </c>
      <c r="AG207" s="432" t="str">
        <f>IF($A207="","",VLOOKUP($A207,기본데이타!$A$8:$BV$103,COLUMN(기본데이타!BU$8),0))</f>
        <v/>
      </c>
      <c r="AH207" s="18" t="str">
        <f t="shared" si="41"/>
        <v/>
      </c>
    </row>
    <row r="208" spans="1:34" s="187" customFormat="1" ht="35.1" hidden="1" customHeight="1">
      <c r="A208" s="189"/>
      <c r="C208" s="190"/>
      <c r="D208" s="8" t="str">
        <f>IF($A208="","",VLOOKUP($A208,기본데이타!$A$10:$BV$103,COLUMN(기본데이타!F$8),0))</f>
        <v/>
      </c>
      <c r="E208" s="252" t="str">
        <f>IF($A208="","",VLOOKUP($A208,기본데이타!$A$8:$BV$103,COLUMN(기본데이타!G$8),0))</f>
        <v/>
      </c>
      <c r="F208" s="15" t="str">
        <f>IF($A208="","",VLOOKUP($A208,기본데이타!$A$8:$BV$103,COLUMN(기본데이타!H$8),0))</f>
        <v/>
      </c>
      <c r="G208" s="15" t="str">
        <f>IF($A208="","",VLOOKUP($A208,기본데이타!$A$8:$BV$103,COLUMN(기본데이타!I$8),0))</f>
        <v/>
      </c>
      <c r="H208" s="15" t="str">
        <f>IF($A208="","",VLOOKUP($A208,기본데이타!$A$8:$BV$103,COLUMN(기본데이타!J$8),0))</f>
        <v/>
      </c>
      <c r="I208" s="17" t="str">
        <f>IF($A208="","",VLOOKUP($A208,기본데이타!$A$8:$BV$103,COLUMN(기본데이타!AJ$8),0))</f>
        <v/>
      </c>
      <c r="J208" s="381" t="str">
        <f>IF($A208="","",VLOOKUP($A208,기본데이타!$A$8:$BV$103,COLUMN(기본데이타!AK$8),0))</f>
        <v/>
      </c>
      <c r="K208" s="381" t="str">
        <f>IF($A208="","",VLOOKUP($A208,기본데이타!$A$8:$BV$103,COLUMN(기본데이타!AL$8),0))</f>
        <v/>
      </c>
      <c r="L208" s="381" t="str">
        <f>IF($A208="","",VLOOKUP($A208,기본데이타!$A$8:$BV$103,COLUMN(기본데이타!AM$8),0))</f>
        <v/>
      </c>
      <c r="M208" s="381" t="str">
        <f>IF($A208="","",VLOOKUP($A208,기본데이타!$A$8:$BV$103,COLUMN(기본데이타!AN$8),0))</f>
        <v/>
      </c>
      <c r="N208" s="381" t="str">
        <f>IF($A208="","",VLOOKUP($A208,기본데이타!$A$8:$BV$103,COLUMN(기본데이타!AO$8),0))</f>
        <v/>
      </c>
      <c r="O208" s="381" t="str">
        <f>IF($A208="","",VLOOKUP($A208,기본데이타!$A$8:$BV$103,COLUMN(기본데이타!AP$8),0))</f>
        <v/>
      </c>
      <c r="P208" s="381" t="str">
        <f>IF($A208="","",VLOOKUP($A208,기본데이타!$A$8:$BV$103,COLUMN(기본데이타!AQ$8),0))</f>
        <v/>
      </c>
      <c r="Q208" s="381" t="str">
        <f>IF($A208="","",VLOOKUP($A208,기본데이타!$A$8:$BV$103,COLUMN(기본데이타!AR$8),0))</f>
        <v/>
      </c>
      <c r="R208" s="381" t="str">
        <f>IF($A208="","",VLOOKUP($A208,기본데이타!$A$8:$BV$103,COLUMN(기본데이타!AS$8),0))</f>
        <v/>
      </c>
      <c r="S208" s="381" t="str">
        <f>IF($A208="","",VLOOKUP($A208,기본데이타!$A$8:$BV$103,COLUMN(기본데이타!AT$8),0))</f>
        <v/>
      </c>
      <c r="T208" s="381" t="str">
        <f>IF($A208="","",VLOOKUP($A208,기본데이타!$A$8:$BV$103,COLUMN(기본데이타!AU$8),0))</f>
        <v/>
      </c>
      <c r="U208" s="381" t="str">
        <f>IF($A208="","",VLOOKUP($A208,기본데이타!$A$8:$BV$103,COLUMN(기본데이타!AV$8),0))</f>
        <v/>
      </c>
      <c r="V208" s="16" t="str">
        <f>IF($A208="","",VLOOKUP($A208,기본데이타!$A$8:$BV$103,COLUMN(기본데이타!AW$8),0))</f>
        <v/>
      </c>
      <c r="W208" s="16" t="str">
        <f>IF($A208="","",VLOOKUP($A208,기본데이타!$A$8:$BV$103,COLUMN(기본데이타!AX$8),0))</f>
        <v/>
      </c>
      <c r="X208" s="16" t="str">
        <f>IF($A208="","",VLOOKUP($A208,기본데이타!$A$8:$BV$103,COLUMN(기본데이타!AY$8),0))</f>
        <v/>
      </c>
      <c r="Y208" s="16" t="str">
        <f>IF($A208="","",VLOOKUP($A208,기본데이타!$A$8:$BV$103,COLUMN(기본데이타!AZ$8),0))</f>
        <v/>
      </c>
      <c r="Z208" s="17" t="str">
        <f>IF($A208="","",VLOOKUP($A208,기본데이타!$A$8:$BV$103,COLUMN(기본데이타!BN$8),0))</f>
        <v/>
      </c>
      <c r="AA208" s="17" t="str">
        <f>IF($A208="","",VLOOKUP($A208,기본데이타!$A$8:$BV$103,COLUMN(기본데이타!BO$8),0))</f>
        <v/>
      </c>
      <c r="AB208" s="17" t="str">
        <f>IF($A208="","",VLOOKUP($A208,기본데이타!$A$8:$BV$103,COLUMN(기본데이타!BP$8),0))</f>
        <v/>
      </c>
      <c r="AC208" s="17" t="str">
        <f>IF($A208="","",VLOOKUP($A208,기본데이타!$A$8:$BV$103,COLUMN(기본데이타!BQ$8),0))</f>
        <v/>
      </c>
      <c r="AD208" s="17" t="str">
        <f>IF($A208="","",VLOOKUP($A208,기본데이타!$A$8:$BV$103,COLUMN(기본데이타!BR$8),0))</f>
        <v/>
      </c>
      <c r="AE208" s="17" t="str">
        <f>IF($A208="","",VLOOKUP($A208,기본데이타!$A$8:$BV$103,COLUMN(기본데이타!BS$8),0))</f>
        <v/>
      </c>
      <c r="AF208" s="294" t="str">
        <f>IF($A208="","",VLOOKUP($A208,기본데이타!$A$8:$BV$103,COLUMN(기본데이타!BT$8),0))</f>
        <v/>
      </c>
      <c r="AG208" s="432" t="str">
        <f>IF($A208="","",VLOOKUP($A208,기본데이타!$A$8:$BV$103,COLUMN(기본데이타!BU$8),0))</f>
        <v/>
      </c>
      <c r="AH208" s="18" t="str">
        <f t="shared" si="41"/>
        <v/>
      </c>
    </row>
    <row r="209" spans="1:35" s="187" customFormat="1" ht="35.1" hidden="1" customHeight="1">
      <c r="A209" s="189"/>
      <c r="C209" s="190"/>
      <c r="D209" s="8" t="str">
        <f>IF($A209="","",VLOOKUP($A209,기본데이타!$A$10:$BV$103,COLUMN(기본데이타!F$8),0))</f>
        <v/>
      </c>
      <c r="E209" s="252" t="str">
        <f>IF($A209="","",VLOOKUP($A209,기본데이타!$A$8:$BV$103,COLUMN(기본데이타!G$8),0))</f>
        <v/>
      </c>
      <c r="F209" s="15" t="str">
        <f>IF($A209="","",VLOOKUP($A209,기본데이타!$A$8:$BV$103,COLUMN(기본데이타!H$8),0))</f>
        <v/>
      </c>
      <c r="G209" s="15" t="str">
        <f>IF($A209="","",VLOOKUP($A209,기본데이타!$A$8:$BV$103,COLUMN(기본데이타!I$8),0))</f>
        <v/>
      </c>
      <c r="H209" s="15" t="str">
        <f>IF($A209="","",VLOOKUP($A209,기본데이타!$A$8:$BV$103,COLUMN(기본데이타!J$8),0))</f>
        <v/>
      </c>
      <c r="I209" s="17" t="str">
        <f>IF($A209="","",VLOOKUP($A209,기본데이타!$A$8:$BV$103,COLUMN(기본데이타!AJ$8),0))</f>
        <v/>
      </c>
      <c r="J209" s="381" t="str">
        <f>IF($A209="","",VLOOKUP($A209,기본데이타!$A$8:$BV$103,COLUMN(기본데이타!AK$8),0))</f>
        <v/>
      </c>
      <c r="K209" s="381" t="str">
        <f>IF($A209="","",VLOOKUP($A209,기본데이타!$A$8:$BV$103,COLUMN(기본데이타!AL$8),0))</f>
        <v/>
      </c>
      <c r="L209" s="381" t="str">
        <f>IF($A209="","",VLOOKUP($A209,기본데이타!$A$8:$BV$103,COLUMN(기본데이타!AM$8),0))</f>
        <v/>
      </c>
      <c r="M209" s="381" t="str">
        <f>IF($A209="","",VLOOKUP($A209,기본데이타!$A$8:$BV$103,COLUMN(기본데이타!AN$8),0))</f>
        <v/>
      </c>
      <c r="N209" s="381" t="str">
        <f>IF($A209="","",VLOOKUP($A209,기본데이타!$A$8:$BV$103,COLUMN(기본데이타!AO$8),0))</f>
        <v/>
      </c>
      <c r="O209" s="381" t="str">
        <f>IF($A209="","",VLOOKUP($A209,기본데이타!$A$8:$BV$103,COLUMN(기본데이타!AP$8),0))</f>
        <v/>
      </c>
      <c r="P209" s="381" t="str">
        <f>IF($A209="","",VLOOKUP($A209,기본데이타!$A$8:$BV$103,COLUMN(기본데이타!AQ$8),0))</f>
        <v/>
      </c>
      <c r="Q209" s="381" t="str">
        <f>IF($A209="","",VLOOKUP($A209,기본데이타!$A$8:$BV$103,COLUMN(기본데이타!AR$8),0))</f>
        <v/>
      </c>
      <c r="R209" s="381" t="str">
        <f>IF($A209="","",VLOOKUP($A209,기본데이타!$A$8:$BV$103,COLUMN(기본데이타!AS$8),0))</f>
        <v/>
      </c>
      <c r="S209" s="381" t="str">
        <f>IF($A209="","",VLOOKUP($A209,기본데이타!$A$8:$BV$103,COLUMN(기본데이타!AT$8),0))</f>
        <v/>
      </c>
      <c r="T209" s="381" t="str">
        <f>IF($A209="","",VLOOKUP($A209,기본데이타!$A$8:$BV$103,COLUMN(기본데이타!AU$8),0))</f>
        <v/>
      </c>
      <c r="U209" s="381" t="str">
        <f>IF($A209="","",VLOOKUP($A209,기본데이타!$A$8:$BV$103,COLUMN(기본데이타!AV$8),0))</f>
        <v/>
      </c>
      <c r="V209" s="16" t="str">
        <f>IF($A209="","",VLOOKUP($A209,기본데이타!$A$8:$BV$103,COLUMN(기본데이타!AW$8),0))</f>
        <v/>
      </c>
      <c r="W209" s="16" t="str">
        <f>IF($A209="","",VLOOKUP($A209,기본데이타!$A$8:$BV$103,COLUMN(기본데이타!AX$8),0))</f>
        <v/>
      </c>
      <c r="X209" s="16" t="str">
        <f>IF($A209="","",VLOOKUP($A209,기본데이타!$A$8:$BV$103,COLUMN(기본데이타!AY$8),0))</f>
        <v/>
      </c>
      <c r="Y209" s="16" t="str">
        <f>IF($A209="","",VLOOKUP($A209,기본데이타!$A$8:$BV$103,COLUMN(기본데이타!AZ$8),0))</f>
        <v/>
      </c>
      <c r="Z209" s="17" t="str">
        <f>IF($A209="","",VLOOKUP($A209,기본데이타!$A$8:$BV$103,COLUMN(기본데이타!BN$8),0))</f>
        <v/>
      </c>
      <c r="AA209" s="17" t="str">
        <f>IF($A209="","",VLOOKUP($A209,기본데이타!$A$8:$BV$103,COLUMN(기본데이타!BO$8),0))</f>
        <v/>
      </c>
      <c r="AB209" s="17" t="str">
        <f>IF($A209="","",VLOOKUP($A209,기본데이타!$A$8:$BV$103,COLUMN(기본데이타!BP$8),0))</f>
        <v/>
      </c>
      <c r="AC209" s="17" t="str">
        <f>IF($A209="","",VLOOKUP($A209,기본데이타!$A$8:$BV$103,COLUMN(기본데이타!BQ$8),0))</f>
        <v/>
      </c>
      <c r="AD209" s="17" t="str">
        <f>IF($A209="","",VLOOKUP($A209,기본데이타!$A$8:$BV$103,COLUMN(기본데이타!BR$8),0))</f>
        <v/>
      </c>
      <c r="AE209" s="17" t="str">
        <f>IF($A209="","",VLOOKUP($A209,기본데이타!$A$8:$BV$103,COLUMN(기본데이타!BS$8),0))</f>
        <v/>
      </c>
      <c r="AF209" s="294" t="str">
        <f>IF($A209="","",VLOOKUP($A209,기본데이타!$A$8:$BV$103,COLUMN(기본데이타!BT$8),0))</f>
        <v/>
      </c>
      <c r="AG209" s="432" t="str">
        <f>IF($A209="","",VLOOKUP($A209,기본데이타!$A$8:$BV$103,COLUMN(기본데이타!BU$8),0))</f>
        <v/>
      </c>
      <c r="AH209" s="18" t="str">
        <f t="shared" si="41"/>
        <v/>
      </c>
    </row>
    <row r="210" spans="1:35" s="187" customFormat="1" ht="35.1" hidden="1" customHeight="1">
      <c r="A210" s="189"/>
      <c r="C210" s="190"/>
      <c r="D210" s="8" t="str">
        <f>IF($A210="","",VLOOKUP($A210,기본데이타!$A$10:$BV$103,COLUMN(기본데이타!F$8),0))</f>
        <v/>
      </c>
      <c r="E210" s="252" t="str">
        <f>IF($A210="","",VLOOKUP($A210,기본데이타!$A$8:$BV$103,COLUMN(기본데이타!G$8),0))</f>
        <v/>
      </c>
      <c r="F210" s="15" t="str">
        <f>IF($A210="","",VLOOKUP($A210,기본데이타!$A$8:$BV$103,COLUMN(기본데이타!H$8),0))</f>
        <v/>
      </c>
      <c r="G210" s="15" t="str">
        <f>IF($A210="","",VLOOKUP($A210,기본데이타!$A$8:$BV$103,COLUMN(기본데이타!I$8),0))</f>
        <v/>
      </c>
      <c r="H210" s="15" t="str">
        <f>IF($A210="","",VLOOKUP($A210,기본데이타!$A$8:$BV$103,COLUMN(기본데이타!J$8),0))</f>
        <v/>
      </c>
      <c r="I210" s="17" t="str">
        <f>IF($A210="","",VLOOKUP($A210,기본데이타!$A$8:$BV$103,COLUMN(기본데이타!AJ$8),0))</f>
        <v/>
      </c>
      <c r="J210" s="381" t="str">
        <f>IF($A210="","",VLOOKUP($A210,기본데이타!$A$8:$BV$103,COLUMN(기본데이타!AK$8),0))</f>
        <v/>
      </c>
      <c r="K210" s="381" t="str">
        <f>IF($A210="","",VLOOKUP($A210,기본데이타!$A$8:$BV$103,COLUMN(기본데이타!AL$8),0))</f>
        <v/>
      </c>
      <c r="L210" s="381" t="str">
        <f>IF($A210="","",VLOOKUP($A210,기본데이타!$A$8:$BV$103,COLUMN(기본데이타!AM$8),0))</f>
        <v/>
      </c>
      <c r="M210" s="381" t="str">
        <f>IF($A210="","",VLOOKUP($A210,기본데이타!$A$8:$BV$103,COLUMN(기본데이타!AN$8),0))</f>
        <v/>
      </c>
      <c r="N210" s="381" t="str">
        <f>IF($A210="","",VLOOKUP($A210,기본데이타!$A$8:$BV$103,COLUMN(기본데이타!AO$8),0))</f>
        <v/>
      </c>
      <c r="O210" s="381" t="str">
        <f>IF($A210="","",VLOOKUP($A210,기본데이타!$A$8:$BV$103,COLUMN(기본데이타!AP$8),0))</f>
        <v/>
      </c>
      <c r="P210" s="381" t="str">
        <f>IF($A210="","",VLOOKUP($A210,기본데이타!$A$8:$BV$103,COLUMN(기본데이타!AQ$8),0))</f>
        <v/>
      </c>
      <c r="Q210" s="381" t="str">
        <f>IF($A210="","",VLOOKUP($A210,기본데이타!$A$8:$BV$103,COLUMN(기본데이타!AR$8),0))</f>
        <v/>
      </c>
      <c r="R210" s="381" t="str">
        <f>IF($A210="","",VLOOKUP($A210,기본데이타!$A$8:$BV$103,COLUMN(기본데이타!AS$8),0))</f>
        <v/>
      </c>
      <c r="S210" s="381" t="str">
        <f>IF($A210="","",VLOOKUP($A210,기본데이타!$A$8:$BV$103,COLUMN(기본데이타!AT$8),0))</f>
        <v/>
      </c>
      <c r="T210" s="381" t="str">
        <f>IF($A210="","",VLOOKUP($A210,기본데이타!$A$8:$BV$103,COLUMN(기본데이타!AU$8),0))</f>
        <v/>
      </c>
      <c r="U210" s="381" t="str">
        <f>IF($A210="","",VLOOKUP($A210,기본데이타!$A$8:$BV$103,COLUMN(기본데이타!AV$8),0))</f>
        <v/>
      </c>
      <c r="V210" s="16" t="str">
        <f>IF($A210="","",VLOOKUP($A210,기본데이타!$A$8:$BV$103,COLUMN(기본데이타!AW$8),0))</f>
        <v/>
      </c>
      <c r="W210" s="16" t="str">
        <f>IF($A210="","",VLOOKUP($A210,기본데이타!$A$8:$BV$103,COLUMN(기본데이타!AX$8),0))</f>
        <v/>
      </c>
      <c r="X210" s="16" t="str">
        <f>IF($A210="","",VLOOKUP($A210,기본데이타!$A$8:$BV$103,COLUMN(기본데이타!AY$8),0))</f>
        <v/>
      </c>
      <c r="Y210" s="16" t="str">
        <f>IF($A210="","",VLOOKUP($A210,기본데이타!$A$8:$BV$103,COLUMN(기본데이타!AZ$8),0))</f>
        <v/>
      </c>
      <c r="Z210" s="17" t="str">
        <f>IF($A210="","",VLOOKUP($A210,기본데이타!$A$8:$BV$103,COLUMN(기본데이타!BN$8),0))</f>
        <v/>
      </c>
      <c r="AA210" s="17" t="str">
        <f>IF($A210="","",VLOOKUP($A210,기본데이타!$A$8:$BV$103,COLUMN(기본데이타!BO$8),0))</f>
        <v/>
      </c>
      <c r="AB210" s="17" t="str">
        <f>IF($A210="","",VLOOKUP($A210,기본데이타!$A$8:$BV$103,COLUMN(기본데이타!BP$8),0))</f>
        <v/>
      </c>
      <c r="AC210" s="17" t="str">
        <f>IF($A210="","",VLOOKUP($A210,기본데이타!$A$8:$BV$103,COLUMN(기본데이타!BQ$8),0))</f>
        <v/>
      </c>
      <c r="AD210" s="17" t="str">
        <f>IF($A210="","",VLOOKUP($A210,기본데이타!$A$8:$BV$103,COLUMN(기본데이타!BR$8),0))</f>
        <v/>
      </c>
      <c r="AE210" s="17" t="str">
        <f>IF($A210="","",VLOOKUP($A210,기본데이타!$A$8:$BV$103,COLUMN(기본데이타!BS$8),0))</f>
        <v/>
      </c>
      <c r="AF210" s="294" t="str">
        <f>IF($A210="","",VLOOKUP($A210,기본데이타!$A$8:$BV$103,COLUMN(기본데이타!BT$8),0))</f>
        <v/>
      </c>
      <c r="AG210" s="432" t="str">
        <f>IF($A210="","",VLOOKUP($A210,기본데이타!$A$8:$BV$103,COLUMN(기본데이타!BU$8),0))</f>
        <v/>
      </c>
      <c r="AH210" s="18" t="str">
        <f t="shared" si="41"/>
        <v/>
      </c>
    </row>
    <row r="211" spans="1:35" s="187" customFormat="1" ht="35.1" hidden="1" customHeight="1">
      <c r="A211" s="189"/>
      <c r="C211" s="190"/>
      <c r="D211" s="8" t="str">
        <f>IF($A211="","",VLOOKUP($A211,기본데이타!$A$10:$BV$103,COLUMN(기본데이타!F$8),0))</f>
        <v/>
      </c>
      <c r="E211" s="252" t="str">
        <f>IF($A211="","",VLOOKUP($A211,기본데이타!$A$8:$BV$103,COLUMN(기본데이타!G$8),0))</f>
        <v/>
      </c>
      <c r="F211" s="15" t="str">
        <f>IF($A211="","",VLOOKUP($A211,기본데이타!$A$8:$BV$103,COLUMN(기본데이타!H$8),0))</f>
        <v/>
      </c>
      <c r="G211" s="15" t="str">
        <f>IF($A211="","",VLOOKUP($A211,기본데이타!$A$8:$BV$103,COLUMN(기본데이타!I$8),0))</f>
        <v/>
      </c>
      <c r="H211" s="15" t="str">
        <f>IF($A211="","",VLOOKUP($A211,기본데이타!$A$8:$BV$103,COLUMN(기본데이타!J$8),0))</f>
        <v/>
      </c>
      <c r="I211" s="17" t="str">
        <f>IF($A211="","",VLOOKUP($A211,기본데이타!$A$8:$BV$103,COLUMN(기본데이타!AJ$8),0))</f>
        <v/>
      </c>
      <c r="J211" s="381" t="str">
        <f>IF($A211="","",VLOOKUP($A211,기본데이타!$A$8:$BV$103,COLUMN(기본데이타!AK$8),0))</f>
        <v/>
      </c>
      <c r="K211" s="381" t="str">
        <f>IF($A211="","",VLOOKUP($A211,기본데이타!$A$8:$BV$103,COLUMN(기본데이타!AL$8),0))</f>
        <v/>
      </c>
      <c r="L211" s="381" t="str">
        <f>IF($A211="","",VLOOKUP($A211,기본데이타!$A$8:$BV$103,COLUMN(기본데이타!AM$8),0))</f>
        <v/>
      </c>
      <c r="M211" s="381" t="str">
        <f>IF($A211="","",VLOOKUP($A211,기본데이타!$A$8:$BV$103,COLUMN(기본데이타!AN$8),0))</f>
        <v/>
      </c>
      <c r="N211" s="381" t="str">
        <f>IF($A211="","",VLOOKUP($A211,기본데이타!$A$8:$BV$103,COLUMN(기본데이타!AO$8),0))</f>
        <v/>
      </c>
      <c r="O211" s="381" t="str">
        <f>IF($A211="","",VLOOKUP($A211,기본데이타!$A$8:$BV$103,COLUMN(기본데이타!AP$8),0))</f>
        <v/>
      </c>
      <c r="P211" s="381" t="str">
        <f>IF($A211="","",VLOOKUP($A211,기본데이타!$A$8:$BV$103,COLUMN(기본데이타!AQ$8),0))</f>
        <v/>
      </c>
      <c r="Q211" s="381" t="str">
        <f>IF($A211="","",VLOOKUP($A211,기본데이타!$A$8:$BV$103,COLUMN(기본데이타!AR$8),0))</f>
        <v/>
      </c>
      <c r="R211" s="381" t="str">
        <f>IF($A211="","",VLOOKUP($A211,기본데이타!$A$8:$BV$103,COLUMN(기본데이타!AS$8),0))</f>
        <v/>
      </c>
      <c r="S211" s="381" t="str">
        <f>IF($A211="","",VLOOKUP($A211,기본데이타!$A$8:$BV$103,COLUMN(기본데이타!AT$8),0))</f>
        <v/>
      </c>
      <c r="T211" s="381" t="str">
        <f>IF($A211="","",VLOOKUP($A211,기본데이타!$A$8:$BV$103,COLUMN(기본데이타!AU$8),0))</f>
        <v/>
      </c>
      <c r="U211" s="381" t="str">
        <f>IF($A211="","",VLOOKUP($A211,기본데이타!$A$8:$BV$103,COLUMN(기본데이타!AV$8),0))</f>
        <v/>
      </c>
      <c r="V211" s="16" t="str">
        <f>IF($A211="","",VLOOKUP($A211,기본데이타!$A$8:$BV$103,COLUMN(기본데이타!AW$8),0))</f>
        <v/>
      </c>
      <c r="W211" s="16" t="str">
        <f>IF($A211="","",VLOOKUP($A211,기본데이타!$A$8:$BV$103,COLUMN(기본데이타!AX$8),0))</f>
        <v/>
      </c>
      <c r="X211" s="16" t="str">
        <f>IF($A211="","",VLOOKUP($A211,기본데이타!$A$8:$BV$103,COLUMN(기본데이타!AY$8),0))</f>
        <v/>
      </c>
      <c r="Y211" s="16" t="str">
        <f>IF($A211="","",VLOOKUP($A211,기본데이타!$A$8:$BV$103,COLUMN(기본데이타!AZ$8),0))</f>
        <v/>
      </c>
      <c r="Z211" s="17" t="str">
        <f>IF($A211="","",VLOOKUP($A211,기본데이타!$A$8:$BV$103,COLUMN(기본데이타!BN$8),0))</f>
        <v/>
      </c>
      <c r="AA211" s="17" t="str">
        <f>IF($A211="","",VLOOKUP($A211,기본데이타!$A$8:$BV$103,COLUMN(기본데이타!BO$8),0))</f>
        <v/>
      </c>
      <c r="AB211" s="17" t="str">
        <f>IF($A211="","",VLOOKUP($A211,기본데이타!$A$8:$BV$103,COLUMN(기본데이타!BP$8),0))</f>
        <v/>
      </c>
      <c r="AC211" s="17" t="str">
        <f>IF($A211="","",VLOOKUP($A211,기본데이타!$A$8:$BV$103,COLUMN(기본데이타!BQ$8),0))</f>
        <v/>
      </c>
      <c r="AD211" s="17" t="str">
        <f>IF($A211="","",VLOOKUP($A211,기본데이타!$A$8:$BV$103,COLUMN(기본데이타!BR$8),0))</f>
        <v/>
      </c>
      <c r="AE211" s="17" t="str">
        <f>IF($A211="","",VLOOKUP($A211,기본데이타!$A$8:$BV$103,COLUMN(기본데이타!BS$8),0))</f>
        <v/>
      </c>
      <c r="AF211" s="294" t="str">
        <f>IF($A211="","",VLOOKUP($A211,기본데이타!$A$8:$BV$103,COLUMN(기본데이타!BT$8),0))</f>
        <v/>
      </c>
      <c r="AG211" s="432" t="str">
        <f>IF($A211="","",VLOOKUP($A211,기본데이타!$A$8:$BV$103,COLUMN(기본데이타!BU$8),0))</f>
        <v/>
      </c>
      <c r="AH211" s="18" t="str">
        <f t="shared" si="41"/>
        <v/>
      </c>
    </row>
    <row r="212" spans="1:35" s="187" customFormat="1" ht="35.1" hidden="1" customHeight="1">
      <c r="A212" s="189"/>
      <c r="C212" s="190"/>
      <c r="D212" s="8" t="str">
        <f>IF($A212="","",VLOOKUP($A212,기본데이타!$A$10:$BV$103,COLUMN(기본데이타!F$8),0))</f>
        <v/>
      </c>
      <c r="E212" s="252" t="str">
        <f>IF($A212="","",VLOOKUP($A212,기본데이타!$A$8:$BV$103,COLUMN(기본데이타!G$8),0))</f>
        <v/>
      </c>
      <c r="F212" s="15" t="str">
        <f>IF($A212="","",VLOOKUP($A212,기본데이타!$A$8:$BV$103,COLUMN(기본데이타!H$8),0))</f>
        <v/>
      </c>
      <c r="G212" s="15" t="str">
        <f>IF($A212="","",VLOOKUP($A212,기본데이타!$A$8:$BV$103,COLUMN(기본데이타!I$8),0))</f>
        <v/>
      </c>
      <c r="H212" s="15" t="str">
        <f>IF($A212="","",VLOOKUP($A212,기본데이타!$A$8:$BV$103,COLUMN(기본데이타!J$8),0))</f>
        <v/>
      </c>
      <c r="I212" s="17" t="str">
        <f>IF($A212="","",VLOOKUP($A212,기본데이타!$A$8:$BV$103,COLUMN(기본데이타!AJ$8),0))</f>
        <v/>
      </c>
      <c r="J212" s="381" t="str">
        <f>IF($A212="","",VLOOKUP($A212,기본데이타!$A$8:$BV$103,COLUMN(기본데이타!AK$8),0))</f>
        <v/>
      </c>
      <c r="K212" s="381" t="str">
        <f>IF($A212="","",VLOOKUP($A212,기본데이타!$A$8:$BV$103,COLUMN(기본데이타!AL$8),0))</f>
        <v/>
      </c>
      <c r="L212" s="381" t="str">
        <f>IF($A212="","",VLOOKUP($A212,기본데이타!$A$8:$BV$103,COLUMN(기본데이타!AM$8),0))</f>
        <v/>
      </c>
      <c r="M212" s="381" t="str">
        <f>IF($A212="","",VLOOKUP($A212,기본데이타!$A$8:$BV$103,COLUMN(기본데이타!AN$8),0))</f>
        <v/>
      </c>
      <c r="N212" s="381" t="str">
        <f>IF($A212="","",VLOOKUP($A212,기본데이타!$A$8:$BV$103,COLUMN(기본데이타!AO$8),0))</f>
        <v/>
      </c>
      <c r="O212" s="381" t="str">
        <f>IF($A212="","",VLOOKUP($A212,기본데이타!$A$8:$BV$103,COLUMN(기본데이타!AP$8),0))</f>
        <v/>
      </c>
      <c r="P212" s="381" t="str">
        <f>IF($A212="","",VLOOKUP($A212,기본데이타!$A$8:$BV$103,COLUMN(기본데이타!AQ$8),0))</f>
        <v/>
      </c>
      <c r="Q212" s="381" t="str">
        <f>IF($A212="","",VLOOKUP($A212,기본데이타!$A$8:$BV$103,COLUMN(기본데이타!AR$8),0))</f>
        <v/>
      </c>
      <c r="R212" s="381" t="str">
        <f>IF($A212="","",VLOOKUP($A212,기본데이타!$A$8:$BV$103,COLUMN(기본데이타!AS$8),0))</f>
        <v/>
      </c>
      <c r="S212" s="381" t="str">
        <f>IF($A212="","",VLOOKUP($A212,기본데이타!$A$8:$BV$103,COLUMN(기본데이타!AT$8),0))</f>
        <v/>
      </c>
      <c r="T212" s="381" t="str">
        <f>IF($A212="","",VLOOKUP($A212,기본데이타!$A$8:$BV$103,COLUMN(기본데이타!AU$8),0))</f>
        <v/>
      </c>
      <c r="U212" s="381" t="str">
        <f>IF($A212="","",VLOOKUP($A212,기본데이타!$A$8:$BV$103,COLUMN(기본데이타!AV$8),0))</f>
        <v/>
      </c>
      <c r="V212" s="16" t="str">
        <f>IF($A212="","",VLOOKUP($A212,기본데이타!$A$8:$BV$103,COLUMN(기본데이타!AW$8),0))</f>
        <v/>
      </c>
      <c r="W212" s="16" t="str">
        <f>IF($A212="","",VLOOKUP($A212,기본데이타!$A$8:$BV$103,COLUMN(기본데이타!AX$8),0))</f>
        <v/>
      </c>
      <c r="X212" s="16" t="str">
        <f>IF($A212="","",VLOOKUP($A212,기본데이타!$A$8:$BV$103,COLUMN(기본데이타!AY$8),0))</f>
        <v/>
      </c>
      <c r="Y212" s="16" t="str">
        <f>IF($A212="","",VLOOKUP($A212,기본데이타!$A$8:$BV$103,COLUMN(기본데이타!AZ$8),0))</f>
        <v/>
      </c>
      <c r="Z212" s="17" t="str">
        <f>IF($A212="","",VLOOKUP($A212,기본데이타!$A$8:$BV$103,COLUMN(기본데이타!BN$8),0))</f>
        <v/>
      </c>
      <c r="AA212" s="17" t="str">
        <f>IF($A212="","",VLOOKUP($A212,기본데이타!$A$8:$BV$103,COLUMN(기본데이타!BO$8),0))</f>
        <v/>
      </c>
      <c r="AB212" s="17" t="str">
        <f>IF($A212="","",VLOOKUP($A212,기본데이타!$A$8:$BV$103,COLUMN(기본데이타!BP$8),0))</f>
        <v/>
      </c>
      <c r="AC212" s="17" t="str">
        <f>IF($A212="","",VLOOKUP($A212,기본데이타!$A$8:$BV$103,COLUMN(기본데이타!BQ$8),0))</f>
        <v/>
      </c>
      <c r="AD212" s="17" t="str">
        <f>IF($A212="","",VLOOKUP($A212,기본데이타!$A$8:$BV$103,COLUMN(기본데이타!BR$8),0))</f>
        <v/>
      </c>
      <c r="AE212" s="17" t="str">
        <f>IF($A212="","",VLOOKUP($A212,기본데이타!$A$8:$BV$103,COLUMN(기본데이타!BS$8),0))</f>
        <v/>
      </c>
      <c r="AF212" s="294" t="str">
        <f>IF($A212="","",VLOOKUP($A212,기본데이타!$A$8:$BV$103,COLUMN(기본데이타!BT$8),0))</f>
        <v/>
      </c>
      <c r="AG212" s="432" t="str">
        <f>IF($A212="","",VLOOKUP($A212,기본데이타!$A$8:$BV$103,COLUMN(기본데이타!BU$8),0))</f>
        <v/>
      </c>
      <c r="AH212" s="18" t="str">
        <f t="shared" si="41"/>
        <v/>
      </c>
    </row>
    <row r="213" spans="1:35" s="187" customFormat="1" ht="35.1" hidden="1" customHeight="1">
      <c r="A213" s="189"/>
      <c r="C213" s="190"/>
      <c r="D213" s="8" t="str">
        <f>IF($A213="","",VLOOKUP($A213,기본데이타!$A$10:$BV$103,COLUMN(기본데이타!F$8),0))</f>
        <v/>
      </c>
      <c r="E213" s="252" t="str">
        <f>IF($A213="","",VLOOKUP($A213,기본데이타!$A$8:$BV$103,COLUMN(기본데이타!G$8),0))</f>
        <v/>
      </c>
      <c r="F213" s="15" t="str">
        <f>IF($A213="","",VLOOKUP($A213,기본데이타!$A$8:$BV$103,COLUMN(기본데이타!H$8),0))</f>
        <v/>
      </c>
      <c r="G213" s="15" t="str">
        <f>IF($A213="","",VLOOKUP($A213,기본데이타!$A$8:$BV$103,COLUMN(기본데이타!I$8),0))</f>
        <v/>
      </c>
      <c r="H213" s="15" t="str">
        <f>IF($A213="","",VLOOKUP($A213,기본데이타!$A$8:$BV$103,COLUMN(기본데이타!J$8),0))</f>
        <v/>
      </c>
      <c r="I213" s="17" t="str">
        <f>IF($A213="","",VLOOKUP($A213,기본데이타!$A$8:$BV$103,COLUMN(기본데이타!AJ$8),0))</f>
        <v/>
      </c>
      <c r="J213" s="381" t="str">
        <f>IF($A213="","",VLOOKUP($A213,기본데이타!$A$8:$BV$103,COLUMN(기본데이타!AK$8),0))</f>
        <v/>
      </c>
      <c r="K213" s="381" t="str">
        <f>IF($A213="","",VLOOKUP($A213,기본데이타!$A$8:$BV$103,COLUMN(기본데이타!AL$8),0))</f>
        <v/>
      </c>
      <c r="L213" s="381" t="str">
        <f>IF($A213="","",VLOOKUP($A213,기본데이타!$A$8:$BV$103,COLUMN(기본데이타!AM$8),0))</f>
        <v/>
      </c>
      <c r="M213" s="381" t="str">
        <f>IF($A213="","",VLOOKUP($A213,기본데이타!$A$8:$BV$103,COLUMN(기본데이타!AN$8),0))</f>
        <v/>
      </c>
      <c r="N213" s="381" t="str">
        <f>IF($A213="","",VLOOKUP($A213,기본데이타!$A$8:$BV$103,COLUMN(기본데이타!AO$8),0))</f>
        <v/>
      </c>
      <c r="O213" s="381" t="str">
        <f>IF($A213="","",VLOOKUP($A213,기본데이타!$A$8:$BV$103,COLUMN(기본데이타!AP$8),0))</f>
        <v/>
      </c>
      <c r="P213" s="381" t="str">
        <f>IF($A213="","",VLOOKUP($A213,기본데이타!$A$8:$BV$103,COLUMN(기본데이타!AQ$8),0))</f>
        <v/>
      </c>
      <c r="Q213" s="381" t="str">
        <f>IF($A213="","",VLOOKUP($A213,기본데이타!$A$8:$BV$103,COLUMN(기본데이타!AR$8),0))</f>
        <v/>
      </c>
      <c r="R213" s="381" t="str">
        <f>IF($A213="","",VLOOKUP($A213,기본데이타!$A$8:$BV$103,COLUMN(기본데이타!AS$8),0))</f>
        <v/>
      </c>
      <c r="S213" s="381" t="str">
        <f>IF($A213="","",VLOOKUP($A213,기본데이타!$A$8:$BV$103,COLUMN(기본데이타!AT$8),0))</f>
        <v/>
      </c>
      <c r="T213" s="381" t="str">
        <f>IF($A213="","",VLOOKUP($A213,기본데이타!$A$8:$BV$103,COLUMN(기본데이타!AU$8),0))</f>
        <v/>
      </c>
      <c r="U213" s="381" t="str">
        <f>IF($A213="","",VLOOKUP($A213,기본데이타!$A$8:$BV$103,COLUMN(기본데이타!AV$8),0))</f>
        <v/>
      </c>
      <c r="V213" s="16" t="str">
        <f>IF($A213="","",VLOOKUP($A213,기본데이타!$A$8:$BV$103,COLUMN(기본데이타!AW$8),0))</f>
        <v/>
      </c>
      <c r="W213" s="16" t="str">
        <f>IF($A213="","",VLOOKUP($A213,기본데이타!$A$8:$BV$103,COLUMN(기본데이타!AX$8),0))</f>
        <v/>
      </c>
      <c r="X213" s="16" t="str">
        <f>IF($A213="","",VLOOKUP($A213,기본데이타!$A$8:$BV$103,COLUMN(기본데이타!AY$8),0))</f>
        <v/>
      </c>
      <c r="Y213" s="16" t="str">
        <f>IF($A213="","",VLOOKUP($A213,기본데이타!$A$8:$BV$103,COLUMN(기본데이타!AZ$8),0))</f>
        <v/>
      </c>
      <c r="Z213" s="17" t="str">
        <f>IF($A213="","",VLOOKUP($A213,기본데이타!$A$8:$BV$103,COLUMN(기본데이타!BN$8),0))</f>
        <v/>
      </c>
      <c r="AA213" s="17" t="str">
        <f>IF($A213="","",VLOOKUP($A213,기본데이타!$A$8:$BV$103,COLUMN(기본데이타!BO$8),0))</f>
        <v/>
      </c>
      <c r="AB213" s="17" t="str">
        <f>IF($A213="","",VLOOKUP($A213,기본데이타!$A$8:$BV$103,COLUMN(기본데이타!BP$8),0))</f>
        <v/>
      </c>
      <c r="AC213" s="17" t="str">
        <f>IF($A213="","",VLOOKUP($A213,기본데이타!$A$8:$BV$103,COLUMN(기본데이타!BQ$8),0))</f>
        <v/>
      </c>
      <c r="AD213" s="17" t="str">
        <f>IF($A213="","",VLOOKUP($A213,기본데이타!$A$8:$BV$103,COLUMN(기본데이타!BR$8),0))</f>
        <v/>
      </c>
      <c r="AE213" s="17" t="str">
        <f>IF($A213="","",VLOOKUP($A213,기본데이타!$A$8:$BV$103,COLUMN(기본데이타!BS$8),0))</f>
        <v/>
      </c>
      <c r="AF213" s="294" t="str">
        <f>IF($A213="","",VLOOKUP($A213,기본데이타!$A$8:$BV$103,COLUMN(기본데이타!BT$8),0))</f>
        <v/>
      </c>
      <c r="AG213" s="432" t="str">
        <f>IF($A213="","",VLOOKUP($A213,기본데이타!$A$8:$BV$103,COLUMN(기본데이타!BU$8),0))</f>
        <v/>
      </c>
      <c r="AH213" s="18" t="str">
        <f t="shared" si="41"/>
        <v/>
      </c>
    </row>
    <row r="214" spans="1:35" s="187" customFormat="1" ht="35.1" hidden="1" customHeight="1">
      <c r="A214" s="189"/>
      <c r="C214" s="190"/>
      <c r="D214" s="8" t="str">
        <f>IF($A214="","",VLOOKUP($A214,기본데이타!$A$10:$BV$103,COLUMN(기본데이타!F$8),0))</f>
        <v/>
      </c>
      <c r="E214" s="252" t="str">
        <f>IF($A214="","",VLOOKUP($A214,기본데이타!$A$8:$BV$103,COLUMN(기본데이타!G$8),0))</f>
        <v/>
      </c>
      <c r="F214" s="15" t="str">
        <f>IF($A214="","",VLOOKUP($A214,기본데이타!$A$8:$BV$103,COLUMN(기본데이타!H$8),0))</f>
        <v/>
      </c>
      <c r="G214" s="15" t="str">
        <f>IF($A214="","",VLOOKUP($A214,기본데이타!$A$8:$BV$103,COLUMN(기본데이타!I$8),0))</f>
        <v/>
      </c>
      <c r="H214" s="15" t="str">
        <f>IF($A214="","",VLOOKUP($A214,기본데이타!$A$8:$BV$103,COLUMN(기본데이타!J$8),0))</f>
        <v/>
      </c>
      <c r="I214" s="17" t="str">
        <f>IF($A214="","",VLOOKUP($A214,기본데이타!$A$8:$BV$103,COLUMN(기본데이타!AJ$8),0))</f>
        <v/>
      </c>
      <c r="J214" s="381" t="str">
        <f>IF($A214="","",VLOOKUP($A214,기본데이타!$A$8:$BV$103,COLUMN(기본데이타!AK$8),0))</f>
        <v/>
      </c>
      <c r="K214" s="381" t="str">
        <f>IF($A214="","",VLOOKUP($A214,기본데이타!$A$8:$BV$103,COLUMN(기본데이타!AL$8),0))</f>
        <v/>
      </c>
      <c r="L214" s="381" t="str">
        <f>IF($A214="","",VLOOKUP($A214,기본데이타!$A$8:$BV$103,COLUMN(기본데이타!AM$8),0))</f>
        <v/>
      </c>
      <c r="M214" s="381" t="str">
        <f>IF($A214="","",VLOOKUP($A214,기본데이타!$A$8:$BV$103,COLUMN(기본데이타!AN$8),0))</f>
        <v/>
      </c>
      <c r="N214" s="381" t="str">
        <f>IF($A214="","",VLOOKUP($A214,기본데이타!$A$8:$BV$103,COLUMN(기본데이타!AO$8),0))</f>
        <v/>
      </c>
      <c r="O214" s="381" t="str">
        <f>IF($A214="","",VLOOKUP($A214,기본데이타!$A$8:$BV$103,COLUMN(기본데이타!AP$8),0))</f>
        <v/>
      </c>
      <c r="P214" s="381" t="str">
        <f>IF($A214="","",VLOOKUP($A214,기본데이타!$A$8:$BV$103,COLUMN(기본데이타!AQ$8),0))</f>
        <v/>
      </c>
      <c r="Q214" s="381" t="str">
        <f>IF($A214="","",VLOOKUP($A214,기본데이타!$A$8:$BV$103,COLUMN(기본데이타!AR$8),0))</f>
        <v/>
      </c>
      <c r="R214" s="381" t="str">
        <f>IF($A214="","",VLOOKUP($A214,기본데이타!$A$8:$BV$103,COLUMN(기본데이타!AS$8),0))</f>
        <v/>
      </c>
      <c r="S214" s="381" t="str">
        <f>IF($A214="","",VLOOKUP($A214,기본데이타!$A$8:$BV$103,COLUMN(기본데이타!AT$8),0))</f>
        <v/>
      </c>
      <c r="T214" s="381" t="str">
        <f>IF($A214="","",VLOOKUP($A214,기본데이타!$A$8:$BV$103,COLUMN(기본데이타!AU$8),0))</f>
        <v/>
      </c>
      <c r="U214" s="381" t="str">
        <f>IF($A214="","",VLOOKUP($A214,기본데이타!$A$8:$BV$103,COLUMN(기본데이타!AV$8),0))</f>
        <v/>
      </c>
      <c r="V214" s="16" t="str">
        <f>IF($A214="","",VLOOKUP($A214,기본데이타!$A$8:$BV$103,COLUMN(기본데이타!AW$8),0))</f>
        <v/>
      </c>
      <c r="W214" s="16" t="str">
        <f>IF($A214="","",VLOOKUP($A214,기본데이타!$A$8:$BV$103,COLUMN(기본데이타!AX$8),0))</f>
        <v/>
      </c>
      <c r="X214" s="16" t="str">
        <f>IF($A214="","",VLOOKUP($A214,기본데이타!$A$8:$BV$103,COLUMN(기본데이타!AY$8),0))</f>
        <v/>
      </c>
      <c r="Y214" s="16" t="str">
        <f>IF($A214="","",VLOOKUP($A214,기본데이타!$A$8:$BV$103,COLUMN(기본데이타!AZ$8),0))</f>
        <v/>
      </c>
      <c r="Z214" s="17" t="str">
        <f>IF($A214="","",VLOOKUP($A214,기본데이타!$A$8:$BV$103,COLUMN(기본데이타!BN$8),0))</f>
        <v/>
      </c>
      <c r="AA214" s="17" t="str">
        <f>IF($A214="","",VLOOKUP($A214,기본데이타!$A$8:$BV$103,COLUMN(기본데이타!BO$8),0))</f>
        <v/>
      </c>
      <c r="AB214" s="17" t="str">
        <f>IF($A214="","",VLOOKUP($A214,기본데이타!$A$8:$BV$103,COLUMN(기본데이타!BP$8),0))</f>
        <v/>
      </c>
      <c r="AC214" s="17" t="str">
        <f>IF($A214="","",VLOOKUP($A214,기본데이타!$A$8:$BV$103,COLUMN(기본데이타!BQ$8),0))</f>
        <v/>
      </c>
      <c r="AD214" s="17" t="str">
        <f>IF($A214="","",VLOOKUP($A214,기본데이타!$A$8:$BV$103,COLUMN(기본데이타!BR$8),0))</f>
        <v/>
      </c>
      <c r="AE214" s="17" t="str">
        <f>IF($A214="","",VLOOKUP($A214,기본데이타!$A$8:$BV$103,COLUMN(기본데이타!BS$8),0))</f>
        <v/>
      </c>
      <c r="AF214" s="294" t="str">
        <f>IF($A214="","",VLOOKUP($A214,기본데이타!$A$8:$BV$103,COLUMN(기본데이타!BT$8),0))</f>
        <v/>
      </c>
      <c r="AG214" s="432" t="str">
        <f>IF($A214="","",VLOOKUP($A214,기본데이타!$A$8:$BV$103,COLUMN(기본데이타!BU$8),0))</f>
        <v/>
      </c>
      <c r="AH214" s="18" t="str">
        <f t="shared" si="41"/>
        <v/>
      </c>
    </row>
    <row r="215" spans="1:35" s="187" customFormat="1" ht="35.1" hidden="1" customHeight="1">
      <c r="A215" s="189"/>
      <c r="C215" s="190"/>
      <c r="D215" s="8" t="str">
        <f>IF($A215="","",VLOOKUP($A215,기본데이타!$A$10:$BV$103,COLUMN(기본데이타!F$8),0))</f>
        <v/>
      </c>
      <c r="E215" s="252" t="str">
        <f>IF($A215="","",VLOOKUP($A215,기본데이타!$A$8:$BV$103,COLUMN(기본데이타!G$8),0))</f>
        <v/>
      </c>
      <c r="F215" s="15" t="str">
        <f>IF($A215="","",VLOOKUP($A215,기본데이타!$A$8:$BV$103,COLUMN(기본데이타!H$8),0))</f>
        <v/>
      </c>
      <c r="G215" s="15" t="str">
        <f>IF($A215="","",VLOOKUP($A215,기본데이타!$A$8:$BV$103,COLUMN(기본데이타!I$8),0))</f>
        <v/>
      </c>
      <c r="H215" s="15" t="str">
        <f>IF($A215="","",VLOOKUP($A215,기본데이타!$A$8:$BV$103,COLUMN(기본데이타!J$8),0))</f>
        <v/>
      </c>
      <c r="I215" s="17" t="str">
        <f>IF($A215="","",VLOOKUP($A215,기본데이타!$A$8:$BV$103,COLUMN(기본데이타!AJ$8),0))</f>
        <v/>
      </c>
      <c r="J215" s="381" t="str">
        <f>IF($A215="","",VLOOKUP($A215,기본데이타!$A$8:$BV$103,COLUMN(기본데이타!AK$8),0))</f>
        <v/>
      </c>
      <c r="K215" s="381" t="str">
        <f>IF($A215="","",VLOOKUP($A215,기본데이타!$A$8:$BV$103,COLUMN(기본데이타!AL$8),0))</f>
        <v/>
      </c>
      <c r="L215" s="381" t="str">
        <f>IF($A215="","",VLOOKUP($A215,기본데이타!$A$8:$BV$103,COLUMN(기본데이타!AM$8),0))</f>
        <v/>
      </c>
      <c r="M215" s="381" t="str">
        <f>IF($A215="","",VLOOKUP($A215,기본데이타!$A$8:$BV$103,COLUMN(기본데이타!AN$8),0))</f>
        <v/>
      </c>
      <c r="N215" s="381" t="str">
        <f>IF($A215="","",VLOOKUP($A215,기본데이타!$A$8:$BV$103,COLUMN(기본데이타!AO$8),0))</f>
        <v/>
      </c>
      <c r="O215" s="381" t="str">
        <f>IF($A215="","",VLOOKUP($A215,기본데이타!$A$8:$BV$103,COLUMN(기본데이타!AP$8),0))</f>
        <v/>
      </c>
      <c r="P215" s="381" t="str">
        <f>IF($A215="","",VLOOKUP($A215,기본데이타!$A$8:$BV$103,COLUMN(기본데이타!AQ$8),0))</f>
        <v/>
      </c>
      <c r="Q215" s="381" t="str">
        <f>IF($A215="","",VLOOKUP($A215,기본데이타!$A$8:$BV$103,COLUMN(기본데이타!AR$8),0))</f>
        <v/>
      </c>
      <c r="R215" s="381" t="str">
        <f>IF($A215="","",VLOOKUP($A215,기본데이타!$A$8:$BV$103,COLUMN(기본데이타!AS$8),0))</f>
        <v/>
      </c>
      <c r="S215" s="381" t="str">
        <f>IF($A215="","",VLOOKUP($A215,기본데이타!$A$8:$BV$103,COLUMN(기본데이타!AT$8),0))</f>
        <v/>
      </c>
      <c r="T215" s="381" t="str">
        <f>IF($A215="","",VLOOKUP($A215,기본데이타!$A$8:$BV$103,COLUMN(기본데이타!AU$8),0))</f>
        <v/>
      </c>
      <c r="U215" s="381" t="str">
        <f>IF($A215="","",VLOOKUP($A215,기본데이타!$A$8:$BV$103,COLUMN(기본데이타!AV$8),0))</f>
        <v/>
      </c>
      <c r="V215" s="16" t="str">
        <f>IF($A215="","",VLOOKUP($A215,기본데이타!$A$8:$BV$103,COLUMN(기본데이타!AW$8),0))</f>
        <v/>
      </c>
      <c r="W215" s="16" t="str">
        <f>IF($A215="","",VLOOKUP($A215,기본데이타!$A$8:$BV$103,COLUMN(기본데이타!AX$8),0))</f>
        <v/>
      </c>
      <c r="X215" s="16" t="str">
        <f>IF($A215="","",VLOOKUP($A215,기본데이타!$A$8:$BV$103,COLUMN(기본데이타!AY$8),0))</f>
        <v/>
      </c>
      <c r="Y215" s="16" t="str">
        <f>IF($A215="","",VLOOKUP($A215,기본데이타!$A$8:$BV$103,COLUMN(기본데이타!AZ$8),0))</f>
        <v/>
      </c>
      <c r="Z215" s="17" t="str">
        <f>IF($A215="","",VLOOKUP($A215,기본데이타!$A$8:$BV$103,COLUMN(기본데이타!BN$8),0))</f>
        <v/>
      </c>
      <c r="AA215" s="17" t="str">
        <f>IF($A215="","",VLOOKUP($A215,기본데이타!$A$8:$BV$103,COLUMN(기본데이타!BO$8),0))</f>
        <v/>
      </c>
      <c r="AB215" s="17" t="str">
        <f>IF($A215="","",VLOOKUP($A215,기본데이타!$A$8:$BV$103,COLUMN(기본데이타!BP$8),0))</f>
        <v/>
      </c>
      <c r="AC215" s="17" t="str">
        <f>IF($A215="","",VLOOKUP($A215,기본데이타!$A$8:$BV$103,COLUMN(기본데이타!BQ$8),0))</f>
        <v/>
      </c>
      <c r="AD215" s="17" t="str">
        <f>IF($A215="","",VLOOKUP($A215,기본데이타!$A$8:$BV$103,COLUMN(기본데이타!BR$8),0))</f>
        <v/>
      </c>
      <c r="AE215" s="17" t="str">
        <f>IF($A215="","",VLOOKUP($A215,기본데이타!$A$8:$BV$103,COLUMN(기본데이타!BS$8),0))</f>
        <v/>
      </c>
      <c r="AF215" s="294" t="str">
        <f>IF($A215="","",VLOOKUP($A215,기본데이타!$A$8:$BV$103,COLUMN(기본데이타!BT$8),0))</f>
        <v/>
      </c>
      <c r="AG215" s="432" t="str">
        <f>IF($A215="","",VLOOKUP($A215,기본데이타!$A$8:$BV$103,COLUMN(기본데이타!BU$8),0))</f>
        <v/>
      </c>
      <c r="AH215" s="18" t="str">
        <f t="shared" si="41"/>
        <v/>
      </c>
    </row>
    <row r="216" spans="1:35" s="187" customFormat="1" ht="35.1" hidden="1" customHeight="1">
      <c r="A216" s="189"/>
      <c r="C216" s="190"/>
      <c r="D216" s="8" t="str">
        <f>IF($A216="","",VLOOKUP($A216,기본데이타!$A$10:$BV$103,COLUMN(기본데이타!F$8),0))</f>
        <v/>
      </c>
      <c r="E216" s="252" t="str">
        <f>IF($A216="","",VLOOKUP($A216,기본데이타!$A$8:$BV$103,COLUMN(기본데이타!G$8),0))</f>
        <v/>
      </c>
      <c r="F216" s="15" t="str">
        <f>IF($A216="","",VLOOKUP($A216,기본데이타!$A$8:$BV$103,COLUMN(기본데이타!H$8),0))</f>
        <v/>
      </c>
      <c r="G216" s="15" t="str">
        <f>IF($A216="","",VLOOKUP($A216,기본데이타!$A$8:$BV$103,COLUMN(기본데이타!I$8),0))</f>
        <v/>
      </c>
      <c r="H216" s="15" t="str">
        <f>IF($A216="","",VLOOKUP($A216,기본데이타!$A$8:$BV$103,COLUMN(기본데이타!J$8),0))</f>
        <v/>
      </c>
      <c r="I216" s="17" t="str">
        <f>IF($A216="","",VLOOKUP($A216,기본데이타!$A$8:$BV$103,COLUMN(기본데이타!AJ$8),0))</f>
        <v/>
      </c>
      <c r="J216" s="381" t="str">
        <f>IF($A216="","",VLOOKUP($A216,기본데이타!$A$8:$BV$103,COLUMN(기본데이타!AK$8),0))</f>
        <v/>
      </c>
      <c r="K216" s="381" t="str">
        <f>IF($A216="","",VLOOKUP($A216,기본데이타!$A$8:$BV$103,COLUMN(기본데이타!AL$8),0))</f>
        <v/>
      </c>
      <c r="L216" s="381" t="str">
        <f>IF($A216="","",VLOOKUP($A216,기본데이타!$A$8:$BV$103,COLUMN(기본데이타!AM$8),0))</f>
        <v/>
      </c>
      <c r="M216" s="381" t="str">
        <f>IF($A216="","",VLOOKUP($A216,기본데이타!$A$8:$BV$103,COLUMN(기본데이타!AN$8),0))</f>
        <v/>
      </c>
      <c r="N216" s="381" t="str">
        <f>IF($A216="","",VLOOKUP($A216,기본데이타!$A$8:$BV$103,COLUMN(기본데이타!AO$8),0))</f>
        <v/>
      </c>
      <c r="O216" s="381" t="str">
        <f>IF($A216="","",VLOOKUP($A216,기본데이타!$A$8:$BV$103,COLUMN(기본데이타!AP$8),0))</f>
        <v/>
      </c>
      <c r="P216" s="381" t="str">
        <f>IF($A216="","",VLOOKUP($A216,기본데이타!$A$8:$BV$103,COLUMN(기본데이타!AQ$8),0))</f>
        <v/>
      </c>
      <c r="Q216" s="381" t="str">
        <f>IF($A216="","",VLOOKUP($A216,기본데이타!$A$8:$BV$103,COLUMN(기본데이타!AR$8),0))</f>
        <v/>
      </c>
      <c r="R216" s="381" t="str">
        <f>IF($A216="","",VLOOKUP($A216,기본데이타!$A$8:$BV$103,COLUMN(기본데이타!AS$8),0))</f>
        <v/>
      </c>
      <c r="S216" s="381" t="str">
        <f>IF($A216="","",VLOOKUP($A216,기본데이타!$A$8:$BV$103,COLUMN(기본데이타!AT$8),0))</f>
        <v/>
      </c>
      <c r="T216" s="381" t="str">
        <f>IF($A216="","",VLOOKUP($A216,기본데이타!$A$8:$BV$103,COLUMN(기본데이타!AU$8),0))</f>
        <v/>
      </c>
      <c r="U216" s="381" t="str">
        <f>IF($A216="","",VLOOKUP($A216,기본데이타!$A$8:$BV$103,COLUMN(기본데이타!AV$8),0))</f>
        <v/>
      </c>
      <c r="V216" s="16" t="str">
        <f>IF($A216="","",VLOOKUP($A216,기본데이타!$A$8:$BV$103,COLUMN(기본데이타!AW$8),0))</f>
        <v/>
      </c>
      <c r="W216" s="16" t="str">
        <f>IF($A216="","",VLOOKUP($A216,기본데이타!$A$8:$BV$103,COLUMN(기본데이타!AX$8),0))</f>
        <v/>
      </c>
      <c r="X216" s="16" t="str">
        <f>IF($A216="","",VLOOKUP($A216,기본데이타!$A$8:$BV$103,COLUMN(기본데이타!AY$8),0))</f>
        <v/>
      </c>
      <c r="Y216" s="16" t="str">
        <f>IF($A216="","",VLOOKUP($A216,기본데이타!$A$8:$BV$103,COLUMN(기본데이타!AZ$8),0))</f>
        <v/>
      </c>
      <c r="Z216" s="17" t="str">
        <f>IF($A216="","",VLOOKUP($A216,기본데이타!$A$8:$BV$103,COLUMN(기본데이타!BN$8),0))</f>
        <v/>
      </c>
      <c r="AA216" s="17" t="str">
        <f>IF($A216="","",VLOOKUP($A216,기본데이타!$A$8:$BV$103,COLUMN(기본데이타!BO$8),0))</f>
        <v/>
      </c>
      <c r="AB216" s="17" t="str">
        <f>IF($A216="","",VLOOKUP($A216,기본데이타!$A$8:$BV$103,COLUMN(기본데이타!BP$8),0))</f>
        <v/>
      </c>
      <c r="AC216" s="17" t="str">
        <f>IF($A216="","",VLOOKUP($A216,기본데이타!$A$8:$BV$103,COLUMN(기본데이타!BQ$8),0))</f>
        <v/>
      </c>
      <c r="AD216" s="17" t="str">
        <f>IF($A216="","",VLOOKUP($A216,기본데이타!$A$8:$BV$103,COLUMN(기본데이타!BR$8),0))</f>
        <v/>
      </c>
      <c r="AE216" s="17" t="str">
        <f>IF($A216="","",VLOOKUP($A216,기본데이타!$A$8:$BV$103,COLUMN(기본데이타!BS$8),0))</f>
        <v/>
      </c>
      <c r="AF216" s="294" t="str">
        <f>IF($A216="","",VLOOKUP($A216,기본데이타!$A$8:$BV$103,COLUMN(기본데이타!BT$8),0))</f>
        <v/>
      </c>
      <c r="AG216" s="432" t="str">
        <f>IF($A216="","",VLOOKUP($A216,기본데이타!$A$8:$BV$103,COLUMN(기본데이타!BU$8),0))</f>
        <v/>
      </c>
      <c r="AH216" s="18" t="str">
        <f>IF(A216="","",A216)</f>
        <v/>
      </c>
    </row>
    <row r="217" spans="1:35" s="187" customFormat="1" ht="35.1" hidden="1" customHeight="1">
      <c r="A217" s="189"/>
      <c r="C217" s="190"/>
      <c r="D217" s="261" t="str">
        <f>IF($A217="","",VLOOKUP($A217,기본데이타!$A$10:$BV$103,COLUMN(기본데이타!F$8),0))</f>
        <v/>
      </c>
      <c r="E217" s="262" t="str">
        <f>IF($A217="","",VLOOKUP($A217,기본데이타!$A$8:$BV$103,COLUMN(기본데이타!G$8),0))</f>
        <v/>
      </c>
      <c r="F217" s="263" t="str">
        <f>IF($A217="","",VLOOKUP($A217,기본데이타!$A$8:$BV$103,COLUMN(기본데이타!H$8),0))</f>
        <v/>
      </c>
      <c r="G217" s="263" t="str">
        <f>IF($A217="","",VLOOKUP($A217,기본데이타!$A$8:$BV$103,COLUMN(기본데이타!I$8),0))</f>
        <v/>
      </c>
      <c r="H217" s="263" t="str">
        <f>IF($A217="","",VLOOKUP($A217,기본데이타!$A$8:$BV$103,COLUMN(기본데이타!J$8),0))</f>
        <v/>
      </c>
      <c r="I217" s="391" t="str">
        <f>IF($A217="","",VLOOKUP($A217,기본데이타!$A$8:$BV$103,COLUMN(기본데이타!AJ$8),0))</f>
        <v/>
      </c>
      <c r="J217" s="380" t="str">
        <f>IF($A217="","",VLOOKUP($A217,기본데이타!$A$8:$BV$103,COLUMN(기본데이타!AK$8),0))</f>
        <v/>
      </c>
      <c r="K217" s="380" t="str">
        <f>IF($A217="","",VLOOKUP($A217,기본데이타!$A$8:$BV$103,COLUMN(기본데이타!AL$8),0))</f>
        <v/>
      </c>
      <c r="L217" s="380" t="str">
        <f>IF($A217="","",VLOOKUP($A217,기본데이타!$A$8:$BV$103,COLUMN(기본데이타!AM$8),0))</f>
        <v/>
      </c>
      <c r="M217" s="380" t="str">
        <f>IF($A217="","",VLOOKUP($A217,기본데이타!$A$8:$BV$103,COLUMN(기본데이타!AN$8),0))</f>
        <v/>
      </c>
      <c r="N217" s="380" t="str">
        <f>IF($A217="","",VLOOKUP($A217,기본데이타!$A$8:$BV$103,COLUMN(기본데이타!AO$8),0))</f>
        <v/>
      </c>
      <c r="O217" s="380" t="str">
        <f>IF($A217="","",VLOOKUP($A217,기본데이타!$A$8:$BV$103,COLUMN(기본데이타!AP$8),0))</f>
        <v/>
      </c>
      <c r="P217" s="380" t="str">
        <f>IF($A217="","",VLOOKUP($A217,기본데이타!$A$8:$BV$103,COLUMN(기본데이타!AQ$8),0))</f>
        <v/>
      </c>
      <c r="Q217" s="380" t="str">
        <f>IF($A217="","",VLOOKUP($A217,기본데이타!$A$8:$BV$103,COLUMN(기본데이타!AR$8),0))</f>
        <v/>
      </c>
      <c r="R217" s="380" t="str">
        <f>IF($A217="","",VLOOKUP($A217,기본데이타!$A$8:$BV$103,COLUMN(기본데이타!AS$8),0))</f>
        <v/>
      </c>
      <c r="S217" s="380" t="str">
        <f>IF($A217="","",VLOOKUP($A217,기본데이타!$A$8:$BV$103,COLUMN(기본데이타!AT$8),0))</f>
        <v/>
      </c>
      <c r="T217" s="380" t="str">
        <f>IF($A217="","",VLOOKUP($A217,기본데이타!$A$8:$BV$103,COLUMN(기본데이타!AU$8),0))</f>
        <v/>
      </c>
      <c r="U217" s="380" t="str">
        <f>IF($A217="","",VLOOKUP($A217,기본데이타!$A$8:$BV$103,COLUMN(기본데이타!AV$8),0))</f>
        <v/>
      </c>
      <c r="V217" s="392" t="str">
        <f>IF($A217="","",VLOOKUP($A217,기본데이타!$A$8:$BV$103,COLUMN(기본데이타!AW$8),0))</f>
        <v/>
      </c>
      <c r="W217" s="392" t="str">
        <f>IF($A217="","",VLOOKUP($A217,기본데이타!$A$8:$BV$103,COLUMN(기본데이타!AX$8),0))</f>
        <v/>
      </c>
      <c r="X217" s="392" t="str">
        <f>IF($A217="","",VLOOKUP($A217,기본데이타!$A$8:$BV$103,COLUMN(기본데이타!AY$8),0))</f>
        <v/>
      </c>
      <c r="Y217" s="392" t="str">
        <f>IF($A217="","",VLOOKUP($A217,기본데이타!$A$8:$BV$103,COLUMN(기본데이타!AZ$8),0))</f>
        <v/>
      </c>
      <c r="Z217" s="391" t="str">
        <f>IF($A217="","",VLOOKUP($A217,기본데이타!$A$8:$BV$103,COLUMN(기본데이타!BN$8),0))</f>
        <v/>
      </c>
      <c r="AA217" s="391" t="str">
        <f>IF($A217="","",VLOOKUP($A217,기본데이타!$A$8:$BV$103,COLUMN(기본데이타!BO$8),0))</f>
        <v/>
      </c>
      <c r="AB217" s="391" t="str">
        <f>IF($A217="","",VLOOKUP($A217,기본데이타!$A$8:$BV$103,COLUMN(기본데이타!BP$8),0))</f>
        <v/>
      </c>
      <c r="AC217" s="391" t="str">
        <f>IF($A217="","",VLOOKUP($A217,기본데이타!$A$8:$BV$103,COLUMN(기본데이타!BQ$8),0))</f>
        <v/>
      </c>
      <c r="AD217" s="391" t="str">
        <f>IF($A217="","",VLOOKUP($A217,기본데이타!$A$8:$BV$103,COLUMN(기본데이타!BR$8),0))</f>
        <v/>
      </c>
      <c r="AE217" s="391" t="str">
        <f>IF($A217="","",VLOOKUP($A217,기본데이타!$A$8:$BV$103,COLUMN(기본데이타!BS$8),0))</f>
        <v/>
      </c>
      <c r="AF217" s="393" t="str">
        <f>IF($A217="","",VLOOKUP($A217,기본데이타!$A$8:$BV$103,COLUMN(기본데이타!BT$8),0))</f>
        <v/>
      </c>
      <c r="AG217" s="437" t="str">
        <f>IF($A217="","",VLOOKUP($A217,기본데이타!$A$8:$BV$103,COLUMN(기본데이타!BU$8),0))</f>
        <v/>
      </c>
      <c r="AH217" s="394" t="str">
        <f t="shared" si="41"/>
        <v/>
      </c>
    </row>
    <row r="218" spans="1:35" s="187" customFormat="1" ht="35.1" hidden="1" customHeight="1">
      <c r="A218" s="189"/>
      <c r="C218" s="193"/>
      <c r="D218" s="315">
        <f>COUNTA(A145:A217)</f>
        <v>0</v>
      </c>
      <c r="E218" s="316">
        <f>SUM(E145:E217)</f>
        <v>0</v>
      </c>
      <c r="F218" s="789">
        <f>SUM(F145:F217)</f>
        <v>0</v>
      </c>
      <c r="G218" s="790">
        <f t="shared" ref="G218:W218" si="43">SUM(G179:G217)</f>
        <v>0</v>
      </c>
      <c r="H218" s="789">
        <f>SUM(H145:H217)</f>
        <v>0</v>
      </c>
      <c r="I218" s="789">
        <f>SUM(I145:I217)</f>
        <v>0</v>
      </c>
      <c r="J218" s="793">
        <f t="shared" si="43"/>
        <v>0</v>
      </c>
      <c r="K218" s="793">
        <f t="shared" si="43"/>
        <v>0</v>
      </c>
      <c r="L218" s="793">
        <f t="shared" si="43"/>
        <v>0</v>
      </c>
      <c r="M218" s="793">
        <f t="shared" si="43"/>
        <v>0</v>
      </c>
      <c r="N218" s="793">
        <f t="shared" si="43"/>
        <v>0</v>
      </c>
      <c r="O218" s="793">
        <f t="shared" si="43"/>
        <v>0</v>
      </c>
      <c r="P218" s="793">
        <f t="shared" si="43"/>
        <v>0</v>
      </c>
      <c r="Q218" s="793">
        <f t="shared" si="43"/>
        <v>0</v>
      </c>
      <c r="R218" s="793">
        <f t="shared" ref="R218:S218" si="44">SUM(R179:R217)</f>
        <v>0</v>
      </c>
      <c r="S218" s="793">
        <f t="shared" si="44"/>
        <v>0</v>
      </c>
      <c r="T218" s="793">
        <f t="shared" ref="T218" si="45">SUM(T179:T217)</f>
        <v>0</v>
      </c>
      <c r="U218" s="379">
        <f>SUM(U145:U217)</f>
        <v>0</v>
      </c>
      <c r="V218" s="789">
        <f>SUM(V145:V217)</f>
        <v>0</v>
      </c>
      <c r="W218" s="794">
        <f t="shared" si="43"/>
        <v>0</v>
      </c>
      <c r="X218" s="789">
        <f t="shared" ref="X218:AC218" si="46">SUM(X145:X217)</f>
        <v>0</v>
      </c>
      <c r="Y218" s="789">
        <f t="shared" si="46"/>
        <v>0</v>
      </c>
      <c r="Z218" s="789">
        <f t="shared" si="46"/>
        <v>0</v>
      </c>
      <c r="AA218" s="789">
        <f t="shared" si="46"/>
        <v>0</v>
      </c>
      <c r="AB218" s="789">
        <f t="shared" si="46"/>
        <v>0</v>
      </c>
      <c r="AC218" s="789">
        <f t="shared" si="46"/>
        <v>0</v>
      </c>
      <c r="AD218" s="320"/>
      <c r="AE218" s="741">
        <f>용도별분석!BQ32</f>
        <v>-46210408.054396279</v>
      </c>
      <c r="AF218" s="1335">
        <f>SUM(AF145:AF217)</f>
        <v>0</v>
      </c>
      <c r="AG218" s="316">
        <f>SUM(AG145:AG217)</f>
        <v>0</v>
      </c>
      <c r="AH218" s="322" t="str">
        <f t="shared" si="41"/>
        <v/>
      </c>
      <c r="AI218" s="264">
        <f>AE218-SUM(AE145:AE217)</f>
        <v>-46210408.054396279</v>
      </c>
    </row>
    <row r="219" spans="1:35" s="187" customFormat="1" ht="35.1" customHeight="1">
      <c r="A219" s="189">
        <v>2</v>
      </c>
      <c r="C219" s="194" t="s">
        <v>344</v>
      </c>
      <c r="D219" s="247" t="str">
        <f>IF($A219="","",VLOOKUP($A219,기본데이타!$A$8:$BV$103,COLUMN(기본데이타!F$8),0))</f>
        <v>비산동729-17번지R</v>
      </c>
      <c r="E219" s="248">
        <f>IF($A219="","",VLOOKUP($A219,기본데이타!$A$8:$BV$103,COLUMN(기본데이타!G$8),0))</f>
        <v>51</v>
      </c>
      <c r="F219" s="249">
        <f>IF($A219="","",VLOOKUP($A219,기본데이타!$A$8:$BV$103,COLUMN(기본데이타!H$8),0))</f>
        <v>35554000</v>
      </c>
      <c r="G219" s="249">
        <f>IF($A219="","",VLOOKUP($A219,기본데이타!$A$8:$BV$103,COLUMN(기본데이타!I$8),0))</f>
        <v>0</v>
      </c>
      <c r="H219" s="249">
        <f>IF($A219="","",VLOOKUP($A219,기본데이타!$A$8:$BV$103,COLUMN(기본데이타!J$8),0))</f>
        <v>35554000</v>
      </c>
      <c r="I219" s="250">
        <f>IF($A219="","",VLOOKUP($A219,기본데이타!$A$8:$BV$103,COLUMN(기본데이타!AJ$8),0))</f>
        <v>0</v>
      </c>
      <c r="J219" s="675">
        <f>IF($A219="","",VLOOKUP($A219,기본데이타!$A$8:$BV$103,COLUMN(기본데이타!AK$8),0))</f>
        <v>0</v>
      </c>
      <c r="K219" s="675">
        <f>IF($A219="","",VLOOKUP($A219,기본데이타!$A$8:$BV$103,COLUMN(기본데이타!AL$8),0))</f>
        <v>0</v>
      </c>
      <c r="L219" s="675">
        <f>IF($A219="","",VLOOKUP($A219,기본데이타!$A$8:$BV$103,COLUMN(기본데이타!AM$8),0))</f>
        <v>0</v>
      </c>
      <c r="M219" s="675">
        <f>IF($A219="","",VLOOKUP($A219,기본데이타!$A$8:$BV$103,COLUMN(기본데이타!AN$8),0))</f>
        <v>0</v>
      </c>
      <c r="N219" s="675">
        <f>IF($A219="","",VLOOKUP($A219,기본데이타!$A$8:$BV$103,COLUMN(기본데이타!AO$8),0))</f>
        <v>0</v>
      </c>
      <c r="O219" s="675">
        <f>IF($A219="","",VLOOKUP($A219,기본데이타!$A$8:$BV$103,COLUMN(기본데이타!AP$8),0))</f>
        <v>0</v>
      </c>
      <c r="P219" s="675">
        <f>IF($A219="","",VLOOKUP($A219,기본데이타!$A$8:$BV$103,COLUMN(기본데이타!AQ$8),0))</f>
        <v>0</v>
      </c>
      <c r="Q219" s="675">
        <f>IF($A219="","",VLOOKUP($A219,기본데이타!$A$8:$BV$103,COLUMN(기본데이타!AR$8),0))</f>
        <v>0</v>
      </c>
      <c r="R219" s="675">
        <f>IF($A219="","",VLOOKUP($A219,기본데이타!$A$8:$BV$103,COLUMN(기본데이타!AS$8),0))</f>
        <v>0</v>
      </c>
      <c r="S219" s="675">
        <f>IF($A219="","",VLOOKUP($A219,기본데이타!$A$8:$BV$103,COLUMN(기본데이타!AT$8),0))</f>
        <v>0</v>
      </c>
      <c r="T219" s="675">
        <f>IF($A219="","",VLOOKUP($A219,기본데이타!$A$8:$BV$103,COLUMN(기본데이타!AU$8),0))</f>
        <v>0</v>
      </c>
      <c r="U219" s="675">
        <f>IF($A219="","",VLOOKUP($A219,기본데이타!$A$8:$BV$103,COLUMN(기본데이타!AV$8),0))</f>
        <v>0</v>
      </c>
      <c r="V219" s="188">
        <f>IF($A219="","",VLOOKUP($A219,기본데이타!$A$8:$BV$103,COLUMN(기본데이타!AW$8),0))</f>
        <v>1636560</v>
      </c>
      <c r="W219" s="188">
        <f>IF($A219="","",VLOOKUP($A219,기본데이타!$A$8:$BV$103,COLUMN(기본데이타!AX$8),0))</f>
        <v>0</v>
      </c>
      <c r="X219" s="188">
        <f>IF($A219="","",VLOOKUP($A219,기본데이타!$A$8:$BV$103,COLUMN(기본데이타!AY$8),0))</f>
        <v>89208</v>
      </c>
      <c r="Y219" s="188">
        <f>IF($A219="","",VLOOKUP($A219,기본데이타!$A$8:$BV$103,COLUMN(기본데이타!AZ$8),0))</f>
        <v>1725768</v>
      </c>
      <c r="Z219" s="250">
        <f>IF($A219="","",VLOOKUP($A219,기본데이타!$A$8:$BV$103,COLUMN(기본데이타!BN$8),0))</f>
        <v>0</v>
      </c>
      <c r="AA219" s="250">
        <f>IF($A219="","",VLOOKUP($A219,기본데이타!$A$8:$BV$103,COLUMN(기본데이타!BO$8),0))</f>
        <v>0</v>
      </c>
      <c r="AB219" s="250">
        <f>IF($A219="","",VLOOKUP($A219,기본데이타!$A$8:$BV$103,COLUMN(기본데이타!BP$8),0))</f>
        <v>0</v>
      </c>
      <c r="AC219" s="250">
        <f>IF($A219="","",VLOOKUP($A219,기본데이타!$A$8:$BV$103,COLUMN(기본데이타!BQ$8),0))</f>
        <v>0</v>
      </c>
      <c r="AD219" s="250">
        <f>IF($A219="","",VLOOKUP($A219,기본데이타!$A$8:$BV$103,COLUMN(기본데이타!BR$8),0))</f>
        <v>0</v>
      </c>
      <c r="AE219" s="250">
        <f>IF($A219="","",VLOOKUP($A219,기본데이타!$A$8:$BV$103,COLUMN(기본데이타!BS$8),0))</f>
        <v>0</v>
      </c>
      <c r="AF219" s="523">
        <f>IF($A219="","",VLOOKUP($A219,기본데이타!$A$8:$BV$103,COLUMN(기본데이타!BT$8),0))</f>
        <v>0</v>
      </c>
      <c r="AG219" s="435">
        <f>IF($A219="","",VLOOKUP($A219,기본데이타!$A$8:$BV$103,COLUMN(기본데이타!BU$8),0))</f>
        <v>0</v>
      </c>
      <c r="AH219" s="251">
        <f>IF(A219="","",A219)</f>
        <v>2</v>
      </c>
      <c r="AI219" s="264"/>
    </row>
    <row r="220" spans="1:35" s="187" customFormat="1" ht="35.1" customHeight="1">
      <c r="A220" s="189"/>
      <c r="C220" s="190" t="s">
        <v>345</v>
      </c>
      <c r="D220" s="1209" t="str">
        <f>IF($A220="","",VLOOKUP($A220,기본데이타!$A$10:$BV$103,COLUMN(기본데이타!F$8),0))</f>
        <v/>
      </c>
      <c r="E220" s="252" t="str">
        <f>IF($A220="","",VLOOKUP($A220,기본데이타!$A$8:$BV$103,COLUMN(기본데이타!G$8),0))</f>
        <v/>
      </c>
      <c r="F220" s="15" t="str">
        <f>IF($A220="","",VLOOKUP($A220,기본데이타!$A$8:$BV$103,COLUMN(기본데이타!H$8),0))</f>
        <v/>
      </c>
      <c r="G220" s="15" t="str">
        <f>IF($A220="","",VLOOKUP($A220,기본데이타!$A$8:$BV$103,COLUMN(기본데이타!I$8),0))</f>
        <v/>
      </c>
      <c r="H220" s="15" t="str">
        <f>IF($A220="","",VLOOKUP($A220,기본데이타!$A$8:$BV$103,COLUMN(기본데이타!J$8),0))</f>
        <v/>
      </c>
      <c r="I220" s="17" t="str">
        <f>IF($A220="","",VLOOKUP($A220,기본데이타!$A$8:$BV$103,COLUMN(기본데이타!AJ$8),0))</f>
        <v/>
      </c>
      <c r="J220" s="381" t="str">
        <f>IF($A220="","",VLOOKUP($A220,기본데이타!$A$8:$BV$103,COLUMN(기본데이타!AK$8),0))</f>
        <v/>
      </c>
      <c r="K220" s="381" t="str">
        <f>IF($A220="","",VLOOKUP($A220,기본데이타!$A$8:$BV$103,COLUMN(기본데이타!AL$8),0))</f>
        <v/>
      </c>
      <c r="L220" s="381" t="str">
        <f>IF($A220="","",VLOOKUP($A220,기본데이타!$A$8:$BV$103,COLUMN(기본데이타!AM$8),0))</f>
        <v/>
      </c>
      <c r="M220" s="381" t="str">
        <f>IF($A220="","",VLOOKUP($A220,기본데이타!$A$8:$BV$103,COLUMN(기본데이타!AN$8),0))</f>
        <v/>
      </c>
      <c r="N220" s="381" t="str">
        <f>IF($A220="","",VLOOKUP($A220,기본데이타!$A$8:$BV$103,COLUMN(기본데이타!AO$8),0))</f>
        <v/>
      </c>
      <c r="O220" s="381" t="str">
        <f>IF($A220="","",VLOOKUP($A220,기본데이타!$A$8:$BV$103,COLUMN(기본데이타!AP$8),0))</f>
        <v/>
      </c>
      <c r="P220" s="381" t="str">
        <f>IF($A220="","",VLOOKUP($A220,기본데이타!$A$8:$BV$103,COLUMN(기본데이타!AQ$8),0))</f>
        <v/>
      </c>
      <c r="Q220" s="381" t="str">
        <f>IF($A220="","",VLOOKUP($A220,기본데이타!$A$8:$BV$103,COLUMN(기본데이타!AR$8),0))</f>
        <v/>
      </c>
      <c r="R220" s="381" t="str">
        <f>IF($A220="","",VLOOKUP($A220,기본데이타!$A$8:$BV$103,COLUMN(기본데이타!AS$8),0))</f>
        <v/>
      </c>
      <c r="S220" s="381" t="str">
        <f>IF($A220="","",VLOOKUP($A220,기본데이타!$A$8:$BV$103,COLUMN(기본데이타!AT$8),0))</f>
        <v/>
      </c>
      <c r="T220" s="381" t="str">
        <f>IF($A220="","",VLOOKUP($A220,기본데이타!$A$8:$BV$103,COLUMN(기본데이타!AU$8),0))</f>
        <v/>
      </c>
      <c r="U220" s="381" t="str">
        <f>IF($A220="","",VLOOKUP($A220,기본데이타!$A$8:$BV$103,COLUMN(기본데이타!AV$8),0))</f>
        <v/>
      </c>
      <c r="V220" s="16" t="str">
        <f>IF($A220="","",VLOOKUP($A220,기본데이타!$A$8:$BV$103,COLUMN(기본데이타!AW$8),0))</f>
        <v/>
      </c>
      <c r="W220" s="16" t="str">
        <f>IF($A220="","",VLOOKUP($A220,기본데이타!$A$8:$BV$103,COLUMN(기본데이타!AX$8),0))</f>
        <v/>
      </c>
      <c r="X220" s="16" t="str">
        <f>IF($A220="","",VLOOKUP($A220,기본데이타!$A$8:$BV$103,COLUMN(기본데이타!AY$8),0))</f>
        <v/>
      </c>
      <c r="Y220" s="16" t="str">
        <f>IF($A220="","",VLOOKUP($A220,기본데이타!$A$8:$BV$103,COLUMN(기본데이타!AZ$8),0))</f>
        <v/>
      </c>
      <c r="Z220" s="17" t="str">
        <f>IF($A220="","",VLOOKUP($A220,기본데이타!$A$8:$BV$103,COLUMN(기본데이타!BN$8),0))</f>
        <v/>
      </c>
      <c r="AA220" s="17" t="str">
        <f>IF($A220="","",VLOOKUP($A220,기본데이타!$A$8:$BV$103,COLUMN(기본데이타!BO$8),0))</f>
        <v/>
      </c>
      <c r="AB220" s="17" t="str">
        <f>IF($A220="","",VLOOKUP($A220,기본데이타!$A$8:$BV$103,COLUMN(기본데이타!BP$8),0))</f>
        <v/>
      </c>
      <c r="AC220" s="17" t="str">
        <f>IF($A220="","",VLOOKUP($A220,기본데이타!$A$8:$BV$103,COLUMN(기본데이타!BQ$8),0))</f>
        <v/>
      </c>
      <c r="AD220" s="17" t="str">
        <f>IF($A220="","",VLOOKUP($A220,기본데이타!$A$8:$BV$103,COLUMN(기본데이타!BR$8),0))</f>
        <v/>
      </c>
      <c r="AE220" s="17" t="str">
        <f>IF($A220="","",VLOOKUP($A220,기본데이타!$A$8:$BV$103,COLUMN(기본데이타!BS$8),0))</f>
        <v/>
      </c>
      <c r="AF220" s="294" t="str">
        <f>IF($A220="","",VLOOKUP($A220,기본데이타!$A$8:$BV$103,COLUMN(기본데이타!BT$8),0))</f>
        <v/>
      </c>
      <c r="AG220" s="432" t="str">
        <f>IF($A220="","",VLOOKUP($A220,기본데이타!$A$8:$BV$103,COLUMN(기본데이타!BU$8),0))</f>
        <v/>
      </c>
      <c r="AH220" s="18" t="str">
        <f t="shared" si="41"/>
        <v/>
      </c>
      <c r="AI220" s="264"/>
    </row>
    <row r="221" spans="1:35" s="187" customFormat="1" ht="35.1" hidden="1" customHeight="1">
      <c r="A221" s="189"/>
      <c r="C221" s="190"/>
      <c r="D221" s="1209" t="str">
        <f>IF($A221="","",VLOOKUP($A221,기본데이타!$A$10:$BV$103,COLUMN(기본데이타!F$8),0))</f>
        <v/>
      </c>
      <c r="E221" s="252" t="str">
        <f>IF($A221="","",VLOOKUP($A221,기본데이타!$A$8:$BV$103,COLUMN(기본데이타!G$8),0))</f>
        <v/>
      </c>
      <c r="F221" s="15" t="str">
        <f>IF($A221="","",VLOOKUP($A221,기본데이타!$A$8:$BV$103,COLUMN(기본데이타!H$8),0))</f>
        <v/>
      </c>
      <c r="G221" s="15" t="str">
        <f>IF($A221="","",VLOOKUP($A221,기본데이타!$A$8:$BV$103,COLUMN(기본데이타!I$8),0))</f>
        <v/>
      </c>
      <c r="H221" s="15" t="str">
        <f>IF($A221="","",VLOOKUP($A221,기본데이타!$A$8:$BV$103,COLUMN(기본데이타!J$8),0))</f>
        <v/>
      </c>
      <c r="I221" s="17" t="str">
        <f>IF($A221="","",VLOOKUP($A221,기본데이타!$A$8:$BV$103,COLUMN(기본데이타!AJ$8),0))</f>
        <v/>
      </c>
      <c r="J221" s="381" t="str">
        <f>IF($A221="","",VLOOKUP($A221,기본데이타!$A$8:$BV$103,COLUMN(기본데이타!AK$8),0))</f>
        <v/>
      </c>
      <c r="K221" s="381" t="str">
        <f>IF($A221="","",VLOOKUP($A221,기본데이타!$A$8:$BV$103,COLUMN(기본데이타!AL$8),0))</f>
        <v/>
      </c>
      <c r="L221" s="381" t="str">
        <f>IF($A221="","",VLOOKUP($A221,기본데이타!$A$8:$BV$103,COLUMN(기본데이타!AM$8),0))</f>
        <v/>
      </c>
      <c r="M221" s="381" t="str">
        <f>IF($A221="","",VLOOKUP($A221,기본데이타!$A$8:$BV$103,COLUMN(기본데이타!AN$8),0))</f>
        <v/>
      </c>
      <c r="N221" s="381" t="str">
        <f>IF($A221="","",VLOOKUP($A221,기본데이타!$A$8:$BV$103,COLUMN(기본데이타!AO$8),0))</f>
        <v/>
      </c>
      <c r="O221" s="381" t="str">
        <f>IF($A221="","",VLOOKUP($A221,기본데이타!$A$8:$BV$103,COLUMN(기본데이타!AP$8),0))</f>
        <v/>
      </c>
      <c r="P221" s="381" t="str">
        <f>IF($A221="","",VLOOKUP($A221,기본데이타!$A$8:$BV$103,COLUMN(기본데이타!AQ$8),0))</f>
        <v/>
      </c>
      <c r="Q221" s="381" t="str">
        <f>IF($A221="","",VLOOKUP($A221,기본데이타!$A$8:$BV$103,COLUMN(기본데이타!AR$8),0))</f>
        <v/>
      </c>
      <c r="R221" s="381" t="str">
        <f>IF($A221="","",VLOOKUP($A221,기본데이타!$A$8:$BV$103,COLUMN(기본데이타!AS$8),0))</f>
        <v/>
      </c>
      <c r="S221" s="381" t="str">
        <f>IF($A221="","",VLOOKUP($A221,기본데이타!$A$8:$BV$103,COLUMN(기본데이타!AT$8),0))</f>
        <v/>
      </c>
      <c r="T221" s="381" t="str">
        <f>IF($A221="","",VLOOKUP($A221,기본데이타!$A$8:$BV$103,COLUMN(기본데이타!AU$8),0))</f>
        <v/>
      </c>
      <c r="U221" s="381" t="str">
        <f>IF($A221="","",VLOOKUP($A221,기본데이타!$A$8:$BV$103,COLUMN(기본데이타!AV$8),0))</f>
        <v/>
      </c>
      <c r="V221" s="16" t="str">
        <f>IF($A221="","",VLOOKUP($A221,기본데이타!$A$8:$BV$103,COLUMN(기본데이타!AW$8),0))</f>
        <v/>
      </c>
      <c r="W221" s="16" t="str">
        <f>IF($A221="","",VLOOKUP($A221,기본데이타!$A$8:$BV$103,COLUMN(기본데이타!AX$8),0))</f>
        <v/>
      </c>
      <c r="X221" s="16" t="str">
        <f>IF($A221="","",VLOOKUP($A221,기본데이타!$A$8:$BV$103,COLUMN(기본데이타!AY$8),0))</f>
        <v/>
      </c>
      <c r="Y221" s="16" t="str">
        <f>IF($A221="","",VLOOKUP($A221,기본데이타!$A$8:$BV$103,COLUMN(기본데이타!AZ$8),0))</f>
        <v/>
      </c>
      <c r="Z221" s="17" t="str">
        <f>IF($A221="","",VLOOKUP($A221,기본데이타!$A$8:$BV$103,COLUMN(기본데이타!BN$8),0))</f>
        <v/>
      </c>
      <c r="AA221" s="17" t="str">
        <f>IF($A221="","",VLOOKUP($A221,기본데이타!$A$8:$BV$103,COLUMN(기본데이타!BO$8),0))</f>
        <v/>
      </c>
      <c r="AB221" s="17" t="str">
        <f>IF($A221="","",VLOOKUP($A221,기본데이타!$A$8:$BV$103,COLUMN(기본데이타!BP$8),0))</f>
        <v/>
      </c>
      <c r="AC221" s="17" t="str">
        <f>IF($A221="","",VLOOKUP($A221,기본데이타!$A$8:$BV$103,COLUMN(기본데이타!BQ$8),0))</f>
        <v/>
      </c>
      <c r="AD221" s="17" t="str">
        <f>IF($A221="","",VLOOKUP($A221,기본데이타!$A$8:$BV$103,COLUMN(기본데이타!BR$8),0))</f>
        <v/>
      </c>
      <c r="AE221" s="17" t="str">
        <f>IF($A221="","",VLOOKUP($A221,기본데이타!$A$8:$BV$103,COLUMN(기본데이타!BS$8),0))</f>
        <v/>
      </c>
      <c r="AF221" s="294" t="str">
        <f>IF($A221="","",VLOOKUP($A221,기본데이타!$A$8:$BV$103,COLUMN(기본데이타!BT$8),0))</f>
        <v/>
      </c>
      <c r="AG221" s="432" t="str">
        <f>IF($A221="","",VLOOKUP($A221,기본데이타!$A$8:$BV$103,COLUMN(기본데이타!BU$8),0))</f>
        <v/>
      </c>
      <c r="AH221" s="18" t="str">
        <f t="shared" ref="AH221:AH248" si="47">IF(A221="","",A221)</f>
        <v/>
      </c>
    </row>
    <row r="222" spans="1:35" s="187" customFormat="1" ht="35.1" hidden="1" customHeight="1">
      <c r="A222" s="189"/>
      <c r="C222" s="190"/>
      <c r="D222" s="1209" t="str">
        <f>IF($A222="","",VLOOKUP($A222,기본데이타!$A$10:$BV$103,COLUMN(기본데이타!F$8),0))</f>
        <v/>
      </c>
      <c r="E222" s="252" t="str">
        <f>IF($A222="","",VLOOKUP($A222,기본데이타!$A$8:$BV$103,COLUMN(기본데이타!G$8),0))</f>
        <v/>
      </c>
      <c r="F222" s="15" t="str">
        <f>IF($A222="","",VLOOKUP($A222,기본데이타!$A$8:$BV$103,COLUMN(기본데이타!H$8),0))</f>
        <v/>
      </c>
      <c r="G222" s="15" t="str">
        <f>IF($A222="","",VLOOKUP($A222,기본데이타!$A$8:$BV$103,COLUMN(기본데이타!I$8),0))</f>
        <v/>
      </c>
      <c r="H222" s="15" t="str">
        <f>IF($A222="","",VLOOKUP($A222,기본데이타!$A$8:$BV$103,COLUMN(기본데이타!J$8),0))</f>
        <v/>
      </c>
      <c r="I222" s="17" t="str">
        <f>IF($A222="","",VLOOKUP($A222,기본데이타!$A$8:$BV$103,COLUMN(기본데이타!AJ$8),0))</f>
        <v/>
      </c>
      <c r="J222" s="381" t="str">
        <f>IF($A222="","",VLOOKUP($A222,기본데이타!$A$8:$BV$103,COLUMN(기본데이타!AK$8),0))</f>
        <v/>
      </c>
      <c r="K222" s="381" t="str">
        <f>IF($A222="","",VLOOKUP($A222,기본데이타!$A$8:$BV$103,COLUMN(기본데이타!AL$8),0))</f>
        <v/>
      </c>
      <c r="L222" s="381" t="str">
        <f>IF($A222="","",VLOOKUP($A222,기본데이타!$A$8:$BV$103,COLUMN(기본데이타!AM$8),0))</f>
        <v/>
      </c>
      <c r="M222" s="381" t="str">
        <f>IF($A222="","",VLOOKUP($A222,기본데이타!$A$8:$BV$103,COLUMN(기본데이타!AN$8),0))</f>
        <v/>
      </c>
      <c r="N222" s="381" t="str">
        <f>IF($A222="","",VLOOKUP($A222,기본데이타!$A$8:$BV$103,COLUMN(기본데이타!AO$8),0))</f>
        <v/>
      </c>
      <c r="O222" s="381" t="str">
        <f>IF($A222="","",VLOOKUP($A222,기본데이타!$A$8:$BV$103,COLUMN(기본데이타!AP$8),0))</f>
        <v/>
      </c>
      <c r="P222" s="381" t="str">
        <f>IF($A222="","",VLOOKUP($A222,기본데이타!$A$8:$BV$103,COLUMN(기본데이타!AQ$8),0))</f>
        <v/>
      </c>
      <c r="Q222" s="381" t="str">
        <f>IF($A222="","",VLOOKUP($A222,기본데이타!$A$8:$BV$103,COLUMN(기본데이타!AR$8),0))</f>
        <v/>
      </c>
      <c r="R222" s="381" t="str">
        <f>IF($A222="","",VLOOKUP($A222,기본데이타!$A$8:$BV$103,COLUMN(기본데이타!AS$8),0))</f>
        <v/>
      </c>
      <c r="S222" s="381" t="str">
        <f>IF($A222="","",VLOOKUP($A222,기본데이타!$A$8:$BV$103,COLUMN(기본데이타!AT$8),0))</f>
        <v/>
      </c>
      <c r="T222" s="381" t="str">
        <f>IF($A222="","",VLOOKUP($A222,기본데이타!$A$8:$BV$103,COLUMN(기본데이타!AU$8),0))</f>
        <v/>
      </c>
      <c r="U222" s="381" t="str">
        <f>IF($A222="","",VLOOKUP($A222,기본데이타!$A$8:$BV$103,COLUMN(기본데이타!AV$8),0))</f>
        <v/>
      </c>
      <c r="V222" s="16" t="str">
        <f>IF($A222="","",VLOOKUP($A222,기본데이타!$A$8:$BV$103,COLUMN(기본데이타!AW$8),0))</f>
        <v/>
      </c>
      <c r="W222" s="16" t="str">
        <f>IF($A222="","",VLOOKUP($A222,기본데이타!$A$8:$BV$103,COLUMN(기본데이타!AX$8),0))</f>
        <v/>
      </c>
      <c r="X222" s="16" t="str">
        <f>IF($A222="","",VLOOKUP($A222,기본데이타!$A$8:$BV$103,COLUMN(기본데이타!AY$8),0))</f>
        <v/>
      </c>
      <c r="Y222" s="16" t="str">
        <f>IF($A222="","",VLOOKUP($A222,기본데이타!$A$8:$BV$103,COLUMN(기본데이타!AZ$8),0))</f>
        <v/>
      </c>
      <c r="Z222" s="17" t="str">
        <f>IF($A222="","",VLOOKUP($A222,기본데이타!$A$8:$BV$103,COLUMN(기본데이타!BN$8),0))</f>
        <v/>
      </c>
      <c r="AA222" s="17" t="str">
        <f>IF($A222="","",VLOOKUP($A222,기본데이타!$A$8:$BV$103,COLUMN(기본데이타!BO$8),0))</f>
        <v/>
      </c>
      <c r="AB222" s="17" t="str">
        <f>IF($A222="","",VLOOKUP($A222,기본데이타!$A$8:$BV$103,COLUMN(기본데이타!BP$8),0))</f>
        <v/>
      </c>
      <c r="AC222" s="17" t="str">
        <f>IF($A222="","",VLOOKUP($A222,기본데이타!$A$8:$BV$103,COLUMN(기본데이타!BQ$8),0))</f>
        <v/>
      </c>
      <c r="AD222" s="17" t="str">
        <f>IF($A222="","",VLOOKUP($A222,기본데이타!$A$8:$BV$103,COLUMN(기본데이타!BR$8),0))</f>
        <v/>
      </c>
      <c r="AE222" s="17" t="str">
        <f>IF($A222="","",VLOOKUP($A222,기본데이타!$A$8:$BV$103,COLUMN(기본데이타!BS$8),0))</f>
        <v/>
      </c>
      <c r="AF222" s="294" t="str">
        <f>IF($A222="","",VLOOKUP($A222,기본데이타!$A$8:$BV$103,COLUMN(기본데이타!BT$8),0))</f>
        <v/>
      </c>
      <c r="AG222" s="432" t="str">
        <f>IF($A222="","",VLOOKUP($A222,기본데이타!$A$8:$BV$103,COLUMN(기본데이타!BU$8),0))</f>
        <v/>
      </c>
      <c r="AH222" s="18" t="str">
        <f t="shared" si="47"/>
        <v/>
      </c>
    </row>
    <row r="223" spans="1:35" s="187" customFormat="1" ht="35.1" hidden="1" customHeight="1">
      <c r="A223" s="189"/>
      <c r="C223" s="190"/>
      <c r="D223" s="1209" t="str">
        <f>IF($A223="","",VLOOKUP($A223,기본데이타!$A$10:$BV$103,COLUMN(기본데이타!F$8),0))</f>
        <v/>
      </c>
      <c r="E223" s="252" t="str">
        <f>IF($A223="","",VLOOKUP($A223,기본데이타!$A$8:$BV$103,COLUMN(기본데이타!G$8),0))</f>
        <v/>
      </c>
      <c r="F223" s="15" t="str">
        <f>IF($A223="","",VLOOKUP($A223,기본데이타!$A$8:$BV$103,COLUMN(기본데이타!H$8),0))</f>
        <v/>
      </c>
      <c r="G223" s="15" t="str">
        <f>IF($A223="","",VLOOKUP($A223,기본데이타!$A$8:$BV$103,COLUMN(기본데이타!I$8),0))</f>
        <v/>
      </c>
      <c r="H223" s="15" t="str">
        <f>IF($A223="","",VLOOKUP($A223,기본데이타!$A$8:$BV$103,COLUMN(기본데이타!J$8),0))</f>
        <v/>
      </c>
      <c r="I223" s="17" t="str">
        <f>IF($A223="","",VLOOKUP($A223,기본데이타!$A$8:$BV$103,COLUMN(기본데이타!AJ$8),0))</f>
        <v/>
      </c>
      <c r="J223" s="381" t="str">
        <f>IF($A223="","",VLOOKUP($A223,기본데이타!$A$8:$BV$103,COLUMN(기본데이타!AK$8),0))</f>
        <v/>
      </c>
      <c r="K223" s="381" t="str">
        <f>IF($A223="","",VLOOKUP($A223,기본데이타!$A$8:$BV$103,COLUMN(기본데이타!AL$8),0))</f>
        <v/>
      </c>
      <c r="L223" s="381" t="str">
        <f>IF($A223="","",VLOOKUP($A223,기본데이타!$A$8:$BV$103,COLUMN(기본데이타!AM$8),0))</f>
        <v/>
      </c>
      <c r="M223" s="381" t="str">
        <f>IF($A223="","",VLOOKUP($A223,기본데이타!$A$8:$BV$103,COLUMN(기본데이타!AN$8),0))</f>
        <v/>
      </c>
      <c r="N223" s="381" t="str">
        <f>IF($A223="","",VLOOKUP($A223,기본데이타!$A$8:$BV$103,COLUMN(기본데이타!AO$8),0))</f>
        <v/>
      </c>
      <c r="O223" s="381" t="str">
        <f>IF($A223="","",VLOOKUP($A223,기본데이타!$A$8:$BV$103,COLUMN(기본데이타!AP$8),0))</f>
        <v/>
      </c>
      <c r="P223" s="381" t="str">
        <f>IF($A223="","",VLOOKUP($A223,기본데이타!$A$8:$BV$103,COLUMN(기본데이타!AQ$8),0))</f>
        <v/>
      </c>
      <c r="Q223" s="381" t="str">
        <f>IF($A223="","",VLOOKUP($A223,기본데이타!$A$8:$BV$103,COLUMN(기본데이타!AR$8),0))</f>
        <v/>
      </c>
      <c r="R223" s="381" t="str">
        <f>IF($A223="","",VLOOKUP($A223,기본데이타!$A$8:$BV$103,COLUMN(기본데이타!AS$8),0))</f>
        <v/>
      </c>
      <c r="S223" s="381" t="str">
        <f>IF($A223="","",VLOOKUP($A223,기본데이타!$A$8:$BV$103,COLUMN(기본데이타!AT$8),0))</f>
        <v/>
      </c>
      <c r="T223" s="381" t="str">
        <f>IF($A223="","",VLOOKUP($A223,기본데이타!$A$8:$BV$103,COLUMN(기본데이타!AU$8),0))</f>
        <v/>
      </c>
      <c r="U223" s="381" t="str">
        <f>IF($A223="","",VLOOKUP($A223,기본데이타!$A$8:$BV$103,COLUMN(기본데이타!AV$8),0))</f>
        <v/>
      </c>
      <c r="V223" s="16" t="str">
        <f>IF($A223="","",VLOOKUP($A223,기본데이타!$A$8:$BV$103,COLUMN(기본데이타!AW$8),0))</f>
        <v/>
      </c>
      <c r="W223" s="16" t="str">
        <f>IF($A223="","",VLOOKUP($A223,기본데이타!$A$8:$BV$103,COLUMN(기본데이타!AX$8),0))</f>
        <v/>
      </c>
      <c r="X223" s="16" t="str">
        <f>IF($A223="","",VLOOKUP($A223,기본데이타!$A$8:$BV$103,COLUMN(기본데이타!AY$8),0))</f>
        <v/>
      </c>
      <c r="Y223" s="16" t="str">
        <f>IF($A223="","",VLOOKUP($A223,기본데이타!$A$8:$BV$103,COLUMN(기본데이타!AZ$8),0))</f>
        <v/>
      </c>
      <c r="Z223" s="17" t="str">
        <f>IF($A223="","",VLOOKUP($A223,기본데이타!$A$8:$BV$103,COLUMN(기본데이타!BN$8),0))</f>
        <v/>
      </c>
      <c r="AA223" s="17" t="str">
        <f>IF($A223="","",VLOOKUP($A223,기본데이타!$A$8:$BV$103,COLUMN(기본데이타!BO$8),0))</f>
        <v/>
      </c>
      <c r="AB223" s="17" t="str">
        <f>IF($A223="","",VLOOKUP($A223,기본데이타!$A$8:$BV$103,COLUMN(기본데이타!BP$8),0))</f>
        <v/>
      </c>
      <c r="AC223" s="17" t="str">
        <f>IF($A223="","",VLOOKUP($A223,기본데이타!$A$8:$BV$103,COLUMN(기본데이타!BQ$8),0))</f>
        <v/>
      </c>
      <c r="AD223" s="17" t="str">
        <f>IF($A223="","",VLOOKUP($A223,기본데이타!$A$8:$BV$103,COLUMN(기본데이타!BR$8),0))</f>
        <v/>
      </c>
      <c r="AE223" s="17" t="str">
        <f>IF($A223="","",VLOOKUP($A223,기본데이타!$A$8:$BV$103,COLUMN(기본데이타!BS$8),0))</f>
        <v/>
      </c>
      <c r="AF223" s="294" t="str">
        <f>IF($A223="","",VLOOKUP($A223,기본데이타!$A$8:$BV$103,COLUMN(기본데이타!BT$8),0))</f>
        <v/>
      </c>
      <c r="AG223" s="432" t="str">
        <f>IF($A223="","",VLOOKUP($A223,기본데이타!$A$8:$BV$103,COLUMN(기본데이타!BU$8),0))</f>
        <v/>
      </c>
      <c r="AH223" s="18" t="str">
        <f t="shared" si="47"/>
        <v/>
      </c>
    </row>
    <row r="224" spans="1:35" s="187" customFormat="1" ht="35.1" hidden="1" customHeight="1">
      <c r="A224" s="189"/>
      <c r="C224" s="190"/>
      <c r="D224" s="1209" t="str">
        <f>IF($A224="","",VLOOKUP($A224,기본데이타!$A$10:$BV$103,COLUMN(기본데이타!F$8),0))</f>
        <v/>
      </c>
      <c r="E224" s="252" t="str">
        <f>IF($A224="","",VLOOKUP($A224,기본데이타!$A$8:$BV$103,COLUMN(기본데이타!G$8),0))</f>
        <v/>
      </c>
      <c r="F224" s="15" t="str">
        <f>IF($A224="","",VLOOKUP($A224,기본데이타!$A$8:$BV$103,COLUMN(기본데이타!H$8),0))</f>
        <v/>
      </c>
      <c r="G224" s="15" t="str">
        <f>IF($A224="","",VLOOKUP($A224,기본데이타!$A$8:$BV$103,COLUMN(기본데이타!I$8),0))</f>
        <v/>
      </c>
      <c r="H224" s="15" t="str">
        <f>IF($A224="","",VLOOKUP($A224,기본데이타!$A$8:$BV$103,COLUMN(기본데이타!J$8),0))</f>
        <v/>
      </c>
      <c r="I224" s="17" t="str">
        <f>IF($A224="","",VLOOKUP($A224,기본데이타!$A$8:$BV$103,COLUMN(기본데이타!AJ$8),0))</f>
        <v/>
      </c>
      <c r="J224" s="381" t="str">
        <f>IF($A224="","",VLOOKUP($A224,기본데이타!$A$8:$BV$103,COLUMN(기본데이타!AK$8),0))</f>
        <v/>
      </c>
      <c r="K224" s="381" t="str">
        <f>IF($A224="","",VLOOKUP($A224,기본데이타!$A$8:$BV$103,COLUMN(기본데이타!AL$8),0))</f>
        <v/>
      </c>
      <c r="L224" s="381" t="str">
        <f>IF($A224="","",VLOOKUP($A224,기본데이타!$A$8:$BV$103,COLUMN(기본데이타!AM$8),0))</f>
        <v/>
      </c>
      <c r="M224" s="381" t="str">
        <f>IF($A224="","",VLOOKUP($A224,기본데이타!$A$8:$BV$103,COLUMN(기본데이타!AN$8),0))</f>
        <v/>
      </c>
      <c r="N224" s="381" t="str">
        <f>IF($A224="","",VLOOKUP($A224,기본데이타!$A$8:$BV$103,COLUMN(기본데이타!AO$8),0))</f>
        <v/>
      </c>
      <c r="O224" s="381" t="str">
        <f>IF($A224="","",VLOOKUP($A224,기본데이타!$A$8:$BV$103,COLUMN(기본데이타!AP$8),0))</f>
        <v/>
      </c>
      <c r="P224" s="381" t="str">
        <f>IF($A224="","",VLOOKUP($A224,기본데이타!$A$8:$BV$103,COLUMN(기본데이타!AQ$8),0))</f>
        <v/>
      </c>
      <c r="Q224" s="381" t="str">
        <f>IF($A224="","",VLOOKUP($A224,기본데이타!$A$8:$BV$103,COLUMN(기본데이타!AR$8),0))</f>
        <v/>
      </c>
      <c r="R224" s="381" t="str">
        <f>IF($A224="","",VLOOKUP($A224,기본데이타!$A$8:$BV$103,COLUMN(기본데이타!AS$8),0))</f>
        <v/>
      </c>
      <c r="S224" s="381" t="str">
        <f>IF($A224="","",VLOOKUP($A224,기본데이타!$A$8:$BV$103,COLUMN(기본데이타!AT$8),0))</f>
        <v/>
      </c>
      <c r="T224" s="381" t="str">
        <f>IF($A224="","",VLOOKUP($A224,기본데이타!$A$8:$BV$103,COLUMN(기본데이타!AU$8),0))</f>
        <v/>
      </c>
      <c r="U224" s="381" t="str">
        <f>IF($A224="","",VLOOKUP($A224,기본데이타!$A$8:$BV$103,COLUMN(기본데이타!AV$8),0))</f>
        <v/>
      </c>
      <c r="V224" s="16" t="str">
        <f>IF($A224="","",VLOOKUP($A224,기본데이타!$A$8:$BV$103,COLUMN(기본데이타!AW$8),0))</f>
        <v/>
      </c>
      <c r="W224" s="16" t="str">
        <f>IF($A224="","",VLOOKUP($A224,기본데이타!$A$8:$BV$103,COLUMN(기본데이타!AX$8),0))</f>
        <v/>
      </c>
      <c r="X224" s="16" t="str">
        <f>IF($A224="","",VLOOKUP($A224,기본데이타!$A$8:$BV$103,COLUMN(기본데이타!AY$8),0))</f>
        <v/>
      </c>
      <c r="Y224" s="16" t="str">
        <f>IF($A224="","",VLOOKUP($A224,기본데이타!$A$8:$BV$103,COLUMN(기본데이타!AZ$8),0))</f>
        <v/>
      </c>
      <c r="Z224" s="17" t="str">
        <f>IF($A224="","",VLOOKUP($A224,기본데이타!$A$8:$BV$103,COLUMN(기본데이타!BN$8),0))</f>
        <v/>
      </c>
      <c r="AA224" s="17" t="str">
        <f>IF($A224="","",VLOOKUP($A224,기본데이타!$A$8:$BV$103,COLUMN(기본데이타!BO$8),0))</f>
        <v/>
      </c>
      <c r="AB224" s="17" t="str">
        <f>IF($A224="","",VLOOKUP($A224,기본데이타!$A$8:$BV$103,COLUMN(기본데이타!BP$8),0))</f>
        <v/>
      </c>
      <c r="AC224" s="17" t="str">
        <f>IF($A224="","",VLOOKUP($A224,기본데이타!$A$8:$BV$103,COLUMN(기본데이타!BQ$8),0))</f>
        <v/>
      </c>
      <c r="AD224" s="17" t="str">
        <f>IF($A224="","",VLOOKUP($A224,기본데이타!$A$8:$BV$103,COLUMN(기본데이타!BR$8),0))</f>
        <v/>
      </c>
      <c r="AE224" s="17" t="str">
        <f>IF($A224="","",VLOOKUP($A224,기본데이타!$A$8:$BV$103,COLUMN(기본데이타!BS$8),0))</f>
        <v/>
      </c>
      <c r="AF224" s="294" t="str">
        <f>IF($A224="","",VLOOKUP($A224,기본데이타!$A$8:$BV$103,COLUMN(기본데이타!BT$8),0))</f>
        <v/>
      </c>
      <c r="AG224" s="432" t="str">
        <f>IF($A224="","",VLOOKUP($A224,기본데이타!$A$8:$BV$103,COLUMN(기본데이타!BU$8),0))</f>
        <v/>
      </c>
      <c r="AH224" s="18" t="str">
        <f t="shared" si="47"/>
        <v/>
      </c>
    </row>
    <row r="225" spans="1:34" s="187" customFormat="1" ht="35.1" hidden="1" customHeight="1">
      <c r="A225" s="189"/>
      <c r="C225" s="190"/>
      <c r="D225" s="1209" t="str">
        <f>IF($A225="","",VLOOKUP($A225,기본데이타!$A$10:$BV$103,COLUMN(기본데이타!F$8),0))</f>
        <v/>
      </c>
      <c r="E225" s="252" t="str">
        <f>IF($A225="","",VLOOKUP($A225,기본데이타!$A$8:$BV$103,COLUMN(기본데이타!G$8),0))</f>
        <v/>
      </c>
      <c r="F225" s="15" t="str">
        <f>IF($A225="","",VLOOKUP($A225,기본데이타!$A$8:$BV$103,COLUMN(기본데이타!H$8),0))</f>
        <v/>
      </c>
      <c r="G225" s="15" t="str">
        <f>IF($A225="","",VLOOKUP($A225,기본데이타!$A$8:$BV$103,COLUMN(기본데이타!I$8),0))</f>
        <v/>
      </c>
      <c r="H225" s="15" t="str">
        <f>IF($A225="","",VLOOKUP($A225,기본데이타!$A$8:$BV$103,COLUMN(기본데이타!J$8),0))</f>
        <v/>
      </c>
      <c r="I225" s="17" t="str">
        <f>IF($A225="","",VLOOKUP($A225,기본데이타!$A$8:$BV$103,COLUMN(기본데이타!AJ$8),0))</f>
        <v/>
      </c>
      <c r="J225" s="381" t="str">
        <f>IF($A225="","",VLOOKUP($A225,기본데이타!$A$8:$BV$103,COLUMN(기본데이타!AK$8),0))</f>
        <v/>
      </c>
      <c r="K225" s="381" t="str">
        <f>IF($A225="","",VLOOKUP($A225,기본데이타!$A$8:$BV$103,COLUMN(기본데이타!AL$8),0))</f>
        <v/>
      </c>
      <c r="L225" s="381" t="str">
        <f>IF($A225="","",VLOOKUP($A225,기본데이타!$A$8:$BV$103,COLUMN(기본데이타!AM$8),0))</f>
        <v/>
      </c>
      <c r="M225" s="381" t="str">
        <f>IF($A225="","",VLOOKUP($A225,기본데이타!$A$8:$BV$103,COLUMN(기본데이타!AN$8),0))</f>
        <v/>
      </c>
      <c r="N225" s="381" t="str">
        <f>IF($A225="","",VLOOKUP($A225,기본데이타!$A$8:$BV$103,COLUMN(기본데이타!AO$8),0))</f>
        <v/>
      </c>
      <c r="O225" s="381" t="str">
        <f>IF($A225="","",VLOOKUP($A225,기본데이타!$A$8:$BV$103,COLUMN(기본데이타!AP$8),0))</f>
        <v/>
      </c>
      <c r="P225" s="381" t="str">
        <f>IF($A225="","",VLOOKUP($A225,기본데이타!$A$8:$BV$103,COLUMN(기본데이타!AQ$8),0))</f>
        <v/>
      </c>
      <c r="Q225" s="381" t="str">
        <f>IF($A225="","",VLOOKUP($A225,기본데이타!$A$8:$BV$103,COLUMN(기본데이타!AR$8),0))</f>
        <v/>
      </c>
      <c r="R225" s="381" t="str">
        <f>IF($A225="","",VLOOKUP($A225,기본데이타!$A$8:$BV$103,COLUMN(기본데이타!AS$8),0))</f>
        <v/>
      </c>
      <c r="S225" s="381" t="str">
        <f>IF($A225="","",VLOOKUP($A225,기본데이타!$A$8:$BV$103,COLUMN(기본데이타!AT$8),0))</f>
        <v/>
      </c>
      <c r="T225" s="381" t="str">
        <f>IF($A225="","",VLOOKUP($A225,기본데이타!$A$8:$BV$103,COLUMN(기본데이타!AU$8),0))</f>
        <v/>
      </c>
      <c r="U225" s="381" t="str">
        <f>IF($A225="","",VLOOKUP($A225,기본데이타!$A$8:$BV$103,COLUMN(기본데이타!AV$8),0))</f>
        <v/>
      </c>
      <c r="V225" s="16" t="str">
        <f>IF($A225="","",VLOOKUP($A225,기본데이타!$A$8:$BV$103,COLUMN(기본데이타!AW$8),0))</f>
        <v/>
      </c>
      <c r="W225" s="16" t="str">
        <f>IF($A225="","",VLOOKUP($A225,기본데이타!$A$8:$BV$103,COLUMN(기본데이타!AX$8),0))</f>
        <v/>
      </c>
      <c r="X225" s="16" t="str">
        <f>IF($A225="","",VLOOKUP($A225,기본데이타!$A$8:$BV$103,COLUMN(기본데이타!AY$8),0))</f>
        <v/>
      </c>
      <c r="Y225" s="16" t="str">
        <f>IF($A225="","",VLOOKUP($A225,기본데이타!$A$8:$BV$103,COLUMN(기본데이타!AZ$8),0))</f>
        <v/>
      </c>
      <c r="Z225" s="17" t="str">
        <f>IF($A225="","",VLOOKUP($A225,기본데이타!$A$8:$BV$103,COLUMN(기본데이타!BN$8),0))</f>
        <v/>
      </c>
      <c r="AA225" s="17" t="str">
        <f>IF($A225="","",VLOOKUP($A225,기본데이타!$A$8:$BV$103,COLUMN(기본데이타!BO$8),0))</f>
        <v/>
      </c>
      <c r="AB225" s="17" t="str">
        <f>IF($A225="","",VLOOKUP($A225,기본데이타!$A$8:$BV$103,COLUMN(기본데이타!BP$8),0))</f>
        <v/>
      </c>
      <c r="AC225" s="17" t="str">
        <f>IF($A225="","",VLOOKUP($A225,기본데이타!$A$8:$BV$103,COLUMN(기본데이타!BQ$8),0))</f>
        <v/>
      </c>
      <c r="AD225" s="17" t="str">
        <f>IF($A225="","",VLOOKUP($A225,기본데이타!$A$8:$BV$103,COLUMN(기본데이타!BR$8),0))</f>
        <v/>
      </c>
      <c r="AE225" s="17" t="str">
        <f>IF($A225="","",VLOOKUP($A225,기본데이타!$A$8:$BV$103,COLUMN(기본데이타!BS$8),0))</f>
        <v/>
      </c>
      <c r="AF225" s="294" t="str">
        <f>IF($A225="","",VLOOKUP($A225,기본데이타!$A$8:$BV$103,COLUMN(기본데이타!BT$8),0))</f>
        <v/>
      </c>
      <c r="AG225" s="432" t="str">
        <f>IF($A225="","",VLOOKUP($A225,기본데이타!$A$8:$BV$103,COLUMN(기본데이타!BU$8),0))</f>
        <v/>
      </c>
      <c r="AH225" s="18" t="str">
        <f t="shared" si="47"/>
        <v/>
      </c>
    </row>
    <row r="226" spans="1:34" s="187" customFormat="1" ht="35.1" hidden="1" customHeight="1">
      <c r="A226" s="189"/>
      <c r="C226" s="190"/>
      <c r="D226" s="1209" t="str">
        <f>IF($A226="","",VLOOKUP($A226,기본데이타!$A$10:$BV$103,COLUMN(기본데이타!F$8),0))</f>
        <v/>
      </c>
      <c r="E226" s="252" t="str">
        <f>IF($A226="","",VLOOKUP($A226,기본데이타!$A$8:$BV$103,COLUMN(기본데이타!G$8),0))</f>
        <v/>
      </c>
      <c r="F226" s="15" t="str">
        <f>IF($A226="","",VLOOKUP($A226,기본데이타!$A$8:$BV$103,COLUMN(기본데이타!H$8),0))</f>
        <v/>
      </c>
      <c r="G226" s="15" t="str">
        <f>IF($A226="","",VLOOKUP($A226,기본데이타!$A$8:$BV$103,COLUMN(기본데이타!I$8),0))</f>
        <v/>
      </c>
      <c r="H226" s="15" t="str">
        <f>IF($A226="","",VLOOKUP($A226,기본데이타!$A$8:$BV$103,COLUMN(기본데이타!J$8),0))</f>
        <v/>
      </c>
      <c r="I226" s="17" t="str">
        <f>IF($A226="","",VLOOKUP($A226,기본데이타!$A$8:$BV$103,COLUMN(기본데이타!AJ$8),0))</f>
        <v/>
      </c>
      <c r="J226" s="381" t="str">
        <f>IF($A226="","",VLOOKUP($A226,기본데이타!$A$8:$BV$103,COLUMN(기본데이타!AK$8),0))</f>
        <v/>
      </c>
      <c r="K226" s="381" t="str">
        <f>IF($A226="","",VLOOKUP($A226,기본데이타!$A$8:$BV$103,COLUMN(기본데이타!AL$8),0))</f>
        <v/>
      </c>
      <c r="L226" s="381" t="str">
        <f>IF($A226="","",VLOOKUP($A226,기본데이타!$A$8:$BV$103,COLUMN(기본데이타!AM$8),0))</f>
        <v/>
      </c>
      <c r="M226" s="381" t="str">
        <f>IF($A226="","",VLOOKUP($A226,기본데이타!$A$8:$BV$103,COLUMN(기본데이타!AN$8),0))</f>
        <v/>
      </c>
      <c r="N226" s="381" t="str">
        <f>IF($A226="","",VLOOKUP($A226,기본데이타!$A$8:$BV$103,COLUMN(기본데이타!AO$8),0))</f>
        <v/>
      </c>
      <c r="O226" s="381" t="str">
        <f>IF($A226="","",VLOOKUP($A226,기본데이타!$A$8:$BV$103,COLUMN(기본데이타!AP$8),0))</f>
        <v/>
      </c>
      <c r="P226" s="381" t="str">
        <f>IF($A226="","",VLOOKUP($A226,기본데이타!$A$8:$BV$103,COLUMN(기본데이타!AQ$8),0))</f>
        <v/>
      </c>
      <c r="Q226" s="381" t="str">
        <f>IF($A226="","",VLOOKUP($A226,기본데이타!$A$8:$BV$103,COLUMN(기본데이타!AR$8),0))</f>
        <v/>
      </c>
      <c r="R226" s="381" t="str">
        <f>IF($A226="","",VLOOKUP($A226,기본데이타!$A$8:$BV$103,COLUMN(기본데이타!AS$8),0))</f>
        <v/>
      </c>
      <c r="S226" s="381" t="str">
        <f>IF($A226="","",VLOOKUP($A226,기본데이타!$A$8:$BV$103,COLUMN(기본데이타!AT$8),0))</f>
        <v/>
      </c>
      <c r="T226" s="381" t="str">
        <f>IF($A226="","",VLOOKUP($A226,기본데이타!$A$8:$BV$103,COLUMN(기본데이타!AU$8),0))</f>
        <v/>
      </c>
      <c r="U226" s="381" t="str">
        <f>IF($A226="","",VLOOKUP($A226,기본데이타!$A$8:$BV$103,COLUMN(기본데이타!AV$8),0))</f>
        <v/>
      </c>
      <c r="V226" s="16" t="str">
        <f>IF($A226="","",VLOOKUP($A226,기본데이타!$A$8:$BV$103,COLUMN(기본데이타!AW$8),0))</f>
        <v/>
      </c>
      <c r="W226" s="16" t="str">
        <f>IF($A226="","",VLOOKUP($A226,기본데이타!$A$8:$BV$103,COLUMN(기본데이타!AX$8),0))</f>
        <v/>
      </c>
      <c r="X226" s="16" t="str">
        <f>IF($A226="","",VLOOKUP($A226,기본데이타!$A$8:$BV$103,COLUMN(기본데이타!AY$8),0))</f>
        <v/>
      </c>
      <c r="Y226" s="16" t="str">
        <f>IF($A226="","",VLOOKUP($A226,기본데이타!$A$8:$BV$103,COLUMN(기본데이타!AZ$8),0))</f>
        <v/>
      </c>
      <c r="Z226" s="17" t="str">
        <f>IF($A226="","",VLOOKUP($A226,기본데이타!$A$8:$BV$103,COLUMN(기본데이타!BN$8),0))</f>
        <v/>
      </c>
      <c r="AA226" s="17" t="str">
        <f>IF($A226="","",VLOOKUP($A226,기본데이타!$A$8:$BV$103,COLUMN(기본데이타!BO$8),0))</f>
        <v/>
      </c>
      <c r="AB226" s="17" t="str">
        <f>IF($A226="","",VLOOKUP($A226,기본데이타!$A$8:$BV$103,COLUMN(기본데이타!BP$8),0))</f>
        <v/>
      </c>
      <c r="AC226" s="17" t="str">
        <f>IF($A226="","",VLOOKUP($A226,기본데이타!$A$8:$BV$103,COLUMN(기본데이타!BQ$8),0))</f>
        <v/>
      </c>
      <c r="AD226" s="17" t="str">
        <f>IF($A226="","",VLOOKUP($A226,기본데이타!$A$8:$BV$103,COLUMN(기본데이타!BR$8),0))</f>
        <v/>
      </c>
      <c r="AE226" s="17" t="str">
        <f>IF($A226="","",VLOOKUP($A226,기본데이타!$A$8:$BV$103,COLUMN(기본데이타!BS$8),0))</f>
        <v/>
      </c>
      <c r="AF226" s="294" t="str">
        <f>IF($A226="","",VLOOKUP($A226,기본데이타!$A$8:$BV$103,COLUMN(기본데이타!BT$8),0))</f>
        <v/>
      </c>
      <c r="AG226" s="432" t="str">
        <f>IF($A226="","",VLOOKUP($A226,기본데이타!$A$8:$BV$103,COLUMN(기본데이타!BU$8),0))</f>
        <v/>
      </c>
      <c r="AH226" s="18" t="str">
        <f t="shared" si="47"/>
        <v/>
      </c>
    </row>
    <row r="227" spans="1:34" s="187" customFormat="1" ht="35.1" hidden="1" customHeight="1">
      <c r="A227" s="189"/>
      <c r="C227" s="190"/>
      <c r="D227" s="1209" t="str">
        <f>IF($A227="","",VLOOKUP($A227,기본데이타!$A$10:$BV$103,COLUMN(기본데이타!F$8),0))</f>
        <v/>
      </c>
      <c r="E227" s="252" t="str">
        <f>IF($A227="","",VLOOKUP($A227,기본데이타!$A$8:$BV$103,COLUMN(기본데이타!G$8),0))</f>
        <v/>
      </c>
      <c r="F227" s="15" t="str">
        <f>IF($A227="","",VLOOKUP($A227,기본데이타!$A$8:$BV$103,COLUMN(기본데이타!H$8),0))</f>
        <v/>
      </c>
      <c r="G227" s="15" t="str">
        <f>IF($A227="","",VLOOKUP($A227,기본데이타!$A$8:$BV$103,COLUMN(기본데이타!I$8),0))</f>
        <v/>
      </c>
      <c r="H227" s="15" t="str">
        <f>IF($A227="","",VLOOKUP($A227,기본데이타!$A$8:$BV$103,COLUMN(기본데이타!J$8),0))</f>
        <v/>
      </c>
      <c r="I227" s="17" t="str">
        <f>IF($A227="","",VLOOKUP($A227,기본데이타!$A$8:$BV$103,COLUMN(기본데이타!AJ$8),0))</f>
        <v/>
      </c>
      <c r="J227" s="381" t="str">
        <f>IF($A227="","",VLOOKUP($A227,기본데이타!$A$8:$BV$103,COLUMN(기본데이타!AK$8),0))</f>
        <v/>
      </c>
      <c r="K227" s="381" t="str">
        <f>IF($A227="","",VLOOKUP($A227,기본데이타!$A$8:$BV$103,COLUMN(기본데이타!AL$8),0))</f>
        <v/>
      </c>
      <c r="L227" s="381" t="str">
        <f>IF($A227="","",VLOOKUP($A227,기본데이타!$A$8:$BV$103,COLUMN(기본데이타!AM$8),0))</f>
        <v/>
      </c>
      <c r="M227" s="381" t="str">
        <f>IF($A227="","",VLOOKUP($A227,기본데이타!$A$8:$BV$103,COLUMN(기본데이타!AN$8),0))</f>
        <v/>
      </c>
      <c r="N227" s="381" t="str">
        <f>IF($A227="","",VLOOKUP($A227,기본데이타!$A$8:$BV$103,COLUMN(기본데이타!AO$8),0))</f>
        <v/>
      </c>
      <c r="O227" s="381" t="str">
        <f>IF($A227="","",VLOOKUP($A227,기본데이타!$A$8:$BV$103,COLUMN(기본데이타!AP$8),0))</f>
        <v/>
      </c>
      <c r="P227" s="381" t="str">
        <f>IF($A227="","",VLOOKUP($A227,기본데이타!$A$8:$BV$103,COLUMN(기본데이타!AQ$8),0))</f>
        <v/>
      </c>
      <c r="Q227" s="381" t="str">
        <f>IF($A227="","",VLOOKUP($A227,기본데이타!$A$8:$BV$103,COLUMN(기본데이타!AR$8),0))</f>
        <v/>
      </c>
      <c r="R227" s="381" t="str">
        <f>IF($A227="","",VLOOKUP($A227,기본데이타!$A$8:$BV$103,COLUMN(기본데이타!AS$8),0))</f>
        <v/>
      </c>
      <c r="S227" s="381" t="str">
        <f>IF($A227="","",VLOOKUP($A227,기본데이타!$A$8:$BV$103,COLUMN(기본데이타!AT$8),0))</f>
        <v/>
      </c>
      <c r="T227" s="381" t="str">
        <f>IF($A227="","",VLOOKUP($A227,기본데이타!$A$8:$BV$103,COLUMN(기본데이타!AU$8),0))</f>
        <v/>
      </c>
      <c r="U227" s="381" t="str">
        <f>IF($A227="","",VLOOKUP($A227,기본데이타!$A$8:$BV$103,COLUMN(기본데이타!AV$8),0))</f>
        <v/>
      </c>
      <c r="V227" s="16" t="str">
        <f>IF($A227="","",VLOOKUP($A227,기본데이타!$A$8:$BV$103,COLUMN(기본데이타!AW$8),0))</f>
        <v/>
      </c>
      <c r="W227" s="16" t="str">
        <f>IF($A227="","",VLOOKUP($A227,기본데이타!$A$8:$BV$103,COLUMN(기본데이타!AX$8),0))</f>
        <v/>
      </c>
      <c r="X227" s="16" t="str">
        <f>IF($A227="","",VLOOKUP($A227,기본데이타!$A$8:$BV$103,COLUMN(기본데이타!AY$8),0))</f>
        <v/>
      </c>
      <c r="Y227" s="16" t="str">
        <f>IF($A227="","",VLOOKUP($A227,기본데이타!$A$8:$BV$103,COLUMN(기본데이타!AZ$8),0))</f>
        <v/>
      </c>
      <c r="Z227" s="17" t="str">
        <f>IF($A227="","",VLOOKUP($A227,기본데이타!$A$8:$BV$103,COLUMN(기본데이타!BN$8),0))</f>
        <v/>
      </c>
      <c r="AA227" s="17" t="str">
        <f>IF($A227="","",VLOOKUP($A227,기본데이타!$A$8:$BV$103,COLUMN(기본데이타!BO$8),0))</f>
        <v/>
      </c>
      <c r="AB227" s="17" t="str">
        <f>IF($A227="","",VLOOKUP($A227,기본데이타!$A$8:$BV$103,COLUMN(기본데이타!BP$8),0))</f>
        <v/>
      </c>
      <c r="AC227" s="17" t="str">
        <f>IF($A227="","",VLOOKUP($A227,기본데이타!$A$8:$BV$103,COLUMN(기본데이타!BQ$8),0))</f>
        <v/>
      </c>
      <c r="AD227" s="17" t="str">
        <f>IF($A227="","",VLOOKUP($A227,기본데이타!$A$8:$BV$103,COLUMN(기본데이타!BR$8),0))</f>
        <v/>
      </c>
      <c r="AE227" s="17" t="str">
        <f>IF($A227="","",VLOOKUP($A227,기본데이타!$A$8:$BV$103,COLUMN(기본데이타!BS$8),0))</f>
        <v/>
      </c>
      <c r="AF227" s="294" t="str">
        <f>IF($A227="","",VLOOKUP($A227,기본데이타!$A$8:$BV$103,COLUMN(기본데이타!BT$8),0))</f>
        <v/>
      </c>
      <c r="AG227" s="432" t="str">
        <f>IF($A227="","",VLOOKUP($A227,기본데이타!$A$8:$BV$103,COLUMN(기본데이타!BU$8),0))</f>
        <v/>
      </c>
      <c r="AH227" s="18" t="str">
        <f t="shared" si="47"/>
        <v/>
      </c>
    </row>
    <row r="228" spans="1:34" s="187" customFormat="1" ht="35.1" hidden="1" customHeight="1">
      <c r="A228" s="189"/>
      <c r="C228" s="190"/>
      <c r="D228" s="1209" t="str">
        <f>IF($A228="","",VLOOKUP($A228,기본데이타!$A$10:$BV$103,COLUMN(기본데이타!F$8),0))</f>
        <v/>
      </c>
      <c r="E228" s="252" t="str">
        <f>IF($A228="","",VLOOKUP($A228,기본데이타!$A$8:$BV$103,COLUMN(기본데이타!G$8),0))</f>
        <v/>
      </c>
      <c r="F228" s="15" t="str">
        <f>IF($A228="","",VLOOKUP($A228,기본데이타!$A$8:$BV$103,COLUMN(기본데이타!H$8),0))</f>
        <v/>
      </c>
      <c r="G228" s="15" t="str">
        <f>IF($A228="","",VLOOKUP($A228,기본데이타!$A$8:$BV$103,COLUMN(기본데이타!I$8),0))</f>
        <v/>
      </c>
      <c r="H228" s="15" t="str">
        <f>IF($A228="","",VLOOKUP($A228,기본데이타!$A$8:$BV$103,COLUMN(기본데이타!J$8),0))</f>
        <v/>
      </c>
      <c r="I228" s="17" t="str">
        <f>IF($A228="","",VLOOKUP($A228,기본데이타!$A$8:$BV$103,COLUMN(기본데이타!AJ$8),0))</f>
        <v/>
      </c>
      <c r="J228" s="381" t="str">
        <f>IF($A228="","",VLOOKUP($A228,기본데이타!$A$8:$BV$103,COLUMN(기본데이타!AK$8),0))</f>
        <v/>
      </c>
      <c r="K228" s="381" t="str">
        <f>IF($A228="","",VLOOKUP($A228,기본데이타!$A$8:$BV$103,COLUMN(기본데이타!AL$8),0))</f>
        <v/>
      </c>
      <c r="L228" s="381" t="str">
        <f>IF($A228="","",VLOOKUP($A228,기본데이타!$A$8:$BV$103,COLUMN(기본데이타!AM$8),0))</f>
        <v/>
      </c>
      <c r="M228" s="381" t="str">
        <f>IF($A228="","",VLOOKUP($A228,기본데이타!$A$8:$BV$103,COLUMN(기본데이타!AN$8),0))</f>
        <v/>
      </c>
      <c r="N228" s="381" t="str">
        <f>IF($A228="","",VLOOKUP($A228,기본데이타!$A$8:$BV$103,COLUMN(기본데이타!AO$8),0))</f>
        <v/>
      </c>
      <c r="O228" s="381" t="str">
        <f>IF($A228="","",VLOOKUP($A228,기본데이타!$A$8:$BV$103,COLUMN(기본데이타!AP$8),0))</f>
        <v/>
      </c>
      <c r="P228" s="381" t="str">
        <f>IF($A228="","",VLOOKUP($A228,기본데이타!$A$8:$BV$103,COLUMN(기본데이타!AQ$8),0))</f>
        <v/>
      </c>
      <c r="Q228" s="381" t="str">
        <f>IF($A228="","",VLOOKUP($A228,기본데이타!$A$8:$BV$103,COLUMN(기본데이타!AR$8),0))</f>
        <v/>
      </c>
      <c r="R228" s="381" t="str">
        <f>IF($A228="","",VLOOKUP($A228,기본데이타!$A$8:$BV$103,COLUMN(기본데이타!AS$8),0))</f>
        <v/>
      </c>
      <c r="S228" s="381" t="str">
        <f>IF($A228="","",VLOOKUP($A228,기본데이타!$A$8:$BV$103,COLUMN(기본데이타!AT$8),0))</f>
        <v/>
      </c>
      <c r="T228" s="381" t="str">
        <f>IF($A228="","",VLOOKUP($A228,기본데이타!$A$8:$BV$103,COLUMN(기본데이타!AU$8),0))</f>
        <v/>
      </c>
      <c r="U228" s="381" t="str">
        <f>IF($A228="","",VLOOKUP($A228,기본데이타!$A$8:$BV$103,COLUMN(기본데이타!AV$8),0))</f>
        <v/>
      </c>
      <c r="V228" s="16" t="str">
        <f>IF($A228="","",VLOOKUP($A228,기본데이타!$A$8:$BV$103,COLUMN(기본데이타!AW$8),0))</f>
        <v/>
      </c>
      <c r="W228" s="16" t="str">
        <f>IF($A228="","",VLOOKUP($A228,기본데이타!$A$8:$BV$103,COLUMN(기본데이타!AX$8),0))</f>
        <v/>
      </c>
      <c r="X228" s="16" t="str">
        <f>IF($A228="","",VLOOKUP($A228,기본데이타!$A$8:$BV$103,COLUMN(기본데이타!AY$8),0))</f>
        <v/>
      </c>
      <c r="Y228" s="16" t="str">
        <f>IF($A228="","",VLOOKUP($A228,기본데이타!$A$8:$BV$103,COLUMN(기본데이타!AZ$8),0))</f>
        <v/>
      </c>
      <c r="Z228" s="17" t="str">
        <f>IF($A228="","",VLOOKUP($A228,기본데이타!$A$8:$BV$103,COLUMN(기본데이타!BN$8),0))</f>
        <v/>
      </c>
      <c r="AA228" s="17" t="str">
        <f>IF($A228="","",VLOOKUP($A228,기본데이타!$A$8:$BV$103,COLUMN(기본데이타!BO$8),0))</f>
        <v/>
      </c>
      <c r="AB228" s="17" t="str">
        <f>IF($A228="","",VLOOKUP($A228,기본데이타!$A$8:$BV$103,COLUMN(기본데이타!BP$8),0))</f>
        <v/>
      </c>
      <c r="AC228" s="17" t="str">
        <f>IF($A228="","",VLOOKUP($A228,기본데이타!$A$8:$BV$103,COLUMN(기본데이타!BQ$8),0))</f>
        <v/>
      </c>
      <c r="AD228" s="17" t="str">
        <f>IF($A228="","",VLOOKUP($A228,기본데이타!$A$8:$BV$103,COLUMN(기본데이타!BR$8),0))</f>
        <v/>
      </c>
      <c r="AE228" s="17" t="str">
        <f>IF($A228="","",VLOOKUP($A228,기본데이타!$A$8:$BV$103,COLUMN(기본데이타!BS$8),0))</f>
        <v/>
      </c>
      <c r="AF228" s="294" t="str">
        <f>IF($A228="","",VLOOKUP($A228,기본데이타!$A$8:$BV$103,COLUMN(기본데이타!BT$8),0))</f>
        <v/>
      </c>
      <c r="AG228" s="432" t="str">
        <f>IF($A228="","",VLOOKUP($A228,기본데이타!$A$8:$BV$103,COLUMN(기본데이타!BU$8),0))</f>
        <v/>
      </c>
      <c r="AH228" s="18" t="str">
        <f t="shared" si="47"/>
        <v/>
      </c>
    </row>
    <row r="229" spans="1:34" s="187" customFormat="1" ht="35.1" hidden="1" customHeight="1">
      <c r="A229" s="189"/>
      <c r="C229" s="190"/>
      <c r="D229" s="1209" t="str">
        <f>IF($A229="","",VLOOKUP($A229,기본데이타!$A$10:$BV$103,COLUMN(기본데이타!F$8),0))</f>
        <v/>
      </c>
      <c r="E229" s="252" t="str">
        <f>IF($A229="","",VLOOKUP($A229,기본데이타!$A$8:$BV$103,COLUMN(기본데이타!G$8),0))</f>
        <v/>
      </c>
      <c r="F229" s="15" t="str">
        <f>IF($A229="","",VLOOKUP($A229,기본데이타!$A$8:$BV$103,COLUMN(기본데이타!H$8),0))</f>
        <v/>
      </c>
      <c r="G229" s="15" t="str">
        <f>IF($A229="","",VLOOKUP($A229,기본데이타!$A$8:$BV$103,COLUMN(기본데이타!I$8),0))</f>
        <v/>
      </c>
      <c r="H229" s="15" t="str">
        <f>IF($A229="","",VLOOKUP($A229,기본데이타!$A$8:$BV$103,COLUMN(기본데이타!J$8),0))</f>
        <v/>
      </c>
      <c r="I229" s="17" t="str">
        <f>IF($A229="","",VLOOKUP($A229,기본데이타!$A$8:$BV$103,COLUMN(기본데이타!AJ$8),0))</f>
        <v/>
      </c>
      <c r="J229" s="381" t="str">
        <f>IF($A229="","",VLOOKUP($A229,기본데이타!$A$8:$BV$103,COLUMN(기본데이타!AK$8),0))</f>
        <v/>
      </c>
      <c r="K229" s="381" t="str">
        <f>IF($A229="","",VLOOKUP($A229,기본데이타!$A$8:$BV$103,COLUMN(기본데이타!AL$8),0))</f>
        <v/>
      </c>
      <c r="L229" s="381" t="str">
        <f>IF($A229="","",VLOOKUP($A229,기본데이타!$A$8:$BV$103,COLUMN(기본데이타!AM$8),0))</f>
        <v/>
      </c>
      <c r="M229" s="381" t="str">
        <f>IF($A229="","",VLOOKUP($A229,기본데이타!$A$8:$BV$103,COLUMN(기본데이타!AN$8),0))</f>
        <v/>
      </c>
      <c r="N229" s="381" t="str">
        <f>IF($A229="","",VLOOKUP($A229,기본데이타!$A$8:$BV$103,COLUMN(기본데이타!AO$8),0))</f>
        <v/>
      </c>
      <c r="O229" s="381" t="str">
        <f>IF($A229="","",VLOOKUP($A229,기본데이타!$A$8:$BV$103,COLUMN(기본데이타!AP$8),0))</f>
        <v/>
      </c>
      <c r="P229" s="381" t="str">
        <f>IF($A229="","",VLOOKUP($A229,기본데이타!$A$8:$BV$103,COLUMN(기본데이타!AQ$8),0))</f>
        <v/>
      </c>
      <c r="Q229" s="381" t="str">
        <f>IF($A229="","",VLOOKUP($A229,기본데이타!$A$8:$BV$103,COLUMN(기본데이타!AR$8),0))</f>
        <v/>
      </c>
      <c r="R229" s="381" t="str">
        <f>IF($A229="","",VLOOKUP($A229,기본데이타!$A$8:$BV$103,COLUMN(기본데이타!AS$8),0))</f>
        <v/>
      </c>
      <c r="S229" s="381" t="str">
        <f>IF($A229="","",VLOOKUP($A229,기본데이타!$A$8:$BV$103,COLUMN(기본데이타!AT$8),0))</f>
        <v/>
      </c>
      <c r="T229" s="381" t="str">
        <f>IF($A229="","",VLOOKUP($A229,기본데이타!$A$8:$BV$103,COLUMN(기본데이타!AU$8),0))</f>
        <v/>
      </c>
      <c r="U229" s="381" t="str">
        <f>IF($A229="","",VLOOKUP($A229,기본데이타!$A$8:$BV$103,COLUMN(기본데이타!AV$8),0))</f>
        <v/>
      </c>
      <c r="V229" s="16" t="str">
        <f>IF($A229="","",VLOOKUP($A229,기본데이타!$A$8:$BV$103,COLUMN(기본데이타!AW$8),0))</f>
        <v/>
      </c>
      <c r="W229" s="16" t="str">
        <f>IF($A229="","",VLOOKUP($A229,기본데이타!$A$8:$BV$103,COLUMN(기본데이타!AX$8),0))</f>
        <v/>
      </c>
      <c r="X229" s="16" t="str">
        <f>IF($A229="","",VLOOKUP($A229,기본데이타!$A$8:$BV$103,COLUMN(기본데이타!AY$8),0))</f>
        <v/>
      </c>
      <c r="Y229" s="16" t="str">
        <f>IF($A229="","",VLOOKUP($A229,기본데이타!$A$8:$BV$103,COLUMN(기본데이타!AZ$8),0))</f>
        <v/>
      </c>
      <c r="Z229" s="17" t="str">
        <f>IF($A229="","",VLOOKUP($A229,기본데이타!$A$8:$BV$103,COLUMN(기본데이타!BN$8),0))</f>
        <v/>
      </c>
      <c r="AA229" s="17" t="str">
        <f>IF($A229="","",VLOOKUP($A229,기본데이타!$A$8:$BV$103,COLUMN(기본데이타!BO$8),0))</f>
        <v/>
      </c>
      <c r="AB229" s="17" t="str">
        <f>IF($A229="","",VLOOKUP($A229,기본데이타!$A$8:$BV$103,COLUMN(기본데이타!BP$8),0))</f>
        <v/>
      </c>
      <c r="AC229" s="17" t="str">
        <f>IF($A229="","",VLOOKUP($A229,기본데이타!$A$8:$BV$103,COLUMN(기본데이타!BQ$8),0))</f>
        <v/>
      </c>
      <c r="AD229" s="17" t="str">
        <f>IF($A229="","",VLOOKUP($A229,기본데이타!$A$8:$BV$103,COLUMN(기본데이타!BR$8),0))</f>
        <v/>
      </c>
      <c r="AE229" s="17" t="str">
        <f>IF($A229="","",VLOOKUP($A229,기본데이타!$A$8:$BV$103,COLUMN(기본데이타!BS$8),0))</f>
        <v/>
      </c>
      <c r="AF229" s="294" t="str">
        <f>IF($A229="","",VLOOKUP($A229,기본데이타!$A$8:$BV$103,COLUMN(기본데이타!BT$8),0))</f>
        <v/>
      </c>
      <c r="AG229" s="432" t="str">
        <f>IF($A229="","",VLOOKUP($A229,기본데이타!$A$8:$BV$103,COLUMN(기본데이타!BU$8),0))</f>
        <v/>
      </c>
      <c r="AH229" s="18" t="str">
        <f t="shared" si="47"/>
        <v/>
      </c>
    </row>
    <row r="230" spans="1:34" s="187" customFormat="1" ht="35.1" hidden="1" customHeight="1">
      <c r="A230" s="189"/>
      <c r="C230" s="190"/>
      <c r="D230" s="1209" t="str">
        <f>IF($A230="","",VLOOKUP($A230,기본데이타!$A$10:$BV$103,COLUMN(기본데이타!F$8),0))</f>
        <v/>
      </c>
      <c r="E230" s="252" t="str">
        <f>IF($A230="","",VLOOKUP($A230,기본데이타!$A$8:$BV$103,COLUMN(기본데이타!G$8),0))</f>
        <v/>
      </c>
      <c r="F230" s="15" t="str">
        <f>IF($A230="","",VLOOKUP($A230,기본데이타!$A$8:$BV$103,COLUMN(기본데이타!H$8),0))</f>
        <v/>
      </c>
      <c r="G230" s="15" t="str">
        <f>IF($A230="","",VLOOKUP($A230,기본데이타!$A$8:$BV$103,COLUMN(기본데이타!I$8),0))</f>
        <v/>
      </c>
      <c r="H230" s="15" t="str">
        <f>IF($A230="","",VLOOKUP($A230,기본데이타!$A$8:$BV$103,COLUMN(기본데이타!J$8),0))</f>
        <v/>
      </c>
      <c r="I230" s="17" t="str">
        <f>IF($A230="","",VLOOKUP($A230,기본데이타!$A$8:$BV$103,COLUMN(기본데이타!AJ$8),0))</f>
        <v/>
      </c>
      <c r="J230" s="381" t="str">
        <f>IF($A230="","",VLOOKUP($A230,기본데이타!$A$8:$BV$103,COLUMN(기본데이타!AK$8),0))</f>
        <v/>
      </c>
      <c r="K230" s="381" t="str">
        <f>IF($A230="","",VLOOKUP($A230,기본데이타!$A$8:$BV$103,COLUMN(기본데이타!AL$8),0))</f>
        <v/>
      </c>
      <c r="L230" s="381" t="str">
        <f>IF($A230="","",VLOOKUP($A230,기본데이타!$A$8:$BV$103,COLUMN(기본데이타!AM$8),0))</f>
        <v/>
      </c>
      <c r="M230" s="381" t="str">
        <f>IF($A230="","",VLOOKUP($A230,기본데이타!$A$8:$BV$103,COLUMN(기본데이타!AN$8),0))</f>
        <v/>
      </c>
      <c r="N230" s="381" t="str">
        <f>IF($A230="","",VLOOKUP($A230,기본데이타!$A$8:$BV$103,COLUMN(기본데이타!AO$8),0))</f>
        <v/>
      </c>
      <c r="O230" s="381" t="str">
        <f>IF($A230="","",VLOOKUP($A230,기본데이타!$A$8:$BV$103,COLUMN(기본데이타!AP$8),0))</f>
        <v/>
      </c>
      <c r="P230" s="381" t="str">
        <f>IF($A230="","",VLOOKUP($A230,기본데이타!$A$8:$BV$103,COLUMN(기본데이타!AQ$8),0))</f>
        <v/>
      </c>
      <c r="Q230" s="381" t="str">
        <f>IF($A230="","",VLOOKUP($A230,기본데이타!$A$8:$BV$103,COLUMN(기본데이타!AR$8),0))</f>
        <v/>
      </c>
      <c r="R230" s="381" t="str">
        <f>IF($A230="","",VLOOKUP($A230,기본데이타!$A$8:$BV$103,COLUMN(기본데이타!AS$8),0))</f>
        <v/>
      </c>
      <c r="S230" s="381" t="str">
        <f>IF($A230="","",VLOOKUP($A230,기본데이타!$A$8:$BV$103,COLUMN(기본데이타!AT$8),0))</f>
        <v/>
      </c>
      <c r="T230" s="381" t="str">
        <f>IF($A230="","",VLOOKUP($A230,기본데이타!$A$8:$BV$103,COLUMN(기본데이타!AU$8),0))</f>
        <v/>
      </c>
      <c r="U230" s="381" t="str">
        <f>IF($A230="","",VLOOKUP($A230,기본데이타!$A$8:$BV$103,COLUMN(기본데이타!AV$8),0))</f>
        <v/>
      </c>
      <c r="V230" s="16" t="str">
        <f>IF($A230="","",VLOOKUP($A230,기본데이타!$A$8:$BV$103,COLUMN(기본데이타!AW$8),0))</f>
        <v/>
      </c>
      <c r="W230" s="16" t="str">
        <f>IF($A230="","",VLOOKUP($A230,기본데이타!$A$8:$BV$103,COLUMN(기본데이타!AX$8),0))</f>
        <v/>
      </c>
      <c r="X230" s="16" t="str">
        <f>IF($A230="","",VLOOKUP($A230,기본데이타!$A$8:$BV$103,COLUMN(기본데이타!AY$8),0))</f>
        <v/>
      </c>
      <c r="Y230" s="16" t="str">
        <f>IF($A230="","",VLOOKUP($A230,기본데이타!$A$8:$BV$103,COLUMN(기본데이타!AZ$8),0))</f>
        <v/>
      </c>
      <c r="Z230" s="17" t="str">
        <f>IF($A230="","",VLOOKUP($A230,기본데이타!$A$8:$BV$103,COLUMN(기본데이타!BN$8),0))</f>
        <v/>
      </c>
      <c r="AA230" s="17" t="str">
        <f>IF($A230="","",VLOOKUP($A230,기본데이타!$A$8:$BV$103,COLUMN(기본데이타!BO$8),0))</f>
        <v/>
      </c>
      <c r="AB230" s="17" t="str">
        <f>IF($A230="","",VLOOKUP($A230,기본데이타!$A$8:$BV$103,COLUMN(기본데이타!BP$8),0))</f>
        <v/>
      </c>
      <c r="AC230" s="17" t="str">
        <f>IF($A230="","",VLOOKUP($A230,기본데이타!$A$8:$BV$103,COLUMN(기본데이타!BQ$8),0))</f>
        <v/>
      </c>
      <c r="AD230" s="17" t="str">
        <f>IF($A230="","",VLOOKUP($A230,기본데이타!$A$8:$BV$103,COLUMN(기본데이타!BR$8),0))</f>
        <v/>
      </c>
      <c r="AE230" s="17" t="str">
        <f>IF($A230="","",VLOOKUP($A230,기본데이타!$A$8:$BV$103,COLUMN(기본데이타!BS$8),0))</f>
        <v/>
      </c>
      <c r="AF230" s="294" t="str">
        <f>IF($A230="","",VLOOKUP($A230,기본데이타!$A$8:$BV$103,COLUMN(기본데이타!BT$8),0))</f>
        <v/>
      </c>
      <c r="AG230" s="432" t="str">
        <f>IF($A230="","",VLOOKUP($A230,기본데이타!$A$8:$BV$103,COLUMN(기본데이타!BU$8),0))</f>
        <v/>
      </c>
      <c r="AH230" s="18" t="str">
        <f t="shared" si="47"/>
        <v/>
      </c>
    </row>
    <row r="231" spans="1:34" s="187" customFormat="1" ht="35.1" hidden="1" customHeight="1">
      <c r="A231" s="189"/>
      <c r="C231" s="190"/>
      <c r="D231" s="1209" t="str">
        <f>IF($A231="","",VLOOKUP($A231,기본데이타!$A$10:$BV$103,COLUMN(기본데이타!F$8),0))</f>
        <v/>
      </c>
      <c r="E231" s="252" t="str">
        <f>IF($A231="","",VLOOKUP($A231,기본데이타!$A$8:$BV$103,COLUMN(기본데이타!G$8),0))</f>
        <v/>
      </c>
      <c r="F231" s="15" t="str">
        <f>IF($A231="","",VLOOKUP($A231,기본데이타!$A$8:$BV$103,COLUMN(기본데이타!H$8),0))</f>
        <v/>
      </c>
      <c r="G231" s="15" t="str">
        <f>IF($A231="","",VLOOKUP($A231,기본데이타!$A$8:$BV$103,COLUMN(기본데이타!I$8),0))</f>
        <v/>
      </c>
      <c r="H231" s="15" t="str">
        <f>IF($A231="","",VLOOKUP($A231,기본데이타!$A$8:$BV$103,COLUMN(기본데이타!J$8),0))</f>
        <v/>
      </c>
      <c r="I231" s="17" t="str">
        <f>IF($A231="","",VLOOKUP($A231,기본데이타!$A$8:$BV$103,COLUMN(기본데이타!AJ$8),0))</f>
        <v/>
      </c>
      <c r="J231" s="381" t="str">
        <f>IF($A231="","",VLOOKUP($A231,기본데이타!$A$8:$BV$103,COLUMN(기본데이타!AK$8),0))</f>
        <v/>
      </c>
      <c r="K231" s="381" t="str">
        <f>IF($A231="","",VLOOKUP($A231,기본데이타!$A$8:$BV$103,COLUMN(기본데이타!AL$8),0))</f>
        <v/>
      </c>
      <c r="L231" s="381" t="str">
        <f>IF($A231="","",VLOOKUP($A231,기본데이타!$A$8:$BV$103,COLUMN(기본데이타!AM$8),0))</f>
        <v/>
      </c>
      <c r="M231" s="381" t="str">
        <f>IF($A231="","",VLOOKUP($A231,기본데이타!$A$8:$BV$103,COLUMN(기본데이타!AN$8),0))</f>
        <v/>
      </c>
      <c r="N231" s="381" t="str">
        <f>IF($A231="","",VLOOKUP($A231,기본데이타!$A$8:$BV$103,COLUMN(기본데이타!AO$8),0))</f>
        <v/>
      </c>
      <c r="O231" s="381" t="str">
        <f>IF($A231="","",VLOOKUP($A231,기본데이타!$A$8:$BV$103,COLUMN(기본데이타!AP$8),0))</f>
        <v/>
      </c>
      <c r="P231" s="381" t="str">
        <f>IF($A231="","",VLOOKUP($A231,기본데이타!$A$8:$BV$103,COLUMN(기본데이타!AQ$8),0))</f>
        <v/>
      </c>
      <c r="Q231" s="381" t="str">
        <f>IF($A231="","",VLOOKUP($A231,기본데이타!$A$8:$BV$103,COLUMN(기본데이타!AR$8),0))</f>
        <v/>
      </c>
      <c r="R231" s="381" t="str">
        <f>IF($A231="","",VLOOKUP($A231,기본데이타!$A$8:$BV$103,COLUMN(기본데이타!AS$8),0))</f>
        <v/>
      </c>
      <c r="S231" s="381" t="str">
        <f>IF($A231="","",VLOOKUP($A231,기본데이타!$A$8:$BV$103,COLUMN(기본데이타!AT$8),0))</f>
        <v/>
      </c>
      <c r="T231" s="381" t="str">
        <f>IF($A231="","",VLOOKUP($A231,기본데이타!$A$8:$BV$103,COLUMN(기본데이타!AU$8),0))</f>
        <v/>
      </c>
      <c r="U231" s="381" t="str">
        <f>IF($A231="","",VLOOKUP($A231,기본데이타!$A$8:$BV$103,COLUMN(기본데이타!AV$8),0))</f>
        <v/>
      </c>
      <c r="V231" s="16" t="str">
        <f>IF($A231="","",VLOOKUP($A231,기본데이타!$A$8:$BV$103,COLUMN(기본데이타!AW$8),0))</f>
        <v/>
      </c>
      <c r="W231" s="16" t="str">
        <f>IF($A231="","",VLOOKUP($A231,기본데이타!$A$8:$BV$103,COLUMN(기본데이타!AX$8),0))</f>
        <v/>
      </c>
      <c r="X231" s="16" t="str">
        <f>IF($A231="","",VLOOKUP($A231,기본데이타!$A$8:$BV$103,COLUMN(기본데이타!AY$8),0))</f>
        <v/>
      </c>
      <c r="Y231" s="16" t="str">
        <f>IF($A231="","",VLOOKUP($A231,기본데이타!$A$8:$BV$103,COLUMN(기본데이타!AZ$8),0))</f>
        <v/>
      </c>
      <c r="Z231" s="17" t="str">
        <f>IF($A231="","",VLOOKUP($A231,기본데이타!$A$8:$BV$103,COLUMN(기본데이타!BN$8),0))</f>
        <v/>
      </c>
      <c r="AA231" s="17" t="str">
        <f>IF($A231="","",VLOOKUP($A231,기본데이타!$A$8:$BV$103,COLUMN(기본데이타!BO$8),0))</f>
        <v/>
      </c>
      <c r="AB231" s="17" t="str">
        <f>IF($A231="","",VLOOKUP($A231,기본데이타!$A$8:$BV$103,COLUMN(기본데이타!BP$8),0))</f>
        <v/>
      </c>
      <c r="AC231" s="17" t="str">
        <f>IF($A231="","",VLOOKUP($A231,기본데이타!$A$8:$BV$103,COLUMN(기본데이타!BQ$8),0))</f>
        <v/>
      </c>
      <c r="AD231" s="17" t="str">
        <f>IF($A231="","",VLOOKUP($A231,기본데이타!$A$8:$BV$103,COLUMN(기본데이타!BR$8),0))</f>
        <v/>
      </c>
      <c r="AE231" s="17" t="str">
        <f>IF($A231="","",VLOOKUP($A231,기본데이타!$A$8:$BV$103,COLUMN(기본데이타!BS$8),0))</f>
        <v/>
      </c>
      <c r="AF231" s="294" t="str">
        <f>IF($A231="","",VLOOKUP($A231,기본데이타!$A$8:$BV$103,COLUMN(기본데이타!BT$8),0))</f>
        <v/>
      </c>
      <c r="AG231" s="432" t="str">
        <f>IF($A231="","",VLOOKUP($A231,기본데이타!$A$8:$BV$103,COLUMN(기본데이타!BU$8),0))</f>
        <v/>
      </c>
      <c r="AH231" s="18" t="str">
        <f t="shared" si="47"/>
        <v/>
      </c>
    </row>
    <row r="232" spans="1:34" s="187" customFormat="1" ht="35.1" hidden="1" customHeight="1">
      <c r="A232" s="189"/>
      <c r="C232" s="190"/>
      <c r="D232" s="1209" t="str">
        <f>IF($A232="","",VLOOKUP($A232,기본데이타!$A$10:$BV$103,COLUMN(기본데이타!F$8),0))</f>
        <v/>
      </c>
      <c r="E232" s="252" t="str">
        <f>IF($A232="","",VLOOKUP($A232,기본데이타!$A$8:$BV$103,COLUMN(기본데이타!G$8),0))</f>
        <v/>
      </c>
      <c r="F232" s="15" t="str">
        <f>IF($A232="","",VLOOKUP($A232,기본데이타!$A$8:$BV$103,COLUMN(기본데이타!H$8),0))</f>
        <v/>
      </c>
      <c r="G232" s="15" t="str">
        <f>IF($A232="","",VLOOKUP($A232,기본데이타!$A$8:$BV$103,COLUMN(기본데이타!I$8),0))</f>
        <v/>
      </c>
      <c r="H232" s="15" t="str">
        <f>IF($A232="","",VLOOKUP($A232,기본데이타!$A$8:$BV$103,COLUMN(기본데이타!J$8),0))</f>
        <v/>
      </c>
      <c r="I232" s="17" t="str">
        <f>IF($A232="","",VLOOKUP($A232,기본데이타!$A$8:$BV$103,COLUMN(기본데이타!AJ$8),0))</f>
        <v/>
      </c>
      <c r="J232" s="381" t="str">
        <f>IF($A232="","",VLOOKUP($A232,기본데이타!$A$8:$BV$103,COLUMN(기본데이타!AK$8),0))</f>
        <v/>
      </c>
      <c r="K232" s="381" t="str">
        <f>IF($A232="","",VLOOKUP($A232,기본데이타!$A$8:$BV$103,COLUMN(기본데이타!AL$8),0))</f>
        <v/>
      </c>
      <c r="L232" s="381" t="str">
        <f>IF($A232="","",VLOOKUP($A232,기본데이타!$A$8:$BV$103,COLUMN(기본데이타!AM$8),0))</f>
        <v/>
      </c>
      <c r="M232" s="381" t="str">
        <f>IF($A232="","",VLOOKUP($A232,기본데이타!$A$8:$BV$103,COLUMN(기본데이타!AN$8),0))</f>
        <v/>
      </c>
      <c r="N232" s="381" t="str">
        <f>IF($A232="","",VLOOKUP($A232,기본데이타!$A$8:$BV$103,COLUMN(기본데이타!AO$8),0))</f>
        <v/>
      </c>
      <c r="O232" s="381" t="str">
        <f>IF($A232="","",VLOOKUP($A232,기본데이타!$A$8:$BV$103,COLUMN(기본데이타!AP$8),0))</f>
        <v/>
      </c>
      <c r="P232" s="381" t="str">
        <f>IF($A232="","",VLOOKUP($A232,기본데이타!$A$8:$BV$103,COLUMN(기본데이타!AQ$8),0))</f>
        <v/>
      </c>
      <c r="Q232" s="381" t="str">
        <f>IF($A232="","",VLOOKUP($A232,기본데이타!$A$8:$BV$103,COLUMN(기본데이타!AR$8),0))</f>
        <v/>
      </c>
      <c r="R232" s="381" t="str">
        <f>IF($A232="","",VLOOKUP($A232,기본데이타!$A$8:$BV$103,COLUMN(기본데이타!AS$8),0))</f>
        <v/>
      </c>
      <c r="S232" s="381" t="str">
        <f>IF($A232="","",VLOOKUP($A232,기본데이타!$A$8:$BV$103,COLUMN(기본데이타!AT$8),0))</f>
        <v/>
      </c>
      <c r="T232" s="381" t="str">
        <f>IF($A232="","",VLOOKUP($A232,기본데이타!$A$8:$BV$103,COLUMN(기본데이타!AU$8),0))</f>
        <v/>
      </c>
      <c r="U232" s="381" t="str">
        <f>IF($A232="","",VLOOKUP($A232,기본데이타!$A$8:$BV$103,COLUMN(기본데이타!AV$8),0))</f>
        <v/>
      </c>
      <c r="V232" s="16" t="str">
        <f>IF($A232="","",VLOOKUP($A232,기본데이타!$A$8:$BV$103,COLUMN(기본데이타!AW$8),0))</f>
        <v/>
      </c>
      <c r="W232" s="16" t="str">
        <f>IF($A232="","",VLOOKUP($A232,기본데이타!$A$8:$BV$103,COLUMN(기본데이타!AX$8),0))</f>
        <v/>
      </c>
      <c r="X232" s="16" t="str">
        <f>IF($A232="","",VLOOKUP($A232,기본데이타!$A$8:$BV$103,COLUMN(기본데이타!AY$8),0))</f>
        <v/>
      </c>
      <c r="Y232" s="16" t="str">
        <f>IF($A232="","",VLOOKUP($A232,기본데이타!$A$8:$BV$103,COLUMN(기본데이타!AZ$8),0))</f>
        <v/>
      </c>
      <c r="Z232" s="17" t="str">
        <f>IF($A232="","",VLOOKUP($A232,기본데이타!$A$8:$BV$103,COLUMN(기본데이타!BN$8),0))</f>
        <v/>
      </c>
      <c r="AA232" s="17" t="str">
        <f>IF($A232="","",VLOOKUP($A232,기본데이타!$A$8:$BV$103,COLUMN(기본데이타!BO$8),0))</f>
        <v/>
      </c>
      <c r="AB232" s="17" t="str">
        <f>IF($A232="","",VLOOKUP($A232,기본데이타!$A$8:$BV$103,COLUMN(기본데이타!BP$8),0))</f>
        <v/>
      </c>
      <c r="AC232" s="17" t="str">
        <f>IF($A232="","",VLOOKUP($A232,기본데이타!$A$8:$BV$103,COLUMN(기본데이타!BQ$8),0))</f>
        <v/>
      </c>
      <c r="AD232" s="17" t="str">
        <f>IF($A232="","",VLOOKUP($A232,기본데이타!$A$8:$BV$103,COLUMN(기본데이타!BR$8),0))</f>
        <v/>
      </c>
      <c r="AE232" s="17" t="str">
        <f>IF($A232="","",VLOOKUP($A232,기본데이타!$A$8:$BV$103,COLUMN(기본데이타!BS$8),0))</f>
        <v/>
      </c>
      <c r="AF232" s="294" t="str">
        <f>IF($A232="","",VLOOKUP($A232,기본데이타!$A$8:$BV$103,COLUMN(기본데이타!BT$8),0))</f>
        <v/>
      </c>
      <c r="AG232" s="432" t="str">
        <f>IF($A232="","",VLOOKUP($A232,기본데이타!$A$8:$BV$103,COLUMN(기본데이타!BU$8),0))</f>
        <v/>
      </c>
      <c r="AH232" s="18" t="str">
        <f t="shared" si="47"/>
        <v/>
      </c>
    </row>
    <row r="233" spans="1:34" s="187" customFormat="1" ht="35.1" hidden="1" customHeight="1">
      <c r="A233" s="189"/>
      <c r="C233" s="190"/>
      <c r="D233" s="1209" t="str">
        <f>IF($A233="","",VLOOKUP($A233,기본데이타!$A$10:$BV$103,COLUMN(기본데이타!F$8),0))</f>
        <v/>
      </c>
      <c r="E233" s="252" t="str">
        <f>IF($A233="","",VLOOKUP($A233,기본데이타!$A$8:$BV$103,COLUMN(기본데이타!G$8),0))</f>
        <v/>
      </c>
      <c r="F233" s="15" t="str">
        <f>IF($A233="","",VLOOKUP($A233,기본데이타!$A$8:$BV$103,COLUMN(기본데이타!H$8),0))</f>
        <v/>
      </c>
      <c r="G233" s="15" t="str">
        <f>IF($A233="","",VLOOKUP($A233,기본데이타!$A$8:$BV$103,COLUMN(기본데이타!I$8),0))</f>
        <v/>
      </c>
      <c r="H233" s="15" t="str">
        <f>IF($A233="","",VLOOKUP($A233,기본데이타!$A$8:$BV$103,COLUMN(기본데이타!J$8),0))</f>
        <v/>
      </c>
      <c r="I233" s="17" t="str">
        <f>IF($A233="","",VLOOKUP($A233,기본데이타!$A$8:$BV$103,COLUMN(기본데이타!AJ$8),0))</f>
        <v/>
      </c>
      <c r="J233" s="381" t="str">
        <f>IF($A233="","",VLOOKUP($A233,기본데이타!$A$8:$BV$103,COLUMN(기본데이타!AK$8),0))</f>
        <v/>
      </c>
      <c r="K233" s="381" t="str">
        <f>IF($A233="","",VLOOKUP($A233,기본데이타!$A$8:$BV$103,COLUMN(기본데이타!AL$8),0))</f>
        <v/>
      </c>
      <c r="L233" s="381" t="str">
        <f>IF($A233="","",VLOOKUP($A233,기본데이타!$A$8:$BV$103,COLUMN(기본데이타!AM$8),0))</f>
        <v/>
      </c>
      <c r="M233" s="381" t="str">
        <f>IF($A233="","",VLOOKUP($A233,기본데이타!$A$8:$BV$103,COLUMN(기본데이타!AN$8),0))</f>
        <v/>
      </c>
      <c r="N233" s="381" t="str">
        <f>IF($A233="","",VLOOKUP($A233,기본데이타!$A$8:$BV$103,COLUMN(기본데이타!AO$8),0))</f>
        <v/>
      </c>
      <c r="O233" s="381" t="str">
        <f>IF($A233="","",VLOOKUP($A233,기본데이타!$A$8:$BV$103,COLUMN(기본데이타!AP$8),0))</f>
        <v/>
      </c>
      <c r="P233" s="381" t="str">
        <f>IF($A233="","",VLOOKUP($A233,기본데이타!$A$8:$BV$103,COLUMN(기본데이타!AQ$8),0))</f>
        <v/>
      </c>
      <c r="Q233" s="381" t="str">
        <f>IF($A233="","",VLOOKUP($A233,기본데이타!$A$8:$BV$103,COLUMN(기본데이타!AR$8),0))</f>
        <v/>
      </c>
      <c r="R233" s="381" t="str">
        <f>IF($A233="","",VLOOKUP($A233,기본데이타!$A$8:$BV$103,COLUMN(기본데이타!AS$8),0))</f>
        <v/>
      </c>
      <c r="S233" s="381" t="str">
        <f>IF($A233="","",VLOOKUP($A233,기본데이타!$A$8:$BV$103,COLUMN(기본데이타!AT$8),0))</f>
        <v/>
      </c>
      <c r="T233" s="381" t="str">
        <f>IF($A233="","",VLOOKUP($A233,기본데이타!$A$8:$BV$103,COLUMN(기본데이타!AU$8),0))</f>
        <v/>
      </c>
      <c r="U233" s="381" t="str">
        <f>IF($A233="","",VLOOKUP($A233,기본데이타!$A$8:$BV$103,COLUMN(기본데이타!AV$8),0))</f>
        <v/>
      </c>
      <c r="V233" s="16" t="str">
        <f>IF($A233="","",VLOOKUP($A233,기본데이타!$A$8:$BV$103,COLUMN(기본데이타!AW$8),0))</f>
        <v/>
      </c>
      <c r="W233" s="16" t="str">
        <f>IF($A233="","",VLOOKUP($A233,기본데이타!$A$8:$BV$103,COLUMN(기본데이타!AX$8),0))</f>
        <v/>
      </c>
      <c r="X233" s="16" t="str">
        <f>IF($A233="","",VLOOKUP($A233,기본데이타!$A$8:$BV$103,COLUMN(기본데이타!AY$8),0))</f>
        <v/>
      </c>
      <c r="Y233" s="16" t="str">
        <f>IF($A233="","",VLOOKUP($A233,기본데이타!$A$8:$BV$103,COLUMN(기본데이타!AZ$8),0))</f>
        <v/>
      </c>
      <c r="Z233" s="17" t="str">
        <f>IF($A233="","",VLOOKUP($A233,기본데이타!$A$8:$BV$103,COLUMN(기본데이타!BN$8),0))</f>
        <v/>
      </c>
      <c r="AA233" s="17" t="str">
        <f>IF($A233="","",VLOOKUP($A233,기본데이타!$A$8:$BV$103,COLUMN(기본데이타!BO$8),0))</f>
        <v/>
      </c>
      <c r="AB233" s="17" t="str">
        <f>IF($A233="","",VLOOKUP($A233,기본데이타!$A$8:$BV$103,COLUMN(기본데이타!BP$8),0))</f>
        <v/>
      </c>
      <c r="AC233" s="17" t="str">
        <f>IF($A233="","",VLOOKUP($A233,기본데이타!$A$8:$BV$103,COLUMN(기본데이타!BQ$8),0))</f>
        <v/>
      </c>
      <c r="AD233" s="17" t="str">
        <f>IF($A233="","",VLOOKUP($A233,기본데이타!$A$8:$BV$103,COLUMN(기본데이타!BR$8),0))</f>
        <v/>
      </c>
      <c r="AE233" s="17" t="str">
        <f>IF($A233="","",VLOOKUP($A233,기본데이타!$A$8:$BV$103,COLUMN(기본데이타!BS$8),0))</f>
        <v/>
      </c>
      <c r="AF233" s="294" t="str">
        <f>IF($A233="","",VLOOKUP($A233,기본데이타!$A$8:$BV$103,COLUMN(기본데이타!BT$8),0))</f>
        <v/>
      </c>
      <c r="AG233" s="432" t="str">
        <f>IF($A233="","",VLOOKUP($A233,기본데이타!$A$8:$BV$103,COLUMN(기본데이타!BU$8),0))</f>
        <v/>
      </c>
      <c r="AH233" s="18" t="str">
        <f t="shared" si="47"/>
        <v/>
      </c>
    </row>
    <row r="234" spans="1:34" s="187" customFormat="1" ht="35.1" hidden="1" customHeight="1">
      <c r="A234" s="189"/>
      <c r="C234" s="190"/>
      <c r="D234" s="1209" t="str">
        <f>IF($A234="","",VLOOKUP($A234,기본데이타!$A$10:$BV$103,COLUMN(기본데이타!F$8),0))</f>
        <v/>
      </c>
      <c r="E234" s="252" t="str">
        <f>IF($A234="","",VLOOKUP($A234,기본데이타!$A$8:$BV$103,COLUMN(기본데이타!G$8),0))</f>
        <v/>
      </c>
      <c r="F234" s="15" t="str">
        <f>IF($A234="","",VLOOKUP($A234,기본데이타!$A$8:$BV$103,COLUMN(기본데이타!H$8),0))</f>
        <v/>
      </c>
      <c r="G234" s="15" t="str">
        <f>IF($A234="","",VLOOKUP($A234,기본데이타!$A$8:$BV$103,COLUMN(기본데이타!I$8),0))</f>
        <v/>
      </c>
      <c r="H234" s="15" t="str">
        <f>IF($A234="","",VLOOKUP($A234,기본데이타!$A$8:$BV$103,COLUMN(기본데이타!J$8),0))</f>
        <v/>
      </c>
      <c r="I234" s="17" t="str">
        <f>IF($A234="","",VLOOKUP($A234,기본데이타!$A$8:$BV$103,COLUMN(기본데이타!AJ$8),0))</f>
        <v/>
      </c>
      <c r="J234" s="381" t="str">
        <f>IF($A234="","",VLOOKUP($A234,기본데이타!$A$8:$BV$103,COLUMN(기본데이타!AK$8),0))</f>
        <v/>
      </c>
      <c r="K234" s="381" t="str">
        <f>IF($A234="","",VLOOKUP($A234,기본데이타!$A$8:$BV$103,COLUMN(기본데이타!AL$8),0))</f>
        <v/>
      </c>
      <c r="L234" s="381" t="str">
        <f>IF($A234="","",VLOOKUP($A234,기본데이타!$A$8:$BV$103,COLUMN(기본데이타!AM$8),0))</f>
        <v/>
      </c>
      <c r="M234" s="381" t="str">
        <f>IF($A234="","",VLOOKUP($A234,기본데이타!$A$8:$BV$103,COLUMN(기본데이타!AN$8),0))</f>
        <v/>
      </c>
      <c r="N234" s="381" t="str">
        <f>IF($A234="","",VLOOKUP($A234,기본데이타!$A$8:$BV$103,COLUMN(기본데이타!AO$8),0))</f>
        <v/>
      </c>
      <c r="O234" s="381" t="str">
        <f>IF($A234="","",VLOOKUP($A234,기본데이타!$A$8:$BV$103,COLUMN(기본데이타!AP$8),0))</f>
        <v/>
      </c>
      <c r="P234" s="381" t="str">
        <f>IF($A234="","",VLOOKUP($A234,기본데이타!$A$8:$BV$103,COLUMN(기본데이타!AQ$8),0))</f>
        <v/>
      </c>
      <c r="Q234" s="381" t="str">
        <f>IF($A234="","",VLOOKUP($A234,기본데이타!$A$8:$BV$103,COLUMN(기본데이타!AR$8),0))</f>
        <v/>
      </c>
      <c r="R234" s="381" t="str">
        <f>IF($A234="","",VLOOKUP($A234,기본데이타!$A$8:$BV$103,COLUMN(기본데이타!AS$8),0))</f>
        <v/>
      </c>
      <c r="S234" s="381" t="str">
        <f>IF($A234="","",VLOOKUP($A234,기본데이타!$A$8:$BV$103,COLUMN(기본데이타!AT$8),0))</f>
        <v/>
      </c>
      <c r="T234" s="381" t="str">
        <f>IF($A234="","",VLOOKUP($A234,기본데이타!$A$8:$BV$103,COLUMN(기본데이타!AU$8),0))</f>
        <v/>
      </c>
      <c r="U234" s="381" t="str">
        <f>IF($A234="","",VLOOKUP($A234,기본데이타!$A$8:$BV$103,COLUMN(기본데이타!AV$8),0))</f>
        <v/>
      </c>
      <c r="V234" s="16" t="str">
        <f>IF($A234="","",VLOOKUP($A234,기본데이타!$A$8:$BV$103,COLUMN(기본데이타!AW$8),0))</f>
        <v/>
      </c>
      <c r="W234" s="16" t="str">
        <f>IF($A234="","",VLOOKUP($A234,기본데이타!$A$8:$BV$103,COLUMN(기본데이타!AX$8),0))</f>
        <v/>
      </c>
      <c r="X234" s="16" t="str">
        <f>IF($A234="","",VLOOKUP($A234,기본데이타!$A$8:$BV$103,COLUMN(기본데이타!AY$8),0))</f>
        <v/>
      </c>
      <c r="Y234" s="16" t="str">
        <f>IF($A234="","",VLOOKUP($A234,기본데이타!$A$8:$BV$103,COLUMN(기본데이타!AZ$8),0))</f>
        <v/>
      </c>
      <c r="Z234" s="17" t="str">
        <f>IF($A234="","",VLOOKUP($A234,기본데이타!$A$8:$BV$103,COLUMN(기본데이타!BN$8),0))</f>
        <v/>
      </c>
      <c r="AA234" s="17" t="str">
        <f>IF($A234="","",VLOOKUP($A234,기본데이타!$A$8:$BV$103,COLUMN(기본데이타!BO$8),0))</f>
        <v/>
      </c>
      <c r="AB234" s="17" t="str">
        <f>IF($A234="","",VLOOKUP($A234,기본데이타!$A$8:$BV$103,COLUMN(기본데이타!BP$8),0))</f>
        <v/>
      </c>
      <c r="AC234" s="17" t="str">
        <f>IF($A234="","",VLOOKUP($A234,기본데이타!$A$8:$BV$103,COLUMN(기본데이타!BQ$8),0))</f>
        <v/>
      </c>
      <c r="AD234" s="17" t="str">
        <f>IF($A234="","",VLOOKUP($A234,기본데이타!$A$8:$BV$103,COLUMN(기본데이타!BR$8),0))</f>
        <v/>
      </c>
      <c r="AE234" s="17" t="str">
        <f>IF($A234="","",VLOOKUP($A234,기본데이타!$A$8:$BV$103,COLUMN(기본데이타!BS$8),0))</f>
        <v/>
      </c>
      <c r="AF234" s="294" t="str">
        <f>IF($A234="","",VLOOKUP($A234,기본데이타!$A$8:$BV$103,COLUMN(기본데이타!BT$8),0))</f>
        <v/>
      </c>
      <c r="AG234" s="432" t="str">
        <f>IF($A234="","",VLOOKUP($A234,기본데이타!$A$8:$BV$103,COLUMN(기본데이타!BU$8),0))</f>
        <v/>
      </c>
      <c r="AH234" s="18" t="str">
        <f t="shared" si="47"/>
        <v/>
      </c>
    </row>
    <row r="235" spans="1:34" s="187" customFormat="1" ht="35.1" hidden="1" customHeight="1">
      <c r="A235" s="189"/>
      <c r="C235" s="190"/>
      <c r="D235" s="1209" t="str">
        <f>IF($A235="","",VLOOKUP($A235,기본데이타!$A$10:$BV$103,COLUMN(기본데이타!F$8),0))</f>
        <v/>
      </c>
      <c r="E235" s="252" t="str">
        <f>IF($A235="","",VLOOKUP($A235,기본데이타!$A$8:$BV$103,COLUMN(기본데이타!G$8),0))</f>
        <v/>
      </c>
      <c r="F235" s="15" t="str">
        <f>IF($A235="","",VLOOKUP($A235,기본데이타!$A$8:$BV$103,COLUMN(기본데이타!H$8),0))</f>
        <v/>
      </c>
      <c r="G235" s="15" t="str">
        <f>IF($A235="","",VLOOKUP($A235,기본데이타!$A$8:$BV$103,COLUMN(기본데이타!I$8),0))</f>
        <v/>
      </c>
      <c r="H235" s="15" t="str">
        <f>IF($A235="","",VLOOKUP($A235,기본데이타!$A$8:$BV$103,COLUMN(기본데이타!J$8),0))</f>
        <v/>
      </c>
      <c r="I235" s="17" t="str">
        <f>IF($A235="","",VLOOKUP($A235,기본데이타!$A$8:$BV$103,COLUMN(기본데이타!AJ$8),0))</f>
        <v/>
      </c>
      <c r="J235" s="381" t="str">
        <f>IF($A235="","",VLOOKUP($A235,기본데이타!$A$8:$BV$103,COLUMN(기본데이타!AK$8),0))</f>
        <v/>
      </c>
      <c r="K235" s="381" t="str">
        <f>IF($A235="","",VLOOKUP($A235,기본데이타!$A$8:$BV$103,COLUMN(기본데이타!AL$8),0))</f>
        <v/>
      </c>
      <c r="L235" s="381" t="str">
        <f>IF($A235="","",VLOOKUP($A235,기본데이타!$A$8:$BV$103,COLUMN(기본데이타!AM$8),0))</f>
        <v/>
      </c>
      <c r="M235" s="381" t="str">
        <f>IF($A235="","",VLOOKUP($A235,기본데이타!$A$8:$BV$103,COLUMN(기본데이타!AN$8),0))</f>
        <v/>
      </c>
      <c r="N235" s="381" t="str">
        <f>IF($A235="","",VLOOKUP($A235,기본데이타!$A$8:$BV$103,COLUMN(기본데이타!AO$8),0))</f>
        <v/>
      </c>
      <c r="O235" s="381" t="str">
        <f>IF($A235="","",VLOOKUP($A235,기본데이타!$A$8:$BV$103,COLUMN(기본데이타!AP$8),0))</f>
        <v/>
      </c>
      <c r="P235" s="381" t="str">
        <f>IF($A235="","",VLOOKUP($A235,기본데이타!$A$8:$BV$103,COLUMN(기본데이타!AQ$8),0))</f>
        <v/>
      </c>
      <c r="Q235" s="381" t="str">
        <f>IF($A235="","",VLOOKUP($A235,기본데이타!$A$8:$BV$103,COLUMN(기본데이타!AR$8),0))</f>
        <v/>
      </c>
      <c r="R235" s="381" t="str">
        <f>IF($A235="","",VLOOKUP($A235,기본데이타!$A$8:$BV$103,COLUMN(기본데이타!AS$8),0))</f>
        <v/>
      </c>
      <c r="S235" s="381" t="str">
        <f>IF($A235="","",VLOOKUP($A235,기본데이타!$A$8:$BV$103,COLUMN(기본데이타!AT$8),0))</f>
        <v/>
      </c>
      <c r="T235" s="381" t="str">
        <f>IF($A235="","",VLOOKUP($A235,기본데이타!$A$8:$BV$103,COLUMN(기본데이타!AU$8),0))</f>
        <v/>
      </c>
      <c r="U235" s="381" t="str">
        <f>IF($A235="","",VLOOKUP($A235,기본데이타!$A$8:$BV$103,COLUMN(기본데이타!AV$8),0))</f>
        <v/>
      </c>
      <c r="V235" s="16" t="str">
        <f>IF($A235="","",VLOOKUP($A235,기본데이타!$A$8:$BV$103,COLUMN(기본데이타!AW$8),0))</f>
        <v/>
      </c>
      <c r="W235" s="16" t="str">
        <f>IF($A235="","",VLOOKUP($A235,기본데이타!$A$8:$BV$103,COLUMN(기본데이타!AX$8),0))</f>
        <v/>
      </c>
      <c r="X235" s="16" t="str">
        <f>IF($A235="","",VLOOKUP($A235,기본데이타!$A$8:$BV$103,COLUMN(기본데이타!AY$8),0))</f>
        <v/>
      </c>
      <c r="Y235" s="16" t="str">
        <f>IF($A235="","",VLOOKUP($A235,기본데이타!$A$8:$BV$103,COLUMN(기본데이타!AZ$8),0))</f>
        <v/>
      </c>
      <c r="Z235" s="17" t="str">
        <f>IF($A235="","",VLOOKUP($A235,기본데이타!$A$8:$BV$103,COLUMN(기본데이타!BN$8),0))</f>
        <v/>
      </c>
      <c r="AA235" s="17" t="str">
        <f>IF($A235="","",VLOOKUP($A235,기본데이타!$A$8:$BV$103,COLUMN(기본데이타!BO$8),0))</f>
        <v/>
      </c>
      <c r="AB235" s="17" t="str">
        <f>IF($A235="","",VLOOKUP($A235,기본데이타!$A$8:$BV$103,COLUMN(기본데이타!BP$8),0))</f>
        <v/>
      </c>
      <c r="AC235" s="17" t="str">
        <f>IF($A235="","",VLOOKUP($A235,기본데이타!$A$8:$BV$103,COLUMN(기본데이타!BQ$8),0))</f>
        <v/>
      </c>
      <c r="AD235" s="17" t="str">
        <f>IF($A235="","",VLOOKUP($A235,기본데이타!$A$8:$BV$103,COLUMN(기본데이타!BR$8),0))</f>
        <v/>
      </c>
      <c r="AE235" s="17" t="str">
        <f>IF($A235="","",VLOOKUP($A235,기본데이타!$A$8:$BV$103,COLUMN(기본데이타!BS$8),0))</f>
        <v/>
      </c>
      <c r="AF235" s="294" t="str">
        <f>IF($A235="","",VLOOKUP($A235,기본데이타!$A$8:$BV$103,COLUMN(기본데이타!BT$8),0))</f>
        <v/>
      </c>
      <c r="AG235" s="432" t="str">
        <f>IF($A235="","",VLOOKUP($A235,기본데이타!$A$8:$BV$103,COLUMN(기본데이타!BU$8),0))</f>
        <v/>
      </c>
      <c r="AH235" s="18" t="str">
        <f t="shared" si="47"/>
        <v/>
      </c>
    </row>
    <row r="236" spans="1:34" s="187" customFormat="1" ht="35.1" hidden="1" customHeight="1">
      <c r="A236" s="189"/>
      <c r="C236" s="190"/>
      <c r="D236" s="1209" t="str">
        <f>IF($A236="","",VLOOKUP($A236,기본데이타!$A$10:$BV$103,COLUMN(기본데이타!F$8),0))</f>
        <v/>
      </c>
      <c r="E236" s="252" t="str">
        <f>IF($A236="","",VLOOKUP($A236,기본데이타!$A$8:$BV$103,COLUMN(기본데이타!G$8),0))</f>
        <v/>
      </c>
      <c r="F236" s="15" t="str">
        <f>IF($A236="","",VLOOKUP($A236,기본데이타!$A$8:$BV$103,COLUMN(기본데이타!H$8),0))</f>
        <v/>
      </c>
      <c r="G236" s="15" t="str">
        <f>IF($A236="","",VLOOKUP($A236,기본데이타!$A$8:$BV$103,COLUMN(기본데이타!I$8),0))</f>
        <v/>
      </c>
      <c r="H236" s="15" t="str">
        <f>IF($A236="","",VLOOKUP($A236,기본데이타!$A$8:$BV$103,COLUMN(기본데이타!J$8),0))</f>
        <v/>
      </c>
      <c r="I236" s="17" t="str">
        <f>IF($A236="","",VLOOKUP($A236,기본데이타!$A$8:$BV$103,COLUMN(기본데이타!AJ$8),0))</f>
        <v/>
      </c>
      <c r="J236" s="381" t="str">
        <f>IF($A236="","",VLOOKUP($A236,기본데이타!$A$8:$BV$103,COLUMN(기본데이타!AK$8),0))</f>
        <v/>
      </c>
      <c r="K236" s="381" t="str">
        <f>IF($A236="","",VLOOKUP($A236,기본데이타!$A$8:$BV$103,COLUMN(기본데이타!AL$8),0))</f>
        <v/>
      </c>
      <c r="L236" s="381" t="str">
        <f>IF($A236="","",VLOOKUP($A236,기본데이타!$A$8:$BV$103,COLUMN(기본데이타!AM$8),0))</f>
        <v/>
      </c>
      <c r="M236" s="381" t="str">
        <f>IF($A236="","",VLOOKUP($A236,기본데이타!$A$8:$BV$103,COLUMN(기본데이타!AN$8),0))</f>
        <v/>
      </c>
      <c r="N236" s="381" t="str">
        <f>IF($A236="","",VLOOKUP($A236,기본데이타!$A$8:$BV$103,COLUMN(기본데이타!AO$8),0))</f>
        <v/>
      </c>
      <c r="O236" s="381" t="str">
        <f>IF($A236="","",VLOOKUP($A236,기본데이타!$A$8:$BV$103,COLUMN(기본데이타!AP$8),0))</f>
        <v/>
      </c>
      <c r="P236" s="381" t="str">
        <f>IF($A236="","",VLOOKUP($A236,기본데이타!$A$8:$BV$103,COLUMN(기본데이타!AQ$8),0))</f>
        <v/>
      </c>
      <c r="Q236" s="381" t="str">
        <f>IF($A236="","",VLOOKUP($A236,기본데이타!$A$8:$BV$103,COLUMN(기본데이타!AR$8),0))</f>
        <v/>
      </c>
      <c r="R236" s="381" t="str">
        <f>IF($A236="","",VLOOKUP($A236,기본데이타!$A$8:$BV$103,COLUMN(기본데이타!AS$8),0))</f>
        <v/>
      </c>
      <c r="S236" s="381" t="str">
        <f>IF($A236="","",VLOOKUP($A236,기본데이타!$A$8:$BV$103,COLUMN(기본데이타!AT$8),0))</f>
        <v/>
      </c>
      <c r="T236" s="381" t="str">
        <f>IF($A236="","",VLOOKUP($A236,기본데이타!$A$8:$BV$103,COLUMN(기본데이타!AU$8),0))</f>
        <v/>
      </c>
      <c r="U236" s="381" t="str">
        <f>IF($A236="","",VLOOKUP($A236,기본데이타!$A$8:$BV$103,COLUMN(기본데이타!AV$8),0))</f>
        <v/>
      </c>
      <c r="V236" s="16" t="str">
        <f>IF($A236="","",VLOOKUP($A236,기본데이타!$A$8:$BV$103,COLUMN(기본데이타!AW$8),0))</f>
        <v/>
      </c>
      <c r="W236" s="16" t="str">
        <f>IF($A236="","",VLOOKUP($A236,기본데이타!$A$8:$BV$103,COLUMN(기본데이타!AX$8),0))</f>
        <v/>
      </c>
      <c r="X236" s="16" t="str">
        <f>IF($A236="","",VLOOKUP($A236,기본데이타!$A$8:$BV$103,COLUMN(기본데이타!AY$8),0))</f>
        <v/>
      </c>
      <c r="Y236" s="16" t="str">
        <f>IF($A236="","",VLOOKUP($A236,기본데이타!$A$8:$BV$103,COLUMN(기본데이타!AZ$8),0))</f>
        <v/>
      </c>
      <c r="Z236" s="17" t="str">
        <f>IF($A236="","",VLOOKUP($A236,기본데이타!$A$8:$BV$103,COLUMN(기본데이타!BN$8),0))</f>
        <v/>
      </c>
      <c r="AA236" s="17" t="str">
        <f>IF($A236="","",VLOOKUP($A236,기본데이타!$A$8:$BV$103,COLUMN(기본데이타!BO$8),0))</f>
        <v/>
      </c>
      <c r="AB236" s="17" t="str">
        <f>IF($A236="","",VLOOKUP($A236,기본데이타!$A$8:$BV$103,COLUMN(기본데이타!BP$8),0))</f>
        <v/>
      </c>
      <c r="AC236" s="17" t="str">
        <f>IF($A236="","",VLOOKUP($A236,기본데이타!$A$8:$BV$103,COLUMN(기본데이타!BQ$8),0))</f>
        <v/>
      </c>
      <c r="AD236" s="17" t="str">
        <f>IF($A236="","",VLOOKUP($A236,기본데이타!$A$8:$BV$103,COLUMN(기본데이타!BR$8),0))</f>
        <v/>
      </c>
      <c r="AE236" s="17" t="str">
        <f>IF($A236="","",VLOOKUP($A236,기본데이타!$A$8:$BV$103,COLUMN(기본데이타!BS$8),0))</f>
        <v/>
      </c>
      <c r="AF236" s="294" t="str">
        <f>IF($A236="","",VLOOKUP($A236,기본데이타!$A$8:$BV$103,COLUMN(기본데이타!BT$8),0))</f>
        <v/>
      </c>
      <c r="AG236" s="432" t="str">
        <f>IF($A236="","",VLOOKUP($A236,기본데이타!$A$8:$BV$103,COLUMN(기본데이타!BU$8),0))</f>
        <v/>
      </c>
      <c r="AH236" s="18" t="str">
        <f t="shared" si="47"/>
        <v/>
      </c>
    </row>
    <row r="237" spans="1:34" s="187" customFormat="1" ht="35.1" hidden="1" customHeight="1">
      <c r="A237" s="189"/>
      <c r="C237" s="190"/>
      <c r="D237" s="1209" t="str">
        <f>IF($A237="","",VLOOKUP($A237,기본데이타!$A$10:$BV$103,COLUMN(기본데이타!F$8),0))</f>
        <v/>
      </c>
      <c r="E237" s="252" t="str">
        <f>IF($A237="","",VLOOKUP($A237,기본데이타!$A$8:$BV$103,COLUMN(기본데이타!G$8),0))</f>
        <v/>
      </c>
      <c r="F237" s="15" t="str">
        <f>IF($A237="","",VLOOKUP($A237,기본데이타!$A$8:$BV$103,COLUMN(기본데이타!H$8),0))</f>
        <v/>
      </c>
      <c r="G237" s="15" t="str">
        <f>IF($A237="","",VLOOKUP($A237,기본데이타!$A$8:$BV$103,COLUMN(기본데이타!I$8),0))</f>
        <v/>
      </c>
      <c r="H237" s="15" t="str">
        <f>IF($A237="","",VLOOKUP($A237,기본데이타!$A$8:$BV$103,COLUMN(기본데이타!J$8),0))</f>
        <v/>
      </c>
      <c r="I237" s="17" t="str">
        <f>IF($A237="","",VLOOKUP($A237,기본데이타!$A$8:$BV$103,COLUMN(기본데이타!AJ$8),0))</f>
        <v/>
      </c>
      <c r="J237" s="381" t="str">
        <f>IF($A237="","",VLOOKUP($A237,기본데이타!$A$8:$BV$103,COLUMN(기본데이타!AK$8),0))</f>
        <v/>
      </c>
      <c r="K237" s="381" t="str">
        <f>IF($A237="","",VLOOKUP($A237,기본데이타!$A$8:$BV$103,COLUMN(기본데이타!AL$8),0))</f>
        <v/>
      </c>
      <c r="L237" s="381" t="str">
        <f>IF($A237="","",VLOOKUP($A237,기본데이타!$A$8:$BV$103,COLUMN(기본데이타!AM$8),0))</f>
        <v/>
      </c>
      <c r="M237" s="381" t="str">
        <f>IF($A237="","",VLOOKUP($A237,기본데이타!$A$8:$BV$103,COLUMN(기본데이타!AN$8),0))</f>
        <v/>
      </c>
      <c r="N237" s="381" t="str">
        <f>IF($A237="","",VLOOKUP($A237,기본데이타!$A$8:$BV$103,COLUMN(기본데이타!AO$8),0))</f>
        <v/>
      </c>
      <c r="O237" s="381" t="str">
        <f>IF($A237="","",VLOOKUP($A237,기본데이타!$A$8:$BV$103,COLUMN(기본데이타!AP$8),0))</f>
        <v/>
      </c>
      <c r="P237" s="381" t="str">
        <f>IF($A237="","",VLOOKUP($A237,기본데이타!$A$8:$BV$103,COLUMN(기본데이타!AQ$8),0))</f>
        <v/>
      </c>
      <c r="Q237" s="381" t="str">
        <f>IF($A237="","",VLOOKUP($A237,기본데이타!$A$8:$BV$103,COLUMN(기본데이타!AR$8),0))</f>
        <v/>
      </c>
      <c r="R237" s="381" t="str">
        <f>IF($A237="","",VLOOKUP($A237,기본데이타!$A$8:$BV$103,COLUMN(기본데이타!AS$8),0))</f>
        <v/>
      </c>
      <c r="S237" s="381" t="str">
        <f>IF($A237="","",VLOOKUP($A237,기본데이타!$A$8:$BV$103,COLUMN(기본데이타!AT$8),0))</f>
        <v/>
      </c>
      <c r="T237" s="381" t="str">
        <f>IF($A237="","",VLOOKUP($A237,기본데이타!$A$8:$BV$103,COLUMN(기본데이타!AU$8),0))</f>
        <v/>
      </c>
      <c r="U237" s="381" t="str">
        <f>IF($A237="","",VLOOKUP($A237,기본데이타!$A$8:$BV$103,COLUMN(기본데이타!AV$8),0))</f>
        <v/>
      </c>
      <c r="V237" s="16" t="str">
        <f>IF($A237="","",VLOOKUP($A237,기본데이타!$A$8:$BV$103,COLUMN(기본데이타!AW$8),0))</f>
        <v/>
      </c>
      <c r="W237" s="16" t="str">
        <f>IF($A237="","",VLOOKUP($A237,기본데이타!$A$8:$BV$103,COLUMN(기본데이타!AX$8),0))</f>
        <v/>
      </c>
      <c r="X237" s="16" t="str">
        <f>IF($A237="","",VLOOKUP($A237,기본데이타!$A$8:$BV$103,COLUMN(기본데이타!AY$8),0))</f>
        <v/>
      </c>
      <c r="Y237" s="16" t="str">
        <f>IF($A237="","",VLOOKUP($A237,기본데이타!$A$8:$BV$103,COLUMN(기본데이타!AZ$8),0))</f>
        <v/>
      </c>
      <c r="Z237" s="17" t="str">
        <f>IF($A237="","",VLOOKUP($A237,기본데이타!$A$8:$BV$103,COLUMN(기본데이타!BN$8),0))</f>
        <v/>
      </c>
      <c r="AA237" s="17" t="str">
        <f>IF($A237="","",VLOOKUP($A237,기본데이타!$A$8:$BV$103,COLUMN(기본데이타!BO$8),0))</f>
        <v/>
      </c>
      <c r="AB237" s="17" t="str">
        <f>IF($A237="","",VLOOKUP($A237,기본데이타!$A$8:$BV$103,COLUMN(기본데이타!BP$8),0))</f>
        <v/>
      </c>
      <c r="AC237" s="17" t="str">
        <f>IF($A237="","",VLOOKUP($A237,기본데이타!$A$8:$BV$103,COLUMN(기본데이타!BQ$8),0))</f>
        <v/>
      </c>
      <c r="AD237" s="17" t="str">
        <f>IF($A237="","",VLOOKUP($A237,기본데이타!$A$8:$BV$103,COLUMN(기본데이타!BR$8),0))</f>
        <v/>
      </c>
      <c r="AE237" s="17" t="str">
        <f>IF($A237="","",VLOOKUP($A237,기본데이타!$A$8:$BV$103,COLUMN(기본데이타!BS$8),0))</f>
        <v/>
      </c>
      <c r="AF237" s="294" t="str">
        <f>IF($A237="","",VLOOKUP($A237,기본데이타!$A$8:$BV$103,COLUMN(기본데이타!BT$8),0))</f>
        <v/>
      </c>
      <c r="AG237" s="432" t="str">
        <f>IF($A237="","",VLOOKUP($A237,기본데이타!$A$8:$BV$103,COLUMN(기본데이타!BU$8),0))</f>
        <v/>
      </c>
      <c r="AH237" s="18" t="str">
        <f t="shared" si="47"/>
        <v/>
      </c>
    </row>
    <row r="238" spans="1:34" s="187" customFormat="1" ht="35.1" hidden="1" customHeight="1">
      <c r="A238" s="189"/>
      <c r="C238" s="190"/>
      <c r="D238" s="1209" t="str">
        <f>IF($A238="","",VLOOKUP($A238,기본데이타!$A$10:$BV$103,COLUMN(기본데이타!F$8),0))</f>
        <v/>
      </c>
      <c r="E238" s="252" t="str">
        <f>IF($A238="","",VLOOKUP($A238,기본데이타!$A$8:$BV$103,COLUMN(기본데이타!G$8),0))</f>
        <v/>
      </c>
      <c r="F238" s="15" t="str">
        <f>IF($A238="","",VLOOKUP($A238,기본데이타!$A$8:$BV$103,COLUMN(기본데이타!H$8),0))</f>
        <v/>
      </c>
      <c r="G238" s="15" t="str">
        <f>IF($A238="","",VLOOKUP($A238,기본데이타!$A$8:$BV$103,COLUMN(기본데이타!I$8),0))</f>
        <v/>
      </c>
      <c r="H238" s="15" t="str">
        <f>IF($A238="","",VLOOKUP($A238,기본데이타!$A$8:$BV$103,COLUMN(기본데이타!J$8),0))</f>
        <v/>
      </c>
      <c r="I238" s="17" t="str">
        <f>IF($A238="","",VLOOKUP($A238,기본데이타!$A$8:$BV$103,COLUMN(기본데이타!AJ$8),0))</f>
        <v/>
      </c>
      <c r="J238" s="381" t="str">
        <f>IF($A238="","",VLOOKUP($A238,기본데이타!$A$8:$BV$103,COLUMN(기본데이타!AK$8),0))</f>
        <v/>
      </c>
      <c r="K238" s="381" t="str">
        <f>IF($A238="","",VLOOKUP($A238,기본데이타!$A$8:$BV$103,COLUMN(기본데이타!AL$8),0))</f>
        <v/>
      </c>
      <c r="L238" s="381" t="str">
        <f>IF($A238="","",VLOOKUP($A238,기본데이타!$A$8:$BV$103,COLUMN(기본데이타!AM$8),0))</f>
        <v/>
      </c>
      <c r="M238" s="381" t="str">
        <f>IF($A238="","",VLOOKUP($A238,기본데이타!$A$8:$BV$103,COLUMN(기본데이타!AN$8),0))</f>
        <v/>
      </c>
      <c r="N238" s="381" t="str">
        <f>IF($A238="","",VLOOKUP($A238,기본데이타!$A$8:$BV$103,COLUMN(기본데이타!AO$8),0))</f>
        <v/>
      </c>
      <c r="O238" s="381" t="str">
        <f>IF($A238="","",VLOOKUP($A238,기본데이타!$A$8:$BV$103,COLUMN(기본데이타!AP$8),0))</f>
        <v/>
      </c>
      <c r="P238" s="381" t="str">
        <f>IF($A238="","",VLOOKUP($A238,기본데이타!$A$8:$BV$103,COLUMN(기본데이타!AQ$8),0))</f>
        <v/>
      </c>
      <c r="Q238" s="381" t="str">
        <f>IF($A238="","",VLOOKUP($A238,기본데이타!$A$8:$BV$103,COLUMN(기본데이타!AR$8),0))</f>
        <v/>
      </c>
      <c r="R238" s="381" t="str">
        <f>IF($A238="","",VLOOKUP($A238,기본데이타!$A$8:$BV$103,COLUMN(기본데이타!AS$8),0))</f>
        <v/>
      </c>
      <c r="S238" s="381" t="str">
        <f>IF($A238="","",VLOOKUP($A238,기본데이타!$A$8:$BV$103,COLUMN(기본데이타!AT$8),0))</f>
        <v/>
      </c>
      <c r="T238" s="381" t="str">
        <f>IF($A238="","",VLOOKUP($A238,기본데이타!$A$8:$BV$103,COLUMN(기본데이타!AU$8),0))</f>
        <v/>
      </c>
      <c r="U238" s="381" t="str">
        <f>IF($A238="","",VLOOKUP($A238,기본데이타!$A$8:$BV$103,COLUMN(기본데이타!AV$8),0))</f>
        <v/>
      </c>
      <c r="V238" s="16" t="str">
        <f>IF($A238="","",VLOOKUP($A238,기본데이타!$A$8:$BV$103,COLUMN(기본데이타!AW$8),0))</f>
        <v/>
      </c>
      <c r="W238" s="16" t="str">
        <f>IF($A238="","",VLOOKUP($A238,기본데이타!$A$8:$BV$103,COLUMN(기본데이타!AX$8),0))</f>
        <v/>
      </c>
      <c r="X238" s="16" t="str">
        <f>IF($A238="","",VLOOKUP($A238,기본데이타!$A$8:$BV$103,COLUMN(기본데이타!AY$8),0))</f>
        <v/>
      </c>
      <c r="Y238" s="16" t="str">
        <f>IF($A238="","",VLOOKUP($A238,기본데이타!$A$8:$BV$103,COLUMN(기본데이타!AZ$8),0))</f>
        <v/>
      </c>
      <c r="Z238" s="17" t="str">
        <f>IF($A238="","",VLOOKUP($A238,기본데이타!$A$8:$BV$103,COLUMN(기본데이타!BN$8),0))</f>
        <v/>
      </c>
      <c r="AA238" s="17" t="str">
        <f>IF($A238="","",VLOOKUP($A238,기본데이타!$A$8:$BV$103,COLUMN(기본데이타!BO$8),0))</f>
        <v/>
      </c>
      <c r="AB238" s="17" t="str">
        <f>IF($A238="","",VLOOKUP($A238,기본데이타!$A$8:$BV$103,COLUMN(기본데이타!BP$8),0))</f>
        <v/>
      </c>
      <c r="AC238" s="17" t="str">
        <f>IF($A238="","",VLOOKUP($A238,기본데이타!$A$8:$BV$103,COLUMN(기본데이타!BQ$8),0))</f>
        <v/>
      </c>
      <c r="AD238" s="17" t="str">
        <f>IF($A238="","",VLOOKUP($A238,기본데이타!$A$8:$BV$103,COLUMN(기본데이타!BR$8),0))</f>
        <v/>
      </c>
      <c r="AE238" s="17" t="str">
        <f>IF($A238="","",VLOOKUP($A238,기본데이타!$A$8:$BV$103,COLUMN(기본데이타!BS$8),0))</f>
        <v/>
      </c>
      <c r="AF238" s="294" t="str">
        <f>IF($A238="","",VLOOKUP($A238,기본데이타!$A$8:$BV$103,COLUMN(기본데이타!BT$8),0))</f>
        <v/>
      </c>
      <c r="AG238" s="432" t="str">
        <f>IF($A238="","",VLOOKUP($A238,기본데이타!$A$8:$BV$103,COLUMN(기본데이타!BU$8),0))</f>
        <v/>
      </c>
      <c r="AH238" s="18" t="str">
        <f t="shared" si="47"/>
        <v/>
      </c>
    </row>
    <row r="239" spans="1:34" s="187" customFormat="1" ht="35.1" hidden="1" customHeight="1">
      <c r="A239" s="189"/>
      <c r="C239" s="190"/>
      <c r="D239" s="1209" t="str">
        <f>IF($A239="","",VLOOKUP($A239,기본데이타!$A$10:$BV$103,COLUMN(기본데이타!F$8),0))</f>
        <v/>
      </c>
      <c r="E239" s="252" t="str">
        <f>IF($A239="","",VLOOKUP($A239,기본데이타!$A$8:$BV$103,COLUMN(기본데이타!G$8),0))</f>
        <v/>
      </c>
      <c r="F239" s="15" t="str">
        <f>IF($A239="","",VLOOKUP($A239,기본데이타!$A$8:$BV$103,COLUMN(기본데이타!H$8),0))</f>
        <v/>
      </c>
      <c r="G239" s="15" t="str">
        <f>IF($A239="","",VLOOKUP($A239,기본데이타!$A$8:$BV$103,COLUMN(기본데이타!I$8),0))</f>
        <v/>
      </c>
      <c r="H239" s="15" t="str">
        <f>IF($A239="","",VLOOKUP($A239,기본데이타!$A$8:$BV$103,COLUMN(기본데이타!J$8),0))</f>
        <v/>
      </c>
      <c r="I239" s="17" t="str">
        <f>IF($A239="","",VLOOKUP($A239,기본데이타!$A$8:$BV$103,COLUMN(기본데이타!AJ$8),0))</f>
        <v/>
      </c>
      <c r="J239" s="381" t="str">
        <f>IF($A239="","",VLOOKUP($A239,기본데이타!$A$8:$BV$103,COLUMN(기본데이타!AK$8),0))</f>
        <v/>
      </c>
      <c r="K239" s="381" t="str">
        <f>IF($A239="","",VLOOKUP($A239,기본데이타!$A$8:$BV$103,COLUMN(기본데이타!AL$8),0))</f>
        <v/>
      </c>
      <c r="L239" s="381" t="str">
        <f>IF($A239="","",VLOOKUP($A239,기본데이타!$A$8:$BV$103,COLUMN(기본데이타!AM$8),0))</f>
        <v/>
      </c>
      <c r="M239" s="381" t="str">
        <f>IF($A239="","",VLOOKUP($A239,기본데이타!$A$8:$BV$103,COLUMN(기본데이타!AN$8),0))</f>
        <v/>
      </c>
      <c r="N239" s="381" t="str">
        <f>IF($A239="","",VLOOKUP($A239,기본데이타!$A$8:$BV$103,COLUMN(기본데이타!AO$8),0))</f>
        <v/>
      </c>
      <c r="O239" s="381" t="str">
        <f>IF($A239="","",VLOOKUP($A239,기본데이타!$A$8:$BV$103,COLUMN(기본데이타!AP$8),0))</f>
        <v/>
      </c>
      <c r="P239" s="381" t="str">
        <f>IF($A239="","",VLOOKUP($A239,기본데이타!$A$8:$BV$103,COLUMN(기본데이타!AQ$8),0))</f>
        <v/>
      </c>
      <c r="Q239" s="381" t="str">
        <f>IF($A239="","",VLOOKUP($A239,기본데이타!$A$8:$BV$103,COLUMN(기본데이타!AR$8),0))</f>
        <v/>
      </c>
      <c r="R239" s="381" t="str">
        <f>IF($A239="","",VLOOKUP($A239,기본데이타!$A$8:$BV$103,COLUMN(기본데이타!AS$8),0))</f>
        <v/>
      </c>
      <c r="S239" s="381" t="str">
        <f>IF($A239="","",VLOOKUP($A239,기본데이타!$A$8:$BV$103,COLUMN(기본데이타!AT$8),0))</f>
        <v/>
      </c>
      <c r="T239" s="381" t="str">
        <f>IF($A239="","",VLOOKUP($A239,기본데이타!$A$8:$BV$103,COLUMN(기본데이타!AU$8),0))</f>
        <v/>
      </c>
      <c r="U239" s="381" t="str">
        <f>IF($A239="","",VLOOKUP($A239,기본데이타!$A$8:$BV$103,COLUMN(기본데이타!AV$8),0))</f>
        <v/>
      </c>
      <c r="V239" s="16" t="str">
        <f>IF($A239="","",VLOOKUP($A239,기본데이타!$A$8:$BV$103,COLUMN(기본데이타!AW$8),0))</f>
        <v/>
      </c>
      <c r="W239" s="16" t="str">
        <f>IF($A239="","",VLOOKUP($A239,기본데이타!$A$8:$BV$103,COLUMN(기본데이타!AX$8),0))</f>
        <v/>
      </c>
      <c r="X239" s="16" t="str">
        <f>IF($A239="","",VLOOKUP($A239,기본데이타!$A$8:$BV$103,COLUMN(기본데이타!AY$8),0))</f>
        <v/>
      </c>
      <c r="Y239" s="16" t="str">
        <f>IF($A239="","",VLOOKUP($A239,기본데이타!$A$8:$BV$103,COLUMN(기본데이타!AZ$8),0))</f>
        <v/>
      </c>
      <c r="Z239" s="17" t="str">
        <f>IF($A239="","",VLOOKUP($A239,기본데이타!$A$8:$BV$103,COLUMN(기본데이타!BN$8),0))</f>
        <v/>
      </c>
      <c r="AA239" s="17" t="str">
        <f>IF($A239="","",VLOOKUP($A239,기본데이타!$A$8:$BV$103,COLUMN(기본데이타!BO$8),0))</f>
        <v/>
      </c>
      <c r="AB239" s="17" t="str">
        <f>IF($A239="","",VLOOKUP($A239,기본데이타!$A$8:$BV$103,COLUMN(기본데이타!BP$8),0))</f>
        <v/>
      </c>
      <c r="AC239" s="17" t="str">
        <f>IF($A239="","",VLOOKUP($A239,기본데이타!$A$8:$BV$103,COLUMN(기본데이타!BQ$8),0))</f>
        <v/>
      </c>
      <c r="AD239" s="17" t="str">
        <f>IF($A239="","",VLOOKUP($A239,기본데이타!$A$8:$BV$103,COLUMN(기본데이타!BR$8),0))</f>
        <v/>
      </c>
      <c r="AE239" s="17" t="str">
        <f>IF($A239="","",VLOOKUP($A239,기본데이타!$A$8:$BV$103,COLUMN(기본데이타!BS$8),0))</f>
        <v/>
      </c>
      <c r="AF239" s="294" t="str">
        <f>IF($A239="","",VLOOKUP($A239,기본데이타!$A$8:$BV$103,COLUMN(기본데이타!BT$8),0))</f>
        <v/>
      </c>
      <c r="AG239" s="432" t="str">
        <f>IF($A239="","",VLOOKUP($A239,기본데이타!$A$8:$BV$103,COLUMN(기본데이타!BU$8),0))</f>
        <v/>
      </c>
      <c r="AH239" s="18" t="str">
        <f t="shared" si="47"/>
        <v/>
      </c>
    </row>
    <row r="240" spans="1:34" s="187" customFormat="1" ht="35.1" hidden="1" customHeight="1">
      <c r="A240" s="189"/>
      <c r="C240" s="190"/>
      <c r="D240" s="1209" t="str">
        <f>IF($A240="","",VLOOKUP($A240,기본데이타!$A$10:$BV$103,COLUMN(기본데이타!F$8),0))</f>
        <v/>
      </c>
      <c r="E240" s="252" t="str">
        <f>IF($A240="","",VLOOKUP($A240,기본데이타!$A$8:$BV$103,COLUMN(기본데이타!G$8),0))</f>
        <v/>
      </c>
      <c r="F240" s="15" t="str">
        <f>IF($A240="","",VLOOKUP($A240,기본데이타!$A$8:$BV$103,COLUMN(기본데이타!H$8),0))</f>
        <v/>
      </c>
      <c r="G240" s="15" t="str">
        <f>IF($A240="","",VLOOKUP($A240,기본데이타!$A$8:$BV$103,COLUMN(기본데이타!I$8),0))</f>
        <v/>
      </c>
      <c r="H240" s="15" t="str">
        <f>IF($A240="","",VLOOKUP($A240,기본데이타!$A$8:$BV$103,COLUMN(기본데이타!J$8),0))</f>
        <v/>
      </c>
      <c r="I240" s="17" t="str">
        <f>IF($A240="","",VLOOKUP($A240,기본데이타!$A$8:$BV$103,COLUMN(기본데이타!AJ$8),0))</f>
        <v/>
      </c>
      <c r="J240" s="381" t="str">
        <f>IF($A240="","",VLOOKUP($A240,기본데이타!$A$8:$BV$103,COLUMN(기본데이타!AK$8),0))</f>
        <v/>
      </c>
      <c r="K240" s="381" t="str">
        <f>IF($A240="","",VLOOKUP($A240,기본데이타!$A$8:$BV$103,COLUMN(기본데이타!AL$8),0))</f>
        <v/>
      </c>
      <c r="L240" s="381" t="str">
        <f>IF($A240="","",VLOOKUP($A240,기본데이타!$A$8:$BV$103,COLUMN(기본데이타!AM$8),0))</f>
        <v/>
      </c>
      <c r="M240" s="381" t="str">
        <f>IF($A240="","",VLOOKUP($A240,기본데이타!$A$8:$BV$103,COLUMN(기본데이타!AN$8),0))</f>
        <v/>
      </c>
      <c r="N240" s="381" t="str">
        <f>IF($A240="","",VLOOKUP($A240,기본데이타!$A$8:$BV$103,COLUMN(기본데이타!AO$8),0))</f>
        <v/>
      </c>
      <c r="O240" s="381" t="str">
        <f>IF($A240="","",VLOOKUP($A240,기본데이타!$A$8:$BV$103,COLUMN(기본데이타!AP$8),0))</f>
        <v/>
      </c>
      <c r="P240" s="381" t="str">
        <f>IF($A240="","",VLOOKUP($A240,기본데이타!$A$8:$BV$103,COLUMN(기본데이타!AQ$8),0))</f>
        <v/>
      </c>
      <c r="Q240" s="381" t="str">
        <f>IF($A240="","",VLOOKUP($A240,기본데이타!$A$8:$BV$103,COLUMN(기본데이타!AR$8),0))</f>
        <v/>
      </c>
      <c r="R240" s="381" t="str">
        <f>IF($A240="","",VLOOKUP($A240,기본데이타!$A$8:$BV$103,COLUMN(기본데이타!AS$8),0))</f>
        <v/>
      </c>
      <c r="S240" s="381" t="str">
        <f>IF($A240="","",VLOOKUP($A240,기본데이타!$A$8:$BV$103,COLUMN(기본데이타!AT$8),0))</f>
        <v/>
      </c>
      <c r="T240" s="381" t="str">
        <f>IF($A240="","",VLOOKUP($A240,기본데이타!$A$8:$BV$103,COLUMN(기본데이타!AU$8),0))</f>
        <v/>
      </c>
      <c r="U240" s="381" t="str">
        <f>IF($A240="","",VLOOKUP($A240,기본데이타!$A$8:$BV$103,COLUMN(기본데이타!AV$8),0))</f>
        <v/>
      </c>
      <c r="V240" s="16" t="str">
        <f>IF($A240="","",VLOOKUP($A240,기본데이타!$A$8:$BV$103,COLUMN(기본데이타!AW$8),0))</f>
        <v/>
      </c>
      <c r="W240" s="16" t="str">
        <f>IF($A240="","",VLOOKUP($A240,기본데이타!$A$8:$BV$103,COLUMN(기본데이타!AX$8),0))</f>
        <v/>
      </c>
      <c r="X240" s="16" t="str">
        <f>IF($A240="","",VLOOKUP($A240,기본데이타!$A$8:$BV$103,COLUMN(기본데이타!AY$8),0))</f>
        <v/>
      </c>
      <c r="Y240" s="16" t="str">
        <f>IF($A240="","",VLOOKUP($A240,기본데이타!$A$8:$BV$103,COLUMN(기본데이타!AZ$8),0))</f>
        <v/>
      </c>
      <c r="Z240" s="17" t="str">
        <f>IF($A240="","",VLOOKUP($A240,기본데이타!$A$8:$BV$103,COLUMN(기본데이타!BN$8),0))</f>
        <v/>
      </c>
      <c r="AA240" s="17" t="str">
        <f>IF($A240="","",VLOOKUP($A240,기본데이타!$A$8:$BV$103,COLUMN(기본데이타!BO$8),0))</f>
        <v/>
      </c>
      <c r="AB240" s="17" t="str">
        <f>IF($A240="","",VLOOKUP($A240,기본데이타!$A$8:$BV$103,COLUMN(기본데이타!BP$8),0))</f>
        <v/>
      </c>
      <c r="AC240" s="17" t="str">
        <f>IF($A240="","",VLOOKUP($A240,기본데이타!$A$8:$BV$103,COLUMN(기본데이타!BQ$8),0))</f>
        <v/>
      </c>
      <c r="AD240" s="17" t="str">
        <f>IF($A240="","",VLOOKUP($A240,기본데이타!$A$8:$BV$103,COLUMN(기본데이타!BR$8),0))</f>
        <v/>
      </c>
      <c r="AE240" s="17" t="str">
        <f>IF($A240="","",VLOOKUP($A240,기본데이타!$A$8:$BV$103,COLUMN(기본데이타!BS$8),0))</f>
        <v/>
      </c>
      <c r="AF240" s="294" t="str">
        <f>IF($A240="","",VLOOKUP($A240,기본데이타!$A$8:$BV$103,COLUMN(기본데이타!BT$8),0))</f>
        <v/>
      </c>
      <c r="AG240" s="432" t="str">
        <f>IF($A240="","",VLOOKUP($A240,기본데이타!$A$8:$BV$103,COLUMN(기본데이타!BU$8),0))</f>
        <v/>
      </c>
      <c r="AH240" s="18" t="str">
        <f t="shared" si="47"/>
        <v/>
      </c>
    </row>
    <row r="241" spans="1:35" s="187" customFormat="1" ht="35.1" hidden="1" customHeight="1">
      <c r="A241" s="189"/>
      <c r="C241" s="190"/>
      <c r="D241" s="1209" t="str">
        <f>IF($A241="","",VLOOKUP($A241,기본데이타!$A$10:$BV$103,COLUMN(기본데이타!F$8),0))</f>
        <v/>
      </c>
      <c r="E241" s="252" t="str">
        <f>IF($A241="","",VLOOKUP($A241,기본데이타!$A$8:$BV$103,COLUMN(기본데이타!G$8),0))</f>
        <v/>
      </c>
      <c r="F241" s="15" t="str">
        <f>IF($A241="","",VLOOKUP($A241,기본데이타!$A$8:$BV$103,COLUMN(기본데이타!H$8),0))</f>
        <v/>
      </c>
      <c r="G241" s="15" t="str">
        <f>IF($A241="","",VLOOKUP($A241,기본데이타!$A$8:$BV$103,COLUMN(기본데이타!I$8),0))</f>
        <v/>
      </c>
      <c r="H241" s="15" t="str">
        <f>IF($A241="","",VLOOKUP($A241,기본데이타!$A$8:$BV$103,COLUMN(기본데이타!J$8),0))</f>
        <v/>
      </c>
      <c r="I241" s="17" t="str">
        <f>IF($A241="","",VLOOKUP($A241,기본데이타!$A$8:$BV$103,COLUMN(기본데이타!AJ$8),0))</f>
        <v/>
      </c>
      <c r="J241" s="381" t="str">
        <f>IF($A241="","",VLOOKUP($A241,기본데이타!$A$8:$BV$103,COLUMN(기본데이타!AK$8),0))</f>
        <v/>
      </c>
      <c r="K241" s="381" t="str">
        <f>IF($A241="","",VLOOKUP($A241,기본데이타!$A$8:$BV$103,COLUMN(기본데이타!AL$8),0))</f>
        <v/>
      </c>
      <c r="L241" s="381" t="str">
        <f>IF($A241="","",VLOOKUP($A241,기본데이타!$A$8:$BV$103,COLUMN(기본데이타!AM$8),0))</f>
        <v/>
      </c>
      <c r="M241" s="381" t="str">
        <f>IF($A241="","",VLOOKUP($A241,기본데이타!$A$8:$BV$103,COLUMN(기본데이타!AN$8),0))</f>
        <v/>
      </c>
      <c r="N241" s="381" t="str">
        <f>IF($A241="","",VLOOKUP($A241,기본데이타!$A$8:$BV$103,COLUMN(기본데이타!AO$8),0))</f>
        <v/>
      </c>
      <c r="O241" s="381" t="str">
        <f>IF($A241="","",VLOOKUP($A241,기본데이타!$A$8:$BV$103,COLUMN(기본데이타!AP$8),0))</f>
        <v/>
      </c>
      <c r="P241" s="381" t="str">
        <f>IF($A241="","",VLOOKUP($A241,기본데이타!$A$8:$BV$103,COLUMN(기본데이타!AQ$8),0))</f>
        <v/>
      </c>
      <c r="Q241" s="381" t="str">
        <f>IF($A241="","",VLOOKUP($A241,기본데이타!$A$8:$BV$103,COLUMN(기본데이타!AR$8),0))</f>
        <v/>
      </c>
      <c r="R241" s="381" t="str">
        <f>IF($A241="","",VLOOKUP($A241,기본데이타!$A$8:$BV$103,COLUMN(기본데이타!AS$8),0))</f>
        <v/>
      </c>
      <c r="S241" s="381" t="str">
        <f>IF($A241="","",VLOOKUP($A241,기본데이타!$A$8:$BV$103,COLUMN(기본데이타!AT$8),0))</f>
        <v/>
      </c>
      <c r="T241" s="381" t="str">
        <f>IF($A241="","",VLOOKUP($A241,기본데이타!$A$8:$BV$103,COLUMN(기본데이타!AU$8),0))</f>
        <v/>
      </c>
      <c r="U241" s="381" t="str">
        <f>IF($A241="","",VLOOKUP($A241,기본데이타!$A$8:$BV$103,COLUMN(기본데이타!AV$8),0))</f>
        <v/>
      </c>
      <c r="V241" s="16" t="str">
        <f>IF($A241="","",VLOOKUP($A241,기본데이타!$A$8:$BV$103,COLUMN(기본데이타!AW$8),0))</f>
        <v/>
      </c>
      <c r="W241" s="16" t="str">
        <f>IF($A241="","",VLOOKUP($A241,기본데이타!$A$8:$BV$103,COLUMN(기본데이타!AX$8),0))</f>
        <v/>
      </c>
      <c r="X241" s="16" t="str">
        <f>IF($A241="","",VLOOKUP($A241,기본데이타!$A$8:$BV$103,COLUMN(기본데이타!AY$8),0))</f>
        <v/>
      </c>
      <c r="Y241" s="16" t="str">
        <f>IF($A241="","",VLOOKUP($A241,기본데이타!$A$8:$BV$103,COLUMN(기본데이타!AZ$8),0))</f>
        <v/>
      </c>
      <c r="Z241" s="17" t="str">
        <f>IF($A241="","",VLOOKUP($A241,기본데이타!$A$8:$BV$103,COLUMN(기본데이타!BN$8),0))</f>
        <v/>
      </c>
      <c r="AA241" s="17" t="str">
        <f>IF($A241="","",VLOOKUP($A241,기본데이타!$A$8:$BV$103,COLUMN(기본데이타!BO$8),0))</f>
        <v/>
      </c>
      <c r="AB241" s="17" t="str">
        <f>IF($A241="","",VLOOKUP($A241,기본데이타!$A$8:$BV$103,COLUMN(기본데이타!BP$8),0))</f>
        <v/>
      </c>
      <c r="AC241" s="17" t="str">
        <f>IF($A241="","",VLOOKUP($A241,기본데이타!$A$8:$BV$103,COLUMN(기본데이타!BQ$8),0))</f>
        <v/>
      </c>
      <c r="AD241" s="17" t="str">
        <f>IF($A241="","",VLOOKUP($A241,기본데이타!$A$8:$BV$103,COLUMN(기본데이타!BR$8),0))</f>
        <v/>
      </c>
      <c r="AE241" s="17" t="str">
        <f>IF($A241="","",VLOOKUP($A241,기본데이타!$A$8:$BV$103,COLUMN(기본데이타!BS$8),0))</f>
        <v/>
      </c>
      <c r="AF241" s="294" t="str">
        <f>IF($A241="","",VLOOKUP($A241,기본데이타!$A$8:$BV$103,COLUMN(기본데이타!BT$8),0))</f>
        <v/>
      </c>
      <c r="AG241" s="432" t="str">
        <f>IF($A241="","",VLOOKUP($A241,기본데이타!$A$8:$BV$103,COLUMN(기본데이타!BU$8),0))</f>
        <v/>
      </c>
      <c r="AH241" s="18" t="str">
        <f t="shared" si="47"/>
        <v/>
      </c>
    </row>
    <row r="242" spans="1:35" s="187" customFormat="1" ht="35.1" hidden="1" customHeight="1">
      <c r="A242" s="189"/>
      <c r="C242" s="190"/>
      <c r="D242" s="1209" t="str">
        <f>IF($A242="","",VLOOKUP($A242,기본데이타!$A$10:$BV$103,COLUMN(기본데이타!F$8),0))</f>
        <v/>
      </c>
      <c r="E242" s="252" t="str">
        <f>IF($A242="","",VLOOKUP($A242,기본데이타!$A$8:$BV$103,COLUMN(기본데이타!G$8),0))</f>
        <v/>
      </c>
      <c r="F242" s="15" t="str">
        <f>IF($A242="","",VLOOKUP($A242,기본데이타!$A$8:$BV$103,COLUMN(기본데이타!H$8),0))</f>
        <v/>
      </c>
      <c r="G242" s="15" t="str">
        <f>IF($A242="","",VLOOKUP($A242,기본데이타!$A$8:$BV$103,COLUMN(기본데이타!I$8),0))</f>
        <v/>
      </c>
      <c r="H242" s="15" t="str">
        <f>IF($A242="","",VLOOKUP($A242,기본데이타!$A$8:$BV$103,COLUMN(기본데이타!J$8),0))</f>
        <v/>
      </c>
      <c r="I242" s="17" t="str">
        <f>IF($A242="","",VLOOKUP($A242,기본데이타!$A$8:$BV$103,COLUMN(기본데이타!AJ$8),0))</f>
        <v/>
      </c>
      <c r="J242" s="381" t="str">
        <f>IF($A242="","",VLOOKUP($A242,기본데이타!$A$8:$BV$103,COLUMN(기본데이타!AK$8),0))</f>
        <v/>
      </c>
      <c r="K242" s="381" t="str">
        <f>IF($A242="","",VLOOKUP($A242,기본데이타!$A$8:$BV$103,COLUMN(기본데이타!AL$8),0))</f>
        <v/>
      </c>
      <c r="L242" s="381" t="str">
        <f>IF($A242="","",VLOOKUP($A242,기본데이타!$A$8:$BV$103,COLUMN(기본데이타!AM$8),0))</f>
        <v/>
      </c>
      <c r="M242" s="381" t="str">
        <f>IF($A242="","",VLOOKUP($A242,기본데이타!$A$8:$BV$103,COLUMN(기본데이타!AN$8),0))</f>
        <v/>
      </c>
      <c r="N242" s="381" t="str">
        <f>IF($A242="","",VLOOKUP($A242,기본데이타!$A$8:$BV$103,COLUMN(기본데이타!AO$8),0))</f>
        <v/>
      </c>
      <c r="O242" s="381" t="str">
        <f>IF($A242="","",VLOOKUP($A242,기본데이타!$A$8:$BV$103,COLUMN(기본데이타!AP$8),0))</f>
        <v/>
      </c>
      <c r="P242" s="381" t="str">
        <f>IF($A242="","",VLOOKUP($A242,기본데이타!$A$8:$BV$103,COLUMN(기본데이타!AQ$8),0))</f>
        <v/>
      </c>
      <c r="Q242" s="381" t="str">
        <f>IF($A242="","",VLOOKUP($A242,기본데이타!$A$8:$BV$103,COLUMN(기본데이타!AR$8),0))</f>
        <v/>
      </c>
      <c r="R242" s="381" t="str">
        <f>IF($A242="","",VLOOKUP($A242,기본데이타!$A$8:$BV$103,COLUMN(기본데이타!AS$8),0))</f>
        <v/>
      </c>
      <c r="S242" s="381" t="str">
        <f>IF($A242="","",VLOOKUP($A242,기본데이타!$A$8:$BV$103,COLUMN(기본데이타!AT$8),0))</f>
        <v/>
      </c>
      <c r="T242" s="381" t="str">
        <f>IF($A242="","",VLOOKUP($A242,기본데이타!$A$8:$BV$103,COLUMN(기본데이타!AU$8),0))</f>
        <v/>
      </c>
      <c r="U242" s="381" t="str">
        <f>IF($A242="","",VLOOKUP($A242,기본데이타!$A$8:$BV$103,COLUMN(기본데이타!AV$8),0))</f>
        <v/>
      </c>
      <c r="V242" s="16" t="str">
        <f>IF($A242="","",VLOOKUP($A242,기본데이타!$A$8:$BV$103,COLUMN(기본데이타!AW$8),0))</f>
        <v/>
      </c>
      <c r="W242" s="16" t="str">
        <f>IF($A242="","",VLOOKUP($A242,기본데이타!$A$8:$BV$103,COLUMN(기본데이타!AX$8),0))</f>
        <v/>
      </c>
      <c r="X242" s="16" t="str">
        <f>IF($A242="","",VLOOKUP($A242,기본데이타!$A$8:$BV$103,COLUMN(기본데이타!AY$8),0))</f>
        <v/>
      </c>
      <c r="Y242" s="16" t="str">
        <f>IF($A242="","",VLOOKUP($A242,기본데이타!$A$8:$BV$103,COLUMN(기본데이타!AZ$8),0))</f>
        <v/>
      </c>
      <c r="Z242" s="17" t="str">
        <f>IF($A242="","",VLOOKUP($A242,기본데이타!$A$8:$BV$103,COLUMN(기본데이타!BN$8),0))</f>
        <v/>
      </c>
      <c r="AA242" s="17" t="str">
        <f>IF($A242="","",VLOOKUP($A242,기본데이타!$A$8:$BV$103,COLUMN(기본데이타!BO$8),0))</f>
        <v/>
      </c>
      <c r="AB242" s="17" t="str">
        <f>IF($A242="","",VLOOKUP($A242,기본데이타!$A$8:$BV$103,COLUMN(기본데이타!BP$8),0))</f>
        <v/>
      </c>
      <c r="AC242" s="17" t="str">
        <f>IF($A242="","",VLOOKUP($A242,기본데이타!$A$8:$BV$103,COLUMN(기본데이타!BQ$8),0))</f>
        <v/>
      </c>
      <c r="AD242" s="17" t="str">
        <f>IF($A242="","",VLOOKUP($A242,기본데이타!$A$8:$BV$103,COLUMN(기본데이타!BR$8),0))</f>
        <v/>
      </c>
      <c r="AE242" s="17" t="str">
        <f>IF($A242="","",VLOOKUP($A242,기본데이타!$A$8:$BV$103,COLUMN(기본데이타!BS$8),0))</f>
        <v/>
      </c>
      <c r="AF242" s="294" t="str">
        <f>IF($A242="","",VLOOKUP($A242,기본데이타!$A$8:$BV$103,COLUMN(기본데이타!BT$8),0))</f>
        <v/>
      </c>
      <c r="AG242" s="432" t="str">
        <f>IF($A242="","",VLOOKUP($A242,기본데이타!$A$8:$BV$103,COLUMN(기본데이타!BU$8),0))</f>
        <v/>
      </c>
      <c r="AH242" s="18" t="str">
        <f t="shared" si="47"/>
        <v/>
      </c>
    </row>
    <row r="243" spans="1:35" s="187" customFormat="1" ht="35.1" hidden="1" customHeight="1">
      <c r="A243" s="189"/>
      <c r="C243" s="190"/>
      <c r="D243" s="1209" t="str">
        <f>IF($A243="","",VLOOKUP($A243,기본데이타!$A$10:$BV$103,COLUMN(기본데이타!F$8),0))</f>
        <v/>
      </c>
      <c r="E243" s="252" t="str">
        <f>IF($A243="","",VLOOKUP($A243,기본데이타!$A$8:$BV$103,COLUMN(기본데이타!G$8),0))</f>
        <v/>
      </c>
      <c r="F243" s="15" t="str">
        <f>IF($A243="","",VLOOKUP($A243,기본데이타!$A$8:$BV$103,COLUMN(기본데이타!H$8),0))</f>
        <v/>
      </c>
      <c r="G243" s="15" t="str">
        <f>IF($A243="","",VLOOKUP($A243,기본데이타!$A$8:$BV$103,COLUMN(기본데이타!I$8),0))</f>
        <v/>
      </c>
      <c r="H243" s="15" t="str">
        <f>IF($A243="","",VLOOKUP($A243,기본데이타!$A$8:$BV$103,COLUMN(기본데이타!J$8),0))</f>
        <v/>
      </c>
      <c r="I243" s="17" t="str">
        <f>IF($A243="","",VLOOKUP($A243,기본데이타!$A$8:$BV$103,COLUMN(기본데이타!AJ$8),0))</f>
        <v/>
      </c>
      <c r="J243" s="381" t="str">
        <f>IF($A243="","",VLOOKUP($A243,기본데이타!$A$8:$BV$103,COLUMN(기본데이타!AK$8),0))</f>
        <v/>
      </c>
      <c r="K243" s="381" t="str">
        <f>IF($A243="","",VLOOKUP($A243,기본데이타!$A$8:$BV$103,COLUMN(기본데이타!AL$8),0))</f>
        <v/>
      </c>
      <c r="L243" s="381" t="str">
        <f>IF($A243="","",VLOOKUP($A243,기본데이타!$A$8:$BV$103,COLUMN(기본데이타!AM$8),0))</f>
        <v/>
      </c>
      <c r="M243" s="381" t="str">
        <f>IF($A243="","",VLOOKUP($A243,기본데이타!$A$8:$BV$103,COLUMN(기본데이타!AN$8),0))</f>
        <v/>
      </c>
      <c r="N243" s="381" t="str">
        <f>IF($A243="","",VLOOKUP($A243,기본데이타!$A$8:$BV$103,COLUMN(기본데이타!AO$8),0))</f>
        <v/>
      </c>
      <c r="O243" s="381" t="str">
        <f>IF($A243="","",VLOOKUP($A243,기본데이타!$A$8:$BV$103,COLUMN(기본데이타!AP$8),0))</f>
        <v/>
      </c>
      <c r="P243" s="381" t="str">
        <f>IF($A243="","",VLOOKUP($A243,기본데이타!$A$8:$BV$103,COLUMN(기본데이타!AQ$8),0))</f>
        <v/>
      </c>
      <c r="Q243" s="381" t="str">
        <f>IF($A243="","",VLOOKUP($A243,기본데이타!$A$8:$BV$103,COLUMN(기본데이타!AR$8),0))</f>
        <v/>
      </c>
      <c r="R243" s="381" t="str">
        <f>IF($A243="","",VLOOKUP($A243,기본데이타!$A$8:$BV$103,COLUMN(기본데이타!AS$8),0))</f>
        <v/>
      </c>
      <c r="S243" s="381" t="str">
        <f>IF($A243="","",VLOOKUP($A243,기본데이타!$A$8:$BV$103,COLUMN(기본데이타!AT$8),0))</f>
        <v/>
      </c>
      <c r="T243" s="381" t="str">
        <f>IF($A243="","",VLOOKUP($A243,기본데이타!$A$8:$BV$103,COLUMN(기본데이타!AU$8),0))</f>
        <v/>
      </c>
      <c r="U243" s="381" t="str">
        <f>IF($A243="","",VLOOKUP($A243,기본데이타!$A$8:$BV$103,COLUMN(기본데이타!AV$8),0))</f>
        <v/>
      </c>
      <c r="V243" s="16" t="str">
        <f>IF($A243="","",VLOOKUP($A243,기본데이타!$A$8:$BV$103,COLUMN(기본데이타!AW$8),0))</f>
        <v/>
      </c>
      <c r="W243" s="16" t="str">
        <f>IF($A243="","",VLOOKUP($A243,기본데이타!$A$8:$BV$103,COLUMN(기본데이타!AX$8),0))</f>
        <v/>
      </c>
      <c r="X243" s="16" t="str">
        <f>IF($A243="","",VLOOKUP($A243,기본데이타!$A$8:$BV$103,COLUMN(기본데이타!AY$8),0))</f>
        <v/>
      </c>
      <c r="Y243" s="16" t="str">
        <f>IF($A243="","",VLOOKUP($A243,기본데이타!$A$8:$BV$103,COLUMN(기본데이타!AZ$8),0))</f>
        <v/>
      </c>
      <c r="Z243" s="17" t="str">
        <f>IF($A243="","",VLOOKUP($A243,기본데이타!$A$8:$BV$103,COLUMN(기본데이타!BN$8),0))</f>
        <v/>
      </c>
      <c r="AA243" s="17" t="str">
        <f>IF($A243="","",VLOOKUP($A243,기본데이타!$A$8:$BV$103,COLUMN(기본데이타!BO$8),0))</f>
        <v/>
      </c>
      <c r="AB243" s="17" t="str">
        <f>IF($A243="","",VLOOKUP($A243,기본데이타!$A$8:$BV$103,COLUMN(기본데이타!BP$8),0))</f>
        <v/>
      </c>
      <c r="AC243" s="17" t="str">
        <f>IF($A243="","",VLOOKUP($A243,기본데이타!$A$8:$BV$103,COLUMN(기본데이타!BQ$8),0))</f>
        <v/>
      </c>
      <c r="AD243" s="17" t="str">
        <f>IF($A243="","",VLOOKUP($A243,기본데이타!$A$8:$BV$103,COLUMN(기본데이타!BR$8),0))</f>
        <v/>
      </c>
      <c r="AE243" s="17" t="str">
        <f>IF($A243="","",VLOOKUP($A243,기본데이타!$A$8:$BV$103,COLUMN(기본데이타!BS$8),0))</f>
        <v/>
      </c>
      <c r="AF243" s="294" t="str">
        <f>IF($A243="","",VLOOKUP($A243,기본데이타!$A$8:$BV$103,COLUMN(기본데이타!BT$8),0))</f>
        <v/>
      </c>
      <c r="AG243" s="432" t="str">
        <f>IF($A243="","",VLOOKUP($A243,기본데이타!$A$8:$BV$103,COLUMN(기본데이타!BU$8),0))</f>
        <v/>
      </c>
      <c r="AH243" s="18" t="str">
        <f t="shared" si="47"/>
        <v/>
      </c>
    </row>
    <row r="244" spans="1:35" s="187" customFormat="1" ht="35.1" hidden="1" customHeight="1">
      <c r="A244" s="189"/>
      <c r="C244" s="190"/>
      <c r="D244" s="1209" t="str">
        <f>IF($A244="","",VLOOKUP($A244,기본데이타!$A$10:$BV$103,COLUMN(기본데이타!F$8),0))</f>
        <v/>
      </c>
      <c r="E244" s="252" t="str">
        <f>IF($A244="","",VLOOKUP($A244,기본데이타!$A$8:$BV$103,COLUMN(기본데이타!G$8),0))</f>
        <v/>
      </c>
      <c r="F244" s="15" t="str">
        <f>IF($A244="","",VLOOKUP($A244,기본데이타!$A$8:$BV$103,COLUMN(기본데이타!H$8),0))</f>
        <v/>
      </c>
      <c r="G244" s="15" t="str">
        <f>IF($A244="","",VLOOKUP($A244,기본데이타!$A$8:$BV$103,COLUMN(기본데이타!I$8),0))</f>
        <v/>
      </c>
      <c r="H244" s="15" t="str">
        <f>IF($A244="","",VLOOKUP($A244,기본데이타!$A$8:$BV$103,COLUMN(기본데이타!J$8),0))</f>
        <v/>
      </c>
      <c r="I244" s="17" t="str">
        <f>IF($A244="","",VLOOKUP($A244,기본데이타!$A$8:$BV$103,COLUMN(기본데이타!AJ$8),0))</f>
        <v/>
      </c>
      <c r="J244" s="381" t="str">
        <f>IF($A244="","",VLOOKUP($A244,기본데이타!$A$8:$BV$103,COLUMN(기본데이타!AK$8),0))</f>
        <v/>
      </c>
      <c r="K244" s="381" t="str">
        <f>IF($A244="","",VLOOKUP($A244,기본데이타!$A$8:$BV$103,COLUMN(기본데이타!AL$8),0))</f>
        <v/>
      </c>
      <c r="L244" s="381" t="str">
        <f>IF($A244="","",VLOOKUP($A244,기본데이타!$A$8:$BV$103,COLUMN(기본데이타!AM$8),0))</f>
        <v/>
      </c>
      <c r="M244" s="381" t="str">
        <f>IF($A244="","",VLOOKUP($A244,기본데이타!$A$8:$BV$103,COLUMN(기본데이타!AN$8),0))</f>
        <v/>
      </c>
      <c r="N244" s="381" t="str">
        <f>IF($A244="","",VLOOKUP($A244,기본데이타!$A$8:$BV$103,COLUMN(기본데이타!AO$8),0))</f>
        <v/>
      </c>
      <c r="O244" s="381" t="str">
        <f>IF($A244="","",VLOOKUP($A244,기본데이타!$A$8:$BV$103,COLUMN(기본데이타!AP$8),0))</f>
        <v/>
      </c>
      <c r="P244" s="381" t="str">
        <f>IF($A244="","",VLOOKUP($A244,기본데이타!$A$8:$BV$103,COLUMN(기본데이타!AQ$8),0))</f>
        <v/>
      </c>
      <c r="Q244" s="381" t="str">
        <f>IF($A244="","",VLOOKUP($A244,기본데이타!$A$8:$BV$103,COLUMN(기본데이타!AR$8),0))</f>
        <v/>
      </c>
      <c r="R244" s="381" t="str">
        <f>IF($A244="","",VLOOKUP($A244,기본데이타!$A$8:$BV$103,COLUMN(기본데이타!AS$8),0))</f>
        <v/>
      </c>
      <c r="S244" s="381" t="str">
        <f>IF($A244="","",VLOOKUP($A244,기본데이타!$A$8:$BV$103,COLUMN(기본데이타!AT$8),0))</f>
        <v/>
      </c>
      <c r="T244" s="381" t="str">
        <f>IF($A244="","",VLOOKUP($A244,기본데이타!$A$8:$BV$103,COLUMN(기본데이타!AU$8),0))</f>
        <v/>
      </c>
      <c r="U244" s="381" t="str">
        <f>IF($A244="","",VLOOKUP($A244,기본데이타!$A$8:$BV$103,COLUMN(기본데이타!AV$8),0))</f>
        <v/>
      </c>
      <c r="V244" s="16" t="str">
        <f>IF($A244="","",VLOOKUP($A244,기본데이타!$A$8:$BV$103,COLUMN(기본데이타!AW$8),0))</f>
        <v/>
      </c>
      <c r="W244" s="16" t="str">
        <f>IF($A244="","",VLOOKUP($A244,기본데이타!$A$8:$BV$103,COLUMN(기본데이타!AX$8),0))</f>
        <v/>
      </c>
      <c r="X244" s="16" t="str">
        <f>IF($A244="","",VLOOKUP($A244,기본데이타!$A$8:$BV$103,COLUMN(기본데이타!AY$8),0))</f>
        <v/>
      </c>
      <c r="Y244" s="16" t="str">
        <f>IF($A244="","",VLOOKUP($A244,기본데이타!$A$8:$BV$103,COLUMN(기본데이타!AZ$8),0))</f>
        <v/>
      </c>
      <c r="Z244" s="17" t="str">
        <f>IF($A244="","",VLOOKUP($A244,기본데이타!$A$8:$BV$103,COLUMN(기본데이타!BN$8),0))</f>
        <v/>
      </c>
      <c r="AA244" s="17" t="str">
        <f>IF($A244="","",VLOOKUP($A244,기본데이타!$A$8:$BV$103,COLUMN(기본데이타!BO$8),0))</f>
        <v/>
      </c>
      <c r="AB244" s="17" t="str">
        <f>IF($A244="","",VLOOKUP($A244,기본데이타!$A$8:$BV$103,COLUMN(기본데이타!BP$8),0))</f>
        <v/>
      </c>
      <c r="AC244" s="17" t="str">
        <f>IF($A244="","",VLOOKUP($A244,기본데이타!$A$8:$BV$103,COLUMN(기본데이타!BQ$8),0))</f>
        <v/>
      </c>
      <c r="AD244" s="17" t="str">
        <f>IF($A244="","",VLOOKUP($A244,기본데이타!$A$8:$BV$103,COLUMN(기본데이타!BR$8),0))</f>
        <v/>
      </c>
      <c r="AE244" s="17" t="str">
        <f>IF($A244="","",VLOOKUP($A244,기본데이타!$A$8:$BV$103,COLUMN(기본데이타!BS$8),0))</f>
        <v/>
      </c>
      <c r="AF244" s="294" t="str">
        <f>IF($A244="","",VLOOKUP($A244,기본데이타!$A$8:$BV$103,COLUMN(기본데이타!BT$8),0))</f>
        <v/>
      </c>
      <c r="AG244" s="432" t="str">
        <f>IF($A244="","",VLOOKUP($A244,기본데이타!$A$8:$BV$103,COLUMN(기본데이타!BU$8),0))</f>
        <v/>
      </c>
      <c r="AH244" s="18" t="str">
        <f t="shared" si="47"/>
        <v/>
      </c>
    </row>
    <row r="245" spans="1:35" s="187" customFormat="1" ht="35.1" hidden="1" customHeight="1">
      <c r="A245" s="189"/>
      <c r="C245" s="190"/>
      <c r="D245" s="1209" t="str">
        <f>IF($A245="","",VLOOKUP($A245,기본데이타!$A$10:$BV$103,COLUMN(기본데이타!F$8),0))</f>
        <v/>
      </c>
      <c r="E245" s="252" t="str">
        <f>IF($A245="","",VLOOKUP($A245,기본데이타!$A$8:$BV$103,COLUMN(기본데이타!G$8),0))</f>
        <v/>
      </c>
      <c r="F245" s="15" t="str">
        <f>IF($A245="","",VLOOKUP($A245,기본데이타!$A$8:$BV$103,COLUMN(기본데이타!H$8),0))</f>
        <v/>
      </c>
      <c r="G245" s="15" t="str">
        <f>IF($A245="","",VLOOKUP($A245,기본데이타!$A$8:$BV$103,COLUMN(기본데이타!I$8),0))</f>
        <v/>
      </c>
      <c r="H245" s="15" t="str">
        <f>IF($A245="","",VLOOKUP($A245,기본데이타!$A$8:$BV$103,COLUMN(기본데이타!J$8),0))</f>
        <v/>
      </c>
      <c r="I245" s="17" t="str">
        <f>IF($A245="","",VLOOKUP($A245,기본데이타!$A$8:$BV$103,COLUMN(기본데이타!AJ$8),0))</f>
        <v/>
      </c>
      <c r="J245" s="381" t="str">
        <f>IF($A245="","",VLOOKUP($A245,기본데이타!$A$8:$BV$103,COLUMN(기본데이타!AK$8),0))</f>
        <v/>
      </c>
      <c r="K245" s="381" t="str">
        <f>IF($A245="","",VLOOKUP($A245,기본데이타!$A$8:$BV$103,COLUMN(기본데이타!AL$8),0))</f>
        <v/>
      </c>
      <c r="L245" s="381" t="str">
        <f>IF($A245="","",VLOOKUP($A245,기본데이타!$A$8:$BV$103,COLUMN(기본데이타!AM$8),0))</f>
        <v/>
      </c>
      <c r="M245" s="381" t="str">
        <f>IF($A245="","",VLOOKUP($A245,기본데이타!$A$8:$BV$103,COLUMN(기본데이타!AN$8),0))</f>
        <v/>
      </c>
      <c r="N245" s="381" t="str">
        <f>IF($A245="","",VLOOKUP($A245,기본데이타!$A$8:$BV$103,COLUMN(기본데이타!AO$8),0))</f>
        <v/>
      </c>
      <c r="O245" s="381" t="str">
        <f>IF($A245="","",VLOOKUP($A245,기본데이타!$A$8:$BV$103,COLUMN(기본데이타!AP$8),0))</f>
        <v/>
      </c>
      <c r="P245" s="381" t="str">
        <f>IF($A245="","",VLOOKUP($A245,기본데이타!$A$8:$BV$103,COLUMN(기본데이타!AQ$8),0))</f>
        <v/>
      </c>
      <c r="Q245" s="381" t="str">
        <f>IF($A245="","",VLOOKUP($A245,기본데이타!$A$8:$BV$103,COLUMN(기본데이타!AR$8),0))</f>
        <v/>
      </c>
      <c r="R245" s="381" t="str">
        <f>IF($A245="","",VLOOKUP($A245,기본데이타!$A$8:$BV$103,COLUMN(기본데이타!AS$8),0))</f>
        <v/>
      </c>
      <c r="S245" s="381" t="str">
        <f>IF($A245="","",VLOOKUP($A245,기본데이타!$A$8:$BV$103,COLUMN(기본데이타!AT$8),0))</f>
        <v/>
      </c>
      <c r="T245" s="381" t="str">
        <f>IF($A245="","",VLOOKUP($A245,기본데이타!$A$8:$BV$103,COLUMN(기본데이타!AU$8),0))</f>
        <v/>
      </c>
      <c r="U245" s="381" t="str">
        <f>IF($A245="","",VLOOKUP($A245,기본데이타!$A$8:$BV$103,COLUMN(기본데이타!AV$8),0))</f>
        <v/>
      </c>
      <c r="V245" s="16" t="str">
        <f>IF($A245="","",VLOOKUP($A245,기본데이타!$A$8:$BV$103,COLUMN(기본데이타!AW$8),0))</f>
        <v/>
      </c>
      <c r="W245" s="16" t="str">
        <f>IF($A245="","",VLOOKUP($A245,기본데이타!$A$8:$BV$103,COLUMN(기본데이타!AX$8),0))</f>
        <v/>
      </c>
      <c r="X245" s="16" t="str">
        <f>IF($A245="","",VLOOKUP($A245,기본데이타!$A$8:$BV$103,COLUMN(기본데이타!AY$8),0))</f>
        <v/>
      </c>
      <c r="Y245" s="16" t="str">
        <f>IF($A245="","",VLOOKUP($A245,기본데이타!$A$8:$BV$103,COLUMN(기본데이타!AZ$8),0))</f>
        <v/>
      </c>
      <c r="Z245" s="17" t="str">
        <f>IF($A245="","",VLOOKUP($A245,기본데이타!$A$8:$BV$103,COLUMN(기본데이타!BN$8),0))</f>
        <v/>
      </c>
      <c r="AA245" s="17" t="str">
        <f>IF($A245="","",VLOOKUP($A245,기본데이타!$A$8:$BV$103,COLUMN(기본데이타!BO$8),0))</f>
        <v/>
      </c>
      <c r="AB245" s="17" t="str">
        <f>IF($A245="","",VLOOKUP($A245,기본데이타!$A$8:$BV$103,COLUMN(기본데이타!BP$8),0))</f>
        <v/>
      </c>
      <c r="AC245" s="17" t="str">
        <f>IF($A245="","",VLOOKUP($A245,기본데이타!$A$8:$BV$103,COLUMN(기본데이타!BQ$8),0))</f>
        <v/>
      </c>
      <c r="AD245" s="17" t="str">
        <f>IF($A245="","",VLOOKUP($A245,기본데이타!$A$8:$BV$103,COLUMN(기본데이타!BR$8),0))</f>
        <v/>
      </c>
      <c r="AE245" s="17" t="str">
        <f>IF($A245="","",VLOOKUP($A245,기본데이타!$A$8:$BV$103,COLUMN(기본데이타!BS$8),0))</f>
        <v/>
      </c>
      <c r="AF245" s="294" t="str">
        <f>IF($A245="","",VLOOKUP($A245,기본데이타!$A$8:$BV$103,COLUMN(기본데이타!BT$8),0))</f>
        <v/>
      </c>
      <c r="AG245" s="432" t="str">
        <f>IF($A245="","",VLOOKUP($A245,기본데이타!$A$8:$BV$103,COLUMN(기본데이타!BU$8),0))</f>
        <v/>
      </c>
      <c r="AH245" s="18" t="str">
        <f t="shared" si="47"/>
        <v/>
      </c>
    </row>
    <row r="246" spans="1:35" s="187" customFormat="1" ht="35.1" hidden="1" customHeight="1">
      <c r="A246" s="189"/>
      <c r="C246" s="190"/>
      <c r="D246" s="1209" t="str">
        <f>IF($A246="","",VLOOKUP($A246,기본데이타!$A$10:$BV$103,COLUMN(기본데이타!F$8),0))</f>
        <v/>
      </c>
      <c r="E246" s="252" t="str">
        <f>IF($A246="","",VLOOKUP($A246,기본데이타!$A$8:$BV$103,COLUMN(기본데이타!G$8),0))</f>
        <v/>
      </c>
      <c r="F246" s="15" t="str">
        <f>IF($A246="","",VLOOKUP($A246,기본데이타!$A$8:$BV$103,COLUMN(기본데이타!H$8),0))</f>
        <v/>
      </c>
      <c r="G246" s="15" t="str">
        <f>IF($A246="","",VLOOKUP($A246,기본데이타!$A$8:$BV$103,COLUMN(기본데이타!I$8),0))</f>
        <v/>
      </c>
      <c r="H246" s="15" t="str">
        <f>IF($A246="","",VLOOKUP($A246,기본데이타!$A$8:$BV$103,COLUMN(기본데이타!J$8),0))</f>
        <v/>
      </c>
      <c r="I246" s="17" t="str">
        <f>IF($A246="","",VLOOKUP($A246,기본데이타!$A$8:$BV$103,COLUMN(기본데이타!AJ$8),0))</f>
        <v/>
      </c>
      <c r="J246" s="381" t="str">
        <f>IF($A246="","",VLOOKUP($A246,기본데이타!$A$8:$BV$103,COLUMN(기본데이타!AK$8),0))</f>
        <v/>
      </c>
      <c r="K246" s="381" t="str">
        <f>IF($A246="","",VLOOKUP($A246,기본데이타!$A$8:$BV$103,COLUMN(기본데이타!AL$8),0))</f>
        <v/>
      </c>
      <c r="L246" s="381" t="str">
        <f>IF($A246="","",VLOOKUP($A246,기본데이타!$A$8:$BV$103,COLUMN(기본데이타!AM$8),0))</f>
        <v/>
      </c>
      <c r="M246" s="381" t="str">
        <f>IF($A246="","",VLOOKUP($A246,기본데이타!$A$8:$BV$103,COLUMN(기본데이타!AN$8),0))</f>
        <v/>
      </c>
      <c r="N246" s="381" t="str">
        <f>IF($A246="","",VLOOKUP($A246,기본데이타!$A$8:$BV$103,COLUMN(기본데이타!AO$8),0))</f>
        <v/>
      </c>
      <c r="O246" s="381" t="str">
        <f>IF($A246="","",VLOOKUP($A246,기본데이타!$A$8:$BV$103,COLUMN(기본데이타!AP$8),0))</f>
        <v/>
      </c>
      <c r="P246" s="381" t="str">
        <f>IF($A246="","",VLOOKUP($A246,기본데이타!$A$8:$BV$103,COLUMN(기본데이타!AQ$8),0))</f>
        <v/>
      </c>
      <c r="Q246" s="381" t="str">
        <f>IF($A246="","",VLOOKUP($A246,기본데이타!$A$8:$BV$103,COLUMN(기본데이타!AR$8),0))</f>
        <v/>
      </c>
      <c r="R246" s="381" t="str">
        <f>IF($A246="","",VLOOKUP($A246,기본데이타!$A$8:$BV$103,COLUMN(기본데이타!AS$8),0))</f>
        <v/>
      </c>
      <c r="S246" s="381" t="str">
        <f>IF($A246="","",VLOOKUP($A246,기본데이타!$A$8:$BV$103,COLUMN(기본데이타!AT$8),0))</f>
        <v/>
      </c>
      <c r="T246" s="381" t="str">
        <f>IF($A246="","",VLOOKUP($A246,기본데이타!$A$8:$BV$103,COLUMN(기본데이타!AU$8),0))</f>
        <v/>
      </c>
      <c r="U246" s="381" t="str">
        <f>IF($A246="","",VLOOKUP($A246,기본데이타!$A$8:$BV$103,COLUMN(기본데이타!AV$8),0))</f>
        <v/>
      </c>
      <c r="V246" s="16" t="str">
        <f>IF($A246="","",VLOOKUP($A246,기본데이타!$A$8:$BV$103,COLUMN(기본데이타!AW$8),0))</f>
        <v/>
      </c>
      <c r="W246" s="16" t="str">
        <f>IF($A246="","",VLOOKUP($A246,기본데이타!$A$8:$BV$103,COLUMN(기본데이타!AX$8),0))</f>
        <v/>
      </c>
      <c r="X246" s="16" t="str">
        <f>IF($A246="","",VLOOKUP($A246,기본데이타!$A$8:$BV$103,COLUMN(기본데이타!AY$8),0))</f>
        <v/>
      </c>
      <c r="Y246" s="16" t="str">
        <f>IF($A246="","",VLOOKUP($A246,기본데이타!$A$8:$BV$103,COLUMN(기본데이타!AZ$8),0))</f>
        <v/>
      </c>
      <c r="Z246" s="17" t="str">
        <f>IF($A246="","",VLOOKUP($A246,기본데이타!$A$8:$BV$103,COLUMN(기본데이타!BN$8),0))</f>
        <v/>
      </c>
      <c r="AA246" s="17" t="str">
        <f>IF($A246="","",VLOOKUP($A246,기본데이타!$A$8:$BV$103,COLUMN(기본데이타!BO$8),0))</f>
        <v/>
      </c>
      <c r="AB246" s="17" t="str">
        <f>IF($A246="","",VLOOKUP($A246,기본데이타!$A$8:$BV$103,COLUMN(기본데이타!BP$8),0))</f>
        <v/>
      </c>
      <c r="AC246" s="17" t="str">
        <f>IF($A246="","",VLOOKUP($A246,기본데이타!$A$8:$BV$103,COLUMN(기본데이타!BQ$8),0))</f>
        <v/>
      </c>
      <c r="AD246" s="17" t="str">
        <f>IF($A246="","",VLOOKUP($A246,기본데이타!$A$8:$BV$103,COLUMN(기본데이타!BR$8),0))</f>
        <v/>
      </c>
      <c r="AE246" s="17" t="str">
        <f>IF($A246="","",VLOOKUP($A246,기본데이타!$A$8:$BV$103,COLUMN(기본데이타!BS$8),0))</f>
        <v/>
      </c>
      <c r="AF246" s="294" t="str">
        <f>IF($A246="","",VLOOKUP($A246,기본데이타!$A$8:$BV$103,COLUMN(기본데이타!BT$8),0))</f>
        <v/>
      </c>
      <c r="AG246" s="432" t="str">
        <f>IF($A246="","",VLOOKUP($A246,기본데이타!$A$8:$BV$103,COLUMN(기본데이타!BU$8),0))</f>
        <v/>
      </c>
      <c r="AH246" s="18" t="str">
        <f t="shared" si="47"/>
        <v/>
      </c>
    </row>
    <row r="247" spans="1:35" s="187" customFormat="1" ht="35.1" hidden="1" customHeight="1">
      <c r="A247" s="189"/>
      <c r="C247" s="190"/>
      <c r="D247" s="1209" t="str">
        <f>IF($A247="","",VLOOKUP($A247,기본데이타!$A$10:$BV$103,COLUMN(기본데이타!F$8),0))</f>
        <v/>
      </c>
      <c r="E247" s="252" t="str">
        <f>IF($A247="","",VLOOKUP($A247,기본데이타!$A$8:$BV$103,COLUMN(기본데이타!G$8),0))</f>
        <v/>
      </c>
      <c r="F247" s="15" t="str">
        <f>IF($A247="","",VLOOKUP($A247,기본데이타!$A$8:$BV$103,COLUMN(기본데이타!H$8),0))</f>
        <v/>
      </c>
      <c r="G247" s="15" t="str">
        <f>IF($A247="","",VLOOKUP($A247,기본데이타!$A$8:$BV$103,COLUMN(기본데이타!I$8),0))</f>
        <v/>
      </c>
      <c r="H247" s="15" t="str">
        <f>IF($A247="","",VLOOKUP($A247,기본데이타!$A$8:$BV$103,COLUMN(기본데이타!J$8),0))</f>
        <v/>
      </c>
      <c r="I247" s="17" t="str">
        <f>IF($A247="","",VLOOKUP($A247,기본데이타!$A$8:$BV$103,COLUMN(기본데이타!AJ$8),0))</f>
        <v/>
      </c>
      <c r="J247" s="381" t="str">
        <f>IF($A247="","",VLOOKUP($A247,기본데이타!$A$8:$BV$103,COLUMN(기본데이타!AK$8),0))</f>
        <v/>
      </c>
      <c r="K247" s="381" t="str">
        <f>IF($A247="","",VLOOKUP($A247,기본데이타!$A$8:$BV$103,COLUMN(기본데이타!AL$8),0))</f>
        <v/>
      </c>
      <c r="L247" s="381" t="str">
        <f>IF($A247="","",VLOOKUP($A247,기본데이타!$A$8:$BV$103,COLUMN(기본데이타!AM$8),0))</f>
        <v/>
      </c>
      <c r="M247" s="381" t="str">
        <f>IF($A247="","",VLOOKUP($A247,기본데이타!$A$8:$BV$103,COLUMN(기본데이타!AN$8),0))</f>
        <v/>
      </c>
      <c r="N247" s="381" t="str">
        <f>IF($A247="","",VLOOKUP($A247,기본데이타!$A$8:$BV$103,COLUMN(기본데이타!AO$8),0))</f>
        <v/>
      </c>
      <c r="O247" s="381" t="str">
        <f>IF($A247="","",VLOOKUP($A247,기본데이타!$A$8:$BV$103,COLUMN(기본데이타!AP$8),0))</f>
        <v/>
      </c>
      <c r="P247" s="381" t="str">
        <f>IF($A247="","",VLOOKUP($A247,기본데이타!$A$8:$BV$103,COLUMN(기본데이타!AQ$8),0))</f>
        <v/>
      </c>
      <c r="Q247" s="381" t="str">
        <f>IF($A247="","",VLOOKUP($A247,기본데이타!$A$8:$BV$103,COLUMN(기본데이타!AR$8),0))</f>
        <v/>
      </c>
      <c r="R247" s="381" t="str">
        <f>IF($A247="","",VLOOKUP($A247,기본데이타!$A$8:$BV$103,COLUMN(기본데이타!AS$8),0))</f>
        <v/>
      </c>
      <c r="S247" s="381" t="str">
        <f>IF($A247="","",VLOOKUP($A247,기본데이타!$A$8:$BV$103,COLUMN(기본데이타!AT$8),0))</f>
        <v/>
      </c>
      <c r="T247" s="381" t="str">
        <f>IF($A247="","",VLOOKUP($A247,기본데이타!$A$8:$BV$103,COLUMN(기본데이타!AU$8),0))</f>
        <v/>
      </c>
      <c r="U247" s="381" t="str">
        <f>IF($A247="","",VLOOKUP($A247,기본데이타!$A$8:$BV$103,COLUMN(기본데이타!AV$8),0))</f>
        <v/>
      </c>
      <c r="V247" s="16" t="str">
        <f>IF($A247="","",VLOOKUP($A247,기본데이타!$A$8:$BV$103,COLUMN(기본데이타!AW$8),0))</f>
        <v/>
      </c>
      <c r="W247" s="16" t="str">
        <f>IF($A247="","",VLOOKUP($A247,기본데이타!$A$8:$BV$103,COLUMN(기본데이타!AX$8),0))</f>
        <v/>
      </c>
      <c r="X247" s="16" t="str">
        <f>IF($A247="","",VLOOKUP($A247,기본데이타!$A$8:$BV$103,COLUMN(기본데이타!AY$8),0))</f>
        <v/>
      </c>
      <c r="Y247" s="16" t="str">
        <f>IF($A247="","",VLOOKUP($A247,기본데이타!$A$8:$BV$103,COLUMN(기본데이타!AZ$8),0))</f>
        <v/>
      </c>
      <c r="Z247" s="17" t="str">
        <f>IF($A247="","",VLOOKUP($A247,기본데이타!$A$8:$BV$103,COLUMN(기본데이타!BN$8),0))</f>
        <v/>
      </c>
      <c r="AA247" s="17" t="str">
        <f>IF($A247="","",VLOOKUP($A247,기본데이타!$A$8:$BV$103,COLUMN(기본데이타!BO$8),0))</f>
        <v/>
      </c>
      <c r="AB247" s="17" t="str">
        <f>IF($A247="","",VLOOKUP($A247,기본데이타!$A$8:$BV$103,COLUMN(기본데이타!BP$8),0))</f>
        <v/>
      </c>
      <c r="AC247" s="17" t="str">
        <f>IF($A247="","",VLOOKUP($A247,기본데이타!$A$8:$BV$103,COLUMN(기본데이타!BQ$8),0))</f>
        <v/>
      </c>
      <c r="AD247" s="17" t="str">
        <f>IF($A247="","",VLOOKUP($A247,기본데이타!$A$8:$BV$103,COLUMN(기본데이타!BR$8),0))</f>
        <v/>
      </c>
      <c r="AE247" s="17" t="str">
        <f>IF($A247="","",VLOOKUP($A247,기본데이타!$A$8:$BV$103,COLUMN(기본데이타!BS$8),0))</f>
        <v/>
      </c>
      <c r="AF247" s="294" t="str">
        <f>IF($A247="","",VLOOKUP($A247,기본데이타!$A$8:$BV$103,COLUMN(기본데이타!BT$8),0))</f>
        <v/>
      </c>
      <c r="AG247" s="432" t="str">
        <f>IF($A247="","",VLOOKUP($A247,기본데이타!$A$8:$BV$103,COLUMN(기본데이타!BU$8),0))</f>
        <v/>
      </c>
      <c r="AH247" s="18" t="str">
        <f t="shared" si="47"/>
        <v/>
      </c>
    </row>
    <row r="248" spans="1:35" s="187" customFormat="1" ht="35.1" hidden="1" customHeight="1">
      <c r="A248" s="189"/>
      <c r="C248" s="190"/>
      <c r="D248" s="1209" t="str">
        <f>IF($A248="","",VLOOKUP($A248,기본데이타!$A$10:$BV$103,COLUMN(기본데이타!F$8),0))</f>
        <v/>
      </c>
      <c r="E248" s="252" t="str">
        <f>IF($A248="","",VLOOKUP($A248,기본데이타!$A$8:$BV$103,COLUMN(기본데이타!G$8),0))</f>
        <v/>
      </c>
      <c r="F248" s="15" t="str">
        <f>IF($A248="","",VLOOKUP($A248,기본데이타!$A$8:$BV$103,COLUMN(기본데이타!H$8),0))</f>
        <v/>
      </c>
      <c r="G248" s="15" t="str">
        <f>IF($A248="","",VLOOKUP($A248,기본데이타!$A$8:$BV$103,COLUMN(기본데이타!I$8),0))</f>
        <v/>
      </c>
      <c r="H248" s="15" t="str">
        <f>IF($A248="","",VLOOKUP($A248,기본데이타!$A$8:$BV$103,COLUMN(기본데이타!J$8),0))</f>
        <v/>
      </c>
      <c r="I248" s="17" t="str">
        <f>IF($A248="","",VLOOKUP($A248,기본데이타!$A$8:$BV$103,COLUMN(기본데이타!AJ$8),0))</f>
        <v/>
      </c>
      <c r="J248" s="381" t="str">
        <f>IF($A248="","",VLOOKUP($A248,기본데이타!$A$8:$BV$103,COLUMN(기본데이타!AK$8),0))</f>
        <v/>
      </c>
      <c r="K248" s="381" t="str">
        <f>IF($A248="","",VLOOKUP($A248,기본데이타!$A$8:$BV$103,COLUMN(기본데이타!AL$8),0))</f>
        <v/>
      </c>
      <c r="L248" s="381" t="str">
        <f>IF($A248="","",VLOOKUP($A248,기본데이타!$A$8:$BV$103,COLUMN(기본데이타!AM$8),0))</f>
        <v/>
      </c>
      <c r="M248" s="381" t="str">
        <f>IF($A248="","",VLOOKUP($A248,기본데이타!$A$8:$BV$103,COLUMN(기본데이타!AN$8),0))</f>
        <v/>
      </c>
      <c r="N248" s="381" t="str">
        <f>IF($A248="","",VLOOKUP($A248,기본데이타!$A$8:$BV$103,COLUMN(기본데이타!AO$8),0))</f>
        <v/>
      </c>
      <c r="O248" s="381" t="str">
        <f>IF($A248="","",VLOOKUP($A248,기본데이타!$A$8:$BV$103,COLUMN(기본데이타!AP$8),0))</f>
        <v/>
      </c>
      <c r="P248" s="381" t="str">
        <f>IF($A248="","",VLOOKUP($A248,기본데이타!$A$8:$BV$103,COLUMN(기본데이타!AQ$8),0))</f>
        <v/>
      </c>
      <c r="Q248" s="381" t="str">
        <f>IF($A248="","",VLOOKUP($A248,기본데이타!$A$8:$BV$103,COLUMN(기본데이타!AR$8),0))</f>
        <v/>
      </c>
      <c r="R248" s="381" t="str">
        <f>IF($A248="","",VLOOKUP($A248,기본데이타!$A$8:$BV$103,COLUMN(기본데이타!AS$8),0))</f>
        <v/>
      </c>
      <c r="S248" s="381" t="str">
        <f>IF($A248="","",VLOOKUP($A248,기본데이타!$A$8:$BV$103,COLUMN(기본데이타!AT$8),0))</f>
        <v/>
      </c>
      <c r="T248" s="381" t="str">
        <f>IF($A248="","",VLOOKUP($A248,기본데이타!$A$8:$BV$103,COLUMN(기본데이타!AU$8),0))</f>
        <v/>
      </c>
      <c r="U248" s="381" t="str">
        <f>IF($A248="","",VLOOKUP($A248,기본데이타!$A$8:$BV$103,COLUMN(기본데이타!AV$8),0))</f>
        <v/>
      </c>
      <c r="V248" s="16" t="str">
        <f>IF($A248="","",VLOOKUP($A248,기본데이타!$A$8:$BV$103,COLUMN(기본데이타!AW$8),0))</f>
        <v/>
      </c>
      <c r="W248" s="16" t="str">
        <f>IF($A248="","",VLOOKUP($A248,기본데이타!$A$8:$BV$103,COLUMN(기본데이타!AX$8),0))</f>
        <v/>
      </c>
      <c r="X248" s="16" t="str">
        <f>IF($A248="","",VLOOKUP($A248,기본데이타!$A$8:$BV$103,COLUMN(기본데이타!AY$8),0))</f>
        <v/>
      </c>
      <c r="Y248" s="16" t="str">
        <f>IF($A248="","",VLOOKUP($A248,기본데이타!$A$8:$BV$103,COLUMN(기본데이타!AZ$8),0))</f>
        <v/>
      </c>
      <c r="Z248" s="17" t="str">
        <f>IF($A248="","",VLOOKUP($A248,기본데이타!$A$8:$BV$103,COLUMN(기본데이타!BN$8),0))</f>
        <v/>
      </c>
      <c r="AA248" s="17" t="str">
        <f>IF($A248="","",VLOOKUP($A248,기본데이타!$A$8:$BV$103,COLUMN(기본데이타!BO$8),0))</f>
        <v/>
      </c>
      <c r="AB248" s="17" t="str">
        <f>IF($A248="","",VLOOKUP($A248,기본데이타!$A$8:$BV$103,COLUMN(기본데이타!BP$8),0))</f>
        <v/>
      </c>
      <c r="AC248" s="17" t="str">
        <f>IF($A248="","",VLOOKUP($A248,기본데이타!$A$8:$BV$103,COLUMN(기본데이타!BQ$8),0))</f>
        <v/>
      </c>
      <c r="AD248" s="17" t="str">
        <f>IF($A248="","",VLOOKUP($A248,기본데이타!$A$8:$BV$103,COLUMN(기본데이타!BR$8),0))</f>
        <v/>
      </c>
      <c r="AE248" s="17" t="str">
        <f>IF($A248="","",VLOOKUP($A248,기본데이타!$A$8:$BV$103,COLUMN(기본데이타!BS$8),0))</f>
        <v/>
      </c>
      <c r="AF248" s="294" t="str">
        <f>IF($A248="","",VLOOKUP($A248,기본데이타!$A$8:$BV$103,COLUMN(기본데이타!BT$8),0))</f>
        <v/>
      </c>
      <c r="AG248" s="432" t="str">
        <f>IF($A248="","",VLOOKUP($A248,기본데이타!$A$8:$BV$103,COLUMN(기본데이타!BU$8),0))</f>
        <v/>
      </c>
      <c r="AH248" s="18" t="str">
        <f t="shared" si="47"/>
        <v/>
      </c>
    </row>
    <row r="249" spans="1:35" s="187" customFormat="1" ht="35.1" customHeight="1" thickBot="1">
      <c r="A249" s="189"/>
      <c r="C249" s="306"/>
      <c r="D249" s="1701">
        <f>COUNTA(A219:A248)</f>
        <v>1</v>
      </c>
      <c r="E249" s="1702">
        <f>SUM(E219:E248)</f>
        <v>51</v>
      </c>
      <c r="F249" s="1703">
        <f>SUM(F219:F248)</f>
        <v>35554000</v>
      </c>
      <c r="G249" s="1704">
        <f>SUM(G137:G248)</f>
        <v>0</v>
      </c>
      <c r="H249" s="1703">
        <f>SUM(H219:H248)</f>
        <v>35554000</v>
      </c>
      <c r="I249" s="1705">
        <f t="shared" ref="I249:Y249" si="48">SUM(I219:I248)</f>
        <v>0</v>
      </c>
      <c r="J249" s="1706">
        <f t="shared" si="48"/>
        <v>0</v>
      </c>
      <c r="K249" s="1706">
        <f t="shared" si="48"/>
        <v>0</v>
      </c>
      <c r="L249" s="1706">
        <f t="shared" si="48"/>
        <v>0</v>
      </c>
      <c r="M249" s="1706">
        <f t="shared" si="48"/>
        <v>0</v>
      </c>
      <c r="N249" s="1706">
        <f t="shared" si="48"/>
        <v>0</v>
      </c>
      <c r="O249" s="1706">
        <f t="shared" si="48"/>
        <v>0</v>
      </c>
      <c r="P249" s="1706">
        <f t="shared" si="48"/>
        <v>0</v>
      </c>
      <c r="Q249" s="1706">
        <f t="shared" si="48"/>
        <v>0</v>
      </c>
      <c r="R249" s="1706">
        <f t="shared" ref="R249:S249" si="49">SUM(R219:R248)</f>
        <v>0</v>
      </c>
      <c r="S249" s="1706">
        <f t="shared" si="49"/>
        <v>0</v>
      </c>
      <c r="T249" s="1706">
        <f t="shared" ref="T249" si="50">SUM(T219:T248)</f>
        <v>0</v>
      </c>
      <c r="U249" s="1705">
        <f t="shared" si="48"/>
        <v>0</v>
      </c>
      <c r="V249" s="1707">
        <f t="shared" si="48"/>
        <v>1636560</v>
      </c>
      <c r="W249" s="1707">
        <f t="shared" si="48"/>
        <v>0</v>
      </c>
      <c r="X249" s="1707">
        <f t="shared" si="48"/>
        <v>89208</v>
      </c>
      <c r="Y249" s="1707">
        <f t="shared" si="48"/>
        <v>1725768</v>
      </c>
      <c r="Z249" s="1705">
        <f t="shared" ref="Z249" si="51">SUM(Z219:Z248)</f>
        <v>0</v>
      </c>
      <c r="AA249" s="1705">
        <f t="shared" ref="AA249" si="52">SUM(AA219:AA248)</f>
        <v>0</v>
      </c>
      <c r="AB249" s="1705">
        <f t="shared" ref="AB249" si="53">SUM(AB219:AB248)</f>
        <v>0</v>
      </c>
      <c r="AC249" s="1705">
        <f t="shared" ref="AC249" si="54">SUM(AC219:AC248)</f>
        <v>0</v>
      </c>
      <c r="AD249" s="1708"/>
      <c r="AE249" s="1709">
        <f>용도별분석!BQ35</f>
        <v>0</v>
      </c>
      <c r="AF249" s="1710">
        <f>용도별분석!BR35</f>
        <v>0</v>
      </c>
      <c r="AG249" s="1711">
        <f>용도별분석!BS35</f>
        <v>0</v>
      </c>
      <c r="AH249" s="1712"/>
      <c r="AI249" s="264"/>
    </row>
    <row r="250" spans="1:35" s="187" customFormat="1" ht="35.1" hidden="1" customHeight="1">
      <c r="A250" s="189"/>
      <c r="C250" s="190" t="s">
        <v>241</v>
      </c>
      <c r="D250" s="191" t="str">
        <f>IF($A250="","",VLOOKUP($A250,기본데이타!$A$8:$BV$103,COLUMN(기본데이타!F$8),0))</f>
        <v/>
      </c>
      <c r="E250" s="305" t="str">
        <f>IF($A250="","",VLOOKUP($A250,기본데이타!$A$8:$BV$103,COLUMN(기본데이타!G$8),0))</f>
        <v/>
      </c>
      <c r="F250" s="301" t="str">
        <f>IF($A250="","",VLOOKUP($A250,기본데이타!$A$8:$BV$103,COLUMN(기본데이타!H$8),0))</f>
        <v/>
      </c>
      <c r="G250" s="301" t="str">
        <f>IF($A250="","",VLOOKUP($A250,기본데이타!$A$8:$BV$103,COLUMN(기본데이타!I$8),0))</f>
        <v/>
      </c>
      <c r="H250" s="301" t="str">
        <f>IF($A250="","",VLOOKUP($A250,기본데이타!$A$8:$BV$103,COLUMN(기본데이타!J$8),0))</f>
        <v/>
      </c>
      <c r="I250" s="303" t="str">
        <f>IF($A250="","",VLOOKUP($A250,기본데이타!$A$8:$BV$103,COLUMN(기본데이타!AJ$8),0))</f>
        <v/>
      </c>
      <c r="J250" s="383" t="str">
        <f>IF($A250="","",VLOOKUP($A250,기본데이타!$A$8:$BV$103,COLUMN(기본데이타!AK$8),0))</f>
        <v/>
      </c>
      <c r="K250" s="383" t="str">
        <f>IF($A250="","",VLOOKUP($A250,기본데이타!$A$8:$BV$103,COLUMN(기본데이타!AL$8),0))</f>
        <v/>
      </c>
      <c r="L250" s="383" t="str">
        <f>IF($A250="","",VLOOKUP($A250,기본데이타!$A$8:$BV$103,COLUMN(기본데이타!AM$8),0))</f>
        <v/>
      </c>
      <c r="M250" s="383" t="str">
        <f>IF($A250="","",VLOOKUP($A250,기본데이타!$A$8:$BV$103,COLUMN(기본데이타!AN$8),0))</f>
        <v/>
      </c>
      <c r="N250" s="383" t="str">
        <f>IF($A250="","",VLOOKUP($A250,기본데이타!$A$8:$BV$103,COLUMN(기본데이타!AO$8),0))</f>
        <v/>
      </c>
      <c r="O250" s="383" t="str">
        <f>IF($A250="","",VLOOKUP($A250,기본데이타!$A$8:$BV$103,COLUMN(기본데이타!AP$8),0))</f>
        <v/>
      </c>
      <c r="P250" s="383" t="str">
        <f>IF($A250="","",VLOOKUP($A250,기본데이타!$A$8:$BV$103,COLUMN(기본데이타!AQ$8),0))</f>
        <v/>
      </c>
      <c r="Q250" s="383" t="str">
        <f>IF($A250="","",VLOOKUP($A250,기본데이타!$A$8:$BV$103,COLUMN(기본데이타!AR$8),0))</f>
        <v/>
      </c>
      <c r="R250" s="383" t="str">
        <f>IF($A250="","",VLOOKUP($A250,기본데이타!$A$8:$BV$103,COLUMN(기본데이타!AS$8),0))</f>
        <v/>
      </c>
      <c r="S250" s="383" t="str">
        <f>IF($A250="","",VLOOKUP($A250,기본데이타!$A$8:$BV$103,COLUMN(기본데이타!AT$8),0))</f>
        <v/>
      </c>
      <c r="T250" s="383" t="str">
        <f>IF($A250="","",VLOOKUP($A250,기본데이타!$A$8:$BV$103,COLUMN(기본데이타!AU$8),0))</f>
        <v/>
      </c>
      <c r="U250" s="383" t="str">
        <f>IF($A250="","",VLOOKUP($A250,기본데이타!$A$8:$BV$103,COLUMN(기본데이타!AV$8),0))</f>
        <v/>
      </c>
      <c r="V250" s="302" t="str">
        <f>IF($A250="","",VLOOKUP($A250,기본데이타!$A$8:$BV$103,COLUMN(기본데이타!AW$8),0))</f>
        <v/>
      </c>
      <c r="W250" s="302" t="str">
        <f>IF($A250="","",VLOOKUP($A250,기본데이타!$A$8:$BV$103,COLUMN(기본데이타!AX$8),0))</f>
        <v/>
      </c>
      <c r="X250" s="302" t="str">
        <f>IF($A250="","",VLOOKUP($A250,기본데이타!$A$8:$BV$103,COLUMN(기본데이타!AY$8),0))</f>
        <v/>
      </c>
      <c r="Y250" s="302" t="str">
        <f>IF($A250="","",VLOOKUP($A250,기본데이타!$A$8:$BV$103,COLUMN(기본데이타!AZ$8),0))</f>
        <v/>
      </c>
      <c r="Z250" s="303" t="str">
        <f>IF($A250="","",VLOOKUP($A250,기본데이타!$A$8:$BV$103,COLUMN(기본데이타!BN$8),0))</f>
        <v/>
      </c>
      <c r="AA250" s="303" t="str">
        <f>IF($A250="","",VLOOKUP($A250,기본데이타!$A$8:$BV$103,COLUMN(기본데이타!BO$8),0))</f>
        <v/>
      </c>
      <c r="AB250" s="303" t="str">
        <f>IF($A250="","",VLOOKUP($A250,기본데이타!$A$8:$BV$103,COLUMN(기본데이타!BP$8),0))</f>
        <v/>
      </c>
      <c r="AC250" s="303" t="str">
        <f>IF($A250="","",VLOOKUP($A250,기본데이타!$A$8:$BV$103,COLUMN(기본데이타!BQ$8),0))</f>
        <v/>
      </c>
      <c r="AD250" s="303" t="str">
        <f>IF($A250="","",VLOOKUP($A250,기본데이타!$A$8:$BV$103,COLUMN(기본데이타!BR$8),0))</f>
        <v/>
      </c>
      <c r="AE250" s="303" t="str">
        <f>IF($A250="","",VLOOKUP($A250,기본데이타!$A$8:$BV$103,COLUMN(기본데이타!BS$8),0))</f>
        <v/>
      </c>
      <c r="AF250" s="1177" t="str">
        <f>IF($A250="","",VLOOKUP($A250,기본데이타!$A$8:$BV$103,COLUMN(기본데이타!BT$8),0))</f>
        <v/>
      </c>
      <c r="AG250" s="436" t="str">
        <f>IF($A250="","",VLOOKUP($A250,기본데이타!$A$8:$BV$103,COLUMN(기본데이타!BU$8),0))</f>
        <v/>
      </c>
      <c r="AH250" s="304" t="str">
        <f>IF(A250="","",A250)</f>
        <v/>
      </c>
      <c r="AI250" s="264"/>
    </row>
    <row r="251" spans="1:35" s="187" customFormat="1" ht="35.1" hidden="1" customHeight="1">
      <c r="A251" s="189"/>
      <c r="C251" s="190"/>
      <c r="D251" s="1209" t="str">
        <f>IF($A251="","",VLOOKUP($A251,기본데이타!$A$10:$BV$103,COLUMN(기본데이타!F$8),0))</f>
        <v/>
      </c>
      <c r="E251" s="252" t="str">
        <f>IF($A251="","",VLOOKUP($A251,기본데이타!$A$8:$BV$103,COLUMN(기본데이타!G$8),0))</f>
        <v/>
      </c>
      <c r="F251" s="15" t="str">
        <f>IF($A251="","",VLOOKUP($A251,기본데이타!$A$8:$BV$103,COLUMN(기본데이타!H$8),0))</f>
        <v/>
      </c>
      <c r="G251" s="15" t="str">
        <f>IF($A251="","",VLOOKUP($A251,기본데이타!$A$8:$BV$103,COLUMN(기본데이타!I$8),0))</f>
        <v/>
      </c>
      <c r="H251" s="15" t="str">
        <f>IF($A251="","",VLOOKUP($A251,기본데이타!$A$8:$BV$103,COLUMN(기본데이타!J$8),0))</f>
        <v/>
      </c>
      <c r="I251" s="17" t="str">
        <f>IF($A251="","",VLOOKUP($A251,기본데이타!$A$8:$BV$103,COLUMN(기본데이타!AJ$8),0))</f>
        <v/>
      </c>
      <c r="J251" s="381" t="str">
        <f>IF($A251="","",VLOOKUP($A251,기본데이타!$A$8:$BV$103,COLUMN(기본데이타!AK$8),0))</f>
        <v/>
      </c>
      <c r="K251" s="381" t="str">
        <f>IF($A251="","",VLOOKUP($A251,기본데이타!$A$8:$BV$103,COLUMN(기본데이타!AL$8),0))</f>
        <v/>
      </c>
      <c r="L251" s="381" t="str">
        <f>IF($A251="","",VLOOKUP($A251,기본데이타!$A$8:$BV$103,COLUMN(기본데이타!AM$8),0))</f>
        <v/>
      </c>
      <c r="M251" s="381" t="str">
        <f>IF($A251="","",VLOOKUP($A251,기본데이타!$A$8:$BV$103,COLUMN(기본데이타!AN$8),0))</f>
        <v/>
      </c>
      <c r="N251" s="381" t="str">
        <f>IF($A251="","",VLOOKUP($A251,기본데이타!$A$8:$BV$103,COLUMN(기본데이타!AO$8),0))</f>
        <v/>
      </c>
      <c r="O251" s="381" t="str">
        <f>IF($A251="","",VLOOKUP($A251,기본데이타!$A$8:$BV$103,COLUMN(기본데이타!AP$8),0))</f>
        <v/>
      </c>
      <c r="P251" s="381" t="str">
        <f>IF($A251="","",VLOOKUP($A251,기본데이타!$A$8:$BV$103,COLUMN(기본데이타!AQ$8),0))</f>
        <v/>
      </c>
      <c r="Q251" s="381" t="str">
        <f>IF($A251="","",VLOOKUP($A251,기본데이타!$A$8:$BV$103,COLUMN(기본데이타!AR$8),0))</f>
        <v/>
      </c>
      <c r="R251" s="381" t="str">
        <f>IF($A251="","",VLOOKUP($A251,기본데이타!$A$8:$BV$103,COLUMN(기본데이타!AS$8),0))</f>
        <v/>
      </c>
      <c r="S251" s="381" t="str">
        <f>IF($A251="","",VLOOKUP($A251,기본데이타!$A$8:$BV$103,COLUMN(기본데이타!AT$8),0))</f>
        <v/>
      </c>
      <c r="T251" s="381" t="str">
        <f>IF($A251="","",VLOOKUP($A251,기본데이타!$A$8:$BV$103,COLUMN(기본데이타!AU$8),0))</f>
        <v/>
      </c>
      <c r="U251" s="381" t="str">
        <f>IF($A251="","",VLOOKUP($A251,기본데이타!$A$8:$BV$103,COLUMN(기본데이타!AV$8),0))</f>
        <v/>
      </c>
      <c r="V251" s="16" t="str">
        <f>IF($A251="","",VLOOKUP($A251,기본데이타!$A$8:$BV$103,COLUMN(기본데이타!AW$8),0))</f>
        <v/>
      </c>
      <c r="W251" s="16" t="str">
        <f>IF($A251="","",VLOOKUP($A251,기본데이타!$A$8:$BV$103,COLUMN(기본데이타!AX$8),0))</f>
        <v/>
      </c>
      <c r="X251" s="16" t="str">
        <f>IF($A251="","",VLOOKUP($A251,기본데이타!$A$8:$BV$103,COLUMN(기본데이타!AY$8),0))</f>
        <v/>
      </c>
      <c r="Y251" s="16" t="str">
        <f>IF($A251="","",VLOOKUP($A251,기본데이타!$A$8:$BV$103,COLUMN(기본데이타!AZ$8),0))</f>
        <v/>
      </c>
      <c r="Z251" s="17" t="str">
        <f>IF($A251="","",VLOOKUP($A251,기본데이타!$A$8:$BV$103,COLUMN(기본데이타!BN$8),0))</f>
        <v/>
      </c>
      <c r="AA251" s="17" t="str">
        <f>IF($A251="","",VLOOKUP($A251,기본데이타!$A$8:$BV$103,COLUMN(기본데이타!BO$8),0))</f>
        <v/>
      </c>
      <c r="AB251" s="17" t="str">
        <f>IF($A251="","",VLOOKUP($A251,기본데이타!$A$8:$BV$103,COLUMN(기본데이타!BP$8),0))</f>
        <v/>
      </c>
      <c r="AC251" s="17" t="str">
        <f>IF($A251="","",VLOOKUP($A251,기본데이타!$A$8:$BV$103,COLUMN(기본데이타!BQ$8),0))</f>
        <v/>
      </c>
      <c r="AD251" s="17" t="str">
        <f>IF($A251="","",VLOOKUP($A251,기본데이타!$A$8:$BV$103,COLUMN(기본데이타!BR$8),0))</f>
        <v/>
      </c>
      <c r="AE251" s="17" t="str">
        <f>IF($A251="","",VLOOKUP($A251,기본데이타!$A$8:$BV$103,COLUMN(기본데이타!BS$8),0))</f>
        <v/>
      </c>
      <c r="AF251" s="294" t="str">
        <f>IF($A251="","",VLOOKUP($A251,기본데이타!$A$8:$BV$103,COLUMN(기본데이타!BT$8),0))</f>
        <v/>
      </c>
      <c r="AG251" s="432" t="str">
        <f>IF($A251="","",VLOOKUP($A251,기본데이타!$A$8:$BV$103,COLUMN(기본데이타!BU$8),0))</f>
        <v/>
      </c>
      <c r="AH251" s="18" t="str">
        <f t="shared" ref="AH251:AH273" si="55">IF(A251="","",A251)</f>
        <v/>
      </c>
      <c r="AI251" s="264"/>
    </row>
    <row r="252" spans="1:35" s="187" customFormat="1" ht="35.1" hidden="1" customHeight="1">
      <c r="A252" s="189"/>
      <c r="C252" s="190"/>
      <c r="D252" s="8" t="str">
        <f>IF($A252="","",VLOOKUP($A252,기본데이타!$A$10:$BV$103,COLUMN(기본데이타!F$8),0))</f>
        <v/>
      </c>
      <c r="E252" s="252" t="str">
        <f>IF($A252="","",VLOOKUP($A252,기본데이타!$A$8:$BV$103,COLUMN(기본데이타!G$8),0))</f>
        <v/>
      </c>
      <c r="F252" s="15" t="str">
        <f>IF($A252="","",VLOOKUP($A252,기본데이타!$A$8:$BV$103,COLUMN(기본데이타!H$8),0))</f>
        <v/>
      </c>
      <c r="G252" s="15" t="str">
        <f>IF($A252="","",VLOOKUP($A252,기본데이타!$A$8:$BV$103,COLUMN(기본데이타!I$8),0))</f>
        <v/>
      </c>
      <c r="H252" s="15" t="str">
        <f>IF($A252="","",VLOOKUP($A252,기본데이타!$A$8:$BV$103,COLUMN(기본데이타!J$8),0))</f>
        <v/>
      </c>
      <c r="I252" s="17" t="str">
        <f>IF($A252="","",VLOOKUP($A252,기본데이타!$A$8:$BV$103,COLUMN(기본데이타!AJ$8),0))</f>
        <v/>
      </c>
      <c r="J252" s="381" t="str">
        <f>IF($A252="","",VLOOKUP($A252,기본데이타!$A$8:$BV$103,COLUMN(기본데이타!AK$8),0))</f>
        <v/>
      </c>
      <c r="K252" s="381" t="str">
        <f>IF($A252="","",VLOOKUP($A252,기본데이타!$A$8:$BV$103,COLUMN(기본데이타!AL$8),0))</f>
        <v/>
      </c>
      <c r="L252" s="381" t="str">
        <f>IF($A252="","",VLOOKUP($A252,기본데이타!$A$8:$BV$103,COLUMN(기본데이타!AM$8),0))</f>
        <v/>
      </c>
      <c r="M252" s="381" t="str">
        <f>IF($A252="","",VLOOKUP($A252,기본데이타!$A$8:$BV$103,COLUMN(기본데이타!AN$8),0))</f>
        <v/>
      </c>
      <c r="N252" s="381" t="str">
        <f>IF($A252="","",VLOOKUP($A252,기본데이타!$A$8:$BV$103,COLUMN(기본데이타!AO$8),0))</f>
        <v/>
      </c>
      <c r="O252" s="381" t="str">
        <f>IF($A252="","",VLOOKUP($A252,기본데이타!$A$8:$BV$103,COLUMN(기본데이타!AP$8),0))</f>
        <v/>
      </c>
      <c r="P252" s="381" t="str">
        <f>IF($A252="","",VLOOKUP($A252,기본데이타!$A$8:$BV$103,COLUMN(기본데이타!AQ$8),0))</f>
        <v/>
      </c>
      <c r="Q252" s="381" t="str">
        <f>IF($A252="","",VLOOKUP($A252,기본데이타!$A$8:$BV$103,COLUMN(기본데이타!AR$8),0))</f>
        <v/>
      </c>
      <c r="R252" s="381" t="str">
        <f>IF($A252="","",VLOOKUP($A252,기본데이타!$A$8:$BV$103,COLUMN(기본데이타!AS$8),0))</f>
        <v/>
      </c>
      <c r="S252" s="381" t="str">
        <f>IF($A252="","",VLOOKUP($A252,기본데이타!$A$8:$BV$103,COLUMN(기본데이타!AT$8),0))</f>
        <v/>
      </c>
      <c r="T252" s="381" t="str">
        <f>IF($A252="","",VLOOKUP($A252,기본데이타!$A$8:$BV$103,COLUMN(기본데이타!AU$8),0))</f>
        <v/>
      </c>
      <c r="U252" s="381" t="str">
        <f>IF($A252="","",VLOOKUP($A252,기본데이타!$A$8:$BV$103,COLUMN(기본데이타!AV$8),0))</f>
        <v/>
      </c>
      <c r="V252" s="16" t="str">
        <f>IF($A252="","",VLOOKUP($A252,기본데이타!$A$8:$BV$103,COLUMN(기본데이타!AW$8),0))</f>
        <v/>
      </c>
      <c r="W252" s="16" t="str">
        <f>IF($A252="","",VLOOKUP($A252,기본데이타!$A$8:$BV$103,COLUMN(기본데이타!AX$8),0))</f>
        <v/>
      </c>
      <c r="X252" s="16" t="str">
        <f>IF($A252="","",VLOOKUP($A252,기본데이타!$A$8:$BV$103,COLUMN(기본데이타!AY$8),0))</f>
        <v/>
      </c>
      <c r="Y252" s="16" t="str">
        <f>IF($A252="","",VLOOKUP($A252,기본데이타!$A$8:$BV$103,COLUMN(기본데이타!AZ$8),0))</f>
        <v/>
      </c>
      <c r="Z252" s="17" t="str">
        <f>IF($A252="","",VLOOKUP($A252,기본데이타!$A$8:$BV$103,COLUMN(기본데이타!BN$8),0))</f>
        <v/>
      </c>
      <c r="AA252" s="17" t="str">
        <f>IF($A252="","",VLOOKUP($A252,기본데이타!$A$8:$BV$103,COLUMN(기본데이타!BO$8),0))</f>
        <v/>
      </c>
      <c r="AB252" s="17" t="str">
        <f>IF($A252="","",VLOOKUP($A252,기본데이타!$A$8:$BV$103,COLUMN(기본데이타!BP$8),0))</f>
        <v/>
      </c>
      <c r="AC252" s="17" t="str">
        <f>IF($A252="","",VLOOKUP($A252,기본데이타!$A$8:$BV$103,COLUMN(기본데이타!BQ$8),0))</f>
        <v/>
      </c>
      <c r="AD252" s="17" t="str">
        <f>IF($A252="","",VLOOKUP($A252,기본데이타!$A$8:$BV$103,COLUMN(기본데이타!BR$8),0))</f>
        <v/>
      </c>
      <c r="AE252" s="17" t="str">
        <f>IF($A252="","",VLOOKUP($A252,기본데이타!$A$8:$BV$103,COLUMN(기본데이타!BS$8),0))</f>
        <v/>
      </c>
      <c r="AF252" s="294" t="str">
        <f>IF($A252="","",VLOOKUP($A252,기본데이타!$A$8:$BV$103,COLUMN(기본데이타!BT$8),0))</f>
        <v/>
      </c>
      <c r="AG252" s="432" t="str">
        <f>IF($A252="","",VLOOKUP($A252,기본데이타!$A$8:$BV$103,COLUMN(기본데이타!BU$8),0))</f>
        <v/>
      </c>
      <c r="AH252" s="18" t="str">
        <f t="shared" si="55"/>
        <v/>
      </c>
    </row>
    <row r="253" spans="1:35" s="187" customFormat="1" ht="35.1" hidden="1" customHeight="1">
      <c r="A253" s="189"/>
      <c r="C253" s="190"/>
      <c r="D253" s="8" t="str">
        <f>IF($A253="","",VLOOKUP($A253,기본데이타!$A$10:$BV$103,COLUMN(기본데이타!F$8),0))</f>
        <v/>
      </c>
      <c r="E253" s="252" t="str">
        <f>IF($A253="","",VLOOKUP($A253,기본데이타!$A$8:$BV$103,COLUMN(기본데이타!G$8),0))</f>
        <v/>
      </c>
      <c r="F253" s="15" t="str">
        <f>IF($A253="","",VLOOKUP($A253,기본데이타!$A$8:$BV$103,COLUMN(기본데이타!H$8),0))</f>
        <v/>
      </c>
      <c r="G253" s="15" t="str">
        <f>IF($A253="","",VLOOKUP($A253,기본데이타!$A$8:$BV$103,COLUMN(기본데이타!I$8),0))</f>
        <v/>
      </c>
      <c r="H253" s="15" t="str">
        <f>IF($A253="","",VLOOKUP($A253,기본데이타!$A$8:$BV$103,COLUMN(기본데이타!J$8),0))</f>
        <v/>
      </c>
      <c r="I253" s="17" t="str">
        <f>IF($A253="","",VLOOKUP($A253,기본데이타!$A$8:$BV$103,COLUMN(기본데이타!AJ$8),0))</f>
        <v/>
      </c>
      <c r="J253" s="381" t="str">
        <f>IF($A253="","",VLOOKUP($A253,기본데이타!$A$8:$BV$103,COLUMN(기본데이타!AK$8),0))</f>
        <v/>
      </c>
      <c r="K253" s="381" t="str">
        <f>IF($A253="","",VLOOKUP($A253,기본데이타!$A$8:$BV$103,COLUMN(기본데이타!AL$8),0))</f>
        <v/>
      </c>
      <c r="L253" s="381" t="str">
        <f>IF($A253="","",VLOOKUP($A253,기본데이타!$A$8:$BV$103,COLUMN(기본데이타!AM$8),0))</f>
        <v/>
      </c>
      <c r="M253" s="381" t="str">
        <f>IF($A253="","",VLOOKUP($A253,기본데이타!$A$8:$BV$103,COLUMN(기본데이타!AN$8),0))</f>
        <v/>
      </c>
      <c r="N253" s="381" t="str">
        <f>IF($A253="","",VLOOKUP($A253,기본데이타!$A$8:$BV$103,COLUMN(기본데이타!AO$8),0))</f>
        <v/>
      </c>
      <c r="O253" s="381" t="str">
        <f>IF($A253="","",VLOOKUP($A253,기본데이타!$A$8:$BV$103,COLUMN(기본데이타!AP$8),0))</f>
        <v/>
      </c>
      <c r="P253" s="381" t="str">
        <f>IF($A253="","",VLOOKUP($A253,기본데이타!$A$8:$BV$103,COLUMN(기본데이타!AQ$8),0))</f>
        <v/>
      </c>
      <c r="Q253" s="381" t="str">
        <f>IF($A253="","",VLOOKUP($A253,기본데이타!$A$8:$BV$103,COLUMN(기본데이타!AR$8),0))</f>
        <v/>
      </c>
      <c r="R253" s="381" t="str">
        <f>IF($A253="","",VLOOKUP($A253,기본데이타!$A$8:$BV$103,COLUMN(기본데이타!AS$8),0))</f>
        <v/>
      </c>
      <c r="S253" s="381" t="str">
        <f>IF($A253="","",VLOOKUP($A253,기본데이타!$A$8:$BV$103,COLUMN(기본데이타!AT$8),0))</f>
        <v/>
      </c>
      <c r="T253" s="381" t="str">
        <f>IF($A253="","",VLOOKUP($A253,기본데이타!$A$8:$BV$103,COLUMN(기본데이타!AU$8),0))</f>
        <v/>
      </c>
      <c r="U253" s="381" t="str">
        <f>IF($A253="","",VLOOKUP($A253,기본데이타!$A$8:$BV$103,COLUMN(기본데이타!AV$8),0))</f>
        <v/>
      </c>
      <c r="V253" s="16" t="str">
        <f>IF($A253="","",VLOOKUP($A253,기본데이타!$A$8:$BV$103,COLUMN(기본데이타!AW$8),0))</f>
        <v/>
      </c>
      <c r="W253" s="16" t="str">
        <f>IF($A253="","",VLOOKUP($A253,기본데이타!$A$8:$BV$103,COLUMN(기본데이타!AX$8),0))</f>
        <v/>
      </c>
      <c r="X253" s="16" t="str">
        <f>IF($A253="","",VLOOKUP($A253,기본데이타!$A$8:$BV$103,COLUMN(기본데이타!AY$8),0))</f>
        <v/>
      </c>
      <c r="Y253" s="16" t="str">
        <f>IF($A253="","",VLOOKUP($A253,기본데이타!$A$8:$BV$103,COLUMN(기본데이타!AZ$8),0))</f>
        <v/>
      </c>
      <c r="Z253" s="17" t="str">
        <f>IF($A253="","",VLOOKUP($A253,기본데이타!$A$8:$BV$103,COLUMN(기본데이타!BN$8),0))</f>
        <v/>
      </c>
      <c r="AA253" s="17" t="str">
        <f>IF($A253="","",VLOOKUP($A253,기본데이타!$A$8:$BV$103,COLUMN(기본데이타!BO$8),0))</f>
        <v/>
      </c>
      <c r="AB253" s="17" t="str">
        <f>IF($A253="","",VLOOKUP($A253,기본데이타!$A$8:$BV$103,COLUMN(기본데이타!BP$8),0))</f>
        <v/>
      </c>
      <c r="AC253" s="17" t="str">
        <f>IF($A253="","",VLOOKUP($A253,기본데이타!$A$8:$BV$103,COLUMN(기본데이타!BQ$8),0))</f>
        <v/>
      </c>
      <c r="AD253" s="17" t="str">
        <f>IF($A253="","",VLOOKUP($A253,기본데이타!$A$8:$BV$103,COLUMN(기본데이타!BR$8),0))</f>
        <v/>
      </c>
      <c r="AE253" s="17" t="str">
        <f>IF($A253="","",VLOOKUP($A253,기본데이타!$A$8:$BV$103,COLUMN(기본데이타!BS$8),0))</f>
        <v/>
      </c>
      <c r="AF253" s="294" t="str">
        <f>IF($A253="","",VLOOKUP($A253,기본데이타!$A$8:$BV$103,COLUMN(기본데이타!BT$8),0))</f>
        <v/>
      </c>
      <c r="AG253" s="432" t="str">
        <f>IF($A253="","",VLOOKUP($A253,기본데이타!$A$8:$BV$103,COLUMN(기본데이타!BU$8),0))</f>
        <v/>
      </c>
      <c r="AH253" s="18" t="str">
        <f t="shared" si="55"/>
        <v/>
      </c>
    </row>
    <row r="254" spans="1:35" s="187" customFormat="1" ht="35.1" hidden="1" customHeight="1">
      <c r="A254" s="189"/>
      <c r="C254" s="190"/>
      <c r="D254" s="8" t="str">
        <f>IF($A254="","",VLOOKUP($A254,기본데이타!$A$10:$BV$103,COLUMN(기본데이타!F$8),0))</f>
        <v/>
      </c>
      <c r="E254" s="252" t="str">
        <f>IF($A254="","",VLOOKUP($A254,기본데이타!$A$8:$BV$103,COLUMN(기본데이타!G$8),0))</f>
        <v/>
      </c>
      <c r="F254" s="15" t="str">
        <f>IF($A254="","",VLOOKUP($A254,기본데이타!$A$8:$BV$103,COLUMN(기본데이타!H$8),0))</f>
        <v/>
      </c>
      <c r="G254" s="15" t="str">
        <f>IF($A254="","",VLOOKUP($A254,기본데이타!$A$8:$BV$103,COLUMN(기본데이타!I$8),0))</f>
        <v/>
      </c>
      <c r="H254" s="15" t="str">
        <f>IF($A254="","",VLOOKUP($A254,기본데이타!$A$8:$BV$103,COLUMN(기본데이타!J$8),0))</f>
        <v/>
      </c>
      <c r="I254" s="17" t="str">
        <f>IF($A254="","",VLOOKUP($A254,기본데이타!$A$8:$BV$103,COLUMN(기본데이타!AJ$8),0))</f>
        <v/>
      </c>
      <c r="J254" s="381" t="str">
        <f>IF($A254="","",VLOOKUP($A254,기본데이타!$A$8:$BV$103,COLUMN(기본데이타!AK$8),0))</f>
        <v/>
      </c>
      <c r="K254" s="381" t="str">
        <f>IF($A254="","",VLOOKUP($A254,기본데이타!$A$8:$BV$103,COLUMN(기본데이타!AL$8),0))</f>
        <v/>
      </c>
      <c r="L254" s="381" t="str">
        <f>IF($A254="","",VLOOKUP($A254,기본데이타!$A$8:$BV$103,COLUMN(기본데이타!AM$8),0))</f>
        <v/>
      </c>
      <c r="M254" s="381" t="str">
        <f>IF($A254="","",VLOOKUP($A254,기본데이타!$A$8:$BV$103,COLUMN(기본데이타!AN$8),0))</f>
        <v/>
      </c>
      <c r="N254" s="381" t="str">
        <f>IF($A254="","",VLOOKUP($A254,기본데이타!$A$8:$BV$103,COLUMN(기본데이타!AO$8),0))</f>
        <v/>
      </c>
      <c r="O254" s="381" t="str">
        <f>IF($A254="","",VLOOKUP($A254,기본데이타!$A$8:$BV$103,COLUMN(기본데이타!AP$8),0))</f>
        <v/>
      </c>
      <c r="P254" s="381" t="str">
        <f>IF($A254="","",VLOOKUP($A254,기본데이타!$A$8:$BV$103,COLUMN(기본데이타!AQ$8),0))</f>
        <v/>
      </c>
      <c r="Q254" s="381" t="str">
        <f>IF($A254="","",VLOOKUP($A254,기본데이타!$A$8:$BV$103,COLUMN(기본데이타!AR$8),0))</f>
        <v/>
      </c>
      <c r="R254" s="381" t="str">
        <f>IF($A254="","",VLOOKUP($A254,기본데이타!$A$8:$BV$103,COLUMN(기본데이타!AS$8),0))</f>
        <v/>
      </c>
      <c r="S254" s="381" t="str">
        <f>IF($A254="","",VLOOKUP($A254,기본데이타!$A$8:$BV$103,COLUMN(기본데이타!AT$8),0))</f>
        <v/>
      </c>
      <c r="T254" s="381" t="str">
        <f>IF($A254="","",VLOOKUP($A254,기본데이타!$A$8:$BV$103,COLUMN(기본데이타!AU$8),0))</f>
        <v/>
      </c>
      <c r="U254" s="381" t="str">
        <f>IF($A254="","",VLOOKUP($A254,기본데이타!$A$8:$BV$103,COLUMN(기본데이타!AV$8),0))</f>
        <v/>
      </c>
      <c r="V254" s="16" t="str">
        <f>IF($A254="","",VLOOKUP($A254,기본데이타!$A$8:$BV$103,COLUMN(기본데이타!AW$8),0))</f>
        <v/>
      </c>
      <c r="W254" s="16" t="str">
        <f>IF($A254="","",VLOOKUP($A254,기본데이타!$A$8:$BV$103,COLUMN(기본데이타!AX$8),0))</f>
        <v/>
      </c>
      <c r="X254" s="16" t="str">
        <f>IF($A254="","",VLOOKUP($A254,기본데이타!$A$8:$BV$103,COLUMN(기본데이타!AY$8),0))</f>
        <v/>
      </c>
      <c r="Y254" s="16" t="str">
        <f>IF($A254="","",VLOOKUP($A254,기본데이타!$A$8:$BV$103,COLUMN(기본데이타!AZ$8),0))</f>
        <v/>
      </c>
      <c r="Z254" s="17" t="str">
        <f>IF($A254="","",VLOOKUP($A254,기본데이타!$A$8:$BV$103,COLUMN(기본데이타!BN$8),0))</f>
        <v/>
      </c>
      <c r="AA254" s="17" t="str">
        <f>IF($A254="","",VLOOKUP($A254,기본데이타!$A$8:$BV$103,COLUMN(기본데이타!BO$8),0))</f>
        <v/>
      </c>
      <c r="AB254" s="17" t="str">
        <f>IF($A254="","",VLOOKUP($A254,기본데이타!$A$8:$BV$103,COLUMN(기본데이타!BP$8),0))</f>
        <v/>
      </c>
      <c r="AC254" s="17" t="str">
        <f>IF($A254="","",VLOOKUP($A254,기본데이타!$A$8:$BV$103,COLUMN(기본데이타!BQ$8),0))</f>
        <v/>
      </c>
      <c r="AD254" s="17" t="str">
        <f>IF($A254="","",VLOOKUP($A254,기본데이타!$A$8:$BV$103,COLUMN(기본데이타!BR$8),0))</f>
        <v/>
      </c>
      <c r="AE254" s="17" t="str">
        <f>IF($A254="","",VLOOKUP($A254,기본데이타!$A$8:$BV$103,COLUMN(기본데이타!BS$8),0))</f>
        <v/>
      </c>
      <c r="AF254" s="294" t="str">
        <f>IF($A254="","",VLOOKUP($A254,기본데이타!$A$8:$BV$103,COLUMN(기본데이타!BT$8),0))</f>
        <v/>
      </c>
      <c r="AG254" s="432" t="str">
        <f>IF($A254="","",VLOOKUP($A254,기본데이타!$A$8:$BV$103,COLUMN(기본데이타!BU$8),0))</f>
        <v/>
      </c>
      <c r="AH254" s="18" t="str">
        <f t="shared" si="55"/>
        <v/>
      </c>
    </row>
    <row r="255" spans="1:35" s="187" customFormat="1" ht="35.1" hidden="1" customHeight="1">
      <c r="A255" s="189"/>
      <c r="C255" s="190"/>
      <c r="D255" s="8" t="str">
        <f>IF($A255="","",VLOOKUP($A255,기본데이타!$A$10:$BV$103,COLUMN(기본데이타!F$8),0))</f>
        <v/>
      </c>
      <c r="E255" s="252" t="str">
        <f>IF($A255="","",VLOOKUP($A255,기본데이타!$A$8:$BV$103,COLUMN(기본데이타!G$8),0))</f>
        <v/>
      </c>
      <c r="F255" s="15" t="str">
        <f>IF($A255="","",VLOOKUP($A255,기본데이타!$A$8:$BV$103,COLUMN(기본데이타!H$8),0))</f>
        <v/>
      </c>
      <c r="G255" s="15" t="str">
        <f>IF($A255="","",VLOOKUP($A255,기본데이타!$A$8:$BV$103,COLUMN(기본데이타!I$8),0))</f>
        <v/>
      </c>
      <c r="H255" s="15" t="str">
        <f>IF($A255="","",VLOOKUP($A255,기본데이타!$A$8:$BV$103,COLUMN(기본데이타!J$8),0))</f>
        <v/>
      </c>
      <c r="I255" s="17" t="str">
        <f>IF($A255="","",VLOOKUP($A255,기본데이타!$A$8:$BV$103,COLUMN(기본데이타!AJ$8),0))</f>
        <v/>
      </c>
      <c r="J255" s="381" t="str">
        <f>IF($A255="","",VLOOKUP($A255,기본데이타!$A$8:$BV$103,COLUMN(기본데이타!AK$8),0))</f>
        <v/>
      </c>
      <c r="K255" s="381" t="str">
        <f>IF($A255="","",VLOOKUP($A255,기본데이타!$A$8:$BV$103,COLUMN(기본데이타!AL$8),0))</f>
        <v/>
      </c>
      <c r="L255" s="381" t="str">
        <f>IF($A255="","",VLOOKUP($A255,기본데이타!$A$8:$BV$103,COLUMN(기본데이타!AM$8),0))</f>
        <v/>
      </c>
      <c r="M255" s="381" t="str">
        <f>IF($A255="","",VLOOKUP($A255,기본데이타!$A$8:$BV$103,COLUMN(기본데이타!AN$8),0))</f>
        <v/>
      </c>
      <c r="N255" s="381" t="str">
        <f>IF($A255="","",VLOOKUP($A255,기본데이타!$A$8:$BV$103,COLUMN(기본데이타!AO$8),0))</f>
        <v/>
      </c>
      <c r="O255" s="381" t="str">
        <f>IF($A255="","",VLOOKUP($A255,기본데이타!$A$8:$BV$103,COLUMN(기본데이타!AP$8),0))</f>
        <v/>
      </c>
      <c r="P255" s="381" t="str">
        <f>IF($A255="","",VLOOKUP($A255,기본데이타!$A$8:$BV$103,COLUMN(기본데이타!AQ$8),0))</f>
        <v/>
      </c>
      <c r="Q255" s="381" t="str">
        <f>IF($A255="","",VLOOKUP($A255,기본데이타!$A$8:$BV$103,COLUMN(기본데이타!AR$8),0))</f>
        <v/>
      </c>
      <c r="R255" s="381" t="str">
        <f>IF($A255="","",VLOOKUP($A255,기본데이타!$A$8:$BV$103,COLUMN(기본데이타!AS$8),0))</f>
        <v/>
      </c>
      <c r="S255" s="381" t="str">
        <f>IF($A255="","",VLOOKUP($A255,기본데이타!$A$8:$BV$103,COLUMN(기본데이타!AT$8),0))</f>
        <v/>
      </c>
      <c r="T255" s="381" t="str">
        <f>IF($A255="","",VLOOKUP($A255,기본데이타!$A$8:$BV$103,COLUMN(기본데이타!AU$8),0))</f>
        <v/>
      </c>
      <c r="U255" s="381" t="str">
        <f>IF($A255="","",VLOOKUP($A255,기본데이타!$A$8:$BV$103,COLUMN(기본데이타!AV$8),0))</f>
        <v/>
      </c>
      <c r="V255" s="16" t="str">
        <f>IF($A255="","",VLOOKUP($A255,기본데이타!$A$8:$BV$103,COLUMN(기본데이타!AW$8),0))</f>
        <v/>
      </c>
      <c r="W255" s="16" t="str">
        <f>IF($A255="","",VLOOKUP($A255,기본데이타!$A$8:$BV$103,COLUMN(기본데이타!AX$8),0))</f>
        <v/>
      </c>
      <c r="X255" s="16" t="str">
        <f>IF($A255="","",VLOOKUP($A255,기본데이타!$A$8:$BV$103,COLUMN(기본데이타!AY$8),0))</f>
        <v/>
      </c>
      <c r="Y255" s="16" t="str">
        <f>IF($A255="","",VLOOKUP($A255,기본데이타!$A$8:$BV$103,COLUMN(기본데이타!AZ$8),0))</f>
        <v/>
      </c>
      <c r="Z255" s="17" t="str">
        <f>IF($A255="","",VLOOKUP($A255,기본데이타!$A$8:$BV$103,COLUMN(기본데이타!BN$8),0))</f>
        <v/>
      </c>
      <c r="AA255" s="17" t="str">
        <f>IF($A255="","",VLOOKUP($A255,기본데이타!$A$8:$BV$103,COLUMN(기본데이타!BO$8),0))</f>
        <v/>
      </c>
      <c r="AB255" s="17" t="str">
        <f>IF($A255="","",VLOOKUP($A255,기본데이타!$A$8:$BV$103,COLUMN(기본데이타!BP$8),0))</f>
        <v/>
      </c>
      <c r="AC255" s="17" t="str">
        <f>IF($A255="","",VLOOKUP($A255,기본데이타!$A$8:$BV$103,COLUMN(기본데이타!BQ$8),0))</f>
        <v/>
      </c>
      <c r="AD255" s="17" t="str">
        <f>IF($A255="","",VLOOKUP($A255,기본데이타!$A$8:$BV$103,COLUMN(기본데이타!BR$8),0))</f>
        <v/>
      </c>
      <c r="AE255" s="17" t="str">
        <f>IF($A255="","",VLOOKUP($A255,기본데이타!$A$8:$BV$103,COLUMN(기본데이타!BS$8),0))</f>
        <v/>
      </c>
      <c r="AF255" s="294" t="str">
        <f>IF($A255="","",VLOOKUP($A255,기본데이타!$A$8:$BV$103,COLUMN(기본데이타!BT$8),0))</f>
        <v/>
      </c>
      <c r="AG255" s="432" t="str">
        <f>IF($A255="","",VLOOKUP($A255,기본데이타!$A$8:$BV$103,COLUMN(기본데이타!BU$8),0))</f>
        <v/>
      </c>
      <c r="AH255" s="18" t="str">
        <f t="shared" si="55"/>
        <v/>
      </c>
    </row>
    <row r="256" spans="1:35" s="187" customFormat="1" ht="35.1" hidden="1" customHeight="1">
      <c r="A256" s="189"/>
      <c r="C256" s="190"/>
      <c r="D256" s="8" t="str">
        <f>IF($A256="","",VLOOKUP($A256,기본데이타!$A$10:$BV$103,COLUMN(기본데이타!F$8),0))</f>
        <v/>
      </c>
      <c r="E256" s="252" t="str">
        <f>IF($A256="","",VLOOKUP($A256,기본데이타!$A$8:$BV$103,COLUMN(기본데이타!G$8),0))</f>
        <v/>
      </c>
      <c r="F256" s="15" t="str">
        <f>IF($A256="","",VLOOKUP($A256,기본데이타!$A$8:$BV$103,COLUMN(기본데이타!H$8),0))</f>
        <v/>
      </c>
      <c r="G256" s="15" t="str">
        <f>IF($A256="","",VLOOKUP($A256,기본데이타!$A$8:$BV$103,COLUMN(기본데이타!I$8),0))</f>
        <v/>
      </c>
      <c r="H256" s="15" t="str">
        <f>IF($A256="","",VLOOKUP($A256,기본데이타!$A$8:$BV$103,COLUMN(기본데이타!J$8),0))</f>
        <v/>
      </c>
      <c r="I256" s="17" t="str">
        <f>IF($A256="","",VLOOKUP($A256,기본데이타!$A$8:$BV$103,COLUMN(기본데이타!AJ$8),0))</f>
        <v/>
      </c>
      <c r="J256" s="381" t="str">
        <f>IF($A256="","",VLOOKUP($A256,기본데이타!$A$8:$BV$103,COLUMN(기본데이타!AK$8),0))</f>
        <v/>
      </c>
      <c r="K256" s="381" t="str">
        <f>IF($A256="","",VLOOKUP($A256,기본데이타!$A$8:$BV$103,COLUMN(기본데이타!AL$8),0))</f>
        <v/>
      </c>
      <c r="L256" s="381" t="str">
        <f>IF($A256="","",VLOOKUP($A256,기본데이타!$A$8:$BV$103,COLUMN(기본데이타!AM$8),0))</f>
        <v/>
      </c>
      <c r="M256" s="381" t="str">
        <f>IF($A256="","",VLOOKUP($A256,기본데이타!$A$8:$BV$103,COLUMN(기본데이타!AN$8),0))</f>
        <v/>
      </c>
      <c r="N256" s="381" t="str">
        <f>IF($A256="","",VLOOKUP($A256,기본데이타!$A$8:$BV$103,COLUMN(기본데이타!AO$8),0))</f>
        <v/>
      </c>
      <c r="O256" s="381" t="str">
        <f>IF($A256="","",VLOOKUP($A256,기본데이타!$A$8:$BV$103,COLUMN(기본데이타!AP$8),0))</f>
        <v/>
      </c>
      <c r="P256" s="381" t="str">
        <f>IF($A256="","",VLOOKUP($A256,기본데이타!$A$8:$BV$103,COLUMN(기본데이타!AQ$8),0))</f>
        <v/>
      </c>
      <c r="Q256" s="381" t="str">
        <f>IF($A256="","",VLOOKUP($A256,기본데이타!$A$8:$BV$103,COLUMN(기본데이타!AR$8),0))</f>
        <v/>
      </c>
      <c r="R256" s="381" t="str">
        <f>IF($A256="","",VLOOKUP($A256,기본데이타!$A$8:$BV$103,COLUMN(기본데이타!AS$8),0))</f>
        <v/>
      </c>
      <c r="S256" s="381" t="str">
        <f>IF($A256="","",VLOOKUP($A256,기본데이타!$A$8:$BV$103,COLUMN(기본데이타!AT$8),0))</f>
        <v/>
      </c>
      <c r="T256" s="381" t="str">
        <f>IF($A256="","",VLOOKUP($A256,기본데이타!$A$8:$BV$103,COLUMN(기본데이타!AU$8),0))</f>
        <v/>
      </c>
      <c r="U256" s="381" t="str">
        <f>IF($A256="","",VLOOKUP($A256,기본데이타!$A$8:$BV$103,COLUMN(기본데이타!AV$8),0))</f>
        <v/>
      </c>
      <c r="V256" s="16" t="str">
        <f>IF($A256="","",VLOOKUP($A256,기본데이타!$A$8:$BV$103,COLUMN(기본데이타!AW$8),0))</f>
        <v/>
      </c>
      <c r="W256" s="16" t="str">
        <f>IF($A256="","",VLOOKUP($A256,기본데이타!$A$8:$BV$103,COLUMN(기본데이타!AX$8),0))</f>
        <v/>
      </c>
      <c r="X256" s="16" t="str">
        <f>IF($A256="","",VLOOKUP($A256,기본데이타!$A$8:$BV$103,COLUMN(기본데이타!AY$8),0))</f>
        <v/>
      </c>
      <c r="Y256" s="16" t="str">
        <f>IF($A256="","",VLOOKUP($A256,기본데이타!$A$8:$BV$103,COLUMN(기본데이타!AZ$8),0))</f>
        <v/>
      </c>
      <c r="Z256" s="17" t="str">
        <f>IF($A256="","",VLOOKUP($A256,기본데이타!$A$8:$BV$103,COLUMN(기본데이타!BN$8),0))</f>
        <v/>
      </c>
      <c r="AA256" s="17" t="str">
        <f>IF($A256="","",VLOOKUP($A256,기본데이타!$A$8:$BV$103,COLUMN(기본데이타!BO$8),0))</f>
        <v/>
      </c>
      <c r="AB256" s="17" t="str">
        <f>IF($A256="","",VLOOKUP($A256,기본데이타!$A$8:$BV$103,COLUMN(기본데이타!BP$8),0))</f>
        <v/>
      </c>
      <c r="AC256" s="17" t="str">
        <f>IF($A256="","",VLOOKUP($A256,기본데이타!$A$8:$BV$103,COLUMN(기본데이타!BQ$8),0))</f>
        <v/>
      </c>
      <c r="AD256" s="17" t="str">
        <f>IF($A256="","",VLOOKUP($A256,기본데이타!$A$8:$BV$103,COLUMN(기본데이타!BR$8),0))</f>
        <v/>
      </c>
      <c r="AE256" s="17" t="str">
        <f>IF($A256="","",VLOOKUP($A256,기본데이타!$A$8:$BV$103,COLUMN(기본데이타!BS$8),0))</f>
        <v/>
      </c>
      <c r="AF256" s="294" t="str">
        <f>IF($A256="","",VLOOKUP($A256,기본데이타!$A$8:$BV$103,COLUMN(기본데이타!BT$8),0))</f>
        <v/>
      </c>
      <c r="AG256" s="432" t="str">
        <f>IF($A256="","",VLOOKUP($A256,기본데이타!$A$8:$BV$103,COLUMN(기본데이타!BU$8),0))</f>
        <v/>
      </c>
      <c r="AH256" s="18" t="str">
        <f t="shared" si="55"/>
        <v/>
      </c>
    </row>
    <row r="257" spans="1:34" s="187" customFormat="1" ht="35.1" hidden="1" customHeight="1">
      <c r="A257" s="189"/>
      <c r="C257" s="190"/>
      <c r="D257" s="8" t="str">
        <f>IF($A257="","",VLOOKUP($A257,기본데이타!$A$10:$BV$103,COLUMN(기본데이타!F$8),0))</f>
        <v/>
      </c>
      <c r="E257" s="252" t="str">
        <f>IF($A257="","",VLOOKUP($A257,기본데이타!$A$8:$BV$103,COLUMN(기본데이타!G$8),0))</f>
        <v/>
      </c>
      <c r="F257" s="15" t="str">
        <f>IF($A257="","",VLOOKUP($A257,기본데이타!$A$8:$BV$103,COLUMN(기본데이타!H$8),0))</f>
        <v/>
      </c>
      <c r="G257" s="15" t="str">
        <f>IF($A257="","",VLOOKUP($A257,기본데이타!$A$8:$BV$103,COLUMN(기본데이타!I$8),0))</f>
        <v/>
      </c>
      <c r="H257" s="15" t="str">
        <f>IF($A257="","",VLOOKUP($A257,기본데이타!$A$8:$BV$103,COLUMN(기본데이타!J$8),0))</f>
        <v/>
      </c>
      <c r="I257" s="17" t="str">
        <f>IF($A257="","",VLOOKUP($A257,기본데이타!$A$8:$BV$103,COLUMN(기본데이타!AJ$8),0))</f>
        <v/>
      </c>
      <c r="J257" s="381" t="str">
        <f>IF($A257="","",VLOOKUP($A257,기본데이타!$A$8:$BV$103,COLUMN(기본데이타!AK$8),0))</f>
        <v/>
      </c>
      <c r="K257" s="381" t="str">
        <f>IF($A257="","",VLOOKUP($A257,기본데이타!$A$8:$BV$103,COLUMN(기본데이타!AL$8),0))</f>
        <v/>
      </c>
      <c r="L257" s="381" t="str">
        <f>IF($A257="","",VLOOKUP($A257,기본데이타!$A$8:$BV$103,COLUMN(기본데이타!AM$8),0))</f>
        <v/>
      </c>
      <c r="M257" s="381" t="str">
        <f>IF($A257="","",VLOOKUP($A257,기본데이타!$A$8:$BV$103,COLUMN(기본데이타!AN$8),0))</f>
        <v/>
      </c>
      <c r="N257" s="381" t="str">
        <f>IF($A257="","",VLOOKUP($A257,기본데이타!$A$8:$BV$103,COLUMN(기본데이타!AO$8),0))</f>
        <v/>
      </c>
      <c r="O257" s="381" t="str">
        <f>IF($A257="","",VLOOKUP($A257,기본데이타!$A$8:$BV$103,COLUMN(기본데이타!AP$8),0))</f>
        <v/>
      </c>
      <c r="P257" s="381" t="str">
        <f>IF($A257="","",VLOOKUP($A257,기본데이타!$A$8:$BV$103,COLUMN(기본데이타!AQ$8),0))</f>
        <v/>
      </c>
      <c r="Q257" s="381" t="str">
        <f>IF($A257="","",VLOOKUP($A257,기본데이타!$A$8:$BV$103,COLUMN(기본데이타!AR$8),0))</f>
        <v/>
      </c>
      <c r="R257" s="381" t="str">
        <f>IF($A257="","",VLOOKUP($A257,기본데이타!$A$8:$BV$103,COLUMN(기본데이타!AS$8),0))</f>
        <v/>
      </c>
      <c r="S257" s="381" t="str">
        <f>IF($A257="","",VLOOKUP($A257,기본데이타!$A$8:$BV$103,COLUMN(기본데이타!AT$8),0))</f>
        <v/>
      </c>
      <c r="T257" s="381" t="str">
        <f>IF($A257="","",VLOOKUP($A257,기본데이타!$A$8:$BV$103,COLUMN(기본데이타!AU$8),0))</f>
        <v/>
      </c>
      <c r="U257" s="381" t="str">
        <f>IF($A257="","",VLOOKUP($A257,기본데이타!$A$8:$BV$103,COLUMN(기본데이타!AV$8),0))</f>
        <v/>
      </c>
      <c r="V257" s="16" t="str">
        <f>IF($A257="","",VLOOKUP($A257,기본데이타!$A$8:$BV$103,COLUMN(기본데이타!AW$8),0))</f>
        <v/>
      </c>
      <c r="W257" s="16" t="str">
        <f>IF($A257="","",VLOOKUP($A257,기본데이타!$A$8:$BV$103,COLUMN(기본데이타!AX$8),0))</f>
        <v/>
      </c>
      <c r="X257" s="16" t="str">
        <f>IF($A257="","",VLOOKUP($A257,기본데이타!$A$8:$BV$103,COLUMN(기본데이타!AY$8),0))</f>
        <v/>
      </c>
      <c r="Y257" s="16" t="str">
        <f>IF($A257="","",VLOOKUP($A257,기본데이타!$A$8:$BV$103,COLUMN(기본데이타!AZ$8),0))</f>
        <v/>
      </c>
      <c r="Z257" s="17" t="str">
        <f>IF($A257="","",VLOOKUP($A257,기본데이타!$A$8:$BV$103,COLUMN(기본데이타!BN$8),0))</f>
        <v/>
      </c>
      <c r="AA257" s="17" t="str">
        <f>IF($A257="","",VLOOKUP($A257,기본데이타!$A$8:$BV$103,COLUMN(기본데이타!BO$8),0))</f>
        <v/>
      </c>
      <c r="AB257" s="17" t="str">
        <f>IF($A257="","",VLOOKUP($A257,기본데이타!$A$8:$BV$103,COLUMN(기본데이타!BP$8),0))</f>
        <v/>
      </c>
      <c r="AC257" s="17" t="str">
        <f>IF($A257="","",VLOOKUP($A257,기본데이타!$A$8:$BV$103,COLUMN(기본데이타!BQ$8),0))</f>
        <v/>
      </c>
      <c r="AD257" s="17" t="str">
        <f>IF($A257="","",VLOOKUP($A257,기본데이타!$A$8:$BV$103,COLUMN(기본데이타!BR$8),0))</f>
        <v/>
      </c>
      <c r="AE257" s="17" t="str">
        <f>IF($A257="","",VLOOKUP($A257,기본데이타!$A$8:$BV$103,COLUMN(기본데이타!BS$8),0))</f>
        <v/>
      </c>
      <c r="AF257" s="294" t="str">
        <f>IF($A257="","",VLOOKUP($A257,기본데이타!$A$8:$BV$103,COLUMN(기본데이타!BT$8),0))</f>
        <v/>
      </c>
      <c r="AG257" s="432" t="str">
        <f>IF($A257="","",VLOOKUP($A257,기본데이타!$A$8:$BV$103,COLUMN(기본데이타!BU$8),0))</f>
        <v/>
      </c>
      <c r="AH257" s="18" t="str">
        <f t="shared" si="55"/>
        <v/>
      </c>
    </row>
    <row r="258" spans="1:34" s="187" customFormat="1" ht="35.1" hidden="1" customHeight="1">
      <c r="A258" s="189"/>
      <c r="C258" s="190"/>
      <c r="D258" s="8" t="str">
        <f>IF($A258="","",VLOOKUP($A258,기본데이타!$A$10:$BV$103,COLUMN(기본데이타!F$8),0))</f>
        <v/>
      </c>
      <c r="E258" s="252" t="str">
        <f>IF($A258="","",VLOOKUP($A258,기본데이타!$A$8:$BV$103,COLUMN(기본데이타!G$8),0))</f>
        <v/>
      </c>
      <c r="F258" s="15" t="str">
        <f>IF($A258="","",VLOOKUP($A258,기본데이타!$A$8:$BV$103,COLUMN(기본데이타!H$8),0))</f>
        <v/>
      </c>
      <c r="G258" s="15" t="str">
        <f>IF($A258="","",VLOOKUP($A258,기본데이타!$A$8:$BV$103,COLUMN(기본데이타!I$8),0))</f>
        <v/>
      </c>
      <c r="H258" s="15" t="str">
        <f>IF($A258="","",VLOOKUP($A258,기본데이타!$A$8:$BV$103,COLUMN(기본데이타!J$8),0))</f>
        <v/>
      </c>
      <c r="I258" s="17" t="str">
        <f>IF($A258="","",VLOOKUP($A258,기본데이타!$A$8:$BV$103,COLUMN(기본데이타!AJ$8),0))</f>
        <v/>
      </c>
      <c r="J258" s="381" t="str">
        <f>IF($A258="","",VLOOKUP($A258,기본데이타!$A$8:$BV$103,COLUMN(기본데이타!AK$8),0))</f>
        <v/>
      </c>
      <c r="K258" s="381" t="str">
        <f>IF($A258="","",VLOOKUP($A258,기본데이타!$A$8:$BV$103,COLUMN(기본데이타!AL$8),0))</f>
        <v/>
      </c>
      <c r="L258" s="381" t="str">
        <f>IF($A258="","",VLOOKUP($A258,기본데이타!$A$8:$BV$103,COLUMN(기본데이타!AM$8),0))</f>
        <v/>
      </c>
      <c r="M258" s="381" t="str">
        <f>IF($A258="","",VLOOKUP($A258,기본데이타!$A$8:$BV$103,COLUMN(기본데이타!AN$8),0))</f>
        <v/>
      </c>
      <c r="N258" s="381" t="str">
        <f>IF($A258="","",VLOOKUP($A258,기본데이타!$A$8:$BV$103,COLUMN(기본데이타!AO$8),0))</f>
        <v/>
      </c>
      <c r="O258" s="381" t="str">
        <f>IF($A258="","",VLOOKUP($A258,기본데이타!$A$8:$BV$103,COLUMN(기본데이타!AP$8),0))</f>
        <v/>
      </c>
      <c r="P258" s="381" t="str">
        <f>IF($A258="","",VLOOKUP($A258,기본데이타!$A$8:$BV$103,COLUMN(기본데이타!AQ$8),0))</f>
        <v/>
      </c>
      <c r="Q258" s="381" t="str">
        <f>IF($A258="","",VLOOKUP($A258,기본데이타!$A$8:$BV$103,COLUMN(기본데이타!AR$8),0))</f>
        <v/>
      </c>
      <c r="R258" s="381" t="str">
        <f>IF($A258="","",VLOOKUP($A258,기본데이타!$A$8:$BV$103,COLUMN(기본데이타!AS$8),0))</f>
        <v/>
      </c>
      <c r="S258" s="381" t="str">
        <f>IF($A258="","",VLOOKUP($A258,기본데이타!$A$8:$BV$103,COLUMN(기본데이타!AT$8),0))</f>
        <v/>
      </c>
      <c r="T258" s="381" t="str">
        <f>IF($A258="","",VLOOKUP($A258,기본데이타!$A$8:$BV$103,COLUMN(기본데이타!AU$8),0))</f>
        <v/>
      </c>
      <c r="U258" s="381" t="str">
        <f>IF($A258="","",VLOOKUP($A258,기본데이타!$A$8:$BV$103,COLUMN(기본데이타!AV$8),0))</f>
        <v/>
      </c>
      <c r="V258" s="16" t="str">
        <f>IF($A258="","",VLOOKUP($A258,기본데이타!$A$8:$BV$103,COLUMN(기본데이타!AW$8),0))</f>
        <v/>
      </c>
      <c r="W258" s="16" t="str">
        <f>IF($A258="","",VLOOKUP($A258,기본데이타!$A$8:$BV$103,COLUMN(기본데이타!AX$8),0))</f>
        <v/>
      </c>
      <c r="X258" s="16" t="str">
        <f>IF($A258="","",VLOOKUP($A258,기본데이타!$A$8:$BV$103,COLUMN(기본데이타!AY$8),0))</f>
        <v/>
      </c>
      <c r="Y258" s="16" t="str">
        <f>IF($A258="","",VLOOKUP($A258,기본데이타!$A$8:$BV$103,COLUMN(기본데이타!AZ$8),0))</f>
        <v/>
      </c>
      <c r="Z258" s="17" t="str">
        <f>IF($A258="","",VLOOKUP($A258,기본데이타!$A$8:$BV$103,COLUMN(기본데이타!BN$8),0))</f>
        <v/>
      </c>
      <c r="AA258" s="17" t="str">
        <f>IF($A258="","",VLOOKUP($A258,기본데이타!$A$8:$BV$103,COLUMN(기본데이타!BO$8),0))</f>
        <v/>
      </c>
      <c r="AB258" s="17" t="str">
        <f>IF($A258="","",VLOOKUP($A258,기본데이타!$A$8:$BV$103,COLUMN(기본데이타!BP$8),0))</f>
        <v/>
      </c>
      <c r="AC258" s="17" t="str">
        <f>IF($A258="","",VLOOKUP($A258,기본데이타!$A$8:$BV$103,COLUMN(기본데이타!BQ$8),0))</f>
        <v/>
      </c>
      <c r="AD258" s="17" t="str">
        <f>IF($A258="","",VLOOKUP($A258,기본데이타!$A$8:$BV$103,COLUMN(기본데이타!BR$8),0))</f>
        <v/>
      </c>
      <c r="AE258" s="17" t="str">
        <f>IF($A258="","",VLOOKUP($A258,기본데이타!$A$8:$BV$103,COLUMN(기본데이타!BS$8),0))</f>
        <v/>
      </c>
      <c r="AF258" s="294" t="str">
        <f>IF($A258="","",VLOOKUP($A258,기본데이타!$A$8:$BV$103,COLUMN(기본데이타!BT$8),0))</f>
        <v/>
      </c>
      <c r="AG258" s="432" t="str">
        <f>IF($A258="","",VLOOKUP($A258,기본데이타!$A$8:$BV$103,COLUMN(기본데이타!BU$8),0))</f>
        <v/>
      </c>
      <c r="AH258" s="18" t="str">
        <f t="shared" si="55"/>
        <v/>
      </c>
    </row>
    <row r="259" spans="1:34" s="187" customFormat="1" ht="35.1" hidden="1" customHeight="1">
      <c r="A259" s="189"/>
      <c r="C259" s="190"/>
      <c r="D259" s="8" t="str">
        <f>IF($A259="","",VLOOKUP($A259,기본데이타!$A$10:$BV$103,COLUMN(기본데이타!F$8),0))</f>
        <v/>
      </c>
      <c r="E259" s="252" t="str">
        <f>IF($A259="","",VLOOKUP($A259,기본데이타!$A$8:$BV$103,COLUMN(기본데이타!G$8),0))</f>
        <v/>
      </c>
      <c r="F259" s="15" t="str">
        <f>IF($A259="","",VLOOKUP($A259,기본데이타!$A$8:$BV$103,COLUMN(기본데이타!H$8),0))</f>
        <v/>
      </c>
      <c r="G259" s="15" t="str">
        <f>IF($A259="","",VLOOKUP($A259,기본데이타!$A$8:$BV$103,COLUMN(기본데이타!I$8),0))</f>
        <v/>
      </c>
      <c r="H259" s="15" t="str">
        <f>IF($A259="","",VLOOKUP($A259,기본데이타!$A$8:$BV$103,COLUMN(기본데이타!J$8),0))</f>
        <v/>
      </c>
      <c r="I259" s="17" t="str">
        <f>IF($A259="","",VLOOKUP($A259,기본데이타!$A$8:$BV$103,COLUMN(기본데이타!AJ$8),0))</f>
        <v/>
      </c>
      <c r="J259" s="381" t="str">
        <f>IF($A259="","",VLOOKUP($A259,기본데이타!$A$8:$BV$103,COLUMN(기본데이타!AK$8),0))</f>
        <v/>
      </c>
      <c r="K259" s="381" t="str">
        <f>IF($A259="","",VLOOKUP($A259,기본데이타!$A$8:$BV$103,COLUMN(기본데이타!AL$8),0))</f>
        <v/>
      </c>
      <c r="L259" s="381" t="str">
        <f>IF($A259="","",VLOOKUP($A259,기본데이타!$A$8:$BV$103,COLUMN(기본데이타!AM$8),0))</f>
        <v/>
      </c>
      <c r="M259" s="381" t="str">
        <f>IF($A259="","",VLOOKUP($A259,기본데이타!$A$8:$BV$103,COLUMN(기본데이타!AN$8),0))</f>
        <v/>
      </c>
      <c r="N259" s="381" t="str">
        <f>IF($A259="","",VLOOKUP($A259,기본데이타!$A$8:$BV$103,COLUMN(기본데이타!AO$8),0))</f>
        <v/>
      </c>
      <c r="O259" s="381" t="str">
        <f>IF($A259="","",VLOOKUP($A259,기본데이타!$A$8:$BV$103,COLUMN(기본데이타!AP$8),0))</f>
        <v/>
      </c>
      <c r="P259" s="381" t="str">
        <f>IF($A259="","",VLOOKUP($A259,기본데이타!$A$8:$BV$103,COLUMN(기본데이타!AQ$8),0))</f>
        <v/>
      </c>
      <c r="Q259" s="381" t="str">
        <f>IF($A259="","",VLOOKUP($A259,기본데이타!$A$8:$BV$103,COLUMN(기본데이타!AR$8),0))</f>
        <v/>
      </c>
      <c r="R259" s="381" t="str">
        <f>IF($A259="","",VLOOKUP($A259,기본데이타!$A$8:$BV$103,COLUMN(기본데이타!AS$8),0))</f>
        <v/>
      </c>
      <c r="S259" s="381" t="str">
        <f>IF($A259="","",VLOOKUP($A259,기본데이타!$A$8:$BV$103,COLUMN(기본데이타!AT$8),0))</f>
        <v/>
      </c>
      <c r="T259" s="381" t="str">
        <f>IF($A259="","",VLOOKUP($A259,기본데이타!$A$8:$BV$103,COLUMN(기본데이타!AU$8),0))</f>
        <v/>
      </c>
      <c r="U259" s="381" t="str">
        <f>IF($A259="","",VLOOKUP($A259,기본데이타!$A$8:$BV$103,COLUMN(기본데이타!AV$8),0))</f>
        <v/>
      </c>
      <c r="V259" s="16" t="str">
        <f>IF($A259="","",VLOOKUP($A259,기본데이타!$A$8:$BV$103,COLUMN(기본데이타!AW$8),0))</f>
        <v/>
      </c>
      <c r="W259" s="16" t="str">
        <f>IF($A259="","",VLOOKUP($A259,기본데이타!$A$8:$BV$103,COLUMN(기본데이타!AX$8),0))</f>
        <v/>
      </c>
      <c r="X259" s="16" t="str">
        <f>IF($A259="","",VLOOKUP($A259,기본데이타!$A$8:$BV$103,COLUMN(기본데이타!AY$8),0))</f>
        <v/>
      </c>
      <c r="Y259" s="16" t="str">
        <f>IF($A259="","",VLOOKUP($A259,기본데이타!$A$8:$BV$103,COLUMN(기본데이타!AZ$8),0))</f>
        <v/>
      </c>
      <c r="Z259" s="17" t="str">
        <f>IF($A259="","",VLOOKUP($A259,기본데이타!$A$8:$BV$103,COLUMN(기본데이타!BN$8),0))</f>
        <v/>
      </c>
      <c r="AA259" s="17" t="str">
        <f>IF($A259="","",VLOOKUP($A259,기본데이타!$A$8:$BV$103,COLUMN(기본데이타!BO$8),0))</f>
        <v/>
      </c>
      <c r="AB259" s="17" t="str">
        <f>IF($A259="","",VLOOKUP($A259,기본데이타!$A$8:$BV$103,COLUMN(기본데이타!BP$8),0))</f>
        <v/>
      </c>
      <c r="AC259" s="17" t="str">
        <f>IF($A259="","",VLOOKUP($A259,기본데이타!$A$8:$BV$103,COLUMN(기본데이타!BQ$8),0))</f>
        <v/>
      </c>
      <c r="AD259" s="17" t="str">
        <f>IF($A259="","",VLOOKUP($A259,기본데이타!$A$8:$BV$103,COLUMN(기본데이타!BR$8),0))</f>
        <v/>
      </c>
      <c r="AE259" s="17" t="str">
        <f>IF($A259="","",VLOOKUP($A259,기본데이타!$A$8:$BV$103,COLUMN(기본데이타!BS$8),0))</f>
        <v/>
      </c>
      <c r="AF259" s="294" t="str">
        <f>IF($A259="","",VLOOKUP($A259,기본데이타!$A$8:$BV$103,COLUMN(기본데이타!BT$8),0))</f>
        <v/>
      </c>
      <c r="AG259" s="432" t="str">
        <f>IF($A259="","",VLOOKUP($A259,기본데이타!$A$8:$BV$103,COLUMN(기본데이타!BU$8),0))</f>
        <v/>
      </c>
      <c r="AH259" s="18" t="str">
        <f t="shared" si="55"/>
        <v/>
      </c>
    </row>
    <row r="260" spans="1:34" s="187" customFormat="1" ht="35.1" hidden="1" customHeight="1">
      <c r="A260" s="189"/>
      <c r="C260" s="190"/>
      <c r="D260" s="8" t="str">
        <f>IF($A260="","",VLOOKUP($A260,기본데이타!$A$10:$BV$103,COLUMN(기본데이타!F$8),0))</f>
        <v/>
      </c>
      <c r="E260" s="252" t="str">
        <f>IF($A260="","",VLOOKUP($A260,기본데이타!$A$8:$BV$103,COLUMN(기본데이타!G$8),0))</f>
        <v/>
      </c>
      <c r="F260" s="15" t="str">
        <f>IF($A260="","",VLOOKUP($A260,기본데이타!$A$8:$BV$103,COLUMN(기본데이타!H$8),0))</f>
        <v/>
      </c>
      <c r="G260" s="15" t="str">
        <f>IF($A260="","",VLOOKUP($A260,기본데이타!$A$8:$BV$103,COLUMN(기본데이타!I$8),0))</f>
        <v/>
      </c>
      <c r="H260" s="15" t="str">
        <f>IF($A260="","",VLOOKUP($A260,기본데이타!$A$8:$BV$103,COLUMN(기본데이타!J$8),0))</f>
        <v/>
      </c>
      <c r="I260" s="17" t="str">
        <f>IF($A260="","",VLOOKUP($A260,기본데이타!$A$8:$BV$103,COLUMN(기본데이타!AJ$8),0))</f>
        <v/>
      </c>
      <c r="J260" s="381" t="str">
        <f>IF($A260="","",VLOOKUP($A260,기본데이타!$A$8:$BV$103,COLUMN(기본데이타!AK$8),0))</f>
        <v/>
      </c>
      <c r="K260" s="381" t="str">
        <f>IF($A260="","",VLOOKUP($A260,기본데이타!$A$8:$BV$103,COLUMN(기본데이타!AL$8),0))</f>
        <v/>
      </c>
      <c r="L260" s="381" t="str">
        <f>IF($A260="","",VLOOKUP($A260,기본데이타!$A$8:$BV$103,COLUMN(기본데이타!AM$8),0))</f>
        <v/>
      </c>
      <c r="M260" s="381" t="str">
        <f>IF($A260="","",VLOOKUP($A260,기본데이타!$A$8:$BV$103,COLUMN(기본데이타!AN$8),0))</f>
        <v/>
      </c>
      <c r="N260" s="381" t="str">
        <f>IF($A260="","",VLOOKUP($A260,기본데이타!$A$8:$BV$103,COLUMN(기본데이타!AO$8),0))</f>
        <v/>
      </c>
      <c r="O260" s="381" t="str">
        <f>IF($A260="","",VLOOKUP($A260,기본데이타!$A$8:$BV$103,COLUMN(기본데이타!AP$8),0))</f>
        <v/>
      </c>
      <c r="P260" s="381" t="str">
        <f>IF($A260="","",VLOOKUP($A260,기본데이타!$A$8:$BV$103,COLUMN(기본데이타!AQ$8),0))</f>
        <v/>
      </c>
      <c r="Q260" s="381" t="str">
        <f>IF($A260="","",VLOOKUP($A260,기본데이타!$A$8:$BV$103,COLUMN(기본데이타!AR$8),0))</f>
        <v/>
      </c>
      <c r="R260" s="381" t="str">
        <f>IF($A260="","",VLOOKUP($A260,기본데이타!$A$8:$BV$103,COLUMN(기본데이타!AS$8),0))</f>
        <v/>
      </c>
      <c r="S260" s="381" t="str">
        <f>IF($A260="","",VLOOKUP($A260,기본데이타!$A$8:$BV$103,COLUMN(기본데이타!AT$8),0))</f>
        <v/>
      </c>
      <c r="T260" s="381" t="str">
        <f>IF($A260="","",VLOOKUP($A260,기본데이타!$A$8:$BV$103,COLUMN(기본데이타!AU$8),0))</f>
        <v/>
      </c>
      <c r="U260" s="381" t="str">
        <f>IF($A260="","",VLOOKUP($A260,기본데이타!$A$8:$BV$103,COLUMN(기본데이타!AV$8),0))</f>
        <v/>
      </c>
      <c r="V260" s="16" t="str">
        <f>IF($A260="","",VLOOKUP($A260,기본데이타!$A$8:$BV$103,COLUMN(기본데이타!AW$8),0))</f>
        <v/>
      </c>
      <c r="W260" s="16" t="str">
        <f>IF($A260="","",VLOOKUP($A260,기본데이타!$A$8:$BV$103,COLUMN(기본데이타!AX$8),0))</f>
        <v/>
      </c>
      <c r="X260" s="16" t="str">
        <f>IF($A260="","",VLOOKUP($A260,기본데이타!$A$8:$BV$103,COLUMN(기본데이타!AY$8),0))</f>
        <v/>
      </c>
      <c r="Y260" s="16" t="str">
        <f>IF($A260="","",VLOOKUP($A260,기본데이타!$A$8:$BV$103,COLUMN(기본데이타!AZ$8),0))</f>
        <v/>
      </c>
      <c r="Z260" s="17" t="str">
        <f>IF($A260="","",VLOOKUP($A260,기본데이타!$A$8:$BV$103,COLUMN(기본데이타!BN$8),0))</f>
        <v/>
      </c>
      <c r="AA260" s="17" t="str">
        <f>IF($A260="","",VLOOKUP($A260,기본데이타!$A$8:$BV$103,COLUMN(기본데이타!BO$8),0))</f>
        <v/>
      </c>
      <c r="AB260" s="17" t="str">
        <f>IF($A260="","",VLOOKUP($A260,기본데이타!$A$8:$BV$103,COLUMN(기본데이타!BP$8),0))</f>
        <v/>
      </c>
      <c r="AC260" s="17" t="str">
        <f>IF($A260="","",VLOOKUP($A260,기본데이타!$A$8:$BV$103,COLUMN(기본데이타!BQ$8),0))</f>
        <v/>
      </c>
      <c r="AD260" s="17" t="str">
        <f>IF($A260="","",VLOOKUP($A260,기본데이타!$A$8:$BV$103,COLUMN(기본데이타!BR$8),0))</f>
        <v/>
      </c>
      <c r="AE260" s="17" t="str">
        <f>IF($A260="","",VLOOKUP($A260,기본데이타!$A$8:$BV$103,COLUMN(기본데이타!BS$8),0))</f>
        <v/>
      </c>
      <c r="AF260" s="294" t="str">
        <f>IF($A260="","",VLOOKUP($A260,기본데이타!$A$8:$BV$103,COLUMN(기본데이타!BT$8),0))</f>
        <v/>
      </c>
      <c r="AG260" s="432" t="str">
        <f>IF($A260="","",VLOOKUP($A260,기본데이타!$A$8:$BV$103,COLUMN(기본데이타!BU$8),0))</f>
        <v/>
      </c>
      <c r="AH260" s="18" t="str">
        <f t="shared" si="55"/>
        <v/>
      </c>
    </row>
    <row r="261" spans="1:34" s="187" customFormat="1" ht="35.1" hidden="1" customHeight="1">
      <c r="A261" s="189"/>
      <c r="C261" s="190"/>
      <c r="D261" s="8" t="str">
        <f>IF($A261="","",VLOOKUP($A261,기본데이타!$A$10:$BV$103,COLUMN(기본데이타!F$8),0))</f>
        <v/>
      </c>
      <c r="E261" s="252" t="str">
        <f>IF($A261="","",VLOOKUP($A261,기본데이타!$A$8:$BV$103,COLUMN(기본데이타!G$8),0))</f>
        <v/>
      </c>
      <c r="F261" s="15" t="str">
        <f>IF($A261="","",VLOOKUP($A261,기본데이타!$A$8:$BV$103,COLUMN(기본데이타!H$8),0))</f>
        <v/>
      </c>
      <c r="G261" s="15" t="str">
        <f>IF($A261="","",VLOOKUP($A261,기본데이타!$A$8:$BV$103,COLUMN(기본데이타!I$8),0))</f>
        <v/>
      </c>
      <c r="H261" s="15" t="str">
        <f>IF($A261="","",VLOOKUP($A261,기본데이타!$A$8:$BV$103,COLUMN(기본데이타!J$8),0))</f>
        <v/>
      </c>
      <c r="I261" s="17" t="str">
        <f>IF($A261="","",VLOOKUP($A261,기본데이타!$A$8:$BV$103,COLUMN(기본데이타!AJ$8),0))</f>
        <v/>
      </c>
      <c r="J261" s="381" t="str">
        <f>IF($A261="","",VLOOKUP($A261,기본데이타!$A$8:$BV$103,COLUMN(기본데이타!AK$8),0))</f>
        <v/>
      </c>
      <c r="K261" s="381" t="str">
        <f>IF($A261="","",VLOOKUP($A261,기본데이타!$A$8:$BV$103,COLUMN(기본데이타!AL$8),0))</f>
        <v/>
      </c>
      <c r="L261" s="381" t="str">
        <f>IF($A261="","",VLOOKUP($A261,기본데이타!$A$8:$BV$103,COLUMN(기본데이타!AM$8),0))</f>
        <v/>
      </c>
      <c r="M261" s="381" t="str">
        <f>IF($A261="","",VLOOKUP($A261,기본데이타!$A$8:$BV$103,COLUMN(기본데이타!AN$8),0))</f>
        <v/>
      </c>
      <c r="N261" s="381" t="str">
        <f>IF($A261="","",VLOOKUP($A261,기본데이타!$A$8:$BV$103,COLUMN(기본데이타!AO$8),0))</f>
        <v/>
      </c>
      <c r="O261" s="381" t="str">
        <f>IF($A261="","",VLOOKUP($A261,기본데이타!$A$8:$BV$103,COLUMN(기본데이타!AP$8),0))</f>
        <v/>
      </c>
      <c r="P261" s="381" t="str">
        <f>IF($A261="","",VLOOKUP($A261,기본데이타!$A$8:$BV$103,COLUMN(기본데이타!AQ$8),0))</f>
        <v/>
      </c>
      <c r="Q261" s="381" t="str">
        <f>IF($A261="","",VLOOKUP($A261,기본데이타!$A$8:$BV$103,COLUMN(기본데이타!AR$8),0))</f>
        <v/>
      </c>
      <c r="R261" s="381" t="str">
        <f>IF($A261="","",VLOOKUP($A261,기본데이타!$A$8:$BV$103,COLUMN(기본데이타!AS$8),0))</f>
        <v/>
      </c>
      <c r="S261" s="381" t="str">
        <f>IF($A261="","",VLOOKUP($A261,기본데이타!$A$8:$BV$103,COLUMN(기본데이타!AT$8),0))</f>
        <v/>
      </c>
      <c r="T261" s="381" t="str">
        <f>IF($A261="","",VLOOKUP($A261,기본데이타!$A$8:$BV$103,COLUMN(기본데이타!AU$8),0))</f>
        <v/>
      </c>
      <c r="U261" s="381" t="str">
        <f>IF($A261="","",VLOOKUP($A261,기본데이타!$A$8:$BV$103,COLUMN(기본데이타!AV$8),0))</f>
        <v/>
      </c>
      <c r="V261" s="16" t="str">
        <f>IF($A261="","",VLOOKUP($A261,기본데이타!$A$8:$BV$103,COLUMN(기본데이타!AW$8),0))</f>
        <v/>
      </c>
      <c r="W261" s="16" t="str">
        <f>IF($A261="","",VLOOKUP($A261,기본데이타!$A$8:$BV$103,COLUMN(기본데이타!AX$8),0))</f>
        <v/>
      </c>
      <c r="X261" s="16" t="str">
        <f>IF($A261="","",VLOOKUP($A261,기본데이타!$A$8:$BV$103,COLUMN(기본데이타!AY$8),0))</f>
        <v/>
      </c>
      <c r="Y261" s="16" t="str">
        <f>IF($A261="","",VLOOKUP($A261,기본데이타!$A$8:$BV$103,COLUMN(기본데이타!AZ$8),0))</f>
        <v/>
      </c>
      <c r="Z261" s="17" t="str">
        <f>IF($A261="","",VLOOKUP($A261,기본데이타!$A$8:$BV$103,COLUMN(기본데이타!BN$8),0))</f>
        <v/>
      </c>
      <c r="AA261" s="17" t="str">
        <f>IF($A261="","",VLOOKUP($A261,기본데이타!$A$8:$BV$103,COLUMN(기본데이타!BO$8),0))</f>
        <v/>
      </c>
      <c r="AB261" s="17" t="str">
        <f>IF($A261="","",VLOOKUP($A261,기본데이타!$A$8:$BV$103,COLUMN(기본데이타!BP$8),0))</f>
        <v/>
      </c>
      <c r="AC261" s="17" t="str">
        <f>IF($A261="","",VLOOKUP($A261,기본데이타!$A$8:$BV$103,COLUMN(기본데이타!BQ$8),0))</f>
        <v/>
      </c>
      <c r="AD261" s="17" t="str">
        <f>IF($A261="","",VLOOKUP($A261,기본데이타!$A$8:$BV$103,COLUMN(기본데이타!BR$8),0))</f>
        <v/>
      </c>
      <c r="AE261" s="17" t="str">
        <f>IF($A261="","",VLOOKUP($A261,기본데이타!$A$8:$BV$103,COLUMN(기본데이타!BS$8),0))</f>
        <v/>
      </c>
      <c r="AF261" s="294" t="str">
        <f>IF($A261="","",VLOOKUP($A261,기본데이타!$A$8:$BV$103,COLUMN(기본데이타!BT$8),0))</f>
        <v/>
      </c>
      <c r="AG261" s="432" t="str">
        <f>IF($A261="","",VLOOKUP($A261,기본데이타!$A$8:$BV$103,COLUMN(기본데이타!BU$8),0))</f>
        <v/>
      </c>
      <c r="AH261" s="18" t="str">
        <f t="shared" si="55"/>
        <v/>
      </c>
    </row>
    <row r="262" spans="1:34" s="187" customFormat="1" ht="35.1" hidden="1" customHeight="1">
      <c r="A262" s="189"/>
      <c r="C262" s="190"/>
      <c r="D262" s="8" t="str">
        <f>IF($A262="","",VLOOKUP($A262,기본데이타!$A$10:$BV$103,COLUMN(기본데이타!F$8),0))</f>
        <v/>
      </c>
      <c r="E262" s="252" t="str">
        <f>IF($A262="","",VLOOKUP($A262,기본데이타!$A$8:$BV$103,COLUMN(기본데이타!G$8),0))</f>
        <v/>
      </c>
      <c r="F262" s="15" t="str">
        <f>IF($A262="","",VLOOKUP($A262,기본데이타!$A$8:$BV$103,COLUMN(기본데이타!H$8),0))</f>
        <v/>
      </c>
      <c r="G262" s="15" t="str">
        <f>IF($A262="","",VLOOKUP($A262,기본데이타!$A$8:$BV$103,COLUMN(기본데이타!I$8),0))</f>
        <v/>
      </c>
      <c r="H262" s="15" t="str">
        <f>IF($A262="","",VLOOKUP($A262,기본데이타!$A$8:$BV$103,COLUMN(기본데이타!J$8),0))</f>
        <v/>
      </c>
      <c r="I262" s="17" t="str">
        <f>IF($A262="","",VLOOKUP($A262,기본데이타!$A$8:$BV$103,COLUMN(기본데이타!AJ$8),0))</f>
        <v/>
      </c>
      <c r="J262" s="381" t="str">
        <f>IF($A262="","",VLOOKUP($A262,기본데이타!$A$8:$BV$103,COLUMN(기본데이타!AK$8),0))</f>
        <v/>
      </c>
      <c r="K262" s="381" t="str">
        <f>IF($A262="","",VLOOKUP($A262,기본데이타!$A$8:$BV$103,COLUMN(기본데이타!AL$8),0))</f>
        <v/>
      </c>
      <c r="L262" s="381" t="str">
        <f>IF($A262="","",VLOOKUP($A262,기본데이타!$A$8:$BV$103,COLUMN(기본데이타!AM$8),0))</f>
        <v/>
      </c>
      <c r="M262" s="381" t="str">
        <f>IF($A262="","",VLOOKUP($A262,기본데이타!$A$8:$BV$103,COLUMN(기본데이타!AN$8),0))</f>
        <v/>
      </c>
      <c r="N262" s="381" t="str">
        <f>IF($A262="","",VLOOKUP($A262,기본데이타!$A$8:$BV$103,COLUMN(기본데이타!AO$8),0))</f>
        <v/>
      </c>
      <c r="O262" s="381" t="str">
        <f>IF($A262="","",VLOOKUP($A262,기본데이타!$A$8:$BV$103,COLUMN(기본데이타!AP$8),0))</f>
        <v/>
      </c>
      <c r="P262" s="381" t="str">
        <f>IF($A262="","",VLOOKUP($A262,기본데이타!$A$8:$BV$103,COLUMN(기본데이타!AQ$8),0))</f>
        <v/>
      </c>
      <c r="Q262" s="381" t="str">
        <f>IF($A262="","",VLOOKUP($A262,기본데이타!$A$8:$BV$103,COLUMN(기본데이타!AR$8),0))</f>
        <v/>
      </c>
      <c r="R262" s="381" t="str">
        <f>IF($A262="","",VLOOKUP($A262,기본데이타!$A$8:$BV$103,COLUMN(기본데이타!AS$8),0))</f>
        <v/>
      </c>
      <c r="S262" s="381" t="str">
        <f>IF($A262="","",VLOOKUP($A262,기본데이타!$A$8:$BV$103,COLUMN(기본데이타!AT$8),0))</f>
        <v/>
      </c>
      <c r="T262" s="381" t="str">
        <f>IF($A262="","",VLOOKUP($A262,기본데이타!$A$8:$BV$103,COLUMN(기본데이타!AU$8),0))</f>
        <v/>
      </c>
      <c r="U262" s="381" t="str">
        <f>IF($A262="","",VLOOKUP($A262,기본데이타!$A$8:$BV$103,COLUMN(기본데이타!AV$8),0))</f>
        <v/>
      </c>
      <c r="V262" s="16" t="str">
        <f>IF($A262="","",VLOOKUP($A262,기본데이타!$A$8:$BV$103,COLUMN(기본데이타!AW$8),0))</f>
        <v/>
      </c>
      <c r="W262" s="16" t="str">
        <f>IF($A262="","",VLOOKUP($A262,기본데이타!$A$8:$BV$103,COLUMN(기본데이타!AX$8),0))</f>
        <v/>
      </c>
      <c r="X262" s="16" t="str">
        <f>IF($A262="","",VLOOKUP($A262,기본데이타!$A$8:$BV$103,COLUMN(기본데이타!AY$8),0))</f>
        <v/>
      </c>
      <c r="Y262" s="16" t="str">
        <f>IF($A262="","",VLOOKUP($A262,기본데이타!$A$8:$BV$103,COLUMN(기본데이타!AZ$8),0))</f>
        <v/>
      </c>
      <c r="Z262" s="17" t="str">
        <f>IF($A262="","",VLOOKUP($A262,기본데이타!$A$8:$BV$103,COLUMN(기본데이타!BN$8),0))</f>
        <v/>
      </c>
      <c r="AA262" s="17" t="str">
        <f>IF($A262="","",VLOOKUP($A262,기본데이타!$A$8:$BV$103,COLUMN(기본데이타!BO$8),0))</f>
        <v/>
      </c>
      <c r="AB262" s="17" t="str">
        <f>IF($A262="","",VLOOKUP($A262,기본데이타!$A$8:$BV$103,COLUMN(기본데이타!BP$8),0))</f>
        <v/>
      </c>
      <c r="AC262" s="17" t="str">
        <f>IF($A262="","",VLOOKUP($A262,기본데이타!$A$8:$BV$103,COLUMN(기본데이타!BQ$8),0))</f>
        <v/>
      </c>
      <c r="AD262" s="17" t="str">
        <f>IF($A262="","",VLOOKUP($A262,기본데이타!$A$8:$BV$103,COLUMN(기본데이타!BR$8),0))</f>
        <v/>
      </c>
      <c r="AE262" s="17" t="str">
        <f>IF($A262="","",VLOOKUP($A262,기본데이타!$A$8:$BV$103,COLUMN(기본데이타!BS$8),0))</f>
        <v/>
      </c>
      <c r="AF262" s="294" t="str">
        <f>IF($A262="","",VLOOKUP($A262,기본데이타!$A$8:$BV$103,COLUMN(기본데이타!BT$8),0))</f>
        <v/>
      </c>
      <c r="AG262" s="432" t="str">
        <f>IF($A262="","",VLOOKUP($A262,기본데이타!$A$8:$BV$103,COLUMN(기본데이타!BU$8),0))</f>
        <v/>
      </c>
      <c r="AH262" s="18" t="str">
        <f t="shared" si="55"/>
        <v/>
      </c>
    </row>
    <row r="263" spans="1:34" s="187" customFormat="1" ht="35.1" hidden="1" customHeight="1">
      <c r="A263" s="189"/>
      <c r="C263" s="190"/>
      <c r="D263" s="8" t="str">
        <f>IF($A263="","",VLOOKUP($A263,기본데이타!$A$10:$BV$103,COLUMN(기본데이타!F$8),0))</f>
        <v/>
      </c>
      <c r="E263" s="252" t="str">
        <f>IF($A263="","",VLOOKUP($A263,기본데이타!$A$8:$BV$103,COLUMN(기본데이타!G$8),0))</f>
        <v/>
      </c>
      <c r="F263" s="15" t="str">
        <f>IF($A263="","",VLOOKUP($A263,기본데이타!$A$8:$BV$103,COLUMN(기본데이타!H$8),0))</f>
        <v/>
      </c>
      <c r="G263" s="15" t="str">
        <f>IF($A263="","",VLOOKUP($A263,기본데이타!$A$8:$BV$103,COLUMN(기본데이타!I$8),0))</f>
        <v/>
      </c>
      <c r="H263" s="15" t="str">
        <f>IF($A263="","",VLOOKUP($A263,기본데이타!$A$8:$BV$103,COLUMN(기본데이타!J$8),0))</f>
        <v/>
      </c>
      <c r="I263" s="17" t="str">
        <f>IF($A263="","",VLOOKUP($A263,기본데이타!$A$8:$BV$103,COLUMN(기본데이타!AJ$8),0))</f>
        <v/>
      </c>
      <c r="J263" s="381" t="str">
        <f>IF($A263="","",VLOOKUP($A263,기본데이타!$A$8:$BV$103,COLUMN(기본데이타!AK$8),0))</f>
        <v/>
      </c>
      <c r="K263" s="381" t="str">
        <f>IF($A263="","",VLOOKUP($A263,기본데이타!$A$8:$BV$103,COLUMN(기본데이타!AL$8),0))</f>
        <v/>
      </c>
      <c r="L263" s="381" t="str">
        <f>IF($A263="","",VLOOKUP($A263,기본데이타!$A$8:$BV$103,COLUMN(기본데이타!AM$8),0))</f>
        <v/>
      </c>
      <c r="M263" s="381" t="str">
        <f>IF($A263="","",VLOOKUP($A263,기본데이타!$A$8:$BV$103,COLUMN(기본데이타!AN$8),0))</f>
        <v/>
      </c>
      <c r="N263" s="381" t="str">
        <f>IF($A263="","",VLOOKUP($A263,기본데이타!$A$8:$BV$103,COLUMN(기본데이타!AO$8),0))</f>
        <v/>
      </c>
      <c r="O263" s="381" t="str">
        <f>IF($A263="","",VLOOKUP($A263,기본데이타!$A$8:$BV$103,COLUMN(기본데이타!AP$8),0))</f>
        <v/>
      </c>
      <c r="P263" s="381" t="str">
        <f>IF($A263="","",VLOOKUP($A263,기본데이타!$A$8:$BV$103,COLUMN(기본데이타!AQ$8),0))</f>
        <v/>
      </c>
      <c r="Q263" s="381" t="str">
        <f>IF($A263="","",VLOOKUP($A263,기본데이타!$A$8:$BV$103,COLUMN(기본데이타!AR$8),0))</f>
        <v/>
      </c>
      <c r="R263" s="381" t="str">
        <f>IF($A263="","",VLOOKUP($A263,기본데이타!$A$8:$BV$103,COLUMN(기본데이타!AS$8),0))</f>
        <v/>
      </c>
      <c r="S263" s="381" t="str">
        <f>IF($A263="","",VLOOKUP($A263,기본데이타!$A$8:$BV$103,COLUMN(기본데이타!AT$8),0))</f>
        <v/>
      </c>
      <c r="T263" s="381" t="str">
        <f>IF($A263="","",VLOOKUP($A263,기본데이타!$A$8:$BV$103,COLUMN(기본데이타!AU$8),0))</f>
        <v/>
      </c>
      <c r="U263" s="381" t="str">
        <f>IF($A263="","",VLOOKUP($A263,기본데이타!$A$8:$BV$103,COLUMN(기본데이타!AV$8),0))</f>
        <v/>
      </c>
      <c r="V263" s="16" t="str">
        <f>IF($A263="","",VLOOKUP($A263,기본데이타!$A$8:$BV$103,COLUMN(기본데이타!AW$8),0))</f>
        <v/>
      </c>
      <c r="W263" s="16" t="str">
        <f>IF($A263="","",VLOOKUP($A263,기본데이타!$A$8:$BV$103,COLUMN(기본데이타!AX$8),0))</f>
        <v/>
      </c>
      <c r="X263" s="16" t="str">
        <f>IF($A263="","",VLOOKUP($A263,기본데이타!$A$8:$BV$103,COLUMN(기본데이타!AY$8),0))</f>
        <v/>
      </c>
      <c r="Y263" s="16" t="str">
        <f>IF($A263="","",VLOOKUP($A263,기본데이타!$A$8:$BV$103,COLUMN(기본데이타!AZ$8),0))</f>
        <v/>
      </c>
      <c r="Z263" s="17" t="str">
        <f>IF($A263="","",VLOOKUP($A263,기본데이타!$A$8:$BV$103,COLUMN(기본데이타!BN$8),0))</f>
        <v/>
      </c>
      <c r="AA263" s="17" t="str">
        <f>IF($A263="","",VLOOKUP($A263,기본데이타!$A$8:$BV$103,COLUMN(기본데이타!BO$8),0))</f>
        <v/>
      </c>
      <c r="AB263" s="17" t="str">
        <f>IF($A263="","",VLOOKUP($A263,기본데이타!$A$8:$BV$103,COLUMN(기본데이타!BP$8),0))</f>
        <v/>
      </c>
      <c r="AC263" s="17" t="str">
        <f>IF($A263="","",VLOOKUP($A263,기본데이타!$A$8:$BV$103,COLUMN(기본데이타!BQ$8),0))</f>
        <v/>
      </c>
      <c r="AD263" s="17" t="str">
        <f>IF($A263="","",VLOOKUP($A263,기본데이타!$A$8:$BV$103,COLUMN(기본데이타!BR$8),0))</f>
        <v/>
      </c>
      <c r="AE263" s="17" t="str">
        <f>IF($A263="","",VLOOKUP($A263,기본데이타!$A$8:$BV$103,COLUMN(기본데이타!BS$8),0))</f>
        <v/>
      </c>
      <c r="AF263" s="294" t="str">
        <f>IF($A263="","",VLOOKUP($A263,기본데이타!$A$8:$BV$103,COLUMN(기본데이타!BT$8),0))</f>
        <v/>
      </c>
      <c r="AG263" s="432" t="str">
        <f>IF($A263="","",VLOOKUP($A263,기본데이타!$A$8:$BV$103,COLUMN(기본데이타!BU$8),0))</f>
        <v/>
      </c>
      <c r="AH263" s="18" t="str">
        <f t="shared" si="55"/>
        <v/>
      </c>
    </row>
    <row r="264" spans="1:34" s="187" customFormat="1" ht="35.1" hidden="1" customHeight="1">
      <c r="A264" s="189"/>
      <c r="C264" s="190"/>
      <c r="D264" s="8" t="str">
        <f>IF($A264="","",VLOOKUP($A264,기본데이타!$A$10:$BV$103,COLUMN(기본데이타!F$8),0))</f>
        <v/>
      </c>
      <c r="E264" s="252" t="str">
        <f>IF($A264="","",VLOOKUP($A264,기본데이타!$A$8:$BV$103,COLUMN(기본데이타!G$8),0))</f>
        <v/>
      </c>
      <c r="F264" s="15" t="str">
        <f>IF($A264="","",VLOOKUP($A264,기본데이타!$A$8:$BV$103,COLUMN(기본데이타!H$8),0))</f>
        <v/>
      </c>
      <c r="G264" s="15" t="str">
        <f>IF($A264="","",VLOOKUP($A264,기본데이타!$A$8:$BV$103,COLUMN(기본데이타!I$8),0))</f>
        <v/>
      </c>
      <c r="H264" s="15" t="str">
        <f>IF($A264="","",VLOOKUP($A264,기본데이타!$A$8:$BV$103,COLUMN(기본데이타!J$8),0))</f>
        <v/>
      </c>
      <c r="I264" s="17" t="str">
        <f>IF($A264="","",VLOOKUP($A264,기본데이타!$A$8:$BV$103,COLUMN(기본데이타!AJ$8),0))</f>
        <v/>
      </c>
      <c r="J264" s="381" t="str">
        <f>IF($A264="","",VLOOKUP($A264,기본데이타!$A$8:$BV$103,COLUMN(기본데이타!AK$8),0))</f>
        <v/>
      </c>
      <c r="K264" s="381" t="str">
        <f>IF($A264="","",VLOOKUP($A264,기본데이타!$A$8:$BV$103,COLUMN(기본데이타!AL$8),0))</f>
        <v/>
      </c>
      <c r="L264" s="381" t="str">
        <f>IF($A264="","",VLOOKUP($A264,기본데이타!$A$8:$BV$103,COLUMN(기본데이타!AM$8),0))</f>
        <v/>
      </c>
      <c r="M264" s="381" t="str">
        <f>IF($A264="","",VLOOKUP($A264,기본데이타!$A$8:$BV$103,COLUMN(기본데이타!AN$8),0))</f>
        <v/>
      </c>
      <c r="N264" s="381" t="str">
        <f>IF($A264="","",VLOOKUP($A264,기본데이타!$A$8:$BV$103,COLUMN(기본데이타!AO$8),0))</f>
        <v/>
      </c>
      <c r="O264" s="381" t="str">
        <f>IF($A264="","",VLOOKUP($A264,기본데이타!$A$8:$BV$103,COLUMN(기본데이타!AP$8),0))</f>
        <v/>
      </c>
      <c r="P264" s="381" t="str">
        <f>IF($A264="","",VLOOKUP($A264,기본데이타!$A$8:$BV$103,COLUMN(기본데이타!AQ$8),0))</f>
        <v/>
      </c>
      <c r="Q264" s="381" t="str">
        <f>IF($A264="","",VLOOKUP($A264,기본데이타!$A$8:$BV$103,COLUMN(기본데이타!AR$8),0))</f>
        <v/>
      </c>
      <c r="R264" s="381" t="str">
        <f>IF($A264="","",VLOOKUP($A264,기본데이타!$A$8:$BV$103,COLUMN(기본데이타!AS$8),0))</f>
        <v/>
      </c>
      <c r="S264" s="381" t="str">
        <f>IF($A264="","",VLOOKUP($A264,기본데이타!$A$8:$BV$103,COLUMN(기본데이타!AT$8),0))</f>
        <v/>
      </c>
      <c r="T264" s="381" t="str">
        <f>IF($A264="","",VLOOKUP($A264,기본데이타!$A$8:$BV$103,COLUMN(기본데이타!AU$8),0))</f>
        <v/>
      </c>
      <c r="U264" s="381" t="str">
        <f>IF($A264="","",VLOOKUP($A264,기본데이타!$A$8:$BV$103,COLUMN(기본데이타!AV$8),0))</f>
        <v/>
      </c>
      <c r="V264" s="16" t="str">
        <f>IF($A264="","",VLOOKUP($A264,기본데이타!$A$8:$BV$103,COLUMN(기본데이타!AW$8),0))</f>
        <v/>
      </c>
      <c r="W264" s="16" t="str">
        <f>IF($A264="","",VLOOKUP($A264,기본데이타!$A$8:$BV$103,COLUMN(기본데이타!AX$8),0))</f>
        <v/>
      </c>
      <c r="X264" s="16" t="str">
        <f>IF($A264="","",VLOOKUP($A264,기본데이타!$A$8:$BV$103,COLUMN(기본데이타!AY$8),0))</f>
        <v/>
      </c>
      <c r="Y264" s="16" t="str">
        <f>IF($A264="","",VLOOKUP($A264,기본데이타!$A$8:$BV$103,COLUMN(기본데이타!AZ$8),0))</f>
        <v/>
      </c>
      <c r="Z264" s="17" t="str">
        <f>IF($A264="","",VLOOKUP($A264,기본데이타!$A$8:$BV$103,COLUMN(기본데이타!BN$8),0))</f>
        <v/>
      </c>
      <c r="AA264" s="17" t="str">
        <f>IF($A264="","",VLOOKUP($A264,기본데이타!$A$8:$BV$103,COLUMN(기본데이타!BO$8),0))</f>
        <v/>
      </c>
      <c r="AB264" s="17" t="str">
        <f>IF($A264="","",VLOOKUP($A264,기본데이타!$A$8:$BV$103,COLUMN(기본데이타!BP$8),0))</f>
        <v/>
      </c>
      <c r="AC264" s="17" t="str">
        <f>IF($A264="","",VLOOKUP($A264,기본데이타!$A$8:$BV$103,COLUMN(기본데이타!BQ$8),0))</f>
        <v/>
      </c>
      <c r="AD264" s="17" t="str">
        <f>IF($A264="","",VLOOKUP($A264,기본데이타!$A$8:$BV$103,COLUMN(기본데이타!BR$8),0))</f>
        <v/>
      </c>
      <c r="AE264" s="17" t="str">
        <f>IF($A264="","",VLOOKUP($A264,기본데이타!$A$8:$BV$103,COLUMN(기본데이타!BS$8),0))</f>
        <v/>
      </c>
      <c r="AF264" s="294" t="str">
        <f>IF($A264="","",VLOOKUP($A264,기본데이타!$A$8:$BV$103,COLUMN(기본데이타!BT$8),0))</f>
        <v/>
      </c>
      <c r="AG264" s="432" t="str">
        <f>IF($A264="","",VLOOKUP($A264,기본데이타!$A$8:$BV$103,COLUMN(기본데이타!BU$8),0))</f>
        <v/>
      </c>
      <c r="AH264" s="18" t="str">
        <f t="shared" si="55"/>
        <v/>
      </c>
    </row>
    <row r="265" spans="1:34" s="187" customFormat="1" ht="35.1" hidden="1" customHeight="1">
      <c r="A265" s="189"/>
      <c r="C265" s="190"/>
      <c r="D265" s="8" t="str">
        <f>IF($A265="","",VLOOKUP($A265,기본데이타!$A$10:$BV$103,COLUMN(기본데이타!F$8),0))</f>
        <v/>
      </c>
      <c r="E265" s="252" t="str">
        <f>IF($A265="","",VLOOKUP($A265,기본데이타!$A$8:$BV$103,COLUMN(기본데이타!G$8),0))</f>
        <v/>
      </c>
      <c r="F265" s="15" t="str">
        <f>IF($A265="","",VLOOKUP($A265,기본데이타!$A$8:$BV$103,COLUMN(기본데이타!H$8),0))</f>
        <v/>
      </c>
      <c r="G265" s="15" t="str">
        <f>IF($A265="","",VLOOKUP($A265,기본데이타!$A$8:$BV$103,COLUMN(기본데이타!I$8),0))</f>
        <v/>
      </c>
      <c r="H265" s="15" t="str">
        <f>IF($A265="","",VLOOKUP($A265,기본데이타!$A$8:$BV$103,COLUMN(기본데이타!J$8),0))</f>
        <v/>
      </c>
      <c r="I265" s="17" t="str">
        <f>IF($A265="","",VLOOKUP($A265,기본데이타!$A$8:$BV$103,COLUMN(기본데이타!AJ$8),0))</f>
        <v/>
      </c>
      <c r="J265" s="381" t="str">
        <f>IF($A265="","",VLOOKUP($A265,기본데이타!$A$8:$BV$103,COLUMN(기본데이타!AK$8),0))</f>
        <v/>
      </c>
      <c r="K265" s="381" t="str">
        <f>IF($A265="","",VLOOKUP($A265,기본데이타!$A$8:$BV$103,COLUMN(기본데이타!AL$8),0))</f>
        <v/>
      </c>
      <c r="L265" s="381" t="str">
        <f>IF($A265="","",VLOOKUP($A265,기본데이타!$A$8:$BV$103,COLUMN(기본데이타!AM$8),0))</f>
        <v/>
      </c>
      <c r="M265" s="381" t="str">
        <f>IF($A265="","",VLOOKUP($A265,기본데이타!$A$8:$BV$103,COLUMN(기본데이타!AN$8),0))</f>
        <v/>
      </c>
      <c r="N265" s="381" t="str">
        <f>IF($A265="","",VLOOKUP($A265,기본데이타!$A$8:$BV$103,COLUMN(기본데이타!AO$8),0))</f>
        <v/>
      </c>
      <c r="O265" s="381" t="str">
        <f>IF($A265="","",VLOOKUP($A265,기본데이타!$A$8:$BV$103,COLUMN(기본데이타!AP$8),0))</f>
        <v/>
      </c>
      <c r="P265" s="381" t="str">
        <f>IF($A265="","",VLOOKUP($A265,기본데이타!$A$8:$BV$103,COLUMN(기본데이타!AQ$8),0))</f>
        <v/>
      </c>
      <c r="Q265" s="381" t="str">
        <f>IF($A265="","",VLOOKUP($A265,기본데이타!$A$8:$BV$103,COLUMN(기본데이타!AR$8),0))</f>
        <v/>
      </c>
      <c r="R265" s="381" t="str">
        <f>IF($A265="","",VLOOKUP($A265,기본데이타!$A$8:$BV$103,COLUMN(기본데이타!AS$8),0))</f>
        <v/>
      </c>
      <c r="S265" s="381" t="str">
        <f>IF($A265="","",VLOOKUP($A265,기본데이타!$A$8:$BV$103,COLUMN(기본데이타!AT$8),0))</f>
        <v/>
      </c>
      <c r="T265" s="381" t="str">
        <f>IF($A265="","",VLOOKUP($A265,기본데이타!$A$8:$BV$103,COLUMN(기본데이타!AU$8),0))</f>
        <v/>
      </c>
      <c r="U265" s="381" t="str">
        <f>IF($A265="","",VLOOKUP($A265,기본데이타!$A$8:$BV$103,COLUMN(기본데이타!AV$8),0))</f>
        <v/>
      </c>
      <c r="V265" s="16" t="str">
        <f>IF($A265="","",VLOOKUP($A265,기본데이타!$A$8:$BV$103,COLUMN(기본데이타!AW$8),0))</f>
        <v/>
      </c>
      <c r="W265" s="16" t="str">
        <f>IF($A265="","",VLOOKUP($A265,기본데이타!$A$8:$BV$103,COLUMN(기본데이타!AX$8),0))</f>
        <v/>
      </c>
      <c r="X265" s="16" t="str">
        <f>IF($A265="","",VLOOKUP($A265,기본데이타!$A$8:$BV$103,COLUMN(기본데이타!AY$8),0))</f>
        <v/>
      </c>
      <c r="Y265" s="16" t="str">
        <f>IF($A265="","",VLOOKUP($A265,기본데이타!$A$8:$BV$103,COLUMN(기본데이타!AZ$8),0))</f>
        <v/>
      </c>
      <c r="Z265" s="17" t="str">
        <f>IF($A265="","",VLOOKUP($A265,기본데이타!$A$8:$BV$103,COLUMN(기본데이타!BN$8),0))</f>
        <v/>
      </c>
      <c r="AA265" s="17" t="str">
        <f>IF($A265="","",VLOOKUP($A265,기본데이타!$A$8:$BV$103,COLUMN(기본데이타!BO$8),0))</f>
        <v/>
      </c>
      <c r="AB265" s="17" t="str">
        <f>IF($A265="","",VLOOKUP($A265,기본데이타!$A$8:$BV$103,COLUMN(기본데이타!BP$8),0))</f>
        <v/>
      </c>
      <c r="AC265" s="17" t="str">
        <f>IF($A265="","",VLOOKUP($A265,기본데이타!$A$8:$BV$103,COLUMN(기본데이타!BQ$8),0))</f>
        <v/>
      </c>
      <c r="AD265" s="17" t="str">
        <f>IF($A265="","",VLOOKUP($A265,기본데이타!$A$8:$BV$103,COLUMN(기본데이타!BR$8),0))</f>
        <v/>
      </c>
      <c r="AE265" s="17" t="str">
        <f>IF($A265="","",VLOOKUP($A265,기본데이타!$A$8:$BV$103,COLUMN(기본데이타!BS$8),0))</f>
        <v/>
      </c>
      <c r="AF265" s="294" t="str">
        <f>IF($A265="","",VLOOKUP($A265,기본데이타!$A$8:$BV$103,COLUMN(기본데이타!BT$8),0))</f>
        <v/>
      </c>
      <c r="AG265" s="432" t="str">
        <f>IF($A265="","",VLOOKUP($A265,기본데이타!$A$8:$BV$103,COLUMN(기본데이타!BU$8),0))</f>
        <v/>
      </c>
      <c r="AH265" s="18" t="str">
        <f t="shared" si="55"/>
        <v/>
      </c>
    </row>
    <row r="266" spans="1:34" s="187" customFormat="1" ht="35.1" hidden="1" customHeight="1">
      <c r="A266" s="189"/>
      <c r="C266" s="190"/>
      <c r="D266" s="8" t="str">
        <f>IF($A266="","",VLOOKUP($A266,기본데이타!$A$10:$BV$103,COLUMN(기본데이타!F$8),0))</f>
        <v/>
      </c>
      <c r="E266" s="252" t="str">
        <f>IF($A266="","",VLOOKUP($A266,기본데이타!$A$8:$BV$103,COLUMN(기본데이타!G$8),0))</f>
        <v/>
      </c>
      <c r="F266" s="15" t="str">
        <f>IF($A266="","",VLOOKUP($A266,기본데이타!$A$8:$BV$103,COLUMN(기본데이타!H$8),0))</f>
        <v/>
      </c>
      <c r="G266" s="15" t="str">
        <f>IF($A266="","",VLOOKUP($A266,기본데이타!$A$8:$BV$103,COLUMN(기본데이타!I$8),0))</f>
        <v/>
      </c>
      <c r="H266" s="15" t="str">
        <f>IF($A266="","",VLOOKUP($A266,기본데이타!$A$8:$BV$103,COLUMN(기본데이타!J$8),0))</f>
        <v/>
      </c>
      <c r="I266" s="17" t="str">
        <f>IF($A266="","",VLOOKUP($A266,기본데이타!$A$8:$BV$103,COLUMN(기본데이타!AJ$8),0))</f>
        <v/>
      </c>
      <c r="J266" s="381" t="str">
        <f>IF($A266="","",VLOOKUP($A266,기본데이타!$A$8:$BV$103,COLUMN(기본데이타!AK$8),0))</f>
        <v/>
      </c>
      <c r="K266" s="381" t="str">
        <f>IF($A266="","",VLOOKUP($A266,기본데이타!$A$8:$BV$103,COLUMN(기본데이타!AL$8),0))</f>
        <v/>
      </c>
      <c r="L266" s="381" t="str">
        <f>IF($A266="","",VLOOKUP($A266,기본데이타!$A$8:$BV$103,COLUMN(기본데이타!AM$8),0))</f>
        <v/>
      </c>
      <c r="M266" s="381" t="str">
        <f>IF($A266="","",VLOOKUP($A266,기본데이타!$A$8:$BV$103,COLUMN(기본데이타!AN$8),0))</f>
        <v/>
      </c>
      <c r="N266" s="381" t="str">
        <f>IF($A266="","",VLOOKUP($A266,기본데이타!$A$8:$BV$103,COLUMN(기본데이타!AO$8),0))</f>
        <v/>
      </c>
      <c r="O266" s="381" t="str">
        <f>IF($A266="","",VLOOKUP($A266,기본데이타!$A$8:$BV$103,COLUMN(기본데이타!AP$8),0))</f>
        <v/>
      </c>
      <c r="P266" s="381" t="str">
        <f>IF($A266="","",VLOOKUP($A266,기본데이타!$A$8:$BV$103,COLUMN(기본데이타!AQ$8),0))</f>
        <v/>
      </c>
      <c r="Q266" s="381" t="str">
        <f>IF($A266="","",VLOOKUP($A266,기본데이타!$A$8:$BV$103,COLUMN(기본데이타!AR$8),0))</f>
        <v/>
      </c>
      <c r="R266" s="381" t="str">
        <f>IF($A266="","",VLOOKUP($A266,기본데이타!$A$8:$BV$103,COLUMN(기본데이타!AS$8),0))</f>
        <v/>
      </c>
      <c r="S266" s="381" t="str">
        <f>IF($A266="","",VLOOKUP($A266,기본데이타!$A$8:$BV$103,COLUMN(기본데이타!AT$8),0))</f>
        <v/>
      </c>
      <c r="T266" s="381" t="str">
        <f>IF($A266="","",VLOOKUP($A266,기본데이타!$A$8:$BV$103,COLUMN(기본데이타!AU$8),0))</f>
        <v/>
      </c>
      <c r="U266" s="381" t="str">
        <f>IF($A266="","",VLOOKUP($A266,기본데이타!$A$8:$BV$103,COLUMN(기본데이타!AV$8),0))</f>
        <v/>
      </c>
      <c r="V266" s="16" t="str">
        <f>IF($A266="","",VLOOKUP($A266,기본데이타!$A$8:$BV$103,COLUMN(기본데이타!AW$8),0))</f>
        <v/>
      </c>
      <c r="W266" s="16" t="str">
        <f>IF($A266="","",VLOOKUP($A266,기본데이타!$A$8:$BV$103,COLUMN(기본데이타!AX$8),0))</f>
        <v/>
      </c>
      <c r="X266" s="16" t="str">
        <f>IF($A266="","",VLOOKUP($A266,기본데이타!$A$8:$BV$103,COLUMN(기본데이타!AY$8),0))</f>
        <v/>
      </c>
      <c r="Y266" s="16" t="str">
        <f>IF($A266="","",VLOOKUP($A266,기본데이타!$A$8:$BV$103,COLUMN(기본데이타!AZ$8),0))</f>
        <v/>
      </c>
      <c r="Z266" s="17" t="str">
        <f>IF($A266="","",VLOOKUP($A266,기본데이타!$A$8:$BV$103,COLUMN(기본데이타!BN$8),0))</f>
        <v/>
      </c>
      <c r="AA266" s="17" t="str">
        <f>IF($A266="","",VLOOKUP($A266,기본데이타!$A$8:$BV$103,COLUMN(기본데이타!BO$8),0))</f>
        <v/>
      </c>
      <c r="AB266" s="17" t="str">
        <f>IF($A266="","",VLOOKUP($A266,기본데이타!$A$8:$BV$103,COLUMN(기본데이타!BP$8),0))</f>
        <v/>
      </c>
      <c r="AC266" s="17" t="str">
        <f>IF($A266="","",VLOOKUP($A266,기본데이타!$A$8:$BV$103,COLUMN(기본데이타!BQ$8),0))</f>
        <v/>
      </c>
      <c r="AD266" s="17" t="str">
        <f>IF($A266="","",VLOOKUP($A266,기본데이타!$A$8:$BV$103,COLUMN(기본데이타!BR$8),0))</f>
        <v/>
      </c>
      <c r="AE266" s="17" t="str">
        <f>IF($A266="","",VLOOKUP($A266,기본데이타!$A$8:$BV$103,COLUMN(기본데이타!BS$8),0))</f>
        <v/>
      </c>
      <c r="AF266" s="294" t="str">
        <f>IF($A266="","",VLOOKUP($A266,기본데이타!$A$8:$BV$103,COLUMN(기본데이타!BT$8),0))</f>
        <v/>
      </c>
      <c r="AG266" s="432" t="str">
        <f>IF($A266="","",VLOOKUP($A266,기본데이타!$A$8:$BV$103,COLUMN(기본데이타!BU$8),0))</f>
        <v/>
      </c>
      <c r="AH266" s="18" t="str">
        <f t="shared" si="55"/>
        <v/>
      </c>
    </row>
    <row r="267" spans="1:34" s="187" customFormat="1" ht="35.1" hidden="1" customHeight="1">
      <c r="A267" s="189"/>
      <c r="C267" s="190"/>
      <c r="D267" s="8" t="str">
        <f>IF($A267="","",VLOOKUP($A267,기본데이타!$A$10:$BV$103,COLUMN(기본데이타!F$8),0))</f>
        <v/>
      </c>
      <c r="E267" s="252" t="str">
        <f>IF($A267="","",VLOOKUP($A267,기본데이타!$A$8:$BV$103,COLUMN(기본데이타!G$8),0))</f>
        <v/>
      </c>
      <c r="F267" s="15" t="str">
        <f>IF($A267="","",VLOOKUP($A267,기본데이타!$A$8:$BV$103,COLUMN(기본데이타!H$8),0))</f>
        <v/>
      </c>
      <c r="G267" s="15" t="str">
        <f>IF($A267="","",VLOOKUP($A267,기본데이타!$A$8:$BV$103,COLUMN(기본데이타!I$8),0))</f>
        <v/>
      </c>
      <c r="H267" s="15" t="str">
        <f>IF($A267="","",VLOOKUP($A267,기본데이타!$A$8:$BV$103,COLUMN(기본데이타!J$8),0))</f>
        <v/>
      </c>
      <c r="I267" s="17" t="str">
        <f>IF($A267="","",VLOOKUP($A267,기본데이타!$A$8:$BV$103,COLUMN(기본데이타!AJ$8),0))</f>
        <v/>
      </c>
      <c r="J267" s="381" t="str">
        <f>IF($A267="","",VLOOKUP($A267,기본데이타!$A$8:$BV$103,COLUMN(기본데이타!AK$8),0))</f>
        <v/>
      </c>
      <c r="K267" s="381" t="str">
        <f>IF($A267="","",VLOOKUP($A267,기본데이타!$A$8:$BV$103,COLUMN(기본데이타!AL$8),0))</f>
        <v/>
      </c>
      <c r="L267" s="381" t="str">
        <f>IF($A267="","",VLOOKUP($A267,기본데이타!$A$8:$BV$103,COLUMN(기본데이타!AM$8),0))</f>
        <v/>
      </c>
      <c r="M267" s="381" t="str">
        <f>IF($A267="","",VLOOKUP($A267,기본데이타!$A$8:$BV$103,COLUMN(기본데이타!AN$8),0))</f>
        <v/>
      </c>
      <c r="N267" s="381" t="str">
        <f>IF($A267="","",VLOOKUP($A267,기본데이타!$A$8:$BV$103,COLUMN(기본데이타!AO$8),0))</f>
        <v/>
      </c>
      <c r="O267" s="381" t="str">
        <f>IF($A267="","",VLOOKUP($A267,기본데이타!$A$8:$BV$103,COLUMN(기본데이타!AP$8),0))</f>
        <v/>
      </c>
      <c r="P267" s="381" t="str">
        <f>IF($A267="","",VLOOKUP($A267,기본데이타!$A$8:$BV$103,COLUMN(기본데이타!AQ$8),0))</f>
        <v/>
      </c>
      <c r="Q267" s="381" t="str">
        <f>IF($A267="","",VLOOKUP($A267,기본데이타!$A$8:$BV$103,COLUMN(기본데이타!AR$8),0))</f>
        <v/>
      </c>
      <c r="R267" s="381" t="str">
        <f>IF($A267="","",VLOOKUP($A267,기본데이타!$A$8:$BV$103,COLUMN(기본데이타!AS$8),0))</f>
        <v/>
      </c>
      <c r="S267" s="381" t="str">
        <f>IF($A267="","",VLOOKUP($A267,기본데이타!$A$8:$BV$103,COLUMN(기본데이타!AT$8),0))</f>
        <v/>
      </c>
      <c r="T267" s="381" t="str">
        <f>IF($A267="","",VLOOKUP($A267,기본데이타!$A$8:$BV$103,COLUMN(기본데이타!AU$8),0))</f>
        <v/>
      </c>
      <c r="U267" s="381" t="str">
        <f>IF($A267="","",VLOOKUP($A267,기본데이타!$A$8:$BV$103,COLUMN(기본데이타!AV$8),0))</f>
        <v/>
      </c>
      <c r="V267" s="16" t="str">
        <f>IF($A267="","",VLOOKUP($A267,기본데이타!$A$8:$BV$103,COLUMN(기본데이타!AW$8),0))</f>
        <v/>
      </c>
      <c r="W267" s="16" t="str">
        <f>IF($A267="","",VLOOKUP($A267,기본데이타!$A$8:$BV$103,COLUMN(기본데이타!AX$8),0))</f>
        <v/>
      </c>
      <c r="X267" s="16" t="str">
        <f>IF($A267="","",VLOOKUP($A267,기본데이타!$A$8:$BV$103,COLUMN(기본데이타!AY$8),0))</f>
        <v/>
      </c>
      <c r="Y267" s="16" t="str">
        <f>IF($A267="","",VLOOKUP($A267,기본데이타!$A$8:$BV$103,COLUMN(기본데이타!AZ$8),0))</f>
        <v/>
      </c>
      <c r="Z267" s="17" t="str">
        <f>IF($A267="","",VLOOKUP($A267,기본데이타!$A$8:$BV$103,COLUMN(기본데이타!BN$8),0))</f>
        <v/>
      </c>
      <c r="AA267" s="17" t="str">
        <f>IF($A267="","",VLOOKUP($A267,기본데이타!$A$8:$BV$103,COLUMN(기본데이타!BO$8),0))</f>
        <v/>
      </c>
      <c r="AB267" s="17" t="str">
        <f>IF($A267="","",VLOOKUP($A267,기본데이타!$A$8:$BV$103,COLUMN(기본데이타!BP$8),0))</f>
        <v/>
      </c>
      <c r="AC267" s="17" t="str">
        <f>IF($A267="","",VLOOKUP($A267,기본데이타!$A$8:$BV$103,COLUMN(기본데이타!BQ$8),0))</f>
        <v/>
      </c>
      <c r="AD267" s="17" t="str">
        <f>IF($A267="","",VLOOKUP($A267,기본데이타!$A$8:$BV$103,COLUMN(기본데이타!BR$8),0))</f>
        <v/>
      </c>
      <c r="AE267" s="17" t="str">
        <f>IF($A267="","",VLOOKUP($A267,기본데이타!$A$8:$BV$103,COLUMN(기본데이타!BS$8),0))</f>
        <v/>
      </c>
      <c r="AF267" s="294" t="str">
        <f>IF($A267="","",VLOOKUP($A267,기본데이타!$A$8:$BV$103,COLUMN(기본데이타!BT$8),0))</f>
        <v/>
      </c>
      <c r="AG267" s="432" t="str">
        <f>IF($A267="","",VLOOKUP($A267,기본데이타!$A$8:$BV$103,COLUMN(기본데이타!BU$8),0))</f>
        <v/>
      </c>
      <c r="AH267" s="18" t="str">
        <f t="shared" si="55"/>
        <v/>
      </c>
    </row>
    <row r="268" spans="1:34" s="187" customFormat="1" ht="35.1" hidden="1" customHeight="1">
      <c r="A268" s="189"/>
      <c r="C268" s="190"/>
      <c r="D268" s="8" t="str">
        <f>IF($A268="","",VLOOKUP($A268,기본데이타!$A$10:$BV$103,COLUMN(기본데이타!F$8),0))</f>
        <v/>
      </c>
      <c r="E268" s="252" t="str">
        <f>IF($A268="","",VLOOKUP($A268,기본데이타!$A$8:$BV$103,COLUMN(기본데이타!G$8),0))</f>
        <v/>
      </c>
      <c r="F268" s="15" t="str">
        <f>IF($A268="","",VLOOKUP($A268,기본데이타!$A$8:$BV$103,COLUMN(기본데이타!H$8),0))</f>
        <v/>
      </c>
      <c r="G268" s="15" t="str">
        <f>IF($A268="","",VLOOKUP($A268,기본데이타!$A$8:$BV$103,COLUMN(기본데이타!I$8),0))</f>
        <v/>
      </c>
      <c r="H268" s="15" t="str">
        <f>IF($A268="","",VLOOKUP($A268,기본데이타!$A$8:$BV$103,COLUMN(기본데이타!J$8),0))</f>
        <v/>
      </c>
      <c r="I268" s="17" t="str">
        <f>IF($A268="","",VLOOKUP($A268,기본데이타!$A$8:$BV$103,COLUMN(기본데이타!AJ$8),0))</f>
        <v/>
      </c>
      <c r="J268" s="381" t="str">
        <f>IF($A268="","",VLOOKUP($A268,기본데이타!$A$8:$BV$103,COLUMN(기본데이타!AK$8),0))</f>
        <v/>
      </c>
      <c r="K268" s="381" t="str">
        <f>IF($A268="","",VLOOKUP($A268,기본데이타!$A$8:$BV$103,COLUMN(기본데이타!AL$8),0))</f>
        <v/>
      </c>
      <c r="L268" s="381" t="str">
        <f>IF($A268="","",VLOOKUP($A268,기본데이타!$A$8:$BV$103,COLUMN(기본데이타!AM$8),0))</f>
        <v/>
      </c>
      <c r="M268" s="381" t="str">
        <f>IF($A268="","",VLOOKUP($A268,기본데이타!$A$8:$BV$103,COLUMN(기본데이타!AN$8),0))</f>
        <v/>
      </c>
      <c r="N268" s="381" t="str">
        <f>IF($A268="","",VLOOKUP($A268,기본데이타!$A$8:$BV$103,COLUMN(기본데이타!AO$8),0))</f>
        <v/>
      </c>
      <c r="O268" s="381" t="str">
        <f>IF($A268="","",VLOOKUP($A268,기본데이타!$A$8:$BV$103,COLUMN(기본데이타!AP$8),0))</f>
        <v/>
      </c>
      <c r="P268" s="381" t="str">
        <f>IF($A268="","",VLOOKUP($A268,기본데이타!$A$8:$BV$103,COLUMN(기본데이타!AQ$8),0))</f>
        <v/>
      </c>
      <c r="Q268" s="381" t="str">
        <f>IF($A268="","",VLOOKUP($A268,기본데이타!$A$8:$BV$103,COLUMN(기본데이타!AR$8),0))</f>
        <v/>
      </c>
      <c r="R268" s="381" t="str">
        <f>IF($A268="","",VLOOKUP($A268,기본데이타!$A$8:$BV$103,COLUMN(기본데이타!AS$8),0))</f>
        <v/>
      </c>
      <c r="S268" s="381" t="str">
        <f>IF($A268="","",VLOOKUP($A268,기본데이타!$A$8:$BV$103,COLUMN(기본데이타!AT$8),0))</f>
        <v/>
      </c>
      <c r="T268" s="381" t="str">
        <f>IF($A268="","",VLOOKUP($A268,기본데이타!$A$8:$BV$103,COLUMN(기본데이타!AU$8),0))</f>
        <v/>
      </c>
      <c r="U268" s="381" t="str">
        <f>IF($A268="","",VLOOKUP($A268,기본데이타!$A$8:$BV$103,COLUMN(기본데이타!AV$8),0))</f>
        <v/>
      </c>
      <c r="V268" s="16" t="str">
        <f>IF($A268="","",VLOOKUP($A268,기본데이타!$A$8:$BV$103,COLUMN(기본데이타!AW$8),0))</f>
        <v/>
      </c>
      <c r="W268" s="16" t="str">
        <f>IF($A268="","",VLOOKUP($A268,기본데이타!$A$8:$BV$103,COLUMN(기본데이타!AX$8),0))</f>
        <v/>
      </c>
      <c r="X268" s="16" t="str">
        <f>IF($A268="","",VLOOKUP($A268,기본데이타!$A$8:$BV$103,COLUMN(기본데이타!AY$8),0))</f>
        <v/>
      </c>
      <c r="Y268" s="16" t="str">
        <f>IF($A268="","",VLOOKUP($A268,기본데이타!$A$8:$BV$103,COLUMN(기본데이타!AZ$8),0))</f>
        <v/>
      </c>
      <c r="Z268" s="17" t="str">
        <f>IF($A268="","",VLOOKUP($A268,기본데이타!$A$8:$BV$103,COLUMN(기본데이타!BN$8),0))</f>
        <v/>
      </c>
      <c r="AA268" s="17" t="str">
        <f>IF($A268="","",VLOOKUP($A268,기본데이타!$A$8:$BV$103,COLUMN(기본데이타!BO$8),0))</f>
        <v/>
      </c>
      <c r="AB268" s="17" t="str">
        <f>IF($A268="","",VLOOKUP($A268,기본데이타!$A$8:$BV$103,COLUMN(기본데이타!BP$8),0))</f>
        <v/>
      </c>
      <c r="AC268" s="17" t="str">
        <f>IF($A268="","",VLOOKUP($A268,기본데이타!$A$8:$BV$103,COLUMN(기본데이타!BQ$8),0))</f>
        <v/>
      </c>
      <c r="AD268" s="17" t="str">
        <f>IF($A268="","",VLOOKUP($A268,기본데이타!$A$8:$BV$103,COLUMN(기본데이타!BR$8),0))</f>
        <v/>
      </c>
      <c r="AE268" s="17" t="str">
        <f>IF($A268="","",VLOOKUP($A268,기본데이타!$A$8:$BV$103,COLUMN(기본데이타!BS$8),0))</f>
        <v/>
      </c>
      <c r="AF268" s="294" t="str">
        <f>IF($A268="","",VLOOKUP($A268,기본데이타!$A$8:$BV$103,COLUMN(기본데이타!BT$8),0))</f>
        <v/>
      </c>
      <c r="AG268" s="432" t="str">
        <f>IF($A268="","",VLOOKUP($A268,기본데이타!$A$8:$BV$103,COLUMN(기본데이타!BU$8),0))</f>
        <v/>
      </c>
      <c r="AH268" s="18" t="str">
        <f t="shared" si="55"/>
        <v/>
      </c>
    </row>
    <row r="269" spans="1:34" s="187" customFormat="1" ht="35.1" hidden="1" customHeight="1">
      <c r="A269" s="189"/>
      <c r="C269" s="190"/>
      <c r="D269" s="8" t="str">
        <f>IF($A269="","",VLOOKUP($A269,기본데이타!$A$10:$BV$103,COLUMN(기본데이타!F$8),0))</f>
        <v/>
      </c>
      <c r="E269" s="252" t="str">
        <f>IF($A269="","",VLOOKUP($A269,기본데이타!$A$8:$BV$103,COLUMN(기본데이타!G$8),0))</f>
        <v/>
      </c>
      <c r="F269" s="15" t="str">
        <f>IF($A269="","",VLOOKUP($A269,기본데이타!$A$8:$BV$103,COLUMN(기본데이타!H$8),0))</f>
        <v/>
      </c>
      <c r="G269" s="15" t="str">
        <f>IF($A269="","",VLOOKUP($A269,기본데이타!$A$8:$BV$103,COLUMN(기본데이타!I$8),0))</f>
        <v/>
      </c>
      <c r="H269" s="15" t="str">
        <f>IF($A269="","",VLOOKUP($A269,기본데이타!$A$8:$BV$103,COLUMN(기본데이타!J$8),0))</f>
        <v/>
      </c>
      <c r="I269" s="17" t="str">
        <f>IF($A269="","",VLOOKUP($A269,기본데이타!$A$8:$BV$103,COLUMN(기본데이타!AJ$8),0))</f>
        <v/>
      </c>
      <c r="J269" s="381" t="str">
        <f>IF($A269="","",VLOOKUP($A269,기본데이타!$A$8:$BV$103,COLUMN(기본데이타!AK$8),0))</f>
        <v/>
      </c>
      <c r="K269" s="381" t="str">
        <f>IF($A269="","",VLOOKUP($A269,기본데이타!$A$8:$BV$103,COLUMN(기본데이타!AL$8),0))</f>
        <v/>
      </c>
      <c r="L269" s="381" t="str">
        <f>IF($A269="","",VLOOKUP($A269,기본데이타!$A$8:$BV$103,COLUMN(기본데이타!AM$8),0))</f>
        <v/>
      </c>
      <c r="M269" s="381" t="str">
        <f>IF($A269="","",VLOOKUP($A269,기본데이타!$A$8:$BV$103,COLUMN(기본데이타!AN$8),0))</f>
        <v/>
      </c>
      <c r="N269" s="381" t="str">
        <f>IF($A269="","",VLOOKUP($A269,기본데이타!$A$8:$BV$103,COLUMN(기본데이타!AO$8),0))</f>
        <v/>
      </c>
      <c r="O269" s="381" t="str">
        <f>IF($A269="","",VLOOKUP($A269,기본데이타!$A$8:$BV$103,COLUMN(기본데이타!AP$8),0))</f>
        <v/>
      </c>
      <c r="P269" s="381" t="str">
        <f>IF($A269="","",VLOOKUP($A269,기본데이타!$A$8:$BV$103,COLUMN(기본데이타!AQ$8),0))</f>
        <v/>
      </c>
      <c r="Q269" s="381" t="str">
        <f>IF($A269="","",VLOOKUP($A269,기본데이타!$A$8:$BV$103,COLUMN(기본데이타!AR$8),0))</f>
        <v/>
      </c>
      <c r="R269" s="381" t="str">
        <f>IF($A269="","",VLOOKUP($A269,기본데이타!$A$8:$BV$103,COLUMN(기본데이타!AS$8),0))</f>
        <v/>
      </c>
      <c r="S269" s="381" t="str">
        <f>IF($A269="","",VLOOKUP($A269,기본데이타!$A$8:$BV$103,COLUMN(기본데이타!AT$8),0))</f>
        <v/>
      </c>
      <c r="T269" s="381" t="str">
        <f>IF($A269="","",VLOOKUP($A269,기본데이타!$A$8:$BV$103,COLUMN(기본데이타!AU$8),0))</f>
        <v/>
      </c>
      <c r="U269" s="381" t="str">
        <f>IF($A269="","",VLOOKUP($A269,기본데이타!$A$8:$BV$103,COLUMN(기본데이타!AV$8),0))</f>
        <v/>
      </c>
      <c r="V269" s="16" t="str">
        <f>IF($A269="","",VLOOKUP($A269,기본데이타!$A$8:$BV$103,COLUMN(기본데이타!AW$8),0))</f>
        <v/>
      </c>
      <c r="W269" s="16" t="str">
        <f>IF($A269="","",VLOOKUP($A269,기본데이타!$A$8:$BV$103,COLUMN(기본데이타!AX$8),0))</f>
        <v/>
      </c>
      <c r="X269" s="16" t="str">
        <f>IF($A269="","",VLOOKUP($A269,기본데이타!$A$8:$BV$103,COLUMN(기본데이타!AY$8),0))</f>
        <v/>
      </c>
      <c r="Y269" s="16" t="str">
        <f>IF($A269="","",VLOOKUP($A269,기본데이타!$A$8:$BV$103,COLUMN(기본데이타!AZ$8),0))</f>
        <v/>
      </c>
      <c r="Z269" s="17" t="str">
        <f>IF($A269="","",VLOOKUP($A269,기본데이타!$A$8:$BV$103,COLUMN(기본데이타!BN$8),0))</f>
        <v/>
      </c>
      <c r="AA269" s="17" t="str">
        <f>IF($A269="","",VLOOKUP($A269,기본데이타!$A$8:$BV$103,COLUMN(기본데이타!BO$8),0))</f>
        <v/>
      </c>
      <c r="AB269" s="17" t="str">
        <f>IF($A269="","",VLOOKUP($A269,기본데이타!$A$8:$BV$103,COLUMN(기본데이타!BP$8),0))</f>
        <v/>
      </c>
      <c r="AC269" s="17" t="str">
        <f>IF($A269="","",VLOOKUP($A269,기본데이타!$A$8:$BV$103,COLUMN(기본데이타!BQ$8),0))</f>
        <v/>
      </c>
      <c r="AD269" s="17" t="str">
        <f>IF($A269="","",VLOOKUP($A269,기본데이타!$A$8:$BV$103,COLUMN(기본데이타!BR$8),0))</f>
        <v/>
      </c>
      <c r="AE269" s="17" t="str">
        <f>IF($A269="","",VLOOKUP($A269,기본데이타!$A$8:$BV$103,COLUMN(기본데이타!BS$8),0))</f>
        <v/>
      </c>
      <c r="AF269" s="294" t="str">
        <f>IF($A269="","",VLOOKUP($A269,기본데이타!$A$8:$BV$103,COLUMN(기본데이타!BT$8),0))</f>
        <v/>
      </c>
      <c r="AG269" s="432" t="str">
        <f>IF($A269="","",VLOOKUP($A269,기본데이타!$A$8:$BV$103,COLUMN(기본데이타!BU$8),0))</f>
        <v/>
      </c>
      <c r="AH269" s="18" t="str">
        <f t="shared" si="55"/>
        <v/>
      </c>
    </row>
    <row r="270" spans="1:34" s="187" customFormat="1" ht="35.1" hidden="1" customHeight="1">
      <c r="A270" s="189"/>
      <c r="C270" s="190"/>
      <c r="D270" s="8" t="str">
        <f>IF($A270="","",VLOOKUP($A270,기본데이타!$A$10:$BV$103,COLUMN(기본데이타!F$8),0))</f>
        <v/>
      </c>
      <c r="E270" s="252" t="str">
        <f>IF($A270="","",VLOOKUP($A270,기본데이타!$A$8:$BV$103,COLUMN(기본데이타!G$8),0))</f>
        <v/>
      </c>
      <c r="F270" s="15" t="str">
        <f>IF($A270="","",VLOOKUP($A270,기본데이타!$A$8:$BV$103,COLUMN(기본데이타!H$8),0))</f>
        <v/>
      </c>
      <c r="G270" s="15" t="str">
        <f>IF($A270="","",VLOOKUP($A270,기본데이타!$A$8:$BV$103,COLUMN(기본데이타!I$8),0))</f>
        <v/>
      </c>
      <c r="H270" s="15" t="str">
        <f>IF($A270="","",VLOOKUP($A270,기본데이타!$A$8:$BV$103,COLUMN(기본데이타!J$8),0))</f>
        <v/>
      </c>
      <c r="I270" s="17" t="str">
        <f>IF($A270="","",VLOOKUP($A270,기본데이타!$A$8:$BV$103,COLUMN(기본데이타!AJ$8),0))</f>
        <v/>
      </c>
      <c r="J270" s="381" t="str">
        <f>IF($A270="","",VLOOKUP($A270,기본데이타!$A$8:$BV$103,COLUMN(기본데이타!AK$8),0))</f>
        <v/>
      </c>
      <c r="K270" s="381" t="str">
        <f>IF($A270="","",VLOOKUP($A270,기본데이타!$A$8:$BV$103,COLUMN(기본데이타!AL$8),0))</f>
        <v/>
      </c>
      <c r="L270" s="381" t="str">
        <f>IF($A270="","",VLOOKUP($A270,기본데이타!$A$8:$BV$103,COLUMN(기본데이타!AM$8),0))</f>
        <v/>
      </c>
      <c r="M270" s="381" t="str">
        <f>IF($A270="","",VLOOKUP($A270,기본데이타!$A$8:$BV$103,COLUMN(기본데이타!AN$8),0))</f>
        <v/>
      </c>
      <c r="N270" s="381" t="str">
        <f>IF($A270="","",VLOOKUP($A270,기본데이타!$A$8:$BV$103,COLUMN(기본데이타!AO$8),0))</f>
        <v/>
      </c>
      <c r="O270" s="381" t="str">
        <f>IF($A270="","",VLOOKUP($A270,기본데이타!$A$8:$BV$103,COLUMN(기본데이타!AP$8),0))</f>
        <v/>
      </c>
      <c r="P270" s="381" t="str">
        <f>IF($A270="","",VLOOKUP($A270,기본데이타!$A$8:$BV$103,COLUMN(기본데이타!AQ$8),0))</f>
        <v/>
      </c>
      <c r="Q270" s="381" t="str">
        <f>IF($A270="","",VLOOKUP($A270,기본데이타!$A$8:$BV$103,COLUMN(기본데이타!AR$8),0))</f>
        <v/>
      </c>
      <c r="R270" s="381" t="str">
        <f>IF($A270="","",VLOOKUP($A270,기본데이타!$A$8:$BV$103,COLUMN(기본데이타!AS$8),0))</f>
        <v/>
      </c>
      <c r="S270" s="381" t="str">
        <f>IF($A270="","",VLOOKUP($A270,기본데이타!$A$8:$BV$103,COLUMN(기본데이타!AT$8),0))</f>
        <v/>
      </c>
      <c r="T270" s="381" t="str">
        <f>IF($A270="","",VLOOKUP($A270,기본데이타!$A$8:$BV$103,COLUMN(기본데이타!AU$8),0))</f>
        <v/>
      </c>
      <c r="U270" s="381" t="str">
        <f>IF($A270="","",VLOOKUP($A270,기본데이타!$A$8:$BV$103,COLUMN(기본데이타!AV$8),0))</f>
        <v/>
      </c>
      <c r="V270" s="16" t="str">
        <f>IF($A270="","",VLOOKUP($A270,기본데이타!$A$8:$BV$103,COLUMN(기본데이타!AW$8),0))</f>
        <v/>
      </c>
      <c r="W270" s="16" t="str">
        <f>IF($A270="","",VLOOKUP($A270,기본데이타!$A$8:$BV$103,COLUMN(기본데이타!AX$8),0))</f>
        <v/>
      </c>
      <c r="X270" s="16" t="str">
        <f>IF($A270="","",VLOOKUP($A270,기본데이타!$A$8:$BV$103,COLUMN(기본데이타!AY$8),0))</f>
        <v/>
      </c>
      <c r="Y270" s="16" t="str">
        <f>IF($A270="","",VLOOKUP($A270,기본데이타!$A$8:$BV$103,COLUMN(기본데이타!AZ$8),0))</f>
        <v/>
      </c>
      <c r="Z270" s="17" t="str">
        <f>IF($A270="","",VLOOKUP($A270,기본데이타!$A$8:$BV$103,COLUMN(기본데이타!BN$8),0))</f>
        <v/>
      </c>
      <c r="AA270" s="17" t="str">
        <f>IF($A270="","",VLOOKUP($A270,기본데이타!$A$8:$BV$103,COLUMN(기본데이타!BO$8),0))</f>
        <v/>
      </c>
      <c r="AB270" s="17" t="str">
        <f>IF($A270="","",VLOOKUP($A270,기본데이타!$A$8:$BV$103,COLUMN(기본데이타!BP$8),0))</f>
        <v/>
      </c>
      <c r="AC270" s="17" t="str">
        <f>IF($A270="","",VLOOKUP($A270,기본데이타!$A$8:$BV$103,COLUMN(기본데이타!BQ$8),0))</f>
        <v/>
      </c>
      <c r="AD270" s="17" t="str">
        <f>IF($A270="","",VLOOKUP($A270,기본데이타!$A$8:$BV$103,COLUMN(기본데이타!BR$8),0))</f>
        <v/>
      </c>
      <c r="AE270" s="17" t="str">
        <f>IF($A270="","",VLOOKUP($A270,기본데이타!$A$8:$BV$103,COLUMN(기본데이타!BS$8),0))</f>
        <v/>
      </c>
      <c r="AF270" s="294" t="str">
        <f>IF($A270="","",VLOOKUP($A270,기본데이타!$A$8:$BV$103,COLUMN(기본데이타!BT$8),0))</f>
        <v/>
      </c>
      <c r="AG270" s="432" t="str">
        <f>IF($A270="","",VLOOKUP($A270,기본데이타!$A$8:$BV$103,COLUMN(기본데이타!BU$8),0))</f>
        <v/>
      </c>
      <c r="AH270" s="18" t="str">
        <f t="shared" si="55"/>
        <v/>
      </c>
    </row>
    <row r="271" spans="1:34" s="187" customFormat="1" ht="35.1" hidden="1" customHeight="1">
      <c r="A271" s="189"/>
      <c r="C271" s="190"/>
      <c r="D271" s="8" t="str">
        <f>IF($A271="","",VLOOKUP($A271,기본데이타!$A$10:$BV$103,COLUMN(기본데이타!F$8),0))</f>
        <v/>
      </c>
      <c r="E271" s="252" t="str">
        <f>IF($A271="","",VLOOKUP($A271,기본데이타!$A$8:$BV$103,COLUMN(기본데이타!G$8),0))</f>
        <v/>
      </c>
      <c r="F271" s="15" t="str">
        <f>IF($A271="","",VLOOKUP($A271,기본데이타!$A$8:$BV$103,COLUMN(기본데이타!H$8),0))</f>
        <v/>
      </c>
      <c r="G271" s="15" t="str">
        <f>IF($A271="","",VLOOKUP($A271,기본데이타!$A$8:$BV$103,COLUMN(기본데이타!I$8),0))</f>
        <v/>
      </c>
      <c r="H271" s="15" t="str">
        <f>IF($A271="","",VLOOKUP($A271,기본데이타!$A$8:$BV$103,COLUMN(기본데이타!J$8),0))</f>
        <v/>
      </c>
      <c r="I271" s="17" t="str">
        <f>IF($A271="","",VLOOKUP($A271,기본데이타!$A$8:$BV$103,COLUMN(기본데이타!AJ$8),0))</f>
        <v/>
      </c>
      <c r="J271" s="381" t="str">
        <f>IF($A271="","",VLOOKUP($A271,기본데이타!$A$8:$BV$103,COLUMN(기본데이타!AK$8),0))</f>
        <v/>
      </c>
      <c r="K271" s="381" t="str">
        <f>IF($A271="","",VLOOKUP($A271,기본데이타!$A$8:$BV$103,COLUMN(기본데이타!AL$8),0))</f>
        <v/>
      </c>
      <c r="L271" s="381" t="str">
        <f>IF($A271="","",VLOOKUP($A271,기본데이타!$A$8:$BV$103,COLUMN(기본데이타!AM$8),0))</f>
        <v/>
      </c>
      <c r="M271" s="381" t="str">
        <f>IF($A271="","",VLOOKUP($A271,기본데이타!$A$8:$BV$103,COLUMN(기본데이타!AN$8),0))</f>
        <v/>
      </c>
      <c r="N271" s="381" t="str">
        <f>IF($A271="","",VLOOKUP($A271,기본데이타!$A$8:$BV$103,COLUMN(기본데이타!AO$8),0))</f>
        <v/>
      </c>
      <c r="O271" s="381" t="str">
        <f>IF($A271="","",VLOOKUP($A271,기본데이타!$A$8:$BV$103,COLUMN(기본데이타!AP$8),0))</f>
        <v/>
      </c>
      <c r="P271" s="381" t="str">
        <f>IF($A271="","",VLOOKUP($A271,기본데이타!$A$8:$BV$103,COLUMN(기본데이타!AQ$8),0))</f>
        <v/>
      </c>
      <c r="Q271" s="381" t="str">
        <f>IF($A271="","",VLOOKUP($A271,기본데이타!$A$8:$BV$103,COLUMN(기본데이타!AR$8),0))</f>
        <v/>
      </c>
      <c r="R271" s="381" t="str">
        <f>IF($A271="","",VLOOKUP($A271,기본데이타!$A$8:$BV$103,COLUMN(기본데이타!AS$8),0))</f>
        <v/>
      </c>
      <c r="S271" s="381" t="str">
        <f>IF($A271="","",VLOOKUP($A271,기본데이타!$A$8:$BV$103,COLUMN(기본데이타!AT$8),0))</f>
        <v/>
      </c>
      <c r="T271" s="381" t="str">
        <f>IF($A271="","",VLOOKUP($A271,기본데이타!$A$8:$BV$103,COLUMN(기본데이타!AU$8),0))</f>
        <v/>
      </c>
      <c r="U271" s="381" t="str">
        <f>IF($A271="","",VLOOKUP($A271,기본데이타!$A$8:$BV$103,COLUMN(기본데이타!AV$8),0))</f>
        <v/>
      </c>
      <c r="V271" s="16" t="str">
        <f>IF($A271="","",VLOOKUP($A271,기본데이타!$A$8:$BV$103,COLUMN(기본데이타!AW$8),0))</f>
        <v/>
      </c>
      <c r="W271" s="16" t="str">
        <f>IF($A271="","",VLOOKUP($A271,기본데이타!$A$8:$BV$103,COLUMN(기본데이타!AX$8),0))</f>
        <v/>
      </c>
      <c r="X271" s="16" t="str">
        <f>IF($A271="","",VLOOKUP($A271,기본데이타!$A$8:$BV$103,COLUMN(기본데이타!AY$8),0))</f>
        <v/>
      </c>
      <c r="Y271" s="16" t="str">
        <f>IF($A271="","",VLOOKUP($A271,기본데이타!$A$8:$BV$103,COLUMN(기본데이타!AZ$8),0))</f>
        <v/>
      </c>
      <c r="Z271" s="17" t="str">
        <f>IF($A271="","",VLOOKUP($A271,기본데이타!$A$8:$BV$103,COLUMN(기본데이타!BN$8),0))</f>
        <v/>
      </c>
      <c r="AA271" s="17" t="str">
        <f>IF($A271="","",VLOOKUP($A271,기본데이타!$A$8:$BV$103,COLUMN(기본데이타!BO$8),0))</f>
        <v/>
      </c>
      <c r="AB271" s="17" t="str">
        <f>IF($A271="","",VLOOKUP($A271,기본데이타!$A$8:$BV$103,COLUMN(기본데이타!BP$8),0))</f>
        <v/>
      </c>
      <c r="AC271" s="17" t="str">
        <f>IF($A271="","",VLOOKUP($A271,기본데이타!$A$8:$BV$103,COLUMN(기본데이타!BQ$8),0))</f>
        <v/>
      </c>
      <c r="AD271" s="17" t="str">
        <f>IF($A271="","",VLOOKUP($A271,기본데이타!$A$8:$BV$103,COLUMN(기본데이타!BR$8),0))</f>
        <v/>
      </c>
      <c r="AE271" s="17" t="str">
        <f>IF($A271="","",VLOOKUP($A271,기본데이타!$A$8:$BV$103,COLUMN(기본데이타!BS$8),0))</f>
        <v/>
      </c>
      <c r="AF271" s="294" t="str">
        <f>IF($A271="","",VLOOKUP($A271,기본데이타!$A$8:$BV$103,COLUMN(기본데이타!BT$8),0))</f>
        <v/>
      </c>
      <c r="AG271" s="432" t="str">
        <f>IF($A271="","",VLOOKUP($A271,기본데이타!$A$8:$BV$103,COLUMN(기본데이타!BU$8),0))</f>
        <v/>
      </c>
      <c r="AH271" s="18" t="str">
        <f t="shared" si="55"/>
        <v/>
      </c>
    </row>
    <row r="272" spans="1:34" s="187" customFormat="1" ht="35.1" hidden="1" customHeight="1">
      <c r="A272" s="189"/>
      <c r="C272" s="190"/>
      <c r="D272" s="8" t="str">
        <f>IF($A272="","",VLOOKUP($A272,기본데이타!$A$10:$BV$103,COLUMN(기본데이타!F$8),0))</f>
        <v/>
      </c>
      <c r="E272" s="252" t="str">
        <f>IF($A272="","",VLOOKUP($A272,기본데이타!$A$8:$BV$103,COLUMN(기본데이타!G$8),0))</f>
        <v/>
      </c>
      <c r="F272" s="15" t="str">
        <f>IF($A272="","",VLOOKUP($A272,기본데이타!$A$8:$BV$103,COLUMN(기본데이타!H$8),0))</f>
        <v/>
      </c>
      <c r="G272" s="15" t="str">
        <f>IF($A272="","",VLOOKUP($A272,기본데이타!$A$8:$BV$103,COLUMN(기본데이타!I$8),0))</f>
        <v/>
      </c>
      <c r="H272" s="15" t="str">
        <f>IF($A272="","",VLOOKUP($A272,기본데이타!$A$8:$BV$103,COLUMN(기본데이타!J$8),0))</f>
        <v/>
      </c>
      <c r="I272" s="17" t="str">
        <f>IF($A272="","",VLOOKUP($A272,기본데이타!$A$8:$BV$103,COLUMN(기본데이타!AJ$8),0))</f>
        <v/>
      </c>
      <c r="J272" s="381" t="str">
        <f>IF($A272="","",VLOOKUP($A272,기본데이타!$A$8:$BV$103,COLUMN(기본데이타!AK$8),0))</f>
        <v/>
      </c>
      <c r="K272" s="381" t="str">
        <f>IF($A272="","",VLOOKUP($A272,기본데이타!$A$8:$BV$103,COLUMN(기본데이타!AL$8),0))</f>
        <v/>
      </c>
      <c r="L272" s="381" t="str">
        <f>IF($A272="","",VLOOKUP($A272,기본데이타!$A$8:$BV$103,COLUMN(기본데이타!AM$8),0))</f>
        <v/>
      </c>
      <c r="M272" s="381" t="str">
        <f>IF($A272="","",VLOOKUP($A272,기본데이타!$A$8:$BV$103,COLUMN(기본데이타!AN$8),0))</f>
        <v/>
      </c>
      <c r="N272" s="381" t="str">
        <f>IF($A272="","",VLOOKUP($A272,기본데이타!$A$8:$BV$103,COLUMN(기본데이타!AO$8),0))</f>
        <v/>
      </c>
      <c r="O272" s="381" t="str">
        <f>IF($A272="","",VLOOKUP($A272,기본데이타!$A$8:$BV$103,COLUMN(기본데이타!AP$8),0))</f>
        <v/>
      </c>
      <c r="P272" s="381" t="str">
        <f>IF($A272="","",VLOOKUP($A272,기본데이타!$A$8:$BV$103,COLUMN(기본데이타!AQ$8),0))</f>
        <v/>
      </c>
      <c r="Q272" s="381" t="str">
        <f>IF($A272="","",VLOOKUP($A272,기본데이타!$A$8:$BV$103,COLUMN(기본데이타!AR$8),0))</f>
        <v/>
      </c>
      <c r="R272" s="381" t="str">
        <f>IF($A272="","",VLOOKUP($A272,기본데이타!$A$8:$BV$103,COLUMN(기본데이타!AS$8),0))</f>
        <v/>
      </c>
      <c r="S272" s="381" t="str">
        <f>IF($A272="","",VLOOKUP($A272,기본데이타!$A$8:$BV$103,COLUMN(기본데이타!AT$8),0))</f>
        <v/>
      </c>
      <c r="T272" s="381" t="str">
        <f>IF($A272="","",VLOOKUP($A272,기본데이타!$A$8:$BV$103,COLUMN(기본데이타!AU$8),0))</f>
        <v/>
      </c>
      <c r="U272" s="381" t="str">
        <f>IF($A272="","",VLOOKUP($A272,기본데이타!$A$8:$BV$103,COLUMN(기본데이타!AV$8),0))</f>
        <v/>
      </c>
      <c r="V272" s="16" t="str">
        <f>IF($A272="","",VLOOKUP($A272,기본데이타!$A$8:$BV$103,COLUMN(기본데이타!AW$8),0))</f>
        <v/>
      </c>
      <c r="W272" s="16" t="str">
        <f>IF($A272="","",VLOOKUP($A272,기본데이타!$A$8:$BV$103,COLUMN(기본데이타!AX$8),0))</f>
        <v/>
      </c>
      <c r="X272" s="16" t="str">
        <f>IF($A272="","",VLOOKUP($A272,기본데이타!$A$8:$BV$103,COLUMN(기본데이타!AY$8),0))</f>
        <v/>
      </c>
      <c r="Y272" s="16" t="str">
        <f>IF($A272="","",VLOOKUP($A272,기본데이타!$A$8:$BV$103,COLUMN(기본데이타!AZ$8),0))</f>
        <v/>
      </c>
      <c r="Z272" s="17" t="str">
        <f>IF($A272="","",VLOOKUP($A272,기본데이타!$A$8:$BV$103,COLUMN(기본데이타!BN$8),0))</f>
        <v/>
      </c>
      <c r="AA272" s="17" t="str">
        <f>IF($A272="","",VLOOKUP($A272,기본데이타!$A$8:$BV$103,COLUMN(기본데이타!BO$8),0))</f>
        <v/>
      </c>
      <c r="AB272" s="17" t="str">
        <f>IF($A272="","",VLOOKUP($A272,기본데이타!$A$8:$BV$103,COLUMN(기본데이타!BP$8),0))</f>
        <v/>
      </c>
      <c r="AC272" s="17" t="str">
        <f>IF($A272="","",VLOOKUP($A272,기본데이타!$A$8:$BV$103,COLUMN(기본데이타!BQ$8),0))</f>
        <v/>
      </c>
      <c r="AD272" s="17" t="str">
        <f>IF($A272="","",VLOOKUP($A272,기본데이타!$A$8:$BV$103,COLUMN(기본데이타!BR$8),0))</f>
        <v/>
      </c>
      <c r="AE272" s="17" t="str">
        <f>IF($A272="","",VLOOKUP($A272,기본데이타!$A$8:$BV$103,COLUMN(기본데이타!BS$8),0))</f>
        <v/>
      </c>
      <c r="AF272" s="294" t="str">
        <f>IF($A272="","",VLOOKUP($A272,기본데이타!$A$8:$BV$103,COLUMN(기본데이타!BT$8),0))</f>
        <v/>
      </c>
      <c r="AG272" s="432" t="str">
        <f>IF($A272="","",VLOOKUP($A272,기본데이타!$A$8:$BV$103,COLUMN(기본데이타!BU$8),0))</f>
        <v/>
      </c>
      <c r="AH272" s="18" t="str">
        <f t="shared" si="55"/>
        <v/>
      </c>
    </row>
    <row r="273" spans="1:35" s="187" customFormat="1" ht="35.1" hidden="1" customHeight="1">
      <c r="A273" s="189"/>
      <c r="C273" s="190"/>
      <c r="D273" s="8" t="str">
        <f>IF($A273="","",VLOOKUP($A273,기본데이타!$A$10:$BV$103,COLUMN(기본데이타!F$8),0))</f>
        <v/>
      </c>
      <c r="E273" s="252" t="str">
        <f>IF($A273="","",VLOOKUP($A273,기본데이타!$A$8:$BV$103,COLUMN(기본데이타!G$8),0))</f>
        <v/>
      </c>
      <c r="F273" s="15" t="str">
        <f>IF($A273="","",VLOOKUP($A273,기본데이타!$A$8:$BV$103,COLUMN(기본데이타!H$8),0))</f>
        <v/>
      </c>
      <c r="G273" s="15" t="str">
        <f>IF($A273="","",VLOOKUP($A273,기본데이타!$A$8:$BV$103,COLUMN(기본데이타!I$8),0))</f>
        <v/>
      </c>
      <c r="H273" s="15" t="str">
        <f>IF($A273="","",VLOOKUP($A273,기본데이타!$A$8:$BV$103,COLUMN(기본데이타!J$8),0))</f>
        <v/>
      </c>
      <c r="I273" s="17" t="str">
        <f>IF($A273="","",VLOOKUP($A273,기본데이타!$A$8:$BV$103,COLUMN(기본데이타!AJ$8),0))</f>
        <v/>
      </c>
      <c r="J273" s="381" t="str">
        <f>IF($A273="","",VLOOKUP($A273,기본데이타!$A$8:$BV$103,COLUMN(기본데이타!AK$8),0))</f>
        <v/>
      </c>
      <c r="K273" s="381" t="str">
        <f>IF($A273="","",VLOOKUP($A273,기본데이타!$A$8:$BV$103,COLUMN(기본데이타!AL$8),0))</f>
        <v/>
      </c>
      <c r="L273" s="381" t="str">
        <f>IF($A273="","",VLOOKUP($A273,기본데이타!$A$8:$BV$103,COLUMN(기본데이타!AM$8),0))</f>
        <v/>
      </c>
      <c r="M273" s="381" t="str">
        <f>IF($A273="","",VLOOKUP($A273,기본데이타!$A$8:$BV$103,COLUMN(기본데이타!AN$8),0))</f>
        <v/>
      </c>
      <c r="N273" s="381" t="str">
        <f>IF($A273="","",VLOOKUP($A273,기본데이타!$A$8:$BV$103,COLUMN(기본데이타!AO$8),0))</f>
        <v/>
      </c>
      <c r="O273" s="381" t="str">
        <f>IF($A273="","",VLOOKUP($A273,기본데이타!$A$8:$BV$103,COLUMN(기본데이타!AP$8),0))</f>
        <v/>
      </c>
      <c r="P273" s="381" t="str">
        <f>IF($A273="","",VLOOKUP($A273,기본데이타!$A$8:$BV$103,COLUMN(기본데이타!AQ$8),0))</f>
        <v/>
      </c>
      <c r="Q273" s="381" t="str">
        <f>IF($A273="","",VLOOKUP($A273,기본데이타!$A$8:$BV$103,COLUMN(기본데이타!AR$8),0))</f>
        <v/>
      </c>
      <c r="R273" s="381" t="str">
        <f>IF($A273="","",VLOOKUP($A273,기본데이타!$A$8:$BV$103,COLUMN(기본데이타!AS$8),0))</f>
        <v/>
      </c>
      <c r="S273" s="381" t="str">
        <f>IF($A273="","",VLOOKUP($A273,기본데이타!$A$8:$BV$103,COLUMN(기본데이타!AT$8),0))</f>
        <v/>
      </c>
      <c r="T273" s="381" t="str">
        <f>IF($A273="","",VLOOKUP($A273,기본데이타!$A$8:$BV$103,COLUMN(기본데이타!AU$8),0))</f>
        <v/>
      </c>
      <c r="U273" s="381" t="str">
        <f>IF($A273="","",VLOOKUP($A273,기본데이타!$A$8:$BV$103,COLUMN(기본데이타!AV$8),0))</f>
        <v/>
      </c>
      <c r="V273" s="16" t="str">
        <f>IF($A273="","",VLOOKUP($A273,기본데이타!$A$8:$BV$103,COLUMN(기본데이타!AW$8),0))</f>
        <v/>
      </c>
      <c r="W273" s="16" t="str">
        <f>IF($A273="","",VLOOKUP($A273,기본데이타!$A$8:$BV$103,COLUMN(기본데이타!AX$8),0))</f>
        <v/>
      </c>
      <c r="X273" s="16" t="str">
        <f>IF($A273="","",VLOOKUP($A273,기본데이타!$A$8:$BV$103,COLUMN(기본데이타!AY$8),0))</f>
        <v/>
      </c>
      <c r="Y273" s="16" t="str">
        <f>IF($A273="","",VLOOKUP($A273,기본데이타!$A$8:$BV$103,COLUMN(기본데이타!AZ$8),0))</f>
        <v/>
      </c>
      <c r="Z273" s="17" t="str">
        <f>IF($A273="","",VLOOKUP($A273,기본데이타!$A$8:$BV$103,COLUMN(기본데이타!BN$8),0))</f>
        <v/>
      </c>
      <c r="AA273" s="17" t="str">
        <f>IF($A273="","",VLOOKUP($A273,기본데이타!$A$8:$BV$103,COLUMN(기본데이타!BO$8),0))</f>
        <v/>
      </c>
      <c r="AB273" s="17" t="str">
        <f>IF($A273="","",VLOOKUP($A273,기본데이타!$A$8:$BV$103,COLUMN(기본데이타!BP$8),0))</f>
        <v/>
      </c>
      <c r="AC273" s="17" t="str">
        <f>IF($A273="","",VLOOKUP($A273,기본데이타!$A$8:$BV$103,COLUMN(기본데이타!BQ$8),0))</f>
        <v/>
      </c>
      <c r="AD273" s="17" t="str">
        <f>IF($A273="","",VLOOKUP($A273,기본데이타!$A$8:$BV$103,COLUMN(기본데이타!BR$8),0))</f>
        <v/>
      </c>
      <c r="AE273" s="17" t="str">
        <f>IF($A273="","",VLOOKUP($A273,기본데이타!$A$8:$BV$103,COLUMN(기본데이타!BS$8),0))</f>
        <v/>
      </c>
      <c r="AF273" s="294" t="str">
        <f>IF($A273="","",VLOOKUP($A273,기본데이타!$A$8:$BV$103,COLUMN(기본데이타!BT$8),0))</f>
        <v/>
      </c>
      <c r="AG273" s="432" t="str">
        <f>IF($A273="","",VLOOKUP($A273,기본데이타!$A$8:$BV$103,COLUMN(기본데이타!BU$8),0))</f>
        <v/>
      </c>
      <c r="AH273" s="18" t="str">
        <f t="shared" si="55"/>
        <v/>
      </c>
    </row>
    <row r="274" spans="1:35" s="187" customFormat="1" ht="35.1" hidden="1" customHeight="1">
      <c r="A274" s="189"/>
      <c r="C274" s="190"/>
      <c r="D274" s="8" t="str">
        <f>IF($A274="","",VLOOKUP($A274,기본데이타!$A$10:$BV$103,COLUMN(기본데이타!F$8),0))</f>
        <v/>
      </c>
      <c r="E274" s="252" t="str">
        <f>IF($A274="","",VLOOKUP($A274,기본데이타!$A$8:$BV$103,COLUMN(기본데이타!G$8),0))</f>
        <v/>
      </c>
      <c r="F274" s="15" t="str">
        <f>IF($A274="","",VLOOKUP($A274,기본데이타!$A$8:$BV$103,COLUMN(기본데이타!H$8),0))</f>
        <v/>
      </c>
      <c r="G274" s="15" t="str">
        <f>IF($A274="","",VLOOKUP($A274,기본데이타!$A$8:$BV$103,COLUMN(기본데이타!I$8),0))</f>
        <v/>
      </c>
      <c r="H274" s="15" t="str">
        <f>IF($A274="","",VLOOKUP($A274,기본데이타!$A$8:$BV$103,COLUMN(기본데이타!J$8),0))</f>
        <v/>
      </c>
      <c r="I274" s="17" t="str">
        <f>IF($A274="","",VLOOKUP($A274,기본데이타!$A$8:$BV$103,COLUMN(기본데이타!AJ$8),0))</f>
        <v/>
      </c>
      <c r="J274" s="381" t="str">
        <f>IF($A274="","",VLOOKUP($A274,기본데이타!$A$8:$BV$103,COLUMN(기본데이타!AK$8),0))</f>
        <v/>
      </c>
      <c r="K274" s="381" t="str">
        <f>IF($A274="","",VLOOKUP($A274,기본데이타!$A$8:$BV$103,COLUMN(기본데이타!AL$8),0))</f>
        <v/>
      </c>
      <c r="L274" s="381" t="str">
        <f>IF($A274="","",VLOOKUP($A274,기본데이타!$A$8:$BV$103,COLUMN(기본데이타!AM$8),0))</f>
        <v/>
      </c>
      <c r="M274" s="381" t="str">
        <f>IF($A274="","",VLOOKUP($A274,기본데이타!$A$8:$BV$103,COLUMN(기본데이타!AN$8),0))</f>
        <v/>
      </c>
      <c r="N274" s="381" t="str">
        <f>IF($A274="","",VLOOKUP($A274,기본데이타!$A$8:$BV$103,COLUMN(기본데이타!AO$8),0))</f>
        <v/>
      </c>
      <c r="O274" s="381" t="str">
        <f>IF($A274="","",VLOOKUP($A274,기본데이타!$A$8:$BV$103,COLUMN(기본데이타!AP$8),0))</f>
        <v/>
      </c>
      <c r="P274" s="381" t="str">
        <f>IF($A274="","",VLOOKUP($A274,기본데이타!$A$8:$BV$103,COLUMN(기본데이타!AQ$8),0))</f>
        <v/>
      </c>
      <c r="Q274" s="381" t="str">
        <f>IF($A274="","",VLOOKUP($A274,기본데이타!$A$8:$BV$103,COLUMN(기본데이타!AR$8),0))</f>
        <v/>
      </c>
      <c r="R274" s="381" t="str">
        <f>IF($A274="","",VLOOKUP($A274,기본데이타!$A$8:$BV$103,COLUMN(기본데이타!AS$8),0))</f>
        <v/>
      </c>
      <c r="S274" s="381" t="str">
        <f>IF($A274="","",VLOOKUP($A274,기본데이타!$A$8:$BV$103,COLUMN(기본데이타!AT$8),0))</f>
        <v/>
      </c>
      <c r="T274" s="381" t="str">
        <f>IF($A274="","",VLOOKUP($A274,기본데이타!$A$8:$BV$103,COLUMN(기본데이타!AU$8),0))</f>
        <v/>
      </c>
      <c r="U274" s="381" t="str">
        <f>IF($A274="","",VLOOKUP($A274,기본데이타!$A$8:$BV$103,COLUMN(기본데이타!AV$8),0))</f>
        <v/>
      </c>
      <c r="V274" s="16" t="str">
        <f>IF($A274="","",VLOOKUP($A274,기본데이타!$A$8:$BV$103,COLUMN(기본데이타!AW$8),0))</f>
        <v/>
      </c>
      <c r="W274" s="16" t="str">
        <f>IF($A274="","",VLOOKUP($A274,기본데이타!$A$8:$BV$103,COLUMN(기본데이타!AX$8),0))</f>
        <v/>
      </c>
      <c r="X274" s="16" t="str">
        <f>IF($A274="","",VLOOKUP($A274,기본데이타!$A$8:$BV$103,COLUMN(기본데이타!AY$8),0))</f>
        <v/>
      </c>
      <c r="Y274" s="16" t="str">
        <f>IF($A274="","",VLOOKUP($A274,기본데이타!$A$8:$BV$103,COLUMN(기본데이타!AZ$8),0))</f>
        <v/>
      </c>
      <c r="Z274" s="17" t="str">
        <f>IF($A274="","",VLOOKUP($A274,기본데이타!$A$8:$BV$103,COLUMN(기본데이타!BN$8),0))</f>
        <v/>
      </c>
      <c r="AA274" s="17" t="str">
        <f>IF($A274="","",VLOOKUP($A274,기본데이타!$A$8:$BV$103,COLUMN(기본데이타!BO$8),0))</f>
        <v/>
      </c>
      <c r="AB274" s="17" t="str">
        <f>IF($A274="","",VLOOKUP($A274,기본데이타!$A$8:$BV$103,COLUMN(기본데이타!BP$8),0))</f>
        <v/>
      </c>
      <c r="AC274" s="17" t="str">
        <f>IF($A274="","",VLOOKUP($A274,기본데이타!$A$8:$BV$103,COLUMN(기본데이타!BQ$8),0))</f>
        <v/>
      </c>
      <c r="AD274" s="17" t="str">
        <f>IF($A274="","",VLOOKUP($A274,기본데이타!$A$8:$BV$103,COLUMN(기본데이타!BR$8),0))</f>
        <v/>
      </c>
      <c r="AE274" s="17" t="str">
        <f>IF($A274="","",VLOOKUP($A274,기본데이타!$A$8:$BV$103,COLUMN(기본데이타!BS$8),0))</f>
        <v/>
      </c>
      <c r="AF274" s="294" t="str">
        <f>IF($A274="","",VLOOKUP($A274,기본데이타!$A$8:$BV$103,COLUMN(기본데이타!BT$8),0))</f>
        <v/>
      </c>
      <c r="AG274" s="432" t="str">
        <f>IF($A274="","",VLOOKUP($A274,기본데이타!$A$8:$BV$103,COLUMN(기본데이타!BU$8),0))</f>
        <v/>
      </c>
      <c r="AH274" s="18" t="str">
        <f>IF(A274="","",A274)</f>
        <v/>
      </c>
    </row>
    <row r="275" spans="1:35" s="187" customFormat="1" ht="35.1" hidden="1" customHeight="1">
      <c r="A275" s="189"/>
      <c r="C275" s="190"/>
      <c r="D275" s="8" t="str">
        <f>IF($A275="","",VLOOKUP($A275,기본데이타!$A$10:$BV$103,COLUMN(기본데이타!F$8),0))</f>
        <v/>
      </c>
      <c r="E275" s="252" t="str">
        <f>IF($A275="","",VLOOKUP($A275,기본데이타!$A$8:$BV$103,COLUMN(기본데이타!G$8),0))</f>
        <v/>
      </c>
      <c r="F275" s="15" t="str">
        <f>IF($A275="","",VLOOKUP($A275,기본데이타!$A$8:$BV$103,COLUMN(기본데이타!H$8),0))</f>
        <v/>
      </c>
      <c r="G275" s="15" t="str">
        <f>IF($A275="","",VLOOKUP($A275,기본데이타!$A$8:$BV$103,COLUMN(기본데이타!I$8),0))</f>
        <v/>
      </c>
      <c r="H275" s="15" t="str">
        <f>IF($A275="","",VLOOKUP($A275,기본데이타!$A$8:$BV$103,COLUMN(기본데이타!J$8),0))</f>
        <v/>
      </c>
      <c r="I275" s="17" t="str">
        <f>IF($A275="","",VLOOKUP($A275,기본데이타!$A$8:$BV$103,COLUMN(기본데이타!AJ$8),0))</f>
        <v/>
      </c>
      <c r="J275" s="381" t="str">
        <f>IF($A275="","",VLOOKUP($A275,기본데이타!$A$8:$BV$103,COLUMN(기본데이타!AK$8),0))</f>
        <v/>
      </c>
      <c r="K275" s="381" t="str">
        <f>IF($A275="","",VLOOKUP($A275,기본데이타!$A$8:$BV$103,COLUMN(기본데이타!AL$8),0))</f>
        <v/>
      </c>
      <c r="L275" s="381" t="str">
        <f>IF($A275="","",VLOOKUP($A275,기본데이타!$A$8:$BV$103,COLUMN(기본데이타!AM$8),0))</f>
        <v/>
      </c>
      <c r="M275" s="381" t="str">
        <f>IF($A275="","",VLOOKUP($A275,기본데이타!$A$8:$BV$103,COLUMN(기본데이타!AN$8),0))</f>
        <v/>
      </c>
      <c r="N275" s="381" t="str">
        <f>IF($A275="","",VLOOKUP($A275,기본데이타!$A$8:$BV$103,COLUMN(기본데이타!AO$8),0))</f>
        <v/>
      </c>
      <c r="O275" s="381" t="str">
        <f>IF($A275="","",VLOOKUP($A275,기본데이타!$A$8:$BV$103,COLUMN(기본데이타!AP$8),0))</f>
        <v/>
      </c>
      <c r="P275" s="381" t="str">
        <f>IF($A275="","",VLOOKUP($A275,기본데이타!$A$8:$BV$103,COLUMN(기본데이타!AQ$8),0))</f>
        <v/>
      </c>
      <c r="Q275" s="381" t="str">
        <f>IF($A275="","",VLOOKUP($A275,기본데이타!$A$8:$BV$103,COLUMN(기본데이타!AR$8),0))</f>
        <v/>
      </c>
      <c r="R275" s="381" t="str">
        <f>IF($A275="","",VLOOKUP($A275,기본데이타!$A$8:$BV$103,COLUMN(기본데이타!AS$8),0))</f>
        <v/>
      </c>
      <c r="S275" s="381" t="str">
        <f>IF($A275="","",VLOOKUP($A275,기본데이타!$A$8:$BV$103,COLUMN(기본데이타!AT$8),0))</f>
        <v/>
      </c>
      <c r="T275" s="381" t="str">
        <f>IF($A275="","",VLOOKUP($A275,기본데이타!$A$8:$BV$103,COLUMN(기본데이타!AU$8),0))</f>
        <v/>
      </c>
      <c r="U275" s="381" t="str">
        <f>IF($A275="","",VLOOKUP($A275,기본데이타!$A$8:$BV$103,COLUMN(기본데이타!AV$8),0))</f>
        <v/>
      </c>
      <c r="V275" s="16" t="str">
        <f>IF($A275="","",VLOOKUP($A275,기본데이타!$A$8:$BV$103,COLUMN(기본데이타!AW$8),0))</f>
        <v/>
      </c>
      <c r="W275" s="16" t="str">
        <f>IF($A275="","",VLOOKUP($A275,기본데이타!$A$8:$BV$103,COLUMN(기본데이타!AX$8),0))</f>
        <v/>
      </c>
      <c r="X275" s="16" t="str">
        <f>IF($A275="","",VLOOKUP($A275,기본데이타!$A$8:$BV$103,COLUMN(기본데이타!AY$8),0))</f>
        <v/>
      </c>
      <c r="Y275" s="16" t="str">
        <f>IF($A275="","",VLOOKUP($A275,기본데이타!$A$8:$BV$103,COLUMN(기본데이타!AZ$8),0))</f>
        <v/>
      </c>
      <c r="Z275" s="17" t="str">
        <f>IF($A275="","",VLOOKUP($A275,기본데이타!$A$8:$BV$103,COLUMN(기본데이타!BN$8),0))</f>
        <v/>
      </c>
      <c r="AA275" s="17" t="str">
        <f>IF($A275="","",VLOOKUP($A275,기본데이타!$A$8:$BV$103,COLUMN(기본데이타!BO$8),0))</f>
        <v/>
      </c>
      <c r="AB275" s="17" t="str">
        <f>IF($A275="","",VLOOKUP($A275,기본데이타!$A$8:$BV$103,COLUMN(기본데이타!BP$8),0))</f>
        <v/>
      </c>
      <c r="AC275" s="17" t="str">
        <f>IF($A275="","",VLOOKUP($A275,기본데이타!$A$8:$BV$103,COLUMN(기본데이타!BQ$8),0))</f>
        <v/>
      </c>
      <c r="AD275" s="17" t="str">
        <f>IF($A275="","",VLOOKUP($A275,기본데이타!$A$8:$BV$103,COLUMN(기본데이타!BR$8),0))</f>
        <v/>
      </c>
      <c r="AE275" s="17" t="str">
        <f>IF($A275="","",VLOOKUP($A275,기본데이타!$A$8:$BV$103,COLUMN(기본데이타!BS$8),0))</f>
        <v/>
      </c>
      <c r="AF275" s="294" t="str">
        <f>IF($A275="","",VLOOKUP($A275,기본데이타!$A$8:$BV$103,COLUMN(기본데이타!BT$8),0))</f>
        <v/>
      </c>
      <c r="AG275" s="432" t="str">
        <f>IF($A275="","",VLOOKUP($A275,기본데이타!$A$8:$BV$103,COLUMN(기본데이타!BU$8),0))</f>
        <v/>
      </c>
      <c r="AH275" s="18" t="str">
        <f>IF(A275="","",A275)</f>
        <v/>
      </c>
    </row>
    <row r="276" spans="1:35" s="187" customFormat="1" ht="35.1" hidden="1" customHeight="1">
      <c r="A276" s="189"/>
      <c r="C276" s="190"/>
      <c r="D276" s="8" t="str">
        <f>IF($A276="","",VLOOKUP($A276,기본데이타!$A$10:$BV$103,COLUMN(기본데이타!F$8),0))</f>
        <v/>
      </c>
      <c r="E276" s="252" t="str">
        <f>IF($A276="","",VLOOKUP($A276,기본데이타!$A$8:$BV$103,COLUMN(기본데이타!G$8),0))</f>
        <v/>
      </c>
      <c r="F276" s="15" t="str">
        <f>IF($A276="","",VLOOKUP($A276,기본데이타!$A$8:$BV$103,COLUMN(기본데이타!H$8),0))</f>
        <v/>
      </c>
      <c r="G276" s="15" t="str">
        <f>IF($A276="","",VLOOKUP($A276,기본데이타!$A$8:$BV$103,COLUMN(기본데이타!I$8),0))</f>
        <v/>
      </c>
      <c r="H276" s="15" t="str">
        <f>IF($A276="","",VLOOKUP($A276,기본데이타!$A$8:$BV$103,COLUMN(기본데이타!J$8),0))</f>
        <v/>
      </c>
      <c r="I276" s="17" t="str">
        <f>IF($A276="","",VLOOKUP($A276,기본데이타!$A$8:$BV$103,COLUMN(기본데이타!AJ$8),0))</f>
        <v/>
      </c>
      <c r="J276" s="381" t="str">
        <f>IF($A276="","",VLOOKUP($A276,기본데이타!$A$8:$BV$103,COLUMN(기본데이타!AK$8),0))</f>
        <v/>
      </c>
      <c r="K276" s="381" t="str">
        <f>IF($A276="","",VLOOKUP($A276,기본데이타!$A$8:$BV$103,COLUMN(기본데이타!AL$8),0))</f>
        <v/>
      </c>
      <c r="L276" s="381" t="str">
        <f>IF($A276="","",VLOOKUP($A276,기본데이타!$A$8:$BV$103,COLUMN(기본데이타!AM$8),0))</f>
        <v/>
      </c>
      <c r="M276" s="381" t="str">
        <f>IF($A276="","",VLOOKUP($A276,기본데이타!$A$8:$BV$103,COLUMN(기본데이타!AN$8),0))</f>
        <v/>
      </c>
      <c r="N276" s="381" t="str">
        <f>IF($A276="","",VLOOKUP($A276,기본데이타!$A$8:$BV$103,COLUMN(기본데이타!AO$8),0))</f>
        <v/>
      </c>
      <c r="O276" s="381" t="str">
        <f>IF($A276="","",VLOOKUP($A276,기본데이타!$A$8:$BV$103,COLUMN(기본데이타!AP$8),0))</f>
        <v/>
      </c>
      <c r="P276" s="381" t="str">
        <f>IF($A276="","",VLOOKUP($A276,기본데이타!$A$8:$BV$103,COLUMN(기본데이타!AQ$8),0))</f>
        <v/>
      </c>
      <c r="Q276" s="381" t="str">
        <f>IF($A276="","",VLOOKUP($A276,기본데이타!$A$8:$BV$103,COLUMN(기본데이타!AR$8),0))</f>
        <v/>
      </c>
      <c r="R276" s="381" t="str">
        <f>IF($A276="","",VLOOKUP($A276,기본데이타!$A$8:$BV$103,COLUMN(기본데이타!AS$8),0))</f>
        <v/>
      </c>
      <c r="S276" s="381" t="str">
        <f>IF($A276="","",VLOOKUP($A276,기본데이타!$A$8:$BV$103,COLUMN(기본데이타!AT$8),0))</f>
        <v/>
      </c>
      <c r="T276" s="381" t="str">
        <f>IF($A276="","",VLOOKUP($A276,기본데이타!$A$8:$BV$103,COLUMN(기본데이타!AU$8),0))</f>
        <v/>
      </c>
      <c r="U276" s="381" t="str">
        <f>IF($A276="","",VLOOKUP($A276,기본데이타!$A$8:$BV$103,COLUMN(기본데이타!AV$8),0))</f>
        <v/>
      </c>
      <c r="V276" s="16" t="str">
        <f>IF($A276="","",VLOOKUP($A276,기본데이타!$A$8:$BV$103,COLUMN(기본데이타!AW$8),0))</f>
        <v/>
      </c>
      <c r="W276" s="16" t="str">
        <f>IF($A276="","",VLOOKUP($A276,기본데이타!$A$8:$BV$103,COLUMN(기본데이타!AX$8),0))</f>
        <v/>
      </c>
      <c r="X276" s="16" t="str">
        <f>IF($A276="","",VLOOKUP($A276,기본데이타!$A$8:$BV$103,COLUMN(기본데이타!AY$8),0))</f>
        <v/>
      </c>
      <c r="Y276" s="16" t="str">
        <f>IF($A276="","",VLOOKUP($A276,기본데이타!$A$8:$BV$103,COLUMN(기본데이타!AZ$8),0))</f>
        <v/>
      </c>
      <c r="Z276" s="17" t="str">
        <f>IF($A276="","",VLOOKUP($A276,기본데이타!$A$8:$BV$103,COLUMN(기본데이타!BN$8),0))</f>
        <v/>
      </c>
      <c r="AA276" s="17" t="str">
        <f>IF($A276="","",VLOOKUP($A276,기본데이타!$A$8:$BV$103,COLUMN(기본데이타!BO$8),0))</f>
        <v/>
      </c>
      <c r="AB276" s="17" t="str">
        <f>IF($A276="","",VLOOKUP($A276,기본데이타!$A$8:$BV$103,COLUMN(기본데이타!BP$8),0))</f>
        <v/>
      </c>
      <c r="AC276" s="17" t="str">
        <f>IF($A276="","",VLOOKUP($A276,기본데이타!$A$8:$BV$103,COLUMN(기본데이타!BQ$8),0))</f>
        <v/>
      </c>
      <c r="AD276" s="17" t="str">
        <f>IF($A276="","",VLOOKUP($A276,기본데이타!$A$8:$BV$103,COLUMN(기본데이타!BR$8),0))</f>
        <v/>
      </c>
      <c r="AE276" s="17" t="str">
        <f>IF($A276="","",VLOOKUP($A276,기본데이타!$A$8:$BV$103,COLUMN(기본데이타!BS$8),0))</f>
        <v/>
      </c>
      <c r="AF276" s="294" t="str">
        <f>IF($A276="","",VLOOKUP($A276,기본데이타!$A$8:$BV$103,COLUMN(기본데이타!BT$8),0))</f>
        <v/>
      </c>
      <c r="AG276" s="432" t="str">
        <f>IF($A276="","",VLOOKUP($A276,기본데이타!$A$8:$BV$103,COLUMN(기본데이타!BU$8),0))</f>
        <v/>
      </c>
      <c r="AH276" s="18" t="str">
        <f>IF(A276="","",A276)</f>
        <v/>
      </c>
    </row>
    <row r="277" spans="1:35" s="187" customFormat="1" ht="35.1" hidden="1" customHeight="1" thickBot="1">
      <c r="A277" s="189"/>
      <c r="C277" s="306"/>
      <c r="D277" s="525">
        <f>COUNTA(A250:A276)</f>
        <v>0</v>
      </c>
      <c r="E277" s="526">
        <f>SUM(E250:E276)</f>
        <v>0</v>
      </c>
      <c r="F277" s="791">
        <f>SUM(F250:F276)</f>
        <v>0</v>
      </c>
      <c r="G277" s="792">
        <f>SUM(G171:G276)</f>
        <v>0</v>
      </c>
      <c r="H277" s="791">
        <f>SUM(H250:H276)</f>
        <v>0</v>
      </c>
      <c r="I277" s="528"/>
      <c r="J277" s="529"/>
      <c r="K277" s="529"/>
      <c r="L277" s="529"/>
      <c r="M277" s="529"/>
      <c r="N277" s="529"/>
      <c r="O277" s="529"/>
      <c r="P277" s="529"/>
      <c r="Q277" s="529"/>
      <c r="R277" s="529"/>
      <c r="S277" s="529"/>
      <c r="T277" s="529"/>
      <c r="U277" s="528"/>
      <c r="V277" s="530"/>
      <c r="W277" s="530"/>
      <c r="X277" s="530"/>
      <c r="Y277" s="530"/>
      <c r="Z277" s="528"/>
      <c r="AA277" s="528"/>
      <c r="AB277" s="528"/>
      <c r="AC277" s="528"/>
      <c r="AD277" s="531"/>
      <c r="AE277" s="532"/>
      <c r="AF277" s="533"/>
      <c r="AG277" s="534"/>
      <c r="AH277" s="535"/>
      <c r="AI277" s="264"/>
    </row>
    <row r="278" spans="1:35" s="187" customFormat="1" ht="35.1" hidden="1" customHeight="1">
      <c r="A278" s="189"/>
      <c r="C278" s="190"/>
      <c r="D278" s="388"/>
      <c r="E278" s="389"/>
      <c r="F278" s="390"/>
      <c r="G278" s="390"/>
      <c r="H278" s="390"/>
      <c r="I278" s="391"/>
      <c r="J278" s="380"/>
      <c r="K278" s="380"/>
      <c r="L278" s="380"/>
      <c r="M278" s="380"/>
      <c r="N278" s="380"/>
      <c r="O278" s="380"/>
      <c r="P278" s="380"/>
      <c r="Q278" s="380"/>
      <c r="R278" s="380"/>
      <c r="S278" s="380"/>
      <c r="T278" s="380"/>
      <c r="U278" s="380"/>
      <c r="V278" s="392"/>
      <c r="W278" s="392"/>
      <c r="X278" s="392"/>
      <c r="Y278" s="392"/>
      <c r="Z278" s="391"/>
      <c r="AA278" s="391"/>
      <c r="AB278" s="391"/>
      <c r="AC278" s="391"/>
      <c r="AD278" s="391"/>
      <c r="AE278" s="391"/>
      <c r="AF278" s="393"/>
      <c r="AG278" s="437"/>
      <c r="AH278" s="394"/>
    </row>
    <row r="279" spans="1:35" s="187" customFormat="1" ht="35.1" hidden="1" customHeight="1" thickBot="1">
      <c r="A279" s="189"/>
      <c r="C279" s="306"/>
      <c r="D279" s="525"/>
      <c r="E279" s="527"/>
      <c r="F279" s="527"/>
      <c r="G279" s="527"/>
      <c r="H279" s="527"/>
      <c r="I279" s="528"/>
      <c r="J279" s="529"/>
      <c r="K279" s="529"/>
      <c r="L279" s="529"/>
      <c r="M279" s="529"/>
      <c r="N279" s="529"/>
      <c r="O279" s="529"/>
      <c r="P279" s="529"/>
      <c r="Q279" s="529"/>
      <c r="R279" s="529"/>
      <c r="S279" s="529"/>
      <c r="T279" s="529"/>
      <c r="U279" s="529"/>
      <c r="V279" s="530"/>
      <c r="W279" s="530"/>
      <c r="X279" s="530"/>
      <c r="Y279" s="530"/>
      <c r="Z279" s="528"/>
      <c r="AA279" s="528"/>
      <c r="AB279" s="528"/>
      <c r="AC279" s="528"/>
      <c r="AD279" s="531"/>
      <c r="AE279" s="532"/>
      <c r="AF279" s="533"/>
      <c r="AG279" s="534"/>
      <c r="AH279" s="535"/>
      <c r="AI279" s="264"/>
    </row>
    <row r="280" spans="1:35" ht="44.25" customHeight="1"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AE280" s="240"/>
      <c r="AG280" s="438"/>
    </row>
    <row r="281" spans="1:35" ht="44.25" customHeight="1">
      <c r="G281" s="199"/>
      <c r="H281" s="199"/>
      <c r="I281" s="199"/>
      <c r="J281" s="384"/>
      <c r="K281" s="384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199"/>
      <c r="W281" s="199"/>
      <c r="X281" s="199"/>
      <c r="Y281" s="199"/>
      <c r="Z281" s="199"/>
      <c r="AA281" s="199"/>
      <c r="AB281" s="199"/>
      <c r="AC281" s="199"/>
      <c r="AD281" s="199"/>
      <c r="AE281" s="199"/>
      <c r="AF281" s="199"/>
      <c r="AG281" s="439"/>
    </row>
    <row r="282" spans="1:35" ht="44.25" customHeight="1">
      <c r="J282" s="384"/>
      <c r="K282" s="384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AG282" s="438"/>
    </row>
    <row r="283" spans="1:35" ht="44.25" customHeight="1">
      <c r="J283" s="384"/>
      <c r="K283" s="384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AG283" s="438"/>
    </row>
    <row r="284" spans="1:35" ht="44.25" customHeight="1">
      <c r="J284" s="384"/>
      <c r="K284" s="384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AG284" s="438"/>
    </row>
    <row r="285" spans="1:35" ht="44.25" customHeight="1">
      <c r="J285" s="384"/>
      <c r="K285" s="384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AG285" s="438"/>
    </row>
    <row r="286" spans="1:35" ht="44.25" customHeight="1">
      <c r="J286" s="384"/>
      <c r="K286" s="384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AG286" s="438"/>
    </row>
    <row r="287" spans="1:35" ht="44.25" customHeight="1"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AG287" s="438"/>
    </row>
    <row r="288" spans="1:35" ht="44.25" customHeight="1"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AG288" s="438"/>
    </row>
    <row r="289" spans="10:33" ht="44.25" customHeight="1">
      <c r="J289" s="384"/>
      <c r="K289" s="384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AG289" s="438"/>
    </row>
    <row r="290" spans="10:33" ht="44.25" customHeight="1"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AG290" s="438"/>
    </row>
    <row r="291" spans="10:33" ht="44.25" customHeight="1">
      <c r="J291" s="384"/>
      <c r="K291" s="384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AG291" s="438"/>
    </row>
    <row r="292" spans="10:33" ht="44.25" customHeight="1">
      <c r="J292" s="384"/>
      <c r="K292" s="384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AG292" s="438"/>
    </row>
    <row r="293" spans="10:33" ht="44.25" customHeight="1">
      <c r="AG293" s="438"/>
    </row>
    <row r="294" spans="10:33" ht="44.25" customHeight="1">
      <c r="AG294" s="438"/>
    </row>
    <row r="295" spans="10:33" ht="44.25" customHeight="1">
      <c r="AG295" s="438"/>
    </row>
    <row r="296" spans="10:33" ht="44.25" customHeight="1">
      <c r="AG296" s="438"/>
    </row>
    <row r="297" spans="10:33" ht="44.25" customHeight="1">
      <c r="AG297" s="438"/>
    </row>
    <row r="298" spans="10:33" ht="44.25" customHeight="1">
      <c r="AG298" s="438"/>
    </row>
    <row r="299" spans="10:33" ht="44.25" customHeight="1">
      <c r="AG299" s="438"/>
    </row>
    <row r="300" spans="10:33" ht="44.25" customHeight="1">
      <c r="AG300" s="438"/>
    </row>
    <row r="301" spans="10:33" ht="44.25" customHeight="1">
      <c r="AG301" s="438"/>
    </row>
    <row r="302" spans="10:33" ht="44.25" customHeight="1">
      <c r="AG302" s="438"/>
    </row>
    <row r="303" spans="10:33" ht="44.25" customHeight="1">
      <c r="AG303" s="438"/>
    </row>
    <row r="304" spans="10:33" ht="44.25" customHeight="1">
      <c r="AG304" s="438"/>
    </row>
    <row r="305" spans="33:33" ht="44.25" customHeight="1">
      <c r="AG305" s="438"/>
    </row>
    <row r="306" spans="33:33" ht="44.25" customHeight="1">
      <c r="AG306" s="438"/>
    </row>
    <row r="307" spans="33:33" ht="44.25" customHeight="1">
      <c r="AG307" s="438"/>
    </row>
    <row r="308" spans="33:33" ht="44.25" customHeight="1">
      <c r="AG308" s="438"/>
    </row>
    <row r="309" spans="33:33" ht="44.25" customHeight="1">
      <c r="AG309" s="438"/>
    </row>
    <row r="310" spans="33:33" ht="44.25" customHeight="1">
      <c r="AG310" s="438"/>
    </row>
    <row r="311" spans="33:33" ht="44.25" customHeight="1">
      <c r="AG311" s="438"/>
    </row>
    <row r="312" spans="33:33" ht="44.25" customHeight="1">
      <c r="AG312" s="438"/>
    </row>
  </sheetData>
  <mergeCells count="8">
    <mergeCell ref="AH4:AH6"/>
    <mergeCell ref="D4:D6"/>
    <mergeCell ref="V4:Y5"/>
    <mergeCell ref="AD4:AG4"/>
    <mergeCell ref="U4:U6"/>
    <mergeCell ref="J5:L5"/>
    <mergeCell ref="M5:T5"/>
    <mergeCell ref="J4:T4"/>
  </mergeCells>
  <phoneticPr fontId="4" type="noConversion"/>
  <printOptions horizontalCentered="1" gridLinesSet="0"/>
  <pageMargins left="0" right="0" top="7.874015748031496E-2" bottom="0" header="0.23622047244094491" footer="0.15748031496062992"/>
  <pageSetup paperSize="8" scale="27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00B050"/>
  </sheetPr>
  <dimension ref="A1:CI123"/>
  <sheetViews>
    <sheetView showGridLines="0" showZeros="0" topLeftCell="A4" zoomScale="70" zoomScaleNormal="70" workbookViewId="0">
      <pane xSplit="8" ySplit="4" topLeftCell="AI8" activePane="bottomRight" state="frozen"/>
      <selection activeCell="BS1" sqref="BS1"/>
      <selection pane="topRight" activeCell="BS1" sqref="BS1"/>
      <selection pane="bottomLeft" activeCell="BS1" sqref="BS1"/>
      <selection pane="bottomRight" activeCell="H15" sqref="H15"/>
    </sheetView>
  </sheetViews>
  <sheetFormatPr defaultRowHeight="13.5"/>
  <cols>
    <col min="1" max="1" width="5.6640625" style="371" customWidth="1"/>
    <col min="2" max="2" width="21.5546875" style="2" customWidth="1"/>
    <col min="3" max="4" width="10.77734375" style="2" customWidth="1"/>
    <col min="5" max="5" width="13.88671875" style="2" customWidth="1"/>
    <col min="6" max="6" width="41.44140625" style="2" bestFit="1" customWidth="1"/>
    <col min="7" max="7" width="11.6640625" style="371" customWidth="1"/>
    <col min="8" max="8" width="20.77734375" style="2" customWidth="1"/>
    <col min="9" max="9" width="19.88671875" style="2" customWidth="1"/>
    <col min="10" max="10" width="21" style="2" customWidth="1"/>
    <col min="11" max="11" width="8.21875" style="2" customWidth="1"/>
    <col min="12" max="12" width="11.21875" style="2" customWidth="1"/>
    <col min="13" max="13" width="5.77734375" style="2" customWidth="1"/>
    <col min="14" max="14" width="12" style="2" customWidth="1"/>
    <col min="15" max="17" width="5.77734375" style="2" customWidth="1"/>
    <col min="18" max="18" width="14.77734375" style="2" bestFit="1" customWidth="1"/>
    <col min="19" max="19" width="7.33203125" style="2" bestFit="1" customWidth="1"/>
    <col min="20" max="20" width="15.88671875" style="2" customWidth="1"/>
    <col min="21" max="21" width="5.77734375" style="2" customWidth="1"/>
    <col min="22" max="22" width="13.77734375" style="2" bestFit="1" customWidth="1"/>
    <col min="23" max="23" width="7.33203125" style="2" bestFit="1" customWidth="1"/>
    <col min="24" max="24" width="12.77734375" style="2" customWidth="1"/>
    <col min="25" max="25" width="5.77734375" style="2" customWidth="1"/>
    <col min="26" max="26" width="12.109375" style="2" bestFit="1" customWidth="1"/>
    <col min="27" max="27" width="14" style="2" bestFit="1" customWidth="1"/>
    <col min="28" max="28" width="5.77734375" style="2" customWidth="1"/>
    <col min="29" max="29" width="17.5546875" style="2" customWidth="1"/>
    <col min="30" max="30" width="5.77734375" style="2" customWidth="1"/>
    <col min="31" max="31" width="17.5546875" style="2" customWidth="1"/>
    <col min="32" max="32" width="5.77734375" style="2" customWidth="1"/>
    <col min="33" max="33" width="17.5546875" style="2" customWidth="1"/>
    <col min="34" max="34" width="5.77734375" style="2" customWidth="1"/>
    <col min="35" max="35" width="17.5546875" style="2" customWidth="1"/>
    <col min="36" max="36" width="10.6640625" style="2" bestFit="1" customWidth="1"/>
    <col min="37" max="43" width="12.77734375" style="360" customWidth="1"/>
    <col min="44" max="47" width="14.109375" style="360" customWidth="1"/>
    <col min="48" max="48" width="12.77734375" style="371" customWidth="1"/>
    <col min="49" max="52" width="19" style="2" customWidth="1"/>
    <col min="53" max="53" width="18.33203125" style="2" customWidth="1"/>
    <col min="54" max="54" width="13.21875" style="2" bestFit="1" customWidth="1"/>
    <col min="55" max="55" width="19.21875" style="2" bestFit="1" customWidth="1"/>
    <col min="56" max="56" width="16.21875" style="2" bestFit="1" customWidth="1"/>
    <col min="57" max="57" width="14" style="2" customWidth="1"/>
    <col min="58" max="58" width="15.21875" style="2" customWidth="1"/>
    <col min="59" max="59" width="14.6640625" style="2" customWidth="1"/>
    <col min="60" max="60" width="14" style="2" bestFit="1" customWidth="1"/>
    <col min="61" max="61" width="14.109375" style="2" customWidth="1"/>
    <col min="62" max="65" width="15" style="2" customWidth="1"/>
    <col min="66" max="66" width="18.109375" style="2" bestFit="1" customWidth="1"/>
    <col min="67" max="67" width="21.88671875" style="2" customWidth="1"/>
    <col min="68" max="68" width="19.5546875" style="2" customWidth="1"/>
    <col min="69" max="69" width="17.5546875" style="2" customWidth="1"/>
    <col min="70" max="70" width="10" style="2" customWidth="1"/>
    <col min="71" max="71" width="23.33203125" style="2" bestFit="1" customWidth="1"/>
    <col min="72" max="72" width="15.21875" style="1477" bestFit="1" customWidth="1"/>
    <col min="73" max="73" width="11.5546875" style="438" customWidth="1"/>
    <col min="74" max="74" width="15.5546875" style="2" customWidth="1"/>
    <col min="75" max="76" width="8.88671875" style="2"/>
    <col min="77" max="77" width="15.109375" style="2" bestFit="1" customWidth="1"/>
    <col min="78" max="81" width="8.88671875" style="2"/>
    <col min="82" max="82" width="15.6640625" style="2" bestFit="1" customWidth="1"/>
    <col min="83" max="16384" width="8.88671875" style="2"/>
  </cols>
  <sheetData>
    <row r="1" spans="1:82" ht="39.950000000000003" customHeight="1">
      <c r="B1" s="1"/>
      <c r="C1" s="1"/>
      <c r="D1" s="1"/>
      <c r="E1" s="1"/>
      <c r="BT1" s="1471"/>
      <c r="BU1" s="2"/>
    </row>
    <row r="2" spans="1:82" ht="60" customHeight="1">
      <c r="B2" s="239" t="s">
        <v>104</v>
      </c>
      <c r="C2" s="239"/>
      <c r="D2" s="5"/>
      <c r="E2" s="5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1471"/>
      <c r="BU2" s="3"/>
      <c r="BV2" s="3"/>
    </row>
    <row r="3" spans="1:82" ht="39.950000000000003" customHeight="1" thickBot="1">
      <c r="B3" s="266" t="s">
        <v>112</v>
      </c>
      <c r="C3" s="266"/>
      <c r="BN3" s="4"/>
      <c r="BQ3" s="6"/>
      <c r="BT3" s="1471"/>
      <c r="BU3" s="2"/>
    </row>
    <row r="4" spans="1:82" s="113" customFormat="1" ht="44.25" customHeight="1">
      <c r="A4" s="1099"/>
      <c r="B4" s="109"/>
      <c r="C4" s="2070" t="s">
        <v>20</v>
      </c>
      <c r="D4" s="2071"/>
      <c r="E4" s="110"/>
      <c r="F4" s="2084" t="s">
        <v>21</v>
      </c>
      <c r="G4" s="1102"/>
      <c r="H4" s="206" t="s">
        <v>99</v>
      </c>
      <c r="I4" s="204"/>
      <c r="J4" s="795"/>
      <c r="K4" s="111" t="s">
        <v>246</v>
      </c>
      <c r="L4" s="111"/>
      <c r="M4" s="111"/>
      <c r="N4" s="111"/>
      <c r="O4" s="111"/>
      <c r="P4" s="111"/>
      <c r="Q4" s="111"/>
      <c r="R4" s="111"/>
      <c r="S4" s="350" t="s">
        <v>247</v>
      </c>
      <c r="T4" s="111"/>
      <c r="U4" s="111"/>
      <c r="V4" s="111"/>
      <c r="W4" s="111"/>
      <c r="X4" s="111"/>
      <c r="Y4" s="351"/>
      <c r="Z4" s="351"/>
      <c r="AA4" s="111"/>
      <c r="AB4" s="2088" t="s">
        <v>253</v>
      </c>
      <c r="AC4" s="2089"/>
      <c r="AD4" s="2088" t="s">
        <v>395</v>
      </c>
      <c r="AE4" s="2089"/>
      <c r="AF4" s="2088" t="s">
        <v>396</v>
      </c>
      <c r="AG4" s="2089"/>
      <c r="AH4" s="2088" t="s">
        <v>397</v>
      </c>
      <c r="AI4" s="2089"/>
      <c r="AJ4" s="348" t="s">
        <v>72</v>
      </c>
      <c r="AK4" s="369" t="s">
        <v>135</v>
      </c>
      <c r="AL4" s="369"/>
      <c r="AM4" s="369"/>
      <c r="AN4" s="369"/>
      <c r="AO4" s="369"/>
      <c r="AP4" s="369"/>
      <c r="AQ4" s="369"/>
      <c r="AR4" s="369"/>
      <c r="AS4" s="369"/>
      <c r="AT4" s="369"/>
      <c r="AU4" s="369"/>
      <c r="AV4" s="372"/>
      <c r="AW4" s="2076" t="s">
        <v>2</v>
      </c>
      <c r="AX4" s="2077"/>
      <c r="AY4" s="2077"/>
      <c r="AZ4" s="2078"/>
      <c r="BA4" s="2107" t="s">
        <v>229</v>
      </c>
      <c r="BB4" s="2095" t="s">
        <v>404</v>
      </c>
      <c r="BC4" s="2096"/>
      <c r="BD4" s="2096"/>
      <c r="BE4" s="2096"/>
      <c r="BF4" s="2096"/>
      <c r="BG4" s="2096"/>
      <c r="BH4" s="2096"/>
      <c r="BI4" s="2096"/>
      <c r="BJ4" s="2096"/>
      <c r="BK4" s="2096"/>
      <c r="BL4" s="2096"/>
      <c r="BM4" s="2096"/>
      <c r="BN4" s="2097"/>
      <c r="BO4" s="112" t="s">
        <v>73</v>
      </c>
      <c r="BP4" s="112" t="s">
        <v>74</v>
      </c>
      <c r="BQ4" s="112" t="s">
        <v>74</v>
      </c>
      <c r="BR4" s="2110" t="s">
        <v>75</v>
      </c>
      <c r="BS4" s="2111"/>
      <c r="BT4" s="2111"/>
      <c r="BU4" s="2112"/>
      <c r="BV4" s="2101" t="s">
        <v>111</v>
      </c>
    </row>
    <row r="5" spans="1:82" s="113" customFormat="1" ht="44.25" customHeight="1">
      <c r="A5" s="1099"/>
      <c r="B5" s="114" t="s">
        <v>199</v>
      </c>
      <c r="C5" s="2072"/>
      <c r="D5" s="2073"/>
      <c r="E5" s="115" t="s">
        <v>198</v>
      </c>
      <c r="F5" s="2085"/>
      <c r="G5" s="1103" t="s">
        <v>77</v>
      </c>
      <c r="H5" s="200" t="s">
        <v>100</v>
      </c>
      <c r="I5" s="207" t="s">
        <v>97</v>
      </c>
      <c r="J5" s="207" t="s">
        <v>98</v>
      </c>
      <c r="K5" s="116" t="s">
        <v>78</v>
      </c>
      <c r="L5" s="117"/>
      <c r="M5" s="116" t="s">
        <v>79</v>
      </c>
      <c r="N5" s="117"/>
      <c r="O5" s="116" t="s">
        <v>80</v>
      </c>
      <c r="P5" s="117"/>
      <c r="Q5" s="116" t="s">
        <v>81</v>
      </c>
      <c r="R5" s="1378"/>
      <c r="S5" s="1374" t="s">
        <v>11</v>
      </c>
      <c r="T5" s="117"/>
      <c r="U5" s="116" t="s">
        <v>12</v>
      </c>
      <c r="V5" s="117"/>
      <c r="W5" s="796" t="s">
        <v>248</v>
      </c>
      <c r="X5" s="117"/>
      <c r="Y5" s="798" t="s">
        <v>250</v>
      </c>
      <c r="Z5" s="352"/>
      <c r="AA5" s="1378"/>
      <c r="AB5" s="2090"/>
      <c r="AC5" s="2091"/>
      <c r="AD5" s="2090"/>
      <c r="AE5" s="2091"/>
      <c r="AF5" s="2090"/>
      <c r="AG5" s="2091"/>
      <c r="AH5" s="2090"/>
      <c r="AI5" s="2091"/>
      <c r="AJ5" s="353" t="s">
        <v>83</v>
      </c>
      <c r="AK5" s="2104" t="s">
        <v>134</v>
      </c>
      <c r="AL5" s="2105"/>
      <c r="AM5" s="2106"/>
      <c r="AN5" s="2092" t="s">
        <v>136</v>
      </c>
      <c r="AO5" s="2093"/>
      <c r="AP5" s="2093"/>
      <c r="AQ5" s="2093"/>
      <c r="AR5" s="2093"/>
      <c r="AS5" s="2093"/>
      <c r="AT5" s="2093"/>
      <c r="AU5" s="2094"/>
      <c r="AV5" s="2086" t="s">
        <v>144</v>
      </c>
      <c r="AW5" s="2079"/>
      <c r="AX5" s="2080"/>
      <c r="AY5" s="2080"/>
      <c r="AZ5" s="2081"/>
      <c r="BA5" s="2108"/>
      <c r="BB5" s="1387" t="s">
        <v>405</v>
      </c>
      <c r="BC5" s="1387"/>
      <c r="BD5" s="1387"/>
      <c r="BE5" s="1387" t="s">
        <v>406</v>
      </c>
      <c r="BF5" s="1387"/>
      <c r="BG5" s="1387"/>
      <c r="BH5" s="1387"/>
      <c r="BI5" s="1387"/>
      <c r="BJ5" s="2098" t="s">
        <v>407</v>
      </c>
      <c r="BK5" s="2098" t="s">
        <v>408</v>
      </c>
      <c r="BL5" s="2098" t="s">
        <v>409</v>
      </c>
      <c r="BM5" s="2100" t="s">
        <v>410</v>
      </c>
      <c r="BN5" s="2082" t="s">
        <v>411</v>
      </c>
      <c r="BO5" s="119" t="s">
        <v>88</v>
      </c>
      <c r="BP5" s="119" t="s">
        <v>89</v>
      </c>
      <c r="BQ5" s="119" t="s">
        <v>90</v>
      </c>
      <c r="BR5" s="120" t="s">
        <v>91</v>
      </c>
      <c r="BS5" s="120" t="s">
        <v>92</v>
      </c>
      <c r="BT5" s="120" t="s">
        <v>93</v>
      </c>
      <c r="BU5" s="120" t="s">
        <v>120</v>
      </c>
      <c r="BV5" s="2102"/>
    </row>
    <row r="6" spans="1:82" s="113" customFormat="1" ht="44.25" customHeight="1" thickBot="1">
      <c r="A6" s="1099"/>
      <c r="B6" s="121"/>
      <c r="C6" s="2074"/>
      <c r="D6" s="2075"/>
      <c r="E6" s="292"/>
      <c r="F6" s="2085"/>
      <c r="G6" s="1104" t="s">
        <v>14</v>
      </c>
      <c r="H6" s="122" t="s">
        <v>13</v>
      </c>
      <c r="I6" s="208"/>
      <c r="J6" s="208"/>
      <c r="K6" s="124" t="s">
        <v>5</v>
      </c>
      <c r="L6" s="124" t="s">
        <v>6</v>
      </c>
      <c r="M6" s="124" t="s">
        <v>5</v>
      </c>
      <c r="N6" s="118" t="s">
        <v>6</v>
      </c>
      <c r="O6" s="124" t="s">
        <v>5</v>
      </c>
      <c r="P6" s="118" t="s">
        <v>6</v>
      </c>
      <c r="Q6" s="124" t="s">
        <v>4</v>
      </c>
      <c r="R6" s="1379" t="s">
        <v>7</v>
      </c>
      <c r="S6" s="1375" t="s">
        <v>4</v>
      </c>
      <c r="T6" s="118" t="s">
        <v>7</v>
      </c>
      <c r="U6" s="124" t="s">
        <v>4</v>
      </c>
      <c r="V6" s="118" t="s">
        <v>7</v>
      </c>
      <c r="W6" s="124" t="s">
        <v>4</v>
      </c>
      <c r="X6" s="797" t="s">
        <v>245</v>
      </c>
      <c r="Y6" s="349" t="s">
        <v>251</v>
      </c>
      <c r="Z6" s="349" t="s">
        <v>252</v>
      </c>
      <c r="AA6" s="1381" t="s">
        <v>10</v>
      </c>
      <c r="AB6" s="1375" t="s">
        <v>4</v>
      </c>
      <c r="AC6" s="1379" t="s">
        <v>7</v>
      </c>
      <c r="AD6" s="1375" t="s">
        <v>4</v>
      </c>
      <c r="AE6" s="1379" t="s">
        <v>7</v>
      </c>
      <c r="AF6" s="1375" t="s">
        <v>4</v>
      </c>
      <c r="AG6" s="1379" t="s">
        <v>7</v>
      </c>
      <c r="AH6" s="1375" t="s">
        <v>4</v>
      </c>
      <c r="AI6" s="1379" t="s">
        <v>7</v>
      </c>
      <c r="AJ6" s="125" t="s">
        <v>3</v>
      </c>
      <c r="AK6" s="370" t="s">
        <v>137</v>
      </c>
      <c r="AL6" s="370" t="s">
        <v>138</v>
      </c>
      <c r="AM6" s="370" t="s">
        <v>139</v>
      </c>
      <c r="AN6" s="1384" t="s">
        <v>140</v>
      </c>
      <c r="AO6" s="1385" t="s">
        <v>141</v>
      </c>
      <c r="AP6" s="1385" t="s">
        <v>142</v>
      </c>
      <c r="AQ6" s="1385" t="s">
        <v>269</v>
      </c>
      <c r="AR6" s="1385" t="s">
        <v>114</v>
      </c>
      <c r="AS6" s="1383" t="s">
        <v>398</v>
      </c>
      <c r="AT6" s="1383" t="s">
        <v>399</v>
      </c>
      <c r="AU6" s="1383" t="s">
        <v>400</v>
      </c>
      <c r="AV6" s="2087"/>
      <c r="AW6" s="118" t="s">
        <v>115</v>
      </c>
      <c r="AX6" s="118" t="s">
        <v>116</v>
      </c>
      <c r="AY6" s="118" t="s">
        <v>117</v>
      </c>
      <c r="AZ6" s="118" t="s">
        <v>118</v>
      </c>
      <c r="BA6" s="2109"/>
      <c r="BB6" s="1388" t="s">
        <v>68</v>
      </c>
      <c r="BC6" s="1388" t="s">
        <v>412</v>
      </c>
      <c r="BD6" s="1389" t="s">
        <v>413</v>
      </c>
      <c r="BE6" s="1389" t="s">
        <v>69</v>
      </c>
      <c r="BF6" s="1390" t="s">
        <v>70</v>
      </c>
      <c r="BG6" s="1390" t="s">
        <v>71</v>
      </c>
      <c r="BH6" s="1390" t="s">
        <v>414</v>
      </c>
      <c r="BI6" s="1390" t="s">
        <v>415</v>
      </c>
      <c r="BJ6" s="2099"/>
      <c r="BK6" s="2099"/>
      <c r="BL6" s="2099"/>
      <c r="BM6" s="2099"/>
      <c r="BN6" s="2083"/>
      <c r="BO6" s="123" t="s">
        <v>17</v>
      </c>
      <c r="BP6" s="123" t="s">
        <v>8</v>
      </c>
      <c r="BQ6" s="123" t="s">
        <v>8</v>
      </c>
      <c r="BR6" s="123" t="s">
        <v>18</v>
      </c>
      <c r="BS6" s="123" t="s">
        <v>13</v>
      </c>
      <c r="BT6" s="123" t="s">
        <v>19</v>
      </c>
      <c r="BU6" s="123" t="s">
        <v>121</v>
      </c>
      <c r="BV6" s="2103"/>
    </row>
    <row r="7" spans="1:82" s="113" customFormat="1" ht="57.75" customHeight="1">
      <c r="A7" s="1099"/>
      <c r="B7" s="121"/>
      <c r="C7" s="292"/>
      <c r="D7" s="182">
        <f>COUNTA(F8:F93)</f>
        <v>2</v>
      </c>
      <c r="E7" s="291"/>
      <c r="F7" s="126" t="s">
        <v>109</v>
      </c>
      <c r="G7" s="1105">
        <f>SUM(G8:G123)</f>
        <v>59</v>
      </c>
      <c r="H7" s="829">
        <f>SUM(H8:H123)</f>
        <v>69443000</v>
      </c>
      <c r="I7" s="814"/>
      <c r="J7" s="814">
        <f>SUM(J8:J123)</f>
        <v>69443000</v>
      </c>
      <c r="K7" s="830">
        <f t="shared" ref="K7:BQ7" si="0">SUM(K8:K103)</f>
        <v>0</v>
      </c>
      <c r="L7" s="830">
        <f t="shared" si="0"/>
        <v>450</v>
      </c>
      <c r="M7" s="830">
        <f t="shared" si="0"/>
        <v>0</v>
      </c>
      <c r="N7" s="814">
        <f t="shared" si="0"/>
        <v>0</v>
      </c>
      <c r="O7" s="830">
        <f t="shared" si="0"/>
        <v>0</v>
      </c>
      <c r="P7" s="1470">
        <f t="shared" si="0"/>
        <v>0</v>
      </c>
      <c r="Q7" s="830">
        <f t="shared" si="0"/>
        <v>0</v>
      </c>
      <c r="R7" s="1380">
        <f t="shared" si="0"/>
        <v>0</v>
      </c>
      <c r="S7" s="1376">
        <f t="shared" si="0"/>
        <v>0</v>
      </c>
      <c r="T7" s="814">
        <f t="shared" si="0"/>
        <v>0</v>
      </c>
      <c r="U7" s="830">
        <f t="shared" si="0"/>
        <v>0</v>
      </c>
      <c r="V7" s="814">
        <f t="shared" si="0"/>
        <v>0</v>
      </c>
      <c r="W7" s="830">
        <f t="shared" si="0"/>
        <v>0</v>
      </c>
      <c r="X7" s="828">
        <f t="shared" si="0"/>
        <v>0</v>
      </c>
      <c r="Y7" s="828">
        <f t="shared" si="0"/>
        <v>0</v>
      </c>
      <c r="Z7" s="828">
        <f t="shared" si="0"/>
        <v>0</v>
      </c>
      <c r="AA7" s="1382">
        <f t="shared" si="0"/>
        <v>0</v>
      </c>
      <c r="AB7" s="1376">
        <f t="shared" si="0"/>
        <v>0</v>
      </c>
      <c r="AC7" s="1380">
        <f t="shared" si="0"/>
        <v>0</v>
      </c>
      <c r="AD7" s="1376">
        <f t="shared" ref="AD7:AE7" si="1">SUM(AD8:AD103)</f>
        <v>0</v>
      </c>
      <c r="AE7" s="1380">
        <f t="shared" si="1"/>
        <v>0</v>
      </c>
      <c r="AF7" s="1376">
        <f t="shared" ref="AF7:AG7" si="2">SUM(AF8:AF103)</f>
        <v>0</v>
      </c>
      <c r="AG7" s="1380">
        <f t="shared" si="2"/>
        <v>0</v>
      </c>
      <c r="AH7" s="1376">
        <f t="shared" ref="AH7:AI7" si="3">SUM(AH8:AH103)</f>
        <v>0</v>
      </c>
      <c r="AI7" s="1380">
        <f t="shared" si="3"/>
        <v>0</v>
      </c>
      <c r="AJ7" s="1377">
        <f t="shared" ref="AJ7:BA7" si="4">SUM(AJ8:AJ103)</f>
        <v>450</v>
      </c>
      <c r="AK7" s="814">
        <f t="shared" si="4"/>
        <v>0</v>
      </c>
      <c r="AL7" s="814">
        <f t="shared" si="4"/>
        <v>1908</v>
      </c>
      <c r="AM7" s="814">
        <f t="shared" si="4"/>
        <v>0</v>
      </c>
      <c r="AN7" s="814">
        <f t="shared" si="4"/>
        <v>0</v>
      </c>
      <c r="AO7" s="814">
        <f t="shared" si="4"/>
        <v>0</v>
      </c>
      <c r="AP7" s="814">
        <f t="shared" si="4"/>
        <v>0</v>
      </c>
      <c r="AQ7" s="814">
        <f t="shared" si="4"/>
        <v>0</v>
      </c>
      <c r="AR7" s="814">
        <f t="shared" si="4"/>
        <v>0</v>
      </c>
      <c r="AS7" s="1380">
        <f t="shared" si="4"/>
        <v>0</v>
      </c>
      <c r="AT7" s="1380">
        <f t="shared" si="4"/>
        <v>0</v>
      </c>
      <c r="AU7" s="1380">
        <f t="shared" si="4"/>
        <v>0</v>
      </c>
      <c r="AV7" s="827">
        <f t="shared" si="4"/>
        <v>1908</v>
      </c>
      <c r="AW7" s="814">
        <f t="shared" si="4"/>
        <v>45005400</v>
      </c>
      <c r="AX7" s="814">
        <f t="shared" si="4"/>
        <v>0</v>
      </c>
      <c r="AY7" s="814">
        <f t="shared" si="4"/>
        <v>89208</v>
      </c>
      <c r="AZ7" s="814">
        <f t="shared" si="4"/>
        <v>45094608</v>
      </c>
      <c r="BA7" s="354">
        <f t="shared" si="4"/>
        <v>-43368840</v>
      </c>
      <c r="BB7" s="354">
        <f t="shared" si="0"/>
        <v>0</v>
      </c>
      <c r="BC7" s="814">
        <f t="shared" si="0"/>
        <v>11782800</v>
      </c>
      <c r="BD7" s="814">
        <f t="shared" si="0"/>
        <v>0</v>
      </c>
      <c r="BE7" s="1170">
        <f t="shared" si="0"/>
        <v>0</v>
      </c>
      <c r="BF7" s="828">
        <f t="shared" si="0"/>
        <v>0</v>
      </c>
      <c r="BG7" s="828">
        <f t="shared" si="0"/>
        <v>0</v>
      </c>
      <c r="BH7" s="129">
        <f t="shared" si="0"/>
        <v>0</v>
      </c>
      <c r="BI7" s="128">
        <f t="shared" si="0"/>
        <v>0</v>
      </c>
      <c r="BJ7" s="128">
        <f t="shared" si="0"/>
        <v>0</v>
      </c>
      <c r="BK7" s="1386">
        <f t="shared" si="0"/>
        <v>0</v>
      </c>
      <c r="BL7" s="1386">
        <f t="shared" si="0"/>
        <v>0</v>
      </c>
      <c r="BM7" s="1386">
        <f t="shared" si="0"/>
        <v>0</v>
      </c>
      <c r="BN7" s="814">
        <f>SUM(BN8:BN103)</f>
        <v>11782800</v>
      </c>
      <c r="BO7" s="815">
        <f t="shared" si="0"/>
        <v>278499439</v>
      </c>
      <c r="BP7" s="815">
        <f t="shared" si="0"/>
        <v>245665488</v>
      </c>
      <c r="BQ7" s="1161">
        <f t="shared" si="0"/>
        <v>32833951</v>
      </c>
      <c r="BR7" s="816"/>
      <c r="BS7" s="815">
        <f>SUM(BS8:BS103)</f>
        <v>336399581</v>
      </c>
      <c r="BT7" s="1472"/>
      <c r="BU7" s="817"/>
      <c r="BV7" s="818">
        <f>SUM(BV8:BV103)</f>
        <v>0</v>
      </c>
    </row>
    <row r="8" spans="1:82" s="825" customFormat="1" ht="43.5" customHeight="1">
      <c r="A8" s="1100">
        <v>1</v>
      </c>
      <c r="B8" s="819" t="s">
        <v>522</v>
      </c>
      <c r="C8" s="819"/>
      <c r="D8" s="819" t="s">
        <v>196</v>
      </c>
      <c r="E8" s="819" t="s">
        <v>506</v>
      </c>
      <c r="F8" s="1160" t="s">
        <v>524</v>
      </c>
      <c r="G8" s="1106">
        <v>8</v>
      </c>
      <c r="H8" s="820">
        <v>33889000</v>
      </c>
      <c r="I8" s="821"/>
      <c r="J8" s="820">
        <v>33889000</v>
      </c>
      <c r="K8" s="820">
        <v>0</v>
      </c>
      <c r="L8" s="820">
        <v>450</v>
      </c>
      <c r="M8" s="820">
        <v>0</v>
      </c>
      <c r="N8" s="820">
        <v>0</v>
      </c>
      <c r="O8" s="820">
        <v>0</v>
      </c>
      <c r="P8" s="820">
        <v>0</v>
      </c>
      <c r="Q8" s="820">
        <v>0</v>
      </c>
      <c r="R8" s="820">
        <v>0</v>
      </c>
      <c r="S8" s="820">
        <v>0</v>
      </c>
      <c r="T8" s="820">
        <v>0</v>
      </c>
      <c r="U8" s="820">
        <v>0</v>
      </c>
      <c r="V8" s="820">
        <v>0</v>
      </c>
      <c r="W8" s="820">
        <v>0</v>
      </c>
      <c r="X8" s="820">
        <v>0</v>
      </c>
      <c r="Y8" s="820">
        <v>0</v>
      </c>
      <c r="Z8" s="820">
        <v>0</v>
      </c>
      <c r="AA8" s="822">
        <v>0</v>
      </c>
      <c r="AB8" s="178">
        <v>0</v>
      </c>
      <c r="AC8" s="178">
        <v>0</v>
      </c>
      <c r="AD8" s="178">
        <v>0</v>
      </c>
      <c r="AE8" s="178">
        <v>0</v>
      </c>
      <c r="AF8" s="178">
        <v>0</v>
      </c>
      <c r="AG8" s="178">
        <v>0</v>
      </c>
      <c r="AH8" s="178">
        <v>0</v>
      </c>
      <c r="AI8" s="178">
        <v>0</v>
      </c>
      <c r="AJ8" s="822">
        <v>450</v>
      </c>
      <c r="AK8" s="822">
        <v>0</v>
      </c>
      <c r="AL8" s="822">
        <v>1908</v>
      </c>
      <c r="AM8" s="822">
        <v>0</v>
      </c>
      <c r="AN8" s="822">
        <v>0</v>
      </c>
      <c r="AO8" s="822">
        <v>0</v>
      </c>
      <c r="AP8" s="822">
        <v>0</v>
      </c>
      <c r="AQ8" s="820">
        <v>0</v>
      </c>
      <c r="AR8" s="820">
        <v>0</v>
      </c>
      <c r="AS8" s="177">
        <v>0</v>
      </c>
      <c r="AT8" s="177">
        <v>0</v>
      </c>
      <c r="AU8" s="177">
        <v>0</v>
      </c>
      <c r="AV8" s="820">
        <v>1908</v>
      </c>
      <c r="AW8" s="820">
        <v>43368840</v>
      </c>
      <c r="AX8" s="822">
        <v>0</v>
      </c>
      <c r="AY8" s="822">
        <v>0</v>
      </c>
      <c r="AZ8" s="822">
        <v>43368840</v>
      </c>
      <c r="BA8" s="822">
        <v>-43368840</v>
      </c>
      <c r="BB8" s="822">
        <v>0</v>
      </c>
      <c r="BC8" s="822">
        <v>11782800</v>
      </c>
      <c r="BD8" s="822">
        <v>0</v>
      </c>
      <c r="BE8" s="1171">
        <v>0</v>
      </c>
      <c r="BF8" s="822">
        <v>0</v>
      </c>
      <c r="BG8" s="822">
        <v>0</v>
      </c>
      <c r="BH8" s="822">
        <v>0</v>
      </c>
      <c r="BI8" s="822">
        <v>0</v>
      </c>
      <c r="BJ8" s="822">
        <v>0</v>
      </c>
      <c r="BK8" s="822">
        <v>0</v>
      </c>
      <c r="BL8" s="822">
        <v>0</v>
      </c>
      <c r="BM8" s="822">
        <v>0</v>
      </c>
      <c r="BN8" s="822">
        <v>11782800</v>
      </c>
      <c r="BO8" s="822">
        <v>278499439</v>
      </c>
      <c r="BP8" s="822">
        <v>245665488</v>
      </c>
      <c r="BQ8" s="822">
        <v>32833951</v>
      </c>
      <c r="BR8" s="180">
        <v>2</v>
      </c>
      <c r="BS8" s="823">
        <v>336399581</v>
      </c>
      <c r="BT8" s="1473">
        <v>80.66</v>
      </c>
      <c r="BU8" s="1510">
        <v>5962.5</v>
      </c>
      <c r="BV8" s="824">
        <v>0</v>
      </c>
    </row>
    <row r="9" spans="1:82" s="825" customFormat="1" ht="43.5" customHeight="1">
      <c r="A9" s="1100">
        <v>2</v>
      </c>
      <c r="B9" s="1858" t="s">
        <v>523</v>
      </c>
      <c r="C9" s="1858"/>
      <c r="D9" s="1858" t="s">
        <v>510</v>
      </c>
      <c r="E9" s="1858" t="s">
        <v>511</v>
      </c>
      <c r="F9" s="1859" t="s">
        <v>525</v>
      </c>
      <c r="G9" s="1860">
        <v>51</v>
      </c>
      <c r="H9" s="1861">
        <v>35554000</v>
      </c>
      <c r="I9" s="1862"/>
      <c r="J9" s="1862">
        <v>35554000</v>
      </c>
      <c r="K9" s="1861">
        <v>0</v>
      </c>
      <c r="L9" s="1861"/>
      <c r="M9" s="1861"/>
      <c r="N9" s="1861"/>
      <c r="O9" s="1861"/>
      <c r="P9" s="1861"/>
      <c r="Q9" s="1861"/>
      <c r="R9" s="1861"/>
      <c r="S9" s="1861"/>
      <c r="T9" s="1861"/>
      <c r="U9" s="1861"/>
      <c r="V9" s="1861"/>
      <c r="W9" s="1861"/>
      <c r="X9" s="1861"/>
      <c r="Y9" s="1861"/>
      <c r="Z9" s="1861"/>
      <c r="AA9" s="1863"/>
      <c r="AB9" s="1863"/>
      <c r="AC9" s="1863"/>
      <c r="AD9" s="1863"/>
      <c r="AE9" s="1863"/>
      <c r="AF9" s="1863"/>
      <c r="AG9" s="1863"/>
      <c r="AH9" s="1863"/>
      <c r="AI9" s="1863"/>
      <c r="AJ9" s="1863"/>
      <c r="AK9" s="1863"/>
      <c r="AL9" s="1863"/>
      <c r="AM9" s="1863"/>
      <c r="AN9" s="1863"/>
      <c r="AO9" s="1863"/>
      <c r="AP9" s="1863"/>
      <c r="AQ9" s="1861"/>
      <c r="AR9" s="1861"/>
      <c r="AS9" s="1861"/>
      <c r="AT9" s="1861"/>
      <c r="AU9" s="1861"/>
      <c r="AV9" s="1861"/>
      <c r="AW9" s="1861">
        <v>1636560</v>
      </c>
      <c r="AX9" s="1863">
        <v>0</v>
      </c>
      <c r="AY9" s="1863">
        <v>89208</v>
      </c>
      <c r="AZ9" s="1863">
        <v>1725768</v>
      </c>
      <c r="BA9" s="1863">
        <v>0</v>
      </c>
      <c r="BB9" s="1863"/>
      <c r="BC9" s="1863"/>
      <c r="BD9" s="1863"/>
      <c r="BE9" s="1863"/>
      <c r="BF9" s="1863"/>
      <c r="BG9" s="1863"/>
      <c r="BH9" s="1863"/>
      <c r="BI9" s="1863"/>
      <c r="BJ9" s="1863"/>
      <c r="BK9" s="1863"/>
      <c r="BL9" s="1863"/>
      <c r="BM9" s="1863"/>
      <c r="BN9" s="1863"/>
      <c r="BO9" s="1863"/>
      <c r="BP9" s="1863"/>
      <c r="BQ9" s="1863"/>
      <c r="BR9" s="1864"/>
      <c r="BS9" s="1864"/>
      <c r="BT9" s="1865"/>
      <c r="BU9" s="1866"/>
      <c r="BV9" s="1867"/>
      <c r="CD9" s="1174"/>
    </row>
    <row r="10" spans="1:82" s="825" customFormat="1" ht="43.5" customHeight="1">
      <c r="A10" s="1100"/>
      <c r="B10" s="819"/>
      <c r="C10" s="819"/>
      <c r="D10" s="819"/>
      <c r="E10" s="819"/>
      <c r="F10" s="1534"/>
      <c r="G10" s="1106"/>
      <c r="H10" s="1106"/>
      <c r="I10" s="821"/>
      <c r="J10" s="1106"/>
      <c r="K10" s="1657"/>
      <c r="L10" s="1657"/>
      <c r="M10" s="1657"/>
      <c r="N10" s="820"/>
      <c r="O10" s="1657"/>
      <c r="P10" s="820"/>
      <c r="Q10" s="820"/>
      <c r="R10" s="820"/>
      <c r="S10" s="820"/>
      <c r="T10" s="820"/>
      <c r="U10" s="820"/>
      <c r="V10" s="820"/>
      <c r="W10" s="820"/>
      <c r="X10" s="820"/>
      <c r="Y10" s="820"/>
      <c r="Z10" s="1657"/>
      <c r="AA10" s="822"/>
      <c r="AB10" s="822"/>
      <c r="AC10" s="822"/>
      <c r="AD10" s="822"/>
      <c r="AE10" s="822"/>
      <c r="AF10" s="822"/>
      <c r="AG10" s="822"/>
      <c r="AH10" s="822"/>
      <c r="AI10" s="822"/>
      <c r="AJ10" s="822"/>
      <c r="AK10" s="822"/>
      <c r="AL10" s="822"/>
      <c r="AM10" s="822"/>
      <c r="AN10" s="822"/>
      <c r="AO10" s="822"/>
      <c r="AP10" s="822"/>
      <c r="AQ10" s="820"/>
      <c r="AR10" s="820"/>
      <c r="AS10" s="820"/>
      <c r="AT10" s="820"/>
      <c r="AU10" s="820"/>
      <c r="AV10" s="820"/>
      <c r="AW10" s="820"/>
      <c r="AX10" s="822"/>
      <c r="AY10" s="822"/>
      <c r="AZ10" s="822"/>
      <c r="BA10" s="822"/>
      <c r="BB10" s="822"/>
      <c r="BC10" s="822"/>
      <c r="BD10" s="822"/>
      <c r="BE10" s="822"/>
      <c r="BF10" s="822"/>
      <c r="BG10" s="822"/>
      <c r="BH10" s="822"/>
      <c r="BI10" s="822"/>
      <c r="BJ10" s="822"/>
      <c r="BK10" s="822"/>
      <c r="BL10" s="822"/>
      <c r="BM10" s="822"/>
      <c r="BN10" s="822"/>
      <c r="BO10" s="822"/>
      <c r="BP10" s="822"/>
      <c r="BQ10" s="822"/>
      <c r="BR10" s="823"/>
      <c r="BS10" s="823"/>
      <c r="BT10" s="1473"/>
      <c r="BU10" s="1510"/>
      <c r="BV10" s="824"/>
    </row>
    <row r="11" spans="1:82" s="825" customFormat="1" ht="43.5" customHeight="1">
      <c r="A11" s="1100"/>
      <c r="B11" s="819"/>
      <c r="C11" s="819"/>
      <c r="D11" s="819"/>
      <c r="E11" s="819"/>
      <c r="F11" s="1534"/>
      <c r="G11" s="1106"/>
      <c r="H11" s="820"/>
      <c r="I11" s="821"/>
      <c r="J11" s="820"/>
      <c r="K11" s="1657"/>
      <c r="L11" s="1657"/>
      <c r="M11" s="1657"/>
      <c r="N11" s="820"/>
      <c r="O11" s="1657"/>
      <c r="P11" s="820"/>
      <c r="Q11" s="820"/>
      <c r="R11" s="820"/>
      <c r="S11" s="820"/>
      <c r="T11" s="820"/>
      <c r="U11" s="820"/>
      <c r="V11" s="820"/>
      <c r="W11" s="820"/>
      <c r="X11" s="820"/>
      <c r="Y11" s="820"/>
      <c r="Z11" s="1657"/>
      <c r="AA11" s="822"/>
      <c r="AB11" s="822"/>
      <c r="AC11" s="822"/>
      <c r="AD11" s="822"/>
      <c r="AE11" s="822"/>
      <c r="AF11" s="822"/>
      <c r="AG11" s="822"/>
      <c r="AH11" s="822"/>
      <c r="AI11" s="822"/>
      <c r="AJ11" s="822"/>
      <c r="AK11" s="822"/>
      <c r="AL11" s="822"/>
      <c r="AM11" s="822"/>
      <c r="AN11" s="822"/>
      <c r="AO11" s="822"/>
      <c r="AP11" s="822"/>
      <c r="AQ11" s="820"/>
      <c r="AR11" s="820"/>
      <c r="AS11" s="820"/>
      <c r="AT11" s="820"/>
      <c r="AU11" s="820"/>
      <c r="AV11" s="820"/>
      <c r="AW11" s="820"/>
      <c r="AX11" s="822"/>
      <c r="AY11" s="822"/>
      <c r="AZ11" s="822"/>
      <c r="BA11" s="822"/>
      <c r="BB11" s="822"/>
      <c r="BC11" s="822"/>
      <c r="BD11" s="822"/>
      <c r="BE11" s="822"/>
      <c r="BF11" s="822"/>
      <c r="BG11" s="822"/>
      <c r="BH11" s="822"/>
      <c r="BI11" s="822"/>
      <c r="BJ11" s="822"/>
      <c r="BK11" s="822"/>
      <c r="BL11" s="822"/>
      <c r="BM11" s="822"/>
      <c r="BN11" s="822"/>
      <c r="BO11" s="822"/>
      <c r="BP11" s="822"/>
      <c r="BQ11" s="822"/>
      <c r="BR11" s="823"/>
      <c r="BS11" s="823"/>
      <c r="BT11" s="1473"/>
      <c r="BU11" s="1510"/>
      <c r="BV11" s="824"/>
    </row>
    <row r="12" spans="1:82" s="825" customFormat="1" ht="43.5" customHeight="1">
      <c r="A12" s="1100"/>
      <c r="B12" s="819"/>
      <c r="C12" s="819"/>
      <c r="D12" s="819"/>
      <c r="E12" s="819"/>
      <c r="F12" s="1534"/>
      <c r="G12" s="1106"/>
      <c r="H12" s="820"/>
      <c r="I12" s="821"/>
      <c r="J12" s="820"/>
      <c r="K12" s="1657"/>
      <c r="L12" s="1657"/>
      <c r="M12" s="1657"/>
      <c r="N12" s="820"/>
      <c r="O12" s="1657"/>
      <c r="P12" s="820"/>
      <c r="Q12" s="820"/>
      <c r="R12" s="820"/>
      <c r="S12" s="820"/>
      <c r="T12" s="820"/>
      <c r="U12" s="820"/>
      <c r="V12" s="820"/>
      <c r="W12" s="820"/>
      <c r="X12" s="820"/>
      <c r="Y12" s="820"/>
      <c r="Z12" s="1657"/>
      <c r="AA12" s="822"/>
      <c r="AB12" s="822"/>
      <c r="AC12" s="822"/>
      <c r="AD12" s="822"/>
      <c r="AE12" s="822"/>
      <c r="AF12" s="822"/>
      <c r="AG12" s="822"/>
      <c r="AH12" s="822"/>
      <c r="AI12" s="822"/>
      <c r="AJ12" s="822"/>
      <c r="AK12" s="822"/>
      <c r="AL12" s="822"/>
      <c r="AM12" s="822"/>
      <c r="AN12" s="822"/>
      <c r="AO12" s="822"/>
      <c r="AP12" s="822"/>
      <c r="AQ12" s="820"/>
      <c r="AR12" s="820"/>
      <c r="AS12" s="820"/>
      <c r="AT12" s="820"/>
      <c r="AU12" s="820"/>
      <c r="AV12" s="820"/>
      <c r="AW12" s="820"/>
      <c r="AX12" s="822"/>
      <c r="AY12" s="822"/>
      <c r="AZ12" s="822"/>
      <c r="BA12" s="822"/>
      <c r="BB12" s="822"/>
      <c r="BC12" s="822"/>
      <c r="BD12" s="822"/>
      <c r="BE12" s="822"/>
      <c r="BF12" s="822"/>
      <c r="BG12" s="822"/>
      <c r="BH12" s="822"/>
      <c r="BI12" s="822"/>
      <c r="BJ12" s="822"/>
      <c r="BK12" s="822"/>
      <c r="BL12" s="822"/>
      <c r="BM12" s="822"/>
      <c r="BN12" s="822"/>
      <c r="BO12" s="822"/>
      <c r="BP12" s="822"/>
      <c r="BQ12" s="822"/>
      <c r="BR12" s="823"/>
      <c r="BS12" s="823"/>
      <c r="BT12" s="1473"/>
      <c r="BU12" s="1510"/>
      <c r="BV12" s="824"/>
    </row>
    <row r="13" spans="1:82" s="825" customFormat="1" ht="43.5" customHeight="1">
      <c r="A13" s="1100"/>
      <c r="B13" s="819"/>
      <c r="C13" s="819"/>
      <c r="D13" s="819"/>
      <c r="E13" s="819"/>
      <c r="F13" s="1534"/>
      <c r="G13" s="1106"/>
      <c r="H13" s="820"/>
      <c r="I13" s="821"/>
      <c r="J13" s="820"/>
      <c r="K13" s="1657"/>
      <c r="L13" s="1657"/>
      <c r="M13" s="1657"/>
      <c r="N13" s="820"/>
      <c r="O13" s="1657"/>
      <c r="P13" s="820"/>
      <c r="Q13" s="820"/>
      <c r="R13" s="820"/>
      <c r="S13" s="820"/>
      <c r="T13" s="820"/>
      <c r="U13" s="820"/>
      <c r="V13" s="820"/>
      <c r="W13" s="820"/>
      <c r="X13" s="820"/>
      <c r="Y13" s="820"/>
      <c r="Z13" s="1657"/>
      <c r="AA13" s="822"/>
      <c r="AB13" s="822"/>
      <c r="AC13" s="822"/>
      <c r="AD13" s="822"/>
      <c r="AE13" s="822"/>
      <c r="AF13" s="822"/>
      <c r="AG13" s="822"/>
      <c r="AH13" s="822"/>
      <c r="AI13" s="822"/>
      <c r="AJ13" s="822"/>
      <c r="AK13" s="822"/>
      <c r="AL13" s="822"/>
      <c r="AM13" s="822"/>
      <c r="AN13" s="822"/>
      <c r="AO13" s="822"/>
      <c r="AP13" s="822"/>
      <c r="AQ13" s="820"/>
      <c r="AR13" s="820"/>
      <c r="AS13" s="820"/>
      <c r="AT13" s="820"/>
      <c r="AU13" s="820"/>
      <c r="AV13" s="820"/>
      <c r="AW13" s="820"/>
      <c r="AX13" s="822"/>
      <c r="AY13" s="822"/>
      <c r="AZ13" s="822"/>
      <c r="BA13" s="822"/>
      <c r="BB13" s="822"/>
      <c r="BC13" s="822"/>
      <c r="BD13" s="822"/>
      <c r="BE13" s="822"/>
      <c r="BF13" s="822"/>
      <c r="BG13" s="822"/>
      <c r="BH13" s="822"/>
      <c r="BI13" s="822"/>
      <c r="BJ13" s="822"/>
      <c r="BK13" s="822"/>
      <c r="BL13" s="822"/>
      <c r="BM13" s="822"/>
      <c r="BN13" s="822"/>
      <c r="BO13" s="822"/>
      <c r="BP13" s="822"/>
      <c r="BQ13" s="822"/>
      <c r="BR13" s="823"/>
      <c r="BS13" s="823"/>
      <c r="BT13" s="1473"/>
      <c r="BU13" s="1510"/>
      <c r="BV13" s="824"/>
    </row>
    <row r="14" spans="1:82" s="825" customFormat="1" ht="43.5" customHeight="1">
      <c r="A14" s="1100"/>
      <c r="B14" s="819"/>
      <c r="C14" s="819"/>
      <c r="D14" s="819"/>
      <c r="E14" s="819"/>
      <c r="F14" s="1534"/>
      <c r="G14" s="1106"/>
      <c r="H14" s="820"/>
      <c r="I14" s="821"/>
      <c r="J14" s="820"/>
      <c r="K14" s="1657"/>
      <c r="L14" s="1657"/>
      <c r="M14" s="1657"/>
      <c r="N14" s="820"/>
      <c r="O14" s="1657"/>
      <c r="P14" s="820"/>
      <c r="Q14" s="820"/>
      <c r="R14" s="820"/>
      <c r="S14" s="820"/>
      <c r="T14" s="820"/>
      <c r="U14" s="820"/>
      <c r="V14" s="820"/>
      <c r="W14" s="820"/>
      <c r="X14" s="820"/>
      <c r="Y14" s="820"/>
      <c r="Z14" s="1657"/>
      <c r="AA14" s="822"/>
      <c r="AB14" s="822"/>
      <c r="AC14" s="822"/>
      <c r="AD14" s="822"/>
      <c r="AE14" s="822"/>
      <c r="AF14" s="822"/>
      <c r="AG14" s="822"/>
      <c r="AH14" s="822"/>
      <c r="AI14" s="822"/>
      <c r="AJ14" s="822"/>
      <c r="AK14" s="822"/>
      <c r="AL14" s="822"/>
      <c r="AM14" s="822"/>
      <c r="AN14" s="822"/>
      <c r="AO14" s="822"/>
      <c r="AP14" s="822"/>
      <c r="AQ14" s="820"/>
      <c r="AR14" s="820"/>
      <c r="AS14" s="820"/>
      <c r="AT14" s="820"/>
      <c r="AU14" s="820"/>
      <c r="AV14" s="820"/>
      <c r="AW14" s="820"/>
      <c r="AX14" s="822"/>
      <c r="AY14" s="822"/>
      <c r="AZ14" s="822"/>
      <c r="BA14" s="822"/>
      <c r="BB14" s="822"/>
      <c r="BC14" s="822"/>
      <c r="BD14" s="822"/>
      <c r="BE14" s="822"/>
      <c r="BF14" s="822"/>
      <c r="BG14" s="822"/>
      <c r="BH14" s="822"/>
      <c r="BI14" s="822"/>
      <c r="BJ14" s="822"/>
      <c r="BK14" s="822"/>
      <c r="BL14" s="822"/>
      <c r="BM14" s="822"/>
      <c r="BN14" s="822"/>
      <c r="BO14" s="822"/>
      <c r="BP14" s="822"/>
      <c r="BQ14" s="822"/>
      <c r="BR14" s="823"/>
      <c r="BS14" s="823"/>
      <c r="BT14" s="1473"/>
      <c r="BU14" s="1510"/>
      <c r="BV14" s="824"/>
    </row>
    <row r="15" spans="1:82" s="825" customFormat="1" ht="43.5" customHeight="1">
      <c r="A15" s="1100"/>
      <c r="B15" s="819"/>
      <c r="C15" s="819"/>
      <c r="D15" s="819"/>
      <c r="E15" s="819"/>
      <c r="F15" s="1534"/>
      <c r="G15" s="1106"/>
      <c r="H15" s="820"/>
      <c r="I15" s="821"/>
      <c r="J15" s="820"/>
      <c r="K15" s="1657"/>
      <c r="L15" s="1657"/>
      <c r="M15" s="1657"/>
      <c r="N15" s="820"/>
      <c r="O15" s="1657"/>
      <c r="P15" s="820"/>
      <c r="Q15" s="820"/>
      <c r="R15" s="820"/>
      <c r="S15" s="820"/>
      <c r="T15" s="820"/>
      <c r="U15" s="820"/>
      <c r="V15" s="820"/>
      <c r="W15" s="820"/>
      <c r="X15" s="820"/>
      <c r="Y15" s="820"/>
      <c r="Z15" s="1657"/>
      <c r="AA15" s="822"/>
      <c r="AB15" s="822"/>
      <c r="AC15" s="822"/>
      <c r="AD15" s="822"/>
      <c r="AE15" s="822"/>
      <c r="AF15" s="822"/>
      <c r="AG15" s="822"/>
      <c r="AH15" s="822"/>
      <c r="AI15" s="822"/>
      <c r="AJ15" s="822"/>
      <c r="AK15" s="822"/>
      <c r="AL15" s="822"/>
      <c r="AM15" s="822"/>
      <c r="AN15" s="822"/>
      <c r="AO15" s="822"/>
      <c r="AP15" s="822"/>
      <c r="AQ15" s="820"/>
      <c r="AR15" s="820"/>
      <c r="AS15" s="820"/>
      <c r="AT15" s="820"/>
      <c r="AU15" s="820"/>
      <c r="AV15" s="820"/>
      <c r="AW15" s="820"/>
      <c r="AX15" s="822"/>
      <c r="AY15" s="822"/>
      <c r="AZ15" s="822"/>
      <c r="BA15" s="822"/>
      <c r="BB15" s="822"/>
      <c r="BC15" s="822"/>
      <c r="BD15" s="822"/>
      <c r="BE15" s="822"/>
      <c r="BF15" s="822"/>
      <c r="BG15" s="822"/>
      <c r="BH15" s="822"/>
      <c r="BI15" s="822"/>
      <c r="BJ15" s="822"/>
      <c r="BK15" s="822"/>
      <c r="BL15" s="822"/>
      <c r="BM15" s="822"/>
      <c r="BN15" s="822"/>
      <c r="BO15" s="822"/>
      <c r="BP15" s="822"/>
      <c r="BQ15" s="822"/>
      <c r="BR15" s="823"/>
      <c r="BS15" s="823"/>
      <c r="BT15" s="1473"/>
      <c r="BU15" s="1510"/>
      <c r="BV15" s="824"/>
    </row>
    <row r="16" spans="1:82" s="825" customFormat="1" ht="43.5" customHeight="1">
      <c r="A16" s="1100"/>
      <c r="B16" s="819"/>
      <c r="C16" s="819"/>
      <c r="D16" s="819"/>
      <c r="E16" s="819"/>
      <c r="F16" s="1534"/>
      <c r="G16" s="1106"/>
      <c r="H16" s="820"/>
      <c r="I16" s="821"/>
      <c r="J16" s="820"/>
      <c r="K16" s="1657"/>
      <c r="L16" s="1657"/>
      <c r="M16" s="1657"/>
      <c r="N16" s="820"/>
      <c r="O16" s="1657"/>
      <c r="P16" s="820"/>
      <c r="Q16" s="820"/>
      <c r="R16" s="820"/>
      <c r="S16" s="820"/>
      <c r="T16" s="820"/>
      <c r="U16" s="820"/>
      <c r="V16" s="820"/>
      <c r="W16" s="820"/>
      <c r="X16" s="820"/>
      <c r="Y16" s="820"/>
      <c r="Z16" s="1657"/>
      <c r="AA16" s="822"/>
      <c r="AB16" s="822"/>
      <c r="AC16" s="822"/>
      <c r="AD16" s="822"/>
      <c r="AE16" s="822"/>
      <c r="AF16" s="822"/>
      <c r="AG16" s="822"/>
      <c r="AH16" s="822"/>
      <c r="AI16" s="822"/>
      <c r="AJ16" s="822"/>
      <c r="AK16" s="822"/>
      <c r="AL16" s="822"/>
      <c r="AM16" s="822"/>
      <c r="AN16" s="822"/>
      <c r="AO16" s="822"/>
      <c r="AP16" s="822"/>
      <c r="AQ16" s="820"/>
      <c r="AR16" s="820"/>
      <c r="AS16" s="820"/>
      <c r="AT16" s="820"/>
      <c r="AU16" s="820"/>
      <c r="AV16" s="820"/>
      <c r="AW16" s="820"/>
      <c r="AX16" s="822"/>
      <c r="AY16" s="822"/>
      <c r="AZ16" s="822"/>
      <c r="BA16" s="822"/>
      <c r="BB16" s="822"/>
      <c r="BC16" s="822"/>
      <c r="BD16" s="822"/>
      <c r="BE16" s="822"/>
      <c r="BF16" s="822"/>
      <c r="BG16" s="822"/>
      <c r="BH16" s="822"/>
      <c r="BI16" s="822"/>
      <c r="BJ16" s="822"/>
      <c r="BK16" s="822"/>
      <c r="BL16" s="822"/>
      <c r="BM16" s="822"/>
      <c r="BN16" s="822"/>
      <c r="BO16" s="822"/>
      <c r="BP16" s="822"/>
      <c r="BQ16" s="822"/>
      <c r="BR16" s="823"/>
      <c r="BS16" s="823"/>
      <c r="BT16" s="1473"/>
      <c r="BU16" s="1658"/>
      <c r="BV16" s="824"/>
    </row>
    <row r="17" spans="1:74" s="825" customFormat="1" ht="43.5" customHeight="1">
      <c r="A17" s="1100"/>
      <c r="B17" s="819"/>
      <c r="C17" s="819"/>
      <c r="D17" s="819"/>
      <c r="E17" s="819"/>
      <c r="F17" s="1160"/>
      <c r="G17" s="1106"/>
      <c r="H17" s="820"/>
      <c r="I17" s="821"/>
      <c r="J17" s="820"/>
      <c r="K17" s="1657"/>
      <c r="L17" s="1657"/>
      <c r="M17" s="1657"/>
      <c r="N17" s="820"/>
      <c r="O17" s="1657"/>
      <c r="P17" s="820"/>
      <c r="Q17" s="820"/>
      <c r="R17" s="820"/>
      <c r="S17" s="820"/>
      <c r="T17" s="820"/>
      <c r="U17" s="820"/>
      <c r="V17" s="820"/>
      <c r="W17" s="820"/>
      <c r="X17" s="820"/>
      <c r="Y17" s="820"/>
      <c r="Z17" s="820"/>
      <c r="AA17" s="820"/>
      <c r="AB17" s="820"/>
      <c r="AC17" s="1657"/>
      <c r="AD17" s="820"/>
      <c r="AE17" s="1657"/>
      <c r="AF17" s="820"/>
      <c r="AG17" s="1657"/>
      <c r="AH17" s="820"/>
      <c r="AI17" s="1657"/>
      <c r="AJ17" s="822"/>
      <c r="AK17" s="822"/>
      <c r="AL17" s="822"/>
      <c r="AM17" s="822"/>
      <c r="AN17" s="822"/>
      <c r="AO17" s="822"/>
      <c r="AP17" s="822"/>
      <c r="AQ17" s="822"/>
      <c r="AR17" s="822"/>
      <c r="AS17" s="822"/>
      <c r="AT17" s="822"/>
      <c r="AU17" s="822"/>
      <c r="AV17" s="822"/>
      <c r="AW17" s="820"/>
      <c r="AX17" s="820"/>
      <c r="AY17" s="820"/>
      <c r="AZ17" s="820"/>
      <c r="BA17" s="822"/>
      <c r="BB17" s="822"/>
      <c r="BC17" s="822"/>
      <c r="BD17" s="822"/>
      <c r="BE17" s="822"/>
      <c r="BF17" s="822"/>
      <c r="BG17" s="822"/>
      <c r="BH17" s="822"/>
      <c r="BI17" s="822"/>
      <c r="BJ17" s="822"/>
      <c r="BK17" s="822"/>
      <c r="BL17" s="822"/>
      <c r="BM17" s="822"/>
      <c r="BN17" s="822"/>
      <c r="BO17" s="822"/>
      <c r="BP17" s="822"/>
      <c r="BQ17" s="822"/>
      <c r="BR17" s="823"/>
      <c r="BS17" s="823"/>
      <c r="BT17" s="1473"/>
      <c r="BU17" s="1658"/>
      <c r="BV17" s="824"/>
    </row>
    <row r="18" spans="1:74" s="825" customFormat="1" ht="43.5" customHeight="1">
      <c r="A18" s="1100"/>
      <c r="B18" s="1659"/>
      <c r="C18" s="819"/>
      <c r="D18" s="819"/>
      <c r="E18" s="819"/>
      <c r="F18" s="1534"/>
      <c r="G18" s="1106"/>
      <c r="H18" s="820"/>
      <c r="I18" s="821"/>
      <c r="J18" s="820"/>
      <c r="K18" s="1657"/>
      <c r="L18" s="1657"/>
      <c r="M18" s="1657"/>
      <c r="N18" s="820"/>
      <c r="O18" s="1657"/>
      <c r="P18" s="820"/>
      <c r="Q18" s="820"/>
      <c r="R18" s="820"/>
      <c r="S18" s="820"/>
      <c r="T18" s="820"/>
      <c r="U18" s="820"/>
      <c r="V18" s="820"/>
      <c r="W18" s="820"/>
      <c r="X18" s="820"/>
      <c r="Y18" s="820"/>
      <c r="Z18" s="820"/>
      <c r="AA18" s="820"/>
      <c r="AB18" s="820"/>
      <c r="AC18" s="1657"/>
      <c r="AD18" s="820"/>
      <c r="AE18" s="1657"/>
      <c r="AF18" s="820"/>
      <c r="AG18" s="1657"/>
      <c r="AH18" s="820"/>
      <c r="AI18" s="1657"/>
      <c r="AJ18" s="822"/>
      <c r="AK18" s="822"/>
      <c r="AL18" s="822"/>
      <c r="AM18" s="822"/>
      <c r="AN18" s="822"/>
      <c r="AO18" s="822"/>
      <c r="AP18" s="822"/>
      <c r="AQ18" s="822"/>
      <c r="AR18" s="822"/>
      <c r="AS18" s="822"/>
      <c r="AT18" s="822"/>
      <c r="AU18" s="822"/>
      <c r="AV18" s="822"/>
      <c r="AW18" s="820"/>
      <c r="AX18" s="820"/>
      <c r="AY18" s="820"/>
      <c r="AZ18" s="820"/>
      <c r="BA18" s="822"/>
      <c r="BB18" s="822"/>
      <c r="BC18" s="822"/>
      <c r="BD18" s="822"/>
      <c r="BE18" s="822"/>
      <c r="BF18" s="822"/>
      <c r="BG18" s="822"/>
      <c r="BH18" s="822"/>
      <c r="BI18" s="822"/>
      <c r="BJ18" s="822"/>
      <c r="BK18" s="822"/>
      <c r="BL18" s="822"/>
      <c r="BM18" s="822"/>
      <c r="BN18" s="822"/>
      <c r="BO18" s="822"/>
      <c r="BP18" s="822"/>
      <c r="BQ18" s="822"/>
      <c r="BR18" s="823"/>
      <c r="BS18" s="823"/>
      <c r="BT18" s="1473"/>
      <c r="BU18" s="1658"/>
      <c r="BV18" s="824"/>
    </row>
    <row r="19" spans="1:74" s="825" customFormat="1" ht="43.5" customHeight="1">
      <c r="A19" s="1100"/>
      <c r="B19" s="1659"/>
      <c r="C19" s="819"/>
      <c r="D19" s="819"/>
      <c r="E19" s="819"/>
      <c r="F19" s="1534"/>
      <c r="G19" s="1106"/>
      <c r="H19" s="820"/>
      <c r="I19" s="821"/>
      <c r="J19" s="820"/>
      <c r="K19" s="1657"/>
      <c r="L19" s="1657"/>
      <c r="M19" s="1657"/>
      <c r="N19" s="820"/>
      <c r="O19" s="1657"/>
      <c r="P19" s="820"/>
      <c r="Q19" s="820"/>
      <c r="R19" s="820"/>
      <c r="S19" s="820"/>
      <c r="T19" s="820"/>
      <c r="U19" s="820"/>
      <c r="V19" s="820"/>
      <c r="W19" s="820"/>
      <c r="X19" s="820"/>
      <c r="Y19" s="820"/>
      <c r="Z19" s="820"/>
      <c r="AA19" s="820"/>
      <c r="AB19" s="820"/>
      <c r="AC19" s="1657"/>
      <c r="AD19" s="820"/>
      <c r="AE19" s="1657"/>
      <c r="AF19" s="820"/>
      <c r="AG19" s="1657"/>
      <c r="AH19" s="820"/>
      <c r="AI19" s="1657"/>
      <c r="AJ19" s="822"/>
      <c r="AK19" s="822"/>
      <c r="AL19" s="822"/>
      <c r="AM19" s="822"/>
      <c r="AN19" s="822"/>
      <c r="AO19" s="822"/>
      <c r="AP19" s="822"/>
      <c r="AQ19" s="822"/>
      <c r="AR19" s="822"/>
      <c r="AS19" s="822"/>
      <c r="AT19" s="822"/>
      <c r="AU19" s="822"/>
      <c r="AV19" s="822"/>
      <c r="AW19" s="820"/>
      <c r="AX19" s="820"/>
      <c r="AY19" s="820"/>
      <c r="AZ19" s="820"/>
      <c r="BA19" s="822"/>
      <c r="BB19" s="822"/>
      <c r="BC19" s="822"/>
      <c r="BD19" s="822"/>
      <c r="BE19" s="822"/>
      <c r="BF19" s="822"/>
      <c r="BG19" s="822"/>
      <c r="BH19" s="822"/>
      <c r="BI19" s="822"/>
      <c r="BJ19" s="822"/>
      <c r="BK19" s="822"/>
      <c r="BL19" s="822"/>
      <c r="BM19" s="822"/>
      <c r="BN19" s="822"/>
      <c r="BO19" s="822"/>
      <c r="BP19" s="822"/>
      <c r="BQ19" s="822"/>
      <c r="BR19" s="823"/>
      <c r="BS19" s="823"/>
      <c r="BT19" s="1473"/>
      <c r="BU19" s="1658"/>
      <c r="BV19" s="824"/>
    </row>
    <row r="20" spans="1:74" s="825" customFormat="1" ht="43.5" customHeight="1">
      <c r="A20" s="1100"/>
      <c r="B20" s="1659"/>
      <c r="C20" s="819"/>
      <c r="D20" s="1659"/>
      <c r="E20" s="819"/>
      <c r="F20" s="1534"/>
      <c r="G20" s="1106"/>
      <c r="H20" s="820"/>
      <c r="I20" s="821"/>
      <c r="J20" s="820"/>
      <c r="K20" s="1657"/>
      <c r="L20" s="1657"/>
      <c r="M20" s="1657"/>
      <c r="N20" s="820"/>
      <c r="O20" s="1657"/>
      <c r="P20" s="820"/>
      <c r="Q20" s="820"/>
      <c r="R20" s="820"/>
      <c r="S20" s="820"/>
      <c r="T20" s="820"/>
      <c r="U20" s="820"/>
      <c r="V20" s="820"/>
      <c r="W20" s="820"/>
      <c r="X20" s="820"/>
      <c r="Y20" s="820"/>
      <c r="Z20" s="820"/>
      <c r="AA20" s="820"/>
      <c r="AB20" s="820"/>
      <c r="AC20" s="1657"/>
      <c r="AD20" s="820"/>
      <c r="AE20" s="1657"/>
      <c r="AF20" s="820"/>
      <c r="AG20" s="1657"/>
      <c r="AH20" s="820"/>
      <c r="AI20" s="1657"/>
      <c r="AJ20" s="822"/>
      <c r="AK20" s="822"/>
      <c r="AL20" s="822"/>
      <c r="AM20" s="822"/>
      <c r="AN20" s="822"/>
      <c r="AO20" s="822"/>
      <c r="AP20" s="822"/>
      <c r="AQ20" s="822"/>
      <c r="AR20" s="822"/>
      <c r="AS20" s="822"/>
      <c r="AT20" s="822"/>
      <c r="AU20" s="822"/>
      <c r="AV20" s="822"/>
      <c r="AW20" s="820"/>
      <c r="AX20" s="820"/>
      <c r="AY20" s="820"/>
      <c r="AZ20" s="820"/>
      <c r="BA20" s="822"/>
      <c r="BB20" s="822"/>
      <c r="BC20" s="822"/>
      <c r="BD20" s="822"/>
      <c r="BE20" s="822"/>
      <c r="BF20" s="822"/>
      <c r="BG20" s="822"/>
      <c r="BH20" s="822"/>
      <c r="BI20" s="822"/>
      <c r="BJ20" s="822"/>
      <c r="BK20" s="822"/>
      <c r="BL20" s="822"/>
      <c r="BM20" s="822"/>
      <c r="BN20" s="822"/>
      <c r="BO20" s="822"/>
      <c r="BP20" s="822"/>
      <c r="BQ20" s="822"/>
      <c r="BR20" s="823"/>
      <c r="BS20" s="823"/>
      <c r="BT20" s="1473"/>
      <c r="BU20" s="1658"/>
      <c r="BV20" s="824"/>
    </row>
    <row r="21" spans="1:74" s="825" customFormat="1" ht="43.5" customHeight="1">
      <c r="A21" s="1100"/>
      <c r="B21" s="1659"/>
      <c r="C21" s="819"/>
      <c r="D21" s="1659"/>
      <c r="E21" s="819"/>
      <c r="F21" s="1534"/>
      <c r="G21" s="1106"/>
      <c r="H21" s="820"/>
      <c r="I21" s="821"/>
      <c r="J21" s="820"/>
      <c r="K21" s="1657"/>
      <c r="L21" s="1657"/>
      <c r="M21" s="1657"/>
      <c r="N21" s="820"/>
      <c r="O21" s="1657"/>
      <c r="P21" s="820"/>
      <c r="Q21" s="820"/>
      <c r="R21" s="820"/>
      <c r="S21" s="820"/>
      <c r="T21" s="820"/>
      <c r="U21" s="820"/>
      <c r="V21" s="820"/>
      <c r="W21" s="820"/>
      <c r="X21" s="820"/>
      <c r="Y21" s="820"/>
      <c r="Z21" s="820"/>
      <c r="AA21" s="820"/>
      <c r="AB21" s="820"/>
      <c r="AC21" s="1657"/>
      <c r="AD21" s="820"/>
      <c r="AE21" s="1657"/>
      <c r="AF21" s="820"/>
      <c r="AG21" s="1657"/>
      <c r="AH21" s="820"/>
      <c r="AI21" s="1657"/>
      <c r="AJ21" s="822"/>
      <c r="AK21" s="822"/>
      <c r="AL21" s="822"/>
      <c r="AM21" s="822"/>
      <c r="AN21" s="822"/>
      <c r="AO21" s="822"/>
      <c r="AP21" s="822"/>
      <c r="AQ21" s="822"/>
      <c r="AR21" s="822"/>
      <c r="AS21" s="822"/>
      <c r="AT21" s="822"/>
      <c r="AU21" s="822"/>
      <c r="AV21" s="822"/>
      <c r="AW21" s="820"/>
      <c r="AX21" s="820"/>
      <c r="AY21" s="820"/>
      <c r="AZ21" s="820"/>
      <c r="BA21" s="822"/>
      <c r="BB21" s="822"/>
      <c r="BC21" s="822"/>
      <c r="BD21" s="822"/>
      <c r="BE21" s="822"/>
      <c r="BF21" s="822"/>
      <c r="BG21" s="822"/>
      <c r="BH21" s="822"/>
      <c r="BI21" s="822"/>
      <c r="BJ21" s="822"/>
      <c r="BK21" s="822"/>
      <c r="BL21" s="822"/>
      <c r="BM21" s="822"/>
      <c r="BN21" s="822"/>
      <c r="BO21" s="822"/>
      <c r="BP21" s="822"/>
      <c r="BQ21" s="822"/>
      <c r="BR21" s="823"/>
      <c r="BS21" s="823"/>
      <c r="BT21" s="1473"/>
      <c r="BU21" s="1658"/>
      <c r="BV21" s="824"/>
    </row>
    <row r="22" spans="1:74" s="825" customFormat="1" ht="43.5" customHeight="1">
      <c r="A22" s="1100"/>
      <c r="B22" s="819"/>
      <c r="C22" s="819"/>
      <c r="D22" s="1659"/>
      <c r="E22" s="819"/>
      <c r="F22" s="1534"/>
      <c r="G22" s="1106"/>
      <c r="H22" s="820"/>
      <c r="I22" s="821"/>
      <c r="J22" s="820"/>
      <c r="K22" s="1657"/>
      <c r="L22" s="1657"/>
      <c r="M22" s="1657"/>
      <c r="N22" s="820"/>
      <c r="O22" s="1657"/>
      <c r="P22" s="820"/>
      <c r="Q22" s="820"/>
      <c r="R22" s="820"/>
      <c r="S22" s="820"/>
      <c r="T22" s="820"/>
      <c r="U22" s="820"/>
      <c r="V22" s="820"/>
      <c r="W22" s="820"/>
      <c r="X22" s="820"/>
      <c r="Y22" s="820"/>
      <c r="Z22" s="820"/>
      <c r="AA22" s="820"/>
      <c r="AB22" s="820"/>
      <c r="AC22" s="1657"/>
      <c r="AD22" s="820"/>
      <c r="AE22" s="1657"/>
      <c r="AF22" s="820"/>
      <c r="AG22" s="1657"/>
      <c r="AH22" s="820"/>
      <c r="AI22" s="1657"/>
      <c r="AJ22" s="822"/>
      <c r="AK22" s="822"/>
      <c r="AL22" s="822"/>
      <c r="AM22" s="822"/>
      <c r="AN22" s="822"/>
      <c r="AO22" s="822"/>
      <c r="AP22" s="822"/>
      <c r="AQ22" s="822"/>
      <c r="AR22" s="822"/>
      <c r="AS22" s="822"/>
      <c r="AT22" s="822"/>
      <c r="AU22" s="822"/>
      <c r="AV22" s="822"/>
      <c r="AW22" s="820"/>
      <c r="AX22" s="820"/>
      <c r="AY22" s="820"/>
      <c r="AZ22" s="820"/>
      <c r="BA22" s="822"/>
      <c r="BB22" s="822"/>
      <c r="BC22" s="822"/>
      <c r="BD22" s="822"/>
      <c r="BE22" s="822"/>
      <c r="BF22" s="822"/>
      <c r="BG22" s="822"/>
      <c r="BH22" s="822"/>
      <c r="BI22" s="822"/>
      <c r="BJ22" s="822"/>
      <c r="BK22" s="822"/>
      <c r="BL22" s="822"/>
      <c r="BM22" s="822"/>
      <c r="BN22" s="822"/>
      <c r="BO22" s="822"/>
      <c r="BP22" s="822"/>
      <c r="BQ22" s="822"/>
      <c r="BR22" s="823"/>
      <c r="BS22" s="823"/>
      <c r="BT22" s="1473"/>
      <c r="BU22" s="1658"/>
      <c r="BV22" s="824"/>
    </row>
    <row r="23" spans="1:74" s="237" customFormat="1" ht="43.5" customHeight="1">
      <c r="A23" s="1101"/>
      <c r="B23" s="514"/>
      <c r="C23" s="514"/>
      <c r="D23" s="1509"/>
      <c r="E23" s="514"/>
      <c r="F23" s="174"/>
      <c r="G23" s="1055"/>
      <c r="H23" s="177"/>
      <c r="I23" s="175"/>
      <c r="J23" s="177"/>
      <c r="K23" s="176"/>
      <c r="L23" s="176"/>
      <c r="M23" s="176"/>
      <c r="N23" s="177"/>
      <c r="O23" s="176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6"/>
      <c r="AD23" s="177"/>
      <c r="AE23" s="176"/>
      <c r="AF23" s="177"/>
      <c r="AG23" s="176"/>
      <c r="AH23" s="177"/>
      <c r="AI23" s="176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7"/>
      <c r="AX23" s="177"/>
      <c r="AY23" s="177"/>
      <c r="AZ23" s="177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80"/>
      <c r="BS23" s="180"/>
      <c r="BT23" s="1474"/>
      <c r="BU23" s="553"/>
      <c r="BV23" s="554"/>
    </row>
    <row r="24" spans="1:74" s="237" customFormat="1" ht="43.5" customHeight="1">
      <c r="A24" s="1101"/>
      <c r="B24" s="1509"/>
      <c r="C24" s="514"/>
      <c r="D24" s="1509"/>
      <c r="E24" s="514"/>
      <c r="F24" s="174"/>
      <c r="G24" s="1055"/>
      <c r="H24" s="177"/>
      <c r="I24" s="175"/>
      <c r="J24" s="177"/>
      <c r="K24" s="176"/>
      <c r="L24" s="176"/>
      <c r="M24" s="176"/>
      <c r="N24" s="177"/>
      <c r="O24" s="176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6"/>
      <c r="AD24" s="177"/>
      <c r="AE24" s="176"/>
      <c r="AF24" s="177"/>
      <c r="AG24" s="176"/>
      <c r="AH24" s="177"/>
      <c r="AI24" s="176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7"/>
      <c r="AX24" s="177"/>
      <c r="AY24" s="177"/>
      <c r="AZ24" s="177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80"/>
      <c r="BS24" s="180"/>
      <c r="BT24" s="1474"/>
      <c r="BU24" s="553"/>
      <c r="BV24" s="554"/>
    </row>
    <row r="25" spans="1:74" s="237" customFormat="1" ht="43.5" customHeight="1">
      <c r="A25" s="1101"/>
      <c r="B25" s="514"/>
      <c r="C25" s="514"/>
      <c r="D25" s="1509"/>
      <c r="E25" s="514"/>
      <c r="F25" s="174"/>
      <c r="G25" s="1055"/>
      <c r="H25" s="177"/>
      <c r="I25" s="175"/>
      <c r="J25" s="177"/>
      <c r="K25" s="176"/>
      <c r="L25" s="176"/>
      <c r="M25" s="176"/>
      <c r="N25" s="177"/>
      <c r="O25" s="176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6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7"/>
      <c r="AR25" s="177"/>
      <c r="AS25" s="177"/>
      <c r="AT25" s="177"/>
      <c r="AU25" s="177"/>
      <c r="AV25" s="177"/>
      <c r="AW25" s="177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80"/>
      <c r="BS25" s="180"/>
      <c r="BT25" s="1474"/>
      <c r="BU25" s="553"/>
      <c r="BV25" s="554"/>
    </row>
    <row r="26" spans="1:74" s="237" customFormat="1" ht="43.5" customHeight="1">
      <c r="A26" s="1101"/>
      <c r="B26" s="1509"/>
      <c r="C26" s="514"/>
      <c r="D26" s="514"/>
      <c r="E26" s="514"/>
      <c r="F26" s="174"/>
      <c r="G26" s="1055"/>
      <c r="H26" s="177"/>
      <c r="I26" s="175"/>
      <c r="J26" s="177"/>
      <c r="K26" s="176"/>
      <c r="L26" s="176"/>
      <c r="M26" s="176"/>
      <c r="N26" s="177"/>
      <c r="O26" s="176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6"/>
      <c r="AD26" s="177"/>
      <c r="AE26" s="176"/>
      <c r="AF26" s="177"/>
      <c r="AG26" s="176"/>
      <c r="AH26" s="177"/>
      <c r="AI26" s="176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7"/>
      <c r="AX26" s="177"/>
      <c r="AY26" s="177"/>
      <c r="AZ26" s="177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80"/>
      <c r="BS26" s="180"/>
      <c r="BT26" s="1474"/>
      <c r="BU26" s="553"/>
      <c r="BV26" s="554"/>
    </row>
    <row r="27" spans="1:74" s="237" customFormat="1" ht="43.5" customHeight="1">
      <c r="A27" s="1101"/>
      <c r="B27" s="514"/>
      <c r="C27" s="514"/>
      <c r="D27" s="514"/>
      <c r="E27" s="514"/>
      <c r="F27" s="174"/>
      <c r="G27" s="1055"/>
      <c r="H27" s="177"/>
      <c r="I27" s="175"/>
      <c r="J27" s="177"/>
      <c r="K27" s="176"/>
      <c r="L27" s="176"/>
      <c r="M27" s="176"/>
      <c r="N27" s="177"/>
      <c r="O27" s="176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6"/>
      <c r="AD27" s="177"/>
      <c r="AE27" s="176"/>
      <c r="AF27" s="177"/>
      <c r="AG27" s="176"/>
      <c r="AH27" s="177"/>
      <c r="AI27" s="176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7"/>
      <c r="AX27" s="177"/>
      <c r="AY27" s="177"/>
      <c r="AZ27" s="177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80"/>
      <c r="BS27" s="180"/>
      <c r="BT27" s="1474"/>
      <c r="BU27" s="553"/>
      <c r="BV27" s="554"/>
    </row>
    <row r="28" spans="1:74" s="237" customFormat="1" ht="43.5" customHeight="1">
      <c r="A28" s="1101"/>
      <c r="B28" s="514"/>
      <c r="C28" s="514"/>
      <c r="D28" s="514"/>
      <c r="E28" s="514"/>
      <c r="F28" s="174"/>
      <c r="G28" s="1055"/>
      <c r="H28" s="177"/>
      <c r="I28" s="175"/>
      <c r="J28" s="177"/>
      <c r="K28" s="176"/>
      <c r="L28" s="176"/>
      <c r="M28" s="176"/>
      <c r="N28" s="177"/>
      <c r="O28" s="176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6"/>
      <c r="AD28" s="177"/>
      <c r="AE28" s="176"/>
      <c r="AF28" s="177"/>
      <c r="AG28" s="176"/>
      <c r="AH28" s="177"/>
      <c r="AI28" s="176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7"/>
      <c r="AX28" s="177"/>
      <c r="AY28" s="177"/>
      <c r="AZ28" s="177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80"/>
      <c r="BS28" s="180"/>
      <c r="BT28" s="1474"/>
      <c r="BU28" s="553"/>
      <c r="BV28" s="554"/>
    </row>
    <row r="29" spans="1:74" s="237" customFormat="1" ht="43.5" customHeight="1">
      <c r="A29" s="1101"/>
      <c r="B29" s="514"/>
      <c r="C29" s="514"/>
      <c r="D29" s="514"/>
      <c r="E29" s="514"/>
      <c r="F29" s="1459"/>
      <c r="G29" s="1055"/>
      <c r="H29" s="177"/>
      <c r="I29" s="175"/>
      <c r="J29" s="177"/>
      <c r="K29" s="176"/>
      <c r="L29" s="176"/>
      <c r="M29" s="176"/>
      <c r="N29" s="177"/>
      <c r="O29" s="176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6"/>
      <c r="AD29" s="177"/>
      <c r="AE29" s="176"/>
      <c r="AF29" s="177"/>
      <c r="AG29" s="176"/>
      <c r="AH29" s="177"/>
      <c r="AI29" s="176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7"/>
      <c r="AX29" s="177"/>
      <c r="AY29" s="177"/>
      <c r="AZ29" s="177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80"/>
      <c r="BS29" s="180"/>
      <c r="BT29" s="1474"/>
      <c r="BU29" s="553"/>
      <c r="BV29" s="554"/>
    </row>
    <row r="30" spans="1:74" s="237" customFormat="1" ht="43.5" customHeight="1">
      <c r="A30" s="1101"/>
      <c r="B30" s="514"/>
      <c r="C30" s="514"/>
      <c r="D30" s="514"/>
      <c r="E30" s="514"/>
      <c r="F30" s="1459"/>
      <c r="G30" s="1055"/>
      <c r="H30" s="177"/>
      <c r="I30" s="175"/>
      <c r="J30" s="177"/>
      <c r="K30" s="176"/>
      <c r="L30" s="176"/>
      <c r="M30" s="176"/>
      <c r="N30" s="177"/>
      <c r="O30" s="176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6"/>
      <c r="AD30" s="177"/>
      <c r="AE30" s="176"/>
      <c r="AF30" s="177"/>
      <c r="AG30" s="176"/>
      <c r="AH30" s="177"/>
      <c r="AI30" s="176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7"/>
      <c r="AX30" s="177"/>
      <c r="AY30" s="177"/>
      <c r="AZ30" s="177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80"/>
      <c r="BS30" s="180"/>
      <c r="BT30" s="1474"/>
      <c r="BU30" s="553"/>
      <c r="BV30" s="554"/>
    </row>
    <row r="31" spans="1:74" s="237" customFormat="1" ht="43.5" customHeight="1">
      <c r="A31" s="1101"/>
      <c r="B31" s="514"/>
      <c r="C31" s="514"/>
      <c r="D31" s="514"/>
      <c r="E31" s="514"/>
      <c r="F31" s="174"/>
      <c r="G31" s="1055"/>
      <c r="H31" s="177"/>
      <c r="I31" s="175"/>
      <c r="J31" s="177"/>
      <c r="K31" s="176"/>
      <c r="L31" s="176"/>
      <c r="M31" s="176"/>
      <c r="N31" s="177"/>
      <c r="O31" s="176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6"/>
      <c r="AD31" s="177"/>
      <c r="AE31" s="176"/>
      <c r="AF31" s="177"/>
      <c r="AG31" s="176"/>
      <c r="AH31" s="177"/>
      <c r="AI31" s="176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7"/>
      <c r="AX31" s="177"/>
      <c r="AY31" s="177"/>
      <c r="AZ31" s="177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80"/>
      <c r="BS31" s="180"/>
      <c r="BT31" s="1474"/>
      <c r="BU31" s="553"/>
      <c r="BV31" s="554"/>
    </row>
    <row r="32" spans="1:74" s="237" customFormat="1" ht="43.5" customHeight="1">
      <c r="A32" s="1101"/>
      <c r="B32" s="514"/>
      <c r="C32" s="514"/>
      <c r="D32" s="514"/>
      <c r="E32" s="514"/>
      <c r="F32" s="174"/>
      <c r="G32" s="1055"/>
      <c r="H32" s="177"/>
      <c r="I32" s="175"/>
      <c r="J32" s="177"/>
      <c r="K32" s="176"/>
      <c r="L32" s="176"/>
      <c r="M32" s="176"/>
      <c r="N32" s="177"/>
      <c r="O32" s="176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6"/>
      <c r="AD32" s="177"/>
      <c r="AE32" s="176"/>
      <c r="AF32" s="177"/>
      <c r="AG32" s="176"/>
      <c r="AH32" s="177"/>
      <c r="AI32" s="176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7"/>
      <c r="AX32" s="177"/>
      <c r="AY32" s="177"/>
      <c r="AZ32" s="177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80"/>
      <c r="BS32" s="180"/>
      <c r="BT32" s="1474"/>
      <c r="BU32" s="553"/>
      <c r="BV32" s="554"/>
    </row>
    <row r="33" spans="1:87" s="237" customFormat="1" ht="43.5" customHeight="1">
      <c r="A33" s="1101"/>
      <c r="B33" s="514"/>
      <c r="C33" s="514"/>
      <c r="D33" s="514"/>
      <c r="E33" s="514"/>
      <c r="F33" s="174"/>
      <c r="G33" s="1055"/>
      <c r="H33" s="177"/>
      <c r="I33" s="175"/>
      <c r="J33" s="177"/>
      <c r="K33" s="176"/>
      <c r="L33" s="176"/>
      <c r="M33" s="176"/>
      <c r="N33" s="177"/>
      <c r="O33" s="176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6"/>
      <c r="AD33" s="177"/>
      <c r="AE33" s="176"/>
      <c r="AF33" s="177"/>
      <c r="AG33" s="176"/>
      <c r="AH33" s="177"/>
      <c r="AI33" s="176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7"/>
      <c r="AX33" s="177"/>
      <c r="AY33" s="177"/>
      <c r="AZ33" s="177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80"/>
      <c r="BS33" s="180"/>
      <c r="BT33" s="1474"/>
      <c r="BU33" s="553"/>
      <c r="BV33" s="554"/>
    </row>
    <row r="34" spans="1:87" s="237" customFormat="1" ht="43.5" customHeight="1">
      <c r="A34" s="1101"/>
      <c r="B34" s="514"/>
      <c r="C34" s="514"/>
      <c r="D34" s="514"/>
      <c r="E34" s="514"/>
      <c r="F34" s="174"/>
      <c r="G34" s="1055"/>
      <c r="H34" s="177"/>
      <c r="I34" s="175"/>
      <c r="J34" s="177"/>
      <c r="K34" s="176"/>
      <c r="L34" s="176"/>
      <c r="M34" s="176"/>
      <c r="N34" s="177"/>
      <c r="O34" s="176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6"/>
      <c r="AD34" s="177"/>
      <c r="AE34" s="176"/>
      <c r="AF34" s="177"/>
      <c r="AG34" s="176"/>
      <c r="AH34" s="177"/>
      <c r="AI34" s="176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7"/>
      <c r="AX34" s="177"/>
      <c r="AY34" s="177"/>
      <c r="AZ34" s="177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80"/>
      <c r="BS34" s="180"/>
      <c r="BT34" s="1474"/>
      <c r="BU34" s="553"/>
      <c r="BV34" s="554"/>
    </row>
    <row r="35" spans="1:87" s="237" customFormat="1" ht="43.5" customHeight="1">
      <c r="A35" s="1101"/>
      <c r="B35" s="514"/>
      <c r="C35" s="514"/>
      <c r="D35" s="514"/>
      <c r="E35" s="514"/>
      <c r="F35" s="174"/>
      <c r="G35" s="1055"/>
      <c r="H35" s="177"/>
      <c r="I35" s="175"/>
      <c r="J35" s="177"/>
      <c r="K35" s="176"/>
      <c r="L35" s="176"/>
      <c r="M35" s="176"/>
      <c r="N35" s="177"/>
      <c r="O35" s="176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6"/>
      <c r="AD35" s="177"/>
      <c r="AE35" s="176"/>
      <c r="AF35" s="177"/>
      <c r="AG35" s="176"/>
      <c r="AH35" s="177"/>
      <c r="AI35" s="176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7"/>
      <c r="AX35" s="177"/>
      <c r="AY35" s="177"/>
      <c r="AZ35" s="177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80"/>
      <c r="BS35" s="180"/>
      <c r="BT35" s="1474"/>
      <c r="BU35" s="553"/>
      <c r="BV35" s="554"/>
    </row>
    <row r="36" spans="1:87" s="237" customFormat="1" ht="43.5" customHeight="1">
      <c r="A36" s="1101"/>
      <c r="B36" s="514"/>
      <c r="C36" s="514"/>
      <c r="D36" s="514"/>
      <c r="E36" s="514"/>
      <c r="F36" s="174"/>
      <c r="G36" s="1055"/>
      <c r="H36" s="177"/>
      <c r="I36" s="175"/>
      <c r="J36" s="177"/>
      <c r="K36" s="176"/>
      <c r="L36" s="176"/>
      <c r="M36" s="176"/>
      <c r="N36" s="177"/>
      <c r="O36" s="176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6"/>
      <c r="AD36" s="177"/>
      <c r="AE36" s="176"/>
      <c r="AF36" s="177"/>
      <c r="AG36" s="176"/>
      <c r="AH36" s="177"/>
      <c r="AI36" s="176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7"/>
      <c r="AX36" s="177"/>
      <c r="AY36" s="177"/>
      <c r="AZ36" s="177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80"/>
      <c r="BS36" s="180"/>
      <c r="BT36" s="1474"/>
      <c r="BU36" s="553"/>
      <c r="BV36" s="554"/>
    </row>
    <row r="37" spans="1:87" s="237" customFormat="1" ht="43.5" customHeight="1">
      <c r="A37" s="1101"/>
      <c r="B37" s="514"/>
      <c r="C37" s="514"/>
      <c r="D37" s="514"/>
      <c r="E37" s="514"/>
      <c r="F37" s="174"/>
      <c r="G37" s="1055"/>
      <c r="H37" s="177"/>
      <c r="I37" s="175"/>
      <c r="J37" s="177"/>
      <c r="K37" s="176"/>
      <c r="L37" s="176"/>
      <c r="M37" s="176"/>
      <c r="N37" s="177"/>
      <c r="O37" s="176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6"/>
      <c r="AD37" s="177"/>
      <c r="AE37" s="176"/>
      <c r="AF37" s="177"/>
      <c r="AG37" s="176"/>
      <c r="AH37" s="177"/>
      <c r="AI37" s="176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7"/>
      <c r="AX37" s="177"/>
      <c r="AY37" s="177"/>
      <c r="AZ37" s="177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80"/>
      <c r="BS37" s="180"/>
      <c r="BT37" s="1474"/>
      <c r="BU37" s="553"/>
      <c r="BV37" s="554"/>
    </row>
    <row r="38" spans="1:87" s="237" customFormat="1" ht="43.5" customHeight="1">
      <c r="A38" s="1101"/>
      <c r="B38" s="514"/>
      <c r="C38" s="514"/>
      <c r="D38" s="514"/>
      <c r="E38" s="514"/>
      <c r="F38" s="174"/>
      <c r="G38" s="1055"/>
      <c r="H38" s="177"/>
      <c r="I38" s="175"/>
      <c r="J38" s="177"/>
      <c r="K38" s="176"/>
      <c r="L38" s="176"/>
      <c r="M38" s="176"/>
      <c r="N38" s="177"/>
      <c r="O38" s="176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6"/>
      <c r="AD38" s="177"/>
      <c r="AE38" s="176"/>
      <c r="AF38" s="177"/>
      <c r="AG38" s="176"/>
      <c r="AH38" s="177"/>
      <c r="AI38" s="176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7"/>
      <c r="AX38" s="177"/>
      <c r="AY38" s="177"/>
      <c r="AZ38" s="177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80"/>
      <c r="BS38" s="180"/>
      <c r="BT38" s="1474"/>
      <c r="BU38" s="553"/>
      <c r="BV38" s="554"/>
    </row>
    <row r="39" spans="1:87" customFormat="1" ht="43.5" customHeight="1">
      <c r="A39" s="1101"/>
      <c r="B39" s="1478"/>
      <c r="C39" s="1478"/>
      <c r="D39" s="1478"/>
      <c r="E39" s="1478"/>
      <c r="F39" s="174"/>
      <c r="G39" s="1055"/>
      <c r="H39" s="1055"/>
      <c r="I39" s="1055"/>
      <c r="J39" s="1055"/>
      <c r="K39" s="1055"/>
      <c r="L39" s="1055"/>
      <c r="M39" s="1055"/>
      <c r="N39" s="1055"/>
      <c r="O39" s="1055"/>
      <c r="P39" s="1055"/>
      <c r="Q39" s="1055"/>
      <c r="R39" s="1055"/>
      <c r="S39" s="1055"/>
      <c r="T39" s="1055"/>
      <c r="U39" s="1055"/>
      <c r="V39" s="1055"/>
      <c r="W39" s="1055"/>
      <c r="X39" s="1055"/>
      <c r="Y39" s="1055"/>
      <c r="Z39" s="1055"/>
      <c r="AA39" s="1055"/>
      <c r="AB39" s="1055"/>
      <c r="AC39" s="1055"/>
      <c r="AD39" s="1055"/>
      <c r="AE39" s="1055"/>
      <c r="AF39" s="1055"/>
      <c r="AG39" s="1055"/>
      <c r="AH39" s="1055"/>
      <c r="AI39" s="1055"/>
      <c r="AJ39" s="1055"/>
      <c r="AK39" s="1055"/>
      <c r="AL39" s="1055"/>
      <c r="AM39" s="1055"/>
      <c r="AN39" s="1055"/>
      <c r="AO39" s="1055"/>
      <c r="AP39" s="1055"/>
      <c r="AQ39" s="1055"/>
      <c r="AR39" s="1055"/>
      <c r="AS39" s="1055"/>
      <c r="AT39" s="1055"/>
      <c r="AU39" s="1055"/>
      <c r="AV39" s="1055"/>
      <c r="AW39" s="1055"/>
      <c r="AX39" s="1055"/>
      <c r="AY39" s="1055"/>
      <c r="AZ39" s="1055"/>
      <c r="BA39" s="1055"/>
      <c r="BB39" s="1055"/>
      <c r="BC39" s="1055"/>
      <c r="BD39" s="1055"/>
      <c r="BE39" s="1055"/>
      <c r="BF39" s="1055"/>
      <c r="BG39" s="1055"/>
      <c r="BH39" s="1055"/>
      <c r="BI39" s="1055"/>
      <c r="BJ39" s="1055"/>
      <c r="BK39" s="1055"/>
      <c r="BL39" s="1055"/>
      <c r="BM39" s="1055"/>
      <c r="BN39" s="1055"/>
      <c r="BO39" s="1055"/>
      <c r="BP39" s="1055"/>
      <c r="BQ39" s="1055"/>
      <c r="BR39" s="1479"/>
      <c r="BS39" s="1479"/>
      <c r="BT39" s="1479"/>
      <c r="BU39" s="1480"/>
      <c r="BV39" s="554"/>
      <c r="BW39" s="1331"/>
      <c r="BX39" s="1331"/>
      <c r="BY39" s="1331"/>
      <c r="BZ39" s="1331"/>
      <c r="CA39" s="1331"/>
      <c r="CB39" s="1331"/>
      <c r="CC39" s="1331"/>
      <c r="CD39" s="1331"/>
      <c r="CE39" s="1331"/>
      <c r="CF39" s="1331"/>
      <c r="CG39" s="1331"/>
      <c r="CH39" s="1331"/>
      <c r="CI39" s="1331"/>
    </row>
    <row r="40" spans="1:87" s="237" customFormat="1" ht="43.5" customHeight="1">
      <c r="A40" s="1101"/>
      <c r="B40" s="514"/>
      <c r="C40" s="514"/>
      <c r="D40" s="514"/>
      <c r="E40" s="514"/>
      <c r="F40" s="174"/>
      <c r="G40" s="1055"/>
      <c r="H40" s="177"/>
      <c r="I40" s="175"/>
      <c r="J40" s="177"/>
      <c r="K40" s="176"/>
      <c r="L40" s="176"/>
      <c r="M40" s="176"/>
      <c r="N40" s="177"/>
      <c r="O40" s="176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6"/>
      <c r="AD40" s="177"/>
      <c r="AE40" s="176"/>
      <c r="AF40" s="177"/>
      <c r="AG40" s="176"/>
      <c r="AH40" s="177"/>
      <c r="AI40" s="176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7"/>
      <c r="AX40" s="177"/>
      <c r="AY40" s="177"/>
      <c r="AZ40" s="177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80"/>
      <c r="BS40" s="180"/>
      <c r="BT40" s="1475"/>
      <c r="BU40" s="553"/>
      <c r="BV40" s="554"/>
    </row>
    <row r="41" spans="1:87" s="237" customFormat="1" ht="43.5" customHeight="1">
      <c r="A41" s="1101"/>
      <c r="B41" s="514"/>
      <c r="C41" s="514"/>
      <c r="D41" s="514"/>
      <c r="E41" s="514"/>
      <c r="F41" s="1459"/>
      <c r="G41" s="1055"/>
      <c r="H41" s="177"/>
      <c r="I41" s="175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475"/>
      <c r="BU41" s="177"/>
      <c r="BV41" s="554"/>
    </row>
    <row r="42" spans="1:87" s="237" customFormat="1" ht="43.5" customHeight="1">
      <c r="A42" s="1101"/>
      <c r="B42" s="514"/>
      <c r="C42" s="514"/>
      <c r="D42" s="514"/>
      <c r="E42" s="514"/>
      <c r="F42" s="174"/>
      <c r="G42" s="1055"/>
      <c r="H42" s="177"/>
      <c r="I42" s="175"/>
      <c r="J42" s="177"/>
      <c r="K42" s="176"/>
      <c r="L42" s="176"/>
      <c r="M42" s="176"/>
      <c r="N42" s="177"/>
      <c r="O42" s="176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6"/>
      <c r="AD42" s="177"/>
      <c r="AE42" s="176"/>
      <c r="AF42" s="177"/>
      <c r="AG42" s="176"/>
      <c r="AH42" s="177"/>
      <c r="AI42" s="176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7"/>
      <c r="AX42" s="177"/>
      <c r="AY42" s="177"/>
      <c r="AZ42" s="177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80"/>
      <c r="BS42" s="180"/>
      <c r="BT42" s="1475"/>
      <c r="BU42" s="553"/>
      <c r="BV42" s="554"/>
    </row>
    <row r="43" spans="1:87" s="237" customFormat="1" ht="43.5" customHeight="1">
      <c r="A43" s="1101"/>
      <c r="B43" s="514"/>
      <c r="C43" s="514"/>
      <c r="D43" s="514"/>
      <c r="E43" s="514"/>
      <c r="F43" s="174"/>
      <c r="G43" s="1055"/>
      <c r="H43" s="177"/>
      <c r="I43" s="175"/>
      <c r="J43" s="177"/>
      <c r="K43" s="176"/>
      <c r="L43" s="176"/>
      <c r="M43" s="176"/>
      <c r="N43" s="177"/>
      <c r="O43" s="176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6"/>
      <c r="AD43" s="177"/>
      <c r="AE43" s="176"/>
      <c r="AF43" s="177"/>
      <c r="AG43" s="176"/>
      <c r="AH43" s="177"/>
      <c r="AI43" s="176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7"/>
      <c r="AX43" s="177"/>
      <c r="AY43" s="177"/>
      <c r="AZ43" s="177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80"/>
      <c r="BS43" s="180"/>
      <c r="BT43" s="1475"/>
      <c r="BU43" s="553"/>
      <c r="BV43" s="554"/>
    </row>
    <row r="44" spans="1:87" s="237" customFormat="1" ht="43.5" customHeight="1">
      <c r="A44" s="1101"/>
      <c r="B44" s="514"/>
      <c r="C44" s="514"/>
      <c r="D44" s="514"/>
      <c r="E44" s="514"/>
      <c r="F44" s="174"/>
      <c r="G44" s="1055"/>
      <c r="H44" s="177"/>
      <c r="I44" s="175"/>
      <c r="J44" s="177"/>
      <c r="K44" s="176"/>
      <c r="L44" s="176"/>
      <c r="M44" s="176"/>
      <c r="N44" s="177"/>
      <c r="O44" s="176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6"/>
      <c r="AD44" s="177"/>
      <c r="AE44" s="176"/>
      <c r="AF44" s="177"/>
      <c r="AG44" s="176"/>
      <c r="AH44" s="177"/>
      <c r="AI44" s="176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7"/>
      <c r="AX44" s="177"/>
      <c r="AY44" s="177"/>
      <c r="AZ44" s="177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80"/>
      <c r="BS44" s="180"/>
      <c r="BT44" s="1475"/>
      <c r="BU44" s="553"/>
      <c r="BV44" s="554"/>
    </row>
    <row r="45" spans="1:87" s="237" customFormat="1" ht="43.5" customHeight="1">
      <c r="A45" s="1101"/>
      <c r="B45" s="514"/>
      <c r="C45" s="514"/>
      <c r="D45" s="514"/>
      <c r="E45" s="514"/>
      <c r="F45" s="174"/>
      <c r="G45" s="1481"/>
      <c r="H45" s="1481"/>
      <c r="I45" s="175"/>
      <c r="J45" s="177"/>
      <c r="K45" s="176"/>
      <c r="L45" s="176"/>
      <c r="M45" s="176"/>
      <c r="N45" s="177"/>
      <c r="O45" s="176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6"/>
      <c r="AD45" s="177"/>
      <c r="AE45" s="176"/>
      <c r="AF45" s="177"/>
      <c r="AG45" s="176"/>
      <c r="AH45" s="177"/>
      <c r="AI45" s="176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7"/>
      <c r="AX45" s="177"/>
      <c r="AY45" s="177"/>
      <c r="AZ45" s="177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80"/>
      <c r="BS45" s="180"/>
      <c r="BT45" s="1475"/>
      <c r="BU45" s="553"/>
      <c r="BV45" s="554"/>
    </row>
    <row r="46" spans="1:87" s="237" customFormat="1" ht="43.5" customHeight="1">
      <c r="A46" s="1101"/>
      <c r="B46" s="514"/>
      <c r="C46" s="514"/>
      <c r="D46" s="514"/>
      <c r="E46" s="514"/>
      <c r="F46" s="174"/>
      <c r="G46" s="1481"/>
      <c r="H46" s="1481"/>
      <c r="I46" s="175"/>
      <c r="J46" s="177"/>
      <c r="K46" s="176"/>
      <c r="L46" s="176"/>
      <c r="M46" s="176"/>
      <c r="N46" s="177"/>
      <c r="O46" s="176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6"/>
      <c r="AD46" s="177"/>
      <c r="AE46" s="176"/>
      <c r="AF46" s="177"/>
      <c r="AG46" s="176"/>
      <c r="AH46" s="177"/>
      <c r="AI46" s="176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7"/>
      <c r="AX46" s="177"/>
      <c r="AY46" s="177"/>
      <c r="AZ46" s="177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80"/>
      <c r="BS46" s="180"/>
      <c r="BT46" s="1475"/>
      <c r="BU46" s="553"/>
      <c r="BV46" s="554"/>
    </row>
    <row r="47" spans="1:87" s="237" customFormat="1" ht="43.5" customHeight="1">
      <c r="A47" s="1101"/>
      <c r="B47" s="514"/>
      <c r="C47" s="514"/>
      <c r="D47" s="514"/>
      <c r="E47" s="514"/>
      <c r="F47" s="174"/>
      <c r="G47" s="1481"/>
      <c r="H47" s="1481"/>
      <c r="I47" s="175"/>
      <c r="J47" s="1481"/>
      <c r="K47" s="176"/>
      <c r="L47" s="176"/>
      <c r="M47" s="176"/>
      <c r="N47" s="177"/>
      <c r="O47" s="176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6"/>
      <c r="AD47" s="177"/>
      <c r="AE47" s="176"/>
      <c r="AF47" s="177"/>
      <c r="AG47" s="176"/>
      <c r="AH47" s="177"/>
      <c r="AI47" s="176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7"/>
      <c r="AX47" s="177"/>
      <c r="AY47" s="177"/>
      <c r="AZ47" s="177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80"/>
      <c r="BS47" s="180"/>
      <c r="BT47" s="1475"/>
      <c r="BU47" s="553"/>
      <c r="BV47" s="554"/>
    </row>
    <row r="48" spans="1:87" s="237" customFormat="1" ht="43.5" customHeight="1">
      <c r="A48" s="1101"/>
      <c r="B48" s="514"/>
      <c r="C48" s="514"/>
      <c r="D48" s="514"/>
      <c r="E48" s="514"/>
      <c r="F48" s="174"/>
      <c r="G48" s="1481"/>
      <c r="H48" s="1481"/>
      <c r="I48" s="175"/>
      <c r="J48" s="1481"/>
      <c r="K48" s="176"/>
      <c r="L48" s="176"/>
      <c r="M48" s="176"/>
      <c r="N48" s="177"/>
      <c r="O48" s="176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6"/>
      <c r="AD48" s="177"/>
      <c r="AE48" s="176"/>
      <c r="AF48" s="177"/>
      <c r="AG48" s="176"/>
      <c r="AH48" s="177"/>
      <c r="AI48" s="176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7"/>
      <c r="AX48" s="177"/>
      <c r="AY48" s="177"/>
      <c r="AZ48" s="177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80"/>
      <c r="BS48" s="180"/>
      <c r="BT48" s="1474"/>
      <c r="BU48" s="553"/>
      <c r="BV48" s="554"/>
    </row>
    <row r="49" spans="1:87" s="237" customFormat="1" ht="43.5" customHeight="1">
      <c r="A49" s="1101"/>
      <c r="B49" s="514"/>
      <c r="C49" s="514"/>
      <c r="D49" s="514"/>
      <c r="E49" s="514"/>
      <c r="F49" s="174"/>
      <c r="G49" s="1481"/>
      <c r="H49" s="1481"/>
      <c r="I49" s="175"/>
      <c r="J49" s="1481"/>
      <c r="K49" s="176"/>
      <c r="L49" s="176"/>
      <c r="M49" s="176"/>
      <c r="N49" s="177"/>
      <c r="O49" s="176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6"/>
      <c r="AD49" s="177"/>
      <c r="AE49" s="176"/>
      <c r="AF49" s="177"/>
      <c r="AG49" s="176"/>
      <c r="AH49" s="177"/>
      <c r="AI49" s="176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7"/>
      <c r="AX49" s="177"/>
      <c r="AY49" s="177"/>
      <c r="AZ49" s="177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80"/>
      <c r="BS49" s="180"/>
      <c r="BT49" s="1475"/>
      <c r="BU49" s="553"/>
      <c r="BV49" s="554"/>
    </row>
    <row r="50" spans="1:87" s="237" customFormat="1" ht="43.5" customHeight="1">
      <c r="A50" s="1101"/>
      <c r="B50" s="514"/>
      <c r="C50" s="514"/>
      <c r="D50" s="514"/>
      <c r="E50" s="514"/>
      <c r="F50" s="174"/>
      <c r="G50" s="1481"/>
      <c r="H50" s="1481"/>
      <c r="I50" s="175"/>
      <c r="J50" s="177"/>
      <c r="K50" s="176"/>
      <c r="L50" s="176"/>
      <c r="M50" s="176"/>
      <c r="N50" s="177"/>
      <c r="O50" s="176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6"/>
      <c r="AD50" s="177"/>
      <c r="AE50" s="176"/>
      <c r="AF50" s="177"/>
      <c r="AG50" s="176"/>
      <c r="AH50" s="177"/>
      <c r="AI50" s="176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7"/>
      <c r="AX50" s="177"/>
      <c r="AY50" s="177"/>
      <c r="AZ50" s="177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80"/>
      <c r="BS50" s="180"/>
      <c r="BT50" s="1475"/>
      <c r="BU50" s="553"/>
      <c r="BV50" s="554"/>
    </row>
    <row r="51" spans="1:87" s="237" customFormat="1" ht="43.5" customHeight="1">
      <c r="A51" s="1101"/>
      <c r="B51" s="514"/>
      <c r="C51" s="514"/>
      <c r="D51" s="514"/>
      <c r="E51" s="514"/>
      <c r="F51" s="174"/>
      <c r="G51" s="1481"/>
      <c r="H51" s="1481"/>
      <c r="I51" s="175"/>
      <c r="J51" s="177"/>
      <c r="K51" s="176"/>
      <c r="L51" s="176"/>
      <c r="M51" s="176"/>
      <c r="N51" s="177"/>
      <c r="O51" s="176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6"/>
      <c r="AD51" s="177"/>
      <c r="AE51" s="176"/>
      <c r="AF51" s="177"/>
      <c r="AG51" s="176"/>
      <c r="AH51" s="177"/>
      <c r="AI51" s="176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7"/>
      <c r="AX51" s="177"/>
      <c r="AY51" s="177"/>
      <c r="AZ51" s="177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9"/>
      <c r="BS51" s="180"/>
      <c r="BT51" s="1475"/>
      <c r="BU51" s="553"/>
      <c r="BV51" s="554"/>
    </row>
    <row r="52" spans="1:87" s="237" customFormat="1" ht="43.5" customHeight="1">
      <c r="A52" s="1101"/>
      <c r="B52" s="514"/>
      <c r="C52" s="514"/>
      <c r="D52" s="514"/>
      <c r="E52" s="514"/>
      <c r="F52" s="174"/>
      <c r="G52" s="1481"/>
      <c r="H52" s="1481"/>
      <c r="I52" s="175"/>
      <c r="J52" s="177"/>
      <c r="K52" s="176"/>
      <c r="L52" s="176"/>
      <c r="M52" s="176"/>
      <c r="N52" s="177"/>
      <c r="O52" s="176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6"/>
      <c r="AD52" s="177"/>
      <c r="AE52" s="176"/>
      <c r="AF52" s="177"/>
      <c r="AG52" s="176"/>
      <c r="AH52" s="177"/>
      <c r="AI52" s="176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7"/>
      <c r="AX52" s="177"/>
      <c r="AY52" s="177"/>
      <c r="AZ52" s="177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80"/>
      <c r="BS52" s="180"/>
      <c r="BT52" s="1474"/>
      <c r="BU52" s="553"/>
      <c r="BV52" s="554"/>
    </row>
    <row r="53" spans="1:87" s="237" customFormat="1" ht="43.5" customHeight="1">
      <c r="A53" s="1101"/>
      <c r="B53" s="514"/>
      <c r="C53" s="514"/>
      <c r="D53" s="514"/>
      <c r="E53" s="514"/>
      <c r="F53" s="174"/>
      <c r="G53" s="1481"/>
      <c r="H53" s="1481"/>
      <c r="I53" s="175"/>
      <c r="J53" s="177"/>
      <c r="K53" s="176"/>
      <c r="L53" s="176"/>
      <c r="M53" s="176"/>
      <c r="N53" s="177"/>
      <c r="O53" s="176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6"/>
      <c r="AD53" s="177"/>
      <c r="AE53" s="176"/>
      <c r="AF53" s="177"/>
      <c r="AG53" s="176"/>
      <c r="AH53" s="177"/>
      <c r="AI53" s="176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7"/>
      <c r="AX53" s="177"/>
      <c r="AY53" s="177"/>
      <c r="AZ53" s="177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9"/>
      <c r="BS53" s="180"/>
      <c r="BT53" s="1475"/>
      <c r="BU53" s="553"/>
      <c r="BV53" s="554"/>
    </row>
    <row r="54" spans="1:87" s="237" customFormat="1" ht="43.5" customHeight="1">
      <c r="A54" s="1101"/>
      <c r="B54" s="514"/>
      <c r="C54" s="514"/>
      <c r="D54" s="514"/>
      <c r="E54" s="514"/>
      <c r="F54" s="174"/>
      <c r="G54" s="1481"/>
      <c r="H54" s="1481"/>
      <c r="I54" s="175"/>
      <c r="J54" s="177"/>
      <c r="K54" s="176"/>
      <c r="L54" s="176"/>
      <c r="M54" s="176"/>
      <c r="N54" s="177"/>
      <c r="O54" s="176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6"/>
      <c r="AD54" s="177"/>
      <c r="AE54" s="176"/>
      <c r="AF54" s="177"/>
      <c r="AG54" s="176"/>
      <c r="AH54" s="177"/>
      <c r="AI54" s="176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7"/>
      <c r="AX54" s="177"/>
      <c r="AY54" s="177"/>
      <c r="AZ54" s="177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9"/>
      <c r="BS54" s="180"/>
      <c r="BT54" s="1475"/>
      <c r="BU54" s="553"/>
      <c r="BV54" s="554"/>
    </row>
    <row r="55" spans="1:87" s="237" customFormat="1" ht="43.5" customHeight="1">
      <c r="A55" s="1101"/>
      <c r="B55" s="514"/>
      <c r="C55" s="514"/>
      <c r="D55" s="514"/>
      <c r="E55" s="514"/>
      <c r="F55" s="174"/>
      <c r="G55" s="1055"/>
      <c r="H55" s="177"/>
      <c r="I55" s="175"/>
      <c r="J55" s="177"/>
      <c r="K55" s="176"/>
      <c r="L55" s="176"/>
      <c r="M55" s="176"/>
      <c r="N55" s="177"/>
      <c r="O55" s="176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6"/>
      <c r="AD55" s="177"/>
      <c r="AE55" s="176"/>
      <c r="AF55" s="177"/>
      <c r="AG55" s="176"/>
      <c r="AH55" s="177"/>
      <c r="AI55" s="176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7"/>
      <c r="AX55" s="177"/>
      <c r="AY55" s="177"/>
      <c r="AZ55" s="177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9"/>
      <c r="BS55" s="180"/>
      <c r="BT55" s="1475"/>
      <c r="BU55" s="553"/>
      <c r="BV55" s="554"/>
    </row>
    <row r="56" spans="1:87" s="237" customFormat="1" ht="43.5" customHeight="1">
      <c r="A56" s="1101"/>
      <c r="B56" s="514"/>
      <c r="C56" s="514"/>
      <c r="D56" s="514"/>
      <c r="E56" s="514"/>
      <c r="F56" s="174"/>
      <c r="G56" s="1055"/>
      <c r="H56" s="177"/>
      <c r="I56" s="175"/>
      <c r="J56" s="177"/>
      <c r="K56" s="176"/>
      <c r="L56" s="176"/>
      <c r="M56" s="176"/>
      <c r="N56" s="177"/>
      <c r="O56" s="176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6"/>
      <c r="AD56" s="177"/>
      <c r="AE56" s="176"/>
      <c r="AF56" s="177"/>
      <c r="AG56" s="176"/>
      <c r="AH56" s="177"/>
      <c r="AI56" s="176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7"/>
      <c r="AX56" s="177"/>
      <c r="AY56" s="177"/>
      <c r="AZ56" s="177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9"/>
      <c r="BS56" s="180"/>
      <c r="BT56" s="1475"/>
      <c r="BU56" s="553"/>
      <c r="BV56" s="554"/>
    </row>
    <row r="57" spans="1:87" s="237" customFormat="1" ht="43.5" customHeight="1">
      <c r="A57" s="1101"/>
      <c r="B57" s="514"/>
      <c r="C57" s="514"/>
      <c r="D57" s="514"/>
      <c r="E57" s="514"/>
      <c r="F57" s="174"/>
      <c r="G57" s="1055"/>
      <c r="H57" s="1482"/>
      <c r="I57" s="175"/>
      <c r="J57" s="177"/>
      <c r="K57" s="176"/>
      <c r="L57" s="176"/>
      <c r="M57" s="176"/>
      <c r="N57" s="177"/>
      <c r="O57" s="176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6"/>
      <c r="AD57" s="177"/>
      <c r="AE57" s="176"/>
      <c r="AF57" s="177"/>
      <c r="AG57" s="176"/>
      <c r="AH57" s="177"/>
      <c r="AI57" s="176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7"/>
      <c r="AX57" s="177"/>
      <c r="AY57" s="177"/>
      <c r="AZ57" s="177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9"/>
      <c r="BS57" s="180"/>
      <c r="BT57" s="1475"/>
      <c r="BU57" s="553"/>
      <c r="BV57" s="554"/>
    </row>
    <row r="58" spans="1:87" customFormat="1" ht="43.5" customHeight="1">
      <c r="A58" s="1101"/>
      <c r="B58" s="1478"/>
      <c r="C58" s="1478"/>
      <c r="D58" s="1478"/>
      <c r="E58" s="514"/>
      <c r="F58" s="174"/>
      <c r="G58" s="1055"/>
      <c r="H58" s="1055"/>
      <c r="I58" s="1055"/>
      <c r="J58" s="1055"/>
      <c r="K58" s="1055"/>
      <c r="L58" s="1055"/>
      <c r="M58" s="1055"/>
      <c r="N58" s="1055"/>
      <c r="O58" s="1055"/>
      <c r="P58" s="1055"/>
      <c r="Q58" s="1055"/>
      <c r="R58" s="1055"/>
      <c r="S58" s="1055"/>
      <c r="T58" s="1055"/>
      <c r="U58" s="1055"/>
      <c r="V58" s="1055"/>
      <c r="W58" s="1055"/>
      <c r="X58" s="1055"/>
      <c r="Y58" s="1055"/>
      <c r="Z58" s="1055"/>
      <c r="AA58" s="1055"/>
      <c r="AB58" s="1055"/>
      <c r="AC58" s="1055"/>
      <c r="AD58" s="1055"/>
      <c r="AE58" s="1055"/>
      <c r="AF58" s="1055"/>
      <c r="AG58" s="1055"/>
      <c r="AH58" s="1055"/>
      <c r="AI58" s="1055"/>
      <c r="AJ58" s="1055"/>
      <c r="AK58" s="1055"/>
      <c r="AL58" s="1055"/>
      <c r="AM58" s="1055"/>
      <c r="AN58" s="1055"/>
      <c r="AO58" s="1055"/>
      <c r="AP58" s="1055"/>
      <c r="AQ58" s="1055"/>
      <c r="AR58" s="1055"/>
      <c r="AS58" s="1055"/>
      <c r="AT58" s="1055"/>
      <c r="AU58" s="1055"/>
      <c r="AV58" s="1055"/>
      <c r="AW58" s="1055"/>
      <c r="AX58" s="1055"/>
      <c r="AY58" s="1055"/>
      <c r="AZ58" s="1055"/>
      <c r="BA58" s="1055"/>
      <c r="BB58" s="1055"/>
      <c r="BC58" s="1055"/>
      <c r="BD58" s="1055"/>
      <c r="BE58" s="1055"/>
      <c r="BF58" s="1055"/>
      <c r="BG58" s="1055"/>
      <c r="BH58" s="1055"/>
      <c r="BI58" s="1055"/>
      <c r="BJ58" s="1055"/>
      <c r="BK58" s="1055"/>
      <c r="BL58" s="1055"/>
      <c r="BM58" s="1055"/>
      <c r="BN58" s="1055"/>
      <c r="BO58" s="1055"/>
      <c r="BP58" s="1055"/>
      <c r="BQ58" s="1055"/>
      <c r="BR58" s="1483"/>
      <c r="BS58" s="1484"/>
      <c r="BT58" s="1485"/>
      <c r="BU58" s="1480"/>
      <c r="BV58" s="554"/>
      <c r="BW58" s="1331"/>
      <c r="BX58" s="1331"/>
      <c r="BY58" s="1331"/>
      <c r="BZ58" s="1331"/>
      <c r="CA58" s="1331"/>
      <c r="CB58" s="1331"/>
      <c r="CC58" s="1331"/>
      <c r="CD58" s="1331"/>
      <c r="CE58" s="1331"/>
      <c r="CF58" s="1331"/>
      <c r="CG58" s="1331"/>
      <c r="CH58" s="1331"/>
      <c r="CI58" s="1331"/>
    </row>
    <row r="59" spans="1:87" s="237" customFormat="1" ht="43.5" customHeight="1">
      <c r="A59" s="1100"/>
      <c r="B59" s="514"/>
      <c r="C59" s="514"/>
      <c r="D59" s="514"/>
      <c r="E59" s="514"/>
      <c r="F59" s="174"/>
      <c r="G59" s="1055"/>
      <c r="H59" s="177"/>
      <c r="I59" s="175"/>
      <c r="J59" s="177"/>
      <c r="K59" s="176"/>
      <c r="L59" s="176"/>
      <c r="M59" s="176"/>
      <c r="N59" s="177"/>
      <c r="O59" s="176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6"/>
      <c r="AD59" s="177"/>
      <c r="AE59" s="176"/>
      <c r="AF59" s="177"/>
      <c r="AG59" s="176"/>
      <c r="AH59" s="177"/>
      <c r="AI59" s="176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7"/>
      <c r="AX59" s="177"/>
      <c r="AY59" s="177"/>
      <c r="AZ59" s="177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9"/>
      <c r="BS59" s="180"/>
      <c r="BT59" s="1475"/>
      <c r="BU59" s="553"/>
      <c r="BV59" s="554"/>
    </row>
    <row r="60" spans="1:87" s="237" customFormat="1" ht="43.5" customHeight="1">
      <c r="A60" s="1100"/>
      <c r="B60" s="514"/>
      <c r="C60" s="514"/>
      <c r="D60" s="514"/>
      <c r="E60" s="514"/>
      <c r="F60" s="174"/>
      <c r="G60" s="1055"/>
      <c r="H60" s="177"/>
      <c r="I60" s="175"/>
      <c r="J60" s="177"/>
      <c r="K60" s="176"/>
      <c r="L60" s="176"/>
      <c r="M60" s="176"/>
      <c r="N60" s="177"/>
      <c r="O60" s="176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6"/>
      <c r="AD60" s="177"/>
      <c r="AE60" s="176"/>
      <c r="AF60" s="177"/>
      <c r="AG60" s="176"/>
      <c r="AH60" s="177"/>
      <c r="AI60" s="176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7"/>
      <c r="AX60" s="177"/>
      <c r="AY60" s="177"/>
      <c r="AZ60" s="177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9"/>
      <c r="BS60" s="180"/>
      <c r="BT60" s="1475"/>
      <c r="BU60" s="553"/>
      <c r="BV60" s="554"/>
    </row>
    <row r="61" spans="1:87" s="237" customFormat="1" ht="43.5" customHeight="1">
      <c r="A61" s="1100"/>
      <c r="B61" s="514"/>
      <c r="C61" s="514"/>
      <c r="D61" s="514"/>
      <c r="E61" s="514"/>
      <c r="F61" s="174"/>
      <c r="G61" s="1055"/>
      <c r="H61" s="177"/>
      <c r="I61" s="175"/>
      <c r="J61" s="177"/>
      <c r="K61" s="176"/>
      <c r="L61" s="176"/>
      <c r="M61" s="176"/>
      <c r="N61" s="177"/>
      <c r="O61" s="176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6"/>
      <c r="AD61" s="177"/>
      <c r="AE61" s="176"/>
      <c r="AF61" s="177"/>
      <c r="AG61" s="176"/>
      <c r="AH61" s="177"/>
      <c r="AI61" s="176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7"/>
      <c r="AX61" s="177"/>
      <c r="AY61" s="177"/>
      <c r="AZ61" s="177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9"/>
      <c r="BS61" s="180"/>
      <c r="BT61" s="1475"/>
      <c r="BU61" s="553"/>
      <c r="BV61" s="554"/>
    </row>
    <row r="62" spans="1:87" s="237" customFormat="1" ht="43.5" customHeight="1">
      <c r="A62" s="1100"/>
      <c r="B62" s="514"/>
      <c r="C62" s="514"/>
      <c r="D62" s="514"/>
      <c r="E62" s="514"/>
      <c r="F62" s="174"/>
      <c r="G62" s="1055"/>
      <c r="H62" s="177"/>
      <c r="I62" s="175"/>
      <c r="J62" s="177"/>
      <c r="K62" s="176"/>
      <c r="L62" s="176"/>
      <c r="M62" s="176"/>
      <c r="N62" s="177"/>
      <c r="O62" s="176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6"/>
      <c r="AD62" s="177"/>
      <c r="AE62" s="176"/>
      <c r="AF62" s="177"/>
      <c r="AG62" s="176"/>
      <c r="AH62" s="177"/>
      <c r="AI62" s="176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7"/>
      <c r="AX62" s="177"/>
      <c r="AY62" s="177"/>
      <c r="AZ62" s="177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9"/>
      <c r="BS62" s="180"/>
      <c r="BT62" s="1475"/>
      <c r="BU62" s="553"/>
      <c r="BV62" s="554"/>
    </row>
    <row r="63" spans="1:87" s="237" customFormat="1" ht="43.5" customHeight="1">
      <c r="A63" s="1100"/>
      <c r="B63" s="514"/>
      <c r="C63" s="514"/>
      <c r="D63" s="514"/>
      <c r="E63" s="514"/>
      <c r="F63" s="174"/>
      <c r="G63" s="1055"/>
      <c r="H63" s="177"/>
      <c r="I63" s="175"/>
      <c r="J63" s="177"/>
      <c r="K63" s="176"/>
      <c r="L63" s="176"/>
      <c r="M63" s="176"/>
      <c r="N63" s="177"/>
      <c r="O63" s="176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6"/>
      <c r="AD63" s="177"/>
      <c r="AE63" s="176"/>
      <c r="AF63" s="177"/>
      <c r="AG63" s="176"/>
      <c r="AH63" s="177"/>
      <c r="AI63" s="176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7"/>
      <c r="AX63" s="177"/>
      <c r="AY63" s="177"/>
      <c r="AZ63" s="177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9"/>
      <c r="BS63" s="180"/>
      <c r="BT63" s="1475"/>
      <c r="BU63" s="553"/>
      <c r="BV63" s="554"/>
    </row>
    <row r="64" spans="1:87" s="237" customFormat="1" ht="43.5" customHeight="1">
      <c r="A64" s="1101"/>
      <c r="B64" s="514"/>
      <c r="C64" s="514"/>
      <c r="D64" s="514"/>
      <c r="E64" s="514"/>
      <c r="F64" s="174"/>
      <c r="G64" s="1055"/>
      <c r="H64" s="177"/>
      <c r="I64" s="175"/>
      <c r="J64" s="177"/>
      <c r="K64" s="176"/>
      <c r="L64" s="176"/>
      <c r="M64" s="176"/>
      <c r="N64" s="177"/>
      <c r="O64" s="176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6"/>
      <c r="AD64" s="177"/>
      <c r="AE64" s="176"/>
      <c r="AF64" s="177"/>
      <c r="AG64" s="176"/>
      <c r="AH64" s="177"/>
      <c r="AI64" s="176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7"/>
      <c r="AX64" s="177"/>
      <c r="AY64" s="177"/>
      <c r="AZ64" s="177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9"/>
      <c r="BS64" s="180"/>
      <c r="BT64" s="1475"/>
      <c r="BU64" s="553"/>
      <c r="BV64" s="554"/>
    </row>
    <row r="65" spans="1:74" s="237" customFormat="1" ht="43.5" customHeight="1">
      <c r="A65" s="1101"/>
      <c r="B65" s="514"/>
      <c r="C65" s="514"/>
      <c r="D65" s="514"/>
      <c r="E65" s="514"/>
      <c r="F65" s="174"/>
      <c r="G65" s="1055"/>
      <c r="H65" s="177"/>
      <c r="I65" s="175"/>
      <c r="J65" s="177"/>
      <c r="K65" s="176"/>
      <c r="L65" s="176"/>
      <c r="M65" s="176"/>
      <c r="N65" s="177"/>
      <c r="O65" s="176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6"/>
      <c r="AD65" s="177"/>
      <c r="AE65" s="176"/>
      <c r="AF65" s="177"/>
      <c r="AG65" s="176"/>
      <c r="AH65" s="177"/>
      <c r="AI65" s="176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7"/>
      <c r="AX65" s="177"/>
      <c r="AY65" s="177"/>
      <c r="AZ65" s="177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9"/>
      <c r="BS65" s="180"/>
      <c r="BT65" s="1475"/>
      <c r="BU65" s="553"/>
      <c r="BV65" s="554"/>
    </row>
    <row r="66" spans="1:74" s="237" customFormat="1" ht="43.5" customHeight="1">
      <c r="A66" s="1101"/>
      <c r="B66" s="514"/>
      <c r="C66" s="514"/>
      <c r="D66" s="514"/>
      <c r="E66" s="514"/>
      <c r="F66" s="174"/>
      <c r="G66" s="1055"/>
      <c r="H66" s="177"/>
      <c r="I66" s="175"/>
      <c r="J66" s="177"/>
      <c r="K66" s="176"/>
      <c r="L66" s="176"/>
      <c r="M66" s="176"/>
      <c r="N66" s="177"/>
      <c r="O66" s="176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6"/>
      <c r="AD66" s="177"/>
      <c r="AE66" s="176"/>
      <c r="AF66" s="177"/>
      <c r="AG66" s="176"/>
      <c r="AH66" s="177"/>
      <c r="AI66" s="176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7"/>
      <c r="AX66" s="177"/>
      <c r="AY66" s="177"/>
      <c r="AZ66" s="177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9"/>
      <c r="BS66" s="180"/>
      <c r="BT66" s="1475"/>
      <c r="BU66" s="553"/>
      <c r="BV66" s="554"/>
    </row>
    <row r="67" spans="1:74" s="237" customFormat="1" ht="43.5" customHeight="1">
      <c r="A67" s="1101"/>
      <c r="B67" s="514"/>
      <c r="C67" s="514"/>
      <c r="D67" s="514"/>
      <c r="E67" s="514"/>
      <c r="F67" s="174"/>
      <c r="G67" s="1055"/>
      <c r="H67" s="177"/>
      <c r="I67" s="175"/>
      <c r="J67" s="177"/>
      <c r="K67" s="176"/>
      <c r="L67" s="176"/>
      <c r="M67" s="176"/>
      <c r="N67" s="177"/>
      <c r="O67" s="176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6"/>
      <c r="AD67" s="177"/>
      <c r="AE67" s="176"/>
      <c r="AF67" s="177"/>
      <c r="AG67" s="176"/>
      <c r="AH67" s="177"/>
      <c r="AI67" s="176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7"/>
      <c r="AX67" s="177"/>
      <c r="AY67" s="177"/>
      <c r="AZ67" s="177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9"/>
      <c r="BS67" s="180"/>
      <c r="BT67" s="1475"/>
      <c r="BU67" s="553"/>
      <c r="BV67" s="554"/>
    </row>
    <row r="68" spans="1:74" s="237" customFormat="1" ht="43.5" customHeight="1">
      <c r="A68" s="1101"/>
      <c r="B68" s="514"/>
      <c r="C68" s="514"/>
      <c r="D68" s="514"/>
      <c r="E68" s="514"/>
      <c r="F68" s="174"/>
      <c r="G68" s="1055"/>
      <c r="H68" s="177"/>
      <c r="I68" s="175"/>
      <c r="J68" s="177"/>
      <c r="K68" s="176"/>
      <c r="L68" s="176"/>
      <c r="M68" s="176"/>
      <c r="N68" s="177"/>
      <c r="O68" s="176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6"/>
      <c r="AD68" s="177"/>
      <c r="AE68" s="176"/>
      <c r="AF68" s="177"/>
      <c r="AG68" s="176"/>
      <c r="AH68" s="177"/>
      <c r="AI68" s="176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7"/>
      <c r="AX68" s="177"/>
      <c r="AY68" s="177"/>
      <c r="AZ68" s="177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9"/>
      <c r="BS68" s="180"/>
      <c r="BT68" s="1475"/>
      <c r="BU68" s="553"/>
      <c r="BV68" s="554"/>
    </row>
    <row r="69" spans="1:74" s="237" customFormat="1" ht="43.5" customHeight="1">
      <c r="A69" s="1101"/>
      <c r="B69" s="514"/>
      <c r="C69" s="514"/>
      <c r="D69" s="514"/>
      <c r="E69" s="514"/>
      <c r="F69" s="174"/>
      <c r="G69" s="1055"/>
      <c r="H69" s="177"/>
      <c r="I69" s="175"/>
      <c r="J69" s="177"/>
      <c r="K69" s="176"/>
      <c r="L69" s="176"/>
      <c r="M69" s="176"/>
      <c r="N69" s="177"/>
      <c r="O69" s="176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6"/>
      <c r="AD69" s="177"/>
      <c r="AE69" s="176"/>
      <c r="AF69" s="177"/>
      <c r="AG69" s="176"/>
      <c r="AH69" s="177"/>
      <c r="AI69" s="176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7"/>
      <c r="AX69" s="177"/>
      <c r="AY69" s="177"/>
      <c r="AZ69" s="177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9"/>
      <c r="BS69" s="180"/>
      <c r="BT69" s="1475"/>
      <c r="BU69" s="553"/>
      <c r="BV69" s="554"/>
    </row>
    <row r="70" spans="1:74" s="237" customFormat="1" ht="43.5" customHeight="1">
      <c r="A70" s="1100"/>
      <c r="B70" s="514"/>
      <c r="C70" s="514"/>
      <c r="D70" s="514"/>
      <c r="E70" s="514"/>
      <c r="F70" s="174"/>
      <c r="G70" s="1055"/>
      <c r="H70" s="177"/>
      <c r="I70" s="175"/>
      <c r="J70" s="177"/>
      <c r="K70" s="176"/>
      <c r="L70" s="176"/>
      <c r="M70" s="176"/>
      <c r="N70" s="177"/>
      <c r="O70" s="176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6"/>
      <c r="AD70" s="177"/>
      <c r="AE70" s="176"/>
      <c r="AF70" s="177"/>
      <c r="AG70" s="176"/>
      <c r="AH70" s="177"/>
      <c r="AI70" s="176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7"/>
      <c r="AX70" s="177"/>
      <c r="AY70" s="177"/>
      <c r="AZ70" s="177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9"/>
      <c r="BS70" s="180"/>
      <c r="BT70" s="1475"/>
      <c r="BU70" s="553"/>
      <c r="BV70" s="554"/>
    </row>
    <row r="71" spans="1:74" s="237" customFormat="1" ht="43.5" customHeight="1">
      <c r="A71" s="1101"/>
      <c r="B71" s="514"/>
      <c r="C71" s="514"/>
      <c r="D71" s="514"/>
      <c r="E71" s="514"/>
      <c r="F71" s="174"/>
      <c r="G71" s="1055"/>
      <c r="H71" s="177"/>
      <c r="I71" s="175"/>
      <c r="J71" s="177"/>
      <c r="K71" s="176"/>
      <c r="L71" s="176"/>
      <c r="M71" s="176"/>
      <c r="N71" s="177"/>
      <c r="O71" s="176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6"/>
      <c r="AD71" s="177"/>
      <c r="AE71" s="176"/>
      <c r="AF71" s="177"/>
      <c r="AG71" s="176"/>
      <c r="AH71" s="177"/>
      <c r="AI71" s="176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7"/>
      <c r="AX71" s="177"/>
      <c r="AY71" s="177"/>
      <c r="AZ71" s="177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9"/>
      <c r="BS71" s="180"/>
      <c r="BT71" s="1475"/>
      <c r="BU71" s="553"/>
      <c r="BV71" s="554"/>
    </row>
    <row r="72" spans="1:74" s="237" customFormat="1" ht="43.5" customHeight="1">
      <c r="A72" s="1100"/>
      <c r="B72" s="514"/>
      <c r="C72" s="514"/>
      <c r="D72" s="514"/>
      <c r="E72" s="514"/>
      <c r="F72" s="174"/>
      <c r="G72" s="1055"/>
      <c r="H72" s="177"/>
      <c r="I72" s="175"/>
      <c r="J72" s="177"/>
      <c r="K72" s="176"/>
      <c r="L72" s="176"/>
      <c r="M72" s="176"/>
      <c r="N72" s="177"/>
      <c r="O72" s="176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6"/>
      <c r="AD72" s="177"/>
      <c r="AE72" s="176"/>
      <c r="AF72" s="177"/>
      <c r="AG72" s="176"/>
      <c r="AH72" s="177"/>
      <c r="AI72" s="176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7"/>
      <c r="AX72" s="177"/>
      <c r="AY72" s="177"/>
      <c r="AZ72" s="177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9"/>
      <c r="BS72" s="180"/>
      <c r="BT72" s="1475"/>
      <c r="BU72" s="553"/>
      <c r="BV72" s="554"/>
    </row>
    <row r="73" spans="1:74" s="237" customFormat="1" ht="43.5" customHeight="1">
      <c r="A73" s="1101"/>
      <c r="B73" s="514"/>
      <c r="C73" s="514"/>
      <c r="D73" s="514"/>
      <c r="E73" s="514"/>
      <c r="F73" s="174"/>
      <c r="G73" s="1055"/>
      <c r="H73" s="177"/>
      <c r="I73" s="175"/>
      <c r="J73" s="177"/>
      <c r="K73" s="176"/>
      <c r="L73" s="176"/>
      <c r="M73" s="176"/>
      <c r="N73" s="177"/>
      <c r="O73" s="176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6"/>
      <c r="AD73" s="177"/>
      <c r="AE73" s="176"/>
      <c r="AF73" s="177"/>
      <c r="AG73" s="176"/>
      <c r="AH73" s="177"/>
      <c r="AI73" s="176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7"/>
      <c r="AX73" s="177"/>
      <c r="AY73" s="177"/>
      <c r="AZ73" s="177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9"/>
      <c r="BS73" s="180"/>
      <c r="BT73" s="1475"/>
      <c r="BU73" s="553"/>
      <c r="BV73" s="554"/>
    </row>
    <row r="74" spans="1:74" s="237" customFormat="1" ht="43.5" customHeight="1">
      <c r="A74" s="1100"/>
      <c r="B74" s="514"/>
      <c r="C74" s="514"/>
      <c r="D74" s="514"/>
      <c r="E74" s="514"/>
      <c r="F74" s="174"/>
      <c r="G74" s="1055"/>
      <c r="H74" s="177"/>
      <c r="I74" s="175"/>
      <c r="J74" s="177"/>
      <c r="K74" s="176"/>
      <c r="L74" s="176"/>
      <c r="M74" s="176"/>
      <c r="N74" s="177"/>
      <c r="O74" s="176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6"/>
      <c r="AD74" s="177"/>
      <c r="AE74" s="176"/>
      <c r="AF74" s="177"/>
      <c r="AG74" s="176"/>
      <c r="AH74" s="177"/>
      <c r="AI74" s="176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7"/>
      <c r="AX74" s="177"/>
      <c r="AY74" s="177"/>
      <c r="AZ74" s="177"/>
      <c r="BA74" s="178"/>
      <c r="BB74" s="178"/>
      <c r="BC74" s="178"/>
      <c r="BD74" s="178"/>
      <c r="BE74" s="178"/>
      <c r="BF74" s="178"/>
      <c r="BG74" s="178"/>
      <c r="BH74" s="178"/>
      <c r="BI74" s="178"/>
      <c r="BJ74" s="178"/>
      <c r="BK74" s="178"/>
      <c r="BL74" s="178"/>
      <c r="BM74" s="178"/>
      <c r="BN74" s="178"/>
      <c r="BO74" s="178"/>
      <c r="BP74" s="178"/>
      <c r="BQ74" s="178"/>
      <c r="BR74" s="179"/>
      <c r="BS74" s="180"/>
      <c r="BT74" s="1475"/>
      <c r="BU74" s="553"/>
      <c r="BV74" s="554"/>
    </row>
    <row r="75" spans="1:74" s="237" customFormat="1" ht="43.5" customHeight="1">
      <c r="A75" s="1101"/>
      <c r="B75" s="514"/>
      <c r="C75" s="514"/>
      <c r="D75" s="514"/>
      <c r="E75" s="514"/>
      <c r="F75" s="174"/>
      <c r="G75" s="1055"/>
      <c r="H75" s="177"/>
      <c r="I75" s="175"/>
      <c r="J75" s="177"/>
      <c r="K75" s="176"/>
      <c r="L75" s="176"/>
      <c r="M75" s="176"/>
      <c r="N75" s="177"/>
      <c r="O75" s="176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6"/>
      <c r="AD75" s="177"/>
      <c r="AE75" s="176"/>
      <c r="AF75" s="177"/>
      <c r="AG75" s="176"/>
      <c r="AH75" s="177"/>
      <c r="AI75" s="176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7"/>
      <c r="AX75" s="177"/>
      <c r="AY75" s="177"/>
      <c r="AZ75" s="177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9"/>
      <c r="BS75" s="180"/>
      <c r="BT75" s="1475"/>
      <c r="BU75" s="553"/>
      <c r="BV75" s="554"/>
    </row>
    <row r="76" spans="1:74" s="237" customFormat="1" ht="43.5" customHeight="1">
      <c r="A76" s="1100"/>
      <c r="B76" s="514"/>
      <c r="C76" s="514"/>
      <c r="D76" s="514"/>
      <c r="E76" s="514"/>
      <c r="F76" s="174"/>
      <c r="G76" s="1055"/>
      <c r="H76" s="177"/>
      <c r="I76" s="175"/>
      <c r="J76" s="177"/>
      <c r="K76" s="176"/>
      <c r="L76" s="176"/>
      <c r="M76" s="176"/>
      <c r="N76" s="177"/>
      <c r="O76" s="176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6"/>
      <c r="AD76" s="177"/>
      <c r="AE76" s="176"/>
      <c r="AF76" s="177"/>
      <c r="AG76" s="176"/>
      <c r="AH76" s="177"/>
      <c r="AI76" s="176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7"/>
      <c r="AX76" s="177"/>
      <c r="AY76" s="177"/>
      <c r="AZ76" s="177"/>
      <c r="BA76" s="178"/>
      <c r="BB76" s="178"/>
      <c r="BC76" s="178"/>
      <c r="BD76" s="178"/>
      <c r="BE76" s="178"/>
      <c r="BF76" s="178"/>
      <c r="BG76" s="178"/>
      <c r="BH76" s="178"/>
      <c r="BI76" s="178"/>
      <c r="BJ76" s="178"/>
      <c r="BK76" s="178"/>
      <c r="BL76" s="178"/>
      <c r="BM76" s="178"/>
      <c r="BN76" s="178"/>
      <c r="BO76" s="178"/>
      <c r="BP76" s="178"/>
      <c r="BQ76" s="178"/>
      <c r="BR76" s="179"/>
      <c r="BS76" s="180"/>
      <c r="BT76" s="1475"/>
      <c r="BU76" s="553"/>
      <c r="BV76" s="554"/>
    </row>
    <row r="77" spans="1:74" s="237" customFormat="1" ht="43.5" customHeight="1">
      <c r="A77" s="1101"/>
      <c r="B77" s="514"/>
      <c r="C77" s="514"/>
      <c r="D77" s="514"/>
      <c r="E77" s="514"/>
      <c r="F77" s="174"/>
      <c r="G77" s="1055"/>
      <c r="H77" s="177"/>
      <c r="I77" s="175"/>
      <c r="J77" s="177"/>
      <c r="K77" s="176"/>
      <c r="L77" s="176"/>
      <c r="M77" s="176"/>
      <c r="N77" s="177"/>
      <c r="O77" s="176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6"/>
      <c r="AD77" s="177"/>
      <c r="AE77" s="176"/>
      <c r="AF77" s="177"/>
      <c r="AG77" s="176"/>
      <c r="AH77" s="177"/>
      <c r="AI77" s="176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7"/>
      <c r="AX77" s="177"/>
      <c r="AY77" s="177"/>
      <c r="AZ77" s="177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9"/>
      <c r="BS77" s="180"/>
      <c r="BT77" s="1475"/>
      <c r="BU77" s="553"/>
      <c r="BV77" s="554"/>
    </row>
    <row r="78" spans="1:74" s="237" customFormat="1" ht="43.5" customHeight="1">
      <c r="A78" s="1100"/>
      <c r="B78" s="514"/>
      <c r="C78" s="514"/>
      <c r="D78" s="514"/>
      <c r="E78" s="514"/>
      <c r="F78" s="174"/>
      <c r="G78" s="1055"/>
      <c r="H78" s="177"/>
      <c r="I78" s="175"/>
      <c r="J78" s="177"/>
      <c r="K78" s="176"/>
      <c r="L78" s="176"/>
      <c r="M78" s="176"/>
      <c r="N78" s="177"/>
      <c r="O78" s="176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6"/>
      <c r="AD78" s="177"/>
      <c r="AE78" s="176"/>
      <c r="AF78" s="177"/>
      <c r="AG78" s="176"/>
      <c r="AH78" s="177"/>
      <c r="AI78" s="176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7"/>
      <c r="AX78" s="177"/>
      <c r="AY78" s="177"/>
      <c r="AZ78" s="177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9"/>
      <c r="BS78" s="180"/>
      <c r="BT78" s="1475"/>
      <c r="BU78" s="553"/>
      <c r="BV78" s="554"/>
    </row>
    <row r="79" spans="1:74" s="237" customFormat="1" ht="43.5" customHeight="1">
      <c r="A79" s="1101"/>
      <c r="B79" s="514"/>
      <c r="C79" s="514"/>
      <c r="D79" s="514"/>
      <c r="E79" s="514"/>
      <c r="F79" s="174"/>
      <c r="G79" s="1055"/>
      <c r="H79" s="177"/>
      <c r="I79" s="175"/>
      <c r="J79" s="177"/>
      <c r="K79" s="176"/>
      <c r="L79" s="176"/>
      <c r="M79" s="176"/>
      <c r="N79" s="177"/>
      <c r="O79" s="176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6"/>
      <c r="AD79" s="177"/>
      <c r="AE79" s="176"/>
      <c r="AF79" s="177"/>
      <c r="AG79" s="176"/>
      <c r="AH79" s="177"/>
      <c r="AI79" s="176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7"/>
      <c r="AX79" s="177"/>
      <c r="AY79" s="177"/>
      <c r="AZ79" s="177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9"/>
      <c r="BS79" s="180"/>
      <c r="BT79" s="1475"/>
      <c r="BU79" s="553"/>
      <c r="BV79" s="554"/>
    </row>
    <row r="80" spans="1:74" s="237" customFormat="1" ht="43.5" customHeight="1">
      <c r="A80" s="1100"/>
      <c r="B80" s="514"/>
      <c r="C80" s="514"/>
      <c r="D80" s="514"/>
      <c r="E80" s="514"/>
      <c r="F80" s="174"/>
      <c r="G80" s="1055"/>
      <c r="H80" s="177"/>
      <c r="I80" s="175"/>
      <c r="J80" s="177"/>
      <c r="K80" s="176"/>
      <c r="L80" s="176"/>
      <c r="M80" s="176"/>
      <c r="N80" s="177"/>
      <c r="O80" s="176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6"/>
      <c r="AD80" s="177"/>
      <c r="AE80" s="176"/>
      <c r="AF80" s="177"/>
      <c r="AG80" s="176"/>
      <c r="AH80" s="177"/>
      <c r="AI80" s="176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7"/>
      <c r="AX80" s="177"/>
      <c r="AY80" s="177"/>
      <c r="AZ80" s="177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9"/>
      <c r="BS80" s="180"/>
      <c r="BT80" s="1475"/>
      <c r="BU80" s="553"/>
      <c r="BV80" s="554"/>
    </row>
    <row r="81" spans="1:74" s="237" customFormat="1" ht="43.5" customHeight="1">
      <c r="A81" s="1101"/>
      <c r="B81" s="514"/>
      <c r="C81" s="514"/>
      <c r="D81" s="514"/>
      <c r="E81" s="514"/>
      <c r="F81" s="174"/>
      <c r="G81" s="1055"/>
      <c r="H81" s="177"/>
      <c r="I81" s="175"/>
      <c r="J81" s="177"/>
      <c r="K81" s="176"/>
      <c r="L81" s="176"/>
      <c r="M81" s="176"/>
      <c r="N81" s="177"/>
      <c r="O81" s="176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6"/>
      <c r="AD81" s="177"/>
      <c r="AE81" s="176"/>
      <c r="AF81" s="177"/>
      <c r="AG81" s="176"/>
      <c r="AH81" s="177"/>
      <c r="AI81" s="176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7"/>
      <c r="AX81" s="177"/>
      <c r="AY81" s="177"/>
      <c r="AZ81" s="177"/>
      <c r="BA81" s="178"/>
      <c r="BB81" s="178"/>
      <c r="BC81" s="178"/>
      <c r="BD81" s="178"/>
      <c r="BE81" s="178"/>
      <c r="BF81" s="178"/>
      <c r="BG81" s="178"/>
      <c r="BH81" s="178"/>
      <c r="BI81" s="178"/>
      <c r="BJ81" s="178"/>
      <c r="BK81" s="178"/>
      <c r="BL81" s="178"/>
      <c r="BM81" s="178"/>
      <c r="BN81" s="178"/>
      <c r="BO81" s="178"/>
      <c r="BP81" s="178"/>
      <c r="BQ81" s="178"/>
      <c r="BR81" s="179"/>
      <c r="BS81" s="180"/>
      <c r="BT81" s="1475"/>
      <c r="BU81" s="553"/>
      <c r="BV81" s="554"/>
    </row>
    <row r="82" spans="1:74" s="237" customFormat="1" ht="43.5" customHeight="1">
      <c r="A82" s="1100"/>
      <c r="B82" s="514"/>
      <c r="C82" s="514"/>
      <c r="D82" s="514"/>
      <c r="E82" s="514"/>
      <c r="F82" s="174"/>
      <c r="G82" s="1055"/>
      <c r="H82" s="177"/>
      <c r="I82" s="175"/>
      <c r="J82" s="177"/>
      <c r="K82" s="176"/>
      <c r="L82" s="176"/>
      <c r="M82" s="176"/>
      <c r="N82" s="177"/>
      <c r="O82" s="176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6"/>
      <c r="AD82" s="177"/>
      <c r="AE82" s="176"/>
      <c r="AF82" s="177"/>
      <c r="AG82" s="176"/>
      <c r="AH82" s="177"/>
      <c r="AI82" s="176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7"/>
      <c r="AX82" s="177"/>
      <c r="AY82" s="177"/>
      <c r="AZ82" s="177"/>
      <c r="BA82" s="178"/>
      <c r="BB82" s="178"/>
      <c r="BC82" s="178"/>
      <c r="BD82" s="178"/>
      <c r="BE82" s="178"/>
      <c r="BF82" s="178"/>
      <c r="BG82" s="178"/>
      <c r="BH82" s="178"/>
      <c r="BI82" s="178"/>
      <c r="BJ82" s="178"/>
      <c r="BK82" s="178"/>
      <c r="BL82" s="178"/>
      <c r="BM82" s="178"/>
      <c r="BN82" s="178"/>
      <c r="BO82" s="178"/>
      <c r="BP82" s="178"/>
      <c r="BQ82" s="178"/>
      <c r="BR82" s="179"/>
      <c r="BS82" s="180"/>
      <c r="BT82" s="1475"/>
      <c r="BU82" s="553"/>
      <c r="BV82" s="554"/>
    </row>
    <row r="83" spans="1:74" s="237" customFormat="1" ht="43.5" customHeight="1">
      <c r="A83" s="1101"/>
      <c r="B83" s="514"/>
      <c r="C83" s="514"/>
      <c r="D83" s="514"/>
      <c r="E83" s="514"/>
      <c r="F83" s="174"/>
      <c r="G83" s="1055"/>
      <c r="H83" s="177"/>
      <c r="I83" s="175"/>
      <c r="J83" s="177"/>
      <c r="K83" s="176"/>
      <c r="L83" s="176"/>
      <c r="M83" s="176"/>
      <c r="N83" s="177"/>
      <c r="O83" s="176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6"/>
      <c r="AD83" s="177"/>
      <c r="AE83" s="176"/>
      <c r="AF83" s="177"/>
      <c r="AG83" s="176"/>
      <c r="AH83" s="177"/>
      <c r="AI83" s="176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7"/>
      <c r="AX83" s="177"/>
      <c r="AY83" s="177"/>
      <c r="AZ83" s="177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9"/>
      <c r="BS83" s="180"/>
      <c r="BT83" s="1475"/>
      <c r="BU83" s="553"/>
      <c r="BV83" s="554"/>
    </row>
    <row r="84" spans="1:74" s="237" customFormat="1" ht="43.5" customHeight="1">
      <c r="A84" s="1100"/>
      <c r="B84" s="514"/>
      <c r="C84" s="514"/>
      <c r="D84" s="514"/>
      <c r="E84" s="514"/>
      <c r="F84" s="174"/>
      <c r="G84" s="1055"/>
      <c r="H84" s="177"/>
      <c r="I84" s="175"/>
      <c r="J84" s="177"/>
      <c r="K84" s="176"/>
      <c r="L84" s="176"/>
      <c r="M84" s="176"/>
      <c r="N84" s="177"/>
      <c r="O84" s="176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6"/>
      <c r="AD84" s="177"/>
      <c r="AE84" s="176"/>
      <c r="AF84" s="177"/>
      <c r="AG84" s="176"/>
      <c r="AH84" s="177"/>
      <c r="AI84" s="176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7"/>
      <c r="AX84" s="177"/>
      <c r="AY84" s="177"/>
      <c r="AZ84" s="177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9"/>
      <c r="BS84" s="180"/>
      <c r="BT84" s="1475"/>
      <c r="BU84" s="553"/>
      <c r="BV84" s="554"/>
    </row>
    <row r="85" spans="1:74" s="237" customFormat="1" ht="43.5" customHeight="1">
      <c r="A85" s="1101"/>
      <c r="B85" s="514"/>
      <c r="C85" s="514"/>
      <c r="D85" s="514"/>
      <c r="E85" s="514"/>
      <c r="F85" s="174"/>
      <c r="G85" s="1055"/>
      <c r="H85" s="177"/>
      <c r="I85" s="175"/>
      <c r="J85" s="177"/>
      <c r="K85" s="176"/>
      <c r="L85" s="176"/>
      <c r="M85" s="176"/>
      <c r="N85" s="177"/>
      <c r="O85" s="176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6"/>
      <c r="AD85" s="177"/>
      <c r="AE85" s="176"/>
      <c r="AF85" s="177"/>
      <c r="AG85" s="176"/>
      <c r="AH85" s="177"/>
      <c r="AI85" s="176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7"/>
      <c r="AX85" s="177"/>
      <c r="AY85" s="177"/>
      <c r="AZ85" s="177"/>
      <c r="BA85" s="178"/>
      <c r="BB85" s="178"/>
      <c r="BC85" s="178"/>
      <c r="BD85" s="178"/>
      <c r="BE85" s="178"/>
      <c r="BF85" s="178"/>
      <c r="BG85" s="178"/>
      <c r="BH85" s="178"/>
      <c r="BI85" s="178"/>
      <c r="BJ85" s="178"/>
      <c r="BK85" s="178"/>
      <c r="BL85" s="178"/>
      <c r="BM85" s="178"/>
      <c r="BN85" s="178"/>
      <c r="BO85" s="178"/>
      <c r="BP85" s="178"/>
      <c r="BQ85" s="178"/>
      <c r="BR85" s="179"/>
      <c r="BS85" s="180"/>
      <c r="BT85" s="1475"/>
      <c r="BU85" s="553"/>
      <c r="BV85" s="554"/>
    </row>
    <row r="86" spans="1:74" s="237" customFormat="1" ht="43.5" customHeight="1">
      <c r="A86" s="1100"/>
      <c r="B86" s="514"/>
      <c r="C86" s="514"/>
      <c r="D86" s="514"/>
      <c r="E86" s="514"/>
      <c r="F86" s="174"/>
      <c r="G86" s="1055"/>
      <c r="H86" s="177"/>
      <c r="I86" s="175"/>
      <c r="J86" s="177"/>
      <c r="K86" s="176"/>
      <c r="L86" s="176"/>
      <c r="M86" s="176"/>
      <c r="N86" s="177"/>
      <c r="O86" s="176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6"/>
      <c r="AD86" s="177"/>
      <c r="AE86" s="176"/>
      <c r="AF86" s="177"/>
      <c r="AG86" s="176"/>
      <c r="AH86" s="177"/>
      <c r="AI86" s="176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7"/>
      <c r="AX86" s="177"/>
      <c r="AY86" s="177"/>
      <c r="AZ86" s="177"/>
      <c r="BA86" s="178"/>
      <c r="BB86" s="178"/>
      <c r="BC86" s="178"/>
      <c r="BD86" s="178"/>
      <c r="BE86" s="178"/>
      <c r="BF86" s="178"/>
      <c r="BG86" s="178"/>
      <c r="BH86" s="178"/>
      <c r="BI86" s="178"/>
      <c r="BJ86" s="178"/>
      <c r="BK86" s="178"/>
      <c r="BL86" s="178"/>
      <c r="BM86" s="178"/>
      <c r="BN86" s="178"/>
      <c r="BO86" s="178"/>
      <c r="BP86" s="178"/>
      <c r="BQ86" s="178"/>
      <c r="BR86" s="179"/>
      <c r="BS86" s="180"/>
      <c r="BT86" s="1475"/>
      <c r="BU86" s="553"/>
      <c r="BV86" s="554"/>
    </row>
    <row r="87" spans="1:74" s="237" customFormat="1" ht="43.5" customHeight="1">
      <c r="A87" s="1101"/>
      <c r="B87" s="514"/>
      <c r="C87" s="514"/>
      <c r="D87" s="514"/>
      <c r="E87" s="514"/>
      <c r="F87" s="174"/>
      <c r="G87" s="1055"/>
      <c r="H87" s="177"/>
      <c r="I87" s="175"/>
      <c r="J87" s="177"/>
      <c r="K87" s="176"/>
      <c r="L87" s="176"/>
      <c r="M87" s="176"/>
      <c r="N87" s="177"/>
      <c r="O87" s="176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6"/>
      <c r="AD87" s="177"/>
      <c r="AE87" s="176"/>
      <c r="AF87" s="177"/>
      <c r="AG87" s="176"/>
      <c r="AH87" s="177"/>
      <c r="AI87" s="176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7"/>
      <c r="AX87" s="177"/>
      <c r="AY87" s="177"/>
      <c r="AZ87" s="177"/>
      <c r="BA87" s="178"/>
      <c r="BB87" s="178"/>
      <c r="BC87" s="178"/>
      <c r="BD87" s="178"/>
      <c r="BE87" s="178"/>
      <c r="BF87" s="178"/>
      <c r="BG87" s="178"/>
      <c r="BH87" s="178"/>
      <c r="BI87" s="178"/>
      <c r="BJ87" s="178"/>
      <c r="BK87" s="178"/>
      <c r="BL87" s="178"/>
      <c r="BM87" s="178"/>
      <c r="BN87" s="178"/>
      <c r="BO87" s="178"/>
      <c r="BP87" s="178"/>
      <c r="BQ87" s="178"/>
      <c r="BR87" s="179"/>
      <c r="BS87" s="180"/>
      <c r="BT87" s="1475"/>
      <c r="BU87" s="553"/>
      <c r="BV87" s="554"/>
    </row>
    <row r="88" spans="1:74" s="237" customFormat="1" ht="43.5" customHeight="1">
      <c r="A88" s="1100"/>
      <c r="B88" s="514"/>
      <c r="C88" s="514"/>
      <c r="D88" s="514"/>
      <c r="E88" s="514"/>
      <c r="F88" s="174"/>
      <c r="G88" s="1055"/>
      <c r="H88" s="177"/>
      <c r="I88" s="175"/>
      <c r="J88" s="177"/>
      <c r="K88" s="176"/>
      <c r="L88" s="176"/>
      <c r="M88" s="176"/>
      <c r="N88" s="177"/>
      <c r="O88" s="176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6"/>
      <c r="AD88" s="177"/>
      <c r="AE88" s="176"/>
      <c r="AF88" s="177"/>
      <c r="AG88" s="176"/>
      <c r="AH88" s="177"/>
      <c r="AI88" s="176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7"/>
      <c r="AX88" s="177"/>
      <c r="AY88" s="177"/>
      <c r="AZ88" s="177"/>
      <c r="BA88" s="178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9"/>
      <c r="BS88" s="180"/>
      <c r="BT88" s="1475"/>
      <c r="BU88" s="553"/>
      <c r="BV88" s="554"/>
    </row>
    <row r="89" spans="1:74" s="237" customFormat="1" ht="43.5" customHeight="1">
      <c r="A89" s="1101"/>
      <c r="B89" s="514"/>
      <c r="C89" s="514"/>
      <c r="D89" s="514"/>
      <c r="E89" s="514"/>
      <c r="F89" s="174"/>
      <c r="G89" s="1055"/>
      <c r="H89" s="177"/>
      <c r="I89" s="175"/>
      <c r="J89" s="177"/>
      <c r="K89" s="176"/>
      <c r="L89" s="176"/>
      <c r="M89" s="176"/>
      <c r="N89" s="177"/>
      <c r="O89" s="176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6"/>
      <c r="AD89" s="177"/>
      <c r="AE89" s="176"/>
      <c r="AF89" s="177"/>
      <c r="AG89" s="176"/>
      <c r="AH89" s="177"/>
      <c r="AI89" s="176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7"/>
      <c r="AX89" s="177"/>
      <c r="AY89" s="177"/>
      <c r="AZ89" s="177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78"/>
      <c r="BP89" s="178"/>
      <c r="BQ89" s="178"/>
      <c r="BR89" s="179"/>
      <c r="BS89" s="180"/>
      <c r="BT89" s="1475"/>
      <c r="BU89" s="553"/>
      <c r="BV89" s="554"/>
    </row>
    <row r="90" spans="1:74" s="237" customFormat="1" ht="43.5" customHeight="1">
      <c r="A90" s="1101"/>
      <c r="B90" s="514"/>
      <c r="C90" s="514"/>
      <c r="D90" s="514"/>
      <c r="E90" s="514"/>
      <c r="F90" s="174"/>
      <c r="G90" s="1055"/>
      <c r="H90" s="177"/>
      <c r="I90" s="175"/>
      <c r="J90" s="177"/>
      <c r="K90" s="176"/>
      <c r="L90" s="176"/>
      <c r="M90" s="176"/>
      <c r="N90" s="177"/>
      <c r="O90" s="176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6"/>
      <c r="AD90" s="177"/>
      <c r="AE90" s="176"/>
      <c r="AF90" s="177"/>
      <c r="AG90" s="176"/>
      <c r="AH90" s="177"/>
      <c r="AI90" s="176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7"/>
      <c r="AX90" s="177"/>
      <c r="AY90" s="177"/>
      <c r="AZ90" s="177"/>
      <c r="BA90" s="178"/>
      <c r="BB90" s="178"/>
      <c r="BC90" s="178"/>
      <c r="BD90" s="178"/>
      <c r="BE90" s="178"/>
      <c r="BF90" s="178"/>
      <c r="BG90" s="178"/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79"/>
      <c r="BS90" s="180"/>
      <c r="BT90" s="1475"/>
      <c r="BU90" s="553"/>
      <c r="BV90" s="554"/>
    </row>
    <row r="91" spans="1:74" s="237" customFormat="1" ht="43.5" customHeight="1">
      <c r="A91" s="1101"/>
      <c r="B91" s="514"/>
      <c r="C91" s="514"/>
      <c r="D91" s="514"/>
      <c r="E91" s="514"/>
      <c r="F91" s="174"/>
      <c r="G91" s="1055"/>
      <c r="H91" s="177"/>
      <c r="I91" s="175"/>
      <c r="J91" s="177"/>
      <c r="K91" s="176"/>
      <c r="L91" s="176"/>
      <c r="M91" s="176"/>
      <c r="N91" s="177"/>
      <c r="O91" s="176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6"/>
      <c r="AD91" s="177"/>
      <c r="AE91" s="176"/>
      <c r="AF91" s="177"/>
      <c r="AG91" s="176"/>
      <c r="AH91" s="177"/>
      <c r="AI91" s="176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7"/>
      <c r="AX91" s="177"/>
      <c r="AY91" s="177"/>
      <c r="AZ91" s="177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9"/>
      <c r="BS91" s="180"/>
      <c r="BT91" s="1475"/>
      <c r="BU91" s="553"/>
      <c r="BV91" s="554"/>
    </row>
    <row r="92" spans="1:74" s="237" customFormat="1" ht="43.5" customHeight="1">
      <c r="A92" s="1101"/>
      <c r="B92" s="514"/>
      <c r="C92" s="514"/>
      <c r="D92" s="514"/>
      <c r="E92" s="514"/>
      <c r="F92" s="174"/>
      <c r="G92" s="1055"/>
      <c r="H92" s="177"/>
      <c r="I92" s="175"/>
      <c r="J92" s="177"/>
      <c r="K92" s="176"/>
      <c r="L92" s="176"/>
      <c r="M92" s="176"/>
      <c r="N92" s="177"/>
      <c r="O92" s="176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6"/>
      <c r="AD92" s="177"/>
      <c r="AE92" s="176"/>
      <c r="AF92" s="177"/>
      <c r="AG92" s="176"/>
      <c r="AH92" s="177"/>
      <c r="AI92" s="176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7"/>
      <c r="AX92" s="177"/>
      <c r="AY92" s="177"/>
      <c r="AZ92" s="177"/>
      <c r="BA92" s="178"/>
      <c r="BB92" s="178"/>
      <c r="BC92" s="178"/>
      <c r="BD92" s="178"/>
      <c r="BE92" s="178"/>
      <c r="BF92" s="178"/>
      <c r="BG92" s="178"/>
      <c r="BH92" s="178"/>
      <c r="BI92" s="178"/>
      <c r="BJ92" s="178"/>
      <c r="BK92" s="178"/>
      <c r="BL92" s="178"/>
      <c r="BM92" s="178"/>
      <c r="BN92" s="178"/>
      <c r="BO92" s="178"/>
      <c r="BP92" s="178"/>
      <c r="BQ92" s="178"/>
      <c r="BR92" s="179"/>
      <c r="BS92" s="180"/>
      <c r="BT92" s="1475"/>
      <c r="BU92" s="553"/>
      <c r="BV92" s="554"/>
    </row>
    <row r="93" spans="1:74" s="237" customFormat="1" ht="43.5" customHeight="1">
      <c r="A93" s="1101"/>
      <c r="B93" s="514"/>
      <c r="C93" s="514"/>
      <c r="D93" s="514"/>
      <c r="E93" s="514"/>
      <c r="F93" s="174"/>
      <c r="G93" s="1055"/>
      <c r="H93" s="177"/>
      <c r="I93" s="175"/>
      <c r="J93" s="177"/>
      <c r="K93" s="176"/>
      <c r="L93" s="176"/>
      <c r="M93" s="176"/>
      <c r="N93" s="177"/>
      <c r="O93" s="176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6"/>
      <c r="AD93" s="177"/>
      <c r="AE93" s="176"/>
      <c r="AF93" s="177"/>
      <c r="AG93" s="176"/>
      <c r="AH93" s="177"/>
      <c r="AI93" s="176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7"/>
      <c r="AX93" s="177"/>
      <c r="AY93" s="177"/>
      <c r="AZ93" s="177"/>
      <c r="BA93" s="178"/>
      <c r="BB93" s="178"/>
      <c r="BC93" s="178"/>
      <c r="BD93" s="178"/>
      <c r="BE93" s="178"/>
      <c r="BF93" s="178"/>
      <c r="BG93" s="178"/>
      <c r="BH93" s="178"/>
      <c r="BI93" s="178"/>
      <c r="BJ93" s="178"/>
      <c r="BK93" s="178"/>
      <c r="BL93" s="178"/>
      <c r="BM93" s="178"/>
      <c r="BN93" s="178"/>
      <c r="BO93" s="178"/>
      <c r="BP93" s="178"/>
      <c r="BQ93" s="178"/>
      <c r="BR93" s="179"/>
      <c r="BS93" s="180"/>
      <c r="BT93" s="1475"/>
      <c r="BU93" s="553"/>
      <c r="BV93" s="554"/>
    </row>
    <row r="94" spans="1:74" s="237" customFormat="1" ht="43.5" customHeight="1">
      <c r="A94" s="1101"/>
      <c r="B94" s="514"/>
      <c r="C94" s="514"/>
      <c r="D94" s="514"/>
      <c r="E94" s="514"/>
      <c r="F94" s="174"/>
      <c r="G94" s="1055"/>
      <c r="H94" s="177"/>
      <c r="I94" s="175"/>
      <c r="J94" s="177"/>
      <c r="K94" s="176"/>
      <c r="L94" s="176"/>
      <c r="M94" s="176"/>
      <c r="N94" s="177"/>
      <c r="O94" s="176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6"/>
      <c r="AD94" s="177"/>
      <c r="AE94" s="176"/>
      <c r="AF94" s="177"/>
      <c r="AG94" s="176"/>
      <c r="AH94" s="177"/>
      <c r="AI94" s="176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7"/>
      <c r="AX94" s="177"/>
      <c r="AY94" s="177"/>
      <c r="AZ94" s="177"/>
      <c r="BA94" s="178"/>
      <c r="BB94" s="178"/>
      <c r="BC94" s="178"/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8"/>
      <c r="BO94" s="178"/>
      <c r="BP94" s="178"/>
      <c r="BQ94" s="178"/>
      <c r="BR94" s="179"/>
      <c r="BS94" s="180"/>
      <c r="BT94" s="1475"/>
      <c r="BU94" s="553"/>
      <c r="BV94" s="554"/>
    </row>
    <row r="95" spans="1:74" s="237" customFormat="1" ht="43.5" customHeight="1">
      <c r="A95" s="1101"/>
      <c r="B95" s="514"/>
      <c r="C95" s="514"/>
      <c r="D95" s="514"/>
      <c r="E95" s="514"/>
      <c r="F95" s="174"/>
      <c r="G95" s="1055"/>
      <c r="H95" s="177"/>
      <c r="I95" s="175"/>
      <c r="J95" s="177"/>
      <c r="K95" s="176"/>
      <c r="L95" s="176"/>
      <c r="M95" s="176"/>
      <c r="N95" s="177"/>
      <c r="O95" s="176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6"/>
      <c r="AD95" s="177"/>
      <c r="AE95" s="176"/>
      <c r="AF95" s="177"/>
      <c r="AG95" s="176"/>
      <c r="AH95" s="177"/>
      <c r="AI95" s="176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7"/>
      <c r="AX95" s="177"/>
      <c r="AY95" s="177"/>
      <c r="AZ95" s="177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8"/>
      <c r="BO95" s="178"/>
      <c r="BP95" s="178"/>
      <c r="BQ95" s="178"/>
      <c r="BR95" s="179"/>
      <c r="BS95" s="180"/>
      <c r="BT95" s="1475"/>
      <c r="BU95" s="553"/>
      <c r="BV95" s="554"/>
    </row>
    <row r="96" spans="1:74" s="237" customFormat="1" ht="43.5" customHeight="1">
      <c r="A96" s="1101"/>
      <c r="B96" s="514"/>
      <c r="C96" s="514"/>
      <c r="D96" s="514"/>
      <c r="E96" s="514"/>
      <c r="F96" s="174"/>
      <c r="G96" s="1055"/>
      <c r="H96" s="177"/>
      <c r="I96" s="175"/>
      <c r="J96" s="177"/>
      <c r="K96" s="176"/>
      <c r="L96" s="176"/>
      <c r="M96" s="176"/>
      <c r="N96" s="177"/>
      <c r="O96" s="176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6"/>
      <c r="AD96" s="177"/>
      <c r="AE96" s="176"/>
      <c r="AF96" s="177"/>
      <c r="AG96" s="176"/>
      <c r="AH96" s="177"/>
      <c r="AI96" s="176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7"/>
      <c r="AX96" s="177"/>
      <c r="AY96" s="177"/>
      <c r="AZ96" s="177"/>
      <c r="BA96" s="178"/>
      <c r="BB96" s="178"/>
      <c r="BC96" s="178"/>
      <c r="BD96" s="178"/>
      <c r="BE96" s="178"/>
      <c r="BF96" s="178"/>
      <c r="BG96" s="178"/>
      <c r="BH96" s="178"/>
      <c r="BI96" s="178"/>
      <c r="BJ96" s="178"/>
      <c r="BK96" s="178"/>
      <c r="BL96" s="178"/>
      <c r="BM96" s="178"/>
      <c r="BN96" s="178"/>
      <c r="BO96" s="178"/>
      <c r="BP96" s="178"/>
      <c r="BQ96" s="178"/>
      <c r="BR96" s="179"/>
      <c r="BS96" s="180"/>
      <c r="BT96" s="1475"/>
      <c r="BU96" s="553"/>
      <c r="BV96" s="554"/>
    </row>
    <row r="97" spans="1:74" s="237" customFormat="1" ht="43.5" customHeight="1">
      <c r="A97" s="1101"/>
      <c r="B97" s="514"/>
      <c r="C97" s="514"/>
      <c r="D97" s="514"/>
      <c r="E97" s="514"/>
      <c r="F97" s="174"/>
      <c r="G97" s="1055"/>
      <c r="H97" s="177"/>
      <c r="I97" s="175"/>
      <c r="J97" s="177"/>
      <c r="K97" s="176"/>
      <c r="L97" s="176"/>
      <c r="M97" s="176"/>
      <c r="N97" s="177"/>
      <c r="O97" s="176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6"/>
      <c r="AD97" s="177"/>
      <c r="AE97" s="176"/>
      <c r="AF97" s="177"/>
      <c r="AG97" s="176"/>
      <c r="AH97" s="177"/>
      <c r="AI97" s="176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7"/>
      <c r="AX97" s="177"/>
      <c r="AY97" s="177"/>
      <c r="AZ97" s="177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8"/>
      <c r="BO97" s="178"/>
      <c r="BP97" s="178"/>
      <c r="BQ97" s="178"/>
      <c r="BR97" s="179"/>
      <c r="BS97" s="180"/>
      <c r="BT97" s="1475"/>
      <c r="BU97" s="553"/>
      <c r="BV97" s="554"/>
    </row>
    <row r="98" spans="1:74" s="237" customFormat="1" ht="43.5" customHeight="1">
      <c r="A98" s="1101"/>
      <c r="B98" s="514"/>
      <c r="C98" s="514"/>
      <c r="D98" s="514"/>
      <c r="E98" s="514"/>
      <c r="F98" s="174"/>
      <c r="G98" s="1055"/>
      <c r="H98" s="177"/>
      <c r="I98" s="175"/>
      <c r="J98" s="177"/>
      <c r="K98" s="176"/>
      <c r="L98" s="176"/>
      <c r="M98" s="176"/>
      <c r="N98" s="177"/>
      <c r="O98" s="176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6"/>
      <c r="AD98" s="177"/>
      <c r="AE98" s="176"/>
      <c r="AF98" s="177"/>
      <c r="AG98" s="176"/>
      <c r="AH98" s="177"/>
      <c r="AI98" s="176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7"/>
      <c r="AX98" s="177"/>
      <c r="AY98" s="177"/>
      <c r="AZ98" s="177"/>
      <c r="BA98" s="178"/>
      <c r="BB98" s="178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8"/>
      <c r="BO98" s="178"/>
      <c r="BP98" s="178"/>
      <c r="BQ98" s="178"/>
      <c r="BR98" s="179"/>
      <c r="BS98" s="180"/>
      <c r="BT98" s="1475"/>
      <c r="BU98" s="553"/>
      <c r="BV98" s="554"/>
    </row>
    <row r="99" spans="1:74" s="237" customFormat="1" ht="43.5" customHeight="1">
      <c r="A99" s="1101"/>
      <c r="B99" s="514"/>
      <c r="C99" s="514"/>
      <c r="D99" s="514"/>
      <c r="E99" s="514"/>
      <c r="F99" s="174"/>
      <c r="G99" s="1055"/>
      <c r="H99" s="177"/>
      <c r="I99" s="175"/>
      <c r="J99" s="177"/>
      <c r="K99" s="176"/>
      <c r="L99" s="176"/>
      <c r="M99" s="176"/>
      <c r="N99" s="177"/>
      <c r="O99" s="176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6"/>
      <c r="AD99" s="177"/>
      <c r="AE99" s="176"/>
      <c r="AF99" s="177"/>
      <c r="AG99" s="176"/>
      <c r="AH99" s="177"/>
      <c r="AI99" s="176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7"/>
      <c r="AX99" s="177"/>
      <c r="AY99" s="177"/>
      <c r="AZ99" s="177"/>
      <c r="BA99" s="178"/>
      <c r="BB99" s="178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8"/>
      <c r="BO99" s="178"/>
      <c r="BP99" s="178"/>
      <c r="BQ99" s="178"/>
      <c r="BR99" s="179"/>
      <c r="BS99" s="180"/>
      <c r="BT99" s="1475"/>
      <c r="BU99" s="553"/>
      <c r="BV99" s="554"/>
    </row>
    <row r="100" spans="1:74" s="237" customFormat="1" ht="43.5" customHeight="1">
      <c r="A100" s="1101"/>
      <c r="B100" s="514"/>
      <c r="C100" s="514"/>
      <c r="D100" s="514"/>
      <c r="E100" s="514"/>
      <c r="F100" s="174"/>
      <c r="G100" s="1055"/>
      <c r="H100" s="177"/>
      <c r="I100" s="175"/>
      <c r="J100" s="177"/>
      <c r="K100" s="176"/>
      <c r="L100" s="176"/>
      <c r="M100" s="176"/>
      <c r="N100" s="177"/>
      <c r="O100" s="176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6"/>
      <c r="AD100" s="177"/>
      <c r="AE100" s="176"/>
      <c r="AF100" s="177"/>
      <c r="AG100" s="176"/>
      <c r="AH100" s="177"/>
      <c r="AI100" s="176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7"/>
      <c r="AX100" s="177"/>
      <c r="AY100" s="177"/>
      <c r="AZ100" s="177"/>
      <c r="BA100" s="178"/>
      <c r="BB100" s="178"/>
      <c r="BC100" s="178"/>
      <c r="BD100" s="178"/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8"/>
      <c r="BO100" s="178"/>
      <c r="BP100" s="178"/>
      <c r="BQ100" s="178"/>
      <c r="BR100" s="179"/>
      <c r="BS100" s="180"/>
      <c r="BT100" s="1475"/>
      <c r="BU100" s="553"/>
      <c r="BV100" s="554"/>
    </row>
    <row r="101" spans="1:74" s="237" customFormat="1" ht="43.5" customHeight="1">
      <c r="A101" s="1101"/>
      <c r="B101" s="514"/>
      <c r="C101" s="514"/>
      <c r="D101" s="514"/>
      <c r="E101" s="514"/>
      <c r="F101" s="174"/>
      <c r="G101" s="1055"/>
      <c r="H101" s="177"/>
      <c r="I101" s="175"/>
      <c r="J101" s="177"/>
      <c r="K101" s="176"/>
      <c r="L101" s="176"/>
      <c r="M101" s="176"/>
      <c r="N101" s="177"/>
      <c r="O101" s="176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6"/>
      <c r="AD101" s="177"/>
      <c r="AE101" s="176"/>
      <c r="AF101" s="177"/>
      <c r="AG101" s="176"/>
      <c r="AH101" s="177"/>
      <c r="AI101" s="176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7"/>
      <c r="AX101" s="177"/>
      <c r="AY101" s="177"/>
      <c r="AZ101" s="177"/>
      <c r="BA101" s="178"/>
      <c r="BB101" s="178"/>
      <c r="BC101" s="178"/>
      <c r="BD101" s="178"/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8"/>
      <c r="BO101" s="178"/>
      <c r="BP101" s="178"/>
      <c r="BQ101" s="178"/>
      <c r="BR101" s="179"/>
      <c r="BS101" s="180"/>
      <c r="BT101" s="1475"/>
      <c r="BU101" s="553"/>
      <c r="BV101" s="554"/>
    </row>
    <row r="102" spans="1:74" s="237" customFormat="1" ht="43.5" customHeight="1">
      <c r="A102" s="1101"/>
      <c r="B102" s="514"/>
      <c r="C102" s="514"/>
      <c r="D102" s="514"/>
      <c r="E102" s="514"/>
      <c r="F102" s="174"/>
      <c r="G102" s="1055"/>
      <c r="H102" s="177"/>
      <c r="I102" s="175"/>
      <c r="J102" s="177"/>
      <c r="K102" s="176"/>
      <c r="L102" s="176"/>
      <c r="M102" s="176"/>
      <c r="N102" s="177"/>
      <c r="O102" s="176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6"/>
      <c r="AD102" s="177"/>
      <c r="AE102" s="176"/>
      <c r="AF102" s="177"/>
      <c r="AG102" s="176"/>
      <c r="AH102" s="177"/>
      <c r="AI102" s="176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7"/>
      <c r="AX102" s="177"/>
      <c r="AY102" s="177"/>
      <c r="AZ102" s="177"/>
      <c r="BA102" s="178"/>
      <c r="BB102" s="178"/>
      <c r="BC102" s="178"/>
      <c r="BD102" s="178"/>
      <c r="BE102" s="178"/>
      <c r="BF102" s="178"/>
      <c r="BG102" s="178"/>
      <c r="BH102" s="178"/>
      <c r="BI102" s="178"/>
      <c r="BJ102" s="178"/>
      <c r="BK102" s="178"/>
      <c r="BL102" s="178"/>
      <c r="BM102" s="178"/>
      <c r="BN102" s="178"/>
      <c r="BO102" s="178"/>
      <c r="BP102" s="178"/>
      <c r="BQ102" s="178"/>
      <c r="BR102" s="179"/>
      <c r="BS102" s="180"/>
      <c r="BT102" s="1475"/>
      <c r="BU102" s="553"/>
      <c r="BV102" s="554"/>
    </row>
    <row r="103" spans="1:74" s="237" customFormat="1" ht="43.5" customHeight="1">
      <c r="A103" s="1101"/>
      <c r="B103" s="514"/>
      <c r="C103" s="514"/>
      <c r="D103" s="514"/>
      <c r="E103" s="514"/>
      <c r="F103" s="174"/>
      <c r="G103" s="1055"/>
      <c r="H103" s="177"/>
      <c r="I103" s="175"/>
      <c r="J103" s="177"/>
      <c r="K103" s="176"/>
      <c r="L103" s="176"/>
      <c r="M103" s="176"/>
      <c r="N103" s="177"/>
      <c r="O103" s="176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6"/>
      <c r="AD103" s="177"/>
      <c r="AE103" s="176"/>
      <c r="AF103" s="177"/>
      <c r="AG103" s="176"/>
      <c r="AH103" s="177"/>
      <c r="AI103" s="176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7"/>
      <c r="AX103" s="177"/>
      <c r="AY103" s="177"/>
      <c r="AZ103" s="177"/>
      <c r="BA103" s="178"/>
      <c r="BB103" s="178"/>
      <c r="BC103" s="178"/>
      <c r="BD103" s="178"/>
      <c r="BE103" s="178"/>
      <c r="BF103" s="178"/>
      <c r="BG103" s="178"/>
      <c r="BH103" s="178"/>
      <c r="BI103" s="178"/>
      <c r="BJ103" s="178"/>
      <c r="BK103" s="178"/>
      <c r="BL103" s="178"/>
      <c r="BM103" s="178"/>
      <c r="BN103" s="178"/>
      <c r="BO103" s="178"/>
      <c r="BP103" s="178"/>
      <c r="BQ103" s="178"/>
      <c r="BR103" s="179"/>
      <c r="BS103" s="180"/>
      <c r="BT103" s="1475"/>
      <c r="BU103" s="553"/>
      <c r="BV103" s="554"/>
    </row>
    <row r="123" spans="7:74" ht="39.75" customHeight="1">
      <c r="G123" s="1348"/>
      <c r="H123" s="1348"/>
      <c r="I123" s="1348"/>
      <c r="J123" s="1348"/>
      <c r="K123" s="1348"/>
      <c r="L123" s="1348"/>
      <c r="M123" s="1348"/>
      <c r="N123" s="1348"/>
      <c r="O123" s="1348"/>
      <c r="P123" s="1348"/>
      <c r="Q123" s="1348"/>
      <c r="R123" s="1348"/>
      <c r="S123" s="1348"/>
      <c r="T123" s="1348"/>
      <c r="U123" s="1348"/>
      <c r="V123" s="1348"/>
      <c r="W123" s="1348"/>
      <c r="X123" s="1348"/>
      <c r="Y123" s="1348"/>
      <c r="Z123" s="1348"/>
      <c r="AA123" s="1348"/>
      <c r="AB123" s="1348"/>
      <c r="AC123" s="1348"/>
      <c r="AD123" s="1348"/>
      <c r="AE123" s="1348"/>
      <c r="AF123" s="1348"/>
      <c r="AG123" s="1348"/>
      <c r="AH123" s="1348"/>
      <c r="AI123" s="1348"/>
      <c r="AJ123" s="1348"/>
      <c r="AK123" s="1348"/>
      <c r="AL123" s="1348"/>
      <c r="AM123" s="1348"/>
      <c r="AN123" s="1348"/>
      <c r="AO123" s="1348"/>
      <c r="AP123" s="1348"/>
      <c r="AQ123" s="1348"/>
      <c r="AR123" s="1348"/>
      <c r="AS123" s="1348"/>
      <c r="AT123" s="1348"/>
      <c r="AU123" s="1348"/>
      <c r="AV123" s="1348"/>
      <c r="AW123" s="1348"/>
      <c r="AX123" s="1348"/>
      <c r="AY123" s="1348"/>
      <c r="AZ123" s="1348"/>
      <c r="BA123" s="1348"/>
      <c r="BB123" s="1348"/>
      <c r="BC123" s="1348"/>
      <c r="BD123" s="1348"/>
      <c r="BE123" s="1348"/>
      <c r="BF123" s="1348"/>
      <c r="BG123" s="1348"/>
      <c r="BH123" s="1348"/>
      <c r="BI123" s="1348"/>
      <c r="BJ123" s="1348"/>
      <c r="BK123" s="1348"/>
      <c r="BL123" s="1348"/>
      <c r="BM123" s="1348"/>
      <c r="BN123" s="1348"/>
      <c r="BO123" s="1348"/>
      <c r="BP123" s="1348"/>
      <c r="BQ123" s="1348"/>
      <c r="BR123" s="1348"/>
      <c r="BS123" s="1348"/>
      <c r="BT123" s="1476"/>
      <c r="BU123" s="1348"/>
      <c r="BV123" s="1348"/>
    </row>
  </sheetData>
  <mergeCells count="19">
    <mergeCell ref="BV4:BV6"/>
    <mergeCell ref="AB4:AC5"/>
    <mergeCell ref="AK5:AM5"/>
    <mergeCell ref="BA4:BA6"/>
    <mergeCell ref="BR4:BU4"/>
    <mergeCell ref="C4:D6"/>
    <mergeCell ref="AW4:AZ5"/>
    <mergeCell ref="BN5:BN6"/>
    <mergeCell ref="F4:F6"/>
    <mergeCell ref="AV5:AV6"/>
    <mergeCell ref="AD4:AE5"/>
    <mergeCell ref="AF4:AG5"/>
    <mergeCell ref="AH4:AI5"/>
    <mergeCell ref="AN5:AU5"/>
    <mergeCell ref="BB4:BN4"/>
    <mergeCell ref="BJ5:BJ6"/>
    <mergeCell ref="BK5:BK6"/>
    <mergeCell ref="BL5:BL6"/>
    <mergeCell ref="BM5:BM6"/>
  </mergeCells>
  <phoneticPr fontId="4" type="noConversion"/>
  <conditionalFormatting sqref="D39:E39">
    <cfRule type="expression" dxfId="22" priority="10" stopIfTrue="1">
      <formula>AND(D39&lt;&gt;"",SUM((#REF!=D39)*1)&gt;1)</formula>
    </cfRule>
  </conditionalFormatting>
  <conditionalFormatting sqref="D58:E58">
    <cfRule type="expression" dxfId="21" priority="20" stopIfTrue="1">
      <formula>AND(D58&lt;&gt;"",SUM((#REF!=D58)*1)&gt;1)</formula>
    </cfRule>
  </conditionalFormatting>
  <conditionalFormatting sqref="AJ39">
    <cfRule type="expression" dxfId="20" priority="7" stopIfTrue="1">
      <formula>SUM(AB39,Y39,W39,U39,S39,Q39,K39:P39)&lt;&gt;AJ39</formula>
    </cfRule>
  </conditionalFormatting>
  <conditionalFormatting sqref="AJ58">
    <cfRule type="expression" dxfId="19" priority="17" stopIfTrue="1">
      <formula>SUM(AB58,Y58,W58,U58,S58,Q58,K58:P58)&lt;&gt;AJ58</formula>
    </cfRule>
  </conditionalFormatting>
  <conditionalFormatting sqref="BB39:BC39">
    <cfRule type="expression" dxfId="18" priority="5" stopIfTrue="1">
      <formula>AND(SUM(K39,M39,O39)&gt;0,BB39="")</formula>
    </cfRule>
  </conditionalFormatting>
  <conditionalFormatting sqref="BB58:BC58">
    <cfRule type="expression" dxfId="17" priority="15" stopIfTrue="1">
      <formula>AND(SUM(K58,M58,O58)&gt;0,BB58="")</formula>
    </cfRule>
  </conditionalFormatting>
  <conditionalFormatting sqref="BD39">
    <cfRule type="expression" dxfId="16" priority="6" stopIfTrue="1">
      <formula>AND(R39&gt;0,BD39="")</formula>
    </cfRule>
  </conditionalFormatting>
  <conditionalFormatting sqref="BD58">
    <cfRule type="expression" dxfId="15" priority="16" stopIfTrue="1">
      <formula>AND(R58&gt;0,BD58="")</formula>
    </cfRule>
  </conditionalFormatting>
  <conditionalFormatting sqref="BE39">
    <cfRule type="expression" dxfId="14" priority="2" stopIfTrue="1">
      <formula>AND(T39&gt;0,BE39="")</formula>
    </cfRule>
  </conditionalFormatting>
  <conditionalFormatting sqref="BE58">
    <cfRule type="expression" dxfId="13" priority="12" stopIfTrue="1">
      <formula>AND(T58&gt;0,BE58="")</formula>
    </cfRule>
  </conditionalFormatting>
  <conditionalFormatting sqref="BF39 BF58 BI58">
    <cfRule type="expression" dxfId="12" priority="13" stopIfTrue="1">
      <formula>AND(V39&gt;0,BF39="")</formula>
    </cfRule>
  </conditionalFormatting>
  <conditionalFormatting sqref="BG39:BH39">
    <cfRule type="expression" dxfId="11" priority="1" stopIfTrue="1">
      <formula>AND(X39&gt;0,BG39="")</formula>
    </cfRule>
  </conditionalFormatting>
  <conditionalFormatting sqref="BI39">
    <cfRule type="expression" dxfId="10" priority="3" stopIfTrue="1">
      <formula>AND(Y39&gt;0,BI39="")</formula>
    </cfRule>
  </conditionalFormatting>
  <conditionalFormatting sqref="BJ39:BK39 BJ58:BK58">
    <cfRule type="expression" dxfId="9" priority="14" stopIfTrue="1">
      <formula>AND(AC39&gt;0,BJ39="")</formula>
    </cfRule>
  </conditionalFormatting>
  <conditionalFormatting sqref="BL39 BL58">
    <cfRule type="expression" dxfId="8" priority="24" stopIfTrue="1">
      <formula>AND(AD39&gt;0,BL39="")</formula>
    </cfRule>
  </conditionalFormatting>
  <conditionalFormatting sqref="BM39 BG58:BH58">
    <cfRule type="expression" dxfId="7" priority="11" stopIfTrue="1">
      <formula>AND(X39&gt;0,BG39="")</formula>
    </cfRule>
  </conditionalFormatting>
  <conditionalFormatting sqref="BM58">
    <cfRule type="expression" dxfId="6" priority="22" stopIfTrue="1">
      <formula>AND(AD58&gt;0,BM58="")</formula>
    </cfRule>
  </conditionalFormatting>
  <conditionalFormatting sqref="BN39">
    <cfRule type="expression" dxfId="5" priority="9" stopIfTrue="1">
      <formula>SUM(BB39:BJ39)&lt;&gt;BN39</formula>
    </cfRule>
  </conditionalFormatting>
  <conditionalFormatting sqref="BN58">
    <cfRule type="expression" dxfId="4" priority="19" stopIfTrue="1">
      <formula>SUM(BB58:BJ58)&lt;&gt;BN58</formula>
    </cfRule>
  </conditionalFormatting>
  <conditionalFormatting sqref="BO39">
    <cfRule type="expression" dxfId="3" priority="8" stopIfTrue="1">
      <formula>BO39&lt;&gt;SUM(BP39:BQ39)</formula>
    </cfRule>
  </conditionalFormatting>
  <conditionalFormatting sqref="BO58">
    <cfRule type="expression" dxfId="2" priority="18" stopIfTrue="1">
      <formula>BO58&lt;&gt;SUM(BP58:BQ58)</formula>
    </cfRule>
  </conditionalFormatting>
  <printOptions horizontalCentered="1" gridLinesSet="0"/>
  <pageMargins left="0.31496062992125984" right="0.35433070866141736" top="0.98425196850393704" bottom="0.39370078740157483" header="0.59055118110236227" footer="0.19685039370078741"/>
  <pageSetup paperSize="8" scale="50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rgb="FFFFFF00"/>
  </sheetPr>
  <dimension ref="A1:BV66"/>
  <sheetViews>
    <sheetView showGridLines="0" zoomScale="54" zoomScaleNormal="54" workbookViewId="0">
      <pane xSplit="4" ySplit="7" topLeftCell="BG8" activePane="bottomRight" state="frozen"/>
      <selection activeCell="BS1" sqref="BS1"/>
      <selection pane="topRight" activeCell="BS1" sqref="BS1"/>
      <selection pane="bottomLeft" activeCell="BS1" sqref="BS1"/>
      <selection pane="bottomRight" activeCell="BR8" sqref="BR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3320312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bestFit="1" customWidth="1"/>
    <col min="10" max="10" width="6.33203125" style="2" customWidth="1"/>
    <col min="11" max="11" width="8.44140625" style="2" bestFit="1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1.44140625" style="2" bestFit="1" customWidth="1"/>
    <col min="18" max="18" width="5.77734375" style="2" customWidth="1"/>
    <col min="19" max="19" width="11.77734375" style="2" bestFit="1" customWidth="1"/>
    <col min="20" max="20" width="5.77734375" style="2" customWidth="1"/>
    <col min="21" max="21" width="13" style="2" bestFit="1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bestFit="1" customWidth="1"/>
    <col min="27" max="27" width="5.77734375" style="2" customWidth="1"/>
    <col min="28" max="28" width="13.44140625" style="2" bestFit="1" customWidth="1"/>
    <col min="29" max="29" width="5.77734375" style="2" customWidth="1"/>
    <col min="30" max="30" width="13.44140625" style="2" bestFit="1" customWidth="1"/>
    <col min="31" max="31" width="5.77734375" style="2" customWidth="1"/>
    <col min="32" max="32" width="13.44140625" style="2" bestFit="1" customWidth="1"/>
    <col min="33" max="33" width="11" style="2" bestFit="1" customWidth="1"/>
    <col min="34" max="45" width="12.77734375" style="360" customWidth="1"/>
    <col min="46" max="49" width="20.77734375" style="2" bestFit="1" customWidth="1"/>
    <col min="50" max="50" width="20.44140625" style="2" bestFit="1" customWidth="1"/>
    <col min="51" max="51" width="15.5546875" style="2" bestFit="1" customWidth="1"/>
    <col min="52" max="53" width="14" style="2" customWidth="1"/>
    <col min="54" max="54" width="15.21875" style="2" customWidth="1"/>
    <col min="55" max="55" width="14.6640625" style="2" customWidth="1"/>
    <col min="56" max="57" width="14" style="2" customWidth="1"/>
    <col min="58" max="58" width="11.44140625" style="2" customWidth="1"/>
    <col min="59" max="62" width="15.21875" style="2" customWidth="1"/>
    <col min="63" max="64" width="22.6640625" style="2" bestFit="1" customWidth="1"/>
    <col min="65" max="65" width="20.6640625" style="2" bestFit="1" customWidth="1"/>
    <col min="66" max="66" width="18.6640625" style="2" bestFit="1" customWidth="1"/>
    <col min="67" max="67" width="15.77734375" style="2" customWidth="1"/>
    <col min="68" max="68" width="25.21875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0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416</v>
      </c>
      <c r="AB4" s="2127"/>
      <c r="AC4" s="2126" t="s">
        <v>419</v>
      </c>
      <c r="AD4" s="2127"/>
      <c r="AE4" s="2126" t="s">
        <v>421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427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408</v>
      </c>
      <c r="AQ6" s="366" t="s">
        <v>409</v>
      </c>
      <c r="AR6" s="366" t="s">
        <v>425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162">
        <f>SUM(P8:P32)</f>
        <v>0</v>
      </c>
      <c r="Q7" s="1163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163">
        <f>IF(Y7=0,0,(SUMPRODUCT(Y8:Y32,Z8:Z32))/Y7)</f>
        <v>0</v>
      </c>
      <c r="AA7" s="138">
        <f>SUM(AA8:AA32)</f>
        <v>0</v>
      </c>
      <c r="AB7" s="1163">
        <f>IF(AA7=0,0,(SUMPRODUCT(AA8:AA32,AB8:AB32))/AA7)</f>
        <v>0</v>
      </c>
      <c r="AC7" s="138">
        <f>SUM(AC8:AC32)</f>
        <v>0</v>
      </c>
      <c r="AD7" s="1163">
        <f>IF(AC7=0,0,(SUMPRODUCT(AC8:AC32,AD8:AD32))/AC7)</f>
        <v>0</v>
      </c>
      <c r="AE7" s="138">
        <f>SUM(AE8:AE32)</f>
        <v>0</v>
      </c>
      <c r="AF7" s="1163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SUM(AP8:AP28)</f>
        <v>0</v>
      </c>
      <c r="AQ7" s="357">
        <f t="shared" si="2"/>
        <v>0</v>
      </c>
      <c r="AR7" s="357">
        <f t="shared" ref="AR7" si="3">SUM(AR8:AR28)</f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4">
        <f t="shared" ref="AX7:BN7" si="4">SUM(AX8:AX32)</f>
        <v>0</v>
      </c>
      <c r="AY7" s="134">
        <f t="shared" si="4"/>
        <v>0</v>
      </c>
      <c r="AZ7" s="1163">
        <f t="shared" si="4"/>
        <v>0</v>
      </c>
      <c r="BA7" s="140">
        <f t="shared" si="4"/>
        <v>0</v>
      </c>
      <c r="BB7" s="1163">
        <f t="shared" si="4"/>
        <v>0</v>
      </c>
      <c r="BC7" s="139">
        <f t="shared" si="4"/>
        <v>0</v>
      </c>
      <c r="BD7" s="1163">
        <f t="shared" si="4"/>
        <v>0</v>
      </c>
      <c r="BE7" s="134">
        <f t="shared" si="4"/>
        <v>0</v>
      </c>
      <c r="BF7" s="134">
        <f t="shared" si="4"/>
        <v>0</v>
      </c>
      <c r="BG7" s="1163">
        <f t="shared" si="4"/>
        <v>0</v>
      </c>
      <c r="BH7" s="1163">
        <f t="shared" ref="BH7:BI7" si="5">SUM(BH8:BH32)</f>
        <v>0</v>
      </c>
      <c r="BI7" s="1163">
        <f t="shared" si="5"/>
        <v>0</v>
      </c>
      <c r="BJ7" s="1163">
        <f t="shared" ref="BJ7" si="6">SUM(BJ8:BJ32)</f>
        <v>0</v>
      </c>
      <c r="BK7" s="141">
        <f t="shared" si="4"/>
        <v>0</v>
      </c>
      <c r="BL7" s="1166">
        <f t="shared" si="4"/>
        <v>0</v>
      </c>
      <c r="BM7" s="1166">
        <f t="shared" si="4"/>
        <v>0</v>
      </c>
      <c r="BN7" s="1166">
        <f t="shared" si="4"/>
        <v>0</v>
      </c>
      <c r="BO7" s="142">
        <f>'[6]공공택지(분석서)'!$D$47</f>
        <v>31</v>
      </c>
      <c r="BP7" s="803">
        <f>'[6]공공택지(분석서)'!$D$45</f>
        <v>0</v>
      </c>
      <c r="BQ7" s="831" t="str">
        <f>'[6]공공택지(분석서)'!$D$46</f>
        <v>한도초과</v>
      </c>
      <c r="BR7" s="300" t="e">
        <f>'[6]공공택지(분석서)'!$F$39</f>
        <v>#DIV/0!</v>
      </c>
      <c r="BS7" s="851">
        <f>SUM(BS8:BS15)</f>
        <v>0</v>
      </c>
      <c r="BT7" s="800"/>
    </row>
    <row r="8" spans="1:74" s="7" customFormat="1" ht="73.5" customHeight="1">
      <c r="A8" s="171"/>
      <c r="B8" s="162" t="s">
        <v>175</v>
      </c>
      <c r="C8" s="1167" t="str">
        <f>IF($A8="","",VLOOKUP($A8,기본데이타!$A$8:$BV$103,COLUMN(기본데이타!F$8),0))</f>
        <v/>
      </c>
      <c r="D8" s="145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165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164" t="str">
        <f>IF($A8="","",VLOOKUP($A8,기본데이타!$A$8:$BV$103,COLUMN(기본데이타!S$8),0))</f>
        <v/>
      </c>
      <c r="Q8" s="1164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165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2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2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2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6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164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164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164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164" t="str">
        <f>IF($A8="","",VLOOKUP($A8,기본데이타!$A$8:$BV$103,COLUMN(기본데이타!BJ$8),0))</f>
        <v/>
      </c>
      <c r="BH8" s="1164" t="str">
        <f>IF($A8="","",VLOOKUP($A8,기본데이타!$A$8:$BV$103,COLUMN(기본데이타!BK$8),0))</f>
        <v/>
      </c>
      <c r="BI8" s="1164" t="str">
        <f>IF($A8="","",VLOOKUP($A8,기본데이타!$A$8:$BV$103,COLUMN(기본데이타!BL$8),0))</f>
        <v/>
      </c>
      <c r="BJ8" s="1164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164" t="str">
        <f>IF($A8="","",VLOOKUP($A8,기본데이타!$A$8:$BV$103,COLUMN(기본데이타!BO$8),0))</f>
        <v/>
      </c>
      <c r="BM8" s="1512" t="str">
        <f>IF($A8="","",VLOOKUP($A8,기본데이타!$A$8:$BV$103,COLUMN(기본데이타!BP$8),0))</f>
        <v/>
      </c>
      <c r="BN8" s="1512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06" t="str">
        <f>IF($A8="","",VLOOKUP($A8,기본데이타!$A$8:$BV$103,COLUMN(기본데이타!BT$8),0))</f>
        <v/>
      </c>
      <c r="BR8" s="834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171"/>
      <c r="B9" s="163"/>
      <c r="C9" s="164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33" si="7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511" t="str">
        <f>IF($A9="","",VLOOKUP($A9,기본데이타!$A$8:$BV$103,COLUMN(기본데이타!BP$8),0))</f>
        <v/>
      </c>
      <c r="BN9" s="1511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168" t="str">
        <f>IF($A9="","",VLOOKUP($A9,기본데이타!$A$8:$BV$103,COLUMN(기본데이타!BT$8),0))</f>
        <v/>
      </c>
      <c r="BR9" s="168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8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168" t="str">
        <f>IF($A10="","",VLOOKUP($A10,기본데이타!$A$8:$BV$103,COLUMN(기본데이타!BT$8),0))</f>
        <v/>
      </c>
      <c r="BR10" s="168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8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168" t="str">
        <f>IF($A11="","",VLOOKUP($A11,기본데이타!$A$8:$BV$103,COLUMN(기본데이타!BT$8),0))</f>
        <v/>
      </c>
      <c r="BR11" s="168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8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168" t="str">
        <f>IF($A12="","",VLOOKUP($A12,기본데이타!$A$8:$BV$103,COLUMN(기본데이타!BT$8),0))</f>
        <v/>
      </c>
      <c r="BR12" s="168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8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168" t="str">
        <f>IF($A13="","",VLOOKUP($A13,기본데이타!$A$8:$BV$103,COLUMN(기본데이타!BT$8),0))</f>
        <v/>
      </c>
      <c r="BR13" s="168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8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168" t="str">
        <f>IF($A14="","",VLOOKUP($A14,기본데이타!$A$8:$BV$103,COLUMN(기본데이타!BT$8),0))</f>
        <v/>
      </c>
      <c r="BR14" s="168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8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168" t="str">
        <f>IF($A15="","",VLOOKUP($A15,기본데이타!$A$8:$BV$103,COLUMN(기본데이타!BT$8),0))</f>
        <v/>
      </c>
      <c r="BR15" s="168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8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168" t="str">
        <f>IF($A16="","",VLOOKUP($A16,기본데이타!$A$8:$BV$103,COLUMN(기본데이타!BT$8),0))</f>
        <v/>
      </c>
      <c r="BR16" s="168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8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168" t="str">
        <f>IF($A17="","",VLOOKUP($A17,기본데이타!$A$8:$BV$103,COLUMN(기본데이타!BT$8),0))</f>
        <v/>
      </c>
      <c r="BR17" s="168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8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168" t="str">
        <f>IF($A18="","",VLOOKUP($A18,기본데이타!$A$8:$BV$103,COLUMN(기본데이타!BT$8),0))</f>
        <v/>
      </c>
      <c r="BR18" s="168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8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168" t="str">
        <f>IF($A19="","",VLOOKUP($A19,기본데이타!$A$8:$BV$103,COLUMN(기본데이타!BT$8),0))</f>
        <v/>
      </c>
      <c r="BR19" s="168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8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8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8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8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8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8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8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8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8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7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8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8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68" t="str">
        <f>IF($A30="","",VLOOKUP($A30,기본데이타!$A$8:$BV$103,COLUMN(기본데이타!Y$8),0))</f>
        <v/>
      </c>
      <c r="W30" s="168" t="str">
        <f>IF($A30="","",VLOOKUP($A30,기본데이타!$A$8:$BV$103,COLUMN(기본데이타!Z$8),0))</f>
        <v/>
      </c>
      <c r="X30" s="168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8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68" t="str">
        <f>IF($A31="","",VLOOKUP($A31,기본데이타!$A$8:$BV$103,COLUMN(기본데이타!Y$8),0))</f>
        <v/>
      </c>
      <c r="W31" s="168" t="str">
        <f>IF($A31="","",VLOOKUP($A31,기본데이타!$A$8:$BV$103,COLUMN(기본데이타!Z$8),0))</f>
        <v/>
      </c>
      <c r="X31" s="168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8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68" t="str">
        <f>IF($A32="","",VLOOKUP($A32,기본데이타!$A$8:$BV$103,COLUMN(기본데이타!Y$8),0))</f>
        <v/>
      </c>
      <c r="W32" s="168" t="str">
        <f>IF($A32="","",VLOOKUP($A32,기본데이타!$A$8:$BV$103,COLUMN(기본데이타!Z$8),0))</f>
        <v/>
      </c>
      <c r="X32" s="168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8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986" t="str">
        <f>IF($A33="","",VLOOKUP($A33,기본데이타!$A$8:$BV$103,COLUMN(기본데이타!Y$8),0))</f>
        <v/>
      </c>
      <c r="W33" s="986" t="str">
        <f>IF($A33="","",VLOOKUP($A33,기본데이타!$A$8:$BV$103,COLUMN(기본데이타!Z$8),0))</f>
        <v/>
      </c>
      <c r="X33" s="98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7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8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ref="AW34:AW39" si="9">IF(AT34="","",SUM(AT34:AV34))</f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9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9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9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9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9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ref="AW40:AW66" si="10">IF(AT40="","",SUM(AT40:AV40))</f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10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10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10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10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10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10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10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10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10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10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10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10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10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10"/>
        <v/>
      </c>
    </row>
    <row r="55" spans="46:49">
      <c r="AT55" s="10"/>
      <c r="AU55" s="10"/>
      <c r="AV55" s="10"/>
      <c r="AW55" s="10" t="str">
        <f t="shared" si="10"/>
        <v/>
      </c>
    </row>
    <row r="56" spans="46:49">
      <c r="AT56" s="10"/>
      <c r="AU56" s="10"/>
      <c r="AV56" s="10"/>
      <c r="AW56" s="10" t="str">
        <f t="shared" si="10"/>
        <v/>
      </c>
    </row>
    <row r="57" spans="46:49">
      <c r="AT57" s="10"/>
      <c r="AU57" s="10"/>
      <c r="AV57" s="10"/>
      <c r="AW57" s="10" t="str">
        <f t="shared" si="10"/>
        <v/>
      </c>
    </row>
    <row r="58" spans="46:49">
      <c r="AT58" s="10"/>
      <c r="AU58" s="10"/>
      <c r="AV58" s="10"/>
      <c r="AW58" s="10" t="str">
        <f t="shared" si="10"/>
        <v/>
      </c>
    </row>
    <row r="59" spans="46:49">
      <c r="AT59" s="10"/>
      <c r="AU59" s="10"/>
      <c r="AV59" s="10"/>
      <c r="AW59" s="10" t="str">
        <f t="shared" si="10"/>
        <v/>
      </c>
    </row>
    <row r="60" spans="46:49">
      <c r="AT60" s="10"/>
      <c r="AU60" s="10"/>
      <c r="AV60" s="10"/>
      <c r="AW60" s="10" t="str">
        <f t="shared" si="10"/>
        <v/>
      </c>
    </row>
    <row r="61" spans="46:49">
      <c r="AT61" s="10"/>
      <c r="AU61" s="10"/>
      <c r="AV61" s="10"/>
      <c r="AW61" s="10" t="str">
        <f t="shared" si="10"/>
        <v/>
      </c>
    </row>
    <row r="62" spans="46:49">
      <c r="AT62" s="10"/>
      <c r="AU62" s="10"/>
      <c r="AV62" s="10"/>
      <c r="AW62" s="10" t="str">
        <f t="shared" si="10"/>
        <v/>
      </c>
    </row>
    <row r="63" spans="46:49">
      <c r="AT63" s="10"/>
      <c r="AU63" s="10"/>
      <c r="AV63" s="10"/>
      <c r="AW63" s="10" t="str">
        <f t="shared" si="10"/>
        <v/>
      </c>
    </row>
    <row r="64" spans="46:49">
      <c r="AT64" s="10"/>
      <c r="AU64" s="10"/>
      <c r="AV64" s="10"/>
      <c r="AW64" s="10" t="str">
        <f t="shared" si="10"/>
        <v/>
      </c>
    </row>
    <row r="65" spans="46:49">
      <c r="AT65" s="10"/>
      <c r="AU65" s="10"/>
      <c r="AV65" s="10"/>
      <c r="AW65" s="10" t="str">
        <f t="shared" si="10"/>
        <v/>
      </c>
    </row>
    <row r="66" spans="46:49">
      <c r="AW66" s="2" t="str">
        <f t="shared" si="10"/>
        <v/>
      </c>
    </row>
  </sheetData>
  <mergeCells count="14">
    <mergeCell ref="BO4:BR4"/>
    <mergeCell ref="BT4:BT6"/>
    <mergeCell ref="BK5:BK6"/>
    <mergeCell ref="C4:C6"/>
    <mergeCell ref="BS4:BS6"/>
    <mergeCell ref="Y4:Z5"/>
    <mergeCell ref="AT4:AW5"/>
    <mergeCell ref="AS4:AS6"/>
    <mergeCell ref="AH5:AJ5"/>
    <mergeCell ref="AX4:AX6"/>
    <mergeCell ref="AA4:AB5"/>
    <mergeCell ref="AC4:AD5"/>
    <mergeCell ref="AE4:AF5"/>
    <mergeCell ref="AK5:AR5"/>
  </mergeCells>
  <phoneticPr fontId="4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7">
    <tabColor rgb="FFFFFF00"/>
  </sheetPr>
  <dimension ref="A1:BV66"/>
  <sheetViews>
    <sheetView showGridLines="0" showZeros="0" showOutlineSymbols="0" zoomScale="55" zoomScaleNormal="55" workbookViewId="0">
      <pane xSplit="4" ySplit="7" topLeftCell="BG8" activePane="bottomRight" state="frozen"/>
      <selection activeCell="BS1" sqref="BS1"/>
      <selection pane="topRight" activeCell="BS1" sqref="BS1"/>
      <selection pane="bottomLeft" activeCell="BS1" sqref="BS1"/>
      <selection pane="bottomRight" activeCell="BR8" sqref="BR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3320312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11" style="2" customWidth="1"/>
    <col min="10" max="10" width="6.33203125" style="2" customWidth="1"/>
    <col min="11" max="11" width="8.44140625" style="2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1.44140625" style="2" customWidth="1"/>
    <col min="18" max="18" width="5.77734375" style="2" customWidth="1"/>
    <col min="19" max="19" width="11.77734375" style="2" customWidth="1"/>
    <col min="20" max="20" width="5.77734375" style="2" customWidth="1"/>
    <col min="21" max="21" width="13" style="2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customWidth="1"/>
    <col min="27" max="27" width="5.77734375" style="2" customWidth="1"/>
    <col min="28" max="28" width="13.44140625" style="2" customWidth="1"/>
    <col min="29" max="29" width="5.77734375" style="2" customWidth="1"/>
    <col min="30" max="30" width="13.44140625" style="2" customWidth="1"/>
    <col min="31" max="31" width="5.77734375" style="2" customWidth="1"/>
    <col min="32" max="32" width="13.44140625" style="2" customWidth="1"/>
    <col min="33" max="33" width="11" style="2" customWidth="1"/>
    <col min="34" max="45" width="12.77734375" style="360" customWidth="1"/>
    <col min="46" max="49" width="20.77734375" style="2" bestFit="1" customWidth="1"/>
    <col min="50" max="50" width="21.6640625" style="2" bestFit="1" customWidth="1"/>
    <col min="51" max="51" width="15.5546875" style="2" bestFit="1" customWidth="1"/>
    <col min="52" max="52" width="16.77734375" style="2" bestFit="1" customWidth="1"/>
    <col min="53" max="53" width="14" style="2" customWidth="1"/>
    <col min="54" max="54" width="15.21875" style="2" customWidth="1"/>
    <col min="55" max="55" width="14.6640625" style="2" customWidth="1"/>
    <col min="56" max="57" width="14" style="2" customWidth="1"/>
    <col min="58" max="58" width="11.44140625" style="2" customWidth="1"/>
    <col min="59" max="62" width="15.21875" style="2" customWidth="1"/>
    <col min="63" max="64" width="22.6640625" style="2" bestFit="1" customWidth="1"/>
    <col min="65" max="65" width="20.6640625" style="2" bestFit="1" customWidth="1"/>
    <col min="66" max="66" width="21.44140625" style="2" bestFit="1" customWidth="1"/>
    <col min="67" max="67" width="15.77734375" style="2" customWidth="1"/>
    <col min="68" max="68" width="27" style="2" bestFit="1" customWidth="1"/>
    <col min="69" max="69" width="15.77734375" style="2" customWidth="1"/>
    <col min="70" max="70" width="21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336399581</v>
      </c>
      <c r="BQ3" s="1157">
        <f>BP3-BP7</f>
        <v>0.3450692892074585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1</v>
      </c>
      <c r="D7" s="137">
        <f t="shared" ref="D7:N7" si="0">SUM(D8:D32)</f>
        <v>8</v>
      </c>
      <c r="E7" s="134">
        <f t="shared" si="0"/>
        <v>33889000</v>
      </c>
      <c r="F7" s="134">
        <f t="shared" si="0"/>
        <v>0</v>
      </c>
      <c r="G7" s="134">
        <f t="shared" si="0"/>
        <v>33889000</v>
      </c>
      <c r="H7" s="138">
        <f t="shared" si="0"/>
        <v>0</v>
      </c>
      <c r="I7" s="138">
        <f t="shared" si="0"/>
        <v>450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450</v>
      </c>
      <c r="AH7" s="357">
        <f t="shared" ref="AH7:AS7" si="1">SUM(AH8:AH28)</f>
        <v>0</v>
      </c>
      <c r="AI7" s="836">
        <f t="shared" si="1"/>
        <v>1908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SUM(AP8:AP28)</f>
        <v>0</v>
      </c>
      <c r="AQ7" s="357">
        <f t="shared" si="2"/>
        <v>0</v>
      </c>
      <c r="AR7" s="357">
        <f t="shared" ref="AR7" si="3">SUM(AR8:AR28)</f>
        <v>0</v>
      </c>
      <c r="AS7" s="367">
        <f t="shared" si="1"/>
        <v>1908</v>
      </c>
      <c r="AT7" s="134">
        <f>SUM(AT8:AT31)</f>
        <v>43368840</v>
      </c>
      <c r="AU7" s="134">
        <f>SUM(AU8:AU31)</f>
        <v>0</v>
      </c>
      <c r="AV7" s="134">
        <f>SUM(AV8:AV31)</f>
        <v>0</v>
      </c>
      <c r="AW7" s="134">
        <f>SUM(AW8:AW31)</f>
        <v>43368840</v>
      </c>
      <c r="AX7" s="134">
        <f t="shared" ref="AX7:BN7" si="4">SUM(AX8:AX32)</f>
        <v>-43368840</v>
      </c>
      <c r="AY7" s="134">
        <f t="shared" si="4"/>
        <v>0</v>
      </c>
      <c r="AZ7" s="134">
        <f t="shared" si="4"/>
        <v>11782800</v>
      </c>
      <c r="BA7" s="140">
        <f t="shared" si="4"/>
        <v>0</v>
      </c>
      <c r="BB7" s="139">
        <f t="shared" si="4"/>
        <v>0</v>
      </c>
      <c r="BC7" s="139">
        <f t="shared" si="4"/>
        <v>0</v>
      </c>
      <c r="BD7" s="134">
        <f t="shared" si="4"/>
        <v>0</v>
      </c>
      <c r="BE7" s="134">
        <f t="shared" si="4"/>
        <v>0</v>
      </c>
      <c r="BF7" s="134">
        <f t="shared" si="4"/>
        <v>0</v>
      </c>
      <c r="BG7" s="134">
        <f t="shared" si="4"/>
        <v>0</v>
      </c>
      <c r="BH7" s="134">
        <f t="shared" ref="BH7:BI7" si="5">SUM(BH8:BH32)</f>
        <v>0</v>
      </c>
      <c r="BI7" s="134">
        <f t="shared" si="5"/>
        <v>0</v>
      </c>
      <c r="BJ7" s="134">
        <f t="shared" ref="BJ7" si="6">SUM(BJ8:BJ32)</f>
        <v>0</v>
      </c>
      <c r="BK7" s="141">
        <f t="shared" si="4"/>
        <v>11782800</v>
      </c>
      <c r="BL7" s="141">
        <f t="shared" si="4"/>
        <v>278499439</v>
      </c>
      <c r="BM7" s="1166">
        <f t="shared" si="4"/>
        <v>245665488</v>
      </c>
      <c r="BN7" s="1172">
        <f t="shared" si="4"/>
        <v>32833951</v>
      </c>
      <c r="BO7" s="142">
        <f>'[11]공동주택(분석서)'!$D$47</f>
        <v>2</v>
      </c>
      <c r="BP7" s="803">
        <f>'[11]공동주택(분석서)'!$D$45</f>
        <v>336399580.65493071</v>
      </c>
      <c r="BQ7" s="832">
        <f>'[11]공동주택(분석서)'!$D$46</f>
        <v>80.658150909601218</v>
      </c>
      <c r="BR7" s="813">
        <f>'[11]공동주택(분석서)'!$F$39</f>
        <v>5962.5</v>
      </c>
      <c r="BS7" s="851">
        <f>SUM(BS8:BS33)</f>
        <v>0</v>
      </c>
      <c r="BT7" s="800"/>
    </row>
    <row r="8" spans="1:74" s="7" customFormat="1" ht="73.5" customHeight="1">
      <c r="A8" s="171">
        <v>1</v>
      </c>
      <c r="B8" s="162" t="s">
        <v>264</v>
      </c>
      <c r="C8" s="1167" t="str">
        <f>IF($A8="","",VLOOKUP($A8,기본데이타!$A$8:$BV$103,COLUMN(기본데이타!F$8),0))</f>
        <v>복현대백맨션개별난방전환</v>
      </c>
      <c r="D8" s="144">
        <f>IF($A8="","",VLOOKUP($A8,기본데이타!$A$8:$BV$103,COLUMN(기본데이타!G$8),0))</f>
        <v>8</v>
      </c>
      <c r="E8" s="145">
        <f>IF($A8="","",VLOOKUP($A8,기본데이타!$A$8:$BV$103,COLUMN(기본데이타!H$8),0))</f>
        <v>33889000</v>
      </c>
      <c r="F8" s="145">
        <f>IF($A8="","",VLOOKUP($A8,기본데이타!$A$8:$BV$103,COLUMN(기본데이타!I$8),0))</f>
        <v>0</v>
      </c>
      <c r="G8" s="145">
        <f>IF($A8="","",VLOOKUP($A8,기본데이타!$A$8:$BV$103,COLUMN(기본데이타!J$8),0))</f>
        <v>33889000</v>
      </c>
      <c r="H8" s="146">
        <f>IF($A8="","",VLOOKUP($A8,기본데이타!$A$8:$BV$103,COLUMN(기본데이타!K$8),0))</f>
        <v>0</v>
      </c>
      <c r="I8" s="146">
        <f>IF($A8="","",VLOOKUP($A8,기본데이타!$A$8:$BV$103,COLUMN(기본데이타!L$8),0))</f>
        <v>450</v>
      </c>
      <c r="J8" s="146">
        <f>IF($A8="","",VLOOKUP($A8,기본데이타!$A$8:$BV$103,COLUMN(기본데이타!M$8),0))</f>
        <v>0</v>
      </c>
      <c r="K8" s="136">
        <f>IF($A8="","",VLOOKUP($A8,기본데이타!$A$8:$BV$103,COLUMN(기본데이타!N$8),0))</f>
        <v>0</v>
      </c>
      <c r="L8" s="146">
        <f>IF($A8="","",VLOOKUP($A8,기본데이타!$A$8:$BV$103,COLUMN(기본데이타!O$8),0))</f>
        <v>0</v>
      </c>
      <c r="M8" s="136">
        <f>IF($A8="","",VLOOKUP($A8,기본데이타!$A$8:$BV$103,COLUMN(기본데이타!P$8),0))</f>
        <v>0</v>
      </c>
      <c r="N8" s="136">
        <f>IF($A8="","",VLOOKUP($A8,기본데이타!$A$8:$BV$103,COLUMN(기본데이타!Q$8),0))</f>
        <v>0</v>
      </c>
      <c r="O8" s="136">
        <f>IF($A8="","",VLOOKUP($A8,기본데이타!$A$8:$BV$103,COLUMN(기본데이타!R$8),0))</f>
        <v>0</v>
      </c>
      <c r="P8" s="136">
        <f>IF($A8="","",VLOOKUP($A8,기본데이타!$A$8:$BV$103,COLUMN(기본데이타!S$8),0))</f>
        <v>0</v>
      </c>
      <c r="Q8" s="136">
        <f>IF($A8="","",VLOOKUP($A8,기본데이타!$A$8:$BV$103,COLUMN(기본데이타!T$8),0))</f>
        <v>0</v>
      </c>
      <c r="R8" s="136">
        <f>IF($A8="","",VLOOKUP($A8,기본데이타!$A$8:$BV$103,COLUMN(기본데이타!U$8),0))</f>
        <v>0</v>
      </c>
      <c r="S8" s="136">
        <f>IF($A8="","",VLOOKUP($A8,기본데이타!$A$8:$BV$103,COLUMN(기본데이타!V$8),0))</f>
        <v>0</v>
      </c>
      <c r="T8" s="136">
        <f>IF($A8="","",VLOOKUP($A8,기본데이타!$A$8:$BV$103,COLUMN(기본데이타!W$8),0))</f>
        <v>0</v>
      </c>
      <c r="U8" s="136">
        <f>IF($A8="","",VLOOKUP($A8,기본데이타!$A$8:$BV$103,COLUMN(기본데이타!X$8),0))</f>
        <v>0</v>
      </c>
      <c r="V8" s="136">
        <f>IF($A8="","",VLOOKUP($A8,기본데이타!$A$8:$BV$103,COLUMN(기본데이타!Y$8),0))</f>
        <v>0</v>
      </c>
      <c r="W8" s="136">
        <f>IF($A8="","",VLOOKUP($A8,기본데이타!$A$8:$BV$103,COLUMN(기본데이타!Z$8),0))</f>
        <v>0</v>
      </c>
      <c r="X8" s="136">
        <f>IF($A8="","",VLOOKUP($A8,기본데이타!$A$8:$BV$103,COLUMN(기본데이타!AA$8),0))</f>
        <v>0</v>
      </c>
      <c r="Y8" s="136">
        <f>IF($A8="","",VLOOKUP($A8,기본데이타!$A$8:$BV$103,COLUMN(기본데이타!AB$8),0))</f>
        <v>0</v>
      </c>
      <c r="Z8" s="146">
        <f>IF($A8="","",VLOOKUP($A8,기본데이타!$A$8:$BV$103,COLUMN(기본데이타!AC$8),0))</f>
        <v>0</v>
      </c>
      <c r="AA8" s="1391">
        <f>IF($A8="","",VLOOKUP($A8,기본데이타!$A$8:$BV$103,COLUMN(기본데이타!AD$8),0))</f>
        <v>0</v>
      </c>
      <c r="AB8" s="1397">
        <f>IF($A8="","",VLOOKUP($A8,기본데이타!$A$8:$BV$103,COLUMN(기본데이타!AE$8),0))</f>
        <v>0</v>
      </c>
      <c r="AC8" s="1391">
        <f>IF($A8="","",VLOOKUP($A8,기본데이타!$A$8:$BV$103,COLUMN(기본데이타!AF$8),0))</f>
        <v>0</v>
      </c>
      <c r="AD8" s="1397">
        <f>IF($A8="","",VLOOKUP($A8,기본데이타!$A$8:$BV$103,COLUMN(기본데이타!AG$8),0))</f>
        <v>0</v>
      </c>
      <c r="AE8" s="1391">
        <f>IF($A8="","",VLOOKUP($A8,기본데이타!$A$8:$BV$103,COLUMN(기본데이타!AH$8),0))</f>
        <v>0</v>
      </c>
      <c r="AF8" s="1397">
        <f>IF($A8="","",VLOOKUP($A8,기본데이타!$A$8:$BV$103,COLUMN(기본데이타!AI$8),0))</f>
        <v>0</v>
      </c>
      <c r="AG8" s="135">
        <f>IF($A8="","",VLOOKUP($A8,기본데이타!$A$8:$BV$103,COLUMN(기본데이타!AJ$8),0))</f>
        <v>450</v>
      </c>
      <c r="AH8" s="135">
        <f>IF($A8="","",VLOOKUP($A8,기본데이타!$A$8:$BV$103,COLUMN(기본데이타!AK$8),0))</f>
        <v>0</v>
      </c>
      <c r="AI8" s="135">
        <f>IF($A8="","",VLOOKUP($A8,기본데이타!$A$8:$BV$103,COLUMN(기본데이타!AL$8),0))</f>
        <v>1908</v>
      </c>
      <c r="AJ8" s="135">
        <f>IF($A8="","",VLOOKUP($A8,기본데이타!$A$8:$BV$103,COLUMN(기본데이타!AM$8),0))</f>
        <v>0</v>
      </c>
      <c r="AK8" s="135">
        <f>IF($A8="","",VLOOKUP($A8,기본데이타!$A$8:$BV$103,COLUMN(기본데이타!AN$8),0))</f>
        <v>0</v>
      </c>
      <c r="AL8" s="135">
        <f>IF($A8="","",VLOOKUP($A8,기본데이타!$A$8:$BV$103,COLUMN(기본데이타!AO$8),0))</f>
        <v>0</v>
      </c>
      <c r="AM8" s="135">
        <f>IF($A8="","",VLOOKUP($A8,기본데이타!$A$8:$BV$103,COLUMN(기본데이타!AP$8),0))</f>
        <v>0</v>
      </c>
      <c r="AN8" s="135">
        <f>IF($A8="","",VLOOKUP($A8,기본데이타!$A$8:$BV$103,COLUMN(기본데이타!AQ$8),0))</f>
        <v>0</v>
      </c>
      <c r="AO8" s="135">
        <f>IF($A8="","",VLOOKUP($A8,기본데이타!$A$8:$BV$103,COLUMN(기본데이타!AR$8),0))</f>
        <v>0</v>
      </c>
      <c r="AP8" s="1398">
        <f>IF($A8="","",VLOOKUP($A8,기본데이타!$A$8:$BV$103,COLUMN(기본데이타!AS$8),0))</f>
        <v>0</v>
      </c>
      <c r="AQ8" s="1398">
        <f>IF($A8="","",VLOOKUP($A8,기본데이타!$A$8:$BV$103,COLUMN(기본데이타!AT$8),0))</f>
        <v>0</v>
      </c>
      <c r="AR8" s="1398">
        <f>IF($A8="","",VLOOKUP($A8,기본데이타!$A$8:$BV$103,COLUMN(기본데이타!AU$8),0))</f>
        <v>0</v>
      </c>
      <c r="AS8" s="135">
        <f>IF($A8="","",VLOOKUP($A8,기본데이타!$A$8:$BV$103,COLUMN(기본데이타!AV$8),0))</f>
        <v>1908</v>
      </c>
      <c r="AT8" s="136">
        <f>IF($A8="","",VLOOKUP($A8,기본데이타!$A$8:$BV$103,COLUMN(기본데이타!AW$8),0))</f>
        <v>43368840</v>
      </c>
      <c r="AU8" s="136">
        <f>IF($A8="","",VLOOKUP($A8,기본데이타!$A$8:$BV$103,COLUMN(기본데이타!AX$8),0))</f>
        <v>0</v>
      </c>
      <c r="AV8" s="136">
        <f>IF($A8="","",VLOOKUP($A8,기본데이타!$A$8:$BV$103,COLUMN(기본데이타!AY$8),0))</f>
        <v>0</v>
      </c>
      <c r="AW8" s="136">
        <f>IF(AT8="","",SUM(AT8:AV8))</f>
        <v>43368840</v>
      </c>
      <c r="AX8" s="136">
        <f>IF($A8="","",VLOOKUP($A8,기본데이타!$A$8:$BV$103,COLUMN(기본데이타!BA$8),0))</f>
        <v>-43368840</v>
      </c>
      <c r="AY8" s="136">
        <f>IF($A8="","",VLOOKUP($A8,기본데이타!$A$8:$BV$103,COLUMN(기본데이타!BB$8),0))</f>
        <v>0</v>
      </c>
      <c r="AZ8" s="136">
        <f>IF($A8="","",VLOOKUP($A8,기본데이타!$A$8:$BV$103,COLUMN(기본데이타!BC$8),0))</f>
        <v>11782800</v>
      </c>
      <c r="BA8" s="136">
        <f>IF($A8="","",VLOOKUP($A8,기본데이타!$A$8:$BV$103,COLUMN(기본데이타!BD$8),0))</f>
        <v>0</v>
      </c>
      <c r="BB8" s="136">
        <f>IF($A8="","",VLOOKUP($A8,기본데이타!$A$8:$BV$103,COLUMN(기본데이타!BE$8),0))</f>
        <v>0</v>
      </c>
      <c r="BC8" s="136">
        <f>IF($A8="","",VLOOKUP($A8,기본데이타!$A$8:$BV$103,COLUMN(기본데이타!BF$8),0))</f>
        <v>0</v>
      </c>
      <c r="BD8" s="136">
        <f>IF($A8="","",VLOOKUP($A8,기본데이타!$A$8:$BV$103,COLUMN(기본데이타!BG$8),0))</f>
        <v>0</v>
      </c>
      <c r="BE8" s="136">
        <f>IF($A8="","",VLOOKUP($A8,기본데이타!$A$8:$BV$103,COLUMN(기본데이타!BH$8),0))</f>
        <v>0</v>
      </c>
      <c r="BF8" s="136">
        <f>IF($A8="","",VLOOKUP($A8,기본데이타!$A$8:$BV$103,COLUMN(기본데이타!BI$8),0))</f>
        <v>0</v>
      </c>
      <c r="BG8" s="136">
        <f>IF($A8="","",VLOOKUP($A8,기본데이타!$A$8:$BV$103,COLUMN(기본데이타!BJ$8),0))</f>
        <v>0</v>
      </c>
      <c r="BH8" s="136">
        <f>IF($A8="","",VLOOKUP($A8,기본데이타!$A$8:$BV$103,COLUMN(기본데이타!BK$8),0))</f>
        <v>0</v>
      </c>
      <c r="BI8" s="136">
        <f>IF($A8="","",VLOOKUP($A8,기본데이타!$A$8:$BV$103,COLUMN(기본데이타!BL$8),0))</f>
        <v>0</v>
      </c>
      <c r="BJ8" s="136">
        <f>IF($A8="","",VLOOKUP($A8,기본데이타!$A$8:$BV$103,COLUMN(기본데이타!BM$8),0))</f>
        <v>0</v>
      </c>
      <c r="BK8" s="136">
        <f>IF($A8="","",VLOOKUP($A8,기본데이타!$A$8:$BV$103,COLUMN(기본데이타!BN$8),0))</f>
        <v>11782800</v>
      </c>
      <c r="BL8" s="136">
        <f>IF($A8="","",VLOOKUP($A8,기본데이타!$A$8:$BV$103,COLUMN(기본데이타!BO$8),0))</f>
        <v>278499439</v>
      </c>
      <c r="BM8" s="136">
        <f>IF($A8="","",VLOOKUP($A8,기본데이타!$A$8:$BV$103,COLUMN(기본데이타!BP$8),0))</f>
        <v>245665488</v>
      </c>
      <c r="BN8" s="136">
        <f>IF($A8="","",VLOOKUP($A8,기본데이타!$A$8:$BV$103,COLUMN(기본데이타!BQ$8),0))</f>
        <v>32833951</v>
      </c>
      <c r="BO8" s="136">
        <f>IF($A8="","",VLOOKUP($A8,기본데이타!$A$8:$BV$103,COLUMN(기본데이타!BR$8),0))</f>
        <v>2</v>
      </c>
      <c r="BP8" s="136">
        <f>IF($A8="","",VLOOKUP($A8,기본데이타!$A$8:$BV$103,COLUMN(기본데이타!BS$8),0))</f>
        <v>336399581</v>
      </c>
      <c r="BQ8" s="833">
        <f>IF($A8="","",VLOOKUP($A8,기본데이타!$A$8:$BV$103,COLUMN(기본데이타!BT$8),0))</f>
        <v>80.66</v>
      </c>
      <c r="BR8" s="834">
        <f>IF($A8="","",VLOOKUP($A8,기본데이타!$A$8:$BV$103,COLUMN(기본데이타!BU$8),0))</f>
        <v>5962.5</v>
      </c>
      <c r="BS8" s="136">
        <f>IF($A8="","",VLOOKUP($A8,기본데이타!$A$8:$BV$103,COLUMN(기본데이타!BV$8),0))</f>
        <v>0</v>
      </c>
      <c r="BT8" s="979">
        <f>A8</f>
        <v>1</v>
      </c>
      <c r="BU8" s="242"/>
    </row>
    <row r="9" spans="1:74" s="7" customFormat="1" ht="73.5" customHeight="1">
      <c r="A9" s="171"/>
      <c r="B9" s="163"/>
      <c r="C9" s="257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7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173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85" t="str">
        <f>IF($A9="","",VLOOKUP($A9,기본데이타!$A$8:$BV$103,COLUMN(기본데이타!BT$8),0))</f>
        <v/>
      </c>
      <c r="BR9" s="168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8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168" t="str">
        <f>IF($A10="","",VLOOKUP($A10,기본데이타!$A$8:$BV$103,COLUMN(기본데이타!BT$8),0))</f>
        <v/>
      </c>
      <c r="BR10" s="168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8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168" t="str">
        <f>IF($A11="","",VLOOKUP($A11,기본데이타!$A$8:$BV$103,COLUMN(기본데이타!BT$8),0))</f>
        <v/>
      </c>
      <c r="BR11" s="168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8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168" t="str">
        <f>IF($A12="","",VLOOKUP($A12,기본데이타!$A$8:$BV$103,COLUMN(기본데이타!BT$8),0))</f>
        <v/>
      </c>
      <c r="BR12" s="168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8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168" t="str">
        <f>IF($A13="","",VLOOKUP($A13,기본데이타!$A$8:$BV$103,COLUMN(기본데이타!BT$8),0))</f>
        <v/>
      </c>
      <c r="BR13" s="168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8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168" t="str">
        <f>IF($A14="","",VLOOKUP($A14,기본데이타!$A$8:$BV$103,COLUMN(기본데이타!BT$8),0))</f>
        <v/>
      </c>
      <c r="BR14" s="168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8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168" t="str">
        <f>IF($A15="","",VLOOKUP($A15,기본데이타!$A$8:$BV$103,COLUMN(기본데이타!BT$8),0))</f>
        <v/>
      </c>
      <c r="BR15" s="168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8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168" t="str">
        <f>IF($A16="","",VLOOKUP($A16,기본데이타!$A$8:$BV$103,COLUMN(기본데이타!BT$8),0))</f>
        <v/>
      </c>
      <c r="BR16" s="168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8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168" t="str">
        <f>IF($A17="","",VLOOKUP($A17,기본데이타!$A$8:$BV$103,COLUMN(기본데이타!BT$8),0))</f>
        <v/>
      </c>
      <c r="BR17" s="168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8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168" t="str">
        <f>IF($A18="","",VLOOKUP($A18,기본데이타!$A$8:$BV$103,COLUMN(기본데이타!BT$8),0))</f>
        <v/>
      </c>
      <c r="BR18" s="168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8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168" t="str">
        <f>IF($A19="","",VLOOKUP($A19,기본데이타!$A$8:$BV$103,COLUMN(기본데이타!BT$8),0))</f>
        <v/>
      </c>
      <c r="BR19" s="168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8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8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8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8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8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8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8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8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8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7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8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8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68" t="str">
        <f>IF($A30="","",VLOOKUP($A30,기본데이타!$A$8:$BV$103,COLUMN(기본데이타!Y$8),0))</f>
        <v/>
      </c>
      <c r="W30" s="168" t="str">
        <f>IF($A30="","",VLOOKUP($A30,기본데이타!$A$8:$BV$103,COLUMN(기본데이타!Z$8),0))</f>
        <v/>
      </c>
      <c r="X30" s="168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8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68" t="str">
        <f>IF($A31="","",VLOOKUP($A31,기본데이타!$A$8:$BV$103,COLUMN(기본데이타!Y$8),0))</f>
        <v/>
      </c>
      <c r="W31" s="168" t="str">
        <f>IF($A31="","",VLOOKUP($A31,기본데이타!$A$8:$BV$103,COLUMN(기본데이타!Z$8),0))</f>
        <v/>
      </c>
      <c r="X31" s="168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8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68" t="str">
        <f>IF($A32="","",VLOOKUP($A32,기본데이타!$A$8:$BV$103,COLUMN(기본데이타!Y$8),0))</f>
        <v/>
      </c>
      <c r="W32" s="168" t="str">
        <f>IF($A32="","",VLOOKUP($A32,기본데이타!$A$8:$BV$103,COLUMN(기본데이타!Z$8),0))</f>
        <v/>
      </c>
      <c r="X32" s="168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8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986" t="str">
        <f>IF($A33="","",VLOOKUP($A33,기본데이타!$A$8:$BV$103,COLUMN(기본데이타!Y$8),0))</f>
        <v/>
      </c>
      <c r="W33" s="986" t="str">
        <f>IF($A33="","",VLOOKUP($A33,기본데이타!$A$8:$BV$103,COLUMN(기본데이타!Z$8),0))</f>
        <v/>
      </c>
      <c r="X33" s="98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7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8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7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7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7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7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7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7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7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7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7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7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7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7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7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7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7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7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7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7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7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7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7"/>
        <v/>
      </c>
    </row>
    <row r="55" spans="46:49">
      <c r="AT55" s="10"/>
      <c r="AU55" s="10"/>
      <c r="AV55" s="10"/>
      <c r="AW55" s="10" t="str">
        <f t="shared" si="7"/>
        <v/>
      </c>
    </row>
    <row r="56" spans="46:49">
      <c r="AT56" s="10"/>
      <c r="AU56" s="10"/>
      <c r="AV56" s="10"/>
      <c r="AW56" s="10" t="str">
        <f t="shared" si="7"/>
        <v/>
      </c>
    </row>
    <row r="57" spans="46:49">
      <c r="AT57" s="10"/>
      <c r="AU57" s="10"/>
      <c r="AV57" s="10"/>
      <c r="AW57" s="10" t="str">
        <f t="shared" si="7"/>
        <v/>
      </c>
    </row>
    <row r="58" spans="46:49">
      <c r="AT58" s="10"/>
      <c r="AU58" s="10"/>
      <c r="AV58" s="10"/>
      <c r="AW58" s="10" t="str">
        <f t="shared" si="7"/>
        <v/>
      </c>
    </row>
    <row r="59" spans="46:49">
      <c r="AT59" s="10"/>
      <c r="AU59" s="10"/>
      <c r="AV59" s="10"/>
      <c r="AW59" s="10" t="str">
        <f t="shared" si="7"/>
        <v/>
      </c>
    </row>
    <row r="60" spans="46:49">
      <c r="AT60" s="10"/>
      <c r="AU60" s="10"/>
      <c r="AV60" s="10"/>
      <c r="AW60" s="10" t="str">
        <f t="shared" si="7"/>
        <v/>
      </c>
    </row>
    <row r="61" spans="46:49">
      <c r="AT61" s="10"/>
      <c r="AU61" s="10"/>
      <c r="AV61" s="10"/>
      <c r="AW61" s="10" t="str">
        <f t="shared" si="7"/>
        <v/>
      </c>
    </row>
    <row r="62" spans="46:49">
      <c r="AT62" s="10"/>
      <c r="AU62" s="10"/>
      <c r="AV62" s="10"/>
      <c r="AW62" s="10" t="str">
        <f t="shared" si="7"/>
        <v/>
      </c>
    </row>
    <row r="63" spans="46:49">
      <c r="AT63" s="10"/>
      <c r="AU63" s="10"/>
      <c r="AV63" s="10"/>
      <c r="AW63" s="10" t="str">
        <f t="shared" si="7"/>
        <v/>
      </c>
    </row>
    <row r="64" spans="46:49">
      <c r="AT64" s="10"/>
      <c r="AU64" s="10"/>
      <c r="AV64" s="10"/>
      <c r="AW64" s="10" t="str">
        <f t="shared" si="7"/>
        <v/>
      </c>
    </row>
    <row r="65" spans="46:49">
      <c r="AT65" s="10"/>
      <c r="AU65" s="10"/>
      <c r="AV65" s="10"/>
      <c r="AW65" s="10" t="str">
        <f t="shared" si="7"/>
        <v/>
      </c>
    </row>
    <row r="66" spans="46:49">
      <c r="AW66" s="2" t="str">
        <f t="shared" si="7"/>
        <v/>
      </c>
    </row>
  </sheetData>
  <mergeCells count="14">
    <mergeCell ref="BS4:BS6"/>
    <mergeCell ref="BT4:BT6"/>
    <mergeCell ref="AH5:AJ5"/>
    <mergeCell ref="BK5:BK6"/>
    <mergeCell ref="BO4:BR4"/>
    <mergeCell ref="C4:C6"/>
    <mergeCell ref="Y4:Z5"/>
    <mergeCell ref="AS4:AS6"/>
    <mergeCell ref="AT4:AW5"/>
    <mergeCell ref="AX4:AX6"/>
    <mergeCell ref="AA4:AB5"/>
    <mergeCell ref="AC4:AD5"/>
    <mergeCell ref="AE4:AF5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8">
    <tabColor rgb="FFFFFF00"/>
  </sheetPr>
  <dimension ref="A1:BV66"/>
  <sheetViews>
    <sheetView showGridLines="0" zoomScale="50" zoomScaleNormal="50" workbookViewId="0">
      <pane xSplit="4" ySplit="7" topLeftCell="BC8" activePane="bottomRight" state="frozen"/>
      <selection activeCell="BS1" sqref="BS1"/>
      <selection pane="topRight" activeCell="BS1" sqref="BS1"/>
      <selection pane="bottomLeft" activeCell="BS1" sqref="BS1"/>
      <selection pane="bottomRight" activeCell="BC10" sqref="BC10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33203125" style="2" bestFit="1" customWidth="1"/>
    <col min="5" max="5" width="25.109375" style="2" bestFit="1" customWidth="1"/>
    <col min="6" max="6" width="25" style="2" customWidth="1"/>
    <col min="7" max="7" width="25" style="2" hidden="1" customWidth="1"/>
    <col min="8" max="8" width="6.33203125" style="2" hidden="1" customWidth="1"/>
    <col min="9" max="9" width="9" style="2" hidden="1" customWidth="1"/>
    <col min="10" max="10" width="6.33203125" style="2" hidden="1" customWidth="1"/>
    <col min="11" max="11" width="8.44140625" style="2" hidden="1" customWidth="1"/>
    <col min="12" max="12" width="6.33203125" style="2" hidden="1" customWidth="1"/>
    <col min="13" max="13" width="7.21875" style="2" hidden="1" customWidth="1"/>
    <col min="14" max="14" width="5.77734375" style="2" hidden="1" customWidth="1"/>
    <col min="15" max="15" width="7.44140625" style="2" hidden="1" customWidth="1"/>
    <col min="16" max="16" width="5.77734375" style="2" hidden="1" customWidth="1"/>
    <col min="17" max="17" width="11.44140625" style="2" hidden="1" customWidth="1"/>
    <col min="18" max="18" width="5.77734375" style="2" hidden="1" customWidth="1"/>
    <col min="19" max="19" width="11.77734375" style="2" hidden="1" customWidth="1"/>
    <col min="20" max="20" width="5.77734375" style="2" hidden="1" customWidth="1"/>
    <col min="21" max="21" width="13" style="2" hidden="1" customWidth="1"/>
    <col min="22" max="22" width="5.77734375" style="2" hidden="1" customWidth="1"/>
    <col min="23" max="24" width="9.5546875" style="2" hidden="1" customWidth="1"/>
    <col min="25" max="25" width="5.77734375" style="2" hidden="1" customWidth="1"/>
    <col min="26" max="26" width="16.21875" style="2" hidden="1" customWidth="1"/>
    <col min="27" max="27" width="5.77734375" style="2" hidden="1" customWidth="1"/>
    <col min="28" max="28" width="16.21875" style="2" hidden="1" customWidth="1"/>
    <col min="29" max="29" width="5.77734375" style="2" hidden="1" customWidth="1"/>
    <col min="30" max="30" width="16.21875" style="2" hidden="1" customWidth="1"/>
    <col min="31" max="31" width="5.77734375" style="2" hidden="1" customWidth="1"/>
    <col min="32" max="32" width="16.21875" style="2" hidden="1" customWidth="1"/>
    <col min="33" max="33" width="7.77734375" style="2" hidden="1" customWidth="1"/>
    <col min="34" max="45" width="12.77734375" style="360" hidden="1" customWidth="1"/>
    <col min="46" max="46" width="20.77734375" style="2" hidden="1" customWidth="1"/>
    <col min="47" max="49" width="20.77734375" style="2" bestFit="1" customWidth="1"/>
    <col min="50" max="50" width="11.44140625" style="2" customWidth="1"/>
    <col min="51" max="51" width="15.5546875" style="2" bestFit="1" customWidth="1"/>
    <col min="52" max="53" width="14" style="2" customWidth="1"/>
    <col min="54" max="54" width="15.21875" style="2" customWidth="1"/>
    <col min="55" max="55" width="14.6640625" style="2" customWidth="1"/>
    <col min="56" max="57" width="14" style="2" customWidth="1"/>
    <col min="58" max="58" width="11.44140625" style="2" customWidth="1"/>
    <col min="59" max="62" width="17.88671875" style="2" bestFit="1" customWidth="1"/>
    <col min="63" max="64" width="22.6640625" style="2" bestFit="1" customWidth="1"/>
    <col min="65" max="65" width="20.6640625" style="2" bestFit="1" customWidth="1"/>
    <col min="66" max="66" width="18.33203125" style="2" bestFit="1" customWidth="1"/>
    <col min="67" max="67" width="15.77734375" style="2" customWidth="1"/>
    <col min="68" max="68" width="26.88671875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74" width="13.109375" style="2" bestFit="1" customWidth="1"/>
    <col min="75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0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SUM(AP8:AP28)</f>
        <v>0</v>
      </c>
      <c r="AQ7" s="357">
        <f t="shared" si="2"/>
        <v>0</v>
      </c>
      <c r="AR7" s="357">
        <f t="shared" ref="AR7" si="3">SUM(AR8:AR28)</f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4">
        <f t="shared" ref="AX7:BN7" si="4">SUM(AX8:AX32)</f>
        <v>0</v>
      </c>
      <c r="AY7" s="134">
        <f t="shared" si="4"/>
        <v>0</v>
      </c>
      <c r="AZ7" s="134">
        <f t="shared" si="4"/>
        <v>0</v>
      </c>
      <c r="BA7" s="140">
        <f t="shared" si="4"/>
        <v>0</v>
      </c>
      <c r="BB7" s="139">
        <f t="shared" si="4"/>
        <v>0</v>
      </c>
      <c r="BC7" s="139">
        <f t="shared" si="4"/>
        <v>0</v>
      </c>
      <c r="BD7" s="134">
        <f t="shared" si="4"/>
        <v>0</v>
      </c>
      <c r="BE7" s="134">
        <f t="shared" si="4"/>
        <v>0</v>
      </c>
      <c r="BF7" s="134">
        <f t="shared" si="4"/>
        <v>0</v>
      </c>
      <c r="BG7" s="134">
        <f t="shared" si="4"/>
        <v>0</v>
      </c>
      <c r="BH7" s="134">
        <f t="shared" ref="BH7:BI7" si="5">SUM(BH8:BH32)</f>
        <v>0</v>
      </c>
      <c r="BI7" s="134">
        <f t="shared" si="5"/>
        <v>0</v>
      </c>
      <c r="BJ7" s="134">
        <f t="shared" ref="BJ7" si="6">SUM(BJ8:BJ32)</f>
        <v>0</v>
      </c>
      <c r="BK7" s="141">
        <f t="shared" si="4"/>
        <v>0</v>
      </c>
      <c r="BL7" s="141">
        <f t="shared" si="4"/>
        <v>0</v>
      </c>
      <c r="BM7" s="141">
        <f t="shared" si="4"/>
        <v>0</v>
      </c>
      <c r="BN7" s="141">
        <f t="shared" si="4"/>
        <v>0</v>
      </c>
      <c r="BO7" s="142">
        <f>'[7]산업용(분석서)'!$D$47</f>
        <v>31</v>
      </c>
      <c r="BP7" s="803">
        <f>'[7]산업용(분석서)'!$D$45</f>
        <v>0</v>
      </c>
      <c r="BQ7" s="831" t="str">
        <f>'[7]산업용(분석서)'!$D$46</f>
        <v>한도초과</v>
      </c>
      <c r="BR7" s="300" t="e">
        <f>'[7]산업용(분석서)'!$F$39</f>
        <v>#DIV/0!</v>
      </c>
      <c r="BS7" s="799">
        <f>SUM(BS9:BS33)</f>
        <v>0</v>
      </c>
      <c r="BT7" s="800"/>
    </row>
    <row r="8" spans="1:74" s="7" customFormat="1" ht="73.5" customHeight="1">
      <c r="A8" s="171"/>
      <c r="B8" s="162" t="s">
        <v>263</v>
      </c>
      <c r="C8" s="131" t="str">
        <f>IF($A8="","",VLOOKUP($A8,기본데이타!$A$8:$BV$103,COLUMN(기본데이타!F$8),0))</f>
        <v/>
      </c>
      <c r="D8" s="144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6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06" t="str">
        <f>IF($A8="","",VLOOKUP($A8,기본데이타!$A$8:$BV$103,COLUMN(기본데이타!BT$8),0))</f>
        <v/>
      </c>
      <c r="BR8" s="834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171"/>
      <c r="B9" s="163"/>
      <c r="C9" s="1210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7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82" t="str">
        <f>IF($A9="","",VLOOKUP($A9,기본데이타!$A$8:$BV$103,COLUMN(기본데이타!BT$8),0))</f>
        <v/>
      </c>
      <c r="BR9" s="168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8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982" t="str">
        <f>IF($A10="","",VLOOKUP($A10,기본데이타!$A$8:$BV$103,COLUMN(기본데이타!BT$8),0))</f>
        <v/>
      </c>
      <c r="BR10" s="168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8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168" t="str">
        <f>IF($A11="","",VLOOKUP($A11,기본데이타!$A$8:$BV$103,COLUMN(기본데이타!BT$8),0))</f>
        <v/>
      </c>
      <c r="BR11" s="168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8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168" t="str">
        <f>IF($A12="","",VLOOKUP($A12,기본데이타!$A$8:$BV$103,COLUMN(기본데이타!BT$8),0))</f>
        <v/>
      </c>
      <c r="BR12" s="168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8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168" t="str">
        <f>IF($A13="","",VLOOKUP($A13,기본데이타!$A$8:$BV$103,COLUMN(기본데이타!BT$8),0))</f>
        <v/>
      </c>
      <c r="BR13" s="168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8"/>
        <v>0</v>
      </c>
      <c r="BU13" s="242"/>
      <c r="BV13" s="807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168" t="str">
        <f>IF($A14="","",VLOOKUP($A14,기본데이타!$A$8:$BV$103,COLUMN(기본데이타!BT$8),0))</f>
        <v/>
      </c>
      <c r="BR14" s="168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8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168" t="str">
        <f>IF($A15="","",VLOOKUP($A15,기본데이타!$A$8:$BV$103,COLUMN(기본데이타!BT$8),0))</f>
        <v/>
      </c>
      <c r="BR15" s="168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8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168" t="str">
        <f>IF($A16="","",VLOOKUP($A16,기본데이타!$A$8:$BV$103,COLUMN(기본데이타!BT$8),0))</f>
        <v/>
      </c>
      <c r="BR16" s="168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8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168" t="str">
        <f>IF($A17="","",VLOOKUP($A17,기본데이타!$A$8:$BV$103,COLUMN(기본데이타!BT$8),0))</f>
        <v/>
      </c>
      <c r="BR17" s="168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8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168" t="str">
        <f>IF($A18="","",VLOOKUP($A18,기본데이타!$A$8:$BV$103,COLUMN(기본데이타!BT$8),0))</f>
        <v/>
      </c>
      <c r="BR18" s="168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8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168" t="str">
        <f>IF($A19="","",VLOOKUP($A19,기본데이타!$A$8:$BV$103,COLUMN(기본데이타!BT$8),0))</f>
        <v/>
      </c>
      <c r="BR19" s="168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8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8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8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8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8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8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8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8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8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7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8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8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116" t="str">
        <f>IF($A30="","",VLOOKUP($A30,기본데이타!$A$8:$BV$103,COLUMN(기본데이타!Y$8),0))</f>
        <v/>
      </c>
      <c r="W30" s="1116" t="str">
        <f>IF($A30="","",VLOOKUP($A30,기본데이타!$A$8:$BV$103,COLUMN(기본데이타!Z$8),0))</f>
        <v/>
      </c>
      <c r="X30" s="1116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8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36" t="str">
        <f>IF($A31="","",VLOOKUP($A31,기본데이타!$A$8:$BV$103,COLUMN(기본데이타!Y$8),0))</f>
        <v/>
      </c>
      <c r="W31" s="136" t="str">
        <f>IF($A31="","",VLOOKUP($A31,기본데이타!$A$8:$BV$103,COLUMN(기본데이타!Z$8),0))</f>
        <v/>
      </c>
      <c r="X31" s="136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8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36" t="str">
        <f>IF($A32="","",VLOOKUP($A32,기본데이타!$A$8:$BV$103,COLUMN(기본데이타!Y$8),0))</f>
        <v/>
      </c>
      <c r="W32" s="136" t="str">
        <f>IF($A32="","",VLOOKUP($A32,기본데이타!$A$8:$BV$103,COLUMN(기본데이타!Z$8),0))</f>
        <v/>
      </c>
      <c r="X32" s="136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8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136" t="str">
        <f>IF($A33="","",VLOOKUP($A33,기본데이타!$A$8:$BV$103,COLUMN(기본데이타!Y$8),0))</f>
        <v/>
      </c>
      <c r="W33" s="136" t="str">
        <f>IF($A33="","",VLOOKUP($A33,기본데이타!$A$8:$BV$103,COLUMN(기본데이타!Z$8),0))</f>
        <v/>
      </c>
      <c r="X33" s="13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7"/>
        <v/>
      </c>
      <c r="AX33" s="168" t="str">
        <f>IF($A33="","",VLOOKUP($A33,기본데이타!$A$8:$BV$103,COLUMN(기본데이타!BA$8),0))</f>
        <v/>
      </c>
      <c r="AY33" s="168" t="str">
        <f>IF($A33="","",VLOOKUP($A33,기본데이타!$A$8:$BV$103,COLUMN(기본데이타!BB$8),0))</f>
        <v/>
      </c>
      <c r="AZ33" s="168" t="str">
        <f>IF($A33="","",VLOOKUP($A33,기본데이타!$A$8:$BV$103,COLUMN(기본데이타!BC$8),0))</f>
        <v/>
      </c>
      <c r="BA33" s="168" t="str">
        <f>IF($A33="","",VLOOKUP($A33,기본데이타!$A$8:$BV$103,COLUMN(기본데이타!BD$8),0))</f>
        <v/>
      </c>
      <c r="BB33" s="168" t="str">
        <f>IF($A33="","",VLOOKUP($A33,기본데이타!$A$8:$BV$103,COLUMN(기본데이타!BE$8),0))</f>
        <v/>
      </c>
      <c r="BC33" s="168" t="str">
        <f>IF($A33="","",VLOOKUP($A33,기본데이타!$A$8:$BV$103,COLUMN(기본데이타!BF$8),0))</f>
        <v/>
      </c>
      <c r="BD33" s="168" t="str">
        <f>IF($A33="","",VLOOKUP($A33,기본데이타!$A$8:$BV$103,COLUMN(기본데이타!BG$8),0))</f>
        <v/>
      </c>
      <c r="BE33" s="168" t="str">
        <f>IF($A33="","",VLOOKUP($A33,기본데이타!$A$8:$BV$103,COLUMN(기본데이타!BH$8),0))</f>
        <v/>
      </c>
      <c r="BF33" s="168" t="str">
        <f>IF($A33="","",VLOOKUP($A33,기본데이타!$A$8:$BV$103,COLUMN(기본데이타!BI$8),0))</f>
        <v/>
      </c>
      <c r="BG33" s="168" t="str">
        <f>IF($A33="","",VLOOKUP($A33,기본데이타!$A$8:$BV$103,COLUMN(기본데이타!BJ$8),0))</f>
        <v/>
      </c>
      <c r="BH33" s="168" t="str">
        <f>IF($A33="","",VLOOKUP($A33,기본데이타!$A$8:$BV$103,COLUMN(기본데이타!BK$8),0))</f>
        <v/>
      </c>
      <c r="BI33" s="168" t="str">
        <f>IF($A33="","",VLOOKUP($A33,기본데이타!$A$8:$BV$103,COLUMN(기본데이타!BL$8),0))</f>
        <v/>
      </c>
      <c r="BJ33" s="168" t="str">
        <f>IF($A33="","",VLOOKUP($A33,기본데이타!$A$8:$BV$103,COLUMN(기본데이타!BM$8),0))</f>
        <v/>
      </c>
      <c r="BK33" s="168" t="str">
        <f>IF($A33="","",VLOOKUP($A33,기본데이타!$A$8:$BV$103,COLUMN(기본데이타!BN$8),0))</f>
        <v/>
      </c>
      <c r="BL33" s="168" t="str">
        <f>IF($A33="","",VLOOKUP($A33,기본데이타!$A$8:$BV$103,COLUMN(기본데이타!BO$8),0))</f>
        <v/>
      </c>
      <c r="BM33" s="168" t="str">
        <f>IF($A33="","",VLOOKUP($A33,기본데이타!$A$8:$BV$103,COLUMN(기본데이타!BP$8),0))</f>
        <v/>
      </c>
      <c r="BN33" s="168" t="str">
        <f>IF($A33="","",VLOOKUP($A33,기본데이타!$A$8:$BV$103,COLUMN(기본데이타!BQ$8),0))</f>
        <v/>
      </c>
      <c r="BO33" s="168" t="str">
        <f>IF($A33="","",VLOOKUP($A33,기본데이타!$A$8:$BV$103,COLUMN(기본데이타!BR$8),0))</f>
        <v/>
      </c>
      <c r="BP33" s="168" t="str">
        <f>IF($A33="","",VLOOKUP($A33,기본데이타!$A$8:$BV$103,COLUMN(기본데이타!BS$8),0))</f>
        <v/>
      </c>
      <c r="BQ33" s="168" t="str">
        <f>IF($A33="","",VLOOKUP($A33,기본데이타!$A$8:$BV$103,COLUMN(기본데이타!BT$8),0))</f>
        <v/>
      </c>
      <c r="BR33" s="168" t="str">
        <f>IF($A33="","",VLOOKUP($A33,기본데이타!$A$8:$BV$103,COLUMN(기본데이타!BU$8),0))</f>
        <v/>
      </c>
      <c r="BS33" s="168" t="str">
        <f>IF($A33="","",VLOOKUP($A33,기본데이타!$A$8:$BV$103,COLUMN(기본데이타!BV$8),0))</f>
        <v/>
      </c>
      <c r="BT33" s="983">
        <f t="shared" si="8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7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7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7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7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7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7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7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7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7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7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7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7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7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7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7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7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7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7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7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7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7"/>
        <v/>
      </c>
    </row>
    <row r="55" spans="46:49">
      <c r="AT55" s="10"/>
      <c r="AU55" s="10"/>
      <c r="AV55" s="10"/>
      <c r="AW55" s="10" t="str">
        <f t="shared" si="7"/>
        <v/>
      </c>
    </row>
    <row r="56" spans="46:49">
      <c r="AT56" s="10"/>
      <c r="AU56" s="10"/>
      <c r="AV56" s="10"/>
      <c r="AW56" s="10" t="str">
        <f t="shared" si="7"/>
        <v/>
      </c>
    </row>
    <row r="57" spans="46:49">
      <c r="AT57" s="10"/>
      <c r="AU57" s="10"/>
      <c r="AV57" s="10"/>
      <c r="AW57" s="10" t="str">
        <f t="shared" si="7"/>
        <v/>
      </c>
    </row>
    <row r="58" spans="46:49">
      <c r="AT58" s="10"/>
      <c r="AU58" s="10"/>
      <c r="AV58" s="10"/>
      <c r="AW58" s="10" t="str">
        <f t="shared" si="7"/>
        <v/>
      </c>
    </row>
    <row r="59" spans="46:49">
      <c r="AT59" s="10"/>
      <c r="AU59" s="10"/>
      <c r="AV59" s="10"/>
      <c r="AW59" s="10" t="str">
        <f t="shared" si="7"/>
        <v/>
      </c>
    </row>
    <row r="60" spans="46:49">
      <c r="AT60" s="10"/>
      <c r="AU60" s="10"/>
      <c r="AV60" s="10"/>
      <c r="AW60" s="10" t="str">
        <f t="shared" si="7"/>
        <v/>
      </c>
    </row>
    <row r="61" spans="46:49">
      <c r="AT61" s="10"/>
      <c r="AU61" s="10"/>
      <c r="AV61" s="10"/>
      <c r="AW61" s="10" t="str">
        <f t="shared" si="7"/>
        <v/>
      </c>
    </row>
    <row r="62" spans="46:49">
      <c r="AT62" s="10"/>
      <c r="AU62" s="10"/>
      <c r="AV62" s="10"/>
      <c r="AW62" s="10" t="str">
        <f t="shared" si="7"/>
        <v/>
      </c>
    </row>
    <row r="63" spans="46:49">
      <c r="AT63" s="10"/>
      <c r="AU63" s="10"/>
      <c r="AV63" s="10"/>
      <c r="AW63" s="10" t="str">
        <f t="shared" si="7"/>
        <v/>
      </c>
    </row>
    <row r="64" spans="46:49">
      <c r="AT64" s="10"/>
      <c r="AU64" s="10"/>
      <c r="AV64" s="10"/>
      <c r="AW64" s="10" t="str">
        <f t="shared" si="7"/>
        <v/>
      </c>
    </row>
    <row r="65" spans="46:49">
      <c r="AT65" s="10"/>
      <c r="AU65" s="10"/>
      <c r="AV65" s="10"/>
      <c r="AW65" s="10" t="str">
        <f t="shared" si="7"/>
        <v/>
      </c>
    </row>
    <row r="66" spans="46:49">
      <c r="AW66" s="2" t="str">
        <f t="shared" si="7"/>
        <v/>
      </c>
    </row>
  </sheetData>
  <mergeCells count="14">
    <mergeCell ref="BS4:BS6"/>
    <mergeCell ref="BT4:BT6"/>
    <mergeCell ref="AH5:AJ5"/>
    <mergeCell ref="BK5:BK6"/>
    <mergeCell ref="BO4:BR4"/>
    <mergeCell ref="C4:C6"/>
    <mergeCell ref="Y4:Z5"/>
    <mergeCell ref="AS4:AS6"/>
    <mergeCell ref="AT4:AW5"/>
    <mergeCell ref="AX4:AX6"/>
    <mergeCell ref="AA4:AB5"/>
    <mergeCell ref="AC4:AD5"/>
    <mergeCell ref="AE4:AF5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9">
    <tabColor rgb="FFFFFF00"/>
  </sheetPr>
  <dimension ref="A1:BV66"/>
  <sheetViews>
    <sheetView showGridLines="0" zoomScale="50" workbookViewId="0">
      <pane xSplit="4" ySplit="7" topLeftCell="BC8" activePane="bottomRight" state="frozen"/>
      <selection activeCell="BS1" sqref="BS1"/>
      <selection pane="topRight" activeCell="BS1" sqref="BS1"/>
      <selection pane="bottomLeft" activeCell="BS1" sqref="BS1"/>
      <selection pane="bottomRight" activeCell="A8" sqref="A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77734375" style="2" bestFit="1" customWidth="1"/>
    <col min="5" max="5" width="25.109375" style="2" bestFit="1" customWidth="1"/>
    <col min="6" max="6" width="25" style="2" customWidth="1"/>
    <col min="7" max="7" width="25" style="2" hidden="1" customWidth="1"/>
    <col min="8" max="8" width="6.33203125" style="2" hidden="1" customWidth="1"/>
    <col min="9" max="9" width="9" style="2" hidden="1" customWidth="1"/>
    <col min="10" max="10" width="6.33203125" style="2" hidden="1" customWidth="1"/>
    <col min="11" max="11" width="8.44140625" style="2" hidden="1" customWidth="1"/>
    <col min="12" max="12" width="6.33203125" style="2" hidden="1" customWidth="1"/>
    <col min="13" max="13" width="7.21875" style="2" hidden="1" customWidth="1"/>
    <col min="14" max="14" width="5.77734375" style="2" hidden="1" customWidth="1"/>
    <col min="15" max="15" width="7.44140625" style="2" hidden="1" customWidth="1"/>
    <col min="16" max="16" width="5.77734375" style="2" hidden="1" customWidth="1"/>
    <col min="17" max="17" width="14.109375" style="2" hidden="1" customWidth="1"/>
    <col min="18" max="18" width="5.77734375" style="2" hidden="1" customWidth="1"/>
    <col min="19" max="19" width="11.77734375" style="2" hidden="1" customWidth="1"/>
    <col min="20" max="20" width="5.77734375" style="2" hidden="1" customWidth="1"/>
    <col min="21" max="21" width="13" style="2" hidden="1" customWidth="1"/>
    <col min="22" max="22" width="5.77734375" style="2" hidden="1" customWidth="1"/>
    <col min="23" max="24" width="9.5546875" style="2" hidden="1" customWidth="1"/>
    <col min="25" max="25" width="5.77734375" style="2" hidden="1" customWidth="1"/>
    <col min="26" max="26" width="13.44140625" style="2" hidden="1" customWidth="1"/>
    <col min="27" max="27" width="5.77734375" style="2" hidden="1" customWidth="1"/>
    <col min="28" max="28" width="13.44140625" style="2" hidden="1" customWidth="1"/>
    <col min="29" max="29" width="5.77734375" style="2" hidden="1" customWidth="1"/>
    <col min="30" max="30" width="13.44140625" style="2" hidden="1" customWidth="1"/>
    <col min="31" max="31" width="5.77734375" style="2" hidden="1" customWidth="1"/>
    <col min="32" max="32" width="13.44140625" style="2" hidden="1" customWidth="1"/>
    <col min="33" max="33" width="7.77734375" style="2" hidden="1" customWidth="1"/>
    <col min="34" max="45" width="12.77734375" style="360" hidden="1" customWidth="1"/>
    <col min="46" max="46" width="20.77734375" style="2" hidden="1" customWidth="1"/>
    <col min="47" max="49" width="20.77734375" style="2" customWidth="1"/>
    <col min="50" max="50" width="18.33203125" style="2" customWidth="1"/>
    <col min="51" max="51" width="15.5546875" style="2" customWidth="1"/>
    <col min="52" max="52" width="16.77734375" style="2" customWidth="1"/>
    <col min="53" max="53" width="14" style="2" customWidth="1"/>
    <col min="54" max="54" width="18.33203125" style="2" bestFit="1" customWidth="1"/>
    <col min="55" max="56" width="16.77734375" style="2" bestFit="1" customWidth="1"/>
    <col min="57" max="58" width="18.33203125" style="2" bestFit="1" customWidth="1"/>
    <col min="59" max="62" width="15.21875" style="2" customWidth="1"/>
    <col min="63" max="63" width="22.6640625" style="2" customWidth="1"/>
    <col min="64" max="64" width="22.6640625" style="2" bestFit="1" customWidth="1"/>
    <col min="65" max="65" width="20.6640625" style="2" bestFit="1" customWidth="1"/>
    <col min="66" max="66" width="19.88671875" style="2" bestFit="1" customWidth="1"/>
    <col min="67" max="67" width="15.77734375" style="2" customWidth="1"/>
    <col min="68" max="68" width="27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-217598614.96861136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SUM(AP8:AP28)</f>
        <v>0</v>
      </c>
      <c r="AQ7" s="357">
        <f t="shared" si="2"/>
        <v>0</v>
      </c>
      <c r="AR7" s="357">
        <f t="shared" ref="AR7" si="3">SUM(AR8:AR28)</f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38">
        <f t="shared" ref="AX7:BN7" si="4">SUM(AX8:AX32)</f>
        <v>0</v>
      </c>
      <c r="AY7" s="134">
        <f t="shared" si="4"/>
        <v>0</v>
      </c>
      <c r="AZ7" s="134">
        <f t="shared" si="4"/>
        <v>0</v>
      </c>
      <c r="BA7" s="140">
        <f t="shared" si="4"/>
        <v>0</v>
      </c>
      <c r="BB7" s="139">
        <f t="shared" si="4"/>
        <v>0</v>
      </c>
      <c r="BC7" s="139">
        <f t="shared" si="4"/>
        <v>0</v>
      </c>
      <c r="BD7" s="134">
        <f t="shared" si="4"/>
        <v>0</v>
      </c>
      <c r="BE7" s="134">
        <f t="shared" si="4"/>
        <v>0</v>
      </c>
      <c r="BF7" s="134">
        <f t="shared" si="4"/>
        <v>0</v>
      </c>
      <c r="BG7" s="134">
        <f t="shared" si="4"/>
        <v>0</v>
      </c>
      <c r="BH7" s="134">
        <f t="shared" ref="BH7:BI7" si="5">SUM(BH8:BH32)</f>
        <v>0</v>
      </c>
      <c r="BI7" s="134">
        <f t="shared" si="5"/>
        <v>0</v>
      </c>
      <c r="BJ7" s="134">
        <f t="shared" ref="BJ7" si="6">SUM(BJ8:BJ32)</f>
        <v>0</v>
      </c>
      <c r="BK7" s="141">
        <f t="shared" si="4"/>
        <v>0</v>
      </c>
      <c r="BL7" s="141">
        <f t="shared" si="4"/>
        <v>0</v>
      </c>
      <c r="BM7" s="141">
        <f t="shared" si="4"/>
        <v>0</v>
      </c>
      <c r="BN7" s="141">
        <f t="shared" si="4"/>
        <v>0</v>
      </c>
      <c r="BO7" s="142">
        <f>'[6]업무용(분석서)'!$D$47</f>
        <v>1</v>
      </c>
      <c r="BP7" s="803">
        <f>'[6]업무용(분석서)'!$D$45</f>
        <v>217598614.96861136</v>
      </c>
      <c r="BQ7" s="832">
        <f>'[6]업무용(분석서)'!$D$46</f>
        <v>128.23466448150577</v>
      </c>
      <c r="BR7" s="300">
        <f>'[6]업무용(분석서)'!$F$39</f>
        <v>850</v>
      </c>
      <c r="BS7" s="799">
        <f>SUM(BS9:BS33)</f>
        <v>0</v>
      </c>
      <c r="BT7" s="800"/>
    </row>
    <row r="8" spans="1:74" s="7" customFormat="1" ht="73.5" customHeight="1">
      <c r="A8" s="171"/>
      <c r="B8" s="162" t="s">
        <v>265</v>
      </c>
      <c r="C8" s="131" t="str">
        <f>IF($A8="","",VLOOKUP($A8,기본데이타!$A$8:$BV$103,COLUMN(기본데이타!F$8),0))</f>
        <v/>
      </c>
      <c r="D8" s="1339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37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33" t="str">
        <f>IF($A8="","",VLOOKUP($A8,기본데이타!$A$8:$BV$103,COLUMN(기본데이타!BT$8),0))</f>
        <v/>
      </c>
      <c r="BR8" s="996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171"/>
      <c r="B9" s="163"/>
      <c r="C9" s="257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36" t="str">
        <f>IF($A9="","",VLOOKUP($A9,기본데이타!$A$8:$BV$103,COLUMN(기본데이타!Y$8),0))</f>
        <v/>
      </c>
      <c r="W9" s="136" t="str">
        <f>IF($A9="","",VLOOKUP($A9,기본데이타!$A$8:$BV$103,COLUMN(기본데이타!Z$8),0))</f>
        <v/>
      </c>
      <c r="X9" s="136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7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97" t="str">
        <f>IF($A9="","",VLOOKUP($A9,기본데이타!$A$8:$BV$103,COLUMN(기본데이타!BT$8),0))</f>
        <v/>
      </c>
      <c r="BR9" s="997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8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36" t="str">
        <f>IF($A10="","",VLOOKUP($A10,기본데이타!$A$8:$BV$103,COLUMN(기본데이타!Y$8),0))</f>
        <v/>
      </c>
      <c r="W10" s="136" t="str">
        <f>IF($A10="","",VLOOKUP($A10,기본데이타!$A$8:$BV$103,COLUMN(기본데이타!Z$8),0))</f>
        <v/>
      </c>
      <c r="X10" s="136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997" t="str">
        <f>IF($A10="","",VLOOKUP($A10,기본데이타!$A$8:$BV$103,COLUMN(기본데이타!BT$8),0))</f>
        <v/>
      </c>
      <c r="BR10" s="997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8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36" t="str">
        <f>IF($A11="","",VLOOKUP($A11,기본데이타!$A$8:$BV$103,COLUMN(기본데이타!Y$8),0))</f>
        <v/>
      </c>
      <c r="W11" s="136" t="str">
        <f>IF($A11="","",VLOOKUP($A11,기본데이타!$A$8:$BV$103,COLUMN(기본데이타!Z$8),0))</f>
        <v/>
      </c>
      <c r="X11" s="136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997" t="str">
        <f>IF($A11="","",VLOOKUP($A11,기본데이타!$A$8:$BV$103,COLUMN(기본데이타!BT$8),0))</f>
        <v/>
      </c>
      <c r="BR11" s="997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8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36" t="str">
        <f>IF($A12="","",VLOOKUP($A12,기본데이타!$A$8:$BV$103,COLUMN(기본데이타!Y$8),0))</f>
        <v/>
      </c>
      <c r="W12" s="136" t="str">
        <f>IF($A12="","",VLOOKUP($A12,기본데이타!$A$8:$BV$103,COLUMN(기본데이타!Z$8),0))</f>
        <v/>
      </c>
      <c r="X12" s="136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997" t="str">
        <f>IF($A12="","",VLOOKUP($A12,기본데이타!$A$8:$BV$103,COLUMN(기본데이타!BT$8),0))</f>
        <v/>
      </c>
      <c r="BR12" s="997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8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36" t="str">
        <f>IF($A13="","",VLOOKUP($A13,기본데이타!$A$8:$BV$103,COLUMN(기본데이타!Y$8),0))</f>
        <v/>
      </c>
      <c r="W13" s="136" t="str">
        <f>IF($A13="","",VLOOKUP($A13,기본데이타!$A$8:$BV$103,COLUMN(기본데이타!Z$8),0))</f>
        <v/>
      </c>
      <c r="X13" s="136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997" t="str">
        <f>IF($A13="","",VLOOKUP($A13,기본데이타!$A$8:$BV$103,COLUMN(기본데이타!BT$8),0))</f>
        <v/>
      </c>
      <c r="BR13" s="997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8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36" t="str">
        <f>IF($A14="","",VLOOKUP($A14,기본데이타!$A$8:$BV$103,COLUMN(기본데이타!Y$8),0))</f>
        <v/>
      </c>
      <c r="W14" s="136" t="str">
        <f>IF($A14="","",VLOOKUP($A14,기본데이타!$A$8:$BV$103,COLUMN(기본데이타!Z$8),0))</f>
        <v/>
      </c>
      <c r="X14" s="136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997" t="str">
        <f>IF($A14="","",VLOOKUP($A14,기본데이타!$A$8:$BV$103,COLUMN(기본데이타!BT$8),0))</f>
        <v/>
      </c>
      <c r="BR14" s="997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8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36" t="str">
        <f>IF($A15="","",VLOOKUP($A15,기본데이타!$A$8:$BV$103,COLUMN(기본데이타!Y$8),0))</f>
        <v/>
      </c>
      <c r="W15" s="136" t="str">
        <f>IF($A15="","",VLOOKUP($A15,기본데이타!$A$8:$BV$103,COLUMN(기본데이타!Z$8),0))</f>
        <v/>
      </c>
      <c r="X15" s="136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997" t="str">
        <f>IF($A15="","",VLOOKUP($A15,기본데이타!$A$8:$BV$103,COLUMN(기본데이타!BT$8),0))</f>
        <v/>
      </c>
      <c r="BR15" s="997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8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36" t="str">
        <f>IF($A16="","",VLOOKUP($A16,기본데이타!$A$8:$BV$103,COLUMN(기본데이타!Y$8),0))</f>
        <v/>
      </c>
      <c r="W16" s="136" t="str">
        <f>IF($A16="","",VLOOKUP($A16,기본데이타!$A$8:$BV$103,COLUMN(기본데이타!Z$8),0))</f>
        <v/>
      </c>
      <c r="X16" s="136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997" t="str">
        <f>IF($A16="","",VLOOKUP($A16,기본데이타!$A$8:$BV$103,COLUMN(기본데이타!BT$8),0))</f>
        <v/>
      </c>
      <c r="BR16" s="997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8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36" t="str">
        <f>IF($A17="","",VLOOKUP($A17,기본데이타!$A$8:$BV$103,COLUMN(기본데이타!Y$8),0))</f>
        <v/>
      </c>
      <c r="W17" s="136" t="str">
        <f>IF($A17="","",VLOOKUP($A17,기본데이타!$A$8:$BV$103,COLUMN(기본데이타!Z$8),0))</f>
        <v/>
      </c>
      <c r="X17" s="136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997" t="str">
        <f>IF($A17="","",VLOOKUP($A17,기본데이타!$A$8:$BV$103,COLUMN(기본데이타!BT$8),0))</f>
        <v/>
      </c>
      <c r="BR17" s="997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8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36" t="str">
        <f>IF($A18="","",VLOOKUP($A18,기본데이타!$A$8:$BV$103,COLUMN(기본데이타!Y$8),0))</f>
        <v/>
      </c>
      <c r="W18" s="136" t="str">
        <f>IF($A18="","",VLOOKUP($A18,기본데이타!$A$8:$BV$103,COLUMN(기본데이타!Z$8),0))</f>
        <v/>
      </c>
      <c r="X18" s="136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995" t="str">
        <f>IF($A18="","",VLOOKUP($A18,기본데이타!$A$8:$BV$103,COLUMN(기본데이타!BT$8),0))</f>
        <v/>
      </c>
      <c r="BR18" s="995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8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36" t="str">
        <f>IF($A19="","",VLOOKUP($A19,기본데이타!$A$8:$BV$103,COLUMN(기본데이타!Y$8),0))</f>
        <v/>
      </c>
      <c r="W19" s="136" t="str">
        <f>IF($A19="","",VLOOKUP($A19,기본데이타!$A$8:$BV$103,COLUMN(기본데이타!Z$8),0))</f>
        <v/>
      </c>
      <c r="X19" s="136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995" t="str">
        <f>IF($A19="","",VLOOKUP($A19,기본데이타!$A$8:$BV$103,COLUMN(기본데이타!BT$8),0))</f>
        <v/>
      </c>
      <c r="BR19" s="995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8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36" t="str">
        <f>IF($A20="","",VLOOKUP($A20,기본데이타!$A$8:$BV$103,COLUMN(기본데이타!Y$8),0))</f>
        <v/>
      </c>
      <c r="W20" s="136" t="str">
        <f>IF($A20="","",VLOOKUP($A20,기본데이타!$A$8:$BV$103,COLUMN(기본데이타!Z$8),0))</f>
        <v/>
      </c>
      <c r="X20" s="136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8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36" t="str">
        <f>IF($A21="","",VLOOKUP($A21,기본데이타!$A$8:$BV$103,COLUMN(기본데이타!Y$8),0))</f>
        <v/>
      </c>
      <c r="W21" s="136" t="str">
        <f>IF($A21="","",VLOOKUP($A21,기본데이타!$A$8:$BV$103,COLUMN(기본데이타!Z$8),0))</f>
        <v/>
      </c>
      <c r="X21" s="136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8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36" t="str">
        <f>IF($A22="","",VLOOKUP($A22,기본데이타!$A$8:$BV$103,COLUMN(기본데이타!Y$8),0))</f>
        <v/>
      </c>
      <c r="W22" s="136" t="str">
        <f>IF($A22="","",VLOOKUP($A22,기본데이타!$A$8:$BV$103,COLUMN(기본데이타!Z$8),0))</f>
        <v/>
      </c>
      <c r="X22" s="136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8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36" t="str">
        <f>IF($A23="","",VLOOKUP($A23,기본데이타!$A$8:$BV$103,COLUMN(기본데이타!Y$8),0))</f>
        <v/>
      </c>
      <c r="W23" s="136" t="str">
        <f>IF($A23="","",VLOOKUP($A23,기본데이타!$A$8:$BV$103,COLUMN(기본데이타!Z$8),0))</f>
        <v/>
      </c>
      <c r="X23" s="136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8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36" t="str">
        <f>IF($A24="","",VLOOKUP($A24,기본데이타!$A$8:$BV$103,COLUMN(기본데이타!Y$8),0))</f>
        <v/>
      </c>
      <c r="W24" s="136" t="str">
        <f>IF($A24="","",VLOOKUP($A24,기본데이타!$A$8:$BV$103,COLUMN(기본데이타!Z$8),0))</f>
        <v/>
      </c>
      <c r="X24" s="136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8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36" t="str">
        <f>IF($A25="","",VLOOKUP($A25,기본데이타!$A$8:$BV$103,COLUMN(기본데이타!Y$8),0))</f>
        <v/>
      </c>
      <c r="W25" s="136" t="str">
        <f>IF($A25="","",VLOOKUP($A25,기본데이타!$A$8:$BV$103,COLUMN(기본데이타!Z$8),0))</f>
        <v/>
      </c>
      <c r="X25" s="136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8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36" t="str">
        <f>IF($A26="","",VLOOKUP($A26,기본데이타!$A$8:$BV$103,COLUMN(기본데이타!Y$8),0))</f>
        <v/>
      </c>
      <c r="W26" s="136" t="str">
        <f>IF($A26="","",VLOOKUP($A26,기본데이타!$A$8:$BV$103,COLUMN(기본데이타!Z$8),0))</f>
        <v/>
      </c>
      <c r="X26" s="136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8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36" t="str">
        <f>IF($A27="","",VLOOKUP($A27,기본데이타!$A$8:$BV$103,COLUMN(기본데이타!Y$8),0))</f>
        <v/>
      </c>
      <c r="W27" s="136" t="str">
        <f>IF($A27="","",VLOOKUP($A27,기본데이타!$A$8:$BV$103,COLUMN(기본데이타!Z$8),0))</f>
        <v/>
      </c>
      <c r="X27" s="136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8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36" t="str">
        <f>IF($A28="","",VLOOKUP($A28,기본데이타!$A$8:$BV$103,COLUMN(기본데이타!Y$8),0))</f>
        <v/>
      </c>
      <c r="W28" s="136" t="str">
        <f>IF($A28="","",VLOOKUP($A28,기본데이타!$A$8:$BV$103,COLUMN(기본데이타!Z$8),0))</f>
        <v/>
      </c>
      <c r="X28" s="136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7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8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36" t="str">
        <f>IF($A29="","",VLOOKUP($A29,기본데이타!$A$8:$BV$103,COLUMN(기본데이타!Y$8),0))</f>
        <v/>
      </c>
      <c r="W29" s="136" t="str">
        <f>IF($A29="","",VLOOKUP($A29,기본데이타!$A$8:$BV$103,COLUMN(기본데이타!Z$8),0))</f>
        <v/>
      </c>
      <c r="X29" s="136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8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36" t="str">
        <f>IF($A30="","",VLOOKUP($A30,기본데이타!$A$8:$BV$103,COLUMN(기본데이타!Y$8),0))</f>
        <v/>
      </c>
      <c r="W30" s="136" t="str">
        <f>IF($A30="","",VLOOKUP($A30,기본데이타!$A$8:$BV$103,COLUMN(기본데이타!Z$8),0))</f>
        <v/>
      </c>
      <c r="X30" s="136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8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36" t="str">
        <f>IF($A31="","",VLOOKUP($A31,기본데이타!$A$8:$BV$103,COLUMN(기본데이타!Y$8),0))</f>
        <v/>
      </c>
      <c r="W31" s="136" t="str">
        <f>IF($A31="","",VLOOKUP($A31,기본데이타!$A$8:$BV$103,COLUMN(기본데이타!Z$8),0))</f>
        <v/>
      </c>
      <c r="X31" s="136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8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36" t="str">
        <f>IF($A32="","",VLOOKUP($A32,기본데이타!$A$8:$BV$103,COLUMN(기본데이타!Y$8),0))</f>
        <v/>
      </c>
      <c r="W32" s="136" t="str">
        <f>IF($A32="","",VLOOKUP($A32,기본데이타!$A$8:$BV$103,COLUMN(기본데이타!Z$8),0))</f>
        <v/>
      </c>
      <c r="X32" s="136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8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136" t="str">
        <f>IF($A33="","",VLOOKUP($A33,기본데이타!$A$8:$BV$103,COLUMN(기본데이타!Y$8),0))</f>
        <v/>
      </c>
      <c r="W33" s="136" t="str">
        <f>IF($A33="","",VLOOKUP($A33,기본데이타!$A$8:$BV$103,COLUMN(기본데이타!Z$8),0))</f>
        <v/>
      </c>
      <c r="X33" s="13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7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8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7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7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7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7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7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7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7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7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7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7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7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7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7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7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7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7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7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7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7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7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7"/>
        <v/>
      </c>
    </row>
    <row r="55" spans="46:49">
      <c r="AT55" s="10"/>
      <c r="AU55" s="10"/>
      <c r="AV55" s="10"/>
      <c r="AW55" s="10" t="str">
        <f t="shared" si="7"/>
        <v/>
      </c>
    </row>
    <row r="56" spans="46:49">
      <c r="AT56" s="10"/>
      <c r="AU56" s="10"/>
      <c r="AV56" s="10"/>
      <c r="AW56" s="10" t="str">
        <f t="shared" si="7"/>
        <v/>
      </c>
    </row>
    <row r="57" spans="46:49">
      <c r="AT57" s="10"/>
      <c r="AU57" s="10"/>
      <c r="AV57" s="10"/>
      <c r="AW57" s="10" t="str">
        <f t="shared" si="7"/>
        <v/>
      </c>
    </row>
    <row r="58" spans="46:49">
      <c r="AT58" s="10"/>
      <c r="AU58" s="10"/>
      <c r="AV58" s="10"/>
      <c r="AW58" s="10" t="str">
        <f t="shared" si="7"/>
        <v/>
      </c>
    </row>
    <row r="59" spans="46:49">
      <c r="AT59" s="10"/>
      <c r="AU59" s="10"/>
      <c r="AV59" s="10"/>
      <c r="AW59" s="10" t="str">
        <f t="shared" si="7"/>
        <v/>
      </c>
    </row>
    <row r="60" spans="46:49">
      <c r="AT60" s="10"/>
      <c r="AU60" s="10"/>
      <c r="AV60" s="10"/>
      <c r="AW60" s="10" t="str">
        <f t="shared" si="7"/>
        <v/>
      </c>
    </row>
    <row r="61" spans="46:49">
      <c r="AT61" s="10"/>
      <c r="AU61" s="10"/>
      <c r="AV61" s="10"/>
      <c r="AW61" s="10" t="str">
        <f t="shared" si="7"/>
        <v/>
      </c>
    </row>
    <row r="62" spans="46:49">
      <c r="AT62" s="10"/>
      <c r="AU62" s="10"/>
      <c r="AV62" s="10"/>
      <c r="AW62" s="10" t="str">
        <f t="shared" si="7"/>
        <v/>
      </c>
    </row>
    <row r="63" spans="46:49">
      <c r="AT63" s="10"/>
      <c r="AU63" s="10"/>
      <c r="AV63" s="10"/>
      <c r="AW63" s="10" t="str">
        <f t="shared" si="7"/>
        <v/>
      </c>
    </row>
    <row r="64" spans="46:49">
      <c r="AT64" s="10"/>
      <c r="AU64" s="10"/>
      <c r="AV64" s="10"/>
      <c r="AW64" s="10" t="str">
        <f t="shared" si="7"/>
        <v/>
      </c>
    </row>
    <row r="65" spans="46:49">
      <c r="AT65" s="10"/>
      <c r="AU65" s="10"/>
      <c r="AV65" s="10"/>
      <c r="AW65" s="10" t="str">
        <f t="shared" si="7"/>
        <v/>
      </c>
    </row>
    <row r="66" spans="46:49">
      <c r="AW66" s="2" t="str">
        <f t="shared" si="7"/>
        <v/>
      </c>
    </row>
  </sheetData>
  <mergeCells count="14">
    <mergeCell ref="BS4:BS6"/>
    <mergeCell ref="BT4:BT6"/>
    <mergeCell ref="AH5:AJ5"/>
    <mergeCell ref="BK5:BK6"/>
    <mergeCell ref="BO4:BR4"/>
    <mergeCell ref="C4:C6"/>
    <mergeCell ref="Y4:Z5"/>
    <mergeCell ref="AS4:AS6"/>
    <mergeCell ref="AT4:AW5"/>
    <mergeCell ref="AX4:AX6"/>
    <mergeCell ref="AA4:AB5"/>
    <mergeCell ref="AC4:AD5"/>
    <mergeCell ref="AE4:AF5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BV66"/>
  <sheetViews>
    <sheetView showGridLines="0" zoomScale="50" workbookViewId="0">
      <pane xSplit="4" ySplit="7" topLeftCell="BE8" activePane="bottomRight" state="frozen"/>
      <selection activeCell="BS1" sqref="BS1"/>
      <selection pane="topRight" activeCell="BS1" sqref="BS1"/>
      <selection pane="bottomLeft" activeCell="BS1" sqref="BS1"/>
      <selection pane="bottomRight" activeCell="BR8" sqref="BR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7773437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customWidth="1"/>
    <col min="10" max="10" width="6.33203125" style="2" customWidth="1"/>
    <col min="11" max="11" width="8.44140625" style="2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4.109375" style="2" customWidth="1"/>
    <col min="18" max="18" width="5.77734375" style="2" customWidth="1"/>
    <col min="19" max="19" width="11.77734375" style="2" customWidth="1"/>
    <col min="20" max="20" width="5.77734375" style="2" customWidth="1"/>
    <col min="21" max="21" width="13" style="2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customWidth="1"/>
    <col min="27" max="27" width="5.77734375" style="2" customWidth="1"/>
    <col min="28" max="28" width="13.44140625" style="2" customWidth="1"/>
    <col min="29" max="29" width="5.77734375" style="2" customWidth="1"/>
    <col min="30" max="30" width="13.44140625" style="2" customWidth="1"/>
    <col min="31" max="31" width="5.77734375" style="2" customWidth="1"/>
    <col min="32" max="32" width="13.44140625" style="2" customWidth="1"/>
    <col min="33" max="33" width="7.77734375" style="2" customWidth="1"/>
    <col min="34" max="45" width="12.77734375" style="360" customWidth="1"/>
    <col min="46" max="49" width="20.77734375" style="2" customWidth="1"/>
    <col min="50" max="50" width="18.33203125" style="2" customWidth="1"/>
    <col min="51" max="51" width="15.5546875" style="2" customWidth="1"/>
    <col min="52" max="52" width="16.77734375" style="2" customWidth="1"/>
    <col min="53" max="53" width="14" style="2" customWidth="1"/>
    <col min="54" max="54" width="18.33203125" style="2" bestFit="1" customWidth="1"/>
    <col min="55" max="56" width="16.77734375" style="2" bestFit="1" customWidth="1"/>
    <col min="57" max="58" width="18.33203125" style="2" bestFit="1" customWidth="1"/>
    <col min="59" max="62" width="15.21875" style="2" customWidth="1"/>
    <col min="63" max="63" width="22.6640625" style="2" customWidth="1"/>
    <col min="64" max="64" width="22.6640625" style="2" bestFit="1" customWidth="1"/>
    <col min="65" max="65" width="20.6640625" style="2" bestFit="1" customWidth="1"/>
    <col min="66" max="66" width="19.88671875" style="2" bestFit="1" customWidth="1"/>
    <col min="67" max="67" width="15.77734375" style="2" customWidth="1"/>
    <col min="68" max="68" width="27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0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163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si="1"/>
        <v>0</v>
      </c>
      <c r="AQ7" s="357">
        <f t="shared" si="1"/>
        <v>0</v>
      </c>
      <c r="AR7" s="357">
        <f t="shared" si="1"/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38">
        <f t="shared" ref="AX7:BN7" si="2">SUM(AX8:AX32)</f>
        <v>0</v>
      </c>
      <c r="AY7" s="134">
        <f t="shared" si="2"/>
        <v>0</v>
      </c>
      <c r="AZ7" s="134">
        <f t="shared" si="2"/>
        <v>0</v>
      </c>
      <c r="BA7" s="140">
        <f t="shared" si="2"/>
        <v>0</v>
      </c>
      <c r="BB7" s="139">
        <f t="shared" si="2"/>
        <v>0</v>
      </c>
      <c r="BC7" s="139">
        <f t="shared" si="2"/>
        <v>0</v>
      </c>
      <c r="BD7" s="134">
        <f t="shared" si="2"/>
        <v>0</v>
      </c>
      <c r="BE7" s="134">
        <f t="shared" si="2"/>
        <v>0</v>
      </c>
      <c r="BF7" s="134">
        <f t="shared" si="2"/>
        <v>0</v>
      </c>
      <c r="BG7" s="134">
        <f t="shared" si="2"/>
        <v>0</v>
      </c>
      <c r="BH7" s="1163">
        <f t="shared" si="2"/>
        <v>0</v>
      </c>
      <c r="BI7" s="134">
        <f t="shared" si="2"/>
        <v>0</v>
      </c>
      <c r="BJ7" s="134">
        <f t="shared" si="2"/>
        <v>0</v>
      </c>
      <c r="BK7" s="141">
        <f t="shared" si="2"/>
        <v>0</v>
      </c>
      <c r="BL7" s="141">
        <f t="shared" si="2"/>
        <v>0</v>
      </c>
      <c r="BM7" s="1166">
        <f t="shared" si="2"/>
        <v>0</v>
      </c>
      <c r="BN7" s="141">
        <f t="shared" si="2"/>
        <v>0</v>
      </c>
      <c r="BO7" s="142">
        <f>'[6]연료전지(분석서)'!$D$47</f>
        <v>31</v>
      </c>
      <c r="BP7" s="803">
        <f>'[6]연료전지(분석서)'!$D$45</f>
        <v>0</v>
      </c>
      <c r="BQ7" s="832" t="str">
        <f>'[6]연료전지(분석서)'!$D$46</f>
        <v>한도초과</v>
      </c>
      <c r="BR7" s="300" t="e">
        <f>'[6]연료전지(분석서)'!$F$39</f>
        <v>#DIV/0!</v>
      </c>
      <c r="BS7" s="799">
        <f>SUM(BS9:BS33)</f>
        <v>0</v>
      </c>
      <c r="BT7" s="800"/>
    </row>
    <row r="8" spans="1:74" s="7" customFormat="1" ht="73.5" customHeight="1">
      <c r="A8" s="171"/>
      <c r="B8" s="162" t="s">
        <v>408</v>
      </c>
      <c r="C8" s="131" t="str">
        <f>IF($A8="","",VLOOKUP($A8,기본데이타!$A$8:$BV$103,COLUMN(기본데이타!F$8),0))</f>
        <v/>
      </c>
      <c r="D8" s="1339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2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37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164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164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33" t="str">
        <f>IF($A8="","",VLOOKUP($A8,기본데이타!$A$8:$BV$103,COLUMN(기본데이타!BT$8),0))</f>
        <v/>
      </c>
      <c r="BR8" s="996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171"/>
      <c r="B9" s="163"/>
      <c r="C9" s="257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36" t="str">
        <f>IF($A9="","",VLOOKUP($A9,기본데이타!$A$8:$BV$103,COLUMN(기본데이타!Y$8),0))</f>
        <v/>
      </c>
      <c r="W9" s="136" t="str">
        <f>IF($A9="","",VLOOKUP($A9,기본데이타!$A$8:$BV$103,COLUMN(기본데이타!Z$8),0))</f>
        <v/>
      </c>
      <c r="X9" s="136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3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97" t="str">
        <f>IF($A9="","",VLOOKUP($A9,기본데이타!$A$8:$BV$103,COLUMN(기본데이타!BT$8),0))</f>
        <v/>
      </c>
      <c r="BR9" s="997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4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36" t="str">
        <f>IF($A10="","",VLOOKUP($A10,기본데이타!$A$8:$BV$103,COLUMN(기본데이타!Y$8),0))</f>
        <v/>
      </c>
      <c r="W10" s="136" t="str">
        <f>IF($A10="","",VLOOKUP($A10,기본데이타!$A$8:$BV$103,COLUMN(기본데이타!Z$8),0))</f>
        <v/>
      </c>
      <c r="X10" s="136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3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997" t="str">
        <f>IF($A10="","",VLOOKUP($A10,기본데이타!$A$8:$BV$103,COLUMN(기본데이타!BT$8),0))</f>
        <v/>
      </c>
      <c r="BR10" s="997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4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36" t="str">
        <f>IF($A11="","",VLOOKUP($A11,기본데이타!$A$8:$BV$103,COLUMN(기본데이타!Y$8),0))</f>
        <v/>
      </c>
      <c r="W11" s="136" t="str">
        <f>IF($A11="","",VLOOKUP($A11,기본데이타!$A$8:$BV$103,COLUMN(기본데이타!Z$8),0))</f>
        <v/>
      </c>
      <c r="X11" s="136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3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997" t="str">
        <f>IF($A11="","",VLOOKUP($A11,기본데이타!$A$8:$BV$103,COLUMN(기본데이타!BT$8),0))</f>
        <v/>
      </c>
      <c r="BR11" s="997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4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36" t="str">
        <f>IF($A12="","",VLOOKUP($A12,기본데이타!$A$8:$BV$103,COLUMN(기본데이타!Y$8),0))</f>
        <v/>
      </c>
      <c r="W12" s="136" t="str">
        <f>IF($A12="","",VLOOKUP($A12,기본데이타!$A$8:$BV$103,COLUMN(기본데이타!Z$8),0))</f>
        <v/>
      </c>
      <c r="X12" s="136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3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997" t="str">
        <f>IF($A12="","",VLOOKUP($A12,기본데이타!$A$8:$BV$103,COLUMN(기본데이타!BT$8),0))</f>
        <v/>
      </c>
      <c r="BR12" s="997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4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36" t="str">
        <f>IF($A13="","",VLOOKUP($A13,기본데이타!$A$8:$BV$103,COLUMN(기본데이타!Y$8),0))</f>
        <v/>
      </c>
      <c r="W13" s="136" t="str">
        <f>IF($A13="","",VLOOKUP($A13,기본데이타!$A$8:$BV$103,COLUMN(기본데이타!Z$8),0))</f>
        <v/>
      </c>
      <c r="X13" s="136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3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997" t="str">
        <f>IF($A13="","",VLOOKUP($A13,기본데이타!$A$8:$BV$103,COLUMN(기본데이타!BT$8),0))</f>
        <v/>
      </c>
      <c r="BR13" s="997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4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36" t="str">
        <f>IF($A14="","",VLOOKUP($A14,기본데이타!$A$8:$BV$103,COLUMN(기본데이타!Y$8),0))</f>
        <v/>
      </c>
      <c r="W14" s="136" t="str">
        <f>IF($A14="","",VLOOKUP($A14,기본데이타!$A$8:$BV$103,COLUMN(기본데이타!Z$8),0))</f>
        <v/>
      </c>
      <c r="X14" s="136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3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997" t="str">
        <f>IF($A14="","",VLOOKUP($A14,기본데이타!$A$8:$BV$103,COLUMN(기본데이타!BT$8),0))</f>
        <v/>
      </c>
      <c r="BR14" s="997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4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36" t="str">
        <f>IF($A15="","",VLOOKUP($A15,기본데이타!$A$8:$BV$103,COLUMN(기본데이타!Y$8),0))</f>
        <v/>
      </c>
      <c r="W15" s="136" t="str">
        <f>IF($A15="","",VLOOKUP($A15,기본데이타!$A$8:$BV$103,COLUMN(기본데이타!Z$8),0))</f>
        <v/>
      </c>
      <c r="X15" s="136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3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997" t="str">
        <f>IF($A15="","",VLOOKUP($A15,기본데이타!$A$8:$BV$103,COLUMN(기본데이타!BT$8),0))</f>
        <v/>
      </c>
      <c r="BR15" s="997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4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36" t="str">
        <f>IF($A16="","",VLOOKUP($A16,기본데이타!$A$8:$BV$103,COLUMN(기본데이타!Y$8),0))</f>
        <v/>
      </c>
      <c r="W16" s="136" t="str">
        <f>IF($A16="","",VLOOKUP($A16,기본데이타!$A$8:$BV$103,COLUMN(기본데이타!Z$8),0))</f>
        <v/>
      </c>
      <c r="X16" s="136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3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997" t="str">
        <f>IF($A16="","",VLOOKUP($A16,기본데이타!$A$8:$BV$103,COLUMN(기본데이타!BT$8),0))</f>
        <v/>
      </c>
      <c r="BR16" s="997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4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36" t="str">
        <f>IF($A17="","",VLOOKUP($A17,기본데이타!$A$8:$BV$103,COLUMN(기본데이타!Y$8),0))</f>
        <v/>
      </c>
      <c r="W17" s="136" t="str">
        <f>IF($A17="","",VLOOKUP($A17,기본데이타!$A$8:$BV$103,COLUMN(기본데이타!Z$8),0))</f>
        <v/>
      </c>
      <c r="X17" s="136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3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997" t="str">
        <f>IF($A17="","",VLOOKUP($A17,기본데이타!$A$8:$BV$103,COLUMN(기본데이타!BT$8),0))</f>
        <v/>
      </c>
      <c r="BR17" s="997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4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36" t="str">
        <f>IF($A18="","",VLOOKUP($A18,기본데이타!$A$8:$BV$103,COLUMN(기본데이타!Y$8),0))</f>
        <v/>
      </c>
      <c r="W18" s="136" t="str">
        <f>IF($A18="","",VLOOKUP($A18,기본데이타!$A$8:$BV$103,COLUMN(기본데이타!Z$8),0))</f>
        <v/>
      </c>
      <c r="X18" s="136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3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995" t="str">
        <f>IF($A18="","",VLOOKUP($A18,기본데이타!$A$8:$BV$103,COLUMN(기본데이타!BT$8),0))</f>
        <v/>
      </c>
      <c r="BR18" s="995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4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36" t="str">
        <f>IF($A19="","",VLOOKUP($A19,기본데이타!$A$8:$BV$103,COLUMN(기본데이타!Y$8),0))</f>
        <v/>
      </c>
      <c r="W19" s="136" t="str">
        <f>IF($A19="","",VLOOKUP($A19,기본데이타!$A$8:$BV$103,COLUMN(기본데이타!Z$8),0))</f>
        <v/>
      </c>
      <c r="X19" s="136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3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995" t="str">
        <f>IF($A19="","",VLOOKUP($A19,기본데이타!$A$8:$BV$103,COLUMN(기본데이타!BT$8),0))</f>
        <v/>
      </c>
      <c r="BR19" s="995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4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36" t="str">
        <f>IF($A20="","",VLOOKUP($A20,기본데이타!$A$8:$BV$103,COLUMN(기본데이타!Y$8),0))</f>
        <v/>
      </c>
      <c r="W20" s="136" t="str">
        <f>IF($A20="","",VLOOKUP($A20,기본데이타!$A$8:$BV$103,COLUMN(기본데이타!Z$8),0))</f>
        <v/>
      </c>
      <c r="X20" s="136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3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4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36" t="str">
        <f>IF($A21="","",VLOOKUP($A21,기본데이타!$A$8:$BV$103,COLUMN(기본데이타!Y$8),0))</f>
        <v/>
      </c>
      <c r="W21" s="136" t="str">
        <f>IF($A21="","",VLOOKUP($A21,기본데이타!$A$8:$BV$103,COLUMN(기본데이타!Z$8),0))</f>
        <v/>
      </c>
      <c r="X21" s="136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3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4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36" t="str">
        <f>IF($A22="","",VLOOKUP($A22,기본데이타!$A$8:$BV$103,COLUMN(기본데이타!Y$8),0))</f>
        <v/>
      </c>
      <c r="W22" s="136" t="str">
        <f>IF($A22="","",VLOOKUP($A22,기본데이타!$A$8:$BV$103,COLUMN(기본데이타!Z$8),0))</f>
        <v/>
      </c>
      <c r="X22" s="136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3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4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36" t="str">
        <f>IF($A23="","",VLOOKUP($A23,기본데이타!$A$8:$BV$103,COLUMN(기본데이타!Y$8),0))</f>
        <v/>
      </c>
      <c r="W23" s="136" t="str">
        <f>IF($A23="","",VLOOKUP($A23,기본데이타!$A$8:$BV$103,COLUMN(기본데이타!Z$8),0))</f>
        <v/>
      </c>
      <c r="X23" s="136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3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4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36" t="str">
        <f>IF($A24="","",VLOOKUP($A24,기본데이타!$A$8:$BV$103,COLUMN(기본데이타!Y$8),0))</f>
        <v/>
      </c>
      <c r="W24" s="136" t="str">
        <f>IF($A24="","",VLOOKUP($A24,기본데이타!$A$8:$BV$103,COLUMN(기본데이타!Z$8),0))</f>
        <v/>
      </c>
      <c r="X24" s="136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3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4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36" t="str">
        <f>IF($A25="","",VLOOKUP($A25,기본데이타!$A$8:$BV$103,COLUMN(기본데이타!Y$8),0))</f>
        <v/>
      </c>
      <c r="W25" s="136" t="str">
        <f>IF($A25="","",VLOOKUP($A25,기본데이타!$A$8:$BV$103,COLUMN(기본데이타!Z$8),0))</f>
        <v/>
      </c>
      <c r="X25" s="136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3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4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36" t="str">
        <f>IF($A26="","",VLOOKUP($A26,기본데이타!$A$8:$BV$103,COLUMN(기본데이타!Y$8),0))</f>
        <v/>
      </c>
      <c r="W26" s="136" t="str">
        <f>IF($A26="","",VLOOKUP($A26,기본데이타!$A$8:$BV$103,COLUMN(기본데이타!Z$8),0))</f>
        <v/>
      </c>
      <c r="X26" s="136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3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4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36" t="str">
        <f>IF($A27="","",VLOOKUP($A27,기본데이타!$A$8:$BV$103,COLUMN(기본데이타!Y$8),0))</f>
        <v/>
      </c>
      <c r="W27" s="136" t="str">
        <f>IF($A27="","",VLOOKUP($A27,기본데이타!$A$8:$BV$103,COLUMN(기본데이타!Z$8),0))</f>
        <v/>
      </c>
      <c r="X27" s="136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3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4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36" t="str">
        <f>IF($A28="","",VLOOKUP($A28,기본데이타!$A$8:$BV$103,COLUMN(기본데이타!Y$8),0))</f>
        <v/>
      </c>
      <c r="W28" s="136" t="str">
        <f>IF($A28="","",VLOOKUP($A28,기본데이타!$A$8:$BV$103,COLUMN(기본데이타!Z$8),0))</f>
        <v/>
      </c>
      <c r="X28" s="136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3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4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36" t="str">
        <f>IF($A29="","",VLOOKUP($A29,기본데이타!$A$8:$BV$103,COLUMN(기본데이타!Y$8),0))</f>
        <v/>
      </c>
      <c r="W29" s="136" t="str">
        <f>IF($A29="","",VLOOKUP($A29,기본데이타!$A$8:$BV$103,COLUMN(기본데이타!Z$8),0))</f>
        <v/>
      </c>
      <c r="X29" s="136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3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4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36" t="str">
        <f>IF($A30="","",VLOOKUP($A30,기본데이타!$A$8:$BV$103,COLUMN(기본데이타!Y$8),0))</f>
        <v/>
      </c>
      <c r="W30" s="136" t="str">
        <f>IF($A30="","",VLOOKUP($A30,기본데이타!$A$8:$BV$103,COLUMN(기본데이타!Z$8),0))</f>
        <v/>
      </c>
      <c r="X30" s="136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3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4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36" t="str">
        <f>IF($A31="","",VLOOKUP($A31,기본데이타!$A$8:$BV$103,COLUMN(기본데이타!Y$8),0))</f>
        <v/>
      </c>
      <c r="W31" s="136" t="str">
        <f>IF($A31="","",VLOOKUP($A31,기본데이타!$A$8:$BV$103,COLUMN(기본데이타!Z$8),0))</f>
        <v/>
      </c>
      <c r="X31" s="136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3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4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36" t="str">
        <f>IF($A32="","",VLOOKUP($A32,기본데이타!$A$8:$BV$103,COLUMN(기본데이타!Y$8),0))</f>
        <v/>
      </c>
      <c r="W32" s="136" t="str">
        <f>IF($A32="","",VLOOKUP($A32,기본데이타!$A$8:$BV$103,COLUMN(기본데이타!Z$8),0))</f>
        <v/>
      </c>
      <c r="X32" s="136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3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4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136" t="str">
        <f>IF($A33="","",VLOOKUP($A33,기본데이타!$A$8:$BV$103,COLUMN(기본데이타!Y$8),0))</f>
        <v/>
      </c>
      <c r="W33" s="136" t="str">
        <f>IF($A33="","",VLOOKUP($A33,기본데이타!$A$8:$BV$103,COLUMN(기본데이타!Z$8),0))</f>
        <v/>
      </c>
      <c r="X33" s="13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3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4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3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3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3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3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3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3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3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3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3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3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3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3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3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3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3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3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3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3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3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3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3"/>
        <v/>
      </c>
    </row>
    <row r="55" spans="46:49">
      <c r="AT55" s="10"/>
      <c r="AU55" s="10"/>
      <c r="AV55" s="10"/>
      <c r="AW55" s="10" t="str">
        <f t="shared" si="3"/>
        <v/>
      </c>
    </row>
    <row r="56" spans="46:49">
      <c r="AT56" s="10"/>
      <c r="AU56" s="10"/>
      <c r="AV56" s="10"/>
      <c r="AW56" s="10" t="str">
        <f t="shared" si="3"/>
        <v/>
      </c>
    </row>
    <row r="57" spans="46:49">
      <c r="AT57" s="10"/>
      <c r="AU57" s="10"/>
      <c r="AV57" s="10"/>
      <c r="AW57" s="10" t="str">
        <f t="shared" si="3"/>
        <v/>
      </c>
    </row>
    <row r="58" spans="46:49">
      <c r="AT58" s="10"/>
      <c r="AU58" s="10"/>
      <c r="AV58" s="10"/>
      <c r="AW58" s="10" t="str">
        <f t="shared" si="3"/>
        <v/>
      </c>
    </row>
    <row r="59" spans="46:49">
      <c r="AT59" s="10"/>
      <c r="AU59" s="10"/>
      <c r="AV59" s="10"/>
      <c r="AW59" s="10" t="str">
        <f t="shared" si="3"/>
        <v/>
      </c>
    </row>
    <row r="60" spans="46:49">
      <c r="AT60" s="10"/>
      <c r="AU60" s="10"/>
      <c r="AV60" s="10"/>
      <c r="AW60" s="10" t="str">
        <f t="shared" si="3"/>
        <v/>
      </c>
    </row>
    <row r="61" spans="46:49">
      <c r="AT61" s="10"/>
      <c r="AU61" s="10"/>
      <c r="AV61" s="10"/>
      <c r="AW61" s="10" t="str">
        <f t="shared" si="3"/>
        <v/>
      </c>
    </row>
    <row r="62" spans="46:49">
      <c r="AT62" s="10"/>
      <c r="AU62" s="10"/>
      <c r="AV62" s="10"/>
      <c r="AW62" s="10" t="str">
        <f t="shared" si="3"/>
        <v/>
      </c>
    </row>
    <row r="63" spans="46:49">
      <c r="AT63" s="10"/>
      <c r="AU63" s="10"/>
      <c r="AV63" s="10"/>
      <c r="AW63" s="10" t="str">
        <f t="shared" si="3"/>
        <v/>
      </c>
    </row>
    <row r="64" spans="46:49">
      <c r="AT64" s="10"/>
      <c r="AU64" s="10"/>
      <c r="AV64" s="10"/>
      <c r="AW64" s="10" t="str">
        <f t="shared" si="3"/>
        <v/>
      </c>
    </row>
    <row r="65" spans="46:49">
      <c r="AT65" s="10"/>
      <c r="AU65" s="10"/>
      <c r="AV65" s="10"/>
      <c r="AW65" s="10" t="str">
        <f t="shared" si="3"/>
        <v/>
      </c>
    </row>
    <row r="66" spans="46:49">
      <c r="AW66" s="2" t="str">
        <f t="shared" si="3"/>
        <v/>
      </c>
    </row>
  </sheetData>
  <mergeCells count="14">
    <mergeCell ref="C4:C6"/>
    <mergeCell ref="Y4:Z5"/>
    <mergeCell ref="AA4:AB5"/>
    <mergeCell ref="AC4:AD5"/>
    <mergeCell ref="AE4:AF5"/>
    <mergeCell ref="BO4:BR4"/>
    <mergeCell ref="BS4:BS6"/>
    <mergeCell ref="BT4:BT6"/>
    <mergeCell ref="AH5:AJ5"/>
    <mergeCell ref="AK5:AR5"/>
    <mergeCell ref="BK5:BK6"/>
    <mergeCell ref="AS4:AS6"/>
    <mergeCell ref="AT4:AW5"/>
    <mergeCell ref="AX4:AX6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BV66"/>
  <sheetViews>
    <sheetView showGridLines="0" zoomScale="50" workbookViewId="0">
      <pane xSplit="4" ySplit="7" topLeftCell="BF8" activePane="bottomRight" state="frozen"/>
      <selection activeCell="BS1" sqref="BS1"/>
      <selection pane="topRight" activeCell="BS1" sqref="BS1"/>
      <selection pane="bottomLeft" activeCell="BS1" sqref="BS1"/>
      <selection pane="bottomRight" activeCell="BR8" sqref="BR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7773437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customWidth="1"/>
    <col min="10" max="10" width="6.33203125" style="2" customWidth="1"/>
    <col min="11" max="11" width="8.44140625" style="2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4.109375" style="2" customWidth="1"/>
    <col min="18" max="18" width="5.77734375" style="2" customWidth="1"/>
    <col min="19" max="19" width="11.77734375" style="2" customWidth="1"/>
    <col min="20" max="20" width="5.77734375" style="2" customWidth="1"/>
    <col min="21" max="21" width="13" style="2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customWidth="1"/>
    <col min="27" max="27" width="5.77734375" style="2" customWidth="1"/>
    <col min="28" max="28" width="13.44140625" style="2" customWidth="1"/>
    <col min="29" max="29" width="5.77734375" style="2" customWidth="1"/>
    <col min="30" max="30" width="13.44140625" style="2" customWidth="1"/>
    <col min="31" max="31" width="5.77734375" style="2" customWidth="1"/>
    <col min="32" max="32" width="13.44140625" style="2" customWidth="1"/>
    <col min="33" max="33" width="7.77734375" style="2" customWidth="1"/>
    <col min="34" max="45" width="12.77734375" style="360" customWidth="1"/>
    <col min="46" max="49" width="20.77734375" style="2" customWidth="1"/>
    <col min="50" max="50" width="18.33203125" style="2" customWidth="1"/>
    <col min="51" max="51" width="15.5546875" style="2" customWidth="1"/>
    <col min="52" max="52" width="16.77734375" style="2" customWidth="1"/>
    <col min="53" max="53" width="14" style="2" customWidth="1"/>
    <col min="54" max="54" width="18.33203125" style="2" bestFit="1" customWidth="1"/>
    <col min="55" max="56" width="16.77734375" style="2" bestFit="1" customWidth="1"/>
    <col min="57" max="58" width="18.33203125" style="2" bestFit="1" customWidth="1"/>
    <col min="59" max="62" width="15.21875" style="2" customWidth="1"/>
    <col min="63" max="63" width="22.6640625" style="2" customWidth="1"/>
    <col min="64" max="64" width="22.6640625" style="2" bestFit="1" customWidth="1"/>
    <col min="65" max="65" width="20.6640625" style="2" bestFit="1" customWidth="1"/>
    <col min="66" max="66" width="19.88671875" style="2" bestFit="1" customWidth="1"/>
    <col min="67" max="67" width="15.77734375" style="2" customWidth="1"/>
    <col min="68" max="68" width="27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0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si="1"/>
        <v>0</v>
      </c>
      <c r="AQ7" s="357">
        <f t="shared" si="1"/>
        <v>0</v>
      </c>
      <c r="AR7" s="357">
        <f t="shared" si="1"/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38">
        <f t="shared" ref="AX7:BN7" si="2">SUM(AX8:AX32)</f>
        <v>0</v>
      </c>
      <c r="AY7" s="134">
        <f t="shared" si="2"/>
        <v>0</v>
      </c>
      <c r="AZ7" s="134">
        <f t="shared" si="2"/>
        <v>0</v>
      </c>
      <c r="BA7" s="140">
        <f t="shared" si="2"/>
        <v>0</v>
      </c>
      <c r="BB7" s="139">
        <f t="shared" si="2"/>
        <v>0</v>
      </c>
      <c r="BC7" s="139">
        <f t="shared" si="2"/>
        <v>0</v>
      </c>
      <c r="BD7" s="134">
        <f t="shared" si="2"/>
        <v>0</v>
      </c>
      <c r="BE7" s="134">
        <f t="shared" si="2"/>
        <v>0</v>
      </c>
      <c r="BF7" s="134">
        <f t="shared" si="2"/>
        <v>0</v>
      </c>
      <c r="BG7" s="134">
        <f t="shared" si="2"/>
        <v>0</v>
      </c>
      <c r="BH7" s="134">
        <f t="shared" si="2"/>
        <v>0</v>
      </c>
      <c r="BI7" s="134">
        <f t="shared" si="2"/>
        <v>0</v>
      </c>
      <c r="BJ7" s="134">
        <f t="shared" si="2"/>
        <v>0</v>
      </c>
      <c r="BK7" s="141">
        <f t="shared" si="2"/>
        <v>0</v>
      </c>
      <c r="BL7" s="141">
        <f t="shared" si="2"/>
        <v>0</v>
      </c>
      <c r="BM7" s="141">
        <f t="shared" si="2"/>
        <v>0</v>
      </c>
      <c r="BN7" s="141">
        <f t="shared" si="2"/>
        <v>0</v>
      </c>
      <c r="BO7" s="142">
        <f>'[8]열병합(분석서)'!$D$47</f>
        <v>31</v>
      </c>
      <c r="BP7" s="803">
        <f>'[8]열병합(분석서)'!$D$45</f>
        <v>0</v>
      </c>
      <c r="BQ7" s="832" t="str">
        <f>'[8]열병합(분석서)'!$D$46</f>
        <v>한도초과</v>
      </c>
      <c r="BR7" s="300" t="e">
        <f>'[8]열병합(분석서)'!$F$39</f>
        <v>#DIV/0!</v>
      </c>
      <c r="BS7" s="799">
        <f>SUM(BS9:BS33)</f>
        <v>0</v>
      </c>
      <c r="BT7" s="800"/>
    </row>
    <row r="8" spans="1:74" s="7" customFormat="1" ht="73.5" customHeight="1">
      <c r="A8" s="171"/>
      <c r="B8" s="162" t="s">
        <v>457</v>
      </c>
      <c r="C8" s="131" t="str">
        <f>IF($A8="","",VLOOKUP($A8,기본데이타!$A$8:$BV$103,COLUMN(기본데이타!F$8),0))</f>
        <v/>
      </c>
      <c r="D8" s="1339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37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33" t="str">
        <f>IF($A8="","",VLOOKUP($A8,기본데이타!$A$8:$BV$103,COLUMN(기본데이타!BT$8),0))</f>
        <v/>
      </c>
      <c r="BR8" s="996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171"/>
      <c r="B9" s="163"/>
      <c r="C9" s="257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36" t="str">
        <f>IF($A9="","",VLOOKUP($A9,기본데이타!$A$8:$BV$103,COLUMN(기본데이타!Y$8),0))</f>
        <v/>
      </c>
      <c r="W9" s="136" t="str">
        <f>IF($A9="","",VLOOKUP($A9,기본데이타!$A$8:$BV$103,COLUMN(기본데이타!Z$8),0))</f>
        <v/>
      </c>
      <c r="X9" s="136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3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97" t="str">
        <f>IF($A9="","",VLOOKUP($A9,기본데이타!$A$8:$BV$103,COLUMN(기본데이타!BT$8),0))</f>
        <v/>
      </c>
      <c r="BR9" s="997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4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36" t="str">
        <f>IF($A10="","",VLOOKUP($A10,기본데이타!$A$8:$BV$103,COLUMN(기본데이타!Y$8),0))</f>
        <v/>
      </c>
      <c r="W10" s="136" t="str">
        <f>IF($A10="","",VLOOKUP($A10,기본데이타!$A$8:$BV$103,COLUMN(기본데이타!Z$8),0))</f>
        <v/>
      </c>
      <c r="X10" s="136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3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997" t="str">
        <f>IF($A10="","",VLOOKUP($A10,기본데이타!$A$8:$BV$103,COLUMN(기본데이타!BT$8),0))</f>
        <v/>
      </c>
      <c r="BR10" s="997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4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36" t="str">
        <f>IF($A11="","",VLOOKUP($A11,기본데이타!$A$8:$BV$103,COLUMN(기본데이타!Y$8),0))</f>
        <v/>
      </c>
      <c r="W11" s="136" t="str">
        <f>IF($A11="","",VLOOKUP($A11,기본데이타!$A$8:$BV$103,COLUMN(기본데이타!Z$8),0))</f>
        <v/>
      </c>
      <c r="X11" s="136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3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997" t="str">
        <f>IF($A11="","",VLOOKUP($A11,기본데이타!$A$8:$BV$103,COLUMN(기본데이타!BT$8),0))</f>
        <v/>
      </c>
      <c r="BR11" s="997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4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36" t="str">
        <f>IF($A12="","",VLOOKUP($A12,기본데이타!$A$8:$BV$103,COLUMN(기본데이타!Y$8),0))</f>
        <v/>
      </c>
      <c r="W12" s="136" t="str">
        <f>IF($A12="","",VLOOKUP($A12,기본데이타!$A$8:$BV$103,COLUMN(기본데이타!Z$8),0))</f>
        <v/>
      </c>
      <c r="X12" s="136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3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997" t="str">
        <f>IF($A12="","",VLOOKUP($A12,기본데이타!$A$8:$BV$103,COLUMN(기본데이타!BT$8),0))</f>
        <v/>
      </c>
      <c r="BR12" s="997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4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36" t="str">
        <f>IF($A13="","",VLOOKUP($A13,기본데이타!$A$8:$BV$103,COLUMN(기본데이타!Y$8),0))</f>
        <v/>
      </c>
      <c r="W13" s="136" t="str">
        <f>IF($A13="","",VLOOKUP($A13,기본데이타!$A$8:$BV$103,COLUMN(기본데이타!Z$8),0))</f>
        <v/>
      </c>
      <c r="X13" s="136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3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997" t="str">
        <f>IF($A13="","",VLOOKUP($A13,기본데이타!$A$8:$BV$103,COLUMN(기본데이타!BT$8),0))</f>
        <v/>
      </c>
      <c r="BR13" s="997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4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36" t="str">
        <f>IF($A14="","",VLOOKUP($A14,기본데이타!$A$8:$BV$103,COLUMN(기본데이타!Y$8),0))</f>
        <v/>
      </c>
      <c r="W14" s="136" t="str">
        <f>IF($A14="","",VLOOKUP($A14,기본데이타!$A$8:$BV$103,COLUMN(기본데이타!Z$8),0))</f>
        <v/>
      </c>
      <c r="X14" s="136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3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997" t="str">
        <f>IF($A14="","",VLOOKUP($A14,기본데이타!$A$8:$BV$103,COLUMN(기본데이타!BT$8),0))</f>
        <v/>
      </c>
      <c r="BR14" s="997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4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36" t="str">
        <f>IF($A15="","",VLOOKUP($A15,기본데이타!$A$8:$BV$103,COLUMN(기본데이타!Y$8),0))</f>
        <v/>
      </c>
      <c r="W15" s="136" t="str">
        <f>IF($A15="","",VLOOKUP($A15,기본데이타!$A$8:$BV$103,COLUMN(기본데이타!Z$8),0))</f>
        <v/>
      </c>
      <c r="X15" s="136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3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997" t="str">
        <f>IF($A15="","",VLOOKUP($A15,기본데이타!$A$8:$BV$103,COLUMN(기본데이타!BT$8),0))</f>
        <v/>
      </c>
      <c r="BR15" s="997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4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36" t="str">
        <f>IF($A16="","",VLOOKUP($A16,기본데이타!$A$8:$BV$103,COLUMN(기본데이타!Y$8),0))</f>
        <v/>
      </c>
      <c r="W16" s="136" t="str">
        <f>IF($A16="","",VLOOKUP($A16,기본데이타!$A$8:$BV$103,COLUMN(기본데이타!Z$8),0))</f>
        <v/>
      </c>
      <c r="X16" s="136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3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997" t="str">
        <f>IF($A16="","",VLOOKUP($A16,기본데이타!$A$8:$BV$103,COLUMN(기본데이타!BT$8),0))</f>
        <v/>
      </c>
      <c r="BR16" s="997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4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36" t="str">
        <f>IF($A17="","",VLOOKUP($A17,기본데이타!$A$8:$BV$103,COLUMN(기본데이타!Y$8),0))</f>
        <v/>
      </c>
      <c r="W17" s="136" t="str">
        <f>IF($A17="","",VLOOKUP($A17,기본데이타!$A$8:$BV$103,COLUMN(기본데이타!Z$8),0))</f>
        <v/>
      </c>
      <c r="X17" s="136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3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997" t="str">
        <f>IF($A17="","",VLOOKUP($A17,기본데이타!$A$8:$BV$103,COLUMN(기본데이타!BT$8),0))</f>
        <v/>
      </c>
      <c r="BR17" s="997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4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36" t="str">
        <f>IF($A18="","",VLOOKUP($A18,기본데이타!$A$8:$BV$103,COLUMN(기본데이타!Y$8),0))</f>
        <v/>
      </c>
      <c r="W18" s="136" t="str">
        <f>IF($A18="","",VLOOKUP($A18,기본데이타!$A$8:$BV$103,COLUMN(기본데이타!Z$8),0))</f>
        <v/>
      </c>
      <c r="X18" s="136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3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995" t="str">
        <f>IF($A18="","",VLOOKUP($A18,기본데이타!$A$8:$BV$103,COLUMN(기본데이타!BT$8),0))</f>
        <v/>
      </c>
      <c r="BR18" s="995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4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36" t="str">
        <f>IF($A19="","",VLOOKUP($A19,기본데이타!$A$8:$BV$103,COLUMN(기본데이타!Y$8),0))</f>
        <v/>
      </c>
      <c r="W19" s="136" t="str">
        <f>IF($A19="","",VLOOKUP($A19,기본데이타!$A$8:$BV$103,COLUMN(기본데이타!Z$8),0))</f>
        <v/>
      </c>
      <c r="X19" s="136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3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995" t="str">
        <f>IF($A19="","",VLOOKUP($A19,기본데이타!$A$8:$BV$103,COLUMN(기본데이타!BT$8),0))</f>
        <v/>
      </c>
      <c r="BR19" s="995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4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36" t="str">
        <f>IF($A20="","",VLOOKUP($A20,기본데이타!$A$8:$BV$103,COLUMN(기본데이타!Y$8),0))</f>
        <v/>
      </c>
      <c r="W20" s="136" t="str">
        <f>IF($A20="","",VLOOKUP($A20,기본데이타!$A$8:$BV$103,COLUMN(기본데이타!Z$8),0))</f>
        <v/>
      </c>
      <c r="X20" s="136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3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4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36" t="str">
        <f>IF($A21="","",VLOOKUP($A21,기본데이타!$A$8:$BV$103,COLUMN(기본데이타!Y$8),0))</f>
        <v/>
      </c>
      <c r="W21" s="136" t="str">
        <f>IF($A21="","",VLOOKUP($A21,기본데이타!$A$8:$BV$103,COLUMN(기본데이타!Z$8),0))</f>
        <v/>
      </c>
      <c r="X21" s="136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3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4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36" t="str">
        <f>IF($A22="","",VLOOKUP($A22,기본데이타!$A$8:$BV$103,COLUMN(기본데이타!Y$8),0))</f>
        <v/>
      </c>
      <c r="W22" s="136" t="str">
        <f>IF($A22="","",VLOOKUP($A22,기본데이타!$A$8:$BV$103,COLUMN(기본데이타!Z$8),0))</f>
        <v/>
      </c>
      <c r="X22" s="136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3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4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36" t="str">
        <f>IF($A23="","",VLOOKUP($A23,기본데이타!$A$8:$BV$103,COLUMN(기본데이타!Y$8),0))</f>
        <v/>
      </c>
      <c r="W23" s="136" t="str">
        <f>IF($A23="","",VLOOKUP($A23,기본데이타!$A$8:$BV$103,COLUMN(기본데이타!Z$8),0))</f>
        <v/>
      </c>
      <c r="X23" s="136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3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4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36" t="str">
        <f>IF($A24="","",VLOOKUP($A24,기본데이타!$A$8:$BV$103,COLUMN(기본데이타!Y$8),0))</f>
        <v/>
      </c>
      <c r="W24" s="136" t="str">
        <f>IF($A24="","",VLOOKUP($A24,기본데이타!$A$8:$BV$103,COLUMN(기본데이타!Z$8),0))</f>
        <v/>
      </c>
      <c r="X24" s="136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3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4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36" t="str">
        <f>IF($A25="","",VLOOKUP($A25,기본데이타!$A$8:$BV$103,COLUMN(기본데이타!Y$8),0))</f>
        <v/>
      </c>
      <c r="W25" s="136" t="str">
        <f>IF($A25="","",VLOOKUP($A25,기본데이타!$A$8:$BV$103,COLUMN(기본데이타!Z$8),0))</f>
        <v/>
      </c>
      <c r="X25" s="136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3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4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36" t="str">
        <f>IF($A26="","",VLOOKUP($A26,기본데이타!$A$8:$BV$103,COLUMN(기본데이타!Y$8),0))</f>
        <v/>
      </c>
      <c r="W26" s="136" t="str">
        <f>IF($A26="","",VLOOKUP($A26,기본데이타!$A$8:$BV$103,COLUMN(기본데이타!Z$8),0))</f>
        <v/>
      </c>
      <c r="X26" s="136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3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4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36" t="str">
        <f>IF($A27="","",VLOOKUP($A27,기본데이타!$A$8:$BV$103,COLUMN(기본데이타!Y$8),0))</f>
        <v/>
      </c>
      <c r="W27" s="136" t="str">
        <f>IF($A27="","",VLOOKUP($A27,기본데이타!$A$8:$BV$103,COLUMN(기본데이타!Z$8),0))</f>
        <v/>
      </c>
      <c r="X27" s="136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3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4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36" t="str">
        <f>IF($A28="","",VLOOKUP($A28,기본데이타!$A$8:$BV$103,COLUMN(기본데이타!Y$8),0))</f>
        <v/>
      </c>
      <c r="W28" s="136" t="str">
        <f>IF($A28="","",VLOOKUP($A28,기본데이타!$A$8:$BV$103,COLUMN(기본데이타!Z$8),0))</f>
        <v/>
      </c>
      <c r="X28" s="136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3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4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36" t="str">
        <f>IF($A29="","",VLOOKUP($A29,기본데이타!$A$8:$BV$103,COLUMN(기본데이타!Y$8),0))</f>
        <v/>
      </c>
      <c r="W29" s="136" t="str">
        <f>IF($A29="","",VLOOKUP($A29,기본데이타!$A$8:$BV$103,COLUMN(기본데이타!Z$8),0))</f>
        <v/>
      </c>
      <c r="X29" s="136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3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4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36" t="str">
        <f>IF($A30="","",VLOOKUP($A30,기본데이타!$A$8:$BV$103,COLUMN(기본데이타!Y$8),0))</f>
        <v/>
      </c>
      <c r="W30" s="136" t="str">
        <f>IF($A30="","",VLOOKUP($A30,기본데이타!$A$8:$BV$103,COLUMN(기본데이타!Z$8),0))</f>
        <v/>
      </c>
      <c r="X30" s="136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3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4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36" t="str">
        <f>IF($A31="","",VLOOKUP($A31,기본데이타!$A$8:$BV$103,COLUMN(기본데이타!Y$8),0))</f>
        <v/>
      </c>
      <c r="W31" s="136" t="str">
        <f>IF($A31="","",VLOOKUP($A31,기본데이타!$A$8:$BV$103,COLUMN(기본데이타!Z$8),0))</f>
        <v/>
      </c>
      <c r="X31" s="136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3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4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36" t="str">
        <f>IF($A32="","",VLOOKUP($A32,기본데이타!$A$8:$BV$103,COLUMN(기본데이타!Y$8),0))</f>
        <v/>
      </c>
      <c r="W32" s="136" t="str">
        <f>IF($A32="","",VLOOKUP($A32,기본데이타!$A$8:$BV$103,COLUMN(기본데이타!Z$8),0))</f>
        <v/>
      </c>
      <c r="X32" s="136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3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4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136" t="str">
        <f>IF($A33="","",VLOOKUP($A33,기본데이타!$A$8:$BV$103,COLUMN(기본데이타!Y$8),0))</f>
        <v/>
      </c>
      <c r="W33" s="136" t="str">
        <f>IF($A33="","",VLOOKUP($A33,기본데이타!$A$8:$BV$103,COLUMN(기본데이타!Z$8),0))</f>
        <v/>
      </c>
      <c r="X33" s="13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3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4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3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3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3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3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3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3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3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3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3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3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3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3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3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3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3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3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3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3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3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3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3"/>
        <v/>
      </c>
    </row>
    <row r="55" spans="46:49">
      <c r="AT55" s="10"/>
      <c r="AU55" s="10"/>
      <c r="AV55" s="10"/>
      <c r="AW55" s="10" t="str">
        <f t="shared" si="3"/>
        <v/>
      </c>
    </row>
    <row r="56" spans="46:49">
      <c r="AT56" s="10"/>
      <c r="AU56" s="10"/>
      <c r="AV56" s="10"/>
      <c r="AW56" s="10" t="str">
        <f t="shared" si="3"/>
        <v/>
      </c>
    </row>
    <row r="57" spans="46:49">
      <c r="AT57" s="10"/>
      <c r="AU57" s="10"/>
      <c r="AV57" s="10"/>
      <c r="AW57" s="10" t="str">
        <f t="shared" si="3"/>
        <v/>
      </c>
    </row>
    <row r="58" spans="46:49">
      <c r="AT58" s="10"/>
      <c r="AU58" s="10"/>
      <c r="AV58" s="10"/>
      <c r="AW58" s="10" t="str">
        <f t="shared" si="3"/>
        <v/>
      </c>
    </row>
    <row r="59" spans="46:49">
      <c r="AT59" s="10"/>
      <c r="AU59" s="10"/>
      <c r="AV59" s="10"/>
      <c r="AW59" s="10" t="str">
        <f t="shared" si="3"/>
        <v/>
      </c>
    </row>
    <row r="60" spans="46:49">
      <c r="AT60" s="10"/>
      <c r="AU60" s="10"/>
      <c r="AV60" s="10"/>
      <c r="AW60" s="10" t="str">
        <f t="shared" si="3"/>
        <v/>
      </c>
    </row>
    <row r="61" spans="46:49">
      <c r="AT61" s="10"/>
      <c r="AU61" s="10"/>
      <c r="AV61" s="10"/>
      <c r="AW61" s="10" t="str">
        <f t="shared" si="3"/>
        <v/>
      </c>
    </row>
    <row r="62" spans="46:49">
      <c r="AT62" s="10"/>
      <c r="AU62" s="10"/>
      <c r="AV62" s="10"/>
      <c r="AW62" s="10" t="str">
        <f t="shared" si="3"/>
        <v/>
      </c>
    </row>
    <row r="63" spans="46:49">
      <c r="AT63" s="10"/>
      <c r="AU63" s="10"/>
      <c r="AV63" s="10"/>
      <c r="AW63" s="10" t="str">
        <f t="shared" si="3"/>
        <v/>
      </c>
    </row>
    <row r="64" spans="46:49">
      <c r="AT64" s="10"/>
      <c r="AU64" s="10"/>
      <c r="AV64" s="10"/>
      <c r="AW64" s="10" t="str">
        <f t="shared" si="3"/>
        <v/>
      </c>
    </row>
    <row r="65" spans="46:49">
      <c r="AT65" s="10"/>
      <c r="AU65" s="10"/>
      <c r="AV65" s="10"/>
      <c r="AW65" s="10" t="str">
        <f t="shared" si="3"/>
        <v/>
      </c>
    </row>
    <row r="66" spans="46:49">
      <c r="AW66" s="2" t="str">
        <f t="shared" si="3"/>
        <v/>
      </c>
    </row>
  </sheetData>
  <mergeCells count="14">
    <mergeCell ref="C4:C6"/>
    <mergeCell ref="Y4:Z5"/>
    <mergeCell ref="AA4:AB5"/>
    <mergeCell ref="AC4:AD5"/>
    <mergeCell ref="AE4:AF5"/>
    <mergeCell ref="BO4:BR4"/>
    <mergeCell ref="BS4:BS6"/>
    <mergeCell ref="BT4:BT6"/>
    <mergeCell ref="AH5:AJ5"/>
    <mergeCell ref="AK5:AR5"/>
    <mergeCell ref="BK5:BK6"/>
    <mergeCell ref="AS4:AS6"/>
    <mergeCell ref="AT4:AW5"/>
    <mergeCell ref="AX4:AX6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BV66"/>
  <sheetViews>
    <sheetView showGridLines="0" zoomScale="50" workbookViewId="0">
      <pane xSplit="4" ySplit="7" topLeftCell="BF8" activePane="bottomRight" state="frozen"/>
      <selection activeCell="BS1" sqref="BS1"/>
      <selection pane="topRight" activeCell="BS1" sqref="BS1"/>
      <selection pane="bottomLeft" activeCell="BS1" sqref="BS1"/>
      <selection pane="bottomRight" activeCell="BR8" sqref="BR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7773437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customWidth="1"/>
    <col min="10" max="10" width="6.33203125" style="2" customWidth="1"/>
    <col min="11" max="11" width="8.44140625" style="2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4.109375" style="2" customWidth="1"/>
    <col min="18" max="18" width="5.77734375" style="2" customWidth="1"/>
    <col min="19" max="19" width="11.77734375" style="2" customWidth="1"/>
    <col min="20" max="20" width="5.77734375" style="2" customWidth="1"/>
    <col min="21" max="21" width="13" style="2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customWidth="1"/>
    <col min="27" max="27" width="5.77734375" style="2" customWidth="1"/>
    <col min="28" max="28" width="13.44140625" style="2" customWidth="1"/>
    <col min="29" max="29" width="5.77734375" style="2" customWidth="1"/>
    <col min="30" max="30" width="13.44140625" style="2" customWidth="1"/>
    <col min="31" max="31" width="5.77734375" style="2" customWidth="1"/>
    <col min="32" max="32" width="13.44140625" style="2" customWidth="1"/>
    <col min="33" max="33" width="7.77734375" style="2" customWidth="1"/>
    <col min="34" max="45" width="12.77734375" style="360" customWidth="1"/>
    <col min="46" max="49" width="20.77734375" style="2" customWidth="1"/>
    <col min="50" max="50" width="18.33203125" style="2" customWidth="1"/>
    <col min="51" max="51" width="15.5546875" style="2" customWidth="1"/>
    <col min="52" max="52" width="16.77734375" style="2" customWidth="1"/>
    <col min="53" max="53" width="14" style="2" customWidth="1"/>
    <col min="54" max="54" width="18.33203125" style="2" bestFit="1" customWidth="1"/>
    <col min="55" max="56" width="16.77734375" style="2" bestFit="1" customWidth="1"/>
    <col min="57" max="58" width="18.33203125" style="2" bestFit="1" customWidth="1"/>
    <col min="59" max="62" width="15.21875" style="2" customWidth="1"/>
    <col min="63" max="63" width="22.6640625" style="2" customWidth="1"/>
    <col min="64" max="64" width="22.6640625" style="2" bestFit="1" customWidth="1"/>
    <col min="65" max="65" width="20.6640625" style="2" bestFit="1" customWidth="1"/>
    <col min="66" max="66" width="19.88671875" style="2" bestFit="1" customWidth="1"/>
    <col min="67" max="67" width="15.77734375" style="2" customWidth="1"/>
    <col min="68" max="68" width="27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0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si="1"/>
        <v>0</v>
      </c>
      <c r="AQ7" s="357">
        <f t="shared" si="1"/>
        <v>0</v>
      </c>
      <c r="AR7" s="357">
        <f t="shared" si="1"/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38">
        <f t="shared" ref="AX7:BN7" si="2">SUM(AX8:AX32)</f>
        <v>0</v>
      </c>
      <c r="AY7" s="134">
        <f t="shared" si="2"/>
        <v>0</v>
      </c>
      <c r="AZ7" s="134">
        <f t="shared" si="2"/>
        <v>0</v>
      </c>
      <c r="BA7" s="140">
        <f t="shared" si="2"/>
        <v>0</v>
      </c>
      <c r="BB7" s="139">
        <f t="shared" si="2"/>
        <v>0</v>
      </c>
      <c r="BC7" s="139">
        <f t="shared" si="2"/>
        <v>0</v>
      </c>
      <c r="BD7" s="134">
        <f t="shared" si="2"/>
        <v>0</v>
      </c>
      <c r="BE7" s="134">
        <f t="shared" si="2"/>
        <v>0</v>
      </c>
      <c r="BF7" s="134">
        <f t="shared" si="2"/>
        <v>0</v>
      </c>
      <c r="BG7" s="134">
        <f t="shared" si="2"/>
        <v>0</v>
      </c>
      <c r="BH7" s="134">
        <f t="shared" si="2"/>
        <v>0</v>
      </c>
      <c r="BI7" s="134">
        <f t="shared" si="2"/>
        <v>0</v>
      </c>
      <c r="BJ7" s="134">
        <f t="shared" si="2"/>
        <v>0</v>
      </c>
      <c r="BK7" s="141">
        <f t="shared" si="2"/>
        <v>0</v>
      </c>
      <c r="BL7" s="141">
        <f t="shared" si="2"/>
        <v>0</v>
      </c>
      <c r="BM7" s="141">
        <f t="shared" si="2"/>
        <v>0</v>
      </c>
      <c r="BN7" s="141">
        <f t="shared" si="2"/>
        <v>0</v>
      </c>
      <c r="BO7" s="142">
        <f>'[8]열전용(분석서)'!$D$47</f>
        <v>31</v>
      </c>
      <c r="BP7" s="803">
        <f>'[8]열전용(분석서)'!$D$45</f>
        <v>0</v>
      </c>
      <c r="BQ7" s="832" t="str">
        <f>'[8]열전용(분석서)'!$D$46</f>
        <v>한도초과</v>
      </c>
      <c r="BR7" s="300" t="e">
        <f>'[8]열전용(분석서)'!$F$39</f>
        <v>#DIV/0!</v>
      </c>
      <c r="BS7" s="799">
        <f>SUM(BS9:BS33)</f>
        <v>0</v>
      </c>
      <c r="BT7" s="800"/>
    </row>
    <row r="8" spans="1:74" s="7" customFormat="1" ht="73.5" customHeight="1">
      <c r="A8" s="171"/>
      <c r="B8" s="162" t="s">
        <v>456</v>
      </c>
      <c r="C8" s="131" t="str">
        <f>IF($A8="","",VLOOKUP($A8,기본데이타!$A$8:$BV$103,COLUMN(기본데이타!F$8),0))</f>
        <v/>
      </c>
      <c r="D8" s="1339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37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33" t="str">
        <f>IF($A8="","",VLOOKUP($A8,기본데이타!$A$8:$BV$103,COLUMN(기본데이타!BT$8),0))</f>
        <v/>
      </c>
      <c r="BR8" s="996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171"/>
      <c r="B9" s="163"/>
      <c r="C9" s="257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36" t="str">
        <f>IF($A9="","",VLOOKUP($A9,기본데이타!$A$8:$BV$103,COLUMN(기본데이타!Y$8),0))</f>
        <v/>
      </c>
      <c r="W9" s="136" t="str">
        <f>IF($A9="","",VLOOKUP($A9,기본데이타!$A$8:$BV$103,COLUMN(기본데이타!Z$8),0))</f>
        <v/>
      </c>
      <c r="X9" s="136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3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97" t="str">
        <f>IF($A9="","",VLOOKUP($A9,기본데이타!$A$8:$BV$103,COLUMN(기본데이타!BT$8),0))</f>
        <v/>
      </c>
      <c r="BR9" s="997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4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36" t="str">
        <f>IF($A10="","",VLOOKUP($A10,기본데이타!$A$8:$BV$103,COLUMN(기본데이타!Y$8),0))</f>
        <v/>
      </c>
      <c r="W10" s="136" t="str">
        <f>IF($A10="","",VLOOKUP($A10,기본데이타!$A$8:$BV$103,COLUMN(기본데이타!Z$8),0))</f>
        <v/>
      </c>
      <c r="X10" s="136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3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997" t="str">
        <f>IF($A10="","",VLOOKUP($A10,기본데이타!$A$8:$BV$103,COLUMN(기본데이타!BT$8),0))</f>
        <v/>
      </c>
      <c r="BR10" s="997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4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36" t="str">
        <f>IF($A11="","",VLOOKUP($A11,기본데이타!$A$8:$BV$103,COLUMN(기본데이타!Y$8),0))</f>
        <v/>
      </c>
      <c r="W11" s="136" t="str">
        <f>IF($A11="","",VLOOKUP($A11,기본데이타!$A$8:$BV$103,COLUMN(기본데이타!Z$8),0))</f>
        <v/>
      </c>
      <c r="X11" s="136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3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997" t="str">
        <f>IF($A11="","",VLOOKUP($A11,기본데이타!$A$8:$BV$103,COLUMN(기본데이타!BT$8),0))</f>
        <v/>
      </c>
      <c r="BR11" s="997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4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36" t="str">
        <f>IF($A12="","",VLOOKUP($A12,기본데이타!$A$8:$BV$103,COLUMN(기본데이타!Y$8),0))</f>
        <v/>
      </c>
      <c r="W12" s="136" t="str">
        <f>IF($A12="","",VLOOKUP($A12,기본데이타!$A$8:$BV$103,COLUMN(기본데이타!Z$8),0))</f>
        <v/>
      </c>
      <c r="X12" s="136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3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997" t="str">
        <f>IF($A12="","",VLOOKUP($A12,기본데이타!$A$8:$BV$103,COLUMN(기본데이타!BT$8),0))</f>
        <v/>
      </c>
      <c r="BR12" s="997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4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36" t="str">
        <f>IF($A13="","",VLOOKUP($A13,기본데이타!$A$8:$BV$103,COLUMN(기본데이타!Y$8),0))</f>
        <v/>
      </c>
      <c r="W13" s="136" t="str">
        <f>IF($A13="","",VLOOKUP($A13,기본데이타!$A$8:$BV$103,COLUMN(기본데이타!Z$8),0))</f>
        <v/>
      </c>
      <c r="X13" s="136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3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997" t="str">
        <f>IF($A13="","",VLOOKUP($A13,기본데이타!$A$8:$BV$103,COLUMN(기본데이타!BT$8),0))</f>
        <v/>
      </c>
      <c r="BR13" s="997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4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36" t="str">
        <f>IF($A14="","",VLOOKUP($A14,기본데이타!$A$8:$BV$103,COLUMN(기본데이타!Y$8),0))</f>
        <v/>
      </c>
      <c r="W14" s="136" t="str">
        <f>IF($A14="","",VLOOKUP($A14,기본데이타!$A$8:$BV$103,COLUMN(기본데이타!Z$8),0))</f>
        <v/>
      </c>
      <c r="X14" s="136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3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997" t="str">
        <f>IF($A14="","",VLOOKUP($A14,기본데이타!$A$8:$BV$103,COLUMN(기본데이타!BT$8),0))</f>
        <v/>
      </c>
      <c r="BR14" s="997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4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36" t="str">
        <f>IF($A15="","",VLOOKUP($A15,기본데이타!$A$8:$BV$103,COLUMN(기본데이타!Y$8),0))</f>
        <v/>
      </c>
      <c r="W15" s="136" t="str">
        <f>IF($A15="","",VLOOKUP($A15,기본데이타!$A$8:$BV$103,COLUMN(기본데이타!Z$8),0))</f>
        <v/>
      </c>
      <c r="X15" s="136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3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997" t="str">
        <f>IF($A15="","",VLOOKUP($A15,기본데이타!$A$8:$BV$103,COLUMN(기본데이타!BT$8),0))</f>
        <v/>
      </c>
      <c r="BR15" s="997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4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36" t="str">
        <f>IF($A16="","",VLOOKUP($A16,기본데이타!$A$8:$BV$103,COLUMN(기본데이타!Y$8),0))</f>
        <v/>
      </c>
      <c r="W16" s="136" t="str">
        <f>IF($A16="","",VLOOKUP($A16,기본데이타!$A$8:$BV$103,COLUMN(기본데이타!Z$8),0))</f>
        <v/>
      </c>
      <c r="X16" s="136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3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997" t="str">
        <f>IF($A16="","",VLOOKUP($A16,기본데이타!$A$8:$BV$103,COLUMN(기본데이타!BT$8),0))</f>
        <v/>
      </c>
      <c r="BR16" s="997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4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36" t="str">
        <f>IF($A17="","",VLOOKUP($A17,기본데이타!$A$8:$BV$103,COLUMN(기본데이타!Y$8),0))</f>
        <v/>
      </c>
      <c r="W17" s="136" t="str">
        <f>IF($A17="","",VLOOKUP($A17,기본데이타!$A$8:$BV$103,COLUMN(기본데이타!Z$8),0))</f>
        <v/>
      </c>
      <c r="X17" s="136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3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997" t="str">
        <f>IF($A17="","",VLOOKUP($A17,기본데이타!$A$8:$BV$103,COLUMN(기본데이타!BT$8),0))</f>
        <v/>
      </c>
      <c r="BR17" s="997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4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36" t="str">
        <f>IF($A18="","",VLOOKUP($A18,기본데이타!$A$8:$BV$103,COLUMN(기본데이타!Y$8),0))</f>
        <v/>
      </c>
      <c r="W18" s="136" t="str">
        <f>IF($A18="","",VLOOKUP($A18,기본데이타!$A$8:$BV$103,COLUMN(기본데이타!Z$8),0))</f>
        <v/>
      </c>
      <c r="X18" s="136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3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995" t="str">
        <f>IF($A18="","",VLOOKUP($A18,기본데이타!$A$8:$BV$103,COLUMN(기본데이타!BT$8),0))</f>
        <v/>
      </c>
      <c r="BR18" s="995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4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36" t="str">
        <f>IF($A19="","",VLOOKUP($A19,기본데이타!$A$8:$BV$103,COLUMN(기본데이타!Y$8),0))</f>
        <v/>
      </c>
      <c r="W19" s="136" t="str">
        <f>IF($A19="","",VLOOKUP($A19,기본데이타!$A$8:$BV$103,COLUMN(기본데이타!Z$8),0))</f>
        <v/>
      </c>
      <c r="X19" s="136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3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995" t="str">
        <f>IF($A19="","",VLOOKUP($A19,기본데이타!$A$8:$BV$103,COLUMN(기본데이타!BT$8),0))</f>
        <v/>
      </c>
      <c r="BR19" s="995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4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36" t="str">
        <f>IF($A20="","",VLOOKUP($A20,기본데이타!$A$8:$BV$103,COLUMN(기본데이타!Y$8),0))</f>
        <v/>
      </c>
      <c r="W20" s="136" t="str">
        <f>IF($A20="","",VLOOKUP($A20,기본데이타!$A$8:$BV$103,COLUMN(기본데이타!Z$8),0))</f>
        <v/>
      </c>
      <c r="X20" s="136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3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4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36" t="str">
        <f>IF($A21="","",VLOOKUP($A21,기본데이타!$A$8:$BV$103,COLUMN(기본데이타!Y$8),0))</f>
        <v/>
      </c>
      <c r="W21" s="136" t="str">
        <f>IF($A21="","",VLOOKUP($A21,기본데이타!$A$8:$BV$103,COLUMN(기본데이타!Z$8),0))</f>
        <v/>
      </c>
      <c r="X21" s="136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3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4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36" t="str">
        <f>IF($A22="","",VLOOKUP($A22,기본데이타!$A$8:$BV$103,COLUMN(기본데이타!Y$8),0))</f>
        <v/>
      </c>
      <c r="W22" s="136" t="str">
        <f>IF($A22="","",VLOOKUP($A22,기본데이타!$A$8:$BV$103,COLUMN(기본데이타!Z$8),0))</f>
        <v/>
      </c>
      <c r="X22" s="136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3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4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36" t="str">
        <f>IF($A23="","",VLOOKUP($A23,기본데이타!$A$8:$BV$103,COLUMN(기본데이타!Y$8),0))</f>
        <v/>
      </c>
      <c r="W23" s="136" t="str">
        <f>IF($A23="","",VLOOKUP($A23,기본데이타!$A$8:$BV$103,COLUMN(기본데이타!Z$8),0))</f>
        <v/>
      </c>
      <c r="X23" s="136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3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4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36" t="str">
        <f>IF($A24="","",VLOOKUP($A24,기본데이타!$A$8:$BV$103,COLUMN(기본데이타!Y$8),0))</f>
        <v/>
      </c>
      <c r="W24" s="136" t="str">
        <f>IF($A24="","",VLOOKUP($A24,기본데이타!$A$8:$BV$103,COLUMN(기본데이타!Z$8),0))</f>
        <v/>
      </c>
      <c r="X24" s="136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3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4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36" t="str">
        <f>IF($A25="","",VLOOKUP($A25,기본데이타!$A$8:$BV$103,COLUMN(기본데이타!Y$8),0))</f>
        <v/>
      </c>
      <c r="W25" s="136" t="str">
        <f>IF($A25="","",VLOOKUP($A25,기본데이타!$A$8:$BV$103,COLUMN(기본데이타!Z$8),0))</f>
        <v/>
      </c>
      <c r="X25" s="136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3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4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36" t="str">
        <f>IF($A26="","",VLOOKUP($A26,기본데이타!$A$8:$BV$103,COLUMN(기본데이타!Y$8),0))</f>
        <v/>
      </c>
      <c r="W26" s="136" t="str">
        <f>IF($A26="","",VLOOKUP($A26,기본데이타!$A$8:$BV$103,COLUMN(기본데이타!Z$8),0))</f>
        <v/>
      </c>
      <c r="X26" s="136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3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4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36" t="str">
        <f>IF($A27="","",VLOOKUP($A27,기본데이타!$A$8:$BV$103,COLUMN(기본데이타!Y$8),0))</f>
        <v/>
      </c>
      <c r="W27" s="136" t="str">
        <f>IF($A27="","",VLOOKUP($A27,기본데이타!$A$8:$BV$103,COLUMN(기본데이타!Z$8),0))</f>
        <v/>
      </c>
      <c r="X27" s="136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3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4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36" t="str">
        <f>IF($A28="","",VLOOKUP($A28,기본데이타!$A$8:$BV$103,COLUMN(기본데이타!Y$8),0))</f>
        <v/>
      </c>
      <c r="W28" s="136" t="str">
        <f>IF($A28="","",VLOOKUP($A28,기본데이타!$A$8:$BV$103,COLUMN(기본데이타!Z$8),0))</f>
        <v/>
      </c>
      <c r="X28" s="136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3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4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36" t="str">
        <f>IF($A29="","",VLOOKUP($A29,기본데이타!$A$8:$BV$103,COLUMN(기본데이타!Y$8),0))</f>
        <v/>
      </c>
      <c r="W29" s="136" t="str">
        <f>IF($A29="","",VLOOKUP($A29,기본데이타!$A$8:$BV$103,COLUMN(기본데이타!Z$8),0))</f>
        <v/>
      </c>
      <c r="X29" s="136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3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4"/>
        <v>0</v>
      </c>
      <c r="BU29" s="242"/>
    </row>
    <row r="30" spans="1:73" s="7" customFormat="1" ht="73.5" customHeight="1">
      <c r="A30" s="170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36" t="str">
        <f>IF($A30="","",VLOOKUP($A30,기본데이타!$A$8:$BV$103,COLUMN(기본데이타!Y$8),0))</f>
        <v/>
      </c>
      <c r="W30" s="136" t="str">
        <f>IF($A30="","",VLOOKUP($A30,기본데이타!$A$8:$BV$103,COLUMN(기본데이타!Z$8),0))</f>
        <v/>
      </c>
      <c r="X30" s="136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3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4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36" t="str">
        <f>IF($A31="","",VLOOKUP($A31,기본데이타!$A$8:$BV$103,COLUMN(기본데이타!Y$8),0))</f>
        <v/>
      </c>
      <c r="W31" s="136" t="str">
        <f>IF($A31="","",VLOOKUP($A31,기본데이타!$A$8:$BV$103,COLUMN(기본데이타!Z$8),0))</f>
        <v/>
      </c>
      <c r="X31" s="136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3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4"/>
        <v>0</v>
      </c>
      <c r="BU31" s="242"/>
    </row>
    <row r="32" spans="1:73" s="7" customFormat="1" ht="73.5" customHeight="1">
      <c r="A32" s="170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36" t="str">
        <f>IF($A32="","",VLOOKUP($A32,기본데이타!$A$8:$BV$103,COLUMN(기본데이타!Y$8),0))</f>
        <v/>
      </c>
      <c r="W32" s="136" t="str">
        <f>IF($A32="","",VLOOKUP($A32,기본데이타!$A$8:$BV$103,COLUMN(기본데이타!Z$8),0))</f>
        <v/>
      </c>
      <c r="X32" s="136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3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4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136" t="str">
        <f>IF($A33="","",VLOOKUP($A33,기본데이타!$A$8:$BV$103,COLUMN(기본데이타!Y$8),0))</f>
        <v/>
      </c>
      <c r="W33" s="136" t="str">
        <f>IF($A33="","",VLOOKUP($A33,기본데이타!$A$8:$BV$103,COLUMN(기본데이타!Z$8),0))</f>
        <v/>
      </c>
      <c r="X33" s="13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3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4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3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3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3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3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3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3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3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3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3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3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3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3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3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3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3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3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3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3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3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3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3"/>
        <v/>
      </c>
    </row>
    <row r="55" spans="46:49">
      <c r="AT55" s="10"/>
      <c r="AU55" s="10"/>
      <c r="AV55" s="10"/>
      <c r="AW55" s="10" t="str">
        <f t="shared" si="3"/>
        <v/>
      </c>
    </row>
    <row r="56" spans="46:49">
      <c r="AT56" s="10"/>
      <c r="AU56" s="10"/>
      <c r="AV56" s="10"/>
      <c r="AW56" s="10" t="str">
        <f t="shared" si="3"/>
        <v/>
      </c>
    </row>
    <row r="57" spans="46:49">
      <c r="AT57" s="10"/>
      <c r="AU57" s="10"/>
      <c r="AV57" s="10"/>
      <c r="AW57" s="10" t="str">
        <f t="shared" si="3"/>
        <v/>
      </c>
    </row>
    <row r="58" spans="46:49">
      <c r="AT58" s="10"/>
      <c r="AU58" s="10"/>
      <c r="AV58" s="10"/>
      <c r="AW58" s="10" t="str">
        <f t="shared" si="3"/>
        <v/>
      </c>
    </row>
    <row r="59" spans="46:49">
      <c r="AT59" s="10"/>
      <c r="AU59" s="10"/>
      <c r="AV59" s="10"/>
      <c r="AW59" s="10" t="str">
        <f t="shared" si="3"/>
        <v/>
      </c>
    </row>
    <row r="60" spans="46:49">
      <c r="AT60" s="10"/>
      <c r="AU60" s="10"/>
      <c r="AV60" s="10"/>
      <c r="AW60" s="10" t="str">
        <f t="shared" si="3"/>
        <v/>
      </c>
    </row>
    <row r="61" spans="46:49">
      <c r="AT61" s="10"/>
      <c r="AU61" s="10"/>
      <c r="AV61" s="10"/>
      <c r="AW61" s="10" t="str">
        <f t="shared" si="3"/>
        <v/>
      </c>
    </row>
    <row r="62" spans="46:49">
      <c r="AT62" s="10"/>
      <c r="AU62" s="10"/>
      <c r="AV62" s="10"/>
      <c r="AW62" s="10" t="str">
        <f t="shared" si="3"/>
        <v/>
      </c>
    </row>
    <row r="63" spans="46:49">
      <c r="AT63" s="10"/>
      <c r="AU63" s="10"/>
      <c r="AV63" s="10"/>
      <c r="AW63" s="10" t="str">
        <f t="shared" si="3"/>
        <v/>
      </c>
    </row>
    <row r="64" spans="46:49">
      <c r="AT64" s="10"/>
      <c r="AU64" s="10"/>
      <c r="AV64" s="10"/>
      <c r="AW64" s="10" t="str">
        <f t="shared" si="3"/>
        <v/>
      </c>
    </row>
    <row r="65" spans="46:49">
      <c r="AT65" s="10"/>
      <c r="AU65" s="10"/>
      <c r="AV65" s="10"/>
      <c r="AW65" s="10" t="str">
        <f t="shared" si="3"/>
        <v/>
      </c>
    </row>
    <row r="66" spans="46:49">
      <c r="AW66" s="2" t="str">
        <f t="shared" si="3"/>
        <v/>
      </c>
    </row>
  </sheetData>
  <mergeCells count="14">
    <mergeCell ref="C4:C6"/>
    <mergeCell ref="Y4:Z5"/>
    <mergeCell ref="AA4:AB5"/>
    <mergeCell ref="AC4:AD5"/>
    <mergeCell ref="AE4:AF5"/>
    <mergeCell ref="BO4:BR4"/>
    <mergeCell ref="BS4:BS6"/>
    <mergeCell ref="BT4:BT6"/>
    <mergeCell ref="AH5:AJ5"/>
    <mergeCell ref="AK5:AR5"/>
    <mergeCell ref="BK5:BK6"/>
    <mergeCell ref="AS4:AS6"/>
    <mergeCell ref="AT4:AW5"/>
    <mergeCell ref="AX4:AX6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0">
    <tabColor rgb="FFFFFF00"/>
  </sheetPr>
  <dimension ref="A1:BV66"/>
  <sheetViews>
    <sheetView showGridLines="0" zoomScale="55" zoomScaleNormal="55" workbookViewId="0">
      <pane xSplit="4" ySplit="7" topLeftCell="BG8" activePane="bottomRight" state="frozen"/>
      <selection activeCell="BS1" sqref="BS1"/>
      <selection pane="topRight" activeCell="BS1" sqref="BS1"/>
      <selection pane="bottomLeft" activeCell="BS1" sqref="BS1"/>
      <selection pane="bottomRight" activeCell="BR8" sqref="BR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3320312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bestFit="1" customWidth="1"/>
    <col min="10" max="10" width="6.33203125" style="2" customWidth="1"/>
    <col min="11" max="11" width="8.44140625" style="2" bestFit="1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4.109375" style="2" bestFit="1" customWidth="1"/>
    <col min="18" max="18" width="5.77734375" style="2" customWidth="1"/>
    <col min="19" max="19" width="14.109375" style="2" bestFit="1" customWidth="1"/>
    <col min="20" max="20" width="5.77734375" style="2" customWidth="1"/>
    <col min="21" max="21" width="13" style="2" bestFit="1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bestFit="1" customWidth="1"/>
    <col min="27" max="27" width="5.77734375" style="2" customWidth="1"/>
    <col min="28" max="28" width="13.44140625" style="2" bestFit="1" customWidth="1"/>
    <col min="29" max="29" width="5.77734375" style="2" customWidth="1"/>
    <col min="30" max="30" width="13.44140625" style="2" bestFit="1" customWidth="1"/>
    <col min="31" max="31" width="5.77734375" style="2" customWidth="1"/>
    <col min="32" max="32" width="13.44140625" style="2" bestFit="1" customWidth="1"/>
    <col min="33" max="33" width="7.77734375" style="2" customWidth="1"/>
    <col min="34" max="45" width="12.77734375" style="360" customWidth="1"/>
    <col min="46" max="49" width="20.77734375" style="2" bestFit="1" customWidth="1"/>
    <col min="50" max="50" width="11.44140625" style="2" customWidth="1"/>
    <col min="51" max="51" width="15.5546875" style="2" bestFit="1" customWidth="1"/>
    <col min="52" max="53" width="14" style="2" customWidth="1"/>
    <col min="54" max="54" width="15.21875" style="2" customWidth="1"/>
    <col min="55" max="55" width="16.77734375" style="2" bestFit="1" customWidth="1"/>
    <col min="56" max="57" width="14" style="2" customWidth="1"/>
    <col min="58" max="58" width="11.44140625" style="2" customWidth="1"/>
    <col min="59" max="62" width="15.21875" style="2" customWidth="1"/>
    <col min="63" max="64" width="22.6640625" style="2" bestFit="1" customWidth="1"/>
    <col min="65" max="65" width="20.6640625" style="2" bestFit="1" customWidth="1"/>
    <col min="66" max="66" width="16.77734375" style="2" bestFit="1" customWidth="1"/>
    <col min="67" max="67" width="15.77734375" style="2" customWidth="1"/>
    <col min="68" max="68" width="25.21875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SUM(BP8:BP28)</f>
        <v>0</v>
      </c>
      <c r="BQ3" s="1157">
        <f>BP3-BP7</f>
        <v>0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COUNTA(A8:A20)</f>
        <v>0</v>
      </c>
      <c r="D7" s="137">
        <f t="shared" ref="D7:N7" si="0">SUM(D8:D32)</f>
        <v>0</v>
      </c>
      <c r="E7" s="134">
        <f>SUM(E8:E32)</f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SUM(AP8:AP28)</f>
        <v>0</v>
      </c>
      <c r="AQ7" s="357">
        <f t="shared" si="2"/>
        <v>0</v>
      </c>
      <c r="AR7" s="357">
        <f t="shared" ref="AR7" si="3">SUM(AR8:AR28)</f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4">
        <f t="shared" ref="AX7:BN7" si="4">SUM(AX8:AX32)</f>
        <v>0</v>
      </c>
      <c r="AY7" s="134">
        <f t="shared" si="4"/>
        <v>0</v>
      </c>
      <c r="AZ7" s="134">
        <f t="shared" si="4"/>
        <v>0</v>
      </c>
      <c r="BA7" s="140">
        <f t="shared" si="4"/>
        <v>0</v>
      </c>
      <c r="BB7" s="139">
        <f t="shared" si="4"/>
        <v>0</v>
      </c>
      <c r="BC7" s="139">
        <f t="shared" si="4"/>
        <v>0</v>
      </c>
      <c r="BD7" s="134">
        <f t="shared" si="4"/>
        <v>0</v>
      </c>
      <c r="BE7" s="134">
        <f t="shared" si="4"/>
        <v>0</v>
      </c>
      <c r="BF7" s="134">
        <f t="shared" si="4"/>
        <v>0</v>
      </c>
      <c r="BG7" s="134">
        <f t="shared" si="4"/>
        <v>0</v>
      </c>
      <c r="BH7" s="134">
        <f t="shared" ref="BH7:BI7" si="5">SUM(BH8:BH32)</f>
        <v>0</v>
      </c>
      <c r="BI7" s="134">
        <f t="shared" si="5"/>
        <v>0</v>
      </c>
      <c r="BJ7" s="134">
        <f t="shared" ref="BJ7" si="6">SUM(BJ8:BJ32)</f>
        <v>0</v>
      </c>
      <c r="BK7" s="141">
        <f t="shared" si="4"/>
        <v>0</v>
      </c>
      <c r="BL7" s="141">
        <f t="shared" si="4"/>
        <v>0</v>
      </c>
      <c r="BM7" s="141">
        <f t="shared" si="4"/>
        <v>0</v>
      </c>
      <c r="BN7" s="141">
        <f t="shared" si="4"/>
        <v>0</v>
      </c>
      <c r="BO7" s="142">
        <f>'[6]영업용(분석서)'!$D$47</f>
        <v>31</v>
      </c>
      <c r="BP7" s="804">
        <f>'[6]영업용(분석서)'!$D$45</f>
        <v>0</v>
      </c>
      <c r="BQ7" s="832" t="str">
        <f>'[6]영업용(분석서)'!$D$46</f>
        <v>한도초과</v>
      </c>
      <c r="BR7" s="300" t="e">
        <f>'[6]영업용(분석서)'!$F$39</f>
        <v>#DIV/0!</v>
      </c>
      <c r="BS7" s="799">
        <f>SUM(BS9:BS33)</f>
        <v>0</v>
      </c>
      <c r="BT7" s="800"/>
    </row>
    <row r="8" spans="1:74" s="7" customFormat="1" ht="73.5" customHeight="1">
      <c r="A8" s="988"/>
      <c r="B8" s="991" t="s">
        <v>266</v>
      </c>
      <c r="C8" s="131" t="str">
        <f>IF($A8="","",VLOOKUP($A8,기본데이타!$A$8:$BV$103,COLUMN(기본데이타!F$8),0))</f>
        <v/>
      </c>
      <c r="D8" s="144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6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805" t="str">
        <f>IF($A8="","",VLOOKUP($A8,기본데이타!$A$8:$BV$103,COLUMN(기본데이타!BS$8),0))</f>
        <v/>
      </c>
      <c r="BQ8" s="833" t="str">
        <f>IF($A8="","",VLOOKUP($A8,기본데이타!$A$8:$BV$103,COLUMN(기본데이타!BT$8),0))</f>
        <v/>
      </c>
      <c r="BR8" s="834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>A8</f>
        <v>0</v>
      </c>
      <c r="BU8" s="242"/>
    </row>
    <row r="9" spans="1:74" s="7" customFormat="1" ht="73.5" customHeight="1">
      <c r="A9" s="988"/>
      <c r="B9" s="992"/>
      <c r="C9" s="164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7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85" t="str">
        <f>IF($A9="","",VLOOKUP($A9,기본데이타!$A$8:$BV$103,COLUMN(기본데이타!BT$8),0))</f>
        <v/>
      </c>
      <c r="BR9" s="168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ref="BT9:BT33" si="8">A9</f>
        <v>0</v>
      </c>
      <c r="BU9" s="307"/>
    </row>
    <row r="10" spans="1:74" s="7" customFormat="1" ht="73.5" customHeight="1">
      <c r="A10" s="988"/>
      <c r="B10" s="992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68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168" t="str">
        <f>IF($A10="","",VLOOKUP($A10,기본데이타!$A$8:$BV$103,COLUMN(기본데이타!BT$8),0))</f>
        <v/>
      </c>
      <c r="BR10" s="168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8"/>
        <v>0</v>
      </c>
      <c r="BU10" s="242"/>
    </row>
    <row r="11" spans="1:74" s="7" customFormat="1" ht="73.5" customHeight="1">
      <c r="A11" s="988"/>
      <c r="B11" s="992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168" t="str">
        <f>IF($A11="","",VLOOKUP($A11,기본데이타!$A$8:$BV$103,COLUMN(기본데이타!BT$8),0))</f>
        <v/>
      </c>
      <c r="BR11" s="168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8"/>
        <v>0</v>
      </c>
      <c r="BU11" s="242"/>
    </row>
    <row r="12" spans="1:74" s="7" customFormat="1" ht="73.5" customHeight="1">
      <c r="A12" s="988"/>
      <c r="B12" s="992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168" t="str">
        <f>IF($A12="","",VLOOKUP($A12,기본데이타!$A$8:$BV$103,COLUMN(기본데이타!BT$8),0))</f>
        <v/>
      </c>
      <c r="BR12" s="168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8"/>
        <v>0</v>
      </c>
      <c r="BU12" s="242"/>
    </row>
    <row r="13" spans="1:74" s="7" customFormat="1" ht="73.5" customHeight="1">
      <c r="A13" s="988"/>
      <c r="B13" s="992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168" t="str">
        <f>IF($A13="","",VLOOKUP($A13,기본데이타!$A$8:$BV$103,COLUMN(기본데이타!BT$8),0))</f>
        <v/>
      </c>
      <c r="BR13" s="168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8"/>
        <v>0</v>
      </c>
      <c r="BU13" s="242"/>
    </row>
    <row r="14" spans="1:74" s="7" customFormat="1" ht="73.5" customHeight="1">
      <c r="A14" s="988"/>
      <c r="B14" s="992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168" t="str">
        <f>IF($A14="","",VLOOKUP($A14,기본데이타!$A$8:$BV$103,COLUMN(기본데이타!BT$8),0))</f>
        <v/>
      </c>
      <c r="BR14" s="168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8"/>
        <v>0</v>
      </c>
      <c r="BU14" s="242"/>
    </row>
    <row r="15" spans="1:74" s="7" customFormat="1" ht="73.5" customHeight="1">
      <c r="A15" s="988"/>
      <c r="B15" s="992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168" t="str">
        <f>IF($A15="","",VLOOKUP($A15,기본데이타!$A$8:$BV$103,COLUMN(기본데이타!BT$8),0))</f>
        <v/>
      </c>
      <c r="BR15" s="168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8"/>
        <v>0</v>
      </c>
      <c r="BU15" s="242"/>
    </row>
    <row r="16" spans="1:74" s="7" customFormat="1" ht="73.5" customHeight="1">
      <c r="A16" s="988"/>
      <c r="B16" s="992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168" t="str">
        <f>IF($A16="","",VLOOKUP($A16,기본데이타!$A$8:$BV$103,COLUMN(기본데이타!BT$8),0))</f>
        <v/>
      </c>
      <c r="BR16" s="168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8"/>
        <v>0</v>
      </c>
      <c r="BU16" s="242"/>
    </row>
    <row r="17" spans="1:73" s="7" customFormat="1" ht="73.5" customHeight="1">
      <c r="A17" s="988"/>
      <c r="B17" s="992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168" t="str">
        <f>IF($A17="","",VLOOKUP($A17,기본데이타!$A$8:$BV$103,COLUMN(기본데이타!BT$8),0))</f>
        <v/>
      </c>
      <c r="BR17" s="168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8"/>
        <v>0</v>
      </c>
      <c r="BU17" s="242"/>
    </row>
    <row r="18" spans="1:73" s="7" customFormat="1" ht="73.5" customHeight="1">
      <c r="A18" s="988"/>
      <c r="B18" s="992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168" t="str">
        <f>IF($A18="","",VLOOKUP($A18,기본데이타!$A$8:$BV$103,COLUMN(기본데이타!BT$8),0))</f>
        <v/>
      </c>
      <c r="BR18" s="168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8"/>
        <v>0</v>
      </c>
      <c r="BU18" s="242"/>
    </row>
    <row r="19" spans="1:73" s="7" customFormat="1" ht="73.5" customHeight="1">
      <c r="A19" s="988"/>
      <c r="B19" s="992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168" t="str">
        <f>IF($A19="","",VLOOKUP($A19,기본데이타!$A$8:$BV$103,COLUMN(기본데이타!BT$8),0))</f>
        <v/>
      </c>
      <c r="BR19" s="168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8"/>
        <v>0</v>
      </c>
      <c r="BU19" s="242"/>
    </row>
    <row r="20" spans="1:73" s="7" customFormat="1" ht="73.5" customHeight="1">
      <c r="A20" s="988"/>
      <c r="B20" s="992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168" t="str">
        <f>IF($A20="","",VLOOKUP($A20,기본데이타!$A$8:$BV$103,COLUMN(기본데이타!BT$8),0))</f>
        <v/>
      </c>
      <c r="BR20" s="168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8"/>
        <v>0</v>
      </c>
      <c r="BU20" s="242"/>
    </row>
    <row r="21" spans="1:73" s="7" customFormat="1" ht="73.5" customHeight="1">
      <c r="A21" s="988"/>
      <c r="B21" s="992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168" t="str">
        <f>IF($A21="","",VLOOKUP($A21,기본데이타!$A$8:$BV$103,COLUMN(기본데이타!BT$8),0))</f>
        <v/>
      </c>
      <c r="BR21" s="168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8"/>
        <v>0</v>
      </c>
      <c r="BU21" s="242"/>
    </row>
    <row r="22" spans="1:73" s="7" customFormat="1" ht="73.5" customHeight="1">
      <c r="A22" s="988"/>
      <c r="B22" s="992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168" t="str">
        <f>IF($A22="","",VLOOKUP($A22,기본데이타!$A$8:$BV$103,COLUMN(기본데이타!BT$8),0))</f>
        <v/>
      </c>
      <c r="BR22" s="168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8"/>
        <v>0</v>
      </c>
      <c r="BU22" s="242"/>
    </row>
    <row r="23" spans="1:73" s="7" customFormat="1" ht="73.5" customHeight="1">
      <c r="A23" s="988"/>
      <c r="B23" s="992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168" t="str">
        <f>IF($A23="","",VLOOKUP($A23,기본데이타!$A$8:$BV$103,COLUMN(기본데이타!BT$8),0))</f>
        <v/>
      </c>
      <c r="BR23" s="168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8"/>
        <v>0</v>
      </c>
      <c r="BU23" s="242"/>
    </row>
    <row r="24" spans="1:73" s="7" customFormat="1" ht="73.5" customHeight="1">
      <c r="A24" s="988"/>
      <c r="B24" s="992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168" t="str">
        <f>IF($A24="","",VLOOKUP($A24,기본데이타!$A$8:$BV$103,COLUMN(기본데이타!BT$8),0))</f>
        <v/>
      </c>
      <c r="BR24" s="168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8"/>
        <v>0</v>
      </c>
      <c r="BU24" s="242"/>
    </row>
    <row r="25" spans="1:73" s="7" customFormat="1" ht="73.5" customHeight="1">
      <c r="A25" s="988"/>
      <c r="B25" s="992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168" t="str">
        <f>IF($A25="","",VLOOKUP($A25,기본데이타!$A$8:$BV$103,COLUMN(기본데이타!BT$8),0))</f>
        <v/>
      </c>
      <c r="BR25" s="168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8"/>
        <v>0</v>
      </c>
      <c r="BU25" s="242"/>
    </row>
    <row r="26" spans="1:73" s="7" customFormat="1" ht="73.5" customHeight="1">
      <c r="A26" s="988"/>
      <c r="B26" s="992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168" t="str">
        <f>IF($A26="","",VLOOKUP($A26,기본데이타!$A$8:$BV$103,COLUMN(기본데이타!BT$8),0))</f>
        <v/>
      </c>
      <c r="BR26" s="168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8"/>
        <v>0</v>
      </c>
      <c r="BU26" s="242"/>
    </row>
    <row r="27" spans="1:73" s="7" customFormat="1" ht="73.5" customHeight="1">
      <c r="A27" s="988"/>
      <c r="B27" s="992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168" t="str">
        <f>IF($A27="","",VLOOKUP($A27,기본데이타!$A$8:$BV$103,COLUMN(기본데이타!BT$8),0))</f>
        <v/>
      </c>
      <c r="BR27" s="168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8"/>
        <v>0</v>
      </c>
      <c r="BU27" s="242"/>
    </row>
    <row r="28" spans="1:73" s="7" customFormat="1" ht="73.5" customHeight="1">
      <c r="A28" s="988"/>
      <c r="B28" s="992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7"/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168" t="str">
        <f>IF($A28="","",VLOOKUP($A28,기본데이타!$A$8:$BV$103,COLUMN(기본데이타!BT$8),0))</f>
        <v/>
      </c>
      <c r="BR28" s="168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 t="shared" si="8"/>
        <v>0</v>
      </c>
      <c r="BU28" s="242"/>
    </row>
    <row r="29" spans="1:73" s="7" customFormat="1" ht="73.5" customHeight="1">
      <c r="A29" s="988"/>
      <c r="B29" s="992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168" t="str">
        <f>IF($A29="","",VLOOKUP($A29,기본데이타!$A$8:$BV$103,COLUMN(기본데이타!BT$8),0))</f>
        <v/>
      </c>
      <c r="BR29" s="168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8"/>
        <v>0</v>
      </c>
      <c r="BU29" s="242"/>
    </row>
    <row r="30" spans="1:73" s="7" customFormat="1" ht="73.5" customHeight="1">
      <c r="A30" s="989"/>
      <c r="B30" s="992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68" t="str">
        <f>IF($A30="","",VLOOKUP($A30,기본데이타!$A$8:$BV$103,COLUMN(기본데이타!Y$8),0))</f>
        <v/>
      </c>
      <c r="W30" s="168" t="str">
        <f>IF($A30="","",VLOOKUP($A30,기본데이타!$A$8:$BV$103,COLUMN(기본데이타!Z$8),0))</f>
        <v/>
      </c>
      <c r="X30" s="168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168" t="str">
        <f>IF($A30="","",VLOOKUP($A30,기본데이타!$A$8:$BV$103,COLUMN(기본데이타!BT$8),0))</f>
        <v/>
      </c>
      <c r="BR30" s="168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8"/>
        <v>0</v>
      </c>
      <c r="BU30" s="242"/>
    </row>
    <row r="31" spans="1:73" s="7" customFormat="1" ht="73.5" customHeight="1">
      <c r="A31" s="988"/>
      <c r="B31" s="992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68" t="str">
        <f>IF($A31="","",VLOOKUP($A31,기본데이타!$A$8:$BV$103,COLUMN(기본데이타!Y$8),0))</f>
        <v/>
      </c>
      <c r="W31" s="168" t="str">
        <f>IF($A31="","",VLOOKUP($A31,기본데이타!$A$8:$BV$103,COLUMN(기본데이타!Z$8),0))</f>
        <v/>
      </c>
      <c r="X31" s="168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168" t="str">
        <f>IF($A31="","",VLOOKUP($A31,기본데이타!$A$8:$BV$103,COLUMN(기본데이타!BT$8),0))</f>
        <v/>
      </c>
      <c r="BR31" s="168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8"/>
        <v>0</v>
      </c>
      <c r="BU31" s="242"/>
    </row>
    <row r="32" spans="1:73" s="7" customFormat="1" ht="73.5" customHeight="1">
      <c r="A32" s="989"/>
      <c r="B32" s="992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68" t="str">
        <f>IF($A32="","",VLOOKUP($A32,기본데이타!$A$8:$BV$103,COLUMN(기본데이타!Y$8),0))</f>
        <v/>
      </c>
      <c r="W32" s="168" t="str">
        <f>IF($A32="","",VLOOKUP($A32,기본데이타!$A$8:$BV$103,COLUMN(기본데이타!Z$8),0))</f>
        <v/>
      </c>
      <c r="X32" s="168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168" t="str">
        <f>IF($A32="","",VLOOKUP($A32,기본데이타!$A$8:$BV$103,COLUMN(기본데이타!BT$8),0))</f>
        <v/>
      </c>
      <c r="BR32" s="168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8"/>
        <v>0</v>
      </c>
      <c r="BU32" s="242"/>
    </row>
    <row r="33" spans="1:73" s="7" customFormat="1" ht="73.5" customHeight="1" thickBot="1">
      <c r="A33" s="990"/>
      <c r="B33" s="993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986" t="str">
        <f>IF($A33="","",VLOOKUP($A33,기본데이타!$A$8:$BV$103,COLUMN(기본데이타!Y$8),0))</f>
        <v/>
      </c>
      <c r="W33" s="986" t="str">
        <f>IF($A33="","",VLOOKUP($A33,기본데이타!$A$8:$BV$103,COLUMN(기본데이타!Z$8),0))</f>
        <v/>
      </c>
      <c r="X33" s="98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7"/>
        <v/>
      </c>
      <c r="AX33" s="986" t="str">
        <f>IF($A33="","",VLOOKUP($A33,기본데이타!$A$8:$BV$103,COLUMN(기본데이타!BA$8),0))</f>
        <v/>
      </c>
      <c r="AY33" s="986" t="str">
        <f>IF($A33="","",VLOOKUP($A33,기본데이타!$A$8:$BV$103,COLUMN(기본데이타!BB$8),0))</f>
        <v/>
      </c>
      <c r="AZ33" s="986" t="str">
        <f>IF($A33="","",VLOOKUP($A33,기본데이타!$A$8:$BV$103,COLUMN(기본데이타!BC$8),0))</f>
        <v/>
      </c>
      <c r="BA33" s="986" t="str">
        <f>IF($A33="","",VLOOKUP($A33,기본데이타!$A$8:$BV$103,COLUMN(기본데이타!BD$8),0))</f>
        <v/>
      </c>
      <c r="BB33" s="986" t="str">
        <f>IF($A33="","",VLOOKUP($A33,기본데이타!$A$8:$BV$103,COLUMN(기본데이타!BE$8),0))</f>
        <v/>
      </c>
      <c r="BC33" s="986" t="str">
        <f>IF($A33="","",VLOOKUP($A33,기본데이타!$A$8:$BV$103,COLUMN(기본데이타!BF$8),0))</f>
        <v/>
      </c>
      <c r="BD33" s="986" t="str">
        <f>IF($A33="","",VLOOKUP($A33,기본데이타!$A$8:$BV$103,COLUMN(기본데이타!BG$8),0))</f>
        <v/>
      </c>
      <c r="BE33" s="986" t="str">
        <f>IF($A33="","",VLOOKUP($A33,기본데이타!$A$8:$BV$103,COLUMN(기본데이타!BH$8),0))</f>
        <v/>
      </c>
      <c r="BF33" s="986" t="str">
        <f>IF($A33="","",VLOOKUP($A33,기본데이타!$A$8:$BV$103,COLUMN(기본데이타!BI$8),0))</f>
        <v/>
      </c>
      <c r="BG33" s="986" t="str">
        <f>IF($A33="","",VLOOKUP($A33,기본데이타!$A$8:$BV$103,COLUMN(기본데이타!BJ$8),0))</f>
        <v/>
      </c>
      <c r="BH33" s="986" t="str">
        <f>IF($A33="","",VLOOKUP($A33,기본데이타!$A$8:$BV$103,COLUMN(기본데이타!BK$8),0))</f>
        <v/>
      </c>
      <c r="BI33" s="986" t="str">
        <f>IF($A33="","",VLOOKUP($A33,기본데이타!$A$8:$BV$103,COLUMN(기본데이타!BL$8),0))</f>
        <v/>
      </c>
      <c r="BJ33" s="986" t="str">
        <f>IF($A33="","",VLOOKUP($A33,기본데이타!$A$8:$BV$103,COLUMN(기본데이타!BM$8),0))</f>
        <v/>
      </c>
      <c r="BK33" s="986" t="str">
        <f>IF($A33="","",VLOOKUP($A33,기본데이타!$A$8:$BV$103,COLUMN(기본데이타!BN$8),0))</f>
        <v/>
      </c>
      <c r="BL33" s="986" t="str">
        <f>IF($A33="","",VLOOKUP($A33,기본데이타!$A$8:$BV$103,COLUMN(기본데이타!BO$8),0))</f>
        <v/>
      </c>
      <c r="BM33" s="986" t="str">
        <f>IF($A33="","",VLOOKUP($A33,기본데이타!$A$8:$BV$103,COLUMN(기본데이타!BP$8),0))</f>
        <v/>
      </c>
      <c r="BN33" s="986" t="str">
        <f>IF($A33="","",VLOOKUP($A33,기본데이타!$A$8:$BV$103,COLUMN(기본데이타!BQ$8),0))</f>
        <v/>
      </c>
      <c r="BO33" s="986" t="str">
        <f>IF($A33="","",VLOOKUP($A33,기본데이타!$A$8:$BV$103,COLUMN(기본데이타!BR$8),0))</f>
        <v/>
      </c>
      <c r="BP33" s="986" t="str">
        <f>IF($A33="","",VLOOKUP($A33,기본데이타!$A$8:$BV$103,COLUMN(기본데이타!BS$8),0))</f>
        <v/>
      </c>
      <c r="BQ33" s="986" t="str">
        <f>IF($A33="","",VLOOKUP($A33,기본데이타!$A$8:$BV$103,COLUMN(기본데이타!BT$8),0))</f>
        <v/>
      </c>
      <c r="BR33" s="986" t="str">
        <f>IF($A33="","",VLOOKUP($A33,기본데이타!$A$8:$BV$103,COLUMN(기본데이타!BU$8),0))</f>
        <v/>
      </c>
      <c r="BS33" s="986" t="str">
        <f>IF($A33="","",VLOOKUP($A33,기본데이타!$A$8:$BV$103,COLUMN(기본데이타!BV$8),0))</f>
        <v/>
      </c>
      <c r="BT33" s="987">
        <f t="shared" si="8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7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7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7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7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7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7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7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7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7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7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7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7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7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7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7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7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7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7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7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7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7"/>
        <v/>
      </c>
    </row>
    <row r="55" spans="46:49">
      <c r="AT55" s="10"/>
      <c r="AU55" s="10"/>
      <c r="AV55" s="10"/>
      <c r="AW55" s="10" t="str">
        <f t="shared" si="7"/>
        <v/>
      </c>
    </row>
    <row r="56" spans="46:49">
      <c r="AT56" s="10"/>
      <c r="AU56" s="10"/>
      <c r="AV56" s="10"/>
      <c r="AW56" s="10" t="str">
        <f t="shared" si="7"/>
        <v/>
      </c>
    </row>
    <row r="57" spans="46:49">
      <c r="AT57" s="10"/>
      <c r="AU57" s="10"/>
      <c r="AV57" s="10"/>
      <c r="AW57" s="10" t="str">
        <f t="shared" si="7"/>
        <v/>
      </c>
    </row>
    <row r="58" spans="46:49">
      <c r="AT58" s="10"/>
      <c r="AU58" s="10"/>
      <c r="AV58" s="10"/>
      <c r="AW58" s="10" t="str">
        <f t="shared" si="7"/>
        <v/>
      </c>
    </row>
    <row r="59" spans="46:49">
      <c r="AT59" s="10"/>
      <c r="AU59" s="10"/>
      <c r="AV59" s="10"/>
      <c r="AW59" s="10" t="str">
        <f t="shared" si="7"/>
        <v/>
      </c>
    </row>
    <row r="60" spans="46:49">
      <c r="AT60" s="10"/>
      <c r="AU60" s="10"/>
      <c r="AV60" s="10"/>
      <c r="AW60" s="10" t="str">
        <f t="shared" si="7"/>
        <v/>
      </c>
    </row>
    <row r="61" spans="46:49">
      <c r="AT61" s="10"/>
      <c r="AU61" s="10"/>
      <c r="AV61" s="10"/>
      <c r="AW61" s="10" t="str">
        <f t="shared" si="7"/>
        <v/>
      </c>
    </row>
    <row r="62" spans="46:49">
      <c r="AT62" s="10"/>
      <c r="AU62" s="10"/>
      <c r="AV62" s="10"/>
      <c r="AW62" s="10" t="str">
        <f t="shared" si="7"/>
        <v/>
      </c>
    </row>
    <row r="63" spans="46:49">
      <c r="AT63" s="10"/>
      <c r="AU63" s="10"/>
      <c r="AV63" s="10"/>
      <c r="AW63" s="10" t="str">
        <f t="shared" si="7"/>
        <v/>
      </c>
    </row>
    <row r="64" spans="46:49">
      <c r="AT64" s="10"/>
      <c r="AU64" s="10"/>
      <c r="AV64" s="10"/>
      <c r="AW64" s="10" t="str">
        <f t="shared" si="7"/>
        <v/>
      </c>
    </row>
    <row r="65" spans="46:49">
      <c r="AT65" s="10"/>
      <c r="AU65" s="10"/>
      <c r="AV65" s="10"/>
      <c r="AW65" s="10" t="str">
        <f t="shared" si="7"/>
        <v/>
      </c>
    </row>
    <row r="66" spans="46:49">
      <c r="AW66" s="2" t="str">
        <f t="shared" si="7"/>
        <v/>
      </c>
    </row>
  </sheetData>
  <mergeCells count="14">
    <mergeCell ref="BS4:BS6"/>
    <mergeCell ref="BT4:BT6"/>
    <mergeCell ref="AH5:AJ5"/>
    <mergeCell ref="BK5:BK6"/>
    <mergeCell ref="BO4:BR4"/>
    <mergeCell ref="C4:C6"/>
    <mergeCell ref="Y4:Z5"/>
    <mergeCell ref="AS4:AS6"/>
    <mergeCell ref="AT4:AW5"/>
    <mergeCell ref="AX4:AX6"/>
    <mergeCell ref="AA4:AB5"/>
    <mergeCell ref="AC4:AD5"/>
    <mergeCell ref="AE4:AF5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1">
    <tabColor rgb="FFFFFF00"/>
  </sheetPr>
  <dimension ref="A1:BV70"/>
  <sheetViews>
    <sheetView showGridLines="0" zoomScale="55" zoomScaleNormal="55" workbookViewId="0">
      <pane xSplit="4" ySplit="7" topLeftCell="BG8" activePane="bottomRight" state="frozen"/>
      <selection activeCell="BS1" sqref="BS1"/>
      <selection pane="topRight" activeCell="BS1" sqref="BS1"/>
      <selection pane="bottomLeft" activeCell="BS1" sqref="BS1"/>
      <selection pane="bottomRight" activeCell="A8" sqref="A8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6640625" style="2" bestFit="1" customWidth="1"/>
    <col min="5" max="5" width="25.109375" style="2" bestFit="1" customWidth="1"/>
    <col min="6" max="7" width="25" style="2" customWidth="1"/>
    <col min="8" max="8" width="8.21875" style="2" bestFit="1" customWidth="1"/>
    <col min="9" max="9" width="9" style="2" bestFit="1" customWidth="1"/>
    <col min="10" max="10" width="6.33203125" style="2" customWidth="1"/>
    <col min="11" max="11" width="11" style="2" bestFit="1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1.44140625" style="2" bestFit="1" customWidth="1"/>
    <col min="18" max="18" width="5.77734375" style="2" customWidth="1"/>
    <col min="19" max="19" width="11.77734375" style="2" bestFit="1" customWidth="1"/>
    <col min="20" max="20" width="5.77734375" style="2" customWidth="1"/>
    <col min="21" max="21" width="13" style="2" bestFit="1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bestFit="1" customWidth="1"/>
    <col min="27" max="27" width="5.77734375" style="2" customWidth="1"/>
    <col min="28" max="28" width="13.44140625" style="2" bestFit="1" customWidth="1"/>
    <col min="29" max="29" width="5.77734375" style="2" customWidth="1"/>
    <col min="30" max="30" width="13.44140625" style="2" bestFit="1" customWidth="1"/>
    <col min="31" max="31" width="5.77734375" style="2" customWidth="1"/>
    <col min="32" max="32" width="13.44140625" style="2" bestFit="1" customWidth="1"/>
    <col min="33" max="33" width="7.77734375" style="2" customWidth="1"/>
    <col min="34" max="45" width="12.77734375" style="360" customWidth="1"/>
    <col min="46" max="49" width="20.77734375" style="2" bestFit="1" customWidth="1"/>
    <col min="50" max="50" width="20.109375" style="2" bestFit="1" customWidth="1"/>
    <col min="51" max="51" width="15.5546875" style="2" bestFit="1" customWidth="1"/>
    <col min="52" max="52" width="18.33203125" style="2" bestFit="1" customWidth="1"/>
    <col min="53" max="53" width="14" style="2" customWidth="1"/>
    <col min="54" max="54" width="15.21875" style="2" customWidth="1"/>
    <col min="55" max="55" width="14.6640625" style="2" customWidth="1"/>
    <col min="56" max="57" width="14" style="2" customWidth="1"/>
    <col min="58" max="58" width="11.44140625" style="2" customWidth="1"/>
    <col min="59" max="62" width="15.21875" style="2" customWidth="1"/>
    <col min="63" max="64" width="22.6640625" style="2" bestFit="1" customWidth="1"/>
    <col min="65" max="65" width="20.6640625" style="2" bestFit="1" customWidth="1"/>
    <col min="66" max="66" width="18.33203125" style="2" bestFit="1" customWidth="1"/>
    <col min="67" max="67" width="15.77734375" style="2" customWidth="1"/>
    <col min="68" max="68" width="27" style="2" bestFit="1" customWidth="1"/>
    <col min="69" max="70" width="15.777343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1089"/>
      <c r="BQ2" s="3" t="s">
        <v>317</v>
      </c>
      <c r="BR2" s="3"/>
      <c r="BS2" s="3"/>
    </row>
    <row r="3" spans="1:74" ht="39.950000000000003" customHeight="1" thickBot="1">
      <c r="BG3" s="4"/>
      <c r="BH3" s="4"/>
      <c r="BI3" s="4"/>
      <c r="BJ3" s="4"/>
      <c r="BM3" s="6"/>
      <c r="BP3" s="1157">
        <f>SUM(BP8:BP50)</f>
        <v>0</v>
      </c>
      <c r="BQ3" s="1157">
        <f>BP3-BP7</f>
        <v>46210408.054396279</v>
      </c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COUNTA(A8:A70)</f>
        <v>0</v>
      </c>
      <c r="D7" s="137">
        <f>SUM(D8:D70)</f>
        <v>0</v>
      </c>
      <c r="E7" s="134">
        <f>SUM(E8:E70)</f>
        <v>0</v>
      </c>
      <c r="F7" s="134">
        <f t="shared" ref="F7:N7" si="0">SUM(F8:F70)</f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IF(N7=0,0,(SUMPRODUCT(N8:N70,O8:O70))/N7)</f>
        <v>0</v>
      </c>
      <c r="P7" s="138">
        <f>SUM(P8:P70)</f>
        <v>0</v>
      </c>
      <c r="Q7" s="134">
        <f>IF(P7=0,0,(SUMPRODUCT(P8:P70,Q8:Q70))/P7)</f>
        <v>0</v>
      </c>
      <c r="R7" s="138">
        <f>SUM(R8:R70)</f>
        <v>0</v>
      </c>
      <c r="S7" s="134">
        <f>IF(R7=0,0,(SUMPRODUCT(R8:R70,S8:S70))/R7)</f>
        <v>0</v>
      </c>
      <c r="T7" s="138">
        <f>SUM(T8:T70)</f>
        <v>0</v>
      </c>
      <c r="U7" s="139">
        <f>IF(T7=0,0,(SUMPRODUCT(T8:T70,U8:U70))/T7)</f>
        <v>0</v>
      </c>
      <c r="V7" s="139">
        <f>SUM(V8:V70)</f>
        <v>0</v>
      </c>
      <c r="W7" s="139">
        <f>IF(V7=0,0,(SUMPRODUCT(V8:V70,W8:W70))/V7)</f>
        <v>0</v>
      </c>
      <c r="X7" s="139">
        <f>IF(W7=0,0,(SUMPRODUCT(V8:V70,X8:X70))/V7)</f>
        <v>0</v>
      </c>
      <c r="Y7" s="138">
        <f>SUM(Y8:Y70)</f>
        <v>0</v>
      </c>
      <c r="Z7" s="134">
        <f>IF(Y7=0,0,(SUMPRODUCT(Y8:Y70,Z8:Z70))/Y7)</f>
        <v>0</v>
      </c>
      <c r="AA7" s="138">
        <f>SUM(AA8:AA70)</f>
        <v>0</v>
      </c>
      <c r="AB7" s="134">
        <f>IF(AA7=0,0,(SUMPRODUCT(AA8:AA70,AB8:AB70))/AA7)</f>
        <v>0</v>
      </c>
      <c r="AC7" s="138">
        <f>SUM(AC8:AC70)</f>
        <v>0</v>
      </c>
      <c r="AD7" s="134">
        <f>IF(AC7=0,0,(SUMPRODUCT(AC8:AC70,AD8:AD70))/AC7)</f>
        <v>0</v>
      </c>
      <c r="AE7" s="138">
        <f>SUM(AE8:AE70)</f>
        <v>0</v>
      </c>
      <c r="AF7" s="134">
        <f>IF(AE7=0,0,(SUMPRODUCT(AE8:AE70,AF8:AF70))/AE7)</f>
        <v>0</v>
      </c>
      <c r="AG7" s="134">
        <f t="shared" ref="AG7:BN7" si="1">SUM(AG8:AG70)</f>
        <v>0</v>
      </c>
      <c r="AH7" s="357">
        <f t="shared" si="1"/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SUM(AP8:AP70)</f>
        <v>0</v>
      </c>
      <c r="AQ7" s="357">
        <f t="shared" si="2"/>
        <v>0</v>
      </c>
      <c r="AR7" s="357">
        <f t="shared" ref="AR7" si="3">SUM(AR8:AR70)</f>
        <v>0</v>
      </c>
      <c r="AS7" s="367">
        <f t="shared" si="1"/>
        <v>0</v>
      </c>
      <c r="AT7" s="134">
        <f t="shared" si="1"/>
        <v>0</v>
      </c>
      <c r="AU7" s="134">
        <f t="shared" si="1"/>
        <v>0</v>
      </c>
      <c r="AV7" s="134">
        <f t="shared" si="1"/>
        <v>0</v>
      </c>
      <c r="AW7" s="134">
        <f t="shared" si="1"/>
        <v>0</v>
      </c>
      <c r="AX7" s="134">
        <f t="shared" si="1"/>
        <v>0</v>
      </c>
      <c r="AY7" s="134">
        <f t="shared" si="1"/>
        <v>0</v>
      </c>
      <c r="AZ7" s="134">
        <f t="shared" si="1"/>
        <v>0</v>
      </c>
      <c r="BA7" s="140">
        <f t="shared" si="1"/>
        <v>0</v>
      </c>
      <c r="BB7" s="1369">
        <f t="shared" si="1"/>
        <v>0</v>
      </c>
      <c r="BC7" s="139">
        <f t="shared" si="1"/>
        <v>0</v>
      </c>
      <c r="BD7" s="134">
        <f t="shared" si="1"/>
        <v>0</v>
      </c>
      <c r="BE7" s="134">
        <f t="shared" si="1"/>
        <v>0</v>
      </c>
      <c r="BF7" s="134">
        <f t="shared" si="1"/>
        <v>0</v>
      </c>
      <c r="BG7" s="134">
        <f t="shared" si="1"/>
        <v>0</v>
      </c>
      <c r="BH7" s="134">
        <f t="shared" ref="BH7:BI7" si="4">SUM(BH8:BH70)</f>
        <v>0</v>
      </c>
      <c r="BI7" s="134">
        <f t="shared" si="4"/>
        <v>0</v>
      </c>
      <c r="BJ7" s="134">
        <f t="shared" ref="BJ7" si="5">SUM(BJ8:BJ70)</f>
        <v>0</v>
      </c>
      <c r="BK7" s="141">
        <f t="shared" si="1"/>
        <v>0</v>
      </c>
      <c r="BL7" s="141">
        <f t="shared" si="1"/>
        <v>0</v>
      </c>
      <c r="BM7" s="141">
        <f t="shared" si="1"/>
        <v>0</v>
      </c>
      <c r="BN7" s="141">
        <f t="shared" si="1"/>
        <v>0</v>
      </c>
      <c r="BO7" s="142" t="str">
        <f>'[9]주택용(분석서)'!$D$47</f>
        <v xml:space="preserve">30년 초과 </v>
      </c>
      <c r="BP7" s="803">
        <f>'[10]주택용(분석서)'!$D$45</f>
        <v>-46210408.054396279</v>
      </c>
      <c r="BQ7" s="1176">
        <f>'[10]주택용(분석서)'!$D$46</f>
        <v>128.40974459186549</v>
      </c>
      <c r="BR7" s="300">
        <f>'[10]주택용(분석서)'!$F$39</f>
        <v>7.1759259259259256</v>
      </c>
      <c r="BS7" s="826">
        <f>SUM(BS8:BS70)</f>
        <v>0</v>
      </c>
      <c r="BT7" s="800"/>
    </row>
    <row r="8" spans="1:74" s="7" customFormat="1" ht="73.5" customHeight="1">
      <c r="A8" s="171"/>
      <c r="B8" s="162" t="s">
        <v>267</v>
      </c>
      <c r="C8" s="131" t="str">
        <f>IF($A8="","",VLOOKUP($A8,기본데이타!$A$8:$BV$103,COLUMN(기본데이타!F$8),0))</f>
        <v/>
      </c>
      <c r="D8" s="144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6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835" t="str">
        <f>IF($A8="","",VLOOKUP($A8,기본데이타!$A$8:$BV$103,COLUMN(기본데이타!BT$8),0))</f>
        <v/>
      </c>
      <c r="BR8" s="834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979">
        <f t="shared" ref="BT8:BT47" si="6">A8</f>
        <v>0</v>
      </c>
      <c r="BU8" s="242"/>
    </row>
    <row r="9" spans="1:74" s="7" customFormat="1" ht="73.5" customHeight="1">
      <c r="A9" s="171"/>
      <c r="B9" s="163"/>
      <c r="C9" s="164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32" si="7">IF(AT9="","",SUM(AT9:AV9))</f>
        <v/>
      </c>
      <c r="AX9" s="168" t="str">
        <f>IF($A9="","",VLOOKUP($A9,기본데이타!$A$8:$BV$103,COLUMN(기본데이타!BA$8),0))</f>
        <v/>
      </c>
      <c r="AY9" s="168" t="str">
        <f>IF($A9="","",VLOOKUP($A9,기본데이타!$A$8:$BV$103,COLUMN(기본데이타!BB$8),0))</f>
        <v/>
      </c>
      <c r="AZ9" s="168" t="str">
        <f>IF($A9="","",VLOOKUP($A9,기본데이타!$A$8:$BV$103,COLUMN(기본데이타!BC$8),0))</f>
        <v/>
      </c>
      <c r="BA9" s="168" t="str">
        <f>IF($A9="","",VLOOKUP($A9,기본데이타!$A$8:$BV$103,COLUMN(기본데이타!BD$8),0))</f>
        <v/>
      </c>
      <c r="BB9" s="168" t="str">
        <f>IF($A9="","",VLOOKUP($A9,기본데이타!$A$8:$BV$103,COLUMN(기본데이타!BE$8),0))</f>
        <v/>
      </c>
      <c r="BC9" s="168" t="str">
        <f>IF($A9="","",VLOOKUP($A9,기본데이타!$A$8:$BV$103,COLUMN(기본데이타!BF$8),0))</f>
        <v/>
      </c>
      <c r="BD9" s="168" t="str">
        <f>IF($A9="","",VLOOKUP($A9,기본데이타!$A$8:$BV$103,COLUMN(기본데이타!BG$8),0))</f>
        <v/>
      </c>
      <c r="BE9" s="168" t="str">
        <f>IF($A9="","",VLOOKUP($A9,기본데이타!$A$8:$BV$103,COLUMN(기본데이타!BH$8),0))</f>
        <v/>
      </c>
      <c r="BF9" s="168" t="str">
        <f>IF($A9="","",VLOOKUP($A9,기본데이타!$A$8:$BV$103,COLUMN(기본데이타!BI$8),0))</f>
        <v/>
      </c>
      <c r="BG9" s="168" t="str">
        <f>IF($A9="","",VLOOKUP($A9,기본데이타!$A$8:$BV$103,COLUMN(기본데이타!BJ$8),0))</f>
        <v/>
      </c>
      <c r="BH9" s="168" t="str">
        <f>IF($A9="","",VLOOKUP($A9,기본데이타!$A$8:$BV$103,COLUMN(기본데이타!BK$8),0))</f>
        <v/>
      </c>
      <c r="BI9" s="168" t="str">
        <f>IF($A9="","",VLOOKUP($A9,기본데이타!$A$8:$BV$103,COLUMN(기본데이타!BL$8),0))</f>
        <v/>
      </c>
      <c r="BJ9" s="168" t="str">
        <f>IF($A9="","",VLOOKUP($A9,기본데이타!$A$8:$BV$103,COLUMN(기본데이타!BM$8),0))</f>
        <v/>
      </c>
      <c r="BK9" s="168" t="str">
        <f>IF($A9="","",VLOOKUP($A9,기본데이타!$A$8:$BV$103,COLUMN(기본데이타!BN$8),0))</f>
        <v/>
      </c>
      <c r="BL9" s="168" t="str">
        <f>IF($A9="","",VLOOKUP($A9,기본데이타!$A$8:$BV$103,COLUMN(기본데이타!BO$8),0))</f>
        <v/>
      </c>
      <c r="BM9" s="168" t="str">
        <f>IF($A9="","",VLOOKUP($A9,기본데이타!$A$8:$BV$103,COLUMN(기본데이타!BP$8),0))</f>
        <v/>
      </c>
      <c r="BN9" s="168" t="str">
        <f>IF($A9="","",VLOOKUP($A9,기본데이타!$A$8:$BV$103,COLUMN(기본데이타!BQ$8),0))</f>
        <v/>
      </c>
      <c r="BO9" s="168" t="str">
        <f>IF($A9="","",VLOOKUP($A9,기본데이타!$A$8:$BV$103,COLUMN(기본데이타!BR$8),0))</f>
        <v/>
      </c>
      <c r="BP9" s="168" t="str">
        <f>IF($A9="","",VLOOKUP($A9,기본데이타!$A$8:$BV$103,COLUMN(기본데이타!BS$8),0))</f>
        <v/>
      </c>
      <c r="BQ9" s="980" t="str">
        <f>IF($A9="","",VLOOKUP($A9,기본데이타!$A$8:$BV$103,COLUMN(기본데이타!BT$8),0))</f>
        <v/>
      </c>
      <c r="BR9" s="984" t="str">
        <f>IF($A9="","",VLOOKUP($A9,기본데이타!$A$8:$BV$103,COLUMN(기본데이타!BU$8),0))</f>
        <v/>
      </c>
      <c r="BS9" s="168" t="str">
        <f>IF($A9="","",VLOOKUP($A9,기본데이타!$A$8:$BV$103,COLUMN(기본데이타!BV$8),0))</f>
        <v/>
      </c>
      <c r="BT9" s="981">
        <f t="shared" si="6"/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68" t="str">
        <f>IF($A10="","",VLOOKUP($A10,기본데이타!$A$8:$BV$103,COLUMN(기본데이타!BA$8),0))</f>
        <v/>
      </c>
      <c r="AY10" s="168" t="str">
        <f>IF($A10="","",VLOOKUP($A10,기본데이타!$A$8:$BV$103,COLUMN(기본데이타!BB$8),0))</f>
        <v/>
      </c>
      <c r="AZ10" s="168" t="str">
        <f>IF($A10="","",VLOOKUP($A10,기본데이타!$A$8:$BV$103,COLUMN(기본데이타!BC$8),0))</f>
        <v/>
      </c>
      <c r="BA10" s="168" t="str">
        <f>IF($A10="","",VLOOKUP($A10,기본데이타!$A$8:$BV$103,COLUMN(기본데이타!BD$8),0))</f>
        <v/>
      </c>
      <c r="BB10" s="1173" t="str">
        <f>IF($A10="","",VLOOKUP($A10,기본데이타!$A$8:$BV$103,COLUMN(기본데이타!BE$8),0))</f>
        <v/>
      </c>
      <c r="BC10" s="168" t="str">
        <f>IF($A10="","",VLOOKUP($A10,기본데이타!$A$8:$BV$103,COLUMN(기본데이타!BF$8),0))</f>
        <v/>
      </c>
      <c r="BD10" s="168" t="str">
        <f>IF($A10="","",VLOOKUP($A10,기본데이타!$A$8:$BV$103,COLUMN(기본데이타!BG$8),0))</f>
        <v/>
      </c>
      <c r="BE10" s="168" t="str">
        <f>IF($A10="","",VLOOKUP($A10,기본데이타!$A$8:$BV$103,COLUMN(기본데이타!BH$8),0))</f>
        <v/>
      </c>
      <c r="BF10" s="168" t="str">
        <f>IF($A10="","",VLOOKUP($A10,기본데이타!$A$8:$BV$103,COLUMN(기본데이타!BI$8),0))</f>
        <v/>
      </c>
      <c r="BG10" s="168" t="str">
        <f>IF($A10="","",VLOOKUP($A10,기본데이타!$A$8:$BV$103,COLUMN(기본데이타!BJ$8),0))</f>
        <v/>
      </c>
      <c r="BH10" s="168" t="str">
        <f>IF($A10="","",VLOOKUP($A10,기본데이타!$A$8:$BV$103,COLUMN(기본데이타!BK$8),0))</f>
        <v/>
      </c>
      <c r="BI10" s="168" t="str">
        <f>IF($A10="","",VLOOKUP($A10,기본데이타!$A$8:$BV$103,COLUMN(기본데이타!BL$8),0))</f>
        <v/>
      </c>
      <c r="BJ10" s="168" t="str">
        <f>IF($A10="","",VLOOKUP($A10,기본데이타!$A$8:$BV$103,COLUMN(기본데이타!BM$8),0))</f>
        <v/>
      </c>
      <c r="BK10" s="168" t="str">
        <f>IF($A10="","",VLOOKUP($A10,기본데이타!$A$8:$BV$103,COLUMN(기본데이타!BN$8),0))</f>
        <v/>
      </c>
      <c r="BL10" s="168" t="str">
        <f>IF($A10="","",VLOOKUP($A10,기본데이타!$A$8:$BV$103,COLUMN(기본데이타!BO$8),0))</f>
        <v/>
      </c>
      <c r="BM10" s="168" t="str">
        <f>IF($A10="","",VLOOKUP($A10,기본데이타!$A$8:$BV$103,COLUMN(기본데이타!BP$8),0))</f>
        <v/>
      </c>
      <c r="BN10" s="168" t="str">
        <f>IF($A10="","",VLOOKUP($A10,기본데이타!$A$8:$BV$103,COLUMN(기본데이타!BQ$8),0))</f>
        <v/>
      </c>
      <c r="BO10" s="168" t="str">
        <f>IF($A10="","",VLOOKUP($A10,기본데이타!$A$8:$BV$103,COLUMN(기본데이타!BR$8),0))</f>
        <v/>
      </c>
      <c r="BP10" s="168" t="str">
        <f>IF($A10="","",VLOOKUP($A10,기본데이타!$A$8:$BV$103,COLUMN(기본데이타!BS$8),0))</f>
        <v/>
      </c>
      <c r="BQ10" s="980" t="str">
        <f>IF($A10="","",VLOOKUP($A10,기본데이타!$A$8:$BV$103,COLUMN(기본데이타!BT$8),0))</f>
        <v/>
      </c>
      <c r="BR10" s="984" t="str">
        <f>IF($A10="","",VLOOKUP($A10,기본데이타!$A$8:$BV$103,COLUMN(기본데이타!BU$8),0))</f>
        <v/>
      </c>
      <c r="BS10" s="168" t="str">
        <f>IF($A10="","",VLOOKUP($A10,기본데이타!$A$8:$BV$103,COLUMN(기본데이타!BV$8),0))</f>
        <v/>
      </c>
      <c r="BT10" s="981">
        <f t="shared" si="6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68" t="str">
        <f>IF($A11="","",VLOOKUP($A11,기본데이타!$A$8:$BV$103,COLUMN(기본데이타!BA$8),0))</f>
        <v/>
      </c>
      <c r="AY11" s="168" t="str">
        <f>IF($A11="","",VLOOKUP($A11,기본데이타!$A$8:$BV$103,COLUMN(기본데이타!BB$8),0))</f>
        <v/>
      </c>
      <c r="AZ11" s="168" t="str">
        <f>IF($A11="","",VLOOKUP($A11,기본데이타!$A$8:$BV$103,COLUMN(기본데이타!BC$8),0))</f>
        <v/>
      </c>
      <c r="BA11" s="168" t="str">
        <f>IF($A11="","",VLOOKUP($A11,기본데이타!$A$8:$BV$103,COLUMN(기본데이타!BD$8),0))</f>
        <v/>
      </c>
      <c r="BB11" s="168" t="str">
        <f>IF($A11="","",VLOOKUP($A11,기본데이타!$A$8:$BV$103,COLUMN(기본데이타!BE$8),0))</f>
        <v/>
      </c>
      <c r="BC11" s="168" t="str">
        <f>IF($A11="","",VLOOKUP($A11,기본데이타!$A$8:$BV$103,COLUMN(기본데이타!BF$8),0))</f>
        <v/>
      </c>
      <c r="BD11" s="168" t="str">
        <f>IF($A11="","",VLOOKUP($A11,기본데이타!$A$8:$BV$103,COLUMN(기본데이타!BG$8),0))</f>
        <v/>
      </c>
      <c r="BE11" s="168" t="str">
        <f>IF($A11="","",VLOOKUP($A11,기본데이타!$A$8:$BV$103,COLUMN(기본데이타!BH$8),0))</f>
        <v/>
      </c>
      <c r="BF11" s="168" t="str">
        <f>IF($A11="","",VLOOKUP($A11,기본데이타!$A$8:$BV$103,COLUMN(기본데이타!BI$8),0))</f>
        <v/>
      </c>
      <c r="BG11" s="168" t="str">
        <f>IF($A11="","",VLOOKUP($A11,기본데이타!$A$8:$BV$103,COLUMN(기본데이타!BJ$8),0))</f>
        <v/>
      </c>
      <c r="BH11" s="168" t="str">
        <f>IF($A11="","",VLOOKUP($A11,기본데이타!$A$8:$BV$103,COLUMN(기본데이타!BK$8),0))</f>
        <v/>
      </c>
      <c r="BI11" s="168" t="str">
        <f>IF($A11="","",VLOOKUP($A11,기본데이타!$A$8:$BV$103,COLUMN(기본데이타!BL$8),0))</f>
        <v/>
      </c>
      <c r="BJ11" s="168" t="str">
        <f>IF($A11="","",VLOOKUP($A11,기본데이타!$A$8:$BV$103,COLUMN(기본데이타!BM$8),0))</f>
        <v/>
      </c>
      <c r="BK11" s="168" t="str">
        <f>IF($A11="","",VLOOKUP($A11,기본데이타!$A$8:$BV$103,COLUMN(기본데이타!BN$8),0))</f>
        <v/>
      </c>
      <c r="BL11" s="168" t="str">
        <f>IF($A11="","",VLOOKUP($A11,기본데이타!$A$8:$BV$103,COLUMN(기본데이타!BO$8),0))</f>
        <v/>
      </c>
      <c r="BM11" s="168" t="str">
        <f>IF($A11="","",VLOOKUP($A11,기본데이타!$A$8:$BV$103,COLUMN(기본데이타!BP$8),0))</f>
        <v/>
      </c>
      <c r="BN11" s="168" t="str">
        <f>IF($A11="","",VLOOKUP($A11,기본데이타!$A$8:$BV$103,COLUMN(기본데이타!BQ$8),0))</f>
        <v/>
      </c>
      <c r="BO11" s="168" t="str">
        <f>IF($A11="","",VLOOKUP($A11,기본데이타!$A$8:$BV$103,COLUMN(기본데이타!BR$8),0))</f>
        <v/>
      </c>
      <c r="BP11" s="168" t="str">
        <f>IF($A11="","",VLOOKUP($A11,기본데이타!$A$8:$BV$103,COLUMN(기본데이타!BS$8),0))</f>
        <v/>
      </c>
      <c r="BQ11" s="980" t="str">
        <f>IF($A11="","",VLOOKUP($A11,기본데이타!$A$8:$BV$103,COLUMN(기본데이타!BT$8),0))</f>
        <v/>
      </c>
      <c r="BR11" s="984" t="str">
        <f>IF($A11="","",VLOOKUP($A11,기본데이타!$A$8:$BV$103,COLUMN(기본데이타!BU$8),0))</f>
        <v/>
      </c>
      <c r="BS11" s="168" t="str">
        <f>IF($A11="","",VLOOKUP($A11,기본데이타!$A$8:$BV$103,COLUMN(기본데이타!BV$8),0))</f>
        <v/>
      </c>
      <c r="BT11" s="981">
        <f t="shared" si="6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68" t="str">
        <f>IF($A12="","",VLOOKUP($A12,기본데이타!$A$8:$BV$103,COLUMN(기본데이타!BA$8),0))</f>
        <v/>
      </c>
      <c r="AY12" s="168" t="str">
        <f>IF($A12="","",VLOOKUP($A12,기본데이타!$A$8:$BV$103,COLUMN(기본데이타!BB$8),0))</f>
        <v/>
      </c>
      <c r="AZ12" s="168" t="str">
        <f>IF($A12="","",VLOOKUP($A12,기본데이타!$A$8:$BV$103,COLUMN(기본데이타!BC$8),0))</f>
        <v/>
      </c>
      <c r="BA12" s="168" t="str">
        <f>IF($A12="","",VLOOKUP($A12,기본데이타!$A$8:$BV$103,COLUMN(기본데이타!BD$8),0))</f>
        <v/>
      </c>
      <c r="BB12" s="168" t="str">
        <f>IF($A12="","",VLOOKUP($A12,기본데이타!$A$8:$BV$103,COLUMN(기본데이타!BE$8),0))</f>
        <v/>
      </c>
      <c r="BC12" s="168" t="str">
        <f>IF($A12="","",VLOOKUP($A12,기본데이타!$A$8:$BV$103,COLUMN(기본데이타!BF$8),0))</f>
        <v/>
      </c>
      <c r="BD12" s="168" t="str">
        <f>IF($A12="","",VLOOKUP($A12,기본데이타!$A$8:$BV$103,COLUMN(기본데이타!BG$8),0))</f>
        <v/>
      </c>
      <c r="BE12" s="168" t="str">
        <f>IF($A12="","",VLOOKUP($A12,기본데이타!$A$8:$BV$103,COLUMN(기본데이타!BH$8),0))</f>
        <v/>
      </c>
      <c r="BF12" s="168" t="str">
        <f>IF($A12="","",VLOOKUP($A12,기본데이타!$A$8:$BV$103,COLUMN(기본데이타!BI$8),0))</f>
        <v/>
      </c>
      <c r="BG12" s="168" t="str">
        <f>IF($A12="","",VLOOKUP($A12,기본데이타!$A$8:$BV$103,COLUMN(기본데이타!BJ$8),0))</f>
        <v/>
      </c>
      <c r="BH12" s="168" t="str">
        <f>IF($A12="","",VLOOKUP($A12,기본데이타!$A$8:$BV$103,COLUMN(기본데이타!BK$8),0))</f>
        <v/>
      </c>
      <c r="BI12" s="168" t="str">
        <f>IF($A12="","",VLOOKUP($A12,기본데이타!$A$8:$BV$103,COLUMN(기본데이타!BL$8),0))</f>
        <v/>
      </c>
      <c r="BJ12" s="168" t="str">
        <f>IF($A12="","",VLOOKUP($A12,기본데이타!$A$8:$BV$103,COLUMN(기본데이타!BM$8),0))</f>
        <v/>
      </c>
      <c r="BK12" s="168" t="str">
        <f>IF($A12="","",VLOOKUP($A12,기본데이타!$A$8:$BV$103,COLUMN(기본데이타!BN$8),0))</f>
        <v/>
      </c>
      <c r="BL12" s="168" t="str">
        <f>IF($A12="","",VLOOKUP($A12,기본데이타!$A$8:$BV$103,COLUMN(기본데이타!BO$8),0))</f>
        <v/>
      </c>
      <c r="BM12" s="168" t="str">
        <f>IF($A12="","",VLOOKUP($A12,기본데이타!$A$8:$BV$103,COLUMN(기본데이타!BP$8),0))</f>
        <v/>
      </c>
      <c r="BN12" s="168" t="str">
        <f>IF($A12="","",VLOOKUP($A12,기본데이타!$A$8:$BV$103,COLUMN(기본데이타!BQ$8),0))</f>
        <v/>
      </c>
      <c r="BO12" s="168" t="str">
        <f>IF($A12="","",VLOOKUP($A12,기본데이타!$A$8:$BV$103,COLUMN(기본데이타!BR$8),0))</f>
        <v/>
      </c>
      <c r="BP12" s="168" t="str">
        <f>IF($A12="","",VLOOKUP($A12,기본데이타!$A$8:$BV$103,COLUMN(기본데이타!BS$8),0))</f>
        <v/>
      </c>
      <c r="BQ12" s="980" t="str">
        <f>IF($A12="","",VLOOKUP($A12,기본데이타!$A$8:$BV$103,COLUMN(기본데이타!BT$8),0))</f>
        <v/>
      </c>
      <c r="BR12" s="984" t="str">
        <f>IF($A12="","",VLOOKUP($A12,기본데이타!$A$8:$BV$103,COLUMN(기본데이타!BU$8),0))</f>
        <v/>
      </c>
      <c r="BS12" s="168" t="str">
        <f>IF($A12="","",VLOOKUP($A12,기본데이타!$A$8:$BV$103,COLUMN(기본데이타!BV$8),0))</f>
        <v/>
      </c>
      <c r="BT12" s="981">
        <f t="shared" si="6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68" t="str">
        <f>IF($A13="","",VLOOKUP($A13,기본데이타!$A$8:$BV$103,COLUMN(기본데이타!BA$8),0))</f>
        <v/>
      </c>
      <c r="AY13" s="168" t="str">
        <f>IF($A13="","",VLOOKUP($A13,기본데이타!$A$8:$BV$103,COLUMN(기본데이타!BB$8),0))</f>
        <v/>
      </c>
      <c r="AZ13" s="168" t="str">
        <f>IF($A13="","",VLOOKUP($A13,기본데이타!$A$8:$BV$103,COLUMN(기본데이타!BC$8),0))</f>
        <v/>
      </c>
      <c r="BA13" s="168" t="str">
        <f>IF($A13="","",VLOOKUP($A13,기본데이타!$A$8:$BV$103,COLUMN(기본데이타!BD$8),0))</f>
        <v/>
      </c>
      <c r="BB13" s="168" t="str">
        <f>IF($A13="","",VLOOKUP($A13,기본데이타!$A$8:$BV$103,COLUMN(기본데이타!BE$8),0))</f>
        <v/>
      </c>
      <c r="BC13" s="168" t="str">
        <f>IF($A13="","",VLOOKUP($A13,기본데이타!$A$8:$BV$103,COLUMN(기본데이타!BF$8),0))</f>
        <v/>
      </c>
      <c r="BD13" s="168" t="str">
        <f>IF($A13="","",VLOOKUP($A13,기본데이타!$A$8:$BV$103,COLUMN(기본데이타!BG$8),0))</f>
        <v/>
      </c>
      <c r="BE13" s="168" t="str">
        <f>IF($A13="","",VLOOKUP($A13,기본데이타!$A$8:$BV$103,COLUMN(기본데이타!BH$8),0))</f>
        <v/>
      </c>
      <c r="BF13" s="168" t="str">
        <f>IF($A13="","",VLOOKUP($A13,기본데이타!$A$8:$BV$103,COLUMN(기본데이타!BI$8),0))</f>
        <v/>
      </c>
      <c r="BG13" s="168" t="str">
        <f>IF($A13="","",VLOOKUP($A13,기본데이타!$A$8:$BV$103,COLUMN(기본데이타!BJ$8),0))</f>
        <v/>
      </c>
      <c r="BH13" s="168" t="str">
        <f>IF($A13="","",VLOOKUP($A13,기본데이타!$A$8:$BV$103,COLUMN(기본데이타!BK$8),0))</f>
        <v/>
      </c>
      <c r="BI13" s="168" t="str">
        <f>IF($A13="","",VLOOKUP($A13,기본데이타!$A$8:$BV$103,COLUMN(기본데이타!BL$8),0))</f>
        <v/>
      </c>
      <c r="BJ13" s="168" t="str">
        <f>IF($A13="","",VLOOKUP($A13,기본데이타!$A$8:$BV$103,COLUMN(기본데이타!BM$8),0))</f>
        <v/>
      </c>
      <c r="BK13" s="168" t="str">
        <f>IF($A13="","",VLOOKUP($A13,기본데이타!$A$8:$BV$103,COLUMN(기본데이타!BN$8),0))</f>
        <v/>
      </c>
      <c r="BL13" s="168" t="str">
        <f>IF($A13="","",VLOOKUP($A13,기본데이타!$A$8:$BV$103,COLUMN(기본데이타!BO$8),0))</f>
        <v/>
      </c>
      <c r="BM13" s="168" t="str">
        <f>IF($A13="","",VLOOKUP($A13,기본데이타!$A$8:$BV$103,COLUMN(기본데이타!BP$8),0))</f>
        <v/>
      </c>
      <c r="BN13" s="168" t="str">
        <f>IF($A13="","",VLOOKUP($A13,기본데이타!$A$8:$BV$103,COLUMN(기본데이타!BQ$8),0))</f>
        <v/>
      </c>
      <c r="BO13" s="168" t="str">
        <f>IF($A13="","",VLOOKUP($A13,기본데이타!$A$8:$BV$103,COLUMN(기본데이타!BR$8),0))</f>
        <v/>
      </c>
      <c r="BP13" s="168" t="str">
        <f>IF($A13="","",VLOOKUP($A13,기본데이타!$A$8:$BV$103,COLUMN(기본데이타!BS$8),0))</f>
        <v/>
      </c>
      <c r="BQ13" s="980" t="str">
        <f>IF($A13="","",VLOOKUP($A13,기본데이타!$A$8:$BV$103,COLUMN(기본데이타!BT$8),0))</f>
        <v/>
      </c>
      <c r="BR13" s="984" t="str">
        <f>IF($A13="","",VLOOKUP($A13,기본데이타!$A$8:$BV$103,COLUMN(기본데이타!BU$8),0))</f>
        <v/>
      </c>
      <c r="BS13" s="168" t="str">
        <f>IF($A13="","",VLOOKUP($A13,기본데이타!$A$8:$BV$103,COLUMN(기본데이타!BV$8),0))</f>
        <v/>
      </c>
      <c r="BT13" s="981">
        <f t="shared" si="6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68" t="str">
        <f>IF($A14="","",VLOOKUP($A14,기본데이타!$A$8:$BV$103,COLUMN(기본데이타!BA$8),0))</f>
        <v/>
      </c>
      <c r="AY14" s="168" t="str">
        <f>IF($A14="","",VLOOKUP($A14,기본데이타!$A$8:$BV$103,COLUMN(기본데이타!BB$8),0))</f>
        <v/>
      </c>
      <c r="AZ14" s="168" t="str">
        <f>IF($A14="","",VLOOKUP($A14,기본데이타!$A$8:$BV$103,COLUMN(기본데이타!BC$8),0))</f>
        <v/>
      </c>
      <c r="BA14" s="168" t="str">
        <f>IF($A14="","",VLOOKUP($A14,기본데이타!$A$8:$BV$103,COLUMN(기본데이타!BD$8),0))</f>
        <v/>
      </c>
      <c r="BB14" s="168" t="str">
        <f>IF($A14="","",VLOOKUP($A14,기본데이타!$A$8:$BV$103,COLUMN(기본데이타!BE$8),0))</f>
        <v/>
      </c>
      <c r="BC14" s="168" t="str">
        <f>IF($A14="","",VLOOKUP($A14,기본데이타!$A$8:$BV$103,COLUMN(기본데이타!BF$8),0))</f>
        <v/>
      </c>
      <c r="BD14" s="168" t="str">
        <f>IF($A14="","",VLOOKUP($A14,기본데이타!$A$8:$BV$103,COLUMN(기본데이타!BG$8),0))</f>
        <v/>
      </c>
      <c r="BE14" s="168" t="str">
        <f>IF($A14="","",VLOOKUP($A14,기본데이타!$A$8:$BV$103,COLUMN(기본데이타!BH$8),0))</f>
        <v/>
      </c>
      <c r="BF14" s="168" t="str">
        <f>IF($A14="","",VLOOKUP($A14,기본데이타!$A$8:$BV$103,COLUMN(기본데이타!BI$8),0))</f>
        <v/>
      </c>
      <c r="BG14" s="168" t="str">
        <f>IF($A14="","",VLOOKUP($A14,기본데이타!$A$8:$BV$103,COLUMN(기본데이타!BJ$8),0))</f>
        <v/>
      </c>
      <c r="BH14" s="168" t="str">
        <f>IF($A14="","",VLOOKUP($A14,기본데이타!$A$8:$BV$103,COLUMN(기본데이타!BK$8),0))</f>
        <v/>
      </c>
      <c r="BI14" s="168" t="str">
        <f>IF($A14="","",VLOOKUP($A14,기본데이타!$A$8:$BV$103,COLUMN(기본데이타!BL$8),0))</f>
        <v/>
      </c>
      <c r="BJ14" s="168" t="str">
        <f>IF($A14="","",VLOOKUP($A14,기본데이타!$A$8:$BV$103,COLUMN(기본데이타!BM$8),0))</f>
        <v/>
      </c>
      <c r="BK14" s="168" t="str">
        <f>IF($A14="","",VLOOKUP($A14,기본데이타!$A$8:$BV$103,COLUMN(기본데이타!BN$8),0))</f>
        <v/>
      </c>
      <c r="BL14" s="168" t="str">
        <f>IF($A14="","",VLOOKUP($A14,기본데이타!$A$8:$BV$103,COLUMN(기본데이타!BO$8),0))</f>
        <v/>
      </c>
      <c r="BM14" s="168" t="str">
        <f>IF($A14="","",VLOOKUP($A14,기본데이타!$A$8:$BV$103,COLUMN(기본데이타!BP$8),0))</f>
        <v/>
      </c>
      <c r="BN14" s="168" t="str">
        <f>IF($A14="","",VLOOKUP($A14,기본데이타!$A$8:$BV$103,COLUMN(기본데이타!BQ$8),0))</f>
        <v/>
      </c>
      <c r="BO14" s="168" t="str">
        <f>IF($A14="","",VLOOKUP($A14,기본데이타!$A$8:$BV$103,COLUMN(기본데이타!BR$8),0))</f>
        <v/>
      </c>
      <c r="BP14" s="168" t="str">
        <f>IF($A14="","",VLOOKUP($A14,기본데이타!$A$8:$BV$103,COLUMN(기본데이타!BS$8),0))</f>
        <v/>
      </c>
      <c r="BQ14" s="980" t="str">
        <f>IF($A14="","",VLOOKUP($A14,기본데이타!$A$8:$BV$103,COLUMN(기본데이타!BT$8),0))</f>
        <v/>
      </c>
      <c r="BR14" s="984" t="str">
        <f>IF($A14="","",VLOOKUP($A14,기본데이타!$A$8:$BV$103,COLUMN(기본데이타!BU$8),0))</f>
        <v/>
      </c>
      <c r="BS14" s="168" t="str">
        <f>IF($A14="","",VLOOKUP($A14,기본데이타!$A$8:$BV$103,COLUMN(기본데이타!BV$8),0))</f>
        <v/>
      </c>
      <c r="BT14" s="981">
        <f t="shared" si="6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68" t="str">
        <f>IF($A15="","",VLOOKUP($A15,기본데이타!$A$8:$BV$103,COLUMN(기본데이타!BA$8),0))</f>
        <v/>
      </c>
      <c r="AY15" s="168" t="str">
        <f>IF($A15="","",VLOOKUP($A15,기본데이타!$A$8:$BV$103,COLUMN(기본데이타!BB$8),0))</f>
        <v/>
      </c>
      <c r="AZ15" s="168" t="str">
        <f>IF($A15="","",VLOOKUP($A15,기본데이타!$A$8:$BV$103,COLUMN(기본데이타!BC$8),0))</f>
        <v/>
      </c>
      <c r="BA15" s="168" t="str">
        <f>IF($A15="","",VLOOKUP($A15,기본데이타!$A$8:$BV$103,COLUMN(기본데이타!BD$8),0))</f>
        <v/>
      </c>
      <c r="BB15" s="168" t="str">
        <f>IF($A15="","",VLOOKUP($A15,기본데이타!$A$8:$BV$103,COLUMN(기본데이타!BE$8),0))</f>
        <v/>
      </c>
      <c r="BC15" s="168" t="str">
        <f>IF($A15="","",VLOOKUP($A15,기본데이타!$A$8:$BV$103,COLUMN(기본데이타!BF$8),0))</f>
        <v/>
      </c>
      <c r="BD15" s="168" t="str">
        <f>IF($A15="","",VLOOKUP($A15,기본데이타!$A$8:$BV$103,COLUMN(기본데이타!BG$8),0))</f>
        <v/>
      </c>
      <c r="BE15" s="168" t="str">
        <f>IF($A15="","",VLOOKUP($A15,기본데이타!$A$8:$BV$103,COLUMN(기본데이타!BH$8),0))</f>
        <v/>
      </c>
      <c r="BF15" s="168" t="str">
        <f>IF($A15="","",VLOOKUP($A15,기본데이타!$A$8:$BV$103,COLUMN(기본데이타!BI$8),0))</f>
        <v/>
      </c>
      <c r="BG15" s="168" t="str">
        <f>IF($A15="","",VLOOKUP($A15,기본데이타!$A$8:$BV$103,COLUMN(기본데이타!BJ$8),0))</f>
        <v/>
      </c>
      <c r="BH15" s="168" t="str">
        <f>IF($A15="","",VLOOKUP($A15,기본데이타!$A$8:$BV$103,COLUMN(기본데이타!BK$8),0))</f>
        <v/>
      </c>
      <c r="BI15" s="168" t="str">
        <f>IF($A15="","",VLOOKUP($A15,기본데이타!$A$8:$BV$103,COLUMN(기본데이타!BL$8),0))</f>
        <v/>
      </c>
      <c r="BJ15" s="168" t="str">
        <f>IF($A15="","",VLOOKUP($A15,기본데이타!$A$8:$BV$103,COLUMN(기본데이타!BM$8),0))</f>
        <v/>
      </c>
      <c r="BK15" s="168" t="str">
        <f>IF($A15="","",VLOOKUP($A15,기본데이타!$A$8:$BV$103,COLUMN(기본데이타!BN$8),0))</f>
        <v/>
      </c>
      <c r="BL15" s="168" t="str">
        <f>IF($A15="","",VLOOKUP($A15,기본데이타!$A$8:$BV$103,COLUMN(기본데이타!BO$8),0))</f>
        <v/>
      </c>
      <c r="BM15" s="168" t="str">
        <f>IF($A15="","",VLOOKUP($A15,기본데이타!$A$8:$BV$103,COLUMN(기본데이타!BP$8),0))</f>
        <v/>
      </c>
      <c r="BN15" s="168" t="str">
        <f>IF($A15="","",VLOOKUP($A15,기본데이타!$A$8:$BV$103,COLUMN(기본데이타!BQ$8),0))</f>
        <v/>
      </c>
      <c r="BO15" s="168" t="str">
        <f>IF($A15="","",VLOOKUP($A15,기본데이타!$A$8:$BV$103,COLUMN(기본데이타!BR$8),0))</f>
        <v/>
      </c>
      <c r="BP15" s="168" t="str">
        <f>IF($A15="","",VLOOKUP($A15,기본데이타!$A$8:$BV$103,COLUMN(기본데이타!BS$8),0))</f>
        <v/>
      </c>
      <c r="BQ15" s="980" t="str">
        <f>IF($A15="","",VLOOKUP($A15,기본데이타!$A$8:$BV$103,COLUMN(기본데이타!BT$8),0))</f>
        <v/>
      </c>
      <c r="BR15" s="984" t="str">
        <f>IF($A15="","",VLOOKUP($A15,기본데이타!$A$8:$BV$103,COLUMN(기본데이타!BU$8),0))</f>
        <v/>
      </c>
      <c r="BS15" s="168" t="str">
        <f>IF($A15="","",VLOOKUP($A15,기본데이타!$A$8:$BV$103,COLUMN(기본데이타!BV$8),0))</f>
        <v/>
      </c>
      <c r="BT15" s="981">
        <f t="shared" si="6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68" t="str">
        <f>IF($A16="","",VLOOKUP($A16,기본데이타!$A$8:$BV$103,COLUMN(기본데이타!BA$8),0))</f>
        <v/>
      </c>
      <c r="AY16" s="168" t="str">
        <f>IF($A16="","",VLOOKUP($A16,기본데이타!$A$8:$BV$103,COLUMN(기본데이타!BB$8),0))</f>
        <v/>
      </c>
      <c r="AZ16" s="168" t="str">
        <f>IF($A16="","",VLOOKUP($A16,기본데이타!$A$8:$BV$103,COLUMN(기본데이타!BC$8),0))</f>
        <v/>
      </c>
      <c r="BA16" s="168" t="str">
        <f>IF($A16="","",VLOOKUP($A16,기본데이타!$A$8:$BV$103,COLUMN(기본데이타!BD$8),0))</f>
        <v/>
      </c>
      <c r="BB16" s="168" t="str">
        <f>IF($A16="","",VLOOKUP($A16,기본데이타!$A$8:$BV$103,COLUMN(기본데이타!BE$8),0))</f>
        <v/>
      </c>
      <c r="BC16" s="168" t="str">
        <f>IF($A16="","",VLOOKUP($A16,기본데이타!$A$8:$BV$103,COLUMN(기본데이타!BF$8),0))</f>
        <v/>
      </c>
      <c r="BD16" s="168" t="str">
        <f>IF($A16="","",VLOOKUP($A16,기본데이타!$A$8:$BV$103,COLUMN(기본데이타!BG$8),0))</f>
        <v/>
      </c>
      <c r="BE16" s="168" t="str">
        <f>IF($A16="","",VLOOKUP($A16,기본데이타!$A$8:$BV$103,COLUMN(기본데이타!BH$8),0))</f>
        <v/>
      </c>
      <c r="BF16" s="168" t="str">
        <f>IF($A16="","",VLOOKUP($A16,기본데이타!$A$8:$BV$103,COLUMN(기본데이타!BI$8),0))</f>
        <v/>
      </c>
      <c r="BG16" s="168" t="str">
        <f>IF($A16="","",VLOOKUP($A16,기본데이타!$A$8:$BV$103,COLUMN(기본데이타!BJ$8),0))</f>
        <v/>
      </c>
      <c r="BH16" s="168" t="str">
        <f>IF($A16="","",VLOOKUP($A16,기본데이타!$A$8:$BV$103,COLUMN(기본데이타!BK$8),0))</f>
        <v/>
      </c>
      <c r="BI16" s="168" t="str">
        <f>IF($A16="","",VLOOKUP($A16,기본데이타!$A$8:$BV$103,COLUMN(기본데이타!BL$8),0))</f>
        <v/>
      </c>
      <c r="BJ16" s="168" t="str">
        <f>IF($A16="","",VLOOKUP($A16,기본데이타!$A$8:$BV$103,COLUMN(기본데이타!BM$8),0))</f>
        <v/>
      </c>
      <c r="BK16" s="168" t="str">
        <f>IF($A16="","",VLOOKUP($A16,기본데이타!$A$8:$BV$103,COLUMN(기본데이타!BN$8),0))</f>
        <v/>
      </c>
      <c r="BL16" s="168" t="str">
        <f>IF($A16="","",VLOOKUP($A16,기본데이타!$A$8:$BV$103,COLUMN(기본데이타!BO$8),0))</f>
        <v/>
      </c>
      <c r="BM16" s="168" t="str">
        <f>IF($A16="","",VLOOKUP($A16,기본데이타!$A$8:$BV$103,COLUMN(기본데이타!BP$8),0))</f>
        <v/>
      </c>
      <c r="BN16" s="168" t="str">
        <f>IF($A16="","",VLOOKUP($A16,기본데이타!$A$8:$BV$103,COLUMN(기본데이타!BQ$8),0))</f>
        <v/>
      </c>
      <c r="BO16" s="168" t="str">
        <f>IF($A16="","",VLOOKUP($A16,기본데이타!$A$8:$BV$103,COLUMN(기본데이타!BR$8),0))</f>
        <v/>
      </c>
      <c r="BP16" s="168" t="str">
        <f>IF($A16="","",VLOOKUP($A16,기본데이타!$A$8:$BV$103,COLUMN(기본데이타!BS$8),0))</f>
        <v/>
      </c>
      <c r="BQ16" s="980" t="str">
        <f>IF($A16="","",VLOOKUP($A16,기본데이타!$A$8:$BV$103,COLUMN(기본데이타!BT$8),0))</f>
        <v/>
      </c>
      <c r="BR16" s="984" t="str">
        <f>IF($A16="","",VLOOKUP($A16,기본데이타!$A$8:$BV$103,COLUMN(기본데이타!BU$8),0))</f>
        <v/>
      </c>
      <c r="BS16" s="168" t="str">
        <f>IF($A16="","",VLOOKUP($A16,기본데이타!$A$8:$BV$103,COLUMN(기본데이타!BV$8),0))</f>
        <v/>
      </c>
      <c r="BT16" s="981">
        <f t="shared" si="6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68" t="str">
        <f>IF($A17="","",VLOOKUP($A17,기본데이타!$A$8:$BV$103,COLUMN(기본데이타!BA$8),0))</f>
        <v/>
      </c>
      <c r="AY17" s="168" t="str">
        <f>IF($A17="","",VLOOKUP($A17,기본데이타!$A$8:$BV$103,COLUMN(기본데이타!BB$8),0))</f>
        <v/>
      </c>
      <c r="AZ17" s="168" t="str">
        <f>IF($A17="","",VLOOKUP($A17,기본데이타!$A$8:$BV$103,COLUMN(기본데이타!BC$8),0))</f>
        <v/>
      </c>
      <c r="BA17" s="168" t="str">
        <f>IF($A17="","",VLOOKUP($A17,기본데이타!$A$8:$BV$103,COLUMN(기본데이타!BD$8),0))</f>
        <v/>
      </c>
      <c r="BB17" s="168" t="str">
        <f>IF($A17="","",VLOOKUP($A17,기본데이타!$A$8:$BV$103,COLUMN(기본데이타!BE$8),0))</f>
        <v/>
      </c>
      <c r="BC17" s="168" t="str">
        <f>IF($A17="","",VLOOKUP($A17,기본데이타!$A$8:$BV$103,COLUMN(기본데이타!BF$8),0))</f>
        <v/>
      </c>
      <c r="BD17" s="168" t="str">
        <f>IF($A17="","",VLOOKUP($A17,기본데이타!$A$8:$BV$103,COLUMN(기본데이타!BG$8),0))</f>
        <v/>
      </c>
      <c r="BE17" s="168" t="str">
        <f>IF($A17="","",VLOOKUP($A17,기본데이타!$A$8:$BV$103,COLUMN(기본데이타!BH$8),0))</f>
        <v/>
      </c>
      <c r="BF17" s="168" t="str">
        <f>IF($A17="","",VLOOKUP($A17,기본데이타!$A$8:$BV$103,COLUMN(기본데이타!BI$8),0))</f>
        <v/>
      </c>
      <c r="BG17" s="168" t="str">
        <f>IF($A17="","",VLOOKUP($A17,기본데이타!$A$8:$BV$103,COLUMN(기본데이타!BJ$8),0))</f>
        <v/>
      </c>
      <c r="BH17" s="168" t="str">
        <f>IF($A17="","",VLOOKUP($A17,기본데이타!$A$8:$BV$103,COLUMN(기본데이타!BK$8),0))</f>
        <v/>
      </c>
      <c r="BI17" s="168" t="str">
        <f>IF($A17="","",VLOOKUP($A17,기본데이타!$A$8:$BV$103,COLUMN(기본데이타!BL$8),0))</f>
        <v/>
      </c>
      <c r="BJ17" s="168" t="str">
        <f>IF($A17="","",VLOOKUP($A17,기본데이타!$A$8:$BV$103,COLUMN(기본데이타!BM$8),0))</f>
        <v/>
      </c>
      <c r="BK17" s="168" t="str">
        <f>IF($A17="","",VLOOKUP($A17,기본데이타!$A$8:$BV$103,COLUMN(기본데이타!BN$8),0))</f>
        <v/>
      </c>
      <c r="BL17" s="168" t="str">
        <f>IF($A17="","",VLOOKUP($A17,기본데이타!$A$8:$BV$103,COLUMN(기본데이타!BO$8),0))</f>
        <v/>
      </c>
      <c r="BM17" s="168" t="str">
        <f>IF($A17="","",VLOOKUP($A17,기본데이타!$A$8:$BV$103,COLUMN(기본데이타!BP$8),0))</f>
        <v/>
      </c>
      <c r="BN17" s="168" t="str">
        <f>IF($A17="","",VLOOKUP($A17,기본데이타!$A$8:$BV$103,COLUMN(기본데이타!BQ$8),0))</f>
        <v/>
      </c>
      <c r="BO17" s="168" t="str">
        <f>IF($A17="","",VLOOKUP($A17,기본데이타!$A$8:$BV$103,COLUMN(기본데이타!BR$8),0))</f>
        <v/>
      </c>
      <c r="BP17" s="168" t="str">
        <f>IF($A17="","",VLOOKUP($A17,기본데이타!$A$8:$BV$103,COLUMN(기본데이타!BS$8),0))</f>
        <v/>
      </c>
      <c r="BQ17" s="980" t="str">
        <f>IF($A17="","",VLOOKUP($A17,기본데이타!$A$8:$BV$103,COLUMN(기본데이타!BT$8),0))</f>
        <v/>
      </c>
      <c r="BR17" s="984" t="str">
        <f>IF($A17="","",VLOOKUP($A17,기본데이타!$A$8:$BV$103,COLUMN(기본데이타!BU$8),0))</f>
        <v/>
      </c>
      <c r="BS17" s="168" t="str">
        <f>IF($A17="","",VLOOKUP($A17,기본데이타!$A$8:$BV$103,COLUMN(기본데이타!BV$8),0))</f>
        <v/>
      </c>
      <c r="BT17" s="981">
        <f t="shared" si="6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68" t="str">
        <f>IF($A18="","",VLOOKUP($A18,기본데이타!$A$8:$BV$103,COLUMN(기본데이타!BA$8),0))</f>
        <v/>
      </c>
      <c r="AY18" s="168" t="str">
        <f>IF($A18="","",VLOOKUP($A18,기본데이타!$A$8:$BV$103,COLUMN(기본데이타!BB$8),0))</f>
        <v/>
      </c>
      <c r="AZ18" s="168" t="str">
        <f>IF($A18="","",VLOOKUP($A18,기본데이타!$A$8:$BV$103,COLUMN(기본데이타!BC$8),0))</f>
        <v/>
      </c>
      <c r="BA18" s="168" t="str">
        <f>IF($A18="","",VLOOKUP($A18,기본데이타!$A$8:$BV$103,COLUMN(기본데이타!BD$8),0))</f>
        <v/>
      </c>
      <c r="BB18" s="168" t="str">
        <f>IF($A18="","",VLOOKUP($A18,기본데이타!$A$8:$BV$103,COLUMN(기본데이타!BE$8),0))</f>
        <v/>
      </c>
      <c r="BC18" s="168" t="str">
        <f>IF($A18="","",VLOOKUP($A18,기본데이타!$A$8:$BV$103,COLUMN(기본데이타!BF$8),0))</f>
        <v/>
      </c>
      <c r="BD18" s="168" t="str">
        <f>IF($A18="","",VLOOKUP($A18,기본데이타!$A$8:$BV$103,COLUMN(기본데이타!BG$8),0))</f>
        <v/>
      </c>
      <c r="BE18" s="168" t="str">
        <f>IF($A18="","",VLOOKUP($A18,기본데이타!$A$8:$BV$103,COLUMN(기본데이타!BH$8),0))</f>
        <v/>
      </c>
      <c r="BF18" s="168" t="str">
        <f>IF($A18="","",VLOOKUP($A18,기본데이타!$A$8:$BV$103,COLUMN(기본데이타!BI$8),0))</f>
        <v/>
      </c>
      <c r="BG18" s="168" t="str">
        <f>IF($A18="","",VLOOKUP($A18,기본데이타!$A$8:$BV$103,COLUMN(기본데이타!BJ$8),0))</f>
        <v/>
      </c>
      <c r="BH18" s="168" t="str">
        <f>IF($A18="","",VLOOKUP($A18,기본데이타!$A$8:$BV$103,COLUMN(기본데이타!BK$8),0))</f>
        <v/>
      </c>
      <c r="BI18" s="168" t="str">
        <f>IF($A18="","",VLOOKUP($A18,기본데이타!$A$8:$BV$103,COLUMN(기본데이타!BL$8),0))</f>
        <v/>
      </c>
      <c r="BJ18" s="168" t="str">
        <f>IF($A18="","",VLOOKUP($A18,기본데이타!$A$8:$BV$103,COLUMN(기본데이타!BM$8),0))</f>
        <v/>
      </c>
      <c r="BK18" s="168" t="str">
        <f>IF($A18="","",VLOOKUP($A18,기본데이타!$A$8:$BV$103,COLUMN(기본데이타!BN$8),0))</f>
        <v/>
      </c>
      <c r="BL18" s="168" t="str">
        <f>IF($A18="","",VLOOKUP($A18,기본데이타!$A$8:$BV$103,COLUMN(기본데이타!BO$8),0))</f>
        <v/>
      </c>
      <c r="BM18" s="168" t="str">
        <f>IF($A18="","",VLOOKUP($A18,기본데이타!$A$8:$BV$103,COLUMN(기본데이타!BP$8),0))</f>
        <v/>
      </c>
      <c r="BN18" s="168" t="str">
        <f>IF($A18="","",VLOOKUP($A18,기본데이타!$A$8:$BV$103,COLUMN(기본데이타!BQ$8),0))</f>
        <v/>
      </c>
      <c r="BO18" s="168" t="str">
        <f>IF($A18="","",VLOOKUP($A18,기본데이타!$A$8:$BV$103,COLUMN(기본데이타!BR$8),0))</f>
        <v/>
      </c>
      <c r="BP18" s="168" t="str">
        <f>IF($A18="","",VLOOKUP($A18,기본데이타!$A$8:$BV$103,COLUMN(기본데이타!BS$8),0))</f>
        <v/>
      </c>
      <c r="BQ18" s="980" t="str">
        <f>IF($A18="","",VLOOKUP($A18,기본데이타!$A$8:$BV$103,COLUMN(기본데이타!BT$8),0))</f>
        <v/>
      </c>
      <c r="BR18" s="984" t="str">
        <f>IF($A18="","",VLOOKUP($A18,기본데이타!$A$8:$BV$103,COLUMN(기본데이타!BU$8),0))</f>
        <v/>
      </c>
      <c r="BS18" s="168" t="str">
        <f>IF($A18="","",VLOOKUP($A18,기본데이타!$A$8:$BV$103,COLUMN(기본데이타!BV$8),0))</f>
        <v/>
      </c>
      <c r="BT18" s="981">
        <f t="shared" si="6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68" t="str">
        <f>IF($A19="","",VLOOKUP($A19,기본데이타!$A$8:$BV$103,COLUMN(기본데이타!BA$8),0))</f>
        <v/>
      </c>
      <c r="AY19" s="168" t="str">
        <f>IF($A19="","",VLOOKUP($A19,기본데이타!$A$8:$BV$103,COLUMN(기본데이타!BB$8),0))</f>
        <v/>
      </c>
      <c r="AZ19" s="168" t="str">
        <f>IF($A19="","",VLOOKUP($A19,기본데이타!$A$8:$BV$103,COLUMN(기본데이타!BC$8),0))</f>
        <v/>
      </c>
      <c r="BA19" s="168" t="str">
        <f>IF($A19="","",VLOOKUP($A19,기본데이타!$A$8:$BV$103,COLUMN(기본데이타!BD$8),0))</f>
        <v/>
      </c>
      <c r="BB19" s="168" t="str">
        <f>IF($A19="","",VLOOKUP($A19,기본데이타!$A$8:$BV$103,COLUMN(기본데이타!BE$8),0))</f>
        <v/>
      </c>
      <c r="BC19" s="168" t="str">
        <f>IF($A19="","",VLOOKUP($A19,기본데이타!$A$8:$BV$103,COLUMN(기본데이타!BF$8),0))</f>
        <v/>
      </c>
      <c r="BD19" s="168" t="str">
        <f>IF($A19="","",VLOOKUP($A19,기본데이타!$A$8:$BV$103,COLUMN(기본데이타!BG$8),0))</f>
        <v/>
      </c>
      <c r="BE19" s="168" t="str">
        <f>IF($A19="","",VLOOKUP($A19,기본데이타!$A$8:$BV$103,COLUMN(기본데이타!BH$8),0))</f>
        <v/>
      </c>
      <c r="BF19" s="168" t="str">
        <f>IF($A19="","",VLOOKUP($A19,기본데이타!$A$8:$BV$103,COLUMN(기본데이타!BI$8),0))</f>
        <v/>
      </c>
      <c r="BG19" s="168" t="str">
        <f>IF($A19="","",VLOOKUP($A19,기본데이타!$A$8:$BV$103,COLUMN(기본데이타!BJ$8),0))</f>
        <v/>
      </c>
      <c r="BH19" s="168" t="str">
        <f>IF($A19="","",VLOOKUP($A19,기본데이타!$A$8:$BV$103,COLUMN(기본데이타!BK$8),0))</f>
        <v/>
      </c>
      <c r="BI19" s="168" t="str">
        <f>IF($A19="","",VLOOKUP($A19,기본데이타!$A$8:$BV$103,COLUMN(기본데이타!BL$8),0))</f>
        <v/>
      </c>
      <c r="BJ19" s="168" t="str">
        <f>IF($A19="","",VLOOKUP($A19,기본데이타!$A$8:$BV$103,COLUMN(기본데이타!BM$8),0))</f>
        <v/>
      </c>
      <c r="BK19" s="168" t="str">
        <f>IF($A19="","",VLOOKUP($A19,기본데이타!$A$8:$BV$103,COLUMN(기본데이타!BN$8),0))</f>
        <v/>
      </c>
      <c r="BL19" s="168" t="str">
        <f>IF($A19="","",VLOOKUP($A19,기본데이타!$A$8:$BV$103,COLUMN(기본데이타!BO$8),0))</f>
        <v/>
      </c>
      <c r="BM19" s="168" t="str">
        <f>IF($A19="","",VLOOKUP($A19,기본데이타!$A$8:$BV$103,COLUMN(기본데이타!BP$8),0))</f>
        <v/>
      </c>
      <c r="BN19" s="168" t="str">
        <f>IF($A19="","",VLOOKUP($A19,기본데이타!$A$8:$BV$103,COLUMN(기본데이타!BQ$8),0))</f>
        <v/>
      </c>
      <c r="BO19" s="168" t="str">
        <f>IF($A19="","",VLOOKUP($A19,기본데이타!$A$8:$BV$103,COLUMN(기본데이타!BR$8),0))</f>
        <v/>
      </c>
      <c r="BP19" s="168" t="str">
        <f>IF($A19="","",VLOOKUP($A19,기본데이타!$A$8:$BV$103,COLUMN(기본데이타!BS$8),0))</f>
        <v/>
      </c>
      <c r="BQ19" s="980" t="str">
        <f>IF($A19="","",VLOOKUP($A19,기본데이타!$A$8:$BV$103,COLUMN(기본데이타!BT$8),0))</f>
        <v/>
      </c>
      <c r="BR19" s="984" t="str">
        <f>IF($A19="","",VLOOKUP($A19,기본데이타!$A$8:$BV$103,COLUMN(기본데이타!BU$8),0))</f>
        <v/>
      </c>
      <c r="BS19" s="168" t="str">
        <f>IF($A19="","",VLOOKUP($A19,기본데이타!$A$8:$BV$103,COLUMN(기본데이타!BV$8),0))</f>
        <v/>
      </c>
      <c r="BT19" s="981">
        <f t="shared" si="6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68" t="str">
        <f>IF($A20="","",VLOOKUP($A20,기본데이타!$A$8:$BV$103,COLUMN(기본데이타!BA$8),0))</f>
        <v/>
      </c>
      <c r="AY20" s="168" t="str">
        <f>IF($A20="","",VLOOKUP($A20,기본데이타!$A$8:$BV$103,COLUMN(기본데이타!BB$8),0))</f>
        <v/>
      </c>
      <c r="AZ20" s="168" t="str">
        <f>IF($A20="","",VLOOKUP($A20,기본데이타!$A$8:$BV$103,COLUMN(기본데이타!BC$8),0))</f>
        <v/>
      </c>
      <c r="BA20" s="168" t="str">
        <f>IF($A20="","",VLOOKUP($A20,기본데이타!$A$8:$BV$103,COLUMN(기본데이타!BD$8),0))</f>
        <v/>
      </c>
      <c r="BB20" s="168" t="str">
        <f>IF($A20="","",VLOOKUP($A20,기본데이타!$A$8:$BV$103,COLUMN(기본데이타!BE$8),0))</f>
        <v/>
      </c>
      <c r="BC20" s="168" t="str">
        <f>IF($A20="","",VLOOKUP($A20,기본데이타!$A$8:$BV$103,COLUMN(기본데이타!BF$8),0))</f>
        <v/>
      </c>
      <c r="BD20" s="168" t="str">
        <f>IF($A20="","",VLOOKUP($A20,기본데이타!$A$8:$BV$103,COLUMN(기본데이타!BG$8),0))</f>
        <v/>
      </c>
      <c r="BE20" s="168" t="str">
        <f>IF($A20="","",VLOOKUP($A20,기본데이타!$A$8:$BV$103,COLUMN(기본데이타!BH$8),0))</f>
        <v/>
      </c>
      <c r="BF20" s="168" t="str">
        <f>IF($A20="","",VLOOKUP($A20,기본데이타!$A$8:$BV$103,COLUMN(기본데이타!BI$8),0))</f>
        <v/>
      </c>
      <c r="BG20" s="168" t="str">
        <f>IF($A20="","",VLOOKUP($A20,기본데이타!$A$8:$BV$103,COLUMN(기본데이타!BJ$8),0))</f>
        <v/>
      </c>
      <c r="BH20" s="168" t="str">
        <f>IF($A20="","",VLOOKUP($A20,기본데이타!$A$8:$BV$103,COLUMN(기본데이타!BK$8),0))</f>
        <v/>
      </c>
      <c r="BI20" s="168" t="str">
        <f>IF($A20="","",VLOOKUP($A20,기본데이타!$A$8:$BV$103,COLUMN(기본데이타!BL$8),0))</f>
        <v/>
      </c>
      <c r="BJ20" s="168" t="str">
        <f>IF($A20="","",VLOOKUP($A20,기본데이타!$A$8:$BV$103,COLUMN(기본데이타!BM$8),0))</f>
        <v/>
      </c>
      <c r="BK20" s="168" t="str">
        <f>IF($A20="","",VLOOKUP($A20,기본데이타!$A$8:$BV$103,COLUMN(기본데이타!BN$8),0))</f>
        <v/>
      </c>
      <c r="BL20" s="168" t="str">
        <f>IF($A20="","",VLOOKUP($A20,기본데이타!$A$8:$BV$103,COLUMN(기본데이타!BO$8),0))</f>
        <v/>
      </c>
      <c r="BM20" s="168" t="str">
        <f>IF($A20="","",VLOOKUP($A20,기본데이타!$A$8:$BV$103,COLUMN(기본데이타!BP$8),0))</f>
        <v/>
      </c>
      <c r="BN20" s="168" t="str">
        <f>IF($A20="","",VLOOKUP($A20,기본데이타!$A$8:$BV$103,COLUMN(기본데이타!BQ$8),0))</f>
        <v/>
      </c>
      <c r="BO20" s="168" t="str">
        <f>IF($A20="","",VLOOKUP($A20,기본데이타!$A$8:$BV$103,COLUMN(기본데이타!BR$8),0))</f>
        <v/>
      </c>
      <c r="BP20" s="168" t="str">
        <f>IF($A20="","",VLOOKUP($A20,기본데이타!$A$8:$BV$103,COLUMN(기본데이타!BS$8),0))</f>
        <v/>
      </c>
      <c r="BQ20" s="980" t="str">
        <f>IF($A20="","",VLOOKUP($A20,기본데이타!$A$8:$BV$103,COLUMN(기본데이타!BT$8),0))</f>
        <v/>
      </c>
      <c r="BR20" s="984" t="str">
        <f>IF($A20="","",VLOOKUP($A20,기본데이타!$A$8:$BV$103,COLUMN(기본데이타!BU$8),0))</f>
        <v/>
      </c>
      <c r="BS20" s="168" t="str">
        <f>IF($A20="","",VLOOKUP($A20,기본데이타!$A$8:$BV$103,COLUMN(기본데이타!BV$8),0))</f>
        <v/>
      </c>
      <c r="BT20" s="981">
        <f t="shared" si="6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68" t="str">
        <f>IF($A21="","",VLOOKUP($A21,기본데이타!$A$8:$BV$103,COLUMN(기본데이타!BA$8),0))</f>
        <v/>
      </c>
      <c r="AY21" s="168" t="str">
        <f>IF($A21="","",VLOOKUP($A21,기본데이타!$A$8:$BV$103,COLUMN(기본데이타!BB$8),0))</f>
        <v/>
      </c>
      <c r="AZ21" s="168" t="str">
        <f>IF($A21="","",VLOOKUP($A21,기본데이타!$A$8:$BV$103,COLUMN(기본데이타!BC$8),0))</f>
        <v/>
      </c>
      <c r="BA21" s="168" t="str">
        <f>IF($A21="","",VLOOKUP($A21,기본데이타!$A$8:$BV$103,COLUMN(기본데이타!BD$8),0))</f>
        <v/>
      </c>
      <c r="BB21" s="168" t="str">
        <f>IF($A21="","",VLOOKUP($A21,기본데이타!$A$8:$BV$103,COLUMN(기본데이타!BE$8),0))</f>
        <v/>
      </c>
      <c r="BC21" s="168" t="str">
        <f>IF($A21="","",VLOOKUP($A21,기본데이타!$A$8:$BV$103,COLUMN(기본데이타!BF$8),0))</f>
        <v/>
      </c>
      <c r="BD21" s="168" t="str">
        <f>IF($A21="","",VLOOKUP($A21,기본데이타!$A$8:$BV$103,COLUMN(기본데이타!BG$8),0))</f>
        <v/>
      </c>
      <c r="BE21" s="168" t="str">
        <f>IF($A21="","",VLOOKUP($A21,기본데이타!$A$8:$BV$103,COLUMN(기본데이타!BH$8),0))</f>
        <v/>
      </c>
      <c r="BF21" s="168" t="str">
        <f>IF($A21="","",VLOOKUP($A21,기본데이타!$A$8:$BV$103,COLUMN(기본데이타!BI$8),0))</f>
        <v/>
      </c>
      <c r="BG21" s="168" t="str">
        <f>IF($A21="","",VLOOKUP($A21,기본데이타!$A$8:$BV$103,COLUMN(기본데이타!BJ$8),0))</f>
        <v/>
      </c>
      <c r="BH21" s="168" t="str">
        <f>IF($A21="","",VLOOKUP($A21,기본데이타!$A$8:$BV$103,COLUMN(기본데이타!BK$8),0))</f>
        <v/>
      </c>
      <c r="BI21" s="168" t="str">
        <f>IF($A21="","",VLOOKUP($A21,기본데이타!$A$8:$BV$103,COLUMN(기본데이타!BL$8),0))</f>
        <v/>
      </c>
      <c r="BJ21" s="168" t="str">
        <f>IF($A21="","",VLOOKUP($A21,기본데이타!$A$8:$BV$103,COLUMN(기본데이타!BM$8),0))</f>
        <v/>
      </c>
      <c r="BK21" s="168" t="str">
        <f>IF($A21="","",VLOOKUP($A21,기본데이타!$A$8:$BV$103,COLUMN(기본데이타!BN$8),0))</f>
        <v/>
      </c>
      <c r="BL21" s="168" t="str">
        <f>IF($A21="","",VLOOKUP($A21,기본데이타!$A$8:$BV$103,COLUMN(기본데이타!BO$8),0))</f>
        <v/>
      </c>
      <c r="BM21" s="168" t="str">
        <f>IF($A21="","",VLOOKUP($A21,기본데이타!$A$8:$BV$103,COLUMN(기본데이타!BP$8),0))</f>
        <v/>
      </c>
      <c r="BN21" s="168" t="str">
        <f>IF($A21="","",VLOOKUP($A21,기본데이타!$A$8:$BV$103,COLUMN(기본데이타!BQ$8),0))</f>
        <v/>
      </c>
      <c r="BO21" s="168" t="str">
        <f>IF($A21="","",VLOOKUP($A21,기본데이타!$A$8:$BV$103,COLUMN(기본데이타!BR$8),0))</f>
        <v/>
      </c>
      <c r="BP21" s="168" t="str">
        <f>IF($A21="","",VLOOKUP($A21,기본데이타!$A$8:$BV$103,COLUMN(기본데이타!BS$8),0))</f>
        <v/>
      </c>
      <c r="BQ21" s="980" t="str">
        <f>IF($A21="","",VLOOKUP($A21,기본데이타!$A$8:$BV$103,COLUMN(기본데이타!BT$8),0))</f>
        <v/>
      </c>
      <c r="BR21" s="984" t="str">
        <f>IF($A21="","",VLOOKUP($A21,기본데이타!$A$8:$BV$103,COLUMN(기본데이타!BU$8),0))</f>
        <v/>
      </c>
      <c r="BS21" s="168" t="str">
        <f>IF($A21="","",VLOOKUP($A21,기본데이타!$A$8:$BV$103,COLUMN(기본데이타!BV$8),0))</f>
        <v/>
      </c>
      <c r="BT21" s="981">
        <f t="shared" si="6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68" t="str">
        <f>IF($A22="","",VLOOKUP($A22,기본데이타!$A$8:$BV$103,COLUMN(기본데이타!BA$8),0))</f>
        <v/>
      </c>
      <c r="AY22" s="168" t="str">
        <f>IF($A22="","",VLOOKUP($A22,기본데이타!$A$8:$BV$103,COLUMN(기본데이타!BB$8),0))</f>
        <v/>
      </c>
      <c r="AZ22" s="168" t="str">
        <f>IF($A22="","",VLOOKUP($A22,기본데이타!$A$8:$BV$103,COLUMN(기본데이타!BC$8),0))</f>
        <v/>
      </c>
      <c r="BA22" s="168" t="str">
        <f>IF($A22="","",VLOOKUP($A22,기본데이타!$A$8:$BV$103,COLUMN(기본데이타!BD$8),0))</f>
        <v/>
      </c>
      <c r="BB22" s="168" t="str">
        <f>IF($A22="","",VLOOKUP($A22,기본데이타!$A$8:$BV$103,COLUMN(기본데이타!BE$8),0))</f>
        <v/>
      </c>
      <c r="BC22" s="168" t="str">
        <f>IF($A22="","",VLOOKUP($A22,기본데이타!$A$8:$BV$103,COLUMN(기본데이타!BF$8),0))</f>
        <v/>
      </c>
      <c r="BD22" s="168" t="str">
        <f>IF($A22="","",VLOOKUP($A22,기본데이타!$A$8:$BV$103,COLUMN(기본데이타!BG$8),0))</f>
        <v/>
      </c>
      <c r="BE22" s="168" t="str">
        <f>IF($A22="","",VLOOKUP($A22,기본데이타!$A$8:$BV$103,COLUMN(기본데이타!BH$8),0))</f>
        <v/>
      </c>
      <c r="BF22" s="168" t="str">
        <f>IF($A22="","",VLOOKUP($A22,기본데이타!$A$8:$BV$103,COLUMN(기본데이타!BI$8),0))</f>
        <v/>
      </c>
      <c r="BG22" s="168" t="str">
        <f>IF($A22="","",VLOOKUP($A22,기본데이타!$A$8:$BV$103,COLUMN(기본데이타!BJ$8),0))</f>
        <v/>
      </c>
      <c r="BH22" s="168" t="str">
        <f>IF($A22="","",VLOOKUP($A22,기본데이타!$A$8:$BV$103,COLUMN(기본데이타!BK$8),0))</f>
        <v/>
      </c>
      <c r="BI22" s="168" t="str">
        <f>IF($A22="","",VLOOKUP($A22,기본데이타!$A$8:$BV$103,COLUMN(기본데이타!BL$8),0))</f>
        <v/>
      </c>
      <c r="BJ22" s="168" t="str">
        <f>IF($A22="","",VLOOKUP($A22,기본데이타!$A$8:$BV$103,COLUMN(기본데이타!BM$8),0))</f>
        <v/>
      </c>
      <c r="BK22" s="168" t="str">
        <f>IF($A22="","",VLOOKUP($A22,기본데이타!$A$8:$BV$103,COLUMN(기본데이타!BN$8),0))</f>
        <v/>
      </c>
      <c r="BL22" s="168" t="str">
        <f>IF($A22="","",VLOOKUP($A22,기본데이타!$A$8:$BV$103,COLUMN(기본데이타!BO$8),0))</f>
        <v/>
      </c>
      <c r="BM22" s="168" t="str">
        <f>IF($A22="","",VLOOKUP($A22,기본데이타!$A$8:$BV$103,COLUMN(기본데이타!BP$8),0))</f>
        <v/>
      </c>
      <c r="BN22" s="168" t="str">
        <f>IF($A22="","",VLOOKUP($A22,기본데이타!$A$8:$BV$103,COLUMN(기본데이타!BQ$8),0))</f>
        <v/>
      </c>
      <c r="BO22" s="168" t="str">
        <f>IF($A22="","",VLOOKUP($A22,기본데이타!$A$8:$BV$103,COLUMN(기본데이타!BR$8),0))</f>
        <v/>
      </c>
      <c r="BP22" s="168" t="str">
        <f>IF($A22="","",VLOOKUP($A22,기본데이타!$A$8:$BV$103,COLUMN(기본데이타!BS$8),0))</f>
        <v/>
      </c>
      <c r="BQ22" s="980" t="str">
        <f>IF($A22="","",VLOOKUP($A22,기본데이타!$A$8:$BV$103,COLUMN(기본데이타!BT$8),0))</f>
        <v/>
      </c>
      <c r="BR22" s="984" t="str">
        <f>IF($A22="","",VLOOKUP($A22,기본데이타!$A$8:$BV$103,COLUMN(기본데이타!BU$8),0))</f>
        <v/>
      </c>
      <c r="BS22" s="168" t="str">
        <f>IF($A22="","",VLOOKUP($A22,기본데이타!$A$8:$BV$103,COLUMN(기본데이타!BV$8),0))</f>
        <v/>
      </c>
      <c r="BT22" s="981">
        <f t="shared" si="6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68" t="str">
        <f>IF($A23="","",VLOOKUP($A23,기본데이타!$A$8:$BV$103,COLUMN(기본데이타!BA$8),0))</f>
        <v/>
      </c>
      <c r="AY23" s="168" t="str">
        <f>IF($A23="","",VLOOKUP($A23,기본데이타!$A$8:$BV$103,COLUMN(기본데이타!BB$8),0))</f>
        <v/>
      </c>
      <c r="AZ23" s="168" t="str">
        <f>IF($A23="","",VLOOKUP($A23,기본데이타!$A$8:$BV$103,COLUMN(기본데이타!BC$8),0))</f>
        <v/>
      </c>
      <c r="BA23" s="168" t="str">
        <f>IF($A23="","",VLOOKUP($A23,기본데이타!$A$8:$BV$103,COLUMN(기본데이타!BD$8),0))</f>
        <v/>
      </c>
      <c r="BB23" s="168" t="str">
        <f>IF($A23="","",VLOOKUP($A23,기본데이타!$A$8:$BV$103,COLUMN(기본데이타!BE$8),0))</f>
        <v/>
      </c>
      <c r="BC23" s="168" t="str">
        <f>IF($A23="","",VLOOKUP($A23,기본데이타!$A$8:$BV$103,COLUMN(기본데이타!BF$8),0))</f>
        <v/>
      </c>
      <c r="BD23" s="168" t="str">
        <f>IF($A23="","",VLOOKUP($A23,기본데이타!$A$8:$BV$103,COLUMN(기본데이타!BG$8),0))</f>
        <v/>
      </c>
      <c r="BE23" s="168" t="str">
        <f>IF($A23="","",VLOOKUP($A23,기본데이타!$A$8:$BV$103,COLUMN(기본데이타!BH$8),0))</f>
        <v/>
      </c>
      <c r="BF23" s="168" t="str">
        <f>IF($A23="","",VLOOKUP($A23,기본데이타!$A$8:$BV$103,COLUMN(기본데이타!BI$8),0))</f>
        <v/>
      </c>
      <c r="BG23" s="168" t="str">
        <f>IF($A23="","",VLOOKUP($A23,기본데이타!$A$8:$BV$103,COLUMN(기본데이타!BJ$8),0))</f>
        <v/>
      </c>
      <c r="BH23" s="168" t="str">
        <f>IF($A23="","",VLOOKUP($A23,기본데이타!$A$8:$BV$103,COLUMN(기본데이타!BK$8),0))</f>
        <v/>
      </c>
      <c r="BI23" s="168" t="str">
        <f>IF($A23="","",VLOOKUP($A23,기본데이타!$A$8:$BV$103,COLUMN(기본데이타!BL$8),0))</f>
        <v/>
      </c>
      <c r="BJ23" s="168" t="str">
        <f>IF($A23="","",VLOOKUP($A23,기본데이타!$A$8:$BV$103,COLUMN(기본데이타!BM$8),0))</f>
        <v/>
      </c>
      <c r="BK23" s="168" t="str">
        <f>IF($A23="","",VLOOKUP($A23,기본데이타!$A$8:$BV$103,COLUMN(기본데이타!BN$8),0))</f>
        <v/>
      </c>
      <c r="BL23" s="168" t="str">
        <f>IF($A23="","",VLOOKUP($A23,기본데이타!$A$8:$BV$103,COLUMN(기본데이타!BO$8),0))</f>
        <v/>
      </c>
      <c r="BM23" s="168" t="str">
        <f>IF($A23="","",VLOOKUP($A23,기본데이타!$A$8:$BV$103,COLUMN(기본데이타!BP$8),0))</f>
        <v/>
      </c>
      <c r="BN23" s="168" t="str">
        <f>IF($A23="","",VLOOKUP($A23,기본데이타!$A$8:$BV$103,COLUMN(기본데이타!BQ$8),0))</f>
        <v/>
      </c>
      <c r="BO23" s="168" t="str">
        <f>IF($A23="","",VLOOKUP($A23,기본데이타!$A$8:$BV$103,COLUMN(기본데이타!BR$8),0))</f>
        <v/>
      </c>
      <c r="BP23" s="168" t="str">
        <f>IF($A23="","",VLOOKUP($A23,기본데이타!$A$8:$BV$103,COLUMN(기본데이타!BS$8),0))</f>
        <v/>
      </c>
      <c r="BQ23" s="980" t="str">
        <f>IF($A23="","",VLOOKUP($A23,기본데이타!$A$8:$BV$103,COLUMN(기본데이타!BT$8),0))</f>
        <v/>
      </c>
      <c r="BR23" s="984" t="str">
        <f>IF($A23="","",VLOOKUP($A23,기본데이타!$A$8:$BV$103,COLUMN(기본데이타!BU$8),0))</f>
        <v/>
      </c>
      <c r="BS23" s="168" t="str">
        <f>IF($A23="","",VLOOKUP($A23,기본데이타!$A$8:$BV$103,COLUMN(기본데이타!BV$8),0))</f>
        <v/>
      </c>
      <c r="BT23" s="981">
        <f t="shared" si="6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68" t="str">
        <f>IF($A24="","",VLOOKUP($A24,기본데이타!$A$8:$BV$103,COLUMN(기본데이타!BA$8),0))</f>
        <v/>
      </c>
      <c r="AY24" s="168" t="str">
        <f>IF($A24="","",VLOOKUP($A24,기본데이타!$A$8:$BV$103,COLUMN(기본데이타!BB$8),0))</f>
        <v/>
      </c>
      <c r="AZ24" s="168" t="str">
        <f>IF($A24="","",VLOOKUP($A24,기본데이타!$A$8:$BV$103,COLUMN(기본데이타!BC$8),0))</f>
        <v/>
      </c>
      <c r="BA24" s="168" t="str">
        <f>IF($A24="","",VLOOKUP($A24,기본데이타!$A$8:$BV$103,COLUMN(기본데이타!BD$8),0))</f>
        <v/>
      </c>
      <c r="BB24" s="168" t="str">
        <f>IF($A24="","",VLOOKUP($A24,기본데이타!$A$8:$BV$103,COLUMN(기본데이타!BE$8),0))</f>
        <v/>
      </c>
      <c r="BC24" s="168" t="str">
        <f>IF($A24="","",VLOOKUP($A24,기본데이타!$A$8:$BV$103,COLUMN(기본데이타!BF$8),0))</f>
        <v/>
      </c>
      <c r="BD24" s="168" t="str">
        <f>IF($A24="","",VLOOKUP($A24,기본데이타!$A$8:$BV$103,COLUMN(기본데이타!BG$8),0))</f>
        <v/>
      </c>
      <c r="BE24" s="168" t="str">
        <f>IF($A24="","",VLOOKUP($A24,기본데이타!$A$8:$BV$103,COLUMN(기본데이타!BH$8),0))</f>
        <v/>
      </c>
      <c r="BF24" s="168" t="str">
        <f>IF($A24="","",VLOOKUP($A24,기본데이타!$A$8:$BV$103,COLUMN(기본데이타!BI$8),0))</f>
        <v/>
      </c>
      <c r="BG24" s="168" t="str">
        <f>IF($A24="","",VLOOKUP($A24,기본데이타!$A$8:$BV$103,COLUMN(기본데이타!BJ$8),0))</f>
        <v/>
      </c>
      <c r="BH24" s="168" t="str">
        <f>IF($A24="","",VLOOKUP($A24,기본데이타!$A$8:$BV$103,COLUMN(기본데이타!BK$8),0))</f>
        <v/>
      </c>
      <c r="BI24" s="168" t="str">
        <f>IF($A24="","",VLOOKUP($A24,기본데이타!$A$8:$BV$103,COLUMN(기본데이타!BL$8),0))</f>
        <v/>
      </c>
      <c r="BJ24" s="168" t="str">
        <f>IF($A24="","",VLOOKUP($A24,기본데이타!$A$8:$BV$103,COLUMN(기본데이타!BM$8),0))</f>
        <v/>
      </c>
      <c r="BK24" s="168" t="str">
        <f>IF($A24="","",VLOOKUP($A24,기본데이타!$A$8:$BV$103,COLUMN(기본데이타!BN$8),0))</f>
        <v/>
      </c>
      <c r="BL24" s="168" t="str">
        <f>IF($A24="","",VLOOKUP($A24,기본데이타!$A$8:$BV$103,COLUMN(기본데이타!BO$8),0))</f>
        <v/>
      </c>
      <c r="BM24" s="168" t="str">
        <f>IF($A24="","",VLOOKUP($A24,기본데이타!$A$8:$BV$103,COLUMN(기본데이타!BP$8),0))</f>
        <v/>
      </c>
      <c r="BN24" s="168" t="str">
        <f>IF($A24="","",VLOOKUP($A24,기본데이타!$A$8:$BV$103,COLUMN(기본데이타!BQ$8),0))</f>
        <v/>
      </c>
      <c r="BO24" s="168" t="str">
        <f>IF($A24="","",VLOOKUP($A24,기본데이타!$A$8:$BV$103,COLUMN(기본데이타!BR$8),0))</f>
        <v/>
      </c>
      <c r="BP24" s="168" t="str">
        <f>IF($A24="","",VLOOKUP($A24,기본데이타!$A$8:$BV$103,COLUMN(기본데이타!BS$8),0))</f>
        <v/>
      </c>
      <c r="BQ24" s="980" t="str">
        <f>IF($A24="","",VLOOKUP($A24,기본데이타!$A$8:$BV$103,COLUMN(기본데이타!BT$8),0))</f>
        <v/>
      </c>
      <c r="BR24" s="984" t="str">
        <f>IF($A24="","",VLOOKUP($A24,기본데이타!$A$8:$BV$103,COLUMN(기본데이타!BU$8),0))</f>
        <v/>
      </c>
      <c r="BS24" s="168" t="str">
        <f>IF($A24="","",VLOOKUP($A24,기본데이타!$A$8:$BV$103,COLUMN(기본데이타!BV$8),0))</f>
        <v/>
      </c>
      <c r="BT24" s="981">
        <f t="shared" si="6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68" t="str">
        <f>IF($A25="","",VLOOKUP($A25,기본데이타!$A$8:$BV$103,COLUMN(기본데이타!BA$8),0))</f>
        <v/>
      </c>
      <c r="AY25" s="168" t="str">
        <f>IF($A25="","",VLOOKUP($A25,기본데이타!$A$8:$BV$103,COLUMN(기본데이타!BB$8),0))</f>
        <v/>
      </c>
      <c r="AZ25" s="168" t="str">
        <f>IF($A25="","",VLOOKUP($A25,기본데이타!$A$8:$BV$103,COLUMN(기본데이타!BC$8),0))</f>
        <v/>
      </c>
      <c r="BA25" s="168" t="str">
        <f>IF($A25="","",VLOOKUP($A25,기본데이타!$A$8:$BV$103,COLUMN(기본데이타!BD$8),0))</f>
        <v/>
      </c>
      <c r="BB25" s="168" t="str">
        <f>IF($A25="","",VLOOKUP($A25,기본데이타!$A$8:$BV$103,COLUMN(기본데이타!BE$8),0))</f>
        <v/>
      </c>
      <c r="BC25" s="168" t="str">
        <f>IF($A25="","",VLOOKUP($A25,기본데이타!$A$8:$BV$103,COLUMN(기본데이타!BF$8),0))</f>
        <v/>
      </c>
      <c r="BD25" s="168" t="str">
        <f>IF($A25="","",VLOOKUP($A25,기본데이타!$A$8:$BV$103,COLUMN(기본데이타!BG$8),0))</f>
        <v/>
      </c>
      <c r="BE25" s="168" t="str">
        <f>IF($A25="","",VLOOKUP($A25,기본데이타!$A$8:$BV$103,COLUMN(기본데이타!BH$8),0))</f>
        <v/>
      </c>
      <c r="BF25" s="168" t="str">
        <f>IF($A25="","",VLOOKUP($A25,기본데이타!$A$8:$BV$103,COLUMN(기본데이타!BI$8),0))</f>
        <v/>
      </c>
      <c r="BG25" s="168" t="str">
        <f>IF($A25="","",VLOOKUP($A25,기본데이타!$A$8:$BV$103,COLUMN(기본데이타!BJ$8),0))</f>
        <v/>
      </c>
      <c r="BH25" s="168" t="str">
        <f>IF($A25="","",VLOOKUP($A25,기본데이타!$A$8:$BV$103,COLUMN(기본데이타!BK$8),0))</f>
        <v/>
      </c>
      <c r="BI25" s="168" t="str">
        <f>IF($A25="","",VLOOKUP($A25,기본데이타!$A$8:$BV$103,COLUMN(기본데이타!BL$8),0))</f>
        <v/>
      </c>
      <c r="BJ25" s="168" t="str">
        <f>IF($A25="","",VLOOKUP($A25,기본데이타!$A$8:$BV$103,COLUMN(기본데이타!BM$8),0))</f>
        <v/>
      </c>
      <c r="BK25" s="168" t="str">
        <f>IF($A25="","",VLOOKUP($A25,기본데이타!$A$8:$BV$103,COLUMN(기본데이타!BN$8),0))</f>
        <v/>
      </c>
      <c r="BL25" s="168" t="str">
        <f>IF($A25="","",VLOOKUP($A25,기본데이타!$A$8:$BV$103,COLUMN(기본데이타!BO$8),0))</f>
        <v/>
      </c>
      <c r="BM25" s="168" t="str">
        <f>IF($A25="","",VLOOKUP($A25,기본데이타!$A$8:$BV$103,COLUMN(기본데이타!BP$8),0))</f>
        <v/>
      </c>
      <c r="BN25" s="168" t="str">
        <f>IF($A25="","",VLOOKUP($A25,기본데이타!$A$8:$BV$103,COLUMN(기본데이타!BQ$8),0))</f>
        <v/>
      </c>
      <c r="BO25" s="168" t="str">
        <f>IF($A25="","",VLOOKUP($A25,기본데이타!$A$8:$BV$103,COLUMN(기본데이타!BR$8),0))</f>
        <v/>
      </c>
      <c r="BP25" s="168" t="str">
        <f>IF($A25="","",VLOOKUP($A25,기본데이타!$A$8:$BV$103,COLUMN(기본데이타!BS$8),0))</f>
        <v/>
      </c>
      <c r="BQ25" s="980" t="str">
        <f>IF($A25="","",VLOOKUP($A25,기본데이타!$A$8:$BV$103,COLUMN(기본데이타!BT$8),0))</f>
        <v/>
      </c>
      <c r="BR25" s="984" t="str">
        <f>IF($A25="","",VLOOKUP($A25,기본데이타!$A$8:$BV$103,COLUMN(기본데이타!BU$8),0))</f>
        <v/>
      </c>
      <c r="BS25" s="168" t="str">
        <f>IF($A25="","",VLOOKUP($A25,기본데이타!$A$8:$BV$103,COLUMN(기본데이타!BV$8),0))</f>
        <v/>
      </c>
      <c r="BT25" s="981">
        <f t="shared" si="6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68" t="str">
        <f>IF($A26="","",VLOOKUP($A26,기본데이타!$A$8:$BV$103,COLUMN(기본데이타!BA$8),0))</f>
        <v/>
      </c>
      <c r="AY26" s="168" t="str">
        <f>IF($A26="","",VLOOKUP($A26,기본데이타!$A$8:$BV$103,COLUMN(기본데이타!BB$8),0))</f>
        <v/>
      </c>
      <c r="AZ26" s="168" t="str">
        <f>IF($A26="","",VLOOKUP($A26,기본데이타!$A$8:$BV$103,COLUMN(기본데이타!BC$8),0))</f>
        <v/>
      </c>
      <c r="BA26" s="168" t="str">
        <f>IF($A26="","",VLOOKUP($A26,기본데이타!$A$8:$BV$103,COLUMN(기본데이타!BD$8),0))</f>
        <v/>
      </c>
      <c r="BB26" s="168" t="str">
        <f>IF($A26="","",VLOOKUP($A26,기본데이타!$A$8:$BV$103,COLUMN(기본데이타!BE$8),0))</f>
        <v/>
      </c>
      <c r="BC26" s="168" t="str">
        <f>IF($A26="","",VLOOKUP($A26,기본데이타!$A$8:$BV$103,COLUMN(기본데이타!BF$8),0))</f>
        <v/>
      </c>
      <c r="BD26" s="168" t="str">
        <f>IF($A26="","",VLOOKUP($A26,기본데이타!$A$8:$BV$103,COLUMN(기본데이타!BG$8),0))</f>
        <v/>
      </c>
      <c r="BE26" s="168" t="str">
        <f>IF($A26="","",VLOOKUP($A26,기본데이타!$A$8:$BV$103,COLUMN(기본데이타!BH$8),0))</f>
        <v/>
      </c>
      <c r="BF26" s="168" t="str">
        <f>IF($A26="","",VLOOKUP($A26,기본데이타!$A$8:$BV$103,COLUMN(기본데이타!BI$8),0))</f>
        <v/>
      </c>
      <c r="BG26" s="168" t="str">
        <f>IF($A26="","",VLOOKUP($A26,기본데이타!$A$8:$BV$103,COLUMN(기본데이타!BJ$8),0))</f>
        <v/>
      </c>
      <c r="BH26" s="168" t="str">
        <f>IF($A26="","",VLOOKUP($A26,기본데이타!$A$8:$BV$103,COLUMN(기본데이타!BK$8),0))</f>
        <v/>
      </c>
      <c r="BI26" s="168" t="str">
        <f>IF($A26="","",VLOOKUP($A26,기본데이타!$A$8:$BV$103,COLUMN(기본데이타!BL$8),0))</f>
        <v/>
      </c>
      <c r="BJ26" s="168" t="str">
        <f>IF($A26="","",VLOOKUP($A26,기본데이타!$A$8:$BV$103,COLUMN(기본데이타!BM$8),0))</f>
        <v/>
      </c>
      <c r="BK26" s="168" t="str">
        <f>IF($A26="","",VLOOKUP($A26,기본데이타!$A$8:$BV$103,COLUMN(기본데이타!BN$8),0))</f>
        <v/>
      </c>
      <c r="BL26" s="168" t="str">
        <f>IF($A26="","",VLOOKUP($A26,기본데이타!$A$8:$BV$103,COLUMN(기본데이타!BO$8),0))</f>
        <v/>
      </c>
      <c r="BM26" s="168" t="str">
        <f>IF($A26="","",VLOOKUP($A26,기본데이타!$A$8:$BV$103,COLUMN(기본데이타!BP$8),0))</f>
        <v/>
      </c>
      <c r="BN26" s="168" t="str">
        <f>IF($A26="","",VLOOKUP($A26,기본데이타!$A$8:$BV$103,COLUMN(기본데이타!BQ$8),0))</f>
        <v/>
      </c>
      <c r="BO26" s="168" t="str">
        <f>IF($A26="","",VLOOKUP($A26,기본데이타!$A$8:$BV$103,COLUMN(기본데이타!BR$8),0))</f>
        <v/>
      </c>
      <c r="BP26" s="168" t="str">
        <f>IF($A26="","",VLOOKUP($A26,기본데이타!$A$8:$BV$103,COLUMN(기본데이타!BS$8),0))</f>
        <v/>
      </c>
      <c r="BQ26" s="980" t="str">
        <f>IF($A26="","",VLOOKUP($A26,기본데이타!$A$8:$BV$103,COLUMN(기본데이타!BT$8),0))</f>
        <v/>
      </c>
      <c r="BR26" s="984" t="str">
        <f>IF($A26="","",VLOOKUP($A26,기본데이타!$A$8:$BV$103,COLUMN(기본데이타!BU$8),0))</f>
        <v/>
      </c>
      <c r="BS26" s="168" t="str">
        <f>IF($A26="","",VLOOKUP($A26,기본데이타!$A$8:$BV$103,COLUMN(기본데이타!BV$8),0))</f>
        <v/>
      </c>
      <c r="BT26" s="981">
        <f t="shared" si="6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68" t="str">
        <f>IF($A27="","",VLOOKUP($A27,기본데이타!$A$8:$BV$103,COLUMN(기본데이타!BA$8),0))</f>
        <v/>
      </c>
      <c r="AY27" s="168" t="str">
        <f>IF($A27="","",VLOOKUP($A27,기본데이타!$A$8:$BV$103,COLUMN(기본데이타!BB$8),0))</f>
        <v/>
      </c>
      <c r="AZ27" s="168" t="str">
        <f>IF($A27="","",VLOOKUP($A27,기본데이타!$A$8:$BV$103,COLUMN(기본데이타!BC$8),0))</f>
        <v/>
      </c>
      <c r="BA27" s="168" t="str">
        <f>IF($A27="","",VLOOKUP($A27,기본데이타!$A$8:$BV$103,COLUMN(기본데이타!BD$8),0))</f>
        <v/>
      </c>
      <c r="BB27" s="168" t="str">
        <f>IF($A27="","",VLOOKUP($A27,기본데이타!$A$8:$BV$103,COLUMN(기본데이타!BE$8),0))</f>
        <v/>
      </c>
      <c r="BC27" s="168" t="str">
        <f>IF($A27="","",VLOOKUP($A27,기본데이타!$A$8:$BV$103,COLUMN(기본데이타!BF$8),0))</f>
        <v/>
      </c>
      <c r="BD27" s="168" t="str">
        <f>IF($A27="","",VLOOKUP($A27,기본데이타!$A$8:$BV$103,COLUMN(기본데이타!BG$8),0))</f>
        <v/>
      </c>
      <c r="BE27" s="168" t="str">
        <f>IF($A27="","",VLOOKUP($A27,기본데이타!$A$8:$BV$103,COLUMN(기본데이타!BH$8),0))</f>
        <v/>
      </c>
      <c r="BF27" s="168" t="str">
        <f>IF($A27="","",VLOOKUP($A27,기본데이타!$A$8:$BV$103,COLUMN(기본데이타!BI$8),0))</f>
        <v/>
      </c>
      <c r="BG27" s="168" t="str">
        <f>IF($A27="","",VLOOKUP($A27,기본데이타!$A$8:$BV$103,COLUMN(기본데이타!BJ$8),0))</f>
        <v/>
      </c>
      <c r="BH27" s="168" t="str">
        <f>IF($A27="","",VLOOKUP($A27,기본데이타!$A$8:$BV$103,COLUMN(기본데이타!BK$8),0))</f>
        <v/>
      </c>
      <c r="BI27" s="168" t="str">
        <f>IF($A27="","",VLOOKUP($A27,기본데이타!$A$8:$BV$103,COLUMN(기본데이타!BL$8),0))</f>
        <v/>
      </c>
      <c r="BJ27" s="168" t="str">
        <f>IF($A27="","",VLOOKUP($A27,기본데이타!$A$8:$BV$103,COLUMN(기본데이타!BM$8),0))</f>
        <v/>
      </c>
      <c r="BK27" s="168" t="str">
        <f>IF($A27="","",VLOOKUP($A27,기본데이타!$A$8:$BV$103,COLUMN(기본데이타!BN$8),0))</f>
        <v/>
      </c>
      <c r="BL27" s="168" t="str">
        <f>IF($A27="","",VLOOKUP($A27,기본데이타!$A$8:$BV$103,COLUMN(기본데이타!BO$8),0))</f>
        <v/>
      </c>
      <c r="BM27" s="168" t="str">
        <f>IF($A27="","",VLOOKUP($A27,기본데이타!$A$8:$BV$103,COLUMN(기본데이타!BP$8),0))</f>
        <v/>
      </c>
      <c r="BN27" s="168" t="str">
        <f>IF($A27="","",VLOOKUP($A27,기본데이타!$A$8:$BV$103,COLUMN(기본데이타!BQ$8),0))</f>
        <v/>
      </c>
      <c r="BO27" s="168" t="str">
        <f>IF($A27="","",VLOOKUP($A27,기본데이타!$A$8:$BV$103,COLUMN(기본데이타!BR$8),0))</f>
        <v/>
      </c>
      <c r="BP27" s="168" t="str">
        <f>IF($A27="","",VLOOKUP($A27,기본데이타!$A$8:$BV$103,COLUMN(기본데이타!BS$8),0))</f>
        <v/>
      </c>
      <c r="BQ27" s="980" t="str">
        <f>IF($A27="","",VLOOKUP($A27,기본데이타!$A$8:$BV$103,COLUMN(기본데이타!BT$8),0))</f>
        <v/>
      </c>
      <c r="BR27" s="984" t="str">
        <f>IF($A27="","",VLOOKUP($A27,기본데이타!$A$8:$BV$103,COLUMN(기본데이타!BU$8),0))</f>
        <v/>
      </c>
      <c r="BS27" s="168" t="str">
        <f>IF($A27="","",VLOOKUP($A27,기본데이타!$A$8:$BV$103,COLUMN(기본데이타!BV$8),0))</f>
        <v/>
      </c>
      <c r="BT27" s="981">
        <f t="shared" si="6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>IF(AT28="","",SUM(AT28:AV28))</f>
        <v/>
      </c>
      <c r="AX28" s="168" t="str">
        <f>IF($A28="","",VLOOKUP($A28,기본데이타!$A$8:$BV$103,COLUMN(기본데이타!BA$8),0))</f>
        <v/>
      </c>
      <c r="AY28" s="168" t="str">
        <f>IF($A28="","",VLOOKUP($A28,기본데이타!$A$8:$BV$103,COLUMN(기본데이타!BB$8),0))</f>
        <v/>
      </c>
      <c r="AZ28" s="168" t="str">
        <f>IF($A28="","",VLOOKUP($A28,기본데이타!$A$8:$BV$103,COLUMN(기본데이타!BC$8),0))</f>
        <v/>
      </c>
      <c r="BA28" s="168" t="str">
        <f>IF($A28="","",VLOOKUP($A28,기본데이타!$A$8:$BV$103,COLUMN(기본데이타!BD$8),0))</f>
        <v/>
      </c>
      <c r="BB28" s="168" t="str">
        <f>IF($A28="","",VLOOKUP($A28,기본데이타!$A$8:$BV$103,COLUMN(기본데이타!BE$8),0))</f>
        <v/>
      </c>
      <c r="BC28" s="168" t="str">
        <f>IF($A28="","",VLOOKUP($A28,기본데이타!$A$8:$BV$103,COLUMN(기본데이타!BF$8),0))</f>
        <v/>
      </c>
      <c r="BD28" s="168" t="str">
        <f>IF($A28="","",VLOOKUP($A28,기본데이타!$A$8:$BV$103,COLUMN(기본데이타!BG$8),0))</f>
        <v/>
      </c>
      <c r="BE28" s="168" t="str">
        <f>IF($A28="","",VLOOKUP($A28,기본데이타!$A$8:$BV$103,COLUMN(기본데이타!BH$8),0))</f>
        <v/>
      </c>
      <c r="BF28" s="168" t="str">
        <f>IF($A28="","",VLOOKUP($A28,기본데이타!$A$8:$BV$103,COLUMN(기본데이타!BI$8),0))</f>
        <v/>
      </c>
      <c r="BG28" s="168" t="str">
        <f>IF($A28="","",VLOOKUP($A28,기본데이타!$A$8:$BV$103,COLUMN(기본데이타!BJ$8),0))</f>
        <v/>
      </c>
      <c r="BH28" s="168" t="str">
        <f>IF($A28="","",VLOOKUP($A28,기본데이타!$A$8:$BV$103,COLUMN(기본데이타!BK$8),0))</f>
        <v/>
      </c>
      <c r="BI28" s="168" t="str">
        <f>IF($A28="","",VLOOKUP($A28,기본데이타!$A$8:$BV$103,COLUMN(기본데이타!BL$8),0))</f>
        <v/>
      </c>
      <c r="BJ28" s="168" t="str">
        <f>IF($A28="","",VLOOKUP($A28,기본데이타!$A$8:$BV$103,COLUMN(기본데이타!BM$8),0))</f>
        <v/>
      </c>
      <c r="BK28" s="168" t="str">
        <f>IF($A28="","",VLOOKUP($A28,기본데이타!$A$8:$BV$103,COLUMN(기본데이타!BN$8),0))</f>
        <v/>
      </c>
      <c r="BL28" s="168" t="str">
        <f>IF($A28="","",VLOOKUP($A28,기본데이타!$A$8:$BV$103,COLUMN(기본데이타!BO$8),0))</f>
        <v/>
      </c>
      <c r="BM28" s="168" t="str">
        <f>IF($A28="","",VLOOKUP($A28,기본데이타!$A$8:$BV$103,COLUMN(기본데이타!BP$8),0))</f>
        <v/>
      </c>
      <c r="BN28" s="168" t="str">
        <f>IF($A28="","",VLOOKUP($A28,기본데이타!$A$8:$BV$103,COLUMN(기본데이타!BQ$8),0))</f>
        <v/>
      </c>
      <c r="BO28" s="168" t="str">
        <f>IF($A28="","",VLOOKUP($A28,기본데이타!$A$8:$BV$103,COLUMN(기본데이타!BR$8),0))</f>
        <v/>
      </c>
      <c r="BP28" s="168" t="str">
        <f>IF($A28="","",VLOOKUP($A28,기본데이타!$A$8:$BV$103,COLUMN(기본데이타!BS$8),0))</f>
        <v/>
      </c>
      <c r="BQ28" s="980" t="str">
        <f>IF($A28="","",VLOOKUP($A28,기본데이타!$A$8:$BV$103,COLUMN(기본데이타!BT$8),0))</f>
        <v/>
      </c>
      <c r="BR28" s="984" t="str">
        <f>IF($A28="","",VLOOKUP($A28,기본데이타!$A$8:$BV$103,COLUMN(기본데이타!BU$8),0))</f>
        <v/>
      </c>
      <c r="BS28" s="168" t="str">
        <f>IF($A28="","",VLOOKUP($A28,기본데이타!$A$8:$BV$103,COLUMN(기본데이타!BV$8),0))</f>
        <v/>
      </c>
      <c r="BT28" s="981">
        <f>A28</f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1175" t="str">
        <f>IF($A29="","",VLOOKUP($A29,기본데이타!$A$8:$BV$103,COLUMN(기본데이타!AK$8),0))</f>
        <v/>
      </c>
      <c r="AI29" s="1175" t="str">
        <f>IF($A29="","",VLOOKUP($A29,기본데이타!$A$8:$BV$103,COLUMN(기본데이타!AL$8),0))</f>
        <v/>
      </c>
      <c r="AJ29" s="1175" t="str">
        <f>IF($A29="","",VLOOKUP($A29,기본데이타!$A$8:$BV$103,COLUMN(기본데이타!AM$8),0))</f>
        <v/>
      </c>
      <c r="AK29" s="1175" t="str">
        <f>IF($A29="","",VLOOKUP($A29,기본데이타!$A$8:$BV$103,COLUMN(기본데이타!AN$8),0))</f>
        <v/>
      </c>
      <c r="AL29" s="1175" t="str">
        <f>IF($A29="","",VLOOKUP($A29,기본데이타!$A$8:$BV$103,COLUMN(기본데이타!AO$8),0))</f>
        <v/>
      </c>
      <c r="AM29" s="1175" t="str">
        <f>IF($A29="","",VLOOKUP($A29,기본데이타!$A$8:$BV$103,COLUMN(기본데이타!AP$8),0))</f>
        <v/>
      </c>
      <c r="AN29" s="1175" t="str">
        <f>IF($A29="","",VLOOKUP($A29,기본데이타!$A$8:$BV$103,COLUMN(기본데이타!AQ$8),0))</f>
        <v/>
      </c>
      <c r="AO29" s="1175" t="str">
        <f>IF($A29="","",VLOOKUP($A29,기본데이타!$A$8:$BV$103,COLUMN(기본데이타!AR$8),0))</f>
        <v/>
      </c>
      <c r="AP29" s="1402" t="str">
        <f>IF($A29="","",VLOOKUP($A29,기본데이타!$A$8:$BV$103,COLUMN(기본데이타!AS$8),0))</f>
        <v/>
      </c>
      <c r="AQ29" s="1402" t="str">
        <f>IF($A29="","",VLOOKUP($A29,기본데이타!$A$8:$BV$103,COLUMN(기본데이타!AT$8),0))</f>
        <v/>
      </c>
      <c r="AR29" s="1402" t="str">
        <f>IF($A29="","",VLOOKUP($A29,기본데이타!$A$8:$BV$103,COLUMN(기본데이타!AU$8),0))</f>
        <v/>
      </c>
      <c r="AS29" s="1175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68" t="str">
        <f>IF($A29="","",VLOOKUP($A29,기본데이타!$A$8:$BV$103,COLUMN(기본데이타!BA$8),0))</f>
        <v/>
      </c>
      <c r="AY29" s="168" t="str">
        <f>IF($A29="","",VLOOKUP($A29,기본데이타!$A$8:$BV$103,COLUMN(기본데이타!BB$8),0))</f>
        <v/>
      </c>
      <c r="AZ29" s="168" t="str">
        <f>IF($A29="","",VLOOKUP($A29,기본데이타!$A$8:$BV$103,COLUMN(기본데이타!BC$8),0))</f>
        <v/>
      </c>
      <c r="BA29" s="168" t="str">
        <f>IF($A29="","",VLOOKUP($A29,기본데이타!$A$8:$BV$103,COLUMN(기본데이타!BD$8),0))</f>
        <v/>
      </c>
      <c r="BB29" s="168" t="str">
        <f>IF($A29="","",VLOOKUP($A29,기본데이타!$A$8:$BV$103,COLUMN(기본데이타!BE$8),0))</f>
        <v/>
      </c>
      <c r="BC29" s="168" t="str">
        <f>IF($A29="","",VLOOKUP($A29,기본데이타!$A$8:$BV$103,COLUMN(기본데이타!BF$8),0))</f>
        <v/>
      </c>
      <c r="BD29" s="168" t="str">
        <f>IF($A29="","",VLOOKUP($A29,기본데이타!$A$8:$BV$103,COLUMN(기본데이타!BG$8),0))</f>
        <v/>
      </c>
      <c r="BE29" s="168" t="str">
        <f>IF($A29="","",VLOOKUP($A29,기본데이타!$A$8:$BV$103,COLUMN(기본데이타!BH$8),0))</f>
        <v/>
      </c>
      <c r="BF29" s="168" t="str">
        <f>IF($A29="","",VLOOKUP($A29,기본데이타!$A$8:$BV$103,COLUMN(기본데이타!BI$8),0))</f>
        <v/>
      </c>
      <c r="BG29" s="168" t="str">
        <f>IF($A29="","",VLOOKUP($A29,기본데이타!$A$8:$BV$103,COLUMN(기본데이타!BJ$8),0))</f>
        <v/>
      </c>
      <c r="BH29" s="168" t="str">
        <f>IF($A29="","",VLOOKUP($A29,기본데이타!$A$8:$BV$103,COLUMN(기본데이타!BK$8),0))</f>
        <v/>
      </c>
      <c r="BI29" s="168" t="str">
        <f>IF($A29="","",VLOOKUP($A29,기본데이타!$A$8:$BV$103,COLUMN(기본데이타!BL$8),0))</f>
        <v/>
      </c>
      <c r="BJ29" s="168" t="str">
        <f>IF($A29="","",VLOOKUP($A29,기본데이타!$A$8:$BV$103,COLUMN(기본데이타!BM$8),0))</f>
        <v/>
      </c>
      <c r="BK29" s="168" t="str">
        <f>IF($A29="","",VLOOKUP($A29,기본데이타!$A$8:$BV$103,COLUMN(기본데이타!BN$8),0))</f>
        <v/>
      </c>
      <c r="BL29" s="168" t="str">
        <f>IF($A29="","",VLOOKUP($A29,기본데이타!$A$8:$BV$103,COLUMN(기본데이타!BO$8),0))</f>
        <v/>
      </c>
      <c r="BM29" s="168" t="str">
        <f>IF($A29="","",VLOOKUP($A29,기본데이타!$A$8:$BV$103,COLUMN(기본데이타!BP$8),0))</f>
        <v/>
      </c>
      <c r="BN29" s="168" t="str">
        <f>IF($A29="","",VLOOKUP($A29,기본데이타!$A$8:$BV$103,COLUMN(기본데이타!BQ$8),0))</f>
        <v/>
      </c>
      <c r="BO29" s="168" t="str">
        <f>IF($A29="","",VLOOKUP($A29,기본데이타!$A$8:$BV$103,COLUMN(기본데이타!BR$8),0))</f>
        <v/>
      </c>
      <c r="BP29" s="168" t="str">
        <f>IF($A29="","",VLOOKUP($A29,기본데이타!$A$8:$BV$103,COLUMN(기본데이타!BS$8),0))</f>
        <v/>
      </c>
      <c r="BQ29" s="980" t="str">
        <f>IF($A29="","",VLOOKUP($A29,기본데이타!$A$8:$BV$103,COLUMN(기본데이타!BT$8),0))</f>
        <v/>
      </c>
      <c r="BR29" s="984" t="str">
        <f>IF($A29="","",VLOOKUP($A29,기본데이타!$A$8:$BV$103,COLUMN(기본데이타!BU$8),0))</f>
        <v/>
      </c>
      <c r="BS29" s="168" t="str">
        <f>IF($A29="","",VLOOKUP($A29,기본데이타!$A$8:$BV$103,COLUMN(기본데이타!BV$8),0))</f>
        <v/>
      </c>
      <c r="BT29" s="981">
        <f t="shared" si="6"/>
        <v>0</v>
      </c>
      <c r="BU29" s="242"/>
    </row>
    <row r="30" spans="1:73" s="7" customFormat="1" ht="73.5" customHeight="1">
      <c r="A30" s="171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68" t="str">
        <f>IF($A30="","",VLOOKUP($A30,기본데이타!$A$8:$BV$103,COLUMN(기본데이타!Y$8),0))</f>
        <v/>
      </c>
      <c r="W30" s="168" t="str">
        <f>IF($A30="","",VLOOKUP($A30,기본데이타!$A$8:$BV$103,COLUMN(기본데이타!Z$8),0))</f>
        <v/>
      </c>
      <c r="X30" s="168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1175" t="str">
        <f>IF($A30="","",VLOOKUP($A30,기본데이타!$A$8:$BV$103,COLUMN(기본데이타!AK$8),0))</f>
        <v/>
      </c>
      <c r="AI30" s="1175" t="str">
        <f>IF($A30="","",VLOOKUP($A30,기본데이타!$A$8:$BV$103,COLUMN(기본데이타!AL$8),0))</f>
        <v/>
      </c>
      <c r="AJ30" s="1175" t="str">
        <f>IF($A30="","",VLOOKUP($A30,기본데이타!$A$8:$BV$103,COLUMN(기본데이타!AM$8),0))</f>
        <v/>
      </c>
      <c r="AK30" s="1175" t="str">
        <f>IF($A30="","",VLOOKUP($A30,기본데이타!$A$8:$BV$103,COLUMN(기본데이타!AN$8),0))</f>
        <v/>
      </c>
      <c r="AL30" s="1175" t="str">
        <f>IF($A30="","",VLOOKUP($A30,기본데이타!$A$8:$BV$103,COLUMN(기본데이타!AO$8),0))</f>
        <v/>
      </c>
      <c r="AM30" s="1175" t="str">
        <f>IF($A30="","",VLOOKUP($A30,기본데이타!$A$8:$BV$103,COLUMN(기본데이타!AP$8),0))</f>
        <v/>
      </c>
      <c r="AN30" s="1175" t="str">
        <f>IF($A30="","",VLOOKUP($A30,기본데이타!$A$8:$BV$103,COLUMN(기본데이타!AQ$8),0))</f>
        <v/>
      </c>
      <c r="AO30" s="1175" t="str">
        <f>IF($A30="","",VLOOKUP($A30,기본데이타!$A$8:$BV$103,COLUMN(기본데이타!AR$8),0))</f>
        <v/>
      </c>
      <c r="AP30" s="1402" t="str">
        <f>IF($A30="","",VLOOKUP($A30,기본데이타!$A$8:$BV$103,COLUMN(기본데이타!AS$8),0))</f>
        <v/>
      </c>
      <c r="AQ30" s="1402" t="str">
        <f>IF($A30="","",VLOOKUP($A30,기본데이타!$A$8:$BV$103,COLUMN(기본데이타!AT$8),0))</f>
        <v/>
      </c>
      <c r="AR30" s="1402" t="str">
        <f>IF($A30="","",VLOOKUP($A30,기본데이타!$A$8:$BV$103,COLUMN(기본데이타!AU$8),0))</f>
        <v/>
      </c>
      <c r="AS30" s="1175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68" t="str">
        <f>IF($A30="","",VLOOKUP($A30,기본데이타!$A$8:$BV$103,COLUMN(기본데이타!BA$8),0))</f>
        <v/>
      </c>
      <c r="AY30" s="168" t="str">
        <f>IF($A30="","",VLOOKUP($A30,기본데이타!$A$8:$BV$103,COLUMN(기본데이타!BB$8),0))</f>
        <v/>
      </c>
      <c r="AZ30" s="168" t="str">
        <f>IF($A30="","",VLOOKUP($A30,기본데이타!$A$8:$BV$103,COLUMN(기본데이타!BC$8),0))</f>
        <v/>
      </c>
      <c r="BA30" s="168" t="str">
        <f>IF($A30="","",VLOOKUP($A30,기본데이타!$A$8:$BV$103,COLUMN(기본데이타!BD$8),0))</f>
        <v/>
      </c>
      <c r="BB30" s="168" t="str">
        <f>IF($A30="","",VLOOKUP($A30,기본데이타!$A$8:$BV$103,COLUMN(기본데이타!BE$8),0))</f>
        <v/>
      </c>
      <c r="BC30" s="168" t="str">
        <f>IF($A30="","",VLOOKUP($A30,기본데이타!$A$8:$BV$103,COLUMN(기본데이타!BF$8),0))</f>
        <v/>
      </c>
      <c r="BD30" s="168" t="str">
        <f>IF($A30="","",VLOOKUP($A30,기본데이타!$A$8:$BV$103,COLUMN(기본데이타!BG$8),0))</f>
        <v/>
      </c>
      <c r="BE30" s="168" t="str">
        <f>IF($A30="","",VLOOKUP($A30,기본데이타!$A$8:$BV$103,COLUMN(기본데이타!BH$8),0))</f>
        <v/>
      </c>
      <c r="BF30" s="168" t="str">
        <f>IF($A30="","",VLOOKUP($A30,기본데이타!$A$8:$BV$103,COLUMN(기본데이타!BI$8),0))</f>
        <v/>
      </c>
      <c r="BG30" s="168" t="str">
        <f>IF($A30="","",VLOOKUP($A30,기본데이타!$A$8:$BV$103,COLUMN(기본데이타!BJ$8),0))</f>
        <v/>
      </c>
      <c r="BH30" s="168" t="str">
        <f>IF($A30="","",VLOOKUP($A30,기본데이타!$A$8:$BV$103,COLUMN(기본데이타!BK$8),0))</f>
        <v/>
      </c>
      <c r="BI30" s="168" t="str">
        <f>IF($A30="","",VLOOKUP($A30,기본데이타!$A$8:$BV$103,COLUMN(기본데이타!BL$8),0))</f>
        <v/>
      </c>
      <c r="BJ30" s="168" t="str">
        <f>IF($A30="","",VLOOKUP($A30,기본데이타!$A$8:$BV$103,COLUMN(기본데이타!BM$8),0))</f>
        <v/>
      </c>
      <c r="BK30" s="168" t="str">
        <f>IF($A30="","",VLOOKUP($A30,기본데이타!$A$8:$BV$103,COLUMN(기본데이타!BN$8),0))</f>
        <v/>
      </c>
      <c r="BL30" s="168" t="str">
        <f>IF($A30="","",VLOOKUP($A30,기본데이타!$A$8:$BV$103,COLUMN(기본데이타!BO$8),0))</f>
        <v/>
      </c>
      <c r="BM30" s="168" t="str">
        <f>IF($A30="","",VLOOKUP($A30,기본데이타!$A$8:$BV$103,COLUMN(기본데이타!BP$8),0))</f>
        <v/>
      </c>
      <c r="BN30" s="168" t="str">
        <f>IF($A30="","",VLOOKUP($A30,기본데이타!$A$8:$BV$103,COLUMN(기본데이타!BQ$8),0))</f>
        <v/>
      </c>
      <c r="BO30" s="168" t="str">
        <f>IF($A30="","",VLOOKUP($A30,기본데이타!$A$8:$BV$103,COLUMN(기본데이타!BR$8),0))</f>
        <v/>
      </c>
      <c r="BP30" s="168" t="str">
        <f>IF($A30="","",VLOOKUP($A30,기본데이타!$A$8:$BV$103,COLUMN(기본데이타!BS$8),0))</f>
        <v/>
      </c>
      <c r="BQ30" s="980" t="str">
        <f>IF($A30="","",VLOOKUP($A30,기본데이타!$A$8:$BV$103,COLUMN(기본데이타!BT$8),0))</f>
        <v/>
      </c>
      <c r="BR30" s="984" t="str">
        <f>IF($A30="","",VLOOKUP($A30,기본데이타!$A$8:$BV$103,COLUMN(기본데이타!BU$8),0))</f>
        <v/>
      </c>
      <c r="BS30" s="168" t="str">
        <f>IF($A30="","",VLOOKUP($A30,기본데이타!$A$8:$BV$103,COLUMN(기본데이타!BV$8),0))</f>
        <v/>
      </c>
      <c r="BT30" s="981">
        <f t="shared" si="6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68" t="str">
        <f>IF($A31="","",VLOOKUP($A31,기본데이타!$A$8:$BV$103,COLUMN(기본데이타!Y$8),0))</f>
        <v/>
      </c>
      <c r="W31" s="168" t="str">
        <f>IF($A31="","",VLOOKUP($A31,기본데이타!$A$8:$BV$103,COLUMN(기본데이타!Z$8),0))</f>
        <v/>
      </c>
      <c r="X31" s="168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1175" t="str">
        <f>IF($A31="","",VLOOKUP($A31,기본데이타!$A$8:$BV$103,COLUMN(기본데이타!AK$8),0))</f>
        <v/>
      </c>
      <c r="AI31" s="1175" t="str">
        <f>IF($A31="","",VLOOKUP($A31,기본데이타!$A$8:$BV$103,COLUMN(기본데이타!AL$8),0))</f>
        <v/>
      </c>
      <c r="AJ31" s="1175" t="str">
        <f>IF($A31="","",VLOOKUP($A31,기본데이타!$A$8:$BV$103,COLUMN(기본데이타!AM$8),0))</f>
        <v/>
      </c>
      <c r="AK31" s="1175" t="str">
        <f>IF($A31="","",VLOOKUP($A31,기본데이타!$A$8:$BV$103,COLUMN(기본데이타!AN$8),0))</f>
        <v/>
      </c>
      <c r="AL31" s="1175" t="str">
        <f>IF($A31="","",VLOOKUP($A31,기본데이타!$A$8:$BV$103,COLUMN(기본데이타!AO$8),0))</f>
        <v/>
      </c>
      <c r="AM31" s="1175" t="str">
        <f>IF($A31="","",VLOOKUP($A31,기본데이타!$A$8:$BV$103,COLUMN(기본데이타!AP$8),0))</f>
        <v/>
      </c>
      <c r="AN31" s="1175" t="str">
        <f>IF($A31="","",VLOOKUP($A31,기본데이타!$A$8:$BV$103,COLUMN(기본데이타!AQ$8),0))</f>
        <v/>
      </c>
      <c r="AO31" s="1175" t="str">
        <f>IF($A31="","",VLOOKUP($A31,기본데이타!$A$8:$BV$103,COLUMN(기본데이타!AR$8),0))</f>
        <v/>
      </c>
      <c r="AP31" s="1402" t="str">
        <f>IF($A31="","",VLOOKUP($A31,기본데이타!$A$8:$BV$103,COLUMN(기본데이타!AS$8),0))</f>
        <v/>
      </c>
      <c r="AQ31" s="1402" t="str">
        <f>IF($A31="","",VLOOKUP($A31,기본데이타!$A$8:$BV$103,COLUMN(기본데이타!AT$8),0))</f>
        <v/>
      </c>
      <c r="AR31" s="1402" t="str">
        <f>IF($A31="","",VLOOKUP($A31,기본데이타!$A$8:$BV$103,COLUMN(기본데이타!AU$8),0))</f>
        <v/>
      </c>
      <c r="AS31" s="1175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68" t="str">
        <f>IF($A31="","",VLOOKUP($A31,기본데이타!$A$8:$BV$103,COLUMN(기본데이타!BA$8),0))</f>
        <v/>
      </c>
      <c r="AY31" s="168" t="str">
        <f>IF($A31="","",VLOOKUP($A31,기본데이타!$A$8:$BV$103,COLUMN(기본데이타!BB$8),0))</f>
        <v/>
      </c>
      <c r="AZ31" s="168" t="str">
        <f>IF($A31="","",VLOOKUP($A31,기본데이타!$A$8:$BV$103,COLUMN(기본데이타!BC$8),0))</f>
        <v/>
      </c>
      <c r="BA31" s="168" t="str">
        <f>IF($A31="","",VLOOKUP($A31,기본데이타!$A$8:$BV$103,COLUMN(기본데이타!BD$8),0))</f>
        <v/>
      </c>
      <c r="BB31" s="168" t="str">
        <f>IF($A31="","",VLOOKUP($A31,기본데이타!$A$8:$BV$103,COLUMN(기본데이타!BE$8),0))</f>
        <v/>
      </c>
      <c r="BC31" s="168" t="str">
        <f>IF($A31="","",VLOOKUP($A31,기본데이타!$A$8:$BV$103,COLUMN(기본데이타!BF$8),0))</f>
        <v/>
      </c>
      <c r="BD31" s="168" t="str">
        <f>IF($A31="","",VLOOKUP($A31,기본데이타!$A$8:$BV$103,COLUMN(기본데이타!BG$8),0))</f>
        <v/>
      </c>
      <c r="BE31" s="168" t="str">
        <f>IF($A31="","",VLOOKUP($A31,기본데이타!$A$8:$BV$103,COLUMN(기본데이타!BH$8),0))</f>
        <v/>
      </c>
      <c r="BF31" s="168" t="str">
        <f>IF($A31="","",VLOOKUP($A31,기본데이타!$A$8:$BV$103,COLUMN(기본데이타!BI$8),0))</f>
        <v/>
      </c>
      <c r="BG31" s="168" t="str">
        <f>IF($A31="","",VLOOKUP($A31,기본데이타!$A$8:$BV$103,COLUMN(기본데이타!BJ$8),0))</f>
        <v/>
      </c>
      <c r="BH31" s="168" t="str">
        <f>IF($A31="","",VLOOKUP($A31,기본데이타!$A$8:$BV$103,COLUMN(기본데이타!BK$8),0))</f>
        <v/>
      </c>
      <c r="BI31" s="168" t="str">
        <f>IF($A31="","",VLOOKUP($A31,기본데이타!$A$8:$BV$103,COLUMN(기본데이타!BL$8),0))</f>
        <v/>
      </c>
      <c r="BJ31" s="168" t="str">
        <f>IF($A31="","",VLOOKUP($A31,기본데이타!$A$8:$BV$103,COLUMN(기본데이타!BM$8),0))</f>
        <v/>
      </c>
      <c r="BK31" s="168" t="str">
        <f>IF($A31="","",VLOOKUP($A31,기본데이타!$A$8:$BV$103,COLUMN(기본데이타!BN$8),0))</f>
        <v/>
      </c>
      <c r="BL31" s="168" t="str">
        <f>IF($A31="","",VLOOKUP($A31,기본데이타!$A$8:$BV$103,COLUMN(기본데이타!BO$8),0))</f>
        <v/>
      </c>
      <c r="BM31" s="168" t="str">
        <f>IF($A31="","",VLOOKUP($A31,기본데이타!$A$8:$BV$103,COLUMN(기본데이타!BP$8),0))</f>
        <v/>
      </c>
      <c r="BN31" s="168" t="str">
        <f>IF($A31="","",VLOOKUP($A31,기본데이타!$A$8:$BV$103,COLUMN(기본데이타!BQ$8),0))</f>
        <v/>
      </c>
      <c r="BO31" s="168" t="str">
        <f>IF($A31="","",VLOOKUP($A31,기본데이타!$A$8:$BV$103,COLUMN(기본데이타!BR$8),0))</f>
        <v/>
      </c>
      <c r="BP31" s="168" t="str">
        <f>IF($A31="","",VLOOKUP($A31,기본데이타!$A$8:$BV$103,COLUMN(기본데이타!BS$8),0))</f>
        <v/>
      </c>
      <c r="BQ31" s="980" t="str">
        <f>IF($A31="","",VLOOKUP($A31,기본데이타!$A$8:$BV$103,COLUMN(기본데이타!BT$8),0))</f>
        <v/>
      </c>
      <c r="BR31" s="984" t="str">
        <f>IF($A31="","",VLOOKUP($A31,기본데이타!$A$8:$BV$103,COLUMN(기본데이타!BU$8),0))</f>
        <v/>
      </c>
      <c r="BS31" s="168" t="str">
        <f>IF($A31="","",VLOOKUP($A31,기본데이타!$A$8:$BV$103,COLUMN(기본데이타!BV$8),0))</f>
        <v/>
      </c>
      <c r="BT31" s="981">
        <f t="shared" si="6"/>
        <v>0</v>
      </c>
      <c r="BU31" s="242"/>
    </row>
    <row r="32" spans="1:73" s="7" customFormat="1" ht="73.5" customHeight="1">
      <c r="A32" s="171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68" t="str">
        <f>IF($A32="","",VLOOKUP($A32,기본데이타!$A$8:$BV$103,COLUMN(기본데이타!Y$8),0))</f>
        <v/>
      </c>
      <c r="W32" s="168" t="str">
        <f>IF($A32="","",VLOOKUP($A32,기본데이타!$A$8:$BV$103,COLUMN(기본데이타!Z$8),0))</f>
        <v/>
      </c>
      <c r="X32" s="168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1175" t="str">
        <f>IF($A32="","",VLOOKUP($A32,기본데이타!$A$8:$BV$103,COLUMN(기본데이타!AK$8),0))</f>
        <v/>
      </c>
      <c r="AI32" s="1175" t="str">
        <f>IF($A32="","",VLOOKUP($A32,기본데이타!$A$8:$BV$103,COLUMN(기본데이타!AL$8),0))</f>
        <v/>
      </c>
      <c r="AJ32" s="1175" t="str">
        <f>IF($A32="","",VLOOKUP($A32,기본데이타!$A$8:$BV$103,COLUMN(기본데이타!AM$8),0))</f>
        <v/>
      </c>
      <c r="AK32" s="1175" t="str">
        <f>IF($A32="","",VLOOKUP($A32,기본데이타!$A$8:$BV$103,COLUMN(기본데이타!AN$8),0))</f>
        <v/>
      </c>
      <c r="AL32" s="1175" t="str">
        <f>IF($A32="","",VLOOKUP($A32,기본데이타!$A$8:$BV$103,COLUMN(기본데이타!AO$8),0))</f>
        <v/>
      </c>
      <c r="AM32" s="1175" t="str">
        <f>IF($A32="","",VLOOKUP($A32,기본데이타!$A$8:$BV$103,COLUMN(기본데이타!AP$8),0))</f>
        <v/>
      </c>
      <c r="AN32" s="1175" t="str">
        <f>IF($A32="","",VLOOKUP($A32,기본데이타!$A$8:$BV$103,COLUMN(기본데이타!AQ$8),0))</f>
        <v/>
      </c>
      <c r="AO32" s="1175" t="str">
        <f>IF($A32="","",VLOOKUP($A32,기본데이타!$A$8:$BV$103,COLUMN(기본데이타!AR$8),0))</f>
        <v/>
      </c>
      <c r="AP32" s="1402" t="str">
        <f>IF($A32="","",VLOOKUP($A32,기본데이타!$A$8:$BV$103,COLUMN(기본데이타!AS$8),0))</f>
        <v/>
      </c>
      <c r="AQ32" s="1402" t="str">
        <f>IF($A32="","",VLOOKUP($A32,기본데이타!$A$8:$BV$103,COLUMN(기본데이타!AT$8),0))</f>
        <v/>
      </c>
      <c r="AR32" s="1402" t="str">
        <f>IF($A32="","",VLOOKUP($A32,기본데이타!$A$8:$BV$103,COLUMN(기본데이타!AU$8),0))</f>
        <v/>
      </c>
      <c r="AS32" s="1175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68" t="str">
        <f>IF($A32="","",VLOOKUP($A32,기본데이타!$A$8:$BV$103,COLUMN(기본데이타!BA$8),0))</f>
        <v/>
      </c>
      <c r="AY32" s="168" t="str">
        <f>IF($A32="","",VLOOKUP($A32,기본데이타!$A$8:$BV$103,COLUMN(기본데이타!BB$8),0))</f>
        <v/>
      </c>
      <c r="AZ32" s="168" t="str">
        <f>IF($A32="","",VLOOKUP($A32,기본데이타!$A$8:$BV$103,COLUMN(기본데이타!BC$8),0))</f>
        <v/>
      </c>
      <c r="BA32" s="168" t="str">
        <f>IF($A32="","",VLOOKUP($A32,기본데이타!$A$8:$BV$103,COLUMN(기본데이타!BD$8),0))</f>
        <v/>
      </c>
      <c r="BB32" s="168" t="str">
        <f>IF($A32="","",VLOOKUP($A32,기본데이타!$A$8:$BV$103,COLUMN(기본데이타!BE$8),0))</f>
        <v/>
      </c>
      <c r="BC32" s="168" t="str">
        <f>IF($A32="","",VLOOKUP($A32,기본데이타!$A$8:$BV$103,COLUMN(기본데이타!BF$8),0))</f>
        <v/>
      </c>
      <c r="BD32" s="168" t="str">
        <f>IF($A32="","",VLOOKUP($A32,기본데이타!$A$8:$BV$103,COLUMN(기본데이타!BG$8),0))</f>
        <v/>
      </c>
      <c r="BE32" s="168" t="str">
        <f>IF($A32="","",VLOOKUP($A32,기본데이타!$A$8:$BV$103,COLUMN(기본데이타!BH$8),0))</f>
        <v/>
      </c>
      <c r="BF32" s="168" t="str">
        <f>IF($A32="","",VLOOKUP($A32,기본데이타!$A$8:$BV$103,COLUMN(기본데이타!BI$8),0))</f>
        <v/>
      </c>
      <c r="BG32" s="168" t="str">
        <f>IF($A32="","",VLOOKUP($A32,기본데이타!$A$8:$BV$103,COLUMN(기본데이타!BJ$8),0))</f>
        <v/>
      </c>
      <c r="BH32" s="168" t="str">
        <f>IF($A32="","",VLOOKUP($A32,기본데이타!$A$8:$BV$103,COLUMN(기본데이타!BK$8),0))</f>
        <v/>
      </c>
      <c r="BI32" s="168" t="str">
        <f>IF($A32="","",VLOOKUP($A32,기본데이타!$A$8:$BV$103,COLUMN(기본데이타!BL$8),0))</f>
        <v/>
      </c>
      <c r="BJ32" s="168" t="str">
        <f>IF($A32="","",VLOOKUP($A32,기본데이타!$A$8:$BV$103,COLUMN(기본데이타!BM$8),0))</f>
        <v/>
      </c>
      <c r="BK32" s="168" t="str">
        <f>IF($A32="","",VLOOKUP($A32,기본데이타!$A$8:$BV$103,COLUMN(기본데이타!BN$8),0))</f>
        <v/>
      </c>
      <c r="BL32" s="168" t="str">
        <f>IF($A32="","",VLOOKUP($A32,기본데이타!$A$8:$BV$103,COLUMN(기본데이타!BO$8),0))</f>
        <v/>
      </c>
      <c r="BM32" s="168" t="str">
        <f>IF($A32="","",VLOOKUP($A32,기본데이타!$A$8:$BV$103,COLUMN(기본데이타!BP$8),0))</f>
        <v/>
      </c>
      <c r="BN32" s="168" t="str">
        <f>IF($A32="","",VLOOKUP($A32,기본데이타!$A$8:$BV$103,COLUMN(기본데이타!BQ$8),0))</f>
        <v/>
      </c>
      <c r="BO32" s="168" t="str">
        <f>IF($A32="","",VLOOKUP($A32,기본데이타!$A$8:$BV$103,COLUMN(기본데이타!BR$8),0))</f>
        <v/>
      </c>
      <c r="BP32" s="168" t="str">
        <f>IF($A32="","",VLOOKUP($A32,기본데이타!$A$8:$BV$103,COLUMN(기본데이타!BS$8),0))</f>
        <v/>
      </c>
      <c r="BQ32" s="980" t="str">
        <f>IF($A32="","",VLOOKUP($A32,기본데이타!$A$8:$BV$103,COLUMN(기본데이타!BT$8),0))</f>
        <v/>
      </c>
      <c r="BR32" s="984" t="str">
        <f>IF($A32="","",VLOOKUP($A32,기본데이타!$A$8:$BV$103,COLUMN(기본데이타!BU$8),0))</f>
        <v/>
      </c>
      <c r="BS32" s="168" t="str">
        <f>IF($A32="","",VLOOKUP($A32,기본데이타!$A$8:$BV$103,COLUMN(기본데이타!BV$8),0))</f>
        <v/>
      </c>
      <c r="BT32" s="981">
        <f t="shared" si="6"/>
        <v>0</v>
      </c>
      <c r="BU32" s="242"/>
    </row>
    <row r="33" spans="1:73" s="7" customFormat="1" ht="73.5" customHeight="1">
      <c r="A33" s="171"/>
      <c r="B33" s="163"/>
      <c r="C33" s="164" t="str">
        <f>IF($A33="","",VLOOKUP($A33,기본데이타!$A$8:$BV$103,COLUMN(기본데이타!F$8),0))</f>
        <v/>
      </c>
      <c r="D33" s="165" t="str">
        <f>IF($A33="","",VLOOKUP($A33,기본데이타!$A$8:$BV$103,COLUMN(기본데이타!G$8),0))</f>
        <v/>
      </c>
      <c r="E33" s="166" t="str">
        <f>IF($A33="","",VLOOKUP($A33,기본데이타!$A$8:$BV$103,COLUMN(기본데이타!H$8),0))</f>
        <v/>
      </c>
      <c r="F33" s="166" t="str">
        <f>IF($A33="","",VLOOKUP($A33,기본데이타!$A$8:$BV$103,COLUMN(기본데이타!I$8),0))</f>
        <v/>
      </c>
      <c r="G33" s="166" t="str">
        <f>IF($A33="","",VLOOKUP($A33,기본데이타!$A$8:$BV$103,COLUMN(기본데이타!J$8),0))</f>
        <v/>
      </c>
      <c r="H33" s="167" t="str">
        <f>IF($A33="","",VLOOKUP($A33,기본데이타!$A$8:$BV$103,COLUMN(기본데이타!K$8),0))</f>
        <v/>
      </c>
      <c r="I33" s="167" t="str">
        <f>IF($A33="","",VLOOKUP($A33,기본데이타!$A$8:$BV$103,COLUMN(기본데이타!L$8),0))</f>
        <v/>
      </c>
      <c r="J33" s="167" t="str">
        <f>IF($A33="","",VLOOKUP($A33,기본데이타!$A$8:$BV$103,COLUMN(기본데이타!M$8),0))</f>
        <v/>
      </c>
      <c r="K33" s="168" t="str">
        <f>IF($A33="","",VLOOKUP($A33,기본데이타!$A$8:$BV$103,COLUMN(기본데이타!N$8),0))</f>
        <v/>
      </c>
      <c r="L33" s="167" t="str">
        <f>IF($A33="","",VLOOKUP($A33,기본데이타!$A$8:$BV$103,COLUMN(기본데이타!O$8),0))</f>
        <v/>
      </c>
      <c r="M33" s="168" t="str">
        <f>IF($A33="","",VLOOKUP($A33,기본데이타!$A$8:$BV$103,COLUMN(기본데이타!P$8),0))</f>
        <v/>
      </c>
      <c r="N33" s="168" t="str">
        <f>IF($A33="","",VLOOKUP($A33,기본데이타!$A$8:$BV$103,COLUMN(기본데이타!Q$8),0))</f>
        <v/>
      </c>
      <c r="O33" s="168" t="str">
        <f>IF($A33="","",VLOOKUP($A33,기본데이타!$A$8:$BV$103,COLUMN(기본데이타!R$8),0))</f>
        <v/>
      </c>
      <c r="P33" s="168" t="str">
        <f>IF($A33="","",VLOOKUP($A33,기본데이타!$A$8:$BV$103,COLUMN(기본데이타!S$8),0))</f>
        <v/>
      </c>
      <c r="Q33" s="168" t="str">
        <f>IF($A33="","",VLOOKUP($A33,기본데이타!$A$8:$BV$103,COLUMN(기본데이타!T$8),0))</f>
        <v/>
      </c>
      <c r="R33" s="168" t="str">
        <f>IF($A33="","",VLOOKUP($A33,기본데이타!$A$8:$BV$103,COLUMN(기본데이타!U$8),0))</f>
        <v/>
      </c>
      <c r="S33" s="168" t="str">
        <f>IF($A33="","",VLOOKUP($A33,기본데이타!$A$8:$BV$103,COLUMN(기본데이타!V$8),0))</f>
        <v/>
      </c>
      <c r="T33" s="168" t="str">
        <f>IF($A33="","",VLOOKUP($A33,기본데이타!$A$8:$BV$103,COLUMN(기본데이타!W$8),0))</f>
        <v/>
      </c>
      <c r="U33" s="168" t="str">
        <f>IF($A33="","",VLOOKUP($A33,기본데이타!$A$8:$BV$103,COLUMN(기본데이타!X$8),0))</f>
        <v/>
      </c>
      <c r="V33" s="168" t="str">
        <f>IF($A33="","",VLOOKUP($A33,기본데이타!$A$8:$BV$103,COLUMN(기본데이타!Y$8),0))</f>
        <v/>
      </c>
      <c r="W33" s="168" t="str">
        <f>IF($A33="","",VLOOKUP($A33,기본데이타!$A$8:$BV$103,COLUMN(기본데이타!Z$8),0))</f>
        <v/>
      </c>
      <c r="X33" s="168" t="str">
        <f>IF($A33="","",VLOOKUP($A33,기본데이타!$A$8:$BV$103,COLUMN(기본데이타!AA$8),0))</f>
        <v/>
      </c>
      <c r="Y33" s="168" t="str">
        <f>IF($A33="","",VLOOKUP($A33,기본데이타!$A$8:$BV$103,COLUMN(기본데이타!AB$8),0))</f>
        <v/>
      </c>
      <c r="Z33" s="167" t="str">
        <f>IF($A33="","",VLOOKUP($A33,기본데이타!$A$8:$BV$103,COLUMN(기본데이타!AC$8),0))</f>
        <v/>
      </c>
      <c r="AA33" s="1393" t="str">
        <f>IF($A33="","",VLOOKUP($A33,기본데이타!$A$8:$BV$103,COLUMN(기본데이타!AD$8),0))</f>
        <v/>
      </c>
      <c r="AB33" s="1394" t="str">
        <f>IF($A33="","",VLOOKUP($A33,기본데이타!$A$8:$BV$103,COLUMN(기본데이타!AE$8),0))</f>
        <v/>
      </c>
      <c r="AC33" s="1393" t="str">
        <f>IF($A33="","",VLOOKUP($A33,기본데이타!$A$8:$BV$103,COLUMN(기본데이타!AF$8),0))</f>
        <v/>
      </c>
      <c r="AD33" s="1394" t="str">
        <f>IF($A33="","",VLOOKUP($A33,기본데이타!$A$8:$BV$103,COLUMN(기본데이타!AG$8),0))</f>
        <v/>
      </c>
      <c r="AE33" s="1393" t="str">
        <f>IF($A33="","",VLOOKUP($A33,기본데이타!$A$8:$BV$103,COLUMN(기본데이타!AH$8),0))</f>
        <v/>
      </c>
      <c r="AF33" s="1394" t="str">
        <f>IF($A33="","",VLOOKUP($A33,기본데이타!$A$8:$BV$103,COLUMN(기본데이타!AI$8),0))</f>
        <v/>
      </c>
      <c r="AG33" s="169" t="str">
        <f>IF($A33="","",VLOOKUP($A33,기본데이타!$A$8:$BV$103,COLUMN(기본데이타!AJ$8),0))</f>
        <v/>
      </c>
      <c r="AH33" s="1175" t="str">
        <f>IF($A33="","",VLOOKUP($A33,기본데이타!$A$8:$BV$103,COLUMN(기본데이타!AK$8),0))</f>
        <v/>
      </c>
      <c r="AI33" s="1175" t="str">
        <f>IF($A33="","",VLOOKUP($A33,기본데이타!$A$8:$BV$103,COLUMN(기본데이타!AL$8),0))</f>
        <v/>
      </c>
      <c r="AJ33" s="1175" t="str">
        <f>IF($A33="","",VLOOKUP($A33,기본데이타!$A$8:$BV$103,COLUMN(기본데이타!AM$8),0))</f>
        <v/>
      </c>
      <c r="AK33" s="1175" t="str">
        <f>IF($A33="","",VLOOKUP($A33,기본데이타!$A$8:$BV$103,COLUMN(기본데이타!AN$8),0))</f>
        <v/>
      </c>
      <c r="AL33" s="1175" t="str">
        <f>IF($A33="","",VLOOKUP($A33,기본데이타!$A$8:$BV$103,COLUMN(기본데이타!AO$8),0))</f>
        <v/>
      </c>
      <c r="AM33" s="1175" t="str">
        <f>IF($A33="","",VLOOKUP($A33,기본데이타!$A$8:$BV$103,COLUMN(기본데이타!AP$8),0))</f>
        <v/>
      </c>
      <c r="AN33" s="1175" t="str">
        <f>IF($A33="","",VLOOKUP($A33,기본데이타!$A$8:$BV$103,COLUMN(기본데이타!AQ$8),0))</f>
        <v/>
      </c>
      <c r="AO33" s="1175" t="str">
        <f>IF($A33="","",VLOOKUP($A33,기본데이타!$A$8:$BV$103,COLUMN(기본데이타!AR$8),0))</f>
        <v/>
      </c>
      <c r="AP33" s="1402" t="str">
        <f>IF($A33="","",VLOOKUP($A33,기본데이타!$A$8:$BV$103,COLUMN(기본데이타!AS$8),0))</f>
        <v/>
      </c>
      <c r="AQ33" s="1402" t="str">
        <f>IF($A33="","",VLOOKUP($A33,기본데이타!$A$8:$BV$103,COLUMN(기본데이타!AT$8),0))</f>
        <v/>
      </c>
      <c r="AR33" s="1402" t="str">
        <f>IF($A33="","",VLOOKUP($A33,기본데이타!$A$8:$BV$103,COLUMN(기본데이타!AU$8),0))</f>
        <v/>
      </c>
      <c r="AS33" s="1175" t="str">
        <f>IF($A33="","",VLOOKUP($A33,기본데이타!$A$8:$BV$103,COLUMN(기본데이타!AV$8),0))</f>
        <v/>
      </c>
      <c r="AT33" s="358" t="str">
        <f>IF($A33="","",VLOOKUP($A33,기본데이타!$A$8:$BV$103,COLUMN(기본데이타!AW$8),0))</f>
        <v/>
      </c>
      <c r="AU33" s="358" t="str">
        <f>IF($A33="","",VLOOKUP($A33,기본데이타!$A$8:$BV$103,COLUMN(기본데이타!AX$8),0))</f>
        <v/>
      </c>
      <c r="AV33" s="358" t="str">
        <f>IF($A33="","",VLOOKUP($A33,기본데이타!$A$8:$BV$103,COLUMN(기본데이타!AY$8),0))</f>
        <v/>
      </c>
      <c r="AW33" s="358" t="str">
        <f t="shared" ref="AW33:AW41" si="8">IF(AT33="","",SUM(AT33:AV33))</f>
        <v/>
      </c>
      <c r="AX33" s="168" t="str">
        <f>IF($A33="","",VLOOKUP($A33,기본데이타!$A$8:$BV$103,COLUMN(기본데이타!BA$8),0))</f>
        <v/>
      </c>
      <c r="AY33" s="168" t="str">
        <f>IF($A33="","",VLOOKUP($A33,기본데이타!$A$8:$BV$103,COLUMN(기본데이타!BB$8),0))</f>
        <v/>
      </c>
      <c r="AZ33" s="168" t="str">
        <f>IF($A33="","",VLOOKUP($A33,기본데이타!$A$8:$BV$103,COLUMN(기본데이타!BC$8),0))</f>
        <v/>
      </c>
      <c r="BA33" s="168" t="str">
        <f>IF($A33="","",VLOOKUP($A33,기본데이타!$A$8:$BV$103,COLUMN(기본데이타!BD$8),0))</f>
        <v/>
      </c>
      <c r="BB33" s="168" t="str">
        <f>IF($A33="","",VLOOKUP($A33,기본데이타!$A$8:$BV$103,COLUMN(기본데이타!BE$8),0))</f>
        <v/>
      </c>
      <c r="BC33" s="168" t="str">
        <f>IF($A33="","",VLOOKUP($A33,기본데이타!$A$8:$BV$103,COLUMN(기본데이타!BF$8),0))</f>
        <v/>
      </c>
      <c r="BD33" s="168" t="str">
        <f>IF($A33="","",VLOOKUP($A33,기본데이타!$A$8:$BV$103,COLUMN(기본데이타!BG$8),0))</f>
        <v/>
      </c>
      <c r="BE33" s="168" t="str">
        <f>IF($A33="","",VLOOKUP($A33,기본데이타!$A$8:$BV$103,COLUMN(기본데이타!BH$8),0))</f>
        <v/>
      </c>
      <c r="BF33" s="168" t="str">
        <f>IF($A33="","",VLOOKUP($A33,기본데이타!$A$8:$BV$103,COLUMN(기본데이타!BI$8),0))</f>
        <v/>
      </c>
      <c r="BG33" s="168" t="str">
        <f>IF($A33="","",VLOOKUP($A33,기본데이타!$A$8:$BV$103,COLUMN(기본데이타!BJ$8),0))</f>
        <v/>
      </c>
      <c r="BH33" s="168" t="str">
        <f>IF($A33="","",VLOOKUP($A33,기본데이타!$A$8:$BV$103,COLUMN(기본데이타!BK$8),0))</f>
        <v/>
      </c>
      <c r="BI33" s="168" t="str">
        <f>IF($A33="","",VLOOKUP($A33,기본데이타!$A$8:$BV$103,COLUMN(기본데이타!BL$8),0))</f>
        <v/>
      </c>
      <c r="BJ33" s="168" t="str">
        <f>IF($A33="","",VLOOKUP($A33,기본데이타!$A$8:$BV$103,COLUMN(기본데이타!BM$8),0))</f>
        <v/>
      </c>
      <c r="BK33" s="168" t="str">
        <f>IF($A33="","",VLOOKUP($A33,기본데이타!$A$8:$BV$103,COLUMN(기본데이타!BN$8),0))</f>
        <v/>
      </c>
      <c r="BL33" s="168" t="str">
        <f>IF($A33="","",VLOOKUP($A33,기본데이타!$A$8:$BV$103,COLUMN(기본데이타!BO$8),0))</f>
        <v/>
      </c>
      <c r="BM33" s="168" t="str">
        <f>IF($A33="","",VLOOKUP($A33,기본데이타!$A$8:$BV$103,COLUMN(기본데이타!BP$8),0))</f>
        <v/>
      </c>
      <c r="BN33" s="168" t="str">
        <f>IF($A33="","",VLOOKUP($A33,기본데이타!$A$8:$BV$103,COLUMN(기본데이타!BQ$8),0))</f>
        <v/>
      </c>
      <c r="BO33" s="168" t="str">
        <f>IF($A33="","",VLOOKUP($A33,기본데이타!$A$8:$BV$103,COLUMN(기본데이타!BR$8),0))</f>
        <v/>
      </c>
      <c r="BP33" s="168" t="str">
        <f>IF($A33="","",VLOOKUP($A33,기본데이타!$A$8:$BV$103,COLUMN(기본데이타!BS$8),0))</f>
        <v/>
      </c>
      <c r="BQ33" s="980" t="str">
        <f>IF($A33="","",VLOOKUP($A33,기본데이타!$A$8:$BV$103,COLUMN(기본데이타!BT$8),0))</f>
        <v/>
      </c>
      <c r="BR33" s="984" t="str">
        <f>IF($A33="","",VLOOKUP($A33,기본데이타!$A$8:$BV$103,COLUMN(기본데이타!BU$8),0))</f>
        <v/>
      </c>
      <c r="BS33" s="168" t="str">
        <f>IF($A33="","",VLOOKUP($A33,기본데이타!$A$8:$BV$103,COLUMN(기본데이타!BV$8),0))</f>
        <v/>
      </c>
      <c r="BT33" s="981">
        <f t="shared" si="6"/>
        <v>0</v>
      </c>
      <c r="BU33" s="242"/>
    </row>
    <row r="34" spans="1:73" s="7" customFormat="1" ht="73.5" customHeight="1">
      <c r="A34" s="171"/>
      <c r="B34" s="163"/>
      <c r="C34" s="164" t="str">
        <f>IF($A34="","",VLOOKUP($A34,기본데이타!$A$8:$BV$103,COLUMN(기본데이타!F$8),0))</f>
        <v/>
      </c>
      <c r="D34" s="165" t="str">
        <f>IF($A34="","",VLOOKUP($A34,기본데이타!$A$8:$BV$103,COLUMN(기본데이타!G$8),0))</f>
        <v/>
      </c>
      <c r="E34" s="166" t="str">
        <f>IF($A34="","",VLOOKUP($A34,기본데이타!$A$8:$BV$103,COLUMN(기본데이타!H$8),0))</f>
        <v/>
      </c>
      <c r="F34" s="166" t="str">
        <f>IF($A34="","",VLOOKUP($A34,기본데이타!$A$8:$BV$103,COLUMN(기본데이타!I$8),0))</f>
        <v/>
      </c>
      <c r="G34" s="166" t="str">
        <f>IF($A34="","",VLOOKUP($A34,기본데이타!$A$8:$BV$103,COLUMN(기본데이타!J$8),0))</f>
        <v/>
      </c>
      <c r="H34" s="167" t="str">
        <f>IF($A34="","",VLOOKUP($A34,기본데이타!$A$8:$BV$103,COLUMN(기본데이타!K$8),0))</f>
        <v/>
      </c>
      <c r="I34" s="167" t="str">
        <f>IF($A34="","",VLOOKUP($A34,기본데이타!$A$8:$BV$103,COLUMN(기본데이타!L$8),0))</f>
        <v/>
      </c>
      <c r="J34" s="167" t="str">
        <f>IF($A34="","",VLOOKUP($A34,기본데이타!$A$8:$BV$103,COLUMN(기본데이타!M$8),0))</f>
        <v/>
      </c>
      <c r="K34" s="168" t="str">
        <f>IF($A34="","",VLOOKUP($A34,기본데이타!$A$8:$BV$103,COLUMN(기본데이타!N$8),0))</f>
        <v/>
      </c>
      <c r="L34" s="167" t="str">
        <f>IF($A34="","",VLOOKUP($A34,기본데이타!$A$8:$BV$103,COLUMN(기본데이타!O$8),0))</f>
        <v/>
      </c>
      <c r="M34" s="168" t="str">
        <f>IF($A34="","",VLOOKUP($A34,기본데이타!$A$8:$BV$103,COLUMN(기본데이타!P$8),0))</f>
        <v/>
      </c>
      <c r="N34" s="168" t="str">
        <f>IF($A34="","",VLOOKUP($A34,기본데이타!$A$8:$BV$103,COLUMN(기본데이타!Q$8),0))</f>
        <v/>
      </c>
      <c r="O34" s="168" t="str">
        <f>IF($A34="","",VLOOKUP($A34,기본데이타!$A$8:$BV$103,COLUMN(기본데이타!R$8),0))</f>
        <v/>
      </c>
      <c r="P34" s="168" t="str">
        <f>IF($A34="","",VLOOKUP($A34,기본데이타!$A$8:$BV$103,COLUMN(기본데이타!S$8),0))</f>
        <v/>
      </c>
      <c r="Q34" s="168" t="str">
        <f>IF($A34="","",VLOOKUP($A34,기본데이타!$A$8:$BV$103,COLUMN(기본데이타!T$8),0))</f>
        <v/>
      </c>
      <c r="R34" s="168" t="str">
        <f>IF($A34="","",VLOOKUP($A34,기본데이타!$A$8:$BV$103,COLUMN(기본데이타!U$8),0))</f>
        <v/>
      </c>
      <c r="S34" s="168" t="str">
        <f>IF($A34="","",VLOOKUP($A34,기본데이타!$A$8:$BV$103,COLUMN(기본데이타!V$8),0))</f>
        <v/>
      </c>
      <c r="T34" s="168" t="str">
        <f>IF($A34="","",VLOOKUP($A34,기본데이타!$A$8:$BV$103,COLUMN(기본데이타!W$8),0))</f>
        <v/>
      </c>
      <c r="U34" s="168" t="str">
        <f>IF($A34="","",VLOOKUP($A34,기본데이타!$A$8:$BV$103,COLUMN(기본데이타!X$8),0))</f>
        <v/>
      </c>
      <c r="V34" s="168" t="str">
        <f>IF($A34="","",VLOOKUP($A34,기본데이타!$A$8:$BV$103,COLUMN(기본데이타!Y$8),0))</f>
        <v/>
      </c>
      <c r="W34" s="168" t="str">
        <f>IF($A34="","",VLOOKUP($A34,기본데이타!$A$8:$BV$103,COLUMN(기본데이타!Z$8),0))</f>
        <v/>
      </c>
      <c r="X34" s="168" t="str">
        <f>IF($A34="","",VLOOKUP($A34,기본데이타!$A$8:$BV$103,COLUMN(기본데이타!AA$8),0))</f>
        <v/>
      </c>
      <c r="Y34" s="168" t="str">
        <f>IF($A34="","",VLOOKUP($A34,기본데이타!$A$8:$BV$103,COLUMN(기본데이타!AB$8),0))</f>
        <v/>
      </c>
      <c r="Z34" s="167" t="str">
        <f>IF($A34="","",VLOOKUP($A34,기본데이타!$A$8:$BV$103,COLUMN(기본데이타!AC$8),0))</f>
        <v/>
      </c>
      <c r="AA34" s="168" t="str">
        <f>IF($A34="","",VLOOKUP($A34,기본데이타!$A$8:$BV$103,COLUMN(기본데이타!AD$8),0))</f>
        <v/>
      </c>
      <c r="AB34" s="167" t="str">
        <f>IF($A34="","",VLOOKUP($A34,기본데이타!$A$8:$BV$103,COLUMN(기본데이타!AE$8),0))</f>
        <v/>
      </c>
      <c r="AC34" s="168" t="str">
        <f>IF($A34="","",VLOOKUP($A34,기본데이타!$A$8:$BV$103,COLUMN(기본데이타!AF$8),0))</f>
        <v/>
      </c>
      <c r="AD34" s="167" t="str">
        <f>IF($A34="","",VLOOKUP($A34,기본데이타!$A$8:$BV$103,COLUMN(기본데이타!AG$8),0))</f>
        <v/>
      </c>
      <c r="AE34" s="168" t="str">
        <f>IF($A34="","",VLOOKUP($A34,기본데이타!$A$8:$BV$103,COLUMN(기본데이타!AH$8),0))</f>
        <v/>
      </c>
      <c r="AF34" s="167" t="str">
        <f>IF($A34="","",VLOOKUP($A34,기본데이타!$A$8:$BV$103,COLUMN(기본데이타!AI$8),0))</f>
        <v/>
      </c>
      <c r="AG34" s="169" t="str">
        <f>IF($A34="","",VLOOKUP($A34,기본데이타!$A$8:$BV$103,COLUMN(기본데이타!AJ$8),0))</f>
        <v/>
      </c>
      <c r="AH34" s="364" t="str">
        <f>IF($A34="","",VLOOKUP($A34,기본데이타!$A$8:$BV$103,COLUMN(기본데이타!AK$8),0))</f>
        <v/>
      </c>
      <c r="AI34" s="364" t="str">
        <f>IF($A34="","",VLOOKUP($A34,기본데이타!$A$8:$BV$103,COLUMN(기본데이타!AL$8),0))</f>
        <v/>
      </c>
      <c r="AJ34" s="364" t="str">
        <f>IF($A34="","",VLOOKUP($A34,기본데이타!$A$8:$BV$103,COLUMN(기본데이타!AM$8),0))</f>
        <v/>
      </c>
      <c r="AK34" s="364" t="str">
        <f>IF($A34="","",VLOOKUP($A34,기본데이타!$A$8:$BV$103,COLUMN(기본데이타!AN$8),0))</f>
        <v/>
      </c>
      <c r="AL34" s="364" t="str">
        <f>IF($A34="","",VLOOKUP($A34,기본데이타!$A$8:$BV$103,COLUMN(기본데이타!AO$8),0))</f>
        <v/>
      </c>
      <c r="AM34" s="364" t="str">
        <f>IF($A34="","",VLOOKUP($A34,기본데이타!$A$8:$BV$103,COLUMN(기본데이타!AP$8),0))</f>
        <v/>
      </c>
      <c r="AN34" s="364" t="str">
        <f>IF($A34="","",VLOOKUP($A34,기본데이타!$A$8:$BV$103,COLUMN(기본데이타!AQ$8),0))</f>
        <v/>
      </c>
      <c r="AO34" s="364" t="str">
        <f>IF($A34="","",VLOOKUP($A34,기본데이타!$A$8:$BV$103,COLUMN(기본데이타!AR$8),0))</f>
        <v/>
      </c>
      <c r="AP34" s="364" t="str">
        <f>IF($A34="","",VLOOKUP($A34,기본데이타!$A$8:$BV$103,COLUMN(기본데이타!AS$8),0))</f>
        <v/>
      </c>
      <c r="AQ34" s="364" t="str">
        <f>IF($A34="","",VLOOKUP($A34,기본데이타!$A$8:$BV$103,COLUMN(기본데이타!AT$8),0))</f>
        <v/>
      </c>
      <c r="AR34" s="364" t="str">
        <f>IF($A34="","",VLOOKUP($A34,기본데이타!$A$8:$BV$103,COLUMN(기본데이타!AU$8),0))</f>
        <v/>
      </c>
      <c r="AS34" s="364" t="str">
        <f>IF($A34="","",VLOOKUP($A34,기본데이타!$A$8:$BV$103,COLUMN(기본데이타!AV$8),0))</f>
        <v/>
      </c>
      <c r="AT34" s="358" t="str">
        <f>IF($A34="","",VLOOKUP($A34,기본데이타!$A$8:$BV$103,COLUMN(기본데이타!AW$8),0))</f>
        <v/>
      </c>
      <c r="AU34" s="358" t="str">
        <f>IF($A34="","",VLOOKUP($A34,기본데이타!$A$8:$BV$103,COLUMN(기본데이타!AX$8),0))</f>
        <v/>
      </c>
      <c r="AV34" s="358" t="str">
        <f>IF($A34="","",VLOOKUP($A34,기본데이타!$A$8:$BV$103,COLUMN(기본데이타!AY$8),0))</f>
        <v/>
      </c>
      <c r="AW34" s="358" t="str">
        <f t="shared" si="8"/>
        <v/>
      </c>
      <c r="AX34" s="168" t="str">
        <f>IF($A34="","",VLOOKUP($A34,기본데이타!$A$8:$BV$103,COLUMN(기본데이타!BA$8),0))</f>
        <v/>
      </c>
      <c r="AY34" s="168" t="str">
        <f>IF($A34="","",VLOOKUP($A34,기본데이타!$A$8:$BV$103,COLUMN(기본데이타!BB$8),0))</f>
        <v/>
      </c>
      <c r="AZ34" s="168" t="str">
        <f>IF($A34="","",VLOOKUP($A34,기본데이타!$A$8:$BV$103,COLUMN(기본데이타!BC$8),0))</f>
        <v/>
      </c>
      <c r="BA34" s="168" t="str">
        <f>IF($A34="","",VLOOKUP($A34,기본데이타!$A$8:$BV$103,COLUMN(기본데이타!BD$8),0))</f>
        <v/>
      </c>
      <c r="BB34" s="168" t="str">
        <f>IF($A34="","",VLOOKUP($A34,기본데이타!$A$8:$BV$103,COLUMN(기본데이타!BE$8),0))</f>
        <v/>
      </c>
      <c r="BC34" s="168" t="str">
        <f>IF($A34="","",VLOOKUP($A34,기본데이타!$A$8:$BV$103,COLUMN(기본데이타!BF$8),0))</f>
        <v/>
      </c>
      <c r="BD34" s="168" t="str">
        <f>IF($A34="","",VLOOKUP($A34,기본데이타!$A$8:$BV$103,COLUMN(기본데이타!BG$8),0))</f>
        <v/>
      </c>
      <c r="BE34" s="168" t="str">
        <f>IF($A34="","",VLOOKUP($A34,기본데이타!$A$8:$BV$103,COLUMN(기본데이타!BH$8),0))</f>
        <v/>
      </c>
      <c r="BF34" s="168" t="str">
        <f>IF($A34="","",VLOOKUP($A34,기본데이타!$A$8:$BV$103,COLUMN(기본데이타!BI$8),0))</f>
        <v/>
      </c>
      <c r="BG34" s="168" t="str">
        <f>IF($A34="","",VLOOKUP($A34,기본데이타!$A$8:$BV$103,COLUMN(기본데이타!BJ$8),0))</f>
        <v/>
      </c>
      <c r="BH34" s="168" t="str">
        <f>IF($A34="","",VLOOKUP($A34,기본데이타!$A$8:$BV$103,COLUMN(기본데이타!BK$8),0))</f>
        <v/>
      </c>
      <c r="BI34" s="168" t="str">
        <f>IF($A34="","",VLOOKUP($A34,기본데이타!$A$8:$BV$103,COLUMN(기본데이타!BL$8),0))</f>
        <v/>
      </c>
      <c r="BJ34" s="168" t="str">
        <f>IF($A34="","",VLOOKUP($A34,기본데이타!$A$8:$BV$103,COLUMN(기본데이타!BM$8),0))</f>
        <v/>
      </c>
      <c r="BK34" s="168" t="str">
        <f>IF($A34="","",VLOOKUP($A34,기본데이타!$A$8:$BV$103,COLUMN(기본데이타!BN$8),0))</f>
        <v/>
      </c>
      <c r="BL34" s="168" t="str">
        <f>IF($A34="","",VLOOKUP($A34,기본데이타!$A$8:$BV$103,COLUMN(기본데이타!BO$8),0))</f>
        <v/>
      </c>
      <c r="BM34" s="168" t="str">
        <f>IF($A34="","",VLOOKUP($A34,기본데이타!$A$8:$BV$103,COLUMN(기본데이타!BP$8),0))</f>
        <v/>
      </c>
      <c r="BN34" s="168" t="str">
        <f>IF($A34="","",VLOOKUP($A34,기본데이타!$A$8:$BV$103,COLUMN(기본데이타!BQ$8),0))</f>
        <v/>
      </c>
      <c r="BO34" s="168" t="str">
        <f>IF($A34="","",VLOOKUP($A34,기본데이타!$A$8:$BV$103,COLUMN(기본데이타!BR$8),0))</f>
        <v/>
      </c>
      <c r="BP34" s="168" t="str">
        <f>IF($A34="","",VLOOKUP($A34,기본데이타!$A$8:$BV$103,COLUMN(기본데이타!BS$8),0))</f>
        <v/>
      </c>
      <c r="BQ34" s="980" t="str">
        <f>IF($A34="","",VLOOKUP($A34,기본데이타!$A$8:$BV$103,COLUMN(기본데이타!BT$8),0))</f>
        <v/>
      </c>
      <c r="BR34" s="984" t="str">
        <f>IF($A34="","",VLOOKUP($A34,기본데이타!$A$8:$BV$103,COLUMN(기본데이타!BU$8),0))</f>
        <v/>
      </c>
      <c r="BS34" s="168" t="str">
        <f>IF($A34="","",VLOOKUP($A34,기본데이타!$A$8:$BV$103,COLUMN(기본데이타!BV$8),0))</f>
        <v/>
      </c>
      <c r="BT34" s="981">
        <f t="shared" si="6"/>
        <v>0</v>
      </c>
      <c r="BU34" s="242"/>
    </row>
    <row r="35" spans="1:73" s="7" customFormat="1" ht="73.5" customHeight="1">
      <c r="A35" s="171"/>
      <c r="B35" s="163"/>
      <c r="C35" s="164" t="str">
        <f>IF($A35="","",VLOOKUP($A35,기본데이타!$A$8:$BV$103,COLUMN(기본데이타!F$8),0))</f>
        <v/>
      </c>
      <c r="D35" s="165" t="str">
        <f>IF($A35="","",VLOOKUP($A35,기본데이타!$A$8:$BV$103,COLUMN(기본데이타!G$8),0))</f>
        <v/>
      </c>
      <c r="E35" s="166" t="str">
        <f>IF($A35="","",VLOOKUP($A35,기본데이타!$A$8:$BV$103,COLUMN(기본데이타!H$8),0))</f>
        <v/>
      </c>
      <c r="F35" s="166" t="str">
        <f>IF($A35="","",VLOOKUP($A35,기본데이타!$A$8:$BV$103,COLUMN(기본데이타!I$8),0))</f>
        <v/>
      </c>
      <c r="G35" s="166" t="str">
        <f>IF($A35="","",VLOOKUP($A35,기본데이타!$A$8:$BV$103,COLUMN(기본데이타!J$8),0))</f>
        <v/>
      </c>
      <c r="H35" s="167" t="str">
        <f>IF($A35="","",VLOOKUP($A35,기본데이타!$A$8:$BV$103,COLUMN(기본데이타!K$8),0))</f>
        <v/>
      </c>
      <c r="I35" s="167" t="str">
        <f>IF($A35="","",VLOOKUP($A35,기본데이타!$A$8:$BV$103,COLUMN(기본데이타!L$8),0))</f>
        <v/>
      </c>
      <c r="J35" s="167" t="str">
        <f>IF($A35="","",VLOOKUP($A35,기본데이타!$A$8:$BV$103,COLUMN(기본데이타!M$8),0))</f>
        <v/>
      </c>
      <c r="K35" s="168" t="str">
        <f>IF($A35="","",VLOOKUP($A35,기본데이타!$A$8:$BV$103,COLUMN(기본데이타!N$8),0))</f>
        <v/>
      </c>
      <c r="L35" s="167" t="str">
        <f>IF($A35="","",VLOOKUP($A35,기본데이타!$A$8:$BV$103,COLUMN(기본데이타!O$8),0))</f>
        <v/>
      </c>
      <c r="M35" s="168" t="str">
        <f>IF($A35="","",VLOOKUP($A35,기본데이타!$A$8:$BV$103,COLUMN(기본데이타!P$8),0))</f>
        <v/>
      </c>
      <c r="N35" s="168" t="str">
        <f>IF($A35="","",VLOOKUP($A35,기본데이타!$A$8:$BV$103,COLUMN(기본데이타!Q$8),0))</f>
        <v/>
      </c>
      <c r="O35" s="168" t="str">
        <f>IF($A35="","",VLOOKUP($A35,기본데이타!$A$8:$BV$103,COLUMN(기본데이타!R$8),0))</f>
        <v/>
      </c>
      <c r="P35" s="168" t="str">
        <f>IF($A35="","",VLOOKUP($A35,기본데이타!$A$8:$BV$103,COLUMN(기본데이타!S$8),0))</f>
        <v/>
      </c>
      <c r="Q35" s="168" t="str">
        <f>IF($A35="","",VLOOKUP($A35,기본데이타!$A$8:$BV$103,COLUMN(기본데이타!T$8),0))</f>
        <v/>
      </c>
      <c r="R35" s="168" t="str">
        <f>IF($A35="","",VLOOKUP($A35,기본데이타!$A$8:$BV$103,COLUMN(기본데이타!U$8),0))</f>
        <v/>
      </c>
      <c r="S35" s="168" t="str">
        <f>IF($A35="","",VLOOKUP($A35,기본데이타!$A$8:$BV$103,COLUMN(기본데이타!V$8),0))</f>
        <v/>
      </c>
      <c r="T35" s="168" t="str">
        <f>IF($A35="","",VLOOKUP($A35,기본데이타!$A$8:$BV$103,COLUMN(기본데이타!W$8),0))</f>
        <v/>
      </c>
      <c r="U35" s="168" t="str">
        <f>IF($A35="","",VLOOKUP($A35,기본데이타!$A$8:$BV$103,COLUMN(기본데이타!X$8),0))</f>
        <v/>
      </c>
      <c r="V35" s="168" t="str">
        <f>IF($A35="","",VLOOKUP($A35,기본데이타!$A$8:$BV$103,COLUMN(기본데이타!Y$8),0))</f>
        <v/>
      </c>
      <c r="W35" s="168" t="str">
        <f>IF($A35="","",VLOOKUP($A35,기본데이타!$A$8:$BV$103,COLUMN(기본데이타!Z$8),0))</f>
        <v/>
      </c>
      <c r="X35" s="168" t="str">
        <f>IF($A35="","",VLOOKUP($A35,기본데이타!$A$8:$BV$103,COLUMN(기본데이타!AA$8),0))</f>
        <v/>
      </c>
      <c r="Y35" s="168" t="str">
        <f>IF($A35="","",VLOOKUP($A35,기본데이타!$A$8:$BV$103,COLUMN(기본데이타!AB$8),0))</f>
        <v/>
      </c>
      <c r="Z35" s="167" t="str">
        <f>IF($A35="","",VLOOKUP($A35,기본데이타!$A$8:$BV$103,COLUMN(기본데이타!AC$8),0))</f>
        <v/>
      </c>
      <c r="AA35" s="168" t="str">
        <f>IF($A35="","",VLOOKUP($A35,기본데이타!$A$8:$BV$103,COLUMN(기본데이타!AD$8),0))</f>
        <v/>
      </c>
      <c r="AB35" s="167" t="str">
        <f>IF($A35="","",VLOOKUP($A35,기본데이타!$A$8:$BV$103,COLUMN(기본데이타!AE$8),0))</f>
        <v/>
      </c>
      <c r="AC35" s="168" t="str">
        <f>IF($A35="","",VLOOKUP($A35,기본데이타!$A$8:$BV$103,COLUMN(기본데이타!AF$8),0))</f>
        <v/>
      </c>
      <c r="AD35" s="167" t="str">
        <f>IF($A35="","",VLOOKUP($A35,기본데이타!$A$8:$BV$103,COLUMN(기본데이타!AG$8),0))</f>
        <v/>
      </c>
      <c r="AE35" s="168" t="str">
        <f>IF($A35="","",VLOOKUP($A35,기본데이타!$A$8:$BV$103,COLUMN(기본데이타!AH$8),0))</f>
        <v/>
      </c>
      <c r="AF35" s="167" t="str">
        <f>IF($A35="","",VLOOKUP($A35,기본데이타!$A$8:$BV$103,COLUMN(기본데이타!AI$8),0))</f>
        <v/>
      </c>
      <c r="AG35" s="169" t="str">
        <f>IF($A35="","",VLOOKUP($A35,기본데이타!$A$8:$BV$103,COLUMN(기본데이타!AJ$8),0))</f>
        <v/>
      </c>
      <c r="AH35" s="364" t="str">
        <f>IF($A35="","",VLOOKUP($A35,기본데이타!$A$8:$BV$103,COLUMN(기본데이타!AK$8),0))</f>
        <v/>
      </c>
      <c r="AI35" s="364" t="str">
        <f>IF($A35="","",VLOOKUP($A35,기본데이타!$A$8:$BV$103,COLUMN(기본데이타!AL$8),0))</f>
        <v/>
      </c>
      <c r="AJ35" s="364" t="str">
        <f>IF($A35="","",VLOOKUP($A35,기본데이타!$A$8:$BV$103,COLUMN(기본데이타!AM$8),0))</f>
        <v/>
      </c>
      <c r="AK35" s="364" t="str">
        <f>IF($A35="","",VLOOKUP($A35,기본데이타!$A$8:$BV$103,COLUMN(기본데이타!AN$8),0))</f>
        <v/>
      </c>
      <c r="AL35" s="364" t="str">
        <f>IF($A35="","",VLOOKUP($A35,기본데이타!$A$8:$BV$103,COLUMN(기본데이타!AO$8),0))</f>
        <v/>
      </c>
      <c r="AM35" s="364" t="str">
        <f>IF($A35="","",VLOOKUP($A35,기본데이타!$A$8:$BV$103,COLUMN(기본데이타!AP$8),0))</f>
        <v/>
      </c>
      <c r="AN35" s="364" t="str">
        <f>IF($A35="","",VLOOKUP($A35,기본데이타!$A$8:$BV$103,COLUMN(기본데이타!AQ$8),0))</f>
        <v/>
      </c>
      <c r="AO35" s="364" t="str">
        <f>IF($A35="","",VLOOKUP($A35,기본데이타!$A$8:$BV$103,COLUMN(기본데이타!AR$8),0))</f>
        <v/>
      </c>
      <c r="AP35" s="364" t="str">
        <f>IF($A35="","",VLOOKUP($A35,기본데이타!$A$8:$BV$103,COLUMN(기본데이타!AS$8),0))</f>
        <v/>
      </c>
      <c r="AQ35" s="364" t="str">
        <f>IF($A35="","",VLOOKUP($A35,기본데이타!$A$8:$BV$103,COLUMN(기본데이타!AT$8),0))</f>
        <v/>
      </c>
      <c r="AR35" s="364" t="str">
        <f>IF($A35="","",VLOOKUP($A35,기본데이타!$A$8:$BV$103,COLUMN(기본데이타!AU$8),0))</f>
        <v/>
      </c>
      <c r="AS35" s="364" t="str">
        <f>IF($A35="","",VLOOKUP($A35,기본데이타!$A$8:$BV$103,COLUMN(기본데이타!AV$8),0))</f>
        <v/>
      </c>
      <c r="AT35" s="358" t="str">
        <f>IF($A35="","",VLOOKUP($A35,기본데이타!$A$8:$BV$103,COLUMN(기본데이타!AW$8),0))</f>
        <v/>
      </c>
      <c r="AU35" s="358" t="str">
        <f>IF($A35="","",VLOOKUP($A35,기본데이타!$A$8:$BV$103,COLUMN(기본데이타!AX$8),0))</f>
        <v/>
      </c>
      <c r="AV35" s="358" t="str">
        <f>IF($A35="","",VLOOKUP($A35,기본데이타!$A$8:$BV$103,COLUMN(기본데이타!AY$8),0))</f>
        <v/>
      </c>
      <c r="AW35" s="358" t="str">
        <f t="shared" si="8"/>
        <v/>
      </c>
      <c r="AX35" s="168" t="str">
        <f>IF($A35="","",VLOOKUP($A35,기본데이타!$A$8:$BV$103,COLUMN(기본데이타!BA$8),0))</f>
        <v/>
      </c>
      <c r="AY35" s="168" t="str">
        <f>IF($A35="","",VLOOKUP($A35,기본데이타!$A$8:$BV$103,COLUMN(기본데이타!BB$8),0))</f>
        <v/>
      </c>
      <c r="AZ35" s="168" t="str">
        <f>IF($A35="","",VLOOKUP($A35,기본데이타!$A$8:$BV$103,COLUMN(기본데이타!BC$8),0))</f>
        <v/>
      </c>
      <c r="BA35" s="168" t="str">
        <f>IF($A35="","",VLOOKUP($A35,기본데이타!$A$8:$BV$103,COLUMN(기본데이타!BD$8),0))</f>
        <v/>
      </c>
      <c r="BB35" s="168" t="str">
        <f>IF($A35="","",VLOOKUP($A35,기본데이타!$A$8:$BV$103,COLUMN(기본데이타!BE$8),0))</f>
        <v/>
      </c>
      <c r="BC35" s="168" t="str">
        <f>IF($A35="","",VLOOKUP($A35,기본데이타!$A$8:$BV$103,COLUMN(기본데이타!BF$8),0))</f>
        <v/>
      </c>
      <c r="BD35" s="168" t="str">
        <f>IF($A35="","",VLOOKUP($A35,기본데이타!$A$8:$BV$103,COLUMN(기본데이타!BG$8),0))</f>
        <v/>
      </c>
      <c r="BE35" s="168" t="str">
        <f>IF($A35="","",VLOOKUP($A35,기본데이타!$A$8:$BV$103,COLUMN(기본데이타!BH$8),0))</f>
        <v/>
      </c>
      <c r="BF35" s="168" t="str">
        <f>IF($A35="","",VLOOKUP($A35,기본데이타!$A$8:$BV$103,COLUMN(기본데이타!BI$8),0))</f>
        <v/>
      </c>
      <c r="BG35" s="168" t="str">
        <f>IF($A35="","",VLOOKUP($A35,기본데이타!$A$8:$BV$103,COLUMN(기본데이타!BJ$8),0))</f>
        <v/>
      </c>
      <c r="BH35" s="168" t="str">
        <f>IF($A35="","",VLOOKUP($A35,기본데이타!$A$8:$BV$103,COLUMN(기본데이타!BK$8),0))</f>
        <v/>
      </c>
      <c r="BI35" s="168" t="str">
        <f>IF($A35="","",VLOOKUP($A35,기본데이타!$A$8:$BV$103,COLUMN(기본데이타!BL$8),0))</f>
        <v/>
      </c>
      <c r="BJ35" s="168" t="str">
        <f>IF($A35="","",VLOOKUP($A35,기본데이타!$A$8:$BV$103,COLUMN(기본데이타!BM$8),0))</f>
        <v/>
      </c>
      <c r="BK35" s="168" t="str">
        <f>IF($A35="","",VLOOKUP($A35,기본데이타!$A$8:$BV$103,COLUMN(기본데이타!BN$8),0))</f>
        <v/>
      </c>
      <c r="BL35" s="168" t="str">
        <f>IF($A35="","",VLOOKUP($A35,기본데이타!$A$8:$BV$103,COLUMN(기본데이타!BO$8),0))</f>
        <v/>
      </c>
      <c r="BM35" s="168" t="str">
        <f>IF($A35="","",VLOOKUP($A35,기본데이타!$A$8:$BV$103,COLUMN(기본데이타!BP$8),0))</f>
        <v/>
      </c>
      <c r="BN35" s="168" t="str">
        <f>IF($A35="","",VLOOKUP($A35,기본데이타!$A$8:$BV$103,COLUMN(기본데이타!BQ$8),0))</f>
        <v/>
      </c>
      <c r="BO35" s="168" t="str">
        <f>IF($A35="","",VLOOKUP($A35,기본데이타!$A$8:$BV$103,COLUMN(기본데이타!BR$8),0))</f>
        <v/>
      </c>
      <c r="BP35" s="168" t="str">
        <f>IF($A35="","",VLOOKUP($A35,기본데이타!$A$8:$BV$103,COLUMN(기본데이타!BS$8),0))</f>
        <v/>
      </c>
      <c r="BQ35" s="980" t="str">
        <f>IF($A35="","",VLOOKUP($A35,기본데이타!$A$8:$BV$103,COLUMN(기본데이타!BT$8),0))</f>
        <v/>
      </c>
      <c r="BR35" s="984" t="str">
        <f>IF($A35="","",VLOOKUP($A35,기본데이타!$A$8:$BV$103,COLUMN(기본데이타!BU$8),0))</f>
        <v/>
      </c>
      <c r="BS35" s="168" t="str">
        <f>IF($A35="","",VLOOKUP($A35,기본데이타!$A$8:$BV$103,COLUMN(기본데이타!BV$8),0))</f>
        <v/>
      </c>
      <c r="BT35" s="981">
        <f t="shared" si="6"/>
        <v>0</v>
      </c>
      <c r="BU35" s="242"/>
    </row>
    <row r="36" spans="1:73" s="7" customFormat="1" ht="73.5" customHeight="1">
      <c r="A36" s="171"/>
      <c r="B36" s="163"/>
      <c r="C36" s="164" t="str">
        <f>IF($A36="","",VLOOKUP($A36,기본데이타!$A$8:$BV$103,COLUMN(기본데이타!F$8),0))</f>
        <v/>
      </c>
      <c r="D36" s="165" t="str">
        <f>IF($A36="","",VLOOKUP($A36,기본데이타!$A$8:$BV$103,COLUMN(기본데이타!G$8),0))</f>
        <v/>
      </c>
      <c r="E36" s="166" t="str">
        <f>IF($A36="","",VLOOKUP($A36,기본데이타!$A$8:$BV$103,COLUMN(기본데이타!H$8),0))</f>
        <v/>
      </c>
      <c r="F36" s="166" t="str">
        <f>IF($A36="","",VLOOKUP($A36,기본데이타!$A$8:$BV$103,COLUMN(기본데이타!I$8),0))</f>
        <v/>
      </c>
      <c r="G36" s="166" t="str">
        <f>IF($A36="","",VLOOKUP($A36,기본데이타!$A$8:$BV$103,COLUMN(기본데이타!J$8),0))</f>
        <v/>
      </c>
      <c r="H36" s="167" t="str">
        <f>IF($A36="","",VLOOKUP($A36,기본데이타!$A$8:$BV$103,COLUMN(기본데이타!K$8),0))</f>
        <v/>
      </c>
      <c r="I36" s="167" t="str">
        <f>IF($A36="","",VLOOKUP($A36,기본데이타!$A$8:$BV$103,COLUMN(기본데이타!L$8),0))</f>
        <v/>
      </c>
      <c r="J36" s="167" t="str">
        <f>IF($A36="","",VLOOKUP($A36,기본데이타!$A$8:$BV$103,COLUMN(기본데이타!M$8),0))</f>
        <v/>
      </c>
      <c r="K36" s="168" t="str">
        <f>IF($A36="","",VLOOKUP($A36,기본데이타!$A$8:$BV$103,COLUMN(기본데이타!N$8),0))</f>
        <v/>
      </c>
      <c r="L36" s="167" t="str">
        <f>IF($A36="","",VLOOKUP($A36,기본데이타!$A$8:$BV$103,COLUMN(기본데이타!O$8),0))</f>
        <v/>
      </c>
      <c r="M36" s="168" t="str">
        <f>IF($A36="","",VLOOKUP($A36,기본데이타!$A$8:$BV$103,COLUMN(기본데이타!P$8),0))</f>
        <v/>
      </c>
      <c r="N36" s="168" t="str">
        <f>IF($A36="","",VLOOKUP($A36,기본데이타!$A$8:$BV$103,COLUMN(기본데이타!Q$8),0))</f>
        <v/>
      </c>
      <c r="O36" s="168" t="str">
        <f>IF($A36="","",VLOOKUP($A36,기본데이타!$A$8:$BV$103,COLUMN(기본데이타!R$8),0))</f>
        <v/>
      </c>
      <c r="P36" s="168" t="str">
        <f>IF($A36="","",VLOOKUP($A36,기본데이타!$A$8:$BV$103,COLUMN(기본데이타!S$8),0))</f>
        <v/>
      </c>
      <c r="Q36" s="168" t="str">
        <f>IF($A36="","",VLOOKUP($A36,기본데이타!$A$8:$BV$103,COLUMN(기본데이타!T$8),0))</f>
        <v/>
      </c>
      <c r="R36" s="168" t="str">
        <f>IF($A36="","",VLOOKUP($A36,기본데이타!$A$8:$BV$103,COLUMN(기본데이타!U$8),0))</f>
        <v/>
      </c>
      <c r="S36" s="168" t="str">
        <f>IF($A36="","",VLOOKUP($A36,기본데이타!$A$8:$BV$103,COLUMN(기본데이타!V$8),0))</f>
        <v/>
      </c>
      <c r="T36" s="168" t="str">
        <f>IF($A36="","",VLOOKUP($A36,기본데이타!$A$8:$BV$103,COLUMN(기본데이타!W$8),0))</f>
        <v/>
      </c>
      <c r="U36" s="168" t="str">
        <f>IF($A36="","",VLOOKUP($A36,기본데이타!$A$8:$BV$103,COLUMN(기본데이타!X$8),0))</f>
        <v/>
      </c>
      <c r="V36" s="168" t="str">
        <f>IF($A36="","",VLOOKUP($A36,기본데이타!$A$8:$BV$103,COLUMN(기본데이타!Y$8),0))</f>
        <v/>
      </c>
      <c r="W36" s="168" t="str">
        <f>IF($A36="","",VLOOKUP($A36,기본데이타!$A$8:$BV$103,COLUMN(기본데이타!Z$8),0))</f>
        <v/>
      </c>
      <c r="X36" s="168" t="str">
        <f>IF($A36="","",VLOOKUP($A36,기본데이타!$A$8:$BV$103,COLUMN(기본데이타!AA$8),0))</f>
        <v/>
      </c>
      <c r="Y36" s="168" t="str">
        <f>IF($A36="","",VLOOKUP($A36,기본데이타!$A$8:$BV$103,COLUMN(기본데이타!AB$8),0))</f>
        <v/>
      </c>
      <c r="Z36" s="167" t="str">
        <f>IF($A36="","",VLOOKUP($A36,기본데이타!$A$8:$BV$103,COLUMN(기본데이타!AC$8),0))</f>
        <v/>
      </c>
      <c r="AA36" s="168" t="str">
        <f>IF($A36="","",VLOOKUP($A36,기본데이타!$A$8:$BV$103,COLUMN(기본데이타!AD$8),0))</f>
        <v/>
      </c>
      <c r="AB36" s="167" t="str">
        <f>IF($A36="","",VLOOKUP($A36,기본데이타!$A$8:$BV$103,COLUMN(기본데이타!AE$8),0))</f>
        <v/>
      </c>
      <c r="AC36" s="168" t="str">
        <f>IF($A36="","",VLOOKUP($A36,기본데이타!$A$8:$BV$103,COLUMN(기본데이타!AF$8),0))</f>
        <v/>
      </c>
      <c r="AD36" s="167" t="str">
        <f>IF($A36="","",VLOOKUP($A36,기본데이타!$A$8:$BV$103,COLUMN(기본데이타!AG$8),0))</f>
        <v/>
      </c>
      <c r="AE36" s="168" t="str">
        <f>IF($A36="","",VLOOKUP($A36,기본데이타!$A$8:$BV$103,COLUMN(기본데이타!AH$8),0))</f>
        <v/>
      </c>
      <c r="AF36" s="167" t="str">
        <f>IF($A36="","",VLOOKUP($A36,기본데이타!$A$8:$BV$103,COLUMN(기본데이타!AI$8),0))</f>
        <v/>
      </c>
      <c r="AG36" s="169" t="str">
        <f>IF($A36="","",VLOOKUP($A36,기본데이타!$A$8:$BV$103,COLUMN(기본데이타!AJ$8),0))</f>
        <v/>
      </c>
      <c r="AH36" s="364" t="str">
        <f>IF($A36="","",VLOOKUP($A36,기본데이타!$A$8:$BV$103,COLUMN(기본데이타!AK$8),0))</f>
        <v/>
      </c>
      <c r="AI36" s="364" t="str">
        <f>IF($A36="","",VLOOKUP($A36,기본데이타!$A$8:$BV$103,COLUMN(기본데이타!AL$8),0))</f>
        <v/>
      </c>
      <c r="AJ36" s="364" t="str">
        <f>IF($A36="","",VLOOKUP($A36,기본데이타!$A$8:$BV$103,COLUMN(기본데이타!AM$8),0))</f>
        <v/>
      </c>
      <c r="AK36" s="364" t="str">
        <f>IF($A36="","",VLOOKUP($A36,기본데이타!$A$8:$BV$103,COLUMN(기본데이타!AN$8),0))</f>
        <v/>
      </c>
      <c r="AL36" s="364" t="str">
        <f>IF($A36="","",VLOOKUP($A36,기본데이타!$A$8:$BV$103,COLUMN(기본데이타!AO$8),0))</f>
        <v/>
      </c>
      <c r="AM36" s="364" t="str">
        <f>IF($A36="","",VLOOKUP($A36,기본데이타!$A$8:$BV$103,COLUMN(기본데이타!AP$8),0))</f>
        <v/>
      </c>
      <c r="AN36" s="364" t="str">
        <f>IF($A36="","",VLOOKUP($A36,기본데이타!$A$8:$BV$103,COLUMN(기본데이타!AQ$8),0))</f>
        <v/>
      </c>
      <c r="AO36" s="364" t="str">
        <f>IF($A36="","",VLOOKUP($A36,기본데이타!$A$8:$BV$103,COLUMN(기본데이타!AR$8),0))</f>
        <v/>
      </c>
      <c r="AP36" s="364" t="str">
        <f>IF($A36="","",VLOOKUP($A36,기본데이타!$A$8:$BV$103,COLUMN(기본데이타!AS$8),0))</f>
        <v/>
      </c>
      <c r="AQ36" s="364" t="str">
        <f>IF($A36="","",VLOOKUP($A36,기본데이타!$A$8:$BV$103,COLUMN(기본데이타!AT$8),0))</f>
        <v/>
      </c>
      <c r="AR36" s="364" t="str">
        <f>IF($A36="","",VLOOKUP($A36,기본데이타!$A$8:$BV$103,COLUMN(기본데이타!AU$8),0))</f>
        <v/>
      </c>
      <c r="AS36" s="364" t="str">
        <f>IF($A36="","",VLOOKUP($A36,기본데이타!$A$8:$BV$103,COLUMN(기본데이타!AV$8),0))</f>
        <v/>
      </c>
      <c r="AT36" s="358" t="str">
        <f>IF($A36="","",VLOOKUP($A36,기본데이타!$A$8:$BV$103,COLUMN(기본데이타!AW$8),0))</f>
        <v/>
      </c>
      <c r="AU36" s="358" t="str">
        <f>IF($A36="","",VLOOKUP($A36,기본데이타!$A$8:$BV$103,COLUMN(기본데이타!AX$8),0))</f>
        <v/>
      </c>
      <c r="AV36" s="358" t="str">
        <f>IF($A36="","",VLOOKUP($A36,기본데이타!$A$8:$BV$103,COLUMN(기본데이타!AY$8),0))</f>
        <v/>
      </c>
      <c r="AW36" s="358" t="str">
        <f t="shared" si="8"/>
        <v/>
      </c>
      <c r="AX36" s="168" t="str">
        <f>IF($A36="","",VLOOKUP($A36,기본데이타!$A$8:$BV$103,COLUMN(기본데이타!BA$8),0))</f>
        <v/>
      </c>
      <c r="AY36" s="168" t="str">
        <f>IF($A36="","",VLOOKUP($A36,기본데이타!$A$8:$BV$103,COLUMN(기본데이타!BB$8),0))</f>
        <v/>
      </c>
      <c r="AZ36" s="168" t="str">
        <f>IF($A36="","",VLOOKUP($A36,기본데이타!$A$8:$BV$103,COLUMN(기본데이타!BC$8),0))</f>
        <v/>
      </c>
      <c r="BA36" s="168" t="str">
        <f>IF($A36="","",VLOOKUP($A36,기본데이타!$A$8:$BV$103,COLUMN(기본데이타!BD$8),0))</f>
        <v/>
      </c>
      <c r="BB36" s="168" t="str">
        <f>IF($A36="","",VLOOKUP($A36,기본데이타!$A$8:$BV$103,COLUMN(기본데이타!BE$8),0))</f>
        <v/>
      </c>
      <c r="BC36" s="168" t="str">
        <f>IF($A36="","",VLOOKUP($A36,기본데이타!$A$8:$BV$103,COLUMN(기본데이타!BF$8),0))</f>
        <v/>
      </c>
      <c r="BD36" s="168" t="str">
        <f>IF($A36="","",VLOOKUP($A36,기본데이타!$A$8:$BV$103,COLUMN(기본데이타!BG$8),0))</f>
        <v/>
      </c>
      <c r="BE36" s="168" t="str">
        <f>IF($A36="","",VLOOKUP($A36,기본데이타!$A$8:$BV$103,COLUMN(기본데이타!BH$8),0))</f>
        <v/>
      </c>
      <c r="BF36" s="168" t="str">
        <f>IF($A36="","",VLOOKUP($A36,기본데이타!$A$8:$BV$103,COLUMN(기본데이타!BI$8),0))</f>
        <v/>
      </c>
      <c r="BG36" s="168" t="str">
        <f>IF($A36="","",VLOOKUP($A36,기본데이타!$A$8:$BV$103,COLUMN(기본데이타!BJ$8),0))</f>
        <v/>
      </c>
      <c r="BH36" s="168" t="str">
        <f>IF($A36="","",VLOOKUP($A36,기본데이타!$A$8:$BV$103,COLUMN(기본데이타!BK$8),0))</f>
        <v/>
      </c>
      <c r="BI36" s="168" t="str">
        <f>IF($A36="","",VLOOKUP($A36,기본데이타!$A$8:$BV$103,COLUMN(기본데이타!BL$8),0))</f>
        <v/>
      </c>
      <c r="BJ36" s="168" t="str">
        <f>IF($A36="","",VLOOKUP($A36,기본데이타!$A$8:$BV$103,COLUMN(기본데이타!BM$8),0))</f>
        <v/>
      </c>
      <c r="BK36" s="168" t="str">
        <f>IF($A36="","",VLOOKUP($A36,기본데이타!$A$8:$BV$103,COLUMN(기본데이타!BN$8),0))</f>
        <v/>
      </c>
      <c r="BL36" s="168" t="str">
        <f>IF($A36="","",VLOOKUP($A36,기본데이타!$A$8:$BV$103,COLUMN(기본데이타!BO$8),0))</f>
        <v/>
      </c>
      <c r="BM36" s="168" t="str">
        <f>IF($A36="","",VLOOKUP($A36,기본데이타!$A$8:$BV$103,COLUMN(기본데이타!BP$8),0))</f>
        <v/>
      </c>
      <c r="BN36" s="168" t="str">
        <f>IF($A36="","",VLOOKUP($A36,기본데이타!$A$8:$BV$103,COLUMN(기본데이타!BQ$8),0))</f>
        <v/>
      </c>
      <c r="BO36" s="168" t="str">
        <f>IF($A36="","",VLOOKUP($A36,기본데이타!$A$8:$BV$103,COLUMN(기본데이타!BR$8),0))</f>
        <v/>
      </c>
      <c r="BP36" s="168" t="str">
        <f>IF($A36="","",VLOOKUP($A36,기본데이타!$A$8:$BV$103,COLUMN(기본데이타!BS$8),0))</f>
        <v/>
      </c>
      <c r="BQ36" s="980" t="str">
        <f>IF($A36="","",VLOOKUP($A36,기본데이타!$A$8:$BV$103,COLUMN(기본데이타!BT$8),0))</f>
        <v/>
      </c>
      <c r="BR36" s="984" t="str">
        <f>IF($A36="","",VLOOKUP($A36,기본데이타!$A$8:$BV$103,COLUMN(기본데이타!BU$8),0))</f>
        <v/>
      </c>
      <c r="BS36" s="168" t="str">
        <f>IF($A36="","",VLOOKUP($A36,기본데이타!$A$8:$BV$103,COLUMN(기본데이타!BV$8),0))</f>
        <v/>
      </c>
      <c r="BT36" s="981">
        <f t="shared" si="6"/>
        <v>0</v>
      </c>
      <c r="BU36" s="242"/>
    </row>
    <row r="37" spans="1:73" s="7" customFormat="1" ht="73.5" customHeight="1">
      <c r="A37" s="171"/>
      <c r="B37" s="163"/>
      <c r="C37" s="164" t="str">
        <f>IF($A37="","",VLOOKUP($A37,기본데이타!$A$8:$BV$103,COLUMN(기본데이타!F$8),0))</f>
        <v/>
      </c>
      <c r="D37" s="165" t="str">
        <f>IF($A37="","",VLOOKUP($A37,기본데이타!$A$8:$BV$103,COLUMN(기본데이타!G$8),0))</f>
        <v/>
      </c>
      <c r="E37" s="166" t="str">
        <f>IF($A37="","",VLOOKUP($A37,기본데이타!$A$8:$BV$103,COLUMN(기본데이타!H$8),0))</f>
        <v/>
      </c>
      <c r="F37" s="166" t="str">
        <f>IF($A37="","",VLOOKUP($A37,기본데이타!$A$8:$BV$103,COLUMN(기본데이타!I$8),0))</f>
        <v/>
      </c>
      <c r="G37" s="166" t="str">
        <f>IF($A37="","",VLOOKUP($A37,기본데이타!$A$8:$BV$103,COLUMN(기본데이타!J$8),0))</f>
        <v/>
      </c>
      <c r="H37" s="167" t="str">
        <f>IF($A37="","",VLOOKUP($A37,기본데이타!$A$8:$BV$103,COLUMN(기본데이타!K$8),0))</f>
        <v/>
      </c>
      <c r="I37" s="167" t="str">
        <f>IF($A37="","",VLOOKUP($A37,기본데이타!$A$8:$BV$103,COLUMN(기본데이타!L$8),0))</f>
        <v/>
      </c>
      <c r="J37" s="167" t="str">
        <f>IF($A37="","",VLOOKUP($A37,기본데이타!$A$8:$BV$103,COLUMN(기본데이타!M$8),0))</f>
        <v/>
      </c>
      <c r="K37" s="168" t="str">
        <f>IF($A37="","",VLOOKUP($A37,기본데이타!$A$8:$BV$103,COLUMN(기본데이타!N$8),0))</f>
        <v/>
      </c>
      <c r="L37" s="167" t="str">
        <f>IF($A37="","",VLOOKUP($A37,기본데이타!$A$8:$BV$103,COLUMN(기본데이타!O$8),0))</f>
        <v/>
      </c>
      <c r="M37" s="168" t="str">
        <f>IF($A37="","",VLOOKUP($A37,기본데이타!$A$8:$BV$103,COLUMN(기본데이타!P$8),0))</f>
        <v/>
      </c>
      <c r="N37" s="168" t="str">
        <f>IF($A37="","",VLOOKUP($A37,기본데이타!$A$8:$BV$103,COLUMN(기본데이타!Q$8),0))</f>
        <v/>
      </c>
      <c r="O37" s="168" t="str">
        <f>IF($A37="","",VLOOKUP($A37,기본데이타!$A$8:$BV$103,COLUMN(기본데이타!R$8),0))</f>
        <v/>
      </c>
      <c r="P37" s="168" t="str">
        <f>IF($A37="","",VLOOKUP($A37,기본데이타!$A$8:$BV$103,COLUMN(기본데이타!S$8),0))</f>
        <v/>
      </c>
      <c r="Q37" s="168" t="str">
        <f>IF($A37="","",VLOOKUP($A37,기본데이타!$A$8:$BV$103,COLUMN(기본데이타!T$8),0))</f>
        <v/>
      </c>
      <c r="R37" s="168" t="str">
        <f>IF($A37="","",VLOOKUP($A37,기본데이타!$A$8:$BV$103,COLUMN(기본데이타!U$8),0))</f>
        <v/>
      </c>
      <c r="S37" s="168" t="str">
        <f>IF($A37="","",VLOOKUP($A37,기본데이타!$A$8:$BV$103,COLUMN(기본데이타!V$8),0))</f>
        <v/>
      </c>
      <c r="T37" s="168" t="str">
        <f>IF($A37="","",VLOOKUP($A37,기본데이타!$A$8:$BV$103,COLUMN(기본데이타!W$8),0))</f>
        <v/>
      </c>
      <c r="U37" s="168" t="str">
        <f>IF($A37="","",VLOOKUP($A37,기본데이타!$A$8:$BV$103,COLUMN(기본데이타!X$8),0))</f>
        <v/>
      </c>
      <c r="V37" s="168" t="str">
        <f>IF($A37="","",VLOOKUP($A37,기본데이타!$A$8:$BV$103,COLUMN(기본데이타!Y$8),0))</f>
        <v/>
      </c>
      <c r="W37" s="168" t="str">
        <f>IF($A37="","",VLOOKUP($A37,기본데이타!$A$8:$BV$103,COLUMN(기본데이타!Z$8),0))</f>
        <v/>
      </c>
      <c r="X37" s="168" t="str">
        <f>IF($A37="","",VLOOKUP($A37,기본데이타!$A$8:$BV$103,COLUMN(기본데이타!AA$8),0))</f>
        <v/>
      </c>
      <c r="Y37" s="168" t="str">
        <f>IF($A37="","",VLOOKUP($A37,기본데이타!$A$8:$BV$103,COLUMN(기본데이타!AB$8),0))</f>
        <v/>
      </c>
      <c r="Z37" s="167" t="str">
        <f>IF($A37="","",VLOOKUP($A37,기본데이타!$A$8:$BV$103,COLUMN(기본데이타!AC$8),0))</f>
        <v/>
      </c>
      <c r="AA37" s="168" t="str">
        <f>IF($A37="","",VLOOKUP($A37,기본데이타!$A$8:$BV$103,COLUMN(기본데이타!AD$8),0))</f>
        <v/>
      </c>
      <c r="AB37" s="167" t="str">
        <f>IF($A37="","",VLOOKUP($A37,기본데이타!$A$8:$BV$103,COLUMN(기본데이타!AE$8),0))</f>
        <v/>
      </c>
      <c r="AC37" s="168" t="str">
        <f>IF($A37="","",VLOOKUP($A37,기본데이타!$A$8:$BV$103,COLUMN(기본데이타!AF$8),0))</f>
        <v/>
      </c>
      <c r="AD37" s="167" t="str">
        <f>IF($A37="","",VLOOKUP($A37,기본데이타!$A$8:$BV$103,COLUMN(기본데이타!AG$8),0))</f>
        <v/>
      </c>
      <c r="AE37" s="168" t="str">
        <f>IF($A37="","",VLOOKUP($A37,기본데이타!$A$8:$BV$103,COLUMN(기본데이타!AH$8),0))</f>
        <v/>
      </c>
      <c r="AF37" s="167" t="str">
        <f>IF($A37="","",VLOOKUP($A37,기본데이타!$A$8:$BV$103,COLUMN(기본데이타!AI$8),0))</f>
        <v/>
      </c>
      <c r="AG37" s="169" t="str">
        <f>IF($A37="","",VLOOKUP($A37,기본데이타!$A$8:$BV$103,COLUMN(기본데이타!AJ$8),0))</f>
        <v/>
      </c>
      <c r="AH37" s="364" t="str">
        <f>IF($A37="","",VLOOKUP($A37,기본데이타!$A$8:$BV$103,COLUMN(기본데이타!AK$8),0))</f>
        <v/>
      </c>
      <c r="AI37" s="364" t="str">
        <f>IF($A37="","",VLOOKUP($A37,기본데이타!$A$8:$BV$103,COLUMN(기본데이타!AL$8),0))</f>
        <v/>
      </c>
      <c r="AJ37" s="364" t="str">
        <f>IF($A37="","",VLOOKUP($A37,기본데이타!$A$8:$BV$103,COLUMN(기본데이타!AM$8),0))</f>
        <v/>
      </c>
      <c r="AK37" s="364" t="str">
        <f>IF($A37="","",VLOOKUP($A37,기본데이타!$A$8:$BV$103,COLUMN(기본데이타!AN$8),0))</f>
        <v/>
      </c>
      <c r="AL37" s="364" t="str">
        <f>IF($A37="","",VLOOKUP($A37,기본데이타!$A$8:$BV$103,COLUMN(기본데이타!AO$8),0))</f>
        <v/>
      </c>
      <c r="AM37" s="364" t="str">
        <f>IF($A37="","",VLOOKUP($A37,기본데이타!$A$8:$BV$103,COLUMN(기본데이타!AP$8),0))</f>
        <v/>
      </c>
      <c r="AN37" s="364" t="str">
        <f>IF($A37="","",VLOOKUP($A37,기본데이타!$A$8:$BV$103,COLUMN(기본데이타!AQ$8),0))</f>
        <v/>
      </c>
      <c r="AO37" s="364" t="str">
        <f>IF($A37="","",VLOOKUP($A37,기본데이타!$A$8:$BV$103,COLUMN(기본데이타!AR$8),0))</f>
        <v/>
      </c>
      <c r="AP37" s="364" t="str">
        <f>IF($A37="","",VLOOKUP($A37,기본데이타!$A$8:$BV$103,COLUMN(기본데이타!AS$8),0))</f>
        <v/>
      </c>
      <c r="AQ37" s="364" t="str">
        <f>IF($A37="","",VLOOKUP($A37,기본데이타!$A$8:$BV$103,COLUMN(기본데이타!AT$8),0))</f>
        <v/>
      </c>
      <c r="AR37" s="364" t="str">
        <f>IF($A37="","",VLOOKUP($A37,기본데이타!$A$8:$BV$103,COLUMN(기본데이타!AU$8),0))</f>
        <v/>
      </c>
      <c r="AS37" s="364" t="str">
        <f>IF($A37="","",VLOOKUP($A37,기본데이타!$A$8:$BV$103,COLUMN(기본데이타!AV$8),0))</f>
        <v/>
      </c>
      <c r="AT37" s="358" t="str">
        <f>IF($A37="","",VLOOKUP($A37,기본데이타!$A$8:$BV$103,COLUMN(기본데이타!AW$8),0))</f>
        <v/>
      </c>
      <c r="AU37" s="358" t="str">
        <f>IF($A37="","",VLOOKUP($A37,기본데이타!$A$8:$BV$103,COLUMN(기본데이타!AX$8),0))</f>
        <v/>
      </c>
      <c r="AV37" s="358" t="str">
        <f>IF($A37="","",VLOOKUP($A37,기본데이타!$A$8:$BV$103,COLUMN(기본데이타!AY$8),0))</f>
        <v/>
      </c>
      <c r="AW37" s="358" t="str">
        <f t="shared" si="8"/>
        <v/>
      </c>
      <c r="AX37" s="168" t="str">
        <f>IF($A37="","",VLOOKUP($A37,기본데이타!$A$8:$BV$103,COLUMN(기본데이타!BA$8),0))</f>
        <v/>
      </c>
      <c r="AY37" s="168" t="str">
        <f>IF($A37="","",VLOOKUP($A37,기본데이타!$A$8:$BV$103,COLUMN(기본데이타!BB$8),0))</f>
        <v/>
      </c>
      <c r="AZ37" s="168" t="str">
        <f>IF($A37="","",VLOOKUP($A37,기본데이타!$A$8:$BV$103,COLUMN(기본데이타!BC$8),0))</f>
        <v/>
      </c>
      <c r="BA37" s="168" t="str">
        <f>IF($A37="","",VLOOKUP($A37,기본데이타!$A$8:$BV$103,COLUMN(기본데이타!BD$8),0))</f>
        <v/>
      </c>
      <c r="BB37" s="168" t="str">
        <f>IF($A37="","",VLOOKUP($A37,기본데이타!$A$8:$BV$103,COLUMN(기본데이타!BE$8),0))</f>
        <v/>
      </c>
      <c r="BC37" s="168" t="str">
        <f>IF($A37="","",VLOOKUP($A37,기본데이타!$A$8:$BV$103,COLUMN(기본데이타!BF$8),0))</f>
        <v/>
      </c>
      <c r="BD37" s="168" t="str">
        <f>IF($A37="","",VLOOKUP($A37,기본데이타!$A$8:$BV$103,COLUMN(기본데이타!BG$8),0))</f>
        <v/>
      </c>
      <c r="BE37" s="168" t="str">
        <f>IF($A37="","",VLOOKUP($A37,기본데이타!$A$8:$BV$103,COLUMN(기본데이타!BH$8),0))</f>
        <v/>
      </c>
      <c r="BF37" s="168" t="str">
        <f>IF($A37="","",VLOOKUP($A37,기본데이타!$A$8:$BV$103,COLUMN(기본데이타!BI$8),0))</f>
        <v/>
      </c>
      <c r="BG37" s="168" t="str">
        <f>IF($A37="","",VLOOKUP($A37,기본데이타!$A$8:$BV$103,COLUMN(기본데이타!BJ$8),0))</f>
        <v/>
      </c>
      <c r="BH37" s="168" t="str">
        <f>IF($A37="","",VLOOKUP($A37,기본데이타!$A$8:$BV$103,COLUMN(기본데이타!BK$8),0))</f>
        <v/>
      </c>
      <c r="BI37" s="168" t="str">
        <f>IF($A37="","",VLOOKUP($A37,기본데이타!$A$8:$BV$103,COLUMN(기본데이타!BL$8),0))</f>
        <v/>
      </c>
      <c r="BJ37" s="168" t="str">
        <f>IF($A37="","",VLOOKUP($A37,기본데이타!$A$8:$BV$103,COLUMN(기본데이타!BM$8),0))</f>
        <v/>
      </c>
      <c r="BK37" s="168" t="str">
        <f>IF($A37="","",VLOOKUP($A37,기본데이타!$A$8:$BV$103,COLUMN(기본데이타!BN$8),0))</f>
        <v/>
      </c>
      <c r="BL37" s="168" t="str">
        <f>IF($A37="","",VLOOKUP($A37,기본데이타!$A$8:$BV$103,COLUMN(기본데이타!BO$8),0))</f>
        <v/>
      </c>
      <c r="BM37" s="168" t="str">
        <f>IF($A37="","",VLOOKUP($A37,기본데이타!$A$8:$BV$103,COLUMN(기본데이타!BP$8),0))</f>
        <v/>
      </c>
      <c r="BN37" s="168" t="str">
        <f>IF($A37="","",VLOOKUP($A37,기본데이타!$A$8:$BV$103,COLUMN(기본데이타!BQ$8),0))</f>
        <v/>
      </c>
      <c r="BO37" s="168" t="str">
        <f>IF($A37="","",VLOOKUP($A37,기본데이타!$A$8:$BV$103,COLUMN(기본데이타!BR$8),0))</f>
        <v/>
      </c>
      <c r="BP37" s="168" t="str">
        <f>IF($A37="","",VLOOKUP($A37,기본데이타!$A$8:$BV$103,COLUMN(기본데이타!BS$8),0))</f>
        <v/>
      </c>
      <c r="BQ37" s="980" t="str">
        <f>IF($A37="","",VLOOKUP($A37,기본데이타!$A$8:$BV$103,COLUMN(기본데이타!BT$8),0))</f>
        <v/>
      </c>
      <c r="BR37" s="984" t="str">
        <f>IF($A37="","",VLOOKUP($A37,기본데이타!$A$8:$BV$103,COLUMN(기본데이타!BU$8),0))</f>
        <v/>
      </c>
      <c r="BS37" s="168" t="str">
        <f>IF($A37="","",VLOOKUP($A37,기본데이타!$A$8:$BV$103,COLUMN(기본데이타!BV$8),0))</f>
        <v/>
      </c>
      <c r="BT37" s="981">
        <f t="shared" si="6"/>
        <v>0</v>
      </c>
      <c r="BU37" s="242"/>
    </row>
    <row r="38" spans="1:73" s="7" customFormat="1" ht="73.5" customHeight="1">
      <c r="A38" s="171"/>
      <c r="B38" s="163"/>
      <c r="C38" s="164" t="str">
        <f>IF($A38="","",VLOOKUP($A38,기본데이타!$A$8:$BV$103,COLUMN(기본데이타!F$8),0))</f>
        <v/>
      </c>
      <c r="D38" s="165" t="str">
        <f>IF($A38="","",VLOOKUP($A38,기본데이타!$A$8:$BV$103,COLUMN(기본데이타!G$8),0))</f>
        <v/>
      </c>
      <c r="E38" s="166" t="str">
        <f>IF($A38="","",VLOOKUP($A38,기본데이타!$A$8:$BV$103,COLUMN(기본데이타!H$8),0))</f>
        <v/>
      </c>
      <c r="F38" s="166" t="str">
        <f>IF($A38="","",VLOOKUP($A38,기본데이타!$A$8:$BV$103,COLUMN(기본데이타!I$8),0))</f>
        <v/>
      </c>
      <c r="G38" s="166" t="str">
        <f>IF($A38="","",VLOOKUP($A38,기본데이타!$A$8:$BV$103,COLUMN(기본데이타!J$8),0))</f>
        <v/>
      </c>
      <c r="H38" s="167" t="str">
        <f>IF($A38="","",VLOOKUP($A38,기본데이타!$A$8:$BV$103,COLUMN(기본데이타!K$8),0))</f>
        <v/>
      </c>
      <c r="I38" s="167" t="str">
        <f>IF($A38="","",VLOOKUP($A38,기본데이타!$A$8:$BV$103,COLUMN(기본데이타!L$8),0))</f>
        <v/>
      </c>
      <c r="J38" s="167" t="str">
        <f>IF($A38="","",VLOOKUP($A38,기본데이타!$A$8:$BV$103,COLUMN(기본데이타!M$8),0))</f>
        <v/>
      </c>
      <c r="K38" s="168" t="str">
        <f>IF($A38="","",VLOOKUP($A38,기본데이타!$A$8:$BV$103,COLUMN(기본데이타!N$8),0))</f>
        <v/>
      </c>
      <c r="L38" s="167" t="str">
        <f>IF($A38="","",VLOOKUP($A38,기본데이타!$A$8:$BV$103,COLUMN(기본데이타!O$8),0))</f>
        <v/>
      </c>
      <c r="M38" s="168" t="str">
        <f>IF($A38="","",VLOOKUP($A38,기본데이타!$A$8:$BV$103,COLUMN(기본데이타!P$8),0))</f>
        <v/>
      </c>
      <c r="N38" s="168" t="str">
        <f>IF($A38="","",VLOOKUP($A38,기본데이타!$A$8:$BV$103,COLUMN(기본데이타!Q$8),0))</f>
        <v/>
      </c>
      <c r="O38" s="168" t="str">
        <f>IF($A38="","",VLOOKUP($A38,기본데이타!$A$8:$BV$103,COLUMN(기본데이타!R$8),0))</f>
        <v/>
      </c>
      <c r="P38" s="168" t="str">
        <f>IF($A38="","",VLOOKUP($A38,기본데이타!$A$8:$BV$103,COLUMN(기본데이타!S$8),0))</f>
        <v/>
      </c>
      <c r="Q38" s="168" t="str">
        <f>IF($A38="","",VLOOKUP($A38,기본데이타!$A$8:$BV$103,COLUMN(기본데이타!T$8),0))</f>
        <v/>
      </c>
      <c r="R38" s="168" t="str">
        <f>IF($A38="","",VLOOKUP($A38,기본데이타!$A$8:$BV$103,COLUMN(기본데이타!U$8),0))</f>
        <v/>
      </c>
      <c r="S38" s="168" t="str">
        <f>IF($A38="","",VLOOKUP($A38,기본데이타!$A$8:$BV$103,COLUMN(기본데이타!V$8),0))</f>
        <v/>
      </c>
      <c r="T38" s="168" t="str">
        <f>IF($A38="","",VLOOKUP($A38,기본데이타!$A$8:$BV$103,COLUMN(기본데이타!W$8),0))</f>
        <v/>
      </c>
      <c r="U38" s="168" t="str">
        <f>IF($A38="","",VLOOKUP($A38,기본데이타!$A$8:$BV$103,COLUMN(기본데이타!X$8),0))</f>
        <v/>
      </c>
      <c r="V38" s="168" t="str">
        <f>IF($A38="","",VLOOKUP($A38,기본데이타!$A$8:$BV$103,COLUMN(기본데이타!Y$8),0))</f>
        <v/>
      </c>
      <c r="W38" s="168" t="str">
        <f>IF($A38="","",VLOOKUP($A38,기본데이타!$A$8:$BV$103,COLUMN(기본데이타!Z$8),0))</f>
        <v/>
      </c>
      <c r="X38" s="168" t="str">
        <f>IF($A38="","",VLOOKUP($A38,기본데이타!$A$8:$BV$103,COLUMN(기본데이타!AA$8),0))</f>
        <v/>
      </c>
      <c r="Y38" s="168" t="str">
        <f>IF($A38="","",VLOOKUP($A38,기본데이타!$A$8:$BV$103,COLUMN(기본데이타!AB$8),0))</f>
        <v/>
      </c>
      <c r="Z38" s="167" t="str">
        <f>IF($A38="","",VLOOKUP($A38,기본데이타!$A$8:$BV$103,COLUMN(기본데이타!AC$8),0))</f>
        <v/>
      </c>
      <c r="AA38" s="168" t="str">
        <f>IF($A38="","",VLOOKUP($A38,기본데이타!$A$8:$BV$103,COLUMN(기본데이타!AD$8),0))</f>
        <v/>
      </c>
      <c r="AB38" s="167" t="str">
        <f>IF($A38="","",VLOOKUP($A38,기본데이타!$A$8:$BV$103,COLUMN(기본데이타!AE$8),0))</f>
        <v/>
      </c>
      <c r="AC38" s="168" t="str">
        <f>IF($A38="","",VLOOKUP($A38,기본데이타!$A$8:$BV$103,COLUMN(기본데이타!AF$8),0))</f>
        <v/>
      </c>
      <c r="AD38" s="167" t="str">
        <f>IF($A38="","",VLOOKUP($A38,기본데이타!$A$8:$BV$103,COLUMN(기본데이타!AG$8),0))</f>
        <v/>
      </c>
      <c r="AE38" s="168" t="str">
        <f>IF($A38="","",VLOOKUP($A38,기본데이타!$A$8:$BV$103,COLUMN(기본데이타!AH$8),0))</f>
        <v/>
      </c>
      <c r="AF38" s="167" t="str">
        <f>IF($A38="","",VLOOKUP($A38,기본데이타!$A$8:$BV$103,COLUMN(기본데이타!AI$8),0))</f>
        <v/>
      </c>
      <c r="AG38" s="169" t="str">
        <f>IF($A38="","",VLOOKUP($A38,기본데이타!$A$8:$BV$103,COLUMN(기본데이타!AJ$8),0))</f>
        <v/>
      </c>
      <c r="AH38" s="364" t="str">
        <f>IF($A38="","",VLOOKUP($A38,기본데이타!$A$8:$BV$103,COLUMN(기본데이타!AK$8),0))</f>
        <v/>
      </c>
      <c r="AI38" s="364" t="str">
        <f>IF($A38="","",VLOOKUP($A38,기본데이타!$A$8:$BV$103,COLUMN(기본데이타!AL$8),0))</f>
        <v/>
      </c>
      <c r="AJ38" s="364" t="str">
        <f>IF($A38="","",VLOOKUP($A38,기본데이타!$A$8:$BV$103,COLUMN(기본데이타!AM$8),0))</f>
        <v/>
      </c>
      <c r="AK38" s="364" t="str">
        <f>IF($A38="","",VLOOKUP($A38,기본데이타!$A$8:$BV$103,COLUMN(기본데이타!AN$8),0))</f>
        <v/>
      </c>
      <c r="AL38" s="364" t="str">
        <f>IF($A38="","",VLOOKUP($A38,기본데이타!$A$8:$BV$103,COLUMN(기본데이타!AO$8),0))</f>
        <v/>
      </c>
      <c r="AM38" s="364" t="str">
        <f>IF($A38="","",VLOOKUP($A38,기본데이타!$A$8:$BV$103,COLUMN(기본데이타!AP$8),0))</f>
        <v/>
      </c>
      <c r="AN38" s="364" t="str">
        <f>IF($A38="","",VLOOKUP($A38,기본데이타!$A$8:$BV$103,COLUMN(기본데이타!AQ$8),0))</f>
        <v/>
      </c>
      <c r="AO38" s="364" t="str">
        <f>IF($A38="","",VLOOKUP($A38,기본데이타!$A$8:$BV$103,COLUMN(기본데이타!AR$8),0))</f>
        <v/>
      </c>
      <c r="AP38" s="364" t="str">
        <f>IF($A38="","",VLOOKUP($A38,기본데이타!$A$8:$BV$103,COLUMN(기본데이타!AS$8),0))</f>
        <v/>
      </c>
      <c r="AQ38" s="364" t="str">
        <f>IF($A38="","",VLOOKUP($A38,기본데이타!$A$8:$BV$103,COLUMN(기본데이타!AT$8),0))</f>
        <v/>
      </c>
      <c r="AR38" s="364" t="str">
        <f>IF($A38="","",VLOOKUP($A38,기본데이타!$A$8:$BV$103,COLUMN(기본데이타!AU$8),0))</f>
        <v/>
      </c>
      <c r="AS38" s="364" t="str">
        <f>IF($A38="","",VLOOKUP($A38,기본데이타!$A$8:$BV$103,COLUMN(기본데이타!AV$8),0))</f>
        <v/>
      </c>
      <c r="AT38" s="358" t="str">
        <f>IF($A38="","",VLOOKUP($A38,기본데이타!$A$8:$BV$103,COLUMN(기본데이타!AW$8),0))</f>
        <v/>
      </c>
      <c r="AU38" s="358" t="str">
        <f>IF($A38="","",VLOOKUP($A38,기본데이타!$A$8:$BV$103,COLUMN(기본데이타!AX$8),0))</f>
        <v/>
      </c>
      <c r="AV38" s="358" t="str">
        <f>IF($A38="","",VLOOKUP($A38,기본데이타!$A$8:$BV$103,COLUMN(기본데이타!AY$8),0))</f>
        <v/>
      </c>
      <c r="AW38" s="358" t="str">
        <f t="shared" si="8"/>
        <v/>
      </c>
      <c r="AX38" s="168" t="str">
        <f>IF($A38="","",VLOOKUP($A38,기본데이타!$A$8:$BV$103,COLUMN(기본데이타!BA$8),0))</f>
        <v/>
      </c>
      <c r="AY38" s="168" t="str">
        <f>IF($A38="","",VLOOKUP($A38,기본데이타!$A$8:$BV$103,COLUMN(기본데이타!BB$8),0))</f>
        <v/>
      </c>
      <c r="AZ38" s="168" t="str">
        <f>IF($A38="","",VLOOKUP($A38,기본데이타!$A$8:$BV$103,COLUMN(기본데이타!BC$8),0))</f>
        <v/>
      </c>
      <c r="BA38" s="168" t="str">
        <f>IF($A38="","",VLOOKUP($A38,기본데이타!$A$8:$BV$103,COLUMN(기본데이타!BD$8),0))</f>
        <v/>
      </c>
      <c r="BB38" s="168" t="str">
        <f>IF($A38="","",VLOOKUP($A38,기본데이타!$A$8:$BV$103,COLUMN(기본데이타!BE$8),0))</f>
        <v/>
      </c>
      <c r="BC38" s="168" t="str">
        <f>IF($A38="","",VLOOKUP($A38,기본데이타!$A$8:$BV$103,COLUMN(기본데이타!BF$8),0))</f>
        <v/>
      </c>
      <c r="BD38" s="168" t="str">
        <f>IF($A38="","",VLOOKUP($A38,기본데이타!$A$8:$BV$103,COLUMN(기본데이타!BG$8),0))</f>
        <v/>
      </c>
      <c r="BE38" s="168" t="str">
        <f>IF($A38="","",VLOOKUP($A38,기본데이타!$A$8:$BV$103,COLUMN(기본데이타!BH$8),0))</f>
        <v/>
      </c>
      <c r="BF38" s="168" t="str">
        <f>IF($A38="","",VLOOKUP($A38,기본데이타!$A$8:$BV$103,COLUMN(기본데이타!BI$8),0))</f>
        <v/>
      </c>
      <c r="BG38" s="168" t="str">
        <f>IF($A38="","",VLOOKUP($A38,기본데이타!$A$8:$BV$103,COLUMN(기본데이타!BJ$8),0))</f>
        <v/>
      </c>
      <c r="BH38" s="168" t="str">
        <f>IF($A38="","",VLOOKUP($A38,기본데이타!$A$8:$BV$103,COLUMN(기본데이타!BK$8),0))</f>
        <v/>
      </c>
      <c r="BI38" s="168" t="str">
        <f>IF($A38="","",VLOOKUP($A38,기본데이타!$A$8:$BV$103,COLUMN(기본데이타!BL$8),0))</f>
        <v/>
      </c>
      <c r="BJ38" s="168" t="str">
        <f>IF($A38="","",VLOOKUP($A38,기본데이타!$A$8:$BV$103,COLUMN(기본데이타!BM$8),0))</f>
        <v/>
      </c>
      <c r="BK38" s="168" t="str">
        <f>IF($A38="","",VLOOKUP($A38,기본데이타!$A$8:$BV$103,COLUMN(기본데이타!BN$8),0))</f>
        <v/>
      </c>
      <c r="BL38" s="168" t="str">
        <f>IF($A38="","",VLOOKUP($A38,기본데이타!$A$8:$BV$103,COLUMN(기본데이타!BO$8),0))</f>
        <v/>
      </c>
      <c r="BM38" s="168" t="str">
        <f>IF($A38="","",VLOOKUP($A38,기본데이타!$A$8:$BV$103,COLUMN(기본데이타!BP$8),0))</f>
        <v/>
      </c>
      <c r="BN38" s="168" t="str">
        <f>IF($A38="","",VLOOKUP($A38,기본데이타!$A$8:$BV$103,COLUMN(기본데이타!BQ$8),0))</f>
        <v/>
      </c>
      <c r="BO38" s="168" t="str">
        <f>IF($A38="","",VLOOKUP($A38,기본데이타!$A$8:$BV$103,COLUMN(기본데이타!BR$8),0))</f>
        <v/>
      </c>
      <c r="BP38" s="168" t="str">
        <f>IF($A38="","",VLOOKUP($A38,기본데이타!$A$8:$BV$103,COLUMN(기본데이타!BS$8),0))</f>
        <v/>
      </c>
      <c r="BQ38" s="980" t="str">
        <f>IF($A38="","",VLOOKUP($A38,기본데이타!$A$8:$BV$103,COLUMN(기본데이타!BT$8),0))</f>
        <v/>
      </c>
      <c r="BR38" s="984" t="str">
        <f>IF($A38="","",VLOOKUP($A38,기본데이타!$A$8:$BV$103,COLUMN(기본데이타!BU$8),0))</f>
        <v/>
      </c>
      <c r="BS38" s="168" t="str">
        <f>IF($A38="","",VLOOKUP($A38,기본데이타!$A$8:$BV$103,COLUMN(기본데이타!BV$8),0))</f>
        <v/>
      </c>
      <c r="BT38" s="981">
        <f t="shared" si="6"/>
        <v>0</v>
      </c>
      <c r="BU38" s="242"/>
    </row>
    <row r="39" spans="1:73" s="7" customFormat="1" ht="73.5" customHeight="1">
      <c r="A39" s="171"/>
      <c r="B39" s="163"/>
      <c r="C39" s="164" t="str">
        <f>IF($A39="","",VLOOKUP($A39,기본데이타!$A$8:$BV$103,COLUMN(기본데이타!F$8),0))</f>
        <v/>
      </c>
      <c r="D39" s="165" t="str">
        <f>IF($A39="","",VLOOKUP($A39,기본데이타!$A$8:$BV$103,COLUMN(기본데이타!G$8),0))</f>
        <v/>
      </c>
      <c r="E39" s="166" t="str">
        <f>IF($A39="","",VLOOKUP($A39,기본데이타!$A$8:$BV$103,COLUMN(기본데이타!H$8),0))</f>
        <v/>
      </c>
      <c r="F39" s="166" t="str">
        <f>IF($A39="","",VLOOKUP($A39,기본데이타!$A$8:$BV$103,COLUMN(기본데이타!I$8),0))</f>
        <v/>
      </c>
      <c r="G39" s="166" t="str">
        <f>IF($A39="","",VLOOKUP($A39,기본데이타!$A$8:$BV$103,COLUMN(기본데이타!J$8),0))</f>
        <v/>
      </c>
      <c r="H39" s="167" t="str">
        <f>IF($A39="","",VLOOKUP($A39,기본데이타!$A$8:$BV$103,COLUMN(기본데이타!K$8),0))</f>
        <v/>
      </c>
      <c r="I39" s="167" t="str">
        <f>IF($A39="","",VLOOKUP($A39,기본데이타!$A$8:$BV$103,COLUMN(기본데이타!L$8),0))</f>
        <v/>
      </c>
      <c r="J39" s="167" t="str">
        <f>IF($A39="","",VLOOKUP($A39,기본데이타!$A$8:$BV$103,COLUMN(기본데이타!M$8),0))</f>
        <v/>
      </c>
      <c r="K39" s="168" t="str">
        <f>IF($A39="","",VLOOKUP($A39,기본데이타!$A$8:$BV$103,COLUMN(기본데이타!N$8),0))</f>
        <v/>
      </c>
      <c r="L39" s="167" t="str">
        <f>IF($A39="","",VLOOKUP($A39,기본데이타!$A$8:$BV$103,COLUMN(기본데이타!O$8),0))</f>
        <v/>
      </c>
      <c r="M39" s="168" t="str">
        <f>IF($A39="","",VLOOKUP($A39,기본데이타!$A$8:$BV$103,COLUMN(기본데이타!P$8),0))</f>
        <v/>
      </c>
      <c r="N39" s="168" t="str">
        <f>IF($A39="","",VLOOKUP($A39,기본데이타!$A$8:$BV$103,COLUMN(기본데이타!Q$8),0))</f>
        <v/>
      </c>
      <c r="O39" s="168" t="str">
        <f>IF($A39="","",VLOOKUP($A39,기본데이타!$A$8:$BV$103,COLUMN(기본데이타!R$8),0))</f>
        <v/>
      </c>
      <c r="P39" s="168" t="str">
        <f>IF($A39="","",VLOOKUP($A39,기본데이타!$A$8:$BV$103,COLUMN(기본데이타!S$8),0))</f>
        <v/>
      </c>
      <c r="Q39" s="168" t="str">
        <f>IF($A39="","",VLOOKUP($A39,기본데이타!$A$8:$BV$103,COLUMN(기본데이타!T$8),0))</f>
        <v/>
      </c>
      <c r="R39" s="168" t="str">
        <f>IF($A39="","",VLOOKUP($A39,기본데이타!$A$8:$BV$103,COLUMN(기본데이타!U$8),0))</f>
        <v/>
      </c>
      <c r="S39" s="168" t="str">
        <f>IF($A39="","",VLOOKUP($A39,기본데이타!$A$8:$BV$103,COLUMN(기본데이타!V$8),0))</f>
        <v/>
      </c>
      <c r="T39" s="168" t="str">
        <f>IF($A39="","",VLOOKUP($A39,기본데이타!$A$8:$BV$103,COLUMN(기본데이타!W$8),0))</f>
        <v/>
      </c>
      <c r="U39" s="168" t="str">
        <f>IF($A39="","",VLOOKUP($A39,기본데이타!$A$8:$BV$103,COLUMN(기본데이타!X$8),0))</f>
        <v/>
      </c>
      <c r="V39" s="168" t="str">
        <f>IF($A39="","",VLOOKUP($A39,기본데이타!$A$8:$BV$103,COLUMN(기본데이타!Y$8),0))</f>
        <v/>
      </c>
      <c r="W39" s="168" t="str">
        <f>IF($A39="","",VLOOKUP($A39,기본데이타!$A$8:$BV$103,COLUMN(기본데이타!Z$8),0))</f>
        <v/>
      </c>
      <c r="X39" s="168" t="str">
        <f>IF($A39="","",VLOOKUP($A39,기본데이타!$A$8:$BV$103,COLUMN(기본데이타!AA$8),0))</f>
        <v/>
      </c>
      <c r="Y39" s="168" t="str">
        <f>IF($A39="","",VLOOKUP($A39,기본데이타!$A$8:$BV$103,COLUMN(기본데이타!AB$8),0))</f>
        <v/>
      </c>
      <c r="Z39" s="167" t="str">
        <f>IF($A39="","",VLOOKUP($A39,기본데이타!$A$8:$BV$103,COLUMN(기본데이타!AC$8),0))</f>
        <v/>
      </c>
      <c r="AA39" s="168" t="str">
        <f>IF($A39="","",VLOOKUP($A39,기본데이타!$A$8:$BV$103,COLUMN(기본데이타!AD$8),0))</f>
        <v/>
      </c>
      <c r="AB39" s="167" t="str">
        <f>IF($A39="","",VLOOKUP($A39,기본데이타!$A$8:$BV$103,COLUMN(기본데이타!AE$8),0))</f>
        <v/>
      </c>
      <c r="AC39" s="168" t="str">
        <f>IF($A39="","",VLOOKUP($A39,기본데이타!$A$8:$BV$103,COLUMN(기본데이타!AF$8),0))</f>
        <v/>
      </c>
      <c r="AD39" s="167" t="str">
        <f>IF($A39="","",VLOOKUP($A39,기본데이타!$A$8:$BV$103,COLUMN(기본데이타!AG$8),0))</f>
        <v/>
      </c>
      <c r="AE39" s="168" t="str">
        <f>IF($A39="","",VLOOKUP($A39,기본데이타!$A$8:$BV$103,COLUMN(기본데이타!AH$8),0))</f>
        <v/>
      </c>
      <c r="AF39" s="167" t="str">
        <f>IF($A39="","",VLOOKUP($A39,기본데이타!$A$8:$BV$103,COLUMN(기본데이타!AI$8),0))</f>
        <v/>
      </c>
      <c r="AG39" s="169" t="str">
        <f>IF($A39="","",VLOOKUP($A39,기본데이타!$A$8:$BV$103,COLUMN(기본데이타!AJ$8),0))</f>
        <v/>
      </c>
      <c r="AH39" s="364" t="str">
        <f>IF($A39="","",VLOOKUP($A39,기본데이타!$A$8:$BV$103,COLUMN(기본데이타!AK$8),0))</f>
        <v/>
      </c>
      <c r="AI39" s="364" t="str">
        <f>IF($A39="","",VLOOKUP($A39,기본데이타!$A$8:$BV$103,COLUMN(기본데이타!AL$8),0))</f>
        <v/>
      </c>
      <c r="AJ39" s="364" t="str">
        <f>IF($A39="","",VLOOKUP($A39,기본데이타!$A$8:$BV$103,COLUMN(기본데이타!AM$8),0))</f>
        <v/>
      </c>
      <c r="AK39" s="364" t="str">
        <f>IF($A39="","",VLOOKUP($A39,기본데이타!$A$8:$BV$103,COLUMN(기본데이타!AN$8),0))</f>
        <v/>
      </c>
      <c r="AL39" s="364" t="str">
        <f>IF($A39="","",VLOOKUP($A39,기본데이타!$A$8:$BV$103,COLUMN(기본데이타!AO$8),0))</f>
        <v/>
      </c>
      <c r="AM39" s="364" t="str">
        <f>IF($A39="","",VLOOKUP($A39,기본데이타!$A$8:$BV$103,COLUMN(기본데이타!AP$8),0))</f>
        <v/>
      </c>
      <c r="AN39" s="364" t="str">
        <f>IF($A39="","",VLOOKUP($A39,기본데이타!$A$8:$BV$103,COLUMN(기본데이타!AQ$8),0))</f>
        <v/>
      </c>
      <c r="AO39" s="364" t="str">
        <f>IF($A39="","",VLOOKUP($A39,기본데이타!$A$8:$BV$103,COLUMN(기본데이타!AR$8),0))</f>
        <v/>
      </c>
      <c r="AP39" s="364" t="str">
        <f>IF($A39="","",VLOOKUP($A39,기본데이타!$A$8:$BV$103,COLUMN(기본데이타!AS$8),0))</f>
        <v/>
      </c>
      <c r="AQ39" s="364" t="str">
        <f>IF($A39="","",VLOOKUP($A39,기본데이타!$A$8:$BV$103,COLUMN(기본데이타!AT$8),0))</f>
        <v/>
      </c>
      <c r="AR39" s="364" t="str">
        <f>IF($A39="","",VLOOKUP($A39,기본데이타!$A$8:$BV$103,COLUMN(기본데이타!AU$8),0))</f>
        <v/>
      </c>
      <c r="AS39" s="364" t="str">
        <f>IF($A39="","",VLOOKUP($A39,기본데이타!$A$8:$BV$103,COLUMN(기본데이타!AV$8),0))</f>
        <v/>
      </c>
      <c r="AT39" s="358" t="str">
        <f>IF($A39="","",VLOOKUP($A39,기본데이타!$A$8:$BV$103,COLUMN(기본데이타!AW$8),0))</f>
        <v/>
      </c>
      <c r="AU39" s="358" t="str">
        <f>IF($A39="","",VLOOKUP($A39,기본데이타!$A$8:$BV$103,COLUMN(기본데이타!AX$8),0))</f>
        <v/>
      </c>
      <c r="AV39" s="358" t="str">
        <f>IF($A39="","",VLOOKUP($A39,기본데이타!$A$8:$BV$103,COLUMN(기본데이타!AY$8),0))</f>
        <v/>
      </c>
      <c r="AW39" s="358" t="str">
        <f t="shared" si="8"/>
        <v/>
      </c>
      <c r="AX39" s="168" t="str">
        <f>IF($A39="","",VLOOKUP($A39,기본데이타!$A$8:$BV$103,COLUMN(기본데이타!BA$8),0))</f>
        <v/>
      </c>
      <c r="AY39" s="168" t="str">
        <f>IF($A39="","",VLOOKUP($A39,기본데이타!$A$8:$BV$103,COLUMN(기본데이타!BB$8),0))</f>
        <v/>
      </c>
      <c r="AZ39" s="168" t="str">
        <f>IF($A39="","",VLOOKUP($A39,기본데이타!$A$8:$BV$103,COLUMN(기본데이타!BC$8),0))</f>
        <v/>
      </c>
      <c r="BA39" s="168" t="str">
        <f>IF($A39="","",VLOOKUP($A39,기본데이타!$A$8:$BV$103,COLUMN(기본데이타!BD$8),0))</f>
        <v/>
      </c>
      <c r="BB39" s="168" t="str">
        <f>IF($A39="","",VLOOKUP($A39,기본데이타!$A$8:$BV$103,COLUMN(기본데이타!BE$8),0))</f>
        <v/>
      </c>
      <c r="BC39" s="168" t="str">
        <f>IF($A39="","",VLOOKUP($A39,기본데이타!$A$8:$BV$103,COLUMN(기본데이타!BF$8),0))</f>
        <v/>
      </c>
      <c r="BD39" s="168" t="str">
        <f>IF($A39="","",VLOOKUP($A39,기본데이타!$A$8:$BV$103,COLUMN(기본데이타!BG$8),0))</f>
        <v/>
      </c>
      <c r="BE39" s="168" t="str">
        <f>IF($A39="","",VLOOKUP($A39,기본데이타!$A$8:$BV$103,COLUMN(기본데이타!BH$8),0))</f>
        <v/>
      </c>
      <c r="BF39" s="168" t="str">
        <f>IF($A39="","",VLOOKUP($A39,기본데이타!$A$8:$BV$103,COLUMN(기본데이타!BI$8),0))</f>
        <v/>
      </c>
      <c r="BG39" s="168" t="str">
        <f>IF($A39="","",VLOOKUP($A39,기본데이타!$A$8:$BV$103,COLUMN(기본데이타!BJ$8),0))</f>
        <v/>
      </c>
      <c r="BH39" s="168" t="str">
        <f>IF($A39="","",VLOOKUP($A39,기본데이타!$A$8:$BV$103,COLUMN(기본데이타!BK$8),0))</f>
        <v/>
      </c>
      <c r="BI39" s="168" t="str">
        <f>IF($A39="","",VLOOKUP($A39,기본데이타!$A$8:$BV$103,COLUMN(기본데이타!BL$8),0))</f>
        <v/>
      </c>
      <c r="BJ39" s="168" t="str">
        <f>IF($A39="","",VLOOKUP($A39,기본데이타!$A$8:$BV$103,COLUMN(기본데이타!BM$8),0))</f>
        <v/>
      </c>
      <c r="BK39" s="168" t="str">
        <f>IF($A39="","",VLOOKUP($A39,기본데이타!$A$8:$BV$103,COLUMN(기본데이타!BN$8),0))</f>
        <v/>
      </c>
      <c r="BL39" s="168" t="str">
        <f>IF($A39="","",VLOOKUP($A39,기본데이타!$A$8:$BV$103,COLUMN(기본데이타!BO$8),0))</f>
        <v/>
      </c>
      <c r="BM39" s="168" t="str">
        <f>IF($A39="","",VLOOKUP($A39,기본데이타!$A$8:$BV$103,COLUMN(기본데이타!BP$8),0))</f>
        <v/>
      </c>
      <c r="BN39" s="168" t="str">
        <f>IF($A39="","",VLOOKUP($A39,기본데이타!$A$8:$BV$103,COLUMN(기본데이타!BQ$8),0))</f>
        <v/>
      </c>
      <c r="BO39" s="168" t="str">
        <f>IF($A39="","",VLOOKUP($A39,기본데이타!$A$8:$BV$103,COLUMN(기본데이타!BR$8),0))</f>
        <v/>
      </c>
      <c r="BP39" s="168" t="str">
        <f>IF($A39="","",VLOOKUP($A39,기본데이타!$A$8:$BV$103,COLUMN(기본데이타!BS$8),0))</f>
        <v/>
      </c>
      <c r="BQ39" s="980" t="str">
        <f>IF($A39="","",VLOOKUP($A39,기본데이타!$A$8:$BV$103,COLUMN(기본데이타!BT$8),0))</f>
        <v/>
      </c>
      <c r="BR39" s="984" t="str">
        <f>IF($A39="","",VLOOKUP($A39,기본데이타!$A$8:$BV$103,COLUMN(기본데이타!BU$8),0))</f>
        <v/>
      </c>
      <c r="BS39" s="168" t="str">
        <f>IF($A39="","",VLOOKUP($A39,기본데이타!$A$8:$BV$103,COLUMN(기본데이타!BV$8),0))</f>
        <v/>
      </c>
      <c r="BT39" s="981">
        <f t="shared" si="6"/>
        <v>0</v>
      </c>
      <c r="BU39" s="242"/>
    </row>
    <row r="40" spans="1:73" s="7" customFormat="1" ht="73.5" customHeight="1">
      <c r="A40" s="171"/>
      <c r="B40" s="163"/>
      <c r="C40" s="164" t="str">
        <f>IF($A40="","",VLOOKUP($A40,기본데이타!$A$8:$BV$103,COLUMN(기본데이타!F$8),0))</f>
        <v/>
      </c>
      <c r="D40" s="165" t="str">
        <f>IF($A40="","",VLOOKUP($A40,기본데이타!$A$8:$BV$103,COLUMN(기본데이타!G$8),0))</f>
        <v/>
      </c>
      <c r="E40" s="166" t="str">
        <f>IF($A40="","",VLOOKUP($A40,기본데이타!$A$8:$BV$103,COLUMN(기본데이타!H$8),0))</f>
        <v/>
      </c>
      <c r="F40" s="166" t="str">
        <f>IF($A40="","",VLOOKUP($A40,기본데이타!$A$8:$BV$103,COLUMN(기본데이타!I$8),0))</f>
        <v/>
      </c>
      <c r="G40" s="166" t="str">
        <f>IF($A40="","",VLOOKUP($A40,기본데이타!$A$8:$BV$103,COLUMN(기본데이타!J$8),0))</f>
        <v/>
      </c>
      <c r="H40" s="167" t="str">
        <f>IF($A40="","",VLOOKUP($A40,기본데이타!$A$8:$BV$103,COLUMN(기본데이타!K$8),0))</f>
        <v/>
      </c>
      <c r="I40" s="167" t="str">
        <f>IF($A40="","",VLOOKUP($A40,기본데이타!$A$8:$BV$103,COLUMN(기본데이타!L$8),0))</f>
        <v/>
      </c>
      <c r="J40" s="167" t="str">
        <f>IF($A40="","",VLOOKUP($A40,기본데이타!$A$8:$BV$103,COLUMN(기본데이타!M$8),0))</f>
        <v/>
      </c>
      <c r="K40" s="168" t="str">
        <f>IF($A40="","",VLOOKUP($A40,기본데이타!$A$8:$BV$103,COLUMN(기본데이타!N$8),0))</f>
        <v/>
      </c>
      <c r="L40" s="167" t="str">
        <f>IF($A40="","",VLOOKUP($A40,기본데이타!$A$8:$BV$103,COLUMN(기본데이타!O$8),0))</f>
        <v/>
      </c>
      <c r="M40" s="168" t="str">
        <f>IF($A40="","",VLOOKUP($A40,기본데이타!$A$8:$BV$103,COLUMN(기본데이타!P$8),0))</f>
        <v/>
      </c>
      <c r="N40" s="168" t="str">
        <f>IF($A40="","",VLOOKUP($A40,기본데이타!$A$8:$BV$103,COLUMN(기본데이타!Q$8),0))</f>
        <v/>
      </c>
      <c r="O40" s="168" t="str">
        <f>IF($A40="","",VLOOKUP($A40,기본데이타!$A$8:$BV$103,COLUMN(기본데이타!R$8),0))</f>
        <v/>
      </c>
      <c r="P40" s="168" t="str">
        <f>IF($A40="","",VLOOKUP($A40,기본데이타!$A$8:$BV$103,COLUMN(기본데이타!S$8),0))</f>
        <v/>
      </c>
      <c r="Q40" s="168" t="str">
        <f>IF($A40="","",VLOOKUP($A40,기본데이타!$A$8:$BV$103,COLUMN(기본데이타!T$8),0))</f>
        <v/>
      </c>
      <c r="R40" s="168" t="str">
        <f>IF($A40="","",VLOOKUP($A40,기본데이타!$A$8:$BV$103,COLUMN(기본데이타!U$8),0))</f>
        <v/>
      </c>
      <c r="S40" s="168" t="str">
        <f>IF($A40="","",VLOOKUP($A40,기본데이타!$A$8:$BV$103,COLUMN(기본데이타!V$8),0))</f>
        <v/>
      </c>
      <c r="T40" s="168" t="str">
        <f>IF($A40="","",VLOOKUP($A40,기본데이타!$A$8:$BV$103,COLUMN(기본데이타!W$8),0))</f>
        <v/>
      </c>
      <c r="U40" s="168" t="str">
        <f>IF($A40="","",VLOOKUP($A40,기본데이타!$A$8:$BV$103,COLUMN(기본데이타!X$8),0))</f>
        <v/>
      </c>
      <c r="V40" s="168" t="str">
        <f>IF($A40="","",VLOOKUP($A40,기본데이타!$A$8:$BV$103,COLUMN(기본데이타!Y$8),0))</f>
        <v/>
      </c>
      <c r="W40" s="168" t="str">
        <f>IF($A40="","",VLOOKUP($A40,기본데이타!$A$8:$BV$103,COLUMN(기본데이타!Z$8),0))</f>
        <v/>
      </c>
      <c r="X40" s="168" t="str">
        <f>IF($A40="","",VLOOKUP($A40,기본데이타!$A$8:$BV$103,COLUMN(기본데이타!AA$8),0))</f>
        <v/>
      </c>
      <c r="Y40" s="168" t="str">
        <f>IF($A40="","",VLOOKUP($A40,기본데이타!$A$8:$BV$103,COLUMN(기본데이타!AB$8),0))</f>
        <v/>
      </c>
      <c r="Z40" s="167" t="str">
        <f>IF($A40="","",VLOOKUP($A40,기본데이타!$A$8:$BV$103,COLUMN(기본데이타!AC$8),0))</f>
        <v/>
      </c>
      <c r="AA40" s="168" t="str">
        <f>IF($A40="","",VLOOKUP($A40,기본데이타!$A$8:$BV$103,COLUMN(기본데이타!AD$8),0))</f>
        <v/>
      </c>
      <c r="AB40" s="167" t="str">
        <f>IF($A40="","",VLOOKUP($A40,기본데이타!$A$8:$BV$103,COLUMN(기본데이타!AE$8),0))</f>
        <v/>
      </c>
      <c r="AC40" s="168" t="str">
        <f>IF($A40="","",VLOOKUP($A40,기본데이타!$A$8:$BV$103,COLUMN(기본데이타!AF$8),0))</f>
        <v/>
      </c>
      <c r="AD40" s="167" t="str">
        <f>IF($A40="","",VLOOKUP($A40,기본데이타!$A$8:$BV$103,COLUMN(기본데이타!AG$8),0))</f>
        <v/>
      </c>
      <c r="AE40" s="168" t="str">
        <f>IF($A40="","",VLOOKUP($A40,기본데이타!$A$8:$BV$103,COLUMN(기본데이타!AH$8),0))</f>
        <v/>
      </c>
      <c r="AF40" s="167" t="str">
        <f>IF($A40="","",VLOOKUP($A40,기본데이타!$A$8:$BV$103,COLUMN(기본데이타!AI$8),0))</f>
        <v/>
      </c>
      <c r="AG40" s="169" t="str">
        <f>IF($A40="","",VLOOKUP($A40,기본데이타!$A$8:$BV$103,COLUMN(기본데이타!AJ$8),0))</f>
        <v/>
      </c>
      <c r="AH40" s="364" t="str">
        <f>IF($A40="","",VLOOKUP($A40,기본데이타!$A$8:$BV$103,COLUMN(기본데이타!AK$8),0))</f>
        <v/>
      </c>
      <c r="AI40" s="364" t="str">
        <f>IF($A40="","",VLOOKUP($A40,기본데이타!$A$8:$BV$103,COLUMN(기본데이타!AL$8),0))</f>
        <v/>
      </c>
      <c r="AJ40" s="364" t="str">
        <f>IF($A40="","",VLOOKUP($A40,기본데이타!$A$8:$BV$103,COLUMN(기본데이타!AM$8),0))</f>
        <v/>
      </c>
      <c r="AK40" s="364" t="str">
        <f>IF($A40="","",VLOOKUP($A40,기본데이타!$A$8:$BV$103,COLUMN(기본데이타!AN$8),0))</f>
        <v/>
      </c>
      <c r="AL40" s="364" t="str">
        <f>IF($A40="","",VLOOKUP($A40,기본데이타!$A$8:$BV$103,COLUMN(기본데이타!AO$8),0))</f>
        <v/>
      </c>
      <c r="AM40" s="364" t="str">
        <f>IF($A40="","",VLOOKUP($A40,기본데이타!$A$8:$BV$103,COLUMN(기본데이타!AP$8),0))</f>
        <v/>
      </c>
      <c r="AN40" s="364" t="str">
        <f>IF($A40="","",VLOOKUP($A40,기본데이타!$A$8:$BV$103,COLUMN(기본데이타!AQ$8),0))</f>
        <v/>
      </c>
      <c r="AO40" s="364" t="str">
        <f>IF($A40="","",VLOOKUP($A40,기본데이타!$A$8:$BV$103,COLUMN(기본데이타!AR$8),0))</f>
        <v/>
      </c>
      <c r="AP40" s="364" t="str">
        <f>IF($A40="","",VLOOKUP($A40,기본데이타!$A$8:$BV$103,COLUMN(기본데이타!AS$8),0))</f>
        <v/>
      </c>
      <c r="AQ40" s="364" t="str">
        <f>IF($A40="","",VLOOKUP($A40,기본데이타!$A$8:$BV$103,COLUMN(기본데이타!AT$8),0))</f>
        <v/>
      </c>
      <c r="AR40" s="364" t="str">
        <f>IF($A40="","",VLOOKUP($A40,기본데이타!$A$8:$BV$103,COLUMN(기본데이타!AU$8),0))</f>
        <v/>
      </c>
      <c r="AS40" s="364" t="str">
        <f>IF($A40="","",VLOOKUP($A40,기본데이타!$A$8:$BV$103,COLUMN(기본데이타!AV$8),0))</f>
        <v/>
      </c>
      <c r="AT40" s="358" t="str">
        <f>IF($A40="","",VLOOKUP($A40,기본데이타!$A$8:$BV$103,COLUMN(기본데이타!AW$8),0))</f>
        <v/>
      </c>
      <c r="AU40" s="358" t="str">
        <f>IF($A40="","",VLOOKUP($A40,기본데이타!$A$8:$BV$103,COLUMN(기본데이타!AX$8),0))</f>
        <v/>
      </c>
      <c r="AV40" s="358" t="str">
        <f>IF($A40="","",VLOOKUP($A40,기본데이타!$A$8:$BV$103,COLUMN(기본데이타!AY$8),0))</f>
        <v/>
      </c>
      <c r="AW40" s="358" t="str">
        <f t="shared" si="8"/>
        <v/>
      </c>
      <c r="AX40" s="168" t="str">
        <f>IF($A40="","",VLOOKUP($A40,기본데이타!$A$8:$BV$103,COLUMN(기본데이타!BA$8),0))</f>
        <v/>
      </c>
      <c r="AY40" s="168" t="str">
        <f>IF($A40="","",VLOOKUP($A40,기본데이타!$A$8:$BV$103,COLUMN(기본데이타!BB$8),0))</f>
        <v/>
      </c>
      <c r="AZ40" s="168" t="str">
        <f>IF($A40="","",VLOOKUP($A40,기본데이타!$A$8:$BV$103,COLUMN(기본데이타!BC$8),0))</f>
        <v/>
      </c>
      <c r="BA40" s="168" t="str">
        <f>IF($A40="","",VLOOKUP($A40,기본데이타!$A$8:$BV$103,COLUMN(기본데이타!BD$8),0))</f>
        <v/>
      </c>
      <c r="BB40" s="168" t="str">
        <f>IF($A40="","",VLOOKUP($A40,기본데이타!$A$8:$BV$103,COLUMN(기본데이타!BE$8),0))</f>
        <v/>
      </c>
      <c r="BC40" s="168" t="str">
        <f>IF($A40="","",VLOOKUP($A40,기본데이타!$A$8:$BV$103,COLUMN(기본데이타!BF$8),0))</f>
        <v/>
      </c>
      <c r="BD40" s="168" t="str">
        <f>IF($A40="","",VLOOKUP($A40,기본데이타!$A$8:$BV$103,COLUMN(기본데이타!BG$8),0))</f>
        <v/>
      </c>
      <c r="BE40" s="168" t="str">
        <f>IF($A40="","",VLOOKUP($A40,기본데이타!$A$8:$BV$103,COLUMN(기본데이타!BH$8),0))</f>
        <v/>
      </c>
      <c r="BF40" s="168" t="str">
        <f>IF($A40="","",VLOOKUP($A40,기본데이타!$A$8:$BV$103,COLUMN(기본데이타!BI$8),0))</f>
        <v/>
      </c>
      <c r="BG40" s="168" t="str">
        <f>IF($A40="","",VLOOKUP($A40,기본데이타!$A$8:$BV$103,COLUMN(기본데이타!BJ$8),0))</f>
        <v/>
      </c>
      <c r="BH40" s="168" t="str">
        <f>IF($A40="","",VLOOKUP($A40,기본데이타!$A$8:$BV$103,COLUMN(기본데이타!BK$8),0))</f>
        <v/>
      </c>
      <c r="BI40" s="168" t="str">
        <f>IF($A40="","",VLOOKUP($A40,기본데이타!$A$8:$BV$103,COLUMN(기본데이타!BL$8),0))</f>
        <v/>
      </c>
      <c r="BJ40" s="168" t="str">
        <f>IF($A40="","",VLOOKUP($A40,기본데이타!$A$8:$BV$103,COLUMN(기본데이타!BM$8),0))</f>
        <v/>
      </c>
      <c r="BK40" s="168" t="str">
        <f>IF($A40="","",VLOOKUP($A40,기본데이타!$A$8:$BV$103,COLUMN(기본데이타!BN$8),0))</f>
        <v/>
      </c>
      <c r="BL40" s="168" t="str">
        <f>IF($A40="","",VLOOKUP($A40,기본데이타!$A$8:$BV$103,COLUMN(기본데이타!BO$8),0))</f>
        <v/>
      </c>
      <c r="BM40" s="168" t="str">
        <f>IF($A40="","",VLOOKUP($A40,기본데이타!$A$8:$BV$103,COLUMN(기본데이타!BP$8),0))</f>
        <v/>
      </c>
      <c r="BN40" s="168" t="str">
        <f>IF($A40="","",VLOOKUP($A40,기본데이타!$A$8:$BV$103,COLUMN(기본데이타!BQ$8),0))</f>
        <v/>
      </c>
      <c r="BO40" s="168" t="str">
        <f>IF($A40="","",VLOOKUP($A40,기본데이타!$A$8:$BV$103,COLUMN(기본데이타!BR$8),0))</f>
        <v/>
      </c>
      <c r="BP40" s="168" t="str">
        <f>IF($A40="","",VLOOKUP($A40,기본데이타!$A$8:$BV$103,COLUMN(기본데이타!BS$8),0))</f>
        <v/>
      </c>
      <c r="BQ40" s="980" t="str">
        <f>IF($A40="","",VLOOKUP($A40,기본데이타!$A$8:$BV$103,COLUMN(기본데이타!BT$8),0))</f>
        <v/>
      </c>
      <c r="BR40" s="984" t="str">
        <f>IF($A40="","",VLOOKUP($A40,기본데이타!$A$8:$BV$103,COLUMN(기본데이타!BU$8),0))</f>
        <v/>
      </c>
      <c r="BS40" s="168" t="str">
        <f>IF($A40="","",VLOOKUP($A40,기본데이타!$A$8:$BV$103,COLUMN(기본데이타!BV$8),0))</f>
        <v/>
      </c>
      <c r="BT40" s="981">
        <f t="shared" si="6"/>
        <v>0</v>
      </c>
      <c r="BU40" s="242"/>
    </row>
    <row r="41" spans="1:73" s="7" customFormat="1" ht="73.5" customHeight="1">
      <c r="A41" s="171"/>
      <c r="B41" s="163"/>
      <c r="C41" s="164" t="str">
        <f>IF($A41="","",VLOOKUP($A41,기본데이타!$A$8:$BV$103,COLUMN(기본데이타!F$8),0))</f>
        <v/>
      </c>
      <c r="D41" s="165" t="str">
        <f>IF($A41="","",VLOOKUP($A41,기본데이타!$A$8:$BV$103,COLUMN(기본데이타!G$8),0))</f>
        <v/>
      </c>
      <c r="E41" s="166" t="str">
        <f>IF($A41="","",VLOOKUP($A41,기본데이타!$A$8:$BV$103,COLUMN(기본데이타!H$8),0))</f>
        <v/>
      </c>
      <c r="F41" s="166" t="str">
        <f>IF($A41="","",VLOOKUP($A41,기본데이타!$A$8:$BV$103,COLUMN(기본데이타!I$8),0))</f>
        <v/>
      </c>
      <c r="G41" s="166" t="str">
        <f>IF($A41="","",VLOOKUP($A41,기본데이타!$A$8:$BV$103,COLUMN(기본데이타!J$8),0))</f>
        <v/>
      </c>
      <c r="H41" s="167" t="str">
        <f>IF($A41="","",VLOOKUP($A41,기본데이타!$A$8:$BV$103,COLUMN(기본데이타!K$8),0))</f>
        <v/>
      </c>
      <c r="I41" s="167" t="str">
        <f>IF($A41="","",VLOOKUP($A41,기본데이타!$A$8:$BV$103,COLUMN(기본데이타!L$8),0))</f>
        <v/>
      </c>
      <c r="J41" s="167" t="str">
        <f>IF($A41="","",VLOOKUP($A41,기본데이타!$A$8:$BV$103,COLUMN(기본데이타!M$8),0))</f>
        <v/>
      </c>
      <c r="K41" s="168" t="str">
        <f>IF($A41="","",VLOOKUP($A41,기본데이타!$A$8:$BV$103,COLUMN(기본데이타!N$8),0))</f>
        <v/>
      </c>
      <c r="L41" s="167" t="str">
        <f>IF($A41="","",VLOOKUP($A41,기본데이타!$A$8:$BV$103,COLUMN(기본데이타!O$8),0))</f>
        <v/>
      </c>
      <c r="M41" s="168" t="str">
        <f>IF($A41="","",VLOOKUP($A41,기본데이타!$A$8:$BV$103,COLUMN(기본데이타!P$8),0))</f>
        <v/>
      </c>
      <c r="N41" s="168" t="str">
        <f>IF($A41="","",VLOOKUP($A41,기본데이타!$A$8:$BV$103,COLUMN(기본데이타!Q$8),0))</f>
        <v/>
      </c>
      <c r="O41" s="168" t="str">
        <f>IF($A41="","",VLOOKUP($A41,기본데이타!$A$8:$BV$103,COLUMN(기본데이타!R$8),0))</f>
        <v/>
      </c>
      <c r="P41" s="168" t="str">
        <f>IF($A41="","",VLOOKUP($A41,기본데이타!$A$8:$BV$103,COLUMN(기본데이타!S$8),0))</f>
        <v/>
      </c>
      <c r="Q41" s="168" t="str">
        <f>IF($A41="","",VLOOKUP($A41,기본데이타!$A$8:$BV$103,COLUMN(기본데이타!T$8),0))</f>
        <v/>
      </c>
      <c r="R41" s="168" t="str">
        <f>IF($A41="","",VLOOKUP($A41,기본데이타!$A$8:$BV$103,COLUMN(기본데이타!U$8),0))</f>
        <v/>
      </c>
      <c r="S41" s="168" t="str">
        <f>IF($A41="","",VLOOKUP($A41,기본데이타!$A$8:$BV$103,COLUMN(기본데이타!V$8),0))</f>
        <v/>
      </c>
      <c r="T41" s="168" t="str">
        <f>IF($A41="","",VLOOKUP($A41,기본데이타!$A$8:$BV$103,COLUMN(기본데이타!W$8),0))</f>
        <v/>
      </c>
      <c r="U41" s="168" t="str">
        <f>IF($A41="","",VLOOKUP($A41,기본데이타!$A$8:$BV$103,COLUMN(기본데이타!X$8),0))</f>
        <v/>
      </c>
      <c r="V41" s="168" t="str">
        <f>IF($A41="","",VLOOKUP($A41,기본데이타!$A$8:$BV$103,COLUMN(기본데이타!Y$8),0))</f>
        <v/>
      </c>
      <c r="W41" s="168" t="str">
        <f>IF($A41="","",VLOOKUP($A41,기본데이타!$A$8:$BV$103,COLUMN(기본데이타!Z$8),0))</f>
        <v/>
      </c>
      <c r="X41" s="168" t="str">
        <f>IF($A41="","",VLOOKUP($A41,기본데이타!$A$8:$BV$103,COLUMN(기본데이타!AA$8),0))</f>
        <v/>
      </c>
      <c r="Y41" s="168" t="str">
        <f>IF($A41="","",VLOOKUP($A41,기본데이타!$A$8:$BV$103,COLUMN(기본데이타!AB$8),0))</f>
        <v/>
      </c>
      <c r="Z41" s="167" t="str">
        <f>IF($A41="","",VLOOKUP($A41,기본데이타!$A$8:$BV$103,COLUMN(기본데이타!AC$8),0))</f>
        <v/>
      </c>
      <c r="AA41" s="168" t="str">
        <f>IF($A41="","",VLOOKUP($A41,기본데이타!$A$8:$BV$103,COLUMN(기본데이타!AD$8),0))</f>
        <v/>
      </c>
      <c r="AB41" s="167" t="str">
        <f>IF($A41="","",VLOOKUP($A41,기본데이타!$A$8:$BV$103,COLUMN(기본데이타!AE$8),0))</f>
        <v/>
      </c>
      <c r="AC41" s="168" t="str">
        <f>IF($A41="","",VLOOKUP($A41,기본데이타!$A$8:$BV$103,COLUMN(기본데이타!AF$8),0))</f>
        <v/>
      </c>
      <c r="AD41" s="167" t="str">
        <f>IF($A41="","",VLOOKUP($A41,기본데이타!$A$8:$BV$103,COLUMN(기본데이타!AG$8),0))</f>
        <v/>
      </c>
      <c r="AE41" s="168" t="str">
        <f>IF($A41="","",VLOOKUP($A41,기본데이타!$A$8:$BV$103,COLUMN(기본데이타!AH$8),0))</f>
        <v/>
      </c>
      <c r="AF41" s="167" t="str">
        <f>IF($A41="","",VLOOKUP($A41,기본데이타!$A$8:$BV$103,COLUMN(기본데이타!AI$8),0))</f>
        <v/>
      </c>
      <c r="AG41" s="169" t="str">
        <f>IF($A41="","",VLOOKUP($A41,기본데이타!$A$8:$BV$103,COLUMN(기본데이타!AJ$8),0))</f>
        <v/>
      </c>
      <c r="AH41" s="364" t="str">
        <f>IF($A41="","",VLOOKUP($A41,기본데이타!$A$8:$BV$103,COLUMN(기본데이타!AK$8),0))</f>
        <v/>
      </c>
      <c r="AI41" s="364" t="str">
        <f>IF($A41="","",VLOOKUP($A41,기본데이타!$A$8:$BV$103,COLUMN(기본데이타!AL$8),0))</f>
        <v/>
      </c>
      <c r="AJ41" s="364" t="str">
        <f>IF($A41="","",VLOOKUP($A41,기본데이타!$A$8:$BV$103,COLUMN(기본데이타!AM$8),0))</f>
        <v/>
      </c>
      <c r="AK41" s="364" t="str">
        <f>IF($A41="","",VLOOKUP($A41,기본데이타!$A$8:$BV$103,COLUMN(기본데이타!AN$8),0))</f>
        <v/>
      </c>
      <c r="AL41" s="364" t="str">
        <f>IF($A41="","",VLOOKUP($A41,기본데이타!$A$8:$BV$103,COLUMN(기본데이타!AO$8),0))</f>
        <v/>
      </c>
      <c r="AM41" s="364" t="str">
        <f>IF($A41="","",VLOOKUP($A41,기본데이타!$A$8:$BV$103,COLUMN(기본데이타!AP$8),0))</f>
        <v/>
      </c>
      <c r="AN41" s="364" t="str">
        <f>IF($A41="","",VLOOKUP($A41,기본데이타!$A$8:$BV$103,COLUMN(기본데이타!AQ$8),0))</f>
        <v/>
      </c>
      <c r="AO41" s="364" t="str">
        <f>IF($A41="","",VLOOKUP($A41,기본데이타!$A$8:$BV$103,COLUMN(기본데이타!AR$8),0))</f>
        <v/>
      </c>
      <c r="AP41" s="364" t="str">
        <f>IF($A41="","",VLOOKUP($A41,기본데이타!$A$8:$BV$103,COLUMN(기본데이타!AS$8),0))</f>
        <v/>
      </c>
      <c r="AQ41" s="364" t="str">
        <f>IF($A41="","",VLOOKUP($A41,기본데이타!$A$8:$BV$103,COLUMN(기본데이타!AT$8),0))</f>
        <v/>
      </c>
      <c r="AR41" s="364" t="str">
        <f>IF($A41="","",VLOOKUP($A41,기본데이타!$A$8:$BV$103,COLUMN(기본데이타!AU$8),0))</f>
        <v/>
      </c>
      <c r="AS41" s="364" t="str">
        <f>IF($A41="","",VLOOKUP($A41,기본데이타!$A$8:$BV$103,COLUMN(기본데이타!AV$8),0))</f>
        <v/>
      </c>
      <c r="AT41" s="358" t="str">
        <f>IF($A41="","",VLOOKUP($A41,기본데이타!$A$8:$BV$103,COLUMN(기본데이타!AW$8),0))</f>
        <v/>
      </c>
      <c r="AU41" s="358" t="str">
        <f>IF($A41="","",VLOOKUP($A41,기본데이타!$A$8:$BV$103,COLUMN(기본데이타!AX$8),0))</f>
        <v/>
      </c>
      <c r="AV41" s="358" t="str">
        <f>IF($A41="","",VLOOKUP($A41,기본데이타!$A$8:$BV$103,COLUMN(기본데이타!AY$8),0))</f>
        <v/>
      </c>
      <c r="AW41" s="358" t="str">
        <f t="shared" si="8"/>
        <v/>
      </c>
      <c r="AX41" s="168" t="str">
        <f>IF($A41="","",VLOOKUP($A41,기본데이타!$A$8:$BV$103,COLUMN(기본데이타!BA$8),0))</f>
        <v/>
      </c>
      <c r="AY41" s="168" t="str">
        <f>IF($A41="","",VLOOKUP($A41,기본데이타!$A$8:$BV$103,COLUMN(기본데이타!BB$8),0))</f>
        <v/>
      </c>
      <c r="AZ41" s="168" t="str">
        <f>IF($A41="","",VLOOKUP($A41,기본데이타!$A$8:$BV$103,COLUMN(기본데이타!BC$8),0))</f>
        <v/>
      </c>
      <c r="BA41" s="168" t="str">
        <f>IF($A41="","",VLOOKUP($A41,기본데이타!$A$8:$BV$103,COLUMN(기본데이타!BD$8),0))</f>
        <v/>
      </c>
      <c r="BB41" s="168" t="str">
        <f>IF($A41="","",VLOOKUP($A41,기본데이타!$A$8:$BV$103,COLUMN(기본데이타!BE$8),0))</f>
        <v/>
      </c>
      <c r="BC41" s="168" t="str">
        <f>IF($A41="","",VLOOKUP($A41,기본데이타!$A$8:$BV$103,COLUMN(기본데이타!BF$8),0))</f>
        <v/>
      </c>
      <c r="BD41" s="168" t="str">
        <f>IF($A41="","",VLOOKUP($A41,기본데이타!$A$8:$BV$103,COLUMN(기본데이타!BG$8),0))</f>
        <v/>
      </c>
      <c r="BE41" s="168" t="str">
        <f>IF($A41="","",VLOOKUP($A41,기본데이타!$A$8:$BV$103,COLUMN(기본데이타!BH$8),0))</f>
        <v/>
      </c>
      <c r="BF41" s="168" t="str">
        <f>IF($A41="","",VLOOKUP($A41,기본데이타!$A$8:$BV$103,COLUMN(기본데이타!BI$8),0))</f>
        <v/>
      </c>
      <c r="BG41" s="168" t="str">
        <f>IF($A41="","",VLOOKUP($A41,기본데이타!$A$8:$BV$103,COLUMN(기본데이타!BJ$8),0))</f>
        <v/>
      </c>
      <c r="BH41" s="168" t="str">
        <f>IF($A41="","",VLOOKUP($A41,기본데이타!$A$8:$BV$103,COLUMN(기본데이타!BK$8),0))</f>
        <v/>
      </c>
      <c r="BI41" s="168" t="str">
        <f>IF($A41="","",VLOOKUP($A41,기본데이타!$A$8:$BV$103,COLUMN(기본데이타!BL$8),0))</f>
        <v/>
      </c>
      <c r="BJ41" s="168" t="str">
        <f>IF($A41="","",VLOOKUP($A41,기본데이타!$A$8:$BV$103,COLUMN(기본데이타!BM$8),0))</f>
        <v/>
      </c>
      <c r="BK41" s="168" t="str">
        <f>IF($A41="","",VLOOKUP($A41,기본데이타!$A$8:$BV$103,COLUMN(기본데이타!BN$8),0))</f>
        <v/>
      </c>
      <c r="BL41" s="168" t="str">
        <f>IF($A41="","",VLOOKUP($A41,기본데이타!$A$8:$BV$103,COLUMN(기본데이타!BO$8),0))</f>
        <v/>
      </c>
      <c r="BM41" s="168" t="str">
        <f>IF($A41="","",VLOOKUP($A41,기본데이타!$A$8:$BV$103,COLUMN(기본데이타!BP$8),0))</f>
        <v/>
      </c>
      <c r="BN41" s="168" t="str">
        <f>IF($A41="","",VLOOKUP($A41,기본데이타!$A$8:$BV$103,COLUMN(기본데이타!BQ$8),0))</f>
        <v/>
      </c>
      <c r="BO41" s="168" t="str">
        <f>IF($A41="","",VLOOKUP($A41,기본데이타!$A$8:$BV$103,COLUMN(기본데이타!BR$8),0))</f>
        <v/>
      </c>
      <c r="BP41" s="168" t="str">
        <f>IF($A41="","",VLOOKUP($A41,기본데이타!$A$8:$BV$103,COLUMN(기본데이타!BS$8),0))</f>
        <v/>
      </c>
      <c r="BQ41" s="980" t="str">
        <f>IF($A41="","",VLOOKUP($A41,기본데이타!$A$8:$BV$103,COLUMN(기본데이타!BT$8),0))</f>
        <v/>
      </c>
      <c r="BR41" s="984" t="str">
        <f>IF($A41="","",VLOOKUP($A41,기본데이타!$A$8:$BV$103,COLUMN(기본데이타!BU$8),0))</f>
        <v/>
      </c>
      <c r="BS41" s="168" t="str">
        <f>IF($A41="","",VLOOKUP($A41,기본데이타!$A$8:$BV$103,COLUMN(기본데이타!BV$8),0))</f>
        <v/>
      </c>
      <c r="BT41" s="981">
        <f t="shared" si="6"/>
        <v>0</v>
      </c>
      <c r="BU41" s="242"/>
    </row>
    <row r="42" spans="1:73" s="7" customFormat="1" ht="73.5" customHeight="1">
      <c r="A42" s="171"/>
      <c r="B42" s="163"/>
      <c r="C42" s="164" t="str">
        <f>IF($A42="","",VLOOKUP($A42,기본데이타!$A$8:$BV$103,COLUMN(기본데이타!F$8),0))</f>
        <v/>
      </c>
      <c r="D42" s="165" t="str">
        <f>IF($A42="","",VLOOKUP($A42,기본데이타!$A$8:$BV$103,COLUMN(기본데이타!G$8),0))</f>
        <v/>
      </c>
      <c r="E42" s="166" t="str">
        <f>IF($A42="","",VLOOKUP($A42,기본데이타!$A$8:$BV$103,COLUMN(기본데이타!H$8),0))</f>
        <v/>
      </c>
      <c r="F42" s="166" t="str">
        <f>IF($A42="","",VLOOKUP($A42,기본데이타!$A$8:$BV$103,COLUMN(기본데이타!I$8),0))</f>
        <v/>
      </c>
      <c r="G42" s="166" t="str">
        <f>IF($A42="","",VLOOKUP($A42,기본데이타!$A$8:$BV$103,COLUMN(기본데이타!J$8),0))</f>
        <v/>
      </c>
      <c r="H42" s="167" t="str">
        <f>IF($A42="","",VLOOKUP($A42,기본데이타!$A$8:$BV$103,COLUMN(기본데이타!K$8),0))</f>
        <v/>
      </c>
      <c r="I42" s="167" t="str">
        <f>IF($A42="","",VLOOKUP($A42,기본데이타!$A$8:$BV$103,COLUMN(기본데이타!L$8),0))</f>
        <v/>
      </c>
      <c r="J42" s="167" t="str">
        <f>IF($A42="","",VLOOKUP($A42,기본데이타!$A$8:$BV$103,COLUMN(기본데이타!M$8),0))</f>
        <v/>
      </c>
      <c r="K42" s="168" t="str">
        <f>IF($A42="","",VLOOKUP($A42,기본데이타!$A$8:$BV$103,COLUMN(기본데이타!N$8),0))</f>
        <v/>
      </c>
      <c r="L42" s="167" t="str">
        <f>IF($A42="","",VLOOKUP($A42,기본데이타!$A$8:$BV$103,COLUMN(기본데이타!O$8),0))</f>
        <v/>
      </c>
      <c r="M42" s="168" t="str">
        <f>IF($A42="","",VLOOKUP($A42,기본데이타!$A$8:$BV$103,COLUMN(기본데이타!P$8),0))</f>
        <v/>
      </c>
      <c r="N42" s="168" t="str">
        <f>IF($A42="","",VLOOKUP($A42,기본데이타!$A$8:$BV$103,COLUMN(기본데이타!Q$8),0))</f>
        <v/>
      </c>
      <c r="O42" s="168" t="str">
        <f>IF($A42="","",VLOOKUP($A42,기본데이타!$A$8:$BV$103,COLUMN(기본데이타!R$8),0))</f>
        <v/>
      </c>
      <c r="P42" s="168" t="str">
        <f>IF($A42="","",VLOOKUP($A42,기본데이타!$A$8:$BV$103,COLUMN(기본데이타!S$8),0))</f>
        <v/>
      </c>
      <c r="Q42" s="168" t="str">
        <f>IF($A42="","",VLOOKUP($A42,기본데이타!$A$8:$BV$103,COLUMN(기본데이타!T$8),0))</f>
        <v/>
      </c>
      <c r="R42" s="168" t="str">
        <f>IF($A42="","",VLOOKUP($A42,기본데이타!$A$8:$BV$103,COLUMN(기본데이타!U$8),0))</f>
        <v/>
      </c>
      <c r="S42" s="168" t="str">
        <f>IF($A42="","",VLOOKUP($A42,기본데이타!$A$8:$BV$103,COLUMN(기본데이타!V$8),0))</f>
        <v/>
      </c>
      <c r="T42" s="168" t="str">
        <f>IF($A42="","",VLOOKUP($A42,기본데이타!$A$8:$BV$103,COLUMN(기본데이타!W$8),0))</f>
        <v/>
      </c>
      <c r="U42" s="168" t="str">
        <f>IF($A42="","",VLOOKUP($A42,기본데이타!$A$8:$BV$103,COLUMN(기본데이타!X$8),0))</f>
        <v/>
      </c>
      <c r="V42" s="168" t="str">
        <f>IF($A42="","",VLOOKUP($A42,기본데이타!$A$8:$BV$103,COLUMN(기본데이타!Y$8),0))</f>
        <v/>
      </c>
      <c r="W42" s="168" t="str">
        <f>IF($A42="","",VLOOKUP($A42,기본데이타!$A$8:$BV$103,COLUMN(기본데이타!Z$8),0))</f>
        <v/>
      </c>
      <c r="X42" s="168" t="str">
        <f>IF($A42="","",VLOOKUP($A42,기본데이타!$A$8:$BV$103,COLUMN(기본데이타!AA$8),0))</f>
        <v/>
      </c>
      <c r="Y42" s="168" t="str">
        <f>IF($A42="","",VLOOKUP($A42,기본데이타!$A$8:$BV$103,COLUMN(기본데이타!AB$8),0))</f>
        <v/>
      </c>
      <c r="Z42" s="167" t="str">
        <f>IF($A42="","",VLOOKUP($A42,기본데이타!$A$8:$BV$103,COLUMN(기본데이타!AC$8),0))</f>
        <v/>
      </c>
      <c r="AA42" s="168" t="str">
        <f>IF($A42="","",VLOOKUP($A42,기본데이타!$A$8:$BV$103,COLUMN(기본데이타!AD$8),0))</f>
        <v/>
      </c>
      <c r="AB42" s="167" t="str">
        <f>IF($A42="","",VLOOKUP($A42,기본데이타!$A$8:$BV$103,COLUMN(기본데이타!AE$8),0))</f>
        <v/>
      </c>
      <c r="AC42" s="168" t="str">
        <f>IF($A42="","",VLOOKUP($A42,기본데이타!$A$8:$BV$103,COLUMN(기본데이타!AF$8),0))</f>
        <v/>
      </c>
      <c r="AD42" s="167" t="str">
        <f>IF($A42="","",VLOOKUP($A42,기본데이타!$A$8:$BV$103,COLUMN(기본데이타!AG$8),0))</f>
        <v/>
      </c>
      <c r="AE42" s="168" t="str">
        <f>IF($A42="","",VLOOKUP($A42,기본데이타!$A$8:$BV$103,COLUMN(기본데이타!AH$8),0))</f>
        <v/>
      </c>
      <c r="AF42" s="167" t="str">
        <f>IF($A42="","",VLOOKUP($A42,기본데이타!$A$8:$BV$103,COLUMN(기본데이타!AI$8),0))</f>
        <v/>
      </c>
      <c r="AG42" s="169" t="str">
        <f>IF($A42="","",VLOOKUP($A42,기본데이타!$A$8:$BV$103,COLUMN(기본데이타!AJ$8),0))</f>
        <v/>
      </c>
      <c r="AH42" s="364" t="str">
        <f>IF($A42="","",VLOOKUP($A42,기본데이타!$A$8:$BV$103,COLUMN(기본데이타!AK$8),0))</f>
        <v/>
      </c>
      <c r="AI42" s="364" t="str">
        <f>IF($A42="","",VLOOKUP($A42,기본데이타!$A$8:$BV$103,COLUMN(기본데이타!AL$8),0))</f>
        <v/>
      </c>
      <c r="AJ42" s="364" t="str">
        <f>IF($A42="","",VLOOKUP($A42,기본데이타!$A$8:$BV$103,COLUMN(기본데이타!AM$8),0))</f>
        <v/>
      </c>
      <c r="AK42" s="364" t="str">
        <f>IF($A42="","",VLOOKUP($A42,기본데이타!$A$8:$BV$103,COLUMN(기본데이타!AN$8),0))</f>
        <v/>
      </c>
      <c r="AL42" s="364" t="str">
        <f>IF($A42="","",VLOOKUP($A42,기본데이타!$A$8:$BV$103,COLUMN(기본데이타!AO$8),0))</f>
        <v/>
      </c>
      <c r="AM42" s="364" t="str">
        <f>IF($A42="","",VLOOKUP($A42,기본데이타!$A$8:$BV$103,COLUMN(기본데이타!AP$8),0))</f>
        <v/>
      </c>
      <c r="AN42" s="364" t="str">
        <f>IF($A42="","",VLOOKUP($A42,기본데이타!$A$8:$BV$103,COLUMN(기본데이타!AQ$8),0))</f>
        <v/>
      </c>
      <c r="AO42" s="364" t="str">
        <f>IF($A42="","",VLOOKUP($A42,기본데이타!$A$8:$BV$103,COLUMN(기본데이타!AR$8),0))</f>
        <v/>
      </c>
      <c r="AP42" s="364" t="str">
        <f>IF($A42="","",VLOOKUP($A42,기본데이타!$A$8:$BV$103,COLUMN(기본데이타!AS$8),0))</f>
        <v/>
      </c>
      <c r="AQ42" s="364" t="str">
        <f>IF($A42="","",VLOOKUP($A42,기본데이타!$A$8:$BV$103,COLUMN(기본데이타!AT$8),0))</f>
        <v/>
      </c>
      <c r="AR42" s="364" t="str">
        <f>IF($A42="","",VLOOKUP($A42,기본데이타!$A$8:$BV$103,COLUMN(기본데이타!AU$8),0))</f>
        <v/>
      </c>
      <c r="AS42" s="364" t="str">
        <f>IF($A42="","",VLOOKUP($A42,기본데이타!$A$8:$BV$103,COLUMN(기본데이타!AV$8),0))</f>
        <v/>
      </c>
      <c r="AT42" s="358" t="str">
        <f>IF($A42="","",VLOOKUP($A42,기본데이타!$A$8:$BV$103,COLUMN(기본데이타!AW$8),0))</f>
        <v/>
      </c>
      <c r="AU42" s="358" t="str">
        <f>IF($A42="","",VLOOKUP($A42,기본데이타!$A$8:$BV$103,COLUMN(기본데이타!AX$8),0))</f>
        <v/>
      </c>
      <c r="AV42" s="358" t="str">
        <f>IF($A42="","",VLOOKUP($A42,기본데이타!$A$8:$BV$103,COLUMN(기본데이타!AY$8),0))</f>
        <v/>
      </c>
      <c r="AW42" s="358" t="str">
        <f t="shared" ref="AW42:AW47" si="9">IF(AT42="","",SUM(AT42:AV42))</f>
        <v/>
      </c>
      <c r="AX42" s="168" t="str">
        <f>IF($A42="","",VLOOKUP($A42,기본데이타!$A$8:$BV$103,COLUMN(기본데이타!BA$8),0))</f>
        <v/>
      </c>
      <c r="AY42" s="168" t="str">
        <f>IF($A42="","",VLOOKUP($A42,기본데이타!$A$8:$BV$103,COLUMN(기본데이타!BB$8),0))</f>
        <v/>
      </c>
      <c r="AZ42" s="168" t="str">
        <f>IF($A42="","",VLOOKUP($A42,기본데이타!$A$8:$BV$103,COLUMN(기본데이타!BC$8),0))</f>
        <v/>
      </c>
      <c r="BA42" s="168" t="str">
        <f>IF($A42="","",VLOOKUP($A42,기본데이타!$A$8:$BV$103,COLUMN(기본데이타!BD$8),0))</f>
        <v/>
      </c>
      <c r="BB42" s="168" t="str">
        <f>IF($A42="","",VLOOKUP($A42,기본데이타!$A$8:$BV$103,COLUMN(기본데이타!BE$8),0))</f>
        <v/>
      </c>
      <c r="BC42" s="168" t="str">
        <f>IF($A42="","",VLOOKUP($A42,기본데이타!$A$8:$BV$103,COLUMN(기본데이타!BF$8),0))</f>
        <v/>
      </c>
      <c r="BD42" s="168" t="str">
        <f>IF($A42="","",VLOOKUP($A42,기본데이타!$A$8:$BV$103,COLUMN(기본데이타!BG$8),0))</f>
        <v/>
      </c>
      <c r="BE42" s="168" t="str">
        <f>IF($A42="","",VLOOKUP($A42,기본데이타!$A$8:$BV$103,COLUMN(기본데이타!BH$8),0))</f>
        <v/>
      </c>
      <c r="BF42" s="168" t="str">
        <f>IF($A42="","",VLOOKUP($A42,기본데이타!$A$8:$BV$103,COLUMN(기본데이타!BI$8),0))</f>
        <v/>
      </c>
      <c r="BG42" s="168" t="str">
        <f>IF($A42="","",VLOOKUP($A42,기본데이타!$A$8:$BV$103,COLUMN(기본데이타!BJ$8),0))</f>
        <v/>
      </c>
      <c r="BH42" s="168" t="str">
        <f>IF($A42="","",VLOOKUP($A42,기본데이타!$A$8:$BV$103,COLUMN(기본데이타!BK$8),0))</f>
        <v/>
      </c>
      <c r="BI42" s="168" t="str">
        <f>IF($A42="","",VLOOKUP($A42,기본데이타!$A$8:$BV$103,COLUMN(기본데이타!BL$8),0))</f>
        <v/>
      </c>
      <c r="BJ42" s="168" t="str">
        <f>IF($A42="","",VLOOKUP($A42,기본데이타!$A$8:$BV$103,COLUMN(기본데이타!BM$8),0))</f>
        <v/>
      </c>
      <c r="BK42" s="168" t="str">
        <f>IF($A42="","",VLOOKUP($A42,기본데이타!$A$8:$BV$103,COLUMN(기본데이타!BN$8),0))</f>
        <v/>
      </c>
      <c r="BL42" s="168" t="str">
        <f>IF($A42="","",VLOOKUP($A42,기본데이타!$A$8:$BV$103,COLUMN(기본데이타!BO$8),0))</f>
        <v/>
      </c>
      <c r="BM42" s="168" t="str">
        <f>IF($A42="","",VLOOKUP($A42,기본데이타!$A$8:$BV$103,COLUMN(기본데이타!BP$8),0))</f>
        <v/>
      </c>
      <c r="BN42" s="168" t="str">
        <f>IF($A42="","",VLOOKUP($A42,기본데이타!$A$8:$BV$103,COLUMN(기본데이타!BQ$8),0))</f>
        <v/>
      </c>
      <c r="BO42" s="168" t="str">
        <f>IF($A42="","",VLOOKUP($A42,기본데이타!$A$8:$BV$103,COLUMN(기본데이타!BR$8),0))</f>
        <v/>
      </c>
      <c r="BP42" s="168" t="str">
        <f>IF($A42="","",VLOOKUP($A42,기본데이타!$A$8:$BV$103,COLUMN(기본데이타!BS$8),0))</f>
        <v/>
      </c>
      <c r="BQ42" s="980" t="str">
        <f>IF($A42="","",VLOOKUP($A42,기본데이타!$A$8:$BV$103,COLUMN(기본데이타!BT$8),0))</f>
        <v/>
      </c>
      <c r="BR42" s="984" t="str">
        <f>IF($A42="","",VLOOKUP($A42,기본데이타!$A$8:$BV$103,COLUMN(기본데이타!BU$8),0))</f>
        <v/>
      </c>
      <c r="BS42" s="168" t="str">
        <f>IF($A42="","",VLOOKUP($A42,기본데이타!$A$8:$BV$103,COLUMN(기본데이타!BV$8),0))</f>
        <v/>
      </c>
      <c r="BT42" s="981">
        <f t="shared" si="6"/>
        <v>0</v>
      </c>
      <c r="BU42" s="242"/>
    </row>
    <row r="43" spans="1:73" s="7" customFormat="1" ht="73.5" customHeight="1">
      <c r="A43" s="171"/>
      <c r="B43" s="163"/>
      <c r="C43" s="164" t="str">
        <f>IF($A43="","",VLOOKUP($A43,기본데이타!$A$8:$BV$103,COLUMN(기본데이타!F$8),0))</f>
        <v/>
      </c>
      <c r="D43" s="165" t="str">
        <f>IF($A43="","",VLOOKUP($A43,기본데이타!$A$8:$BV$103,COLUMN(기본데이타!G$8),0))</f>
        <v/>
      </c>
      <c r="E43" s="166" t="str">
        <f>IF($A43="","",VLOOKUP($A43,기본데이타!$A$8:$BV$103,COLUMN(기본데이타!H$8),0))</f>
        <v/>
      </c>
      <c r="F43" s="166" t="str">
        <f>IF($A43="","",VLOOKUP($A43,기본데이타!$A$8:$BV$103,COLUMN(기본데이타!I$8),0))</f>
        <v/>
      </c>
      <c r="G43" s="166" t="str">
        <f>IF($A43="","",VLOOKUP($A43,기본데이타!$A$8:$BV$103,COLUMN(기본데이타!J$8),0))</f>
        <v/>
      </c>
      <c r="H43" s="167" t="str">
        <f>IF($A43="","",VLOOKUP($A43,기본데이타!$A$8:$BV$103,COLUMN(기본데이타!K$8),0))</f>
        <v/>
      </c>
      <c r="I43" s="167" t="str">
        <f>IF($A43="","",VLOOKUP($A43,기본데이타!$A$8:$BV$103,COLUMN(기본데이타!L$8),0))</f>
        <v/>
      </c>
      <c r="J43" s="167" t="str">
        <f>IF($A43="","",VLOOKUP($A43,기본데이타!$A$8:$BV$103,COLUMN(기본데이타!M$8),0))</f>
        <v/>
      </c>
      <c r="K43" s="168" t="str">
        <f>IF($A43="","",VLOOKUP($A43,기본데이타!$A$8:$BV$103,COLUMN(기본데이타!N$8),0))</f>
        <v/>
      </c>
      <c r="L43" s="167" t="str">
        <f>IF($A43="","",VLOOKUP($A43,기본데이타!$A$8:$BV$103,COLUMN(기본데이타!O$8),0))</f>
        <v/>
      </c>
      <c r="M43" s="168" t="str">
        <f>IF($A43="","",VLOOKUP($A43,기본데이타!$A$8:$BV$103,COLUMN(기본데이타!P$8),0))</f>
        <v/>
      </c>
      <c r="N43" s="168" t="str">
        <f>IF($A43="","",VLOOKUP($A43,기본데이타!$A$8:$BV$103,COLUMN(기본데이타!Q$8),0))</f>
        <v/>
      </c>
      <c r="O43" s="168" t="str">
        <f>IF($A43="","",VLOOKUP($A43,기본데이타!$A$8:$BV$103,COLUMN(기본데이타!R$8),0))</f>
        <v/>
      </c>
      <c r="P43" s="168" t="str">
        <f>IF($A43="","",VLOOKUP($A43,기본데이타!$A$8:$BV$103,COLUMN(기본데이타!S$8),0))</f>
        <v/>
      </c>
      <c r="Q43" s="168" t="str">
        <f>IF($A43="","",VLOOKUP($A43,기본데이타!$A$8:$BV$103,COLUMN(기본데이타!T$8),0))</f>
        <v/>
      </c>
      <c r="R43" s="168" t="str">
        <f>IF($A43="","",VLOOKUP($A43,기본데이타!$A$8:$BV$103,COLUMN(기본데이타!U$8),0))</f>
        <v/>
      </c>
      <c r="S43" s="168" t="str">
        <f>IF($A43="","",VLOOKUP($A43,기본데이타!$A$8:$BV$103,COLUMN(기본데이타!V$8),0))</f>
        <v/>
      </c>
      <c r="T43" s="168" t="str">
        <f>IF($A43="","",VLOOKUP($A43,기본데이타!$A$8:$BV$103,COLUMN(기본데이타!W$8),0))</f>
        <v/>
      </c>
      <c r="U43" s="168" t="str">
        <f>IF($A43="","",VLOOKUP($A43,기본데이타!$A$8:$BV$103,COLUMN(기본데이타!X$8),0))</f>
        <v/>
      </c>
      <c r="V43" s="168" t="str">
        <f>IF($A43="","",VLOOKUP($A43,기본데이타!$A$8:$BV$103,COLUMN(기본데이타!Y$8),0))</f>
        <v/>
      </c>
      <c r="W43" s="168" t="str">
        <f>IF($A43="","",VLOOKUP($A43,기본데이타!$A$8:$BV$103,COLUMN(기본데이타!Z$8),0))</f>
        <v/>
      </c>
      <c r="X43" s="168" t="str">
        <f>IF($A43="","",VLOOKUP($A43,기본데이타!$A$8:$BV$103,COLUMN(기본데이타!AA$8),0))</f>
        <v/>
      </c>
      <c r="Y43" s="168" t="str">
        <f>IF($A43="","",VLOOKUP($A43,기본데이타!$A$8:$BV$103,COLUMN(기본데이타!AB$8),0))</f>
        <v/>
      </c>
      <c r="Z43" s="167" t="str">
        <f>IF($A43="","",VLOOKUP($A43,기본데이타!$A$8:$BV$103,COLUMN(기본데이타!AC$8),0))</f>
        <v/>
      </c>
      <c r="AA43" s="168" t="str">
        <f>IF($A43="","",VLOOKUP($A43,기본데이타!$A$8:$BV$103,COLUMN(기본데이타!AD$8),0))</f>
        <v/>
      </c>
      <c r="AB43" s="167" t="str">
        <f>IF($A43="","",VLOOKUP($A43,기본데이타!$A$8:$BV$103,COLUMN(기본데이타!AE$8),0))</f>
        <v/>
      </c>
      <c r="AC43" s="168" t="str">
        <f>IF($A43="","",VLOOKUP($A43,기본데이타!$A$8:$BV$103,COLUMN(기본데이타!AF$8),0))</f>
        <v/>
      </c>
      <c r="AD43" s="167" t="str">
        <f>IF($A43="","",VLOOKUP($A43,기본데이타!$A$8:$BV$103,COLUMN(기본데이타!AG$8),0))</f>
        <v/>
      </c>
      <c r="AE43" s="168" t="str">
        <f>IF($A43="","",VLOOKUP($A43,기본데이타!$A$8:$BV$103,COLUMN(기본데이타!AH$8),0))</f>
        <v/>
      </c>
      <c r="AF43" s="167" t="str">
        <f>IF($A43="","",VLOOKUP($A43,기본데이타!$A$8:$BV$103,COLUMN(기본데이타!AI$8),0))</f>
        <v/>
      </c>
      <c r="AG43" s="169" t="str">
        <f>IF($A43="","",VLOOKUP($A43,기본데이타!$A$8:$BV$103,COLUMN(기본데이타!AJ$8),0))</f>
        <v/>
      </c>
      <c r="AH43" s="364" t="str">
        <f>IF($A43="","",VLOOKUP($A43,기본데이타!$A$8:$BV$103,COLUMN(기본데이타!AK$8),0))</f>
        <v/>
      </c>
      <c r="AI43" s="364" t="str">
        <f>IF($A43="","",VLOOKUP($A43,기본데이타!$A$8:$BV$103,COLUMN(기본데이타!AL$8),0))</f>
        <v/>
      </c>
      <c r="AJ43" s="364" t="str">
        <f>IF($A43="","",VLOOKUP($A43,기본데이타!$A$8:$BV$103,COLUMN(기본데이타!AM$8),0))</f>
        <v/>
      </c>
      <c r="AK43" s="364" t="str">
        <f>IF($A43="","",VLOOKUP($A43,기본데이타!$A$8:$BV$103,COLUMN(기본데이타!AN$8),0))</f>
        <v/>
      </c>
      <c r="AL43" s="364" t="str">
        <f>IF($A43="","",VLOOKUP($A43,기본데이타!$A$8:$BV$103,COLUMN(기본데이타!AO$8),0))</f>
        <v/>
      </c>
      <c r="AM43" s="364" t="str">
        <f>IF($A43="","",VLOOKUP($A43,기본데이타!$A$8:$BV$103,COLUMN(기본데이타!AP$8),0))</f>
        <v/>
      </c>
      <c r="AN43" s="364" t="str">
        <f>IF($A43="","",VLOOKUP($A43,기본데이타!$A$8:$BV$103,COLUMN(기본데이타!AQ$8),0))</f>
        <v/>
      </c>
      <c r="AO43" s="364" t="str">
        <f>IF($A43="","",VLOOKUP($A43,기본데이타!$A$8:$BV$103,COLUMN(기본데이타!AR$8),0))</f>
        <v/>
      </c>
      <c r="AP43" s="364" t="str">
        <f>IF($A43="","",VLOOKUP($A43,기본데이타!$A$8:$BV$103,COLUMN(기본데이타!AS$8),0))</f>
        <v/>
      </c>
      <c r="AQ43" s="364" t="str">
        <f>IF($A43="","",VLOOKUP($A43,기본데이타!$A$8:$BV$103,COLUMN(기본데이타!AT$8),0))</f>
        <v/>
      </c>
      <c r="AR43" s="364" t="str">
        <f>IF($A43="","",VLOOKUP($A43,기본데이타!$A$8:$BV$103,COLUMN(기본데이타!AU$8),0))</f>
        <v/>
      </c>
      <c r="AS43" s="364" t="str">
        <f>IF($A43="","",VLOOKUP($A43,기본데이타!$A$8:$BV$103,COLUMN(기본데이타!AV$8),0))</f>
        <v/>
      </c>
      <c r="AT43" s="358" t="str">
        <f>IF($A43="","",VLOOKUP($A43,기본데이타!$A$8:$BV$103,COLUMN(기본데이타!AW$8),0))</f>
        <v/>
      </c>
      <c r="AU43" s="358" t="str">
        <f>IF($A43="","",VLOOKUP($A43,기본데이타!$A$8:$BV$103,COLUMN(기본데이타!AX$8),0))</f>
        <v/>
      </c>
      <c r="AV43" s="358" t="str">
        <f>IF($A43="","",VLOOKUP($A43,기본데이타!$A$8:$BV$103,COLUMN(기본데이타!AY$8),0))</f>
        <v/>
      </c>
      <c r="AW43" s="358" t="str">
        <f t="shared" si="9"/>
        <v/>
      </c>
      <c r="AX43" s="168" t="str">
        <f>IF($A43="","",VLOOKUP($A43,기본데이타!$A$8:$BV$103,COLUMN(기본데이타!BA$8),0))</f>
        <v/>
      </c>
      <c r="AY43" s="168" t="str">
        <f>IF($A43="","",VLOOKUP($A43,기본데이타!$A$8:$BV$103,COLUMN(기본데이타!BB$8),0))</f>
        <v/>
      </c>
      <c r="AZ43" s="168" t="str">
        <f>IF($A43="","",VLOOKUP($A43,기본데이타!$A$8:$BV$103,COLUMN(기본데이타!BC$8),0))</f>
        <v/>
      </c>
      <c r="BA43" s="168" t="str">
        <f>IF($A43="","",VLOOKUP($A43,기본데이타!$A$8:$BV$103,COLUMN(기본데이타!BD$8),0))</f>
        <v/>
      </c>
      <c r="BB43" s="168" t="str">
        <f>IF($A43="","",VLOOKUP($A43,기본데이타!$A$8:$BV$103,COLUMN(기본데이타!BE$8),0))</f>
        <v/>
      </c>
      <c r="BC43" s="168" t="str">
        <f>IF($A43="","",VLOOKUP($A43,기본데이타!$A$8:$BV$103,COLUMN(기본데이타!BF$8),0))</f>
        <v/>
      </c>
      <c r="BD43" s="168" t="str">
        <f>IF($A43="","",VLOOKUP($A43,기본데이타!$A$8:$BV$103,COLUMN(기본데이타!BG$8),0))</f>
        <v/>
      </c>
      <c r="BE43" s="168" t="str">
        <f>IF($A43="","",VLOOKUP($A43,기본데이타!$A$8:$BV$103,COLUMN(기본데이타!BH$8),0))</f>
        <v/>
      </c>
      <c r="BF43" s="168" t="str">
        <f>IF($A43="","",VLOOKUP($A43,기본데이타!$A$8:$BV$103,COLUMN(기본데이타!BI$8),0))</f>
        <v/>
      </c>
      <c r="BG43" s="168" t="str">
        <f>IF($A43="","",VLOOKUP($A43,기본데이타!$A$8:$BV$103,COLUMN(기본데이타!BJ$8),0))</f>
        <v/>
      </c>
      <c r="BH43" s="168" t="str">
        <f>IF($A43="","",VLOOKUP($A43,기본데이타!$A$8:$BV$103,COLUMN(기본데이타!BK$8),0))</f>
        <v/>
      </c>
      <c r="BI43" s="168" t="str">
        <f>IF($A43="","",VLOOKUP($A43,기본데이타!$A$8:$BV$103,COLUMN(기본데이타!BL$8),0))</f>
        <v/>
      </c>
      <c r="BJ43" s="168" t="str">
        <f>IF($A43="","",VLOOKUP($A43,기본데이타!$A$8:$BV$103,COLUMN(기본데이타!BM$8),0))</f>
        <v/>
      </c>
      <c r="BK43" s="168" t="str">
        <f>IF($A43="","",VLOOKUP($A43,기본데이타!$A$8:$BV$103,COLUMN(기본데이타!BN$8),0))</f>
        <v/>
      </c>
      <c r="BL43" s="168" t="str">
        <f>IF($A43="","",VLOOKUP($A43,기본데이타!$A$8:$BV$103,COLUMN(기본데이타!BO$8),0))</f>
        <v/>
      </c>
      <c r="BM43" s="168" t="str">
        <f>IF($A43="","",VLOOKUP($A43,기본데이타!$A$8:$BV$103,COLUMN(기본데이타!BP$8),0))</f>
        <v/>
      </c>
      <c r="BN43" s="168" t="str">
        <f>IF($A43="","",VLOOKUP($A43,기본데이타!$A$8:$BV$103,COLUMN(기본데이타!BQ$8),0))</f>
        <v/>
      </c>
      <c r="BO43" s="168" t="str">
        <f>IF($A43="","",VLOOKUP($A43,기본데이타!$A$8:$BV$103,COLUMN(기본데이타!BR$8),0))</f>
        <v/>
      </c>
      <c r="BP43" s="168" t="str">
        <f>IF($A43="","",VLOOKUP($A43,기본데이타!$A$8:$BV$103,COLUMN(기본데이타!BS$8),0))</f>
        <v/>
      </c>
      <c r="BQ43" s="980" t="str">
        <f>IF($A43="","",VLOOKUP($A43,기본데이타!$A$8:$BV$103,COLUMN(기본데이타!BT$8),0))</f>
        <v/>
      </c>
      <c r="BR43" s="984" t="str">
        <f>IF($A43="","",VLOOKUP($A43,기본데이타!$A$8:$BV$103,COLUMN(기본데이타!BU$8),0))</f>
        <v/>
      </c>
      <c r="BS43" s="168" t="str">
        <f>IF($A43="","",VLOOKUP($A43,기본데이타!$A$8:$BV$103,COLUMN(기본데이타!BV$8),0))</f>
        <v/>
      </c>
      <c r="BT43" s="981">
        <f t="shared" si="6"/>
        <v>0</v>
      </c>
      <c r="BU43" s="242"/>
    </row>
    <row r="44" spans="1:73" s="7" customFormat="1" ht="73.5" customHeight="1">
      <c r="A44" s="171"/>
      <c r="B44" s="163"/>
      <c r="C44" s="164" t="str">
        <f>IF($A44="","",VLOOKUP($A44,기본데이타!$A$8:$BV$103,COLUMN(기본데이타!F$8),0))</f>
        <v/>
      </c>
      <c r="D44" s="165" t="str">
        <f>IF($A44="","",VLOOKUP($A44,기본데이타!$A$8:$BV$103,COLUMN(기본데이타!G$8),0))</f>
        <v/>
      </c>
      <c r="E44" s="166" t="str">
        <f>IF($A44="","",VLOOKUP($A44,기본데이타!$A$8:$BV$103,COLUMN(기본데이타!H$8),0))</f>
        <v/>
      </c>
      <c r="F44" s="166" t="str">
        <f>IF($A44="","",VLOOKUP($A44,기본데이타!$A$8:$BV$103,COLUMN(기본데이타!I$8),0))</f>
        <v/>
      </c>
      <c r="G44" s="166" t="str">
        <f>IF($A44="","",VLOOKUP($A44,기본데이타!$A$8:$BV$103,COLUMN(기본데이타!J$8),0))</f>
        <v/>
      </c>
      <c r="H44" s="167" t="str">
        <f>IF($A44="","",VLOOKUP($A44,기본데이타!$A$8:$BV$103,COLUMN(기본데이타!K$8),0))</f>
        <v/>
      </c>
      <c r="I44" s="167" t="str">
        <f>IF($A44="","",VLOOKUP($A44,기본데이타!$A$8:$BV$103,COLUMN(기본데이타!L$8),0))</f>
        <v/>
      </c>
      <c r="J44" s="167" t="str">
        <f>IF($A44="","",VLOOKUP($A44,기본데이타!$A$8:$BV$103,COLUMN(기본데이타!M$8),0))</f>
        <v/>
      </c>
      <c r="K44" s="168" t="str">
        <f>IF($A44="","",VLOOKUP($A44,기본데이타!$A$8:$BV$103,COLUMN(기본데이타!N$8),0))</f>
        <v/>
      </c>
      <c r="L44" s="167" t="str">
        <f>IF($A44="","",VLOOKUP($A44,기본데이타!$A$8:$BV$103,COLUMN(기본데이타!O$8),0))</f>
        <v/>
      </c>
      <c r="M44" s="168" t="str">
        <f>IF($A44="","",VLOOKUP($A44,기본데이타!$A$8:$BV$103,COLUMN(기본데이타!P$8),0))</f>
        <v/>
      </c>
      <c r="N44" s="168" t="str">
        <f>IF($A44="","",VLOOKUP($A44,기본데이타!$A$8:$BV$103,COLUMN(기본데이타!Q$8),0))</f>
        <v/>
      </c>
      <c r="O44" s="168" t="str">
        <f>IF($A44="","",VLOOKUP($A44,기본데이타!$A$8:$BV$103,COLUMN(기본데이타!R$8),0))</f>
        <v/>
      </c>
      <c r="P44" s="168" t="str">
        <f>IF($A44="","",VLOOKUP($A44,기본데이타!$A$8:$BV$103,COLUMN(기본데이타!S$8),0))</f>
        <v/>
      </c>
      <c r="Q44" s="168" t="str">
        <f>IF($A44="","",VLOOKUP($A44,기본데이타!$A$8:$BV$103,COLUMN(기본데이타!T$8),0))</f>
        <v/>
      </c>
      <c r="R44" s="168" t="str">
        <f>IF($A44="","",VLOOKUP($A44,기본데이타!$A$8:$BV$103,COLUMN(기본데이타!U$8),0))</f>
        <v/>
      </c>
      <c r="S44" s="168" t="str">
        <f>IF($A44="","",VLOOKUP($A44,기본데이타!$A$8:$BV$103,COLUMN(기본데이타!V$8),0))</f>
        <v/>
      </c>
      <c r="T44" s="168" t="str">
        <f>IF($A44="","",VLOOKUP($A44,기본데이타!$A$8:$BV$103,COLUMN(기본데이타!W$8),0))</f>
        <v/>
      </c>
      <c r="U44" s="168" t="str">
        <f>IF($A44="","",VLOOKUP($A44,기본데이타!$A$8:$BV$103,COLUMN(기본데이타!X$8),0))</f>
        <v/>
      </c>
      <c r="V44" s="168" t="str">
        <f>IF($A44="","",VLOOKUP($A44,기본데이타!$A$8:$BV$103,COLUMN(기본데이타!Y$8),0))</f>
        <v/>
      </c>
      <c r="W44" s="168" t="str">
        <f>IF($A44="","",VLOOKUP($A44,기본데이타!$A$8:$BV$103,COLUMN(기본데이타!Z$8),0))</f>
        <v/>
      </c>
      <c r="X44" s="168" t="str">
        <f>IF($A44="","",VLOOKUP($A44,기본데이타!$A$8:$BV$103,COLUMN(기본데이타!AA$8),0))</f>
        <v/>
      </c>
      <c r="Y44" s="168" t="str">
        <f>IF($A44="","",VLOOKUP($A44,기본데이타!$A$8:$BV$103,COLUMN(기본데이타!AB$8),0))</f>
        <v/>
      </c>
      <c r="Z44" s="167" t="str">
        <f>IF($A44="","",VLOOKUP($A44,기본데이타!$A$8:$BV$103,COLUMN(기본데이타!AC$8),0))</f>
        <v/>
      </c>
      <c r="AA44" s="168" t="str">
        <f>IF($A44="","",VLOOKUP($A44,기본데이타!$A$8:$BV$103,COLUMN(기본데이타!AD$8),0))</f>
        <v/>
      </c>
      <c r="AB44" s="167" t="str">
        <f>IF($A44="","",VLOOKUP($A44,기본데이타!$A$8:$BV$103,COLUMN(기본데이타!AE$8),0))</f>
        <v/>
      </c>
      <c r="AC44" s="168" t="str">
        <f>IF($A44="","",VLOOKUP($A44,기본데이타!$A$8:$BV$103,COLUMN(기본데이타!AF$8),0))</f>
        <v/>
      </c>
      <c r="AD44" s="167" t="str">
        <f>IF($A44="","",VLOOKUP($A44,기본데이타!$A$8:$BV$103,COLUMN(기본데이타!AG$8),0))</f>
        <v/>
      </c>
      <c r="AE44" s="168" t="str">
        <f>IF($A44="","",VLOOKUP($A44,기본데이타!$A$8:$BV$103,COLUMN(기본데이타!AH$8),0))</f>
        <v/>
      </c>
      <c r="AF44" s="167" t="str">
        <f>IF($A44="","",VLOOKUP($A44,기본데이타!$A$8:$BV$103,COLUMN(기본데이타!AI$8),0))</f>
        <v/>
      </c>
      <c r="AG44" s="169" t="str">
        <f>IF($A44="","",VLOOKUP($A44,기본데이타!$A$8:$BV$103,COLUMN(기본데이타!AJ$8),0))</f>
        <v/>
      </c>
      <c r="AH44" s="364" t="str">
        <f>IF($A44="","",VLOOKUP($A44,기본데이타!$A$8:$BV$103,COLUMN(기본데이타!AK$8),0))</f>
        <v/>
      </c>
      <c r="AI44" s="364" t="str">
        <f>IF($A44="","",VLOOKUP($A44,기본데이타!$A$8:$BV$103,COLUMN(기본데이타!AL$8),0))</f>
        <v/>
      </c>
      <c r="AJ44" s="364" t="str">
        <f>IF($A44="","",VLOOKUP($A44,기본데이타!$A$8:$BV$103,COLUMN(기본데이타!AM$8),0))</f>
        <v/>
      </c>
      <c r="AK44" s="364" t="str">
        <f>IF($A44="","",VLOOKUP($A44,기본데이타!$A$8:$BV$103,COLUMN(기본데이타!AN$8),0))</f>
        <v/>
      </c>
      <c r="AL44" s="364" t="str">
        <f>IF($A44="","",VLOOKUP($A44,기본데이타!$A$8:$BV$103,COLUMN(기본데이타!AO$8),0))</f>
        <v/>
      </c>
      <c r="AM44" s="364" t="str">
        <f>IF($A44="","",VLOOKUP($A44,기본데이타!$A$8:$BV$103,COLUMN(기본데이타!AP$8),0))</f>
        <v/>
      </c>
      <c r="AN44" s="364" t="str">
        <f>IF($A44="","",VLOOKUP($A44,기본데이타!$A$8:$BV$103,COLUMN(기본데이타!AQ$8),0))</f>
        <v/>
      </c>
      <c r="AO44" s="364" t="str">
        <f>IF($A44="","",VLOOKUP($A44,기본데이타!$A$8:$BV$103,COLUMN(기본데이타!AR$8),0))</f>
        <v/>
      </c>
      <c r="AP44" s="364" t="str">
        <f>IF($A44="","",VLOOKUP($A44,기본데이타!$A$8:$BV$103,COLUMN(기본데이타!AS$8),0))</f>
        <v/>
      </c>
      <c r="AQ44" s="364" t="str">
        <f>IF($A44="","",VLOOKUP($A44,기본데이타!$A$8:$BV$103,COLUMN(기본데이타!AT$8),0))</f>
        <v/>
      </c>
      <c r="AR44" s="364" t="str">
        <f>IF($A44="","",VLOOKUP($A44,기본데이타!$A$8:$BV$103,COLUMN(기본데이타!AU$8),0))</f>
        <v/>
      </c>
      <c r="AS44" s="364" t="str">
        <f>IF($A44="","",VLOOKUP($A44,기본데이타!$A$8:$BV$103,COLUMN(기본데이타!AV$8),0))</f>
        <v/>
      </c>
      <c r="AT44" s="358" t="str">
        <f>IF($A44="","",VLOOKUP($A44,기본데이타!$A$8:$BV$103,COLUMN(기본데이타!AW$8),0))</f>
        <v/>
      </c>
      <c r="AU44" s="358" t="str">
        <f>IF($A44="","",VLOOKUP($A44,기본데이타!$A$8:$BV$103,COLUMN(기본데이타!AX$8),0))</f>
        <v/>
      </c>
      <c r="AV44" s="358" t="str">
        <f>IF($A44="","",VLOOKUP($A44,기본데이타!$A$8:$BV$103,COLUMN(기본데이타!AY$8),0))</f>
        <v/>
      </c>
      <c r="AW44" s="358" t="str">
        <f t="shared" si="9"/>
        <v/>
      </c>
      <c r="AX44" s="168" t="str">
        <f>IF($A44="","",VLOOKUP($A44,기본데이타!$A$8:$BV$103,COLUMN(기본데이타!BA$8),0))</f>
        <v/>
      </c>
      <c r="AY44" s="168" t="str">
        <f>IF($A44="","",VLOOKUP($A44,기본데이타!$A$8:$BV$103,COLUMN(기본데이타!BB$8),0))</f>
        <v/>
      </c>
      <c r="AZ44" s="168" t="str">
        <f>IF($A44="","",VLOOKUP($A44,기본데이타!$A$8:$BV$103,COLUMN(기본데이타!BC$8),0))</f>
        <v/>
      </c>
      <c r="BA44" s="168" t="str">
        <f>IF($A44="","",VLOOKUP($A44,기본데이타!$A$8:$BV$103,COLUMN(기본데이타!BD$8),0))</f>
        <v/>
      </c>
      <c r="BB44" s="168" t="str">
        <f>IF($A44="","",VLOOKUP($A44,기본데이타!$A$8:$BV$103,COLUMN(기본데이타!BE$8),0))</f>
        <v/>
      </c>
      <c r="BC44" s="168" t="str">
        <f>IF($A44="","",VLOOKUP($A44,기본데이타!$A$8:$BV$103,COLUMN(기본데이타!BF$8),0))</f>
        <v/>
      </c>
      <c r="BD44" s="168" t="str">
        <f>IF($A44="","",VLOOKUP($A44,기본데이타!$A$8:$BV$103,COLUMN(기본데이타!BG$8),0))</f>
        <v/>
      </c>
      <c r="BE44" s="168" t="str">
        <f>IF($A44="","",VLOOKUP($A44,기본데이타!$A$8:$BV$103,COLUMN(기본데이타!BH$8),0))</f>
        <v/>
      </c>
      <c r="BF44" s="168" t="str">
        <f>IF($A44="","",VLOOKUP($A44,기본데이타!$A$8:$BV$103,COLUMN(기본데이타!BI$8),0))</f>
        <v/>
      </c>
      <c r="BG44" s="168" t="str">
        <f>IF($A44="","",VLOOKUP($A44,기본데이타!$A$8:$BV$103,COLUMN(기본데이타!BJ$8),0))</f>
        <v/>
      </c>
      <c r="BH44" s="168" t="str">
        <f>IF($A44="","",VLOOKUP($A44,기본데이타!$A$8:$BV$103,COLUMN(기본데이타!BK$8),0))</f>
        <v/>
      </c>
      <c r="BI44" s="168" t="str">
        <f>IF($A44="","",VLOOKUP($A44,기본데이타!$A$8:$BV$103,COLUMN(기본데이타!BL$8),0))</f>
        <v/>
      </c>
      <c r="BJ44" s="168" t="str">
        <f>IF($A44="","",VLOOKUP($A44,기본데이타!$A$8:$BV$103,COLUMN(기본데이타!BM$8),0))</f>
        <v/>
      </c>
      <c r="BK44" s="168" t="str">
        <f>IF($A44="","",VLOOKUP($A44,기본데이타!$A$8:$BV$103,COLUMN(기본데이타!BN$8),0))</f>
        <v/>
      </c>
      <c r="BL44" s="168" t="str">
        <f>IF($A44="","",VLOOKUP($A44,기본데이타!$A$8:$BV$103,COLUMN(기본데이타!BO$8),0))</f>
        <v/>
      </c>
      <c r="BM44" s="168" t="str">
        <f>IF($A44="","",VLOOKUP($A44,기본데이타!$A$8:$BV$103,COLUMN(기본데이타!BP$8),0))</f>
        <v/>
      </c>
      <c r="BN44" s="168" t="str">
        <f>IF($A44="","",VLOOKUP($A44,기본데이타!$A$8:$BV$103,COLUMN(기본데이타!BQ$8),0))</f>
        <v/>
      </c>
      <c r="BO44" s="168" t="str">
        <f>IF($A44="","",VLOOKUP($A44,기본데이타!$A$8:$BV$103,COLUMN(기본데이타!BR$8),0))</f>
        <v/>
      </c>
      <c r="BP44" s="168" t="str">
        <f>IF($A44="","",VLOOKUP($A44,기본데이타!$A$8:$BV$103,COLUMN(기본데이타!BS$8),0))</f>
        <v/>
      </c>
      <c r="BQ44" s="980" t="str">
        <f>IF($A44="","",VLOOKUP($A44,기본데이타!$A$8:$BV$103,COLUMN(기본데이타!BT$8),0))</f>
        <v/>
      </c>
      <c r="BR44" s="984" t="str">
        <f>IF($A44="","",VLOOKUP($A44,기본데이타!$A$8:$BV$103,COLUMN(기본데이타!BU$8),0))</f>
        <v/>
      </c>
      <c r="BS44" s="168" t="str">
        <f>IF($A44="","",VLOOKUP($A44,기본데이타!$A$8:$BV$103,COLUMN(기본데이타!BV$8),0))</f>
        <v/>
      </c>
      <c r="BT44" s="981">
        <f t="shared" si="6"/>
        <v>0</v>
      </c>
      <c r="BU44" s="242"/>
    </row>
    <row r="45" spans="1:73" s="7" customFormat="1" ht="73.5" customHeight="1">
      <c r="A45" s="171"/>
      <c r="B45" s="163"/>
      <c r="C45" s="164" t="str">
        <f>IF($A45="","",VLOOKUP($A45,기본데이타!$A$8:$BV$103,COLUMN(기본데이타!F$8),0))</f>
        <v/>
      </c>
      <c r="D45" s="165" t="str">
        <f>IF($A45="","",VLOOKUP($A45,기본데이타!$A$8:$BV$103,COLUMN(기본데이타!G$8),0))</f>
        <v/>
      </c>
      <c r="E45" s="166" t="str">
        <f>IF($A45="","",VLOOKUP($A45,기본데이타!$A$8:$BV$103,COLUMN(기본데이타!H$8),0))</f>
        <v/>
      </c>
      <c r="F45" s="166" t="str">
        <f>IF($A45="","",VLOOKUP($A45,기본데이타!$A$8:$BV$103,COLUMN(기본데이타!I$8),0))</f>
        <v/>
      </c>
      <c r="G45" s="166" t="str">
        <f>IF($A45="","",VLOOKUP($A45,기본데이타!$A$8:$BV$103,COLUMN(기본데이타!J$8),0))</f>
        <v/>
      </c>
      <c r="H45" s="167" t="str">
        <f>IF($A45="","",VLOOKUP($A45,기본데이타!$A$8:$BV$103,COLUMN(기본데이타!K$8),0))</f>
        <v/>
      </c>
      <c r="I45" s="167" t="str">
        <f>IF($A45="","",VLOOKUP($A45,기본데이타!$A$8:$BV$103,COLUMN(기본데이타!L$8),0))</f>
        <v/>
      </c>
      <c r="J45" s="167" t="str">
        <f>IF($A45="","",VLOOKUP($A45,기본데이타!$A$8:$BV$103,COLUMN(기본데이타!M$8),0))</f>
        <v/>
      </c>
      <c r="K45" s="168" t="str">
        <f>IF($A45="","",VLOOKUP($A45,기본데이타!$A$8:$BV$103,COLUMN(기본데이타!N$8),0))</f>
        <v/>
      </c>
      <c r="L45" s="167" t="str">
        <f>IF($A45="","",VLOOKUP($A45,기본데이타!$A$8:$BV$103,COLUMN(기본데이타!O$8),0))</f>
        <v/>
      </c>
      <c r="M45" s="168" t="str">
        <f>IF($A45="","",VLOOKUP($A45,기본데이타!$A$8:$BV$103,COLUMN(기본데이타!P$8),0))</f>
        <v/>
      </c>
      <c r="N45" s="168" t="str">
        <f>IF($A45="","",VLOOKUP($A45,기본데이타!$A$8:$BV$103,COLUMN(기본데이타!Q$8),0))</f>
        <v/>
      </c>
      <c r="O45" s="168" t="str">
        <f>IF($A45="","",VLOOKUP($A45,기본데이타!$A$8:$BV$103,COLUMN(기본데이타!R$8),0))</f>
        <v/>
      </c>
      <c r="P45" s="168" t="str">
        <f>IF($A45="","",VLOOKUP($A45,기본데이타!$A$8:$BV$103,COLUMN(기본데이타!S$8),0))</f>
        <v/>
      </c>
      <c r="Q45" s="168" t="str">
        <f>IF($A45="","",VLOOKUP($A45,기본데이타!$A$8:$BV$103,COLUMN(기본데이타!T$8),0))</f>
        <v/>
      </c>
      <c r="R45" s="168" t="str">
        <f>IF($A45="","",VLOOKUP($A45,기본데이타!$A$8:$BV$103,COLUMN(기본데이타!U$8),0))</f>
        <v/>
      </c>
      <c r="S45" s="168" t="str">
        <f>IF($A45="","",VLOOKUP($A45,기본데이타!$A$8:$BV$103,COLUMN(기본데이타!V$8),0))</f>
        <v/>
      </c>
      <c r="T45" s="168" t="str">
        <f>IF($A45="","",VLOOKUP($A45,기본데이타!$A$8:$BV$103,COLUMN(기본데이타!W$8),0))</f>
        <v/>
      </c>
      <c r="U45" s="168" t="str">
        <f>IF($A45="","",VLOOKUP($A45,기본데이타!$A$8:$BV$103,COLUMN(기본데이타!X$8),0))</f>
        <v/>
      </c>
      <c r="V45" s="168" t="str">
        <f>IF($A45="","",VLOOKUP($A45,기본데이타!$A$8:$BV$103,COLUMN(기본데이타!Y$8),0))</f>
        <v/>
      </c>
      <c r="W45" s="168" t="str">
        <f>IF($A45="","",VLOOKUP($A45,기본데이타!$A$8:$BV$103,COLUMN(기본데이타!Z$8),0))</f>
        <v/>
      </c>
      <c r="X45" s="168" t="str">
        <f>IF($A45="","",VLOOKUP($A45,기본데이타!$A$8:$BV$103,COLUMN(기본데이타!AA$8),0))</f>
        <v/>
      </c>
      <c r="Y45" s="168" t="str">
        <f>IF($A45="","",VLOOKUP($A45,기본데이타!$A$8:$BV$103,COLUMN(기본데이타!AB$8),0))</f>
        <v/>
      </c>
      <c r="Z45" s="167" t="str">
        <f>IF($A45="","",VLOOKUP($A45,기본데이타!$A$8:$BV$103,COLUMN(기본데이타!AC$8),0))</f>
        <v/>
      </c>
      <c r="AA45" s="168" t="str">
        <f>IF($A45="","",VLOOKUP($A45,기본데이타!$A$8:$BV$103,COLUMN(기본데이타!AD$8),0))</f>
        <v/>
      </c>
      <c r="AB45" s="167" t="str">
        <f>IF($A45="","",VLOOKUP($A45,기본데이타!$A$8:$BV$103,COLUMN(기본데이타!AE$8),0))</f>
        <v/>
      </c>
      <c r="AC45" s="168" t="str">
        <f>IF($A45="","",VLOOKUP($A45,기본데이타!$A$8:$BV$103,COLUMN(기본데이타!AF$8),0))</f>
        <v/>
      </c>
      <c r="AD45" s="167" t="str">
        <f>IF($A45="","",VLOOKUP($A45,기본데이타!$A$8:$BV$103,COLUMN(기본데이타!AG$8),0))</f>
        <v/>
      </c>
      <c r="AE45" s="168" t="str">
        <f>IF($A45="","",VLOOKUP($A45,기본데이타!$A$8:$BV$103,COLUMN(기본데이타!AH$8),0))</f>
        <v/>
      </c>
      <c r="AF45" s="167" t="str">
        <f>IF($A45="","",VLOOKUP($A45,기본데이타!$A$8:$BV$103,COLUMN(기본데이타!AI$8),0))</f>
        <v/>
      </c>
      <c r="AG45" s="169" t="str">
        <f>IF($A45="","",VLOOKUP($A45,기본데이타!$A$8:$BV$103,COLUMN(기본데이타!AJ$8),0))</f>
        <v/>
      </c>
      <c r="AH45" s="364" t="str">
        <f>IF($A45="","",VLOOKUP($A45,기본데이타!$A$8:$BV$103,COLUMN(기본데이타!AK$8),0))</f>
        <v/>
      </c>
      <c r="AI45" s="364" t="str">
        <f>IF($A45="","",VLOOKUP($A45,기본데이타!$A$8:$BV$103,COLUMN(기본데이타!AL$8),0))</f>
        <v/>
      </c>
      <c r="AJ45" s="364" t="str">
        <f>IF($A45="","",VLOOKUP($A45,기본데이타!$A$8:$BV$103,COLUMN(기본데이타!AM$8),0))</f>
        <v/>
      </c>
      <c r="AK45" s="364" t="str">
        <f>IF($A45="","",VLOOKUP($A45,기본데이타!$A$8:$BV$103,COLUMN(기본데이타!AN$8),0))</f>
        <v/>
      </c>
      <c r="AL45" s="364" t="str">
        <f>IF($A45="","",VLOOKUP($A45,기본데이타!$A$8:$BV$103,COLUMN(기본데이타!AO$8),0))</f>
        <v/>
      </c>
      <c r="AM45" s="364" t="str">
        <f>IF($A45="","",VLOOKUP($A45,기본데이타!$A$8:$BV$103,COLUMN(기본데이타!AP$8),0))</f>
        <v/>
      </c>
      <c r="AN45" s="364" t="str">
        <f>IF($A45="","",VLOOKUP($A45,기본데이타!$A$8:$BV$103,COLUMN(기본데이타!AQ$8),0))</f>
        <v/>
      </c>
      <c r="AO45" s="364" t="str">
        <f>IF($A45="","",VLOOKUP($A45,기본데이타!$A$8:$BV$103,COLUMN(기본데이타!AR$8),0))</f>
        <v/>
      </c>
      <c r="AP45" s="364" t="str">
        <f>IF($A45="","",VLOOKUP($A45,기본데이타!$A$8:$BV$103,COLUMN(기본데이타!AS$8),0))</f>
        <v/>
      </c>
      <c r="AQ45" s="364" t="str">
        <f>IF($A45="","",VLOOKUP($A45,기본데이타!$A$8:$BV$103,COLUMN(기본데이타!AT$8),0))</f>
        <v/>
      </c>
      <c r="AR45" s="364" t="str">
        <f>IF($A45="","",VLOOKUP($A45,기본데이타!$A$8:$BV$103,COLUMN(기본데이타!AU$8),0))</f>
        <v/>
      </c>
      <c r="AS45" s="364" t="str">
        <f>IF($A45="","",VLOOKUP($A45,기본데이타!$A$8:$BV$103,COLUMN(기본데이타!AV$8),0))</f>
        <v/>
      </c>
      <c r="AT45" s="358" t="str">
        <f>IF($A45="","",VLOOKUP($A45,기본데이타!$A$8:$BV$103,COLUMN(기본데이타!AW$8),0))</f>
        <v/>
      </c>
      <c r="AU45" s="358" t="str">
        <f>IF($A45="","",VLOOKUP($A45,기본데이타!$A$8:$BV$103,COLUMN(기본데이타!AX$8),0))</f>
        <v/>
      </c>
      <c r="AV45" s="358" t="str">
        <f>IF($A45="","",VLOOKUP($A45,기본데이타!$A$8:$BV$103,COLUMN(기본데이타!AY$8),0))</f>
        <v/>
      </c>
      <c r="AW45" s="358" t="str">
        <f t="shared" si="9"/>
        <v/>
      </c>
      <c r="AX45" s="168" t="str">
        <f>IF($A45="","",VLOOKUP($A45,기본데이타!$A$8:$BV$103,COLUMN(기본데이타!BA$8),0))</f>
        <v/>
      </c>
      <c r="AY45" s="168" t="str">
        <f>IF($A45="","",VLOOKUP($A45,기본데이타!$A$8:$BV$103,COLUMN(기본데이타!BB$8),0))</f>
        <v/>
      </c>
      <c r="AZ45" s="168" t="str">
        <f>IF($A45="","",VLOOKUP($A45,기본데이타!$A$8:$BV$103,COLUMN(기본데이타!BC$8),0))</f>
        <v/>
      </c>
      <c r="BA45" s="168" t="str">
        <f>IF($A45="","",VLOOKUP($A45,기본데이타!$A$8:$BV$103,COLUMN(기본데이타!BD$8),0))</f>
        <v/>
      </c>
      <c r="BB45" s="168" t="str">
        <f>IF($A45="","",VLOOKUP($A45,기본데이타!$A$8:$BV$103,COLUMN(기본데이타!BE$8),0))</f>
        <v/>
      </c>
      <c r="BC45" s="168" t="str">
        <f>IF($A45="","",VLOOKUP($A45,기본데이타!$A$8:$BV$103,COLUMN(기본데이타!BF$8),0))</f>
        <v/>
      </c>
      <c r="BD45" s="168" t="str">
        <f>IF($A45="","",VLOOKUP($A45,기본데이타!$A$8:$BV$103,COLUMN(기본데이타!BG$8),0))</f>
        <v/>
      </c>
      <c r="BE45" s="168" t="str">
        <f>IF($A45="","",VLOOKUP($A45,기본데이타!$A$8:$BV$103,COLUMN(기본데이타!BH$8),0))</f>
        <v/>
      </c>
      <c r="BF45" s="168" t="str">
        <f>IF($A45="","",VLOOKUP($A45,기본데이타!$A$8:$BV$103,COLUMN(기본데이타!BI$8),0))</f>
        <v/>
      </c>
      <c r="BG45" s="168" t="str">
        <f>IF($A45="","",VLOOKUP($A45,기본데이타!$A$8:$BV$103,COLUMN(기본데이타!BJ$8),0))</f>
        <v/>
      </c>
      <c r="BH45" s="168" t="str">
        <f>IF($A45="","",VLOOKUP($A45,기본데이타!$A$8:$BV$103,COLUMN(기본데이타!BK$8),0))</f>
        <v/>
      </c>
      <c r="BI45" s="168" t="str">
        <f>IF($A45="","",VLOOKUP($A45,기본데이타!$A$8:$BV$103,COLUMN(기본데이타!BL$8),0))</f>
        <v/>
      </c>
      <c r="BJ45" s="168" t="str">
        <f>IF($A45="","",VLOOKUP($A45,기본데이타!$A$8:$BV$103,COLUMN(기본데이타!BM$8),0))</f>
        <v/>
      </c>
      <c r="BK45" s="168" t="str">
        <f>IF($A45="","",VLOOKUP($A45,기본데이타!$A$8:$BV$103,COLUMN(기본데이타!BN$8),0))</f>
        <v/>
      </c>
      <c r="BL45" s="168" t="str">
        <f>IF($A45="","",VLOOKUP($A45,기본데이타!$A$8:$BV$103,COLUMN(기본데이타!BO$8),0))</f>
        <v/>
      </c>
      <c r="BM45" s="168" t="str">
        <f>IF($A45="","",VLOOKUP($A45,기본데이타!$A$8:$BV$103,COLUMN(기본데이타!BP$8),0))</f>
        <v/>
      </c>
      <c r="BN45" s="168" t="str">
        <f>IF($A45="","",VLOOKUP($A45,기본데이타!$A$8:$BV$103,COLUMN(기본데이타!BQ$8),0))</f>
        <v/>
      </c>
      <c r="BO45" s="168" t="str">
        <f>IF($A45="","",VLOOKUP($A45,기본데이타!$A$8:$BV$103,COLUMN(기본데이타!BR$8),0))</f>
        <v/>
      </c>
      <c r="BP45" s="168" t="str">
        <f>IF($A45="","",VLOOKUP($A45,기본데이타!$A$8:$BV$103,COLUMN(기본데이타!BS$8),0))</f>
        <v/>
      </c>
      <c r="BQ45" s="980" t="str">
        <f>IF($A45="","",VLOOKUP($A45,기본데이타!$A$8:$BV$103,COLUMN(기본데이타!BT$8),0))</f>
        <v/>
      </c>
      <c r="BR45" s="984" t="str">
        <f>IF($A45="","",VLOOKUP($A45,기본데이타!$A$8:$BV$103,COLUMN(기본데이타!BU$8),0))</f>
        <v/>
      </c>
      <c r="BS45" s="168" t="str">
        <f>IF($A45="","",VLOOKUP($A45,기본데이타!$A$8:$BV$103,COLUMN(기본데이타!BV$8),0))</f>
        <v/>
      </c>
      <c r="BT45" s="981">
        <f t="shared" si="6"/>
        <v>0</v>
      </c>
      <c r="BU45" s="242"/>
    </row>
    <row r="46" spans="1:73" s="7" customFormat="1" ht="73.5" customHeight="1">
      <c r="A46" s="171"/>
      <c r="B46" s="163"/>
      <c r="C46" s="164" t="str">
        <f>IF($A46="","",VLOOKUP($A46,기본데이타!$A$8:$BV$103,COLUMN(기본데이타!F$8),0))</f>
        <v/>
      </c>
      <c r="D46" s="165" t="str">
        <f>IF($A46="","",VLOOKUP($A46,기본데이타!$A$8:$BV$103,COLUMN(기본데이타!G$8),0))</f>
        <v/>
      </c>
      <c r="E46" s="166" t="str">
        <f>IF($A46="","",VLOOKUP($A46,기본데이타!$A$8:$BV$103,COLUMN(기본데이타!H$8),0))</f>
        <v/>
      </c>
      <c r="F46" s="166" t="str">
        <f>IF($A46="","",VLOOKUP($A46,기본데이타!$A$8:$BV$103,COLUMN(기본데이타!I$8),0))</f>
        <v/>
      </c>
      <c r="G46" s="166" t="str">
        <f>IF($A46="","",VLOOKUP($A46,기본데이타!$A$8:$BV$103,COLUMN(기본데이타!J$8),0))</f>
        <v/>
      </c>
      <c r="H46" s="167" t="str">
        <f>IF($A46="","",VLOOKUP($A46,기본데이타!$A$8:$BV$103,COLUMN(기본데이타!K$8),0))</f>
        <v/>
      </c>
      <c r="I46" s="167" t="str">
        <f>IF($A46="","",VLOOKUP($A46,기본데이타!$A$8:$BV$103,COLUMN(기본데이타!L$8),0))</f>
        <v/>
      </c>
      <c r="J46" s="167" t="str">
        <f>IF($A46="","",VLOOKUP($A46,기본데이타!$A$8:$BV$103,COLUMN(기본데이타!M$8),0))</f>
        <v/>
      </c>
      <c r="K46" s="168" t="str">
        <f>IF($A46="","",VLOOKUP($A46,기본데이타!$A$8:$BV$103,COLUMN(기본데이타!N$8),0))</f>
        <v/>
      </c>
      <c r="L46" s="167" t="str">
        <f>IF($A46="","",VLOOKUP($A46,기본데이타!$A$8:$BV$103,COLUMN(기본데이타!O$8),0))</f>
        <v/>
      </c>
      <c r="M46" s="168" t="str">
        <f>IF($A46="","",VLOOKUP($A46,기본데이타!$A$8:$BV$103,COLUMN(기본데이타!P$8),0))</f>
        <v/>
      </c>
      <c r="N46" s="168" t="str">
        <f>IF($A46="","",VLOOKUP($A46,기본데이타!$A$8:$BV$103,COLUMN(기본데이타!Q$8),0))</f>
        <v/>
      </c>
      <c r="O46" s="168" t="str">
        <f>IF($A46="","",VLOOKUP($A46,기본데이타!$A$8:$BV$103,COLUMN(기본데이타!R$8),0))</f>
        <v/>
      </c>
      <c r="P46" s="168" t="str">
        <f>IF($A46="","",VLOOKUP($A46,기본데이타!$A$8:$BV$103,COLUMN(기본데이타!S$8),0))</f>
        <v/>
      </c>
      <c r="Q46" s="168" t="str">
        <f>IF($A46="","",VLOOKUP($A46,기본데이타!$A$8:$BV$103,COLUMN(기본데이타!T$8),0))</f>
        <v/>
      </c>
      <c r="R46" s="168" t="str">
        <f>IF($A46="","",VLOOKUP($A46,기본데이타!$A$8:$BV$103,COLUMN(기본데이타!U$8),0))</f>
        <v/>
      </c>
      <c r="S46" s="168" t="str">
        <f>IF($A46="","",VLOOKUP($A46,기본데이타!$A$8:$BV$103,COLUMN(기본데이타!V$8),0))</f>
        <v/>
      </c>
      <c r="T46" s="168" t="str">
        <f>IF($A46="","",VLOOKUP($A46,기본데이타!$A$8:$BV$103,COLUMN(기본데이타!W$8),0))</f>
        <v/>
      </c>
      <c r="U46" s="168" t="str">
        <f>IF($A46="","",VLOOKUP($A46,기본데이타!$A$8:$BV$103,COLUMN(기본데이타!X$8),0))</f>
        <v/>
      </c>
      <c r="V46" s="168" t="str">
        <f>IF($A46="","",VLOOKUP($A46,기본데이타!$A$8:$BV$103,COLUMN(기본데이타!Y$8),0))</f>
        <v/>
      </c>
      <c r="W46" s="168" t="str">
        <f>IF($A46="","",VLOOKUP($A46,기본데이타!$A$8:$BV$103,COLUMN(기본데이타!Z$8),0))</f>
        <v/>
      </c>
      <c r="X46" s="168" t="str">
        <f>IF($A46="","",VLOOKUP($A46,기본데이타!$A$8:$BV$103,COLUMN(기본데이타!AA$8),0))</f>
        <v/>
      </c>
      <c r="Y46" s="168" t="str">
        <f>IF($A46="","",VLOOKUP($A46,기본데이타!$A$8:$BV$103,COLUMN(기본데이타!AB$8),0))</f>
        <v/>
      </c>
      <c r="Z46" s="167" t="str">
        <f>IF($A46="","",VLOOKUP($A46,기본데이타!$A$8:$BV$103,COLUMN(기본데이타!AC$8),0))</f>
        <v/>
      </c>
      <c r="AA46" s="168" t="str">
        <f>IF($A46="","",VLOOKUP($A46,기본데이타!$A$8:$BV$103,COLUMN(기본데이타!AD$8),0))</f>
        <v/>
      </c>
      <c r="AB46" s="167" t="str">
        <f>IF($A46="","",VLOOKUP($A46,기본데이타!$A$8:$BV$103,COLUMN(기본데이타!AE$8),0))</f>
        <v/>
      </c>
      <c r="AC46" s="168" t="str">
        <f>IF($A46="","",VLOOKUP($A46,기본데이타!$A$8:$BV$103,COLUMN(기본데이타!AF$8),0))</f>
        <v/>
      </c>
      <c r="AD46" s="167" t="str">
        <f>IF($A46="","",VLOOKUP($A46,기본데이타!$A$8:$BV$103,COLUMN(기본데이타!AG$8),0))</f>
        <v/>
      </c>
      <c r="AE46" s="168" t="str">
        <f>IF($A46="","",VLOOKUP($A46,기본데이타!$A$8:$BV$103,COLUMN(기본데이타!AH$8),0))</f>
        <v/>
      </c>
      <c r="AF46" s="167" t="str">
        <f>IF($A46="","",VLOOKUP($A46,기본데이타!$A$8:$BV$103,COLUMN(기본데이타!AI$8),0))</f>
        <v/>
      </c>
      <c r="AG46" s="169" t="str">
        <f>IF($A46="","",VLOOKUP($A46,기본데이타!$A$8:$BV$103,COLUMN(기본데이타!AJ$8),0))</f>
        <v/>
      </c>
      <c r="AH46" s="364" t="str">
        <f>IF($A46="","",VLOOKUP($A46,기본데이타!$A$8:$BV$103,COLUMN(기본데이타!AK$8),0))</f>
        <v/>
      </c>
      <c r="AI46" s="364" t="str">
        <f>IF($A46="","",VLOOKUP($A46,기본데이타!$A$8:$BV$103,COLUMN(기본데이타!AL$8),0))</f>
        <v/>
      </c>
      <c r="AJ46" s="364" t="str">
        <f>IF($A46="","",VLOOKUP($A46,기본데이타!$A$8:$BV$103,COLUMN(기본데이타!AM$8),0))</f>
        <v/>
      </c>
      <c r="AK46" s="364" t="str">
        <f>IF($A46="","",VLOOKUP($A46,기본데이타!$A$8:$BV$103,COLUMN(기본데이타!AN$8),0))</f>
        <v/>
      </c>
      <c r="AL46" s="364" t="str">
        <f>IF($A46="","",VLOOKUP($A46,기본데이타!$A$8:$BV$103,COLUMN(기본데이타!AO$8),0))</f>
        <v/>
      </c>
      <c r="AM46" s="364" t="str">
        <f>IF($A46="","",VLOOKUP($A46,기본데이타!$A$8:$BV$103,COLUMN(기본데이타!AP$8),0))</f>
        <v/>
      </c>
      <c r="AN46" s="364" t="str">
        <f>IF($A46="","",VLOOKUP($A46,기본데이타!$A$8:$BV$103,COLUMN(기본데이타!AQ$8),0))</f>
        <v/>
      </c>
      <c r="AO46" s="364" t="str">
        <f>IF($A46="","",VLOOKUP($A46,기본데이타!$A$8:$BV$103,COLUMN(기본데이타!AR$8),0))</f>
        <v/>
      </c>
      <c r="AP46" s="364" t="str">
        <f>IF($A46="","",VLOOKUP($A46,기본데이타!$A$8:$BV$103,COLUMN(기본데이타!AS$8),0))</f>
        <v/>
      </c>
      <c r="AQ46" s="364" t="str">
        <f>IF($A46="","",VLOOKUP($A46,기본데이타!$A$8:$BV$103,COLUMN(기본데이타!AT$8),0))</f>
        <v/>
      </c>
      <c r="AR46" s="364" t="str">
        <f>IF($A46="","",VLOOKUP($A46,기본데이타!$A$8:$BV$103,COLUMN(기본데이타!AU$8),0))</f>
        <v/>
      </c>
      <c r="AS46" s="364" t="str">
        <f>IF($A46="","",VLOOKUP($A46,기본데이타!$A$8:$BV$103,COLUMN(기본데이타!AV$8),0))</f>
        <v/>
      </c>
      <c r="AT46" s="358" t="str">
        <f>IF($A46="","",VLOOKUP($A46,기본데이타!$A$8:$BV$103,COLUMN(기본데이타!AW$8),0))</f>
        <v/>
      </c>
      <c r="AU46" s="358" t="str">
        <f>IF($A46="","",VLOOKUP($A46,기본데이타!$A$8:$BV$103,COLUMN(기본데이타!AX$8),0))</f>
        <v/>
      </c>
      <c r="AV46" s="358" t="str">
        <f>IF($A46="","",VLOOKUP($A46,기본데이타!$A$8:$BV$103,COLUMN(기본데이타!AY$8),0))</f>
        <v/>
      </c>
      <c r="AW46" s="358" t="str">
        <f t="shared" si="9"/>
        <v/>
      </c>
      <c r="AX46" s="168" t="str">
        <f>IF($A46="","",VLOOKUP($A46,기본데이타!$A$8:$BV$103,COLUMN(기본데이타!BA$8),0))</f>
        <v/>
      </c>
      <c r="AY46" s="168" t="str">
        <f>IF($A46="","",VLOOKUP($A46,기본데이타!$A$8:$BV$103,COLUMN(기본데이타!BB$8),0))</f>
        <v/>
      </c>
      <c r="AZ46" s="168" t="str">
        <f>IF($A46="","",VLOOKUP($A46,기본데이타!$A$8:$BV$103,COLUMN(기본데이타!BC$8),0))</f>
        <v/>
      </c>
      <c r="BA46" s="168" t="str">
        <f>IF($A46="","",VLOOKUP($A46,기본데이타!$A$8:$BV$103,COLUMN(기본데이타!BD$8),0))</f>
        <v/>
      </c>
      <c r="BB46" s="168" t="str">
        <f>IF($A46="","",VLOOKUP($A46,기본데이타!$A$8:$BV$103,COLUMN(기본데이타!BE$8),0))</f>
        <v/>
      </c>
      <c r="BC46" s="168" t="str">
        <f>IF($A46="","",VLOOKUP($A46,기본데이타!$A$8:$BV$103,COLUMN(기본데이타!BF$8),0))</f>
        <v/>
      </c>
      <c r="BD46" s="168" t="str">
        <f>IF($A46="","",VLOOKUP($A46,기본데이타!$A$8:$BV$103,COLUMN(기본데이타!BG$8),0))</f>
        <v/>
      </c>
      <c r="BE46" s="168" t="str">
        <f>IF($A46="","",VLOOKUP($A46,기본데이타!$A$8:$BV$103,COLUMN(기본데이타!BH$8),0))</f>
        <v/>
      </c>
      <c r="BF46" s="168" t="str">
        <f>IF($A46="","",VLOOKUP($A46,기본데이타!$A$8:$BV$103,COLUMN(기본데이타!BI$8),0))</f>
        <v/>
      </c>
      <c r="BG46" s="168" t="str">
        <f>IF($A46="","",VLOOKUP($A46,기본데이타!$A$8:$BV$103,COLUMN(기본데이타!BJ$8),0))</f>
        <v/>
      </c>
      <c r="BH46" s="168" t="str">
        <f>IF($A46="","",VLOOKUP($A46,기본데이타!$A$8:$BV$103,COLUMN(기본데이타!BK$8),0))</f>
        <v/>
      </c>
      <c r="BI46" s="168" t="str">
        <f>IF($A46="","",VLOOKUP($A46,기본데이타!$A$8:$BV$103,COLUMN(기본데이타!BL$8),0))</f>
        <v/>
      </c>
      <c r="BJ46" s="168" t="str">
        <f>IF($A46="","",VLOOKUP($A46,기본데이타!$A$8:$BV$103,COLUMN(기본데이타!BM$8),0))</f>
        <v/>
      </c>
      <c r="BK46" s="168" t="str">
        <f>IF($A46="","",VLOOKUP($A46,기본데이타!$A$8:$BV$103,COLUMN(기본데이타!BN$8),0))</f>
        <v/>
      </c>
      <c r="BL46" s="168" t="str">
        <f>IF($A46="","",VLOOKUP($A46,기본데이타!$A$8:$BV$103,COLUMN(기본데이타!BO$8),0))</f>
        <v/>
      </c>
      <c r="BM46" s="168" t="str">
        <f>IF($A46="","",VLOOKUP($A46,기본데이타!$A$8:$BV$103,COLUMN(기본데이타!BP$8),0))</f>
        <v/>
      </c>
      <c r="BN46" s="168" t="str">
        <f>IF($A46="","",VLOOKUP($A46,기본데이타!$A$8:$BV$103,COLUMN(기본데이타!BQ$8),0))</f>
        <v/>
      </c>
      <c r="BO46" s="168" t="str">
        <f>IF($A46="","",VLOOKUP($A46,기본데이타!$A$8:$BV$103,COLUMN(기본데이타!BR$8),0))</f>
        <v/>
      </c>
      <c r="BP46" s="168" t="str">
        <f>IF($A46="","",VLOOKUP($A46,기본데이타!$A$8:$BV$103,COLUMN(기본데이타!BS$8),0))</f>
        <v/>
      </c>
      <c r="BQ46" s="980" t="str">
        <f>IF($A46="","",VLOOKUP($A46,기본데이타!$A$8:$BV$103,COLUMN(기본데이타!BT$8),0))</f>
        <v/>
      </c>
      <c r="BR46" s="984" t="str">
        <f>IF($A46="","",VLOOKUP($A46,기본데이타!$A$8:$BV$103,COLUMN(기본데이타!BU$8),0))</f>
        <v/>
      </c>
      <c r="BS46" s="168" t="str">
        <f>IF($A46="","",VLOOKUP($A46,기본데이타!$A$8:$BV$103,COLUMN(기본데이타!BV$8),0))</f>
        <v/>
      </c>
      <c r="BT46" s="981">
        <f t="shared" si="6"/>
        <v>0</v>
      </c>
      <c r="BU46" s="242"/>
    </row>
    <row r="47" spans="1:73" s="7" customFormat="1" ht="73.5" customHeight="1">
      <c r="A47" s="171"/>
      <c r="B47" s="163"/>
      <c r="C47" s="164" t="str">
        <f>IF($A47="","",VLOOKUP($A47,기본데이타!$A$8:$BV$103,COLUMN(기본데이타!F$8),0))</f>
        <v/>
      </c>
      <c r="D47" s="165" t="str">
        <f>IF($A47="","",VLOOKUP($A47,기본데이타!$A$8:$BV$103,COLUMN(기본데이타!G$8),0))</f>
        <v/>
      </c>
      <c r="E47" s="166" t="str">
        <f>IF($A47="","",VLOOKUP($A47,기본데이타!$A$8:$BV$103,COLUMN(기본데이타!H$8),0))</f>
        <v/>
      </c>
      <c r="F47" s="166" t="str">
        <f>IF($A47="","",VLOOKUP($A47,기본데이타!$A$8:$BV$103,COLUMN(기본데이타!I$8),0))</f>
        <v/>
      </c>
      <c r="G47" s="166" t="str">
        <f>IF($A47="","",VLOOKUP($A47,기본데이타!$A$8:$BV$103,COLUMN(기본데이타!J$8),0))</f>
        <v/>
      </c>
      <c r="H47" s="167" t="str">
        <f>IF($A47="","",VLOOKUP($A47,기본데이타!$A$8:$BV$103,COLUMN(기본데이타!K$8),0))</f>
        <v/>
      </c>
      <c r="I47" s="167" t="str">
        <f>IF($A47="","",VLOOKUP($A47,기본데이타!$A$8:$BV$103,COLUMN(기본데이타!L$8),0))</f>
        <v/>
      </c>
      <c r="J47" s="167" t="str">
        <f>IF($A47="","",VLOOKUP($A47,기본데이타!$A$8:$BV$103,COLUMN(기본데이타!M$8),0))</f>
        <v/>
      </c>
      <c r="K47" s="168" t="str">
        <f>IF($A47="","",VLOOKUP($A47,기본데이타!$A$8:$BV$103,COLUMN(기본데이타!N$8),0))</f>
        <v/>
      </c>
      <c r="L47" s="167" t="str">
        <f>IF($A47="","",VLOOKUP($A47,기본데이타!$A$8:$BV$103,COLUMN(기본데이타!O$8),0))</f>
        <v/>
      </c>
      <c r="M47" s="168" t="str">
        <f>IF($A47="","",VLOOKUP($A47,기본데이타!$A$8:$BV$103,COLUMN(기본데이타!P$8),0))</f>
        <v/>
      </c>
      <c r="N47" s="168" t="str">
        <f>IF($A47="","",VLOOKUP($A47,기본데이타!$A$8:$BV$103,COLUMN(기본데이타!Q$8),0))</f>
        <v/>
      </c>
      <c r="O47" s="168" t="str">
        <f>IF($A47="","",VLOOKUP($A47,기본데이타!$A$8:$BV$103,COLUMN(기본데이타!R$8),0))</f>
        <v/>
      </c>
      <c r="P47" s="168" t="str">
        <f>IF($A47="","",VLOOKUP($A47,기본데이타!$A$8:$BV$103,COLUMN(기본데이타!S$8),0))</f>
        <v/>
      </c>
      <c r="Q47" s="168" t="str">
        <f>IF($A47="","",VLOOKUP($A47,기본데이타!$A$8:$BV$103,COLUMN(기본데이타!T$8),0))</f>
        <v/>
      </c>
      <c r="R47" s="168" t="str">
        <f>IF($A47="","",VLOOKUP($A47,기본데이타!$A$8:$BV$103,COLUMN(기본데이타!U$8),0))</f>
        <v/>
      </c>
      <c r="S47" s="168" t="str">
        <f>IF($A47="","",VLOOKUP($A47,기본데이타!$A$8:$BV$103,COLUMN(기본데이타!V$8),0))</f>
        <v/>
      </c>
      <c r="T47" s="168" t="str">
        <f>IF($A47="","",VLOOKUP($A47,기본데이타!$A$8:$BV$103,COLUMN(기본데이타!W$8),0))</f>
        <v/>
      </c>
      <c r="U47" s="168" t="str">
        <f>IF($A47="","",VLOOKUP($A47,기본데이타!$A$8:$BV$103,COLUMN(기본데이타!X$8),0))</f>
        <v/>
      </c>
      <c r="V47" s="168" t="str">
        <f>IF($A47="","",VLOOKUP($A47,기본데이타!$A$8:$BV$103,COLUMN(기본데이타!Y$8),0))</f>
        <v/>
      </c>
      <c r="W47" s="168" t="str">
        <f>IF($A47="","",VLOOKUP($A47,기본데이타!$A$8:$BV$103,COLUMN(기본데이타!Z$8),0))</f>
        <v/>
      </c>
      <c r="X47" s="168" t="str">
        <f>IF($A47="","",VLOOKUP($A47,기본데이타!$A$8:$BV$103,COLUMN(기본데이타!AA$8),0))</f>
        <v/>
      </c>
      <c r="Y47" s="168" t="str">
        <f>IF($A47="","",VLOOKUP($A47,기본데이타!$A$8:$BV$103,COLUMN(기본데이타!AB$8),0))</f>
        <v/>
      </c>
      <c r="Z47" s="167" t="str">
        <f>IF($A47="","",VLOOKUP($A47,기본데이타!$A$8:$BV$103,COLUMN(기본데이타!AC$8),0))</f>
        <v/>
      </c>
      <c r="AA47" s="168" t="str">
        <f>IF($A47="","",VLOOKUP($A47,기본데이타!$A$8:$BV$103,COLUMN(기본데이타!AD$8),0))</f>
        <v/>
      </c>
      <c r="AB47" s="167" t="str">
        <f>IF($A47="","",VLOOKUP($A47,기본데이타!$A$8:$BV$103,COLUMN(기본데이타!AE$8),0))</f>
        <v/>
      </c>
      <c r="AC47" s="168" t="str">
        <f>IF($A47="","",VLOOKUP($A47,기본데이타!$A$8:$BV$103,COLUMN(기본데이타!AF$8),0))</f>
        <v/>
      </c>
      <c r="AD47" s="167" t="str">
        <f>IF($A47="","",VLOOKUP($A47,기본데이타!$A$8:$BV$103,COLUMN(기본데이타!AG$8),0))</f>
        <v/>
      </c>
      <c r="AE47" s="168" t="str">
        <f>IF($A47="","",VLOOKUP($A47,기본데이타!$A$8:$BV$103,COLUMN(기본데이타!AH$8),0))</f>
        <v/>
      </c>
      <c r="AF47" s="167" t="str">
        <f>IF($A47="","",VLOOKUP($A47,기본데이타!$A$8:$BV$103,COLUMN(기본데이타!AI$8),0))</f>
        <v/>
      </c>
      <c r="AG47" s="169" t="str">
        <f>IF($A47="","",VLOOKUP($A47,기본데이타!$A$8:$BV$103,COLUMN(기본데이타!AJ$8),0))</f>
        <v/>
      </c>
      <c r="AH47" s="364" t="str">
        <f>IF($A47="","",VLOOKUP($A47,기본데이타!$A$8:$BV$103,COLUMN(기본데이타!AK$8),0))</f>
        <v/>
      </c>
      <c r="AI47" s="364" t="str">
        <f>IF($A47="","",VLOOKUP($A47,기본데이타!$A$8:$BV$103,COLUMN(기본데이타!AL$8),0))</f>
        <v/>
      </c>
      <c r="AJ47" s="364" t="str">
        <f>IF($A47="","",VLOOKUP($A47,기본데이타!$A$8:$BV$103,COLUMN(기본데이타!AM$8),0))</f>
        <v/>
      </c>
      <c r="AK47" s="364" t="str">
        <f>IF($A47="","",VLOOKUP($A47,기본데이타!$A$8:$BV$103,COLUMN(기본데이타!AN$8),0))</f>
        <v/>
      </c>
      <c r="AL47" s="364" t="str">
        <f>IF($A47="","",VLOOKUP($A47,기본데이타!$A$8:$BV$103,COLUMN(기본데이타!AO$8),0))</f>
        <v/>
      </c>
      <c r="AM47" s="364" t="str">
        <f>IF($A47="","",VLOOKUP($A47,기본데이타!$A$8:$BV$103,COLUMN(기본데이타!AP$8),0))</f>
        <v/>
      </c>
      <c r="AN47" s="364" t="str">
        <f>IF($A47="","",VLOOKUP($A47,기본데이타!$A$8:$BV$103,COLUMN(기본데이타!AQ$8),0))</f>
        <v/>
      </c>
      <c r="AO47" s="364" t="str">
        <f>IF($A47="","",VLOOKUP($A47,기본데이타!$A$8:$BV$103,COLUMN(기본데이타!AR$8),0))</f>
        <v/>
      </c>
      <c r="AP47" s="364" t="str">
        <f>IF($A47="","",VLOOKUP($A47,기본데이타!$A$8:$BV$103,COLUMN(기본데이타!AS$8),0))</f>
        <v/>
      </c>
      <c r="AQ47" s="364" t="str">
        <f>IF($A47="","",VLOOKUP($A47,기본데이타!$A$8:$BV$103,COLUMN(기본데이타!AT$8),0))</f>
        <v/>
      </c>
      <c r="AR47" s="364" t="str">
        <f>IF($A47="","",VLOOKUP($A47,기본데이타!$A$8:$BV$103,COLUMN(기본데이타!AU$8),0))</f>
        <v/>
      </c>
      <c r="AS47" s="364" t="str">
        <f>IF($A47="","",VLOOKUP($A47,기본데이타!$A$8:$BV$103,COLUMN(기본데이타!AV$8),0))</f>
        <v/>
      </c>
      <c r="AT47" s="358" t="str">
        <f>IF($A47="","",VLOOKUP($A47,기본데이타!$A$8:$BV$103,COLUMN(기본데이타!AW$8),0))</f>
        <v/>
      </c>
      <c r="AU47" s="358" t="str">
        <f>IF($A47="","",VLOOKUP($A47,기본데이타!$A$8:$BV$103,COLUMN(기본데이타!AX$8),0))</f>
        <v/>
      </c>
      <c r="AV47" s="358" t="str">
        <f>IF($A47="","",VLOOKUP($A47,기본데이타!$A$8:$BV$103,COLUMN(기본데이타!AY$8),0))</f>
        <v/>
      </c>
      <c r="AW47" s="358" t="str">
        <f t="shared" si="9"/>
        <v/>
      </c>
      <c r="AX47" s="168" t="str">
        <f>IF($A47="","",VLOOKUP($A47,기본데이타!$A$8:$BV$103,COLUMN(기본데이타!BA$8),0))</f>
        <v/>
      </c>
      <c r="AY47" s="168" t="str">
        <f>IF($A47="","",VLOOKUP($A47,기본데이타!$A$8:$BV$103,COLUMN(기본데이타!BB$8),0))</f>
        <v/>
      </c>
      <c r="AZ47" s="168" t="str">
        <f>IF($A47="","",VLOOKUP($A47,기본데이타!$A$8:$BV$103,COLUMN(기본데이타!BC$8),0))</f>
        <v/>
      </c>
      <c r="BA47" s="168" t="str">
        <f>IF($A47="","",VLOOKUP($A47,기본데이타!$A$8:$BV$103,COLUMN(기본데이타!BD$8),0))</f>
        <v/>
      </c>
      <c r="BB47" s="168" t="str">
        <f>IF($A47="","",VLOOKUP($A47,기본데이타!$A$8:$BV$103,COLUMN(기본데이타!BE$8),0))</f>
        <v/>
      </c>
      <c r="BC47" s="168" t="str">
        <f>IF($A47="","",VLOOKUP($A47,기본데이타!$A$8:$BV$103,COLUMN(기본데이타!BF$8),0))</f>
        <v/>
      </c>
      <c r="BD47" s="168" t="str">
        <f>IF($A47="","",VLOOKUP($A47,기본데이타!$A$8:$BV$103,COLUMN(기본데이타!BG$8),0))</f>
        <v/>
      </c>
      <c r="BE47" s="168" t="str">
        <f>IF($A47="","",VLOOKUP($A47,기본데이타!$A$8:$BV$103,COLUMN(기본데이타!BH$8),0))</f>
        <v/>
      </c>
      <c r="BF47" s="168" t="str">
        <f>IF($A47="","",VLOOKUP($A47,기본데이타!$A$8:$BV$103,COLUMN(기본데이타!BI$8),0))</f>
        <v/>
      </c>
      <c r="BG47" s="168" t="str">
        <f>IF($A47="","",VLOOKUP($A47,기본데이타!$A$8:$BV$103,COLUMN(기본데이타!BJ$8),0))</f>
        <v/>
      </c>
      <c r="BH47" s="168" t="str">
        <f>IF($A47="","",VLOOKUP($A47,기본데이타!$A$8:$BV$103,COLUMN(기본데이타!BK$8),0))</f>
        <v/>
      </c>
      <c r="BI47" s="168" t="str">
        <f>IF($A47="","",VLOOKUP($A47,기본데이타!$A$8:$BV$103,COLUMN(기본데이타!BL$8),0))</f>
        <v/>
      </c>
      <c r="BJ47" s="168" t="str">
        <f>IF($A47="","",VLOOKUP($A47,기본데이타!$A$8:$BV$103,COLUMN(기본데이타!BM$8),0))</f>
        <v/>
      </c>
      <c r="BK47" s="168" t="str">
        <f>IF($A47="","",VLOOKUP($A47,기본데이타!$A$8:$BV$103,COLUMN(기본데이타!BN$8),0))</f>
        <v/>
      </c>
      <c r="BL47" s="168" t="str">
        <f>IF($A47="","",VLOOKUP($A47,기본데이타!$A$8:$BV$103,COLUMN(기본데이타!BO$8),0))</f>
        <v/>
      </c>
      <c r="BM47" s="168" t="str">
        <f>IF($A47="","",VLOOKUP($A47,기본데이타!$A$8:$BV$103,COLUMN(기본데이타!BP$8),0))</f>
        <v/>
      </c>
      <c r="BN47" s="168" t="str">
        <f>IF($A47="","",VLOOKUP($A47,기본데이타!$A$8:$BV$103,COLUMN(기본데이타!BQ$8),0))</f>
        <v/>
      </c>
      <c r="BO47" s="168" t="str">
        <f>IF($A47="","",VLOOKUP($A47,기본데이타!$A$8:$BV$103,COLUMN(기본데이타!BR$8),0))</f>
        <v/>
      </c>
      <c r="BP47" s="168" t="str">
        <f>IF($A47="","",VLOOKUP($A47,기본데이타!$A$8:$BV$103,COLUMN(기본데이타!BS$8),0))</f>
        <v/>
      </c>
      <c r="BQ47" s="980" t="str">
        <f>IF($A47="","",VLOOKUP($A47,기본데이타!$A$8:$BV$103,COLUMN(기본데이타!BT$8),0))</f>
        <v/>
      </c>
      <c r="BR47" s="984" t="str">
        <f>IF($A47="","",VLOOKUP($A47,기본데이타!$A$8:$BV$103,COLUMN(기본데이타!BU$8),0))</f>
        <v/>
      </c>
      <c r="BS47" s="168" t="str">
        <f>IF($A47="","",VLOOKUP($A47,기본데이타!$A$8:$BV$103,COLUMN(기본데이타!BV$8),0))</f>
        <v/>
      </c>
      <c r="BT47" s="981">
        <f t="shared" si="6"/>
        <v>0</v>
      </c>
      <c r="BU47" s="242"/>
    </row>
    <row r="48" spans="1:73" s="7" customFormat="1" ht="73.5" customHeight="1">
      <c r="A48" s="171"/>
      <c r="B48" s="163"/>
      <c r="C48" s="164" t="str">
        <f>IF($A48="","",VLOOKUP($A48,기본데이타!$A$8:$BV$103,COLUMN(기본데이타!F$8),0))</f>
        <v/>
      </c>
      <c r="D48" s="165" t="str">
        <f>IF($A48="","",VLOOKUP($A48,기본데이타!$A$8:$BV$103,COLUMN(기본데이타!G$8),0))</f>
        <v/>
      </c>
      <c r="E48" s="166" t="str">
        <f>IF($A48="","",VLOOKUP($A48,기본데이타!$A$8:$BV$103,COLUMN(기본데이타!H$8),0))</f>
        <v/>
      </c>
      <c r="F48" s="166" t="str">
        <f>IF($A48="","",VLOOKUP($A48,기본데이타!$A$8:$BV$103,COLUMN(기본데이타!I$8),0))</f>
        <v/>
      </c>
      <c r="G48" s="166" t="str">
        <f>IF($A48="","",VLOOKUP($A48,기본데이타!$A$8:$BV$103,COLUMN(기본데이타!J$8),0))</f>
        <v/>
      </c>
      <c r="H48" s="167" t="str">
        <f>IF($A48="","",VLOOKUP($A48,기본데이타!$A$8:$BV$103,COLUMN(기본데이타!K$8),0))</f>
        <v/>
      </c>
      <c r="I48" s="167" t="str">
        <f>IF($A48="","",VLOOKUP($A48,기본데이타!$A$8:$BV$103,COLUMN(기본데이타!L$8),0))</f>
        <v/>
      </c>
      <c r="J48" s="167" t="str">
        <f>IF($A48="","",VLOOKUP($A48,기본데이타!$A$8:$BV$103,COLUMN(기본데이타!M$8),0))</f>
        <v/>
      </c>
      <c r="K48" s="168" t="str">
        <f>IF($A48="","",VLOOKUP($A48,기본데이타!$A$8:$BV$103,COLUMN(기본데이타!N$8),0))</f>
        <v/>
      </c>
      <c r="L48" s="167" t="str">
        <f>IF($A48="","",VLOOKUP($A48,기본데이타!$A$8:$BV$103,COLUMN(기본데이타!O$8),0))</f>
        <v/>
      </c>
      <c r="M48" s="168" t="str">
        <f>IF($A48="","",VLOOKUP($A48,기본데이타!$A$8:$BV$103,COLUMN(기본데이타!P$8),0))</f>
        <v/>
      </c>
      <c r="N48" s="168" t="str">
        <f>IF($A48="","",VLOOKUP($A48,기본데이타!$A$8:$BV$103,COLUMN(기본데이타!Q$8),0))</f>
        <v/>
      </c>
      <c r="O48" s="168" t="str">
        <f>IF($A48="","",VLOOKUP($A48,기본데이타!$A$8:$BV$103,COLUMN(기본데이타!R$8),0))</f>
        <v/>
      </c>
      <c r="P48" s="168" t="str">
        <f>IF($A48="","",VLOOKUP($A48,기본데이타!$A$8:$BV$103,COLUMN(기본데이타!S$8),0))</f>
        <v/>
      </c>
      <c r="Q48" s="168" t="str">
        <f>IF($A48="","",VLOOKUP($A48,기본데이타!$A$8:$BV$103,COLUMN(기본데이타!T$8),0))</f>
        <v/>
      </c>
      <c r="R48" s="168" t="str">
        <f>IF($A48="","",VLOOKUP($A48,기본데이타!$A$8:$BV$103,COLUMN(기본데이타!U$8),0))</f>
        <v/>
      </c>
      <c r="S48" s="168" t="str">
        <f>IF($A48="","",VLOOKUP($A48,기본데이타!$A$8:$BV$103,COLUMN(기본데이타!V$8),0))</f>
        <v/>
      </c>
      <c r="T48" s="168" t="str">
        <f>IF($A48="","",VLOOKUP($A48,기본데이타!$A$8:$BV$103,COLUMN(기본데이타!W$8),0))</f>
        <v/>
      </c>
      <c r="U48" s="168" t="str">
        <f>IF($A48="","",VLOOKUP($A48,기본데이타!$A$8:$BV$103,COLUMN(기본데이타!X$8),0))</f>
        <v/>
      </c>
      <c r="V48" s="168" t="str">
        <f>IF($A48="","",VLOOKUP($A48,기본데이타!$A$8:$BV$103,COLUMN(기본데이타!Y$8),0))</f>
        <v/>
      </c>
      <c r="W48" s="168" t="str">
        <f>IF($A48="","",VLOOKUP($A48,기본데이타!$A$8:$BV$103,COLUMN(기본데이타!Z$8),0))</f>
        <v/>
      </c>
      <c r="X48" s="168" t="str">
        <f>IF($A48="","",VLOOKUP($A48,기본데이타!$A$8:$BV$103,COLUMN(기본데이타!AA$8),0))</f>
        <v/>
      </c>
      <c r="Y48" s="168" t="str">
        <f>IF($A48="","",VLOOKUP($A48,기본데이타!$A$8:$BV$103,COLUMN(기본데이타!AB$8),0))</f>
        <v/>
      </c>
      <c r="Z48" s="167" t="str">
        <f>IF($A48="","",VLOOKUP($A48,기본데이타!$A$8:$BV$103,COLUMN(기본데이타!AC$8),0))</f>
        <v/>
      </c>
      <c r="AA48" s="168" t="str">
        <f>IF($A48="","",VLOOKUP($A48,기본데이타!$A$8:$BV$103,COLUMN(기본데이타!AD$8),0))</f>
        <v/>
      </c>
      <c r="AB48" s="167" t="str">
        <f>IF($A48="","",VLOOKUP($A48,기본데이타!$A$8:$BV$103,COLUMN(기본데이타!AE$8),0))</f>
        <v/>
      </c>
      <c r="AC48" s="168" t="str">
        <f>IF($A48="","",VLOOKUP($A48,기본데이타!$A$8:$BV$103,COLUMN(기본데이타!AF$8),0))</f>
        <v/>
      </c>
      <c r="AD48" s="167" t="str">
        <f>IF($A48="","",VLOOKUP($A48,기본데이타!$A$8:$BV$103,COLUMN(기본데이타!AG$8),0))</f>
        <v/>
      </c>
      <c r="AE48" s="168" t="str">
        <f>IF($A48="","",VLOOKUP($A48,기본데이타!$A$8:$BV$103,COLUMN(기본데이타!AH$8),0))</f>
        <v/>
      </c>
      <c r="AF48" s="167" t="str">
        <f>IF($A48="","",VLOOKUP($A48,기본데이타!$A$8:$BV$103,COLUMN(기본데이타!AI$8),0))</f>
        <v/>
      </c>
      <c r="AG48" s="169" t="str">
        <f>IF($A48="","",VLOOKUP($A48,기본데이타!$A$8:$BV$103,COLUMN(기본데이타!AJ$8),0))</f>
        <v/>
      </c>
      <c r="AH48" s="364" t="str">
        <f>IF($A48="","",VLOOKUP($A48,기본데이타!$A$8:$BV$103,COLUMN(기본데이타!AK$8),0))</f>
        <v/>
      </c>
      <c r="AI48" s="364" t="str">
        <f>IF($A48="","",VLOOKUP($A48,기본데이타!$A$8:$BV$103,COLUMN(기본데이타!AL$8),0))</f>
        <v/>
      </c>
      <c r="AJ48" s="364" t="str">
        <f>IF($A48="","",VLOOKUP($A48,기본데이타!$A$8:$BV$103,COLUMN(기본데이타!AM$8),0))</f>
        <v/>
      </c>
      <c r="AK48" s="364" t="str">
        <f>IF($A48="","",VLOOKUP($A48,기본데이타!$A$8:$BV$103,COLUMN(기본데이타!AN$8),0))</f>
        <v/>
      </c>
      <c r="AL48" s="364" t="str">
        <f>IF($A48="","",VLOOKUP($A48,기본데이타!$A$8:$BV$103,COLUMN(기본데이타!AO$8),0))</f>
        <v/>
      </c>
      <c r="AM48" s="364" t="str">
        <f>IF($A48="","",VLOOKUP($A48,기본데이타!$A$8:$BV$103,COLUMN(기본데이타!AP$8),0))</f>
        <v/>
      </c>
      <c r="AN48" s="364" t="str">
        <f>IF($A48="","",VLOOKUP($A48,기본데이타!$A$8:$BV$103,COLUMN(기본데이타!AQ$8),0))</f>
        <v/>
      </c>
      <c r="AO48" s="364" t="str">
        <f>IF($A48="","",VLOOKUP($A48,기본데이타!$A$8:$BV$103,COLUMN(기본데이타!AR$8),0))</f>
        <v/>
      </c>
      <c r="AP48" s="364" t="str">
        <f>IF($A48="","",VLOOKUP($A48,기본데이타!$A$8:$BV$103,COLUMN(기본데이타!AS$8),0))</f>
        <v/>
      </c>
      <c r="AQ48" s="364" t="str">
        <f>IF($A48="","",VLOOKUP($A48,기본데이타!$A$8:$BV$103,COLUMN(기본데이타!AT$8),0))</f>
        <v/>
      </c>
      <c r="AR48" s="364" t="str">
        <f>IF($A48="","",VLOOKUP($A48,기본데이타!$A$8:$BV$103,COLUMN(기본데이타!AU$8),0))</f>
        <v/>
      </c>
      <c r="AS48" s="364" t="str">
        <f>IF($A48="","",VLOOKUP($A48,기본데이타!$A$8:$BV$103,COLUMN(기본데이타!AV$8),0))</f>
        <v/>
      </c>
      <c r="AT48" s="358" t="str">
        <f>IF($A48="","",VLOOKUP($A48,기본데이타!$A$8:$BV$103,COLUMN(기본데이타!AW$8),0))</f>
        <v/>
      </c>
      <c r="AU48" s="358" t="str">
        <f>IF($A48="","",VLOOKUP($A48,기본데이타!$A$8:$BV$103,COLUMN(기본데이타!AX$8),0))</f>
        <v/>
      </c>
      <c r="AV48" s="358" t="str">
        <f>IF($A48="","",VLOOKUP($A48,기본데이타!$A$8:$BV$103,COLUMN(기본데이타!AY$8),0))</f>
        <v/>
      </c>
      <c r="AW48" s="358" t="str">
        <f t="shared" ref="AW48:AW67" si="10">IF(AT48="","",SUM(AT48:AV48))</f>
        <v/>
      </c>
      <c r="AX48" s="168" t="str">
        <f>IF($A48="","",VLOOKUP($A48,기본데이타!$A$8:$BV$103,COLUMN(기본데이타!BA$8),0))</f>
        <v/>
      </c>
      <c r="AY48" s="168" t="str">
        <f>IF($A48="","",VLOOKUP($A48,기본데이타!$A$8:$BV$103,COLUMN(기본데이타!BB$8),0))</f>
        <v/>
      </c>
      <c r="AZ48" s="168" t="str">
        <f>IF($A48="","",VLOOKUP($A48,기본데이타!$A$8:$BV$103,COLUMN(기본데이타!BC$8),0))</f>
        <v/>
      </c>
      <c r="BA48" s="168" t="str">
        <f>IF($A48="","",VLOOKUP($A48,기본데이타!$A$8:$BV$103,COLUMN(기본데이타!BD$8),0))</f>
        <v/>
      </c>
      <c r="BB48" s="168" t="str">
        <f>IF($A48="","",VLOOKUP($A48,기본데이타!$A$8:$BV$103,COLUMN(기본데이타!BE$8),0))</f>
        <v/>
      </c>
      <c r="BC48" s="168" t="str">
        <f>IF($A48="","",VLOOKUP($A48,기본데이타!$A$8:$BV$103,COLUMN(기본데이타!BF$8),0))</f>
        <v/>
      </c>
      <c r="BD48" s="168" t="str">
        <f>IF($A48="","",VLOOKUP($A48,기본데이타!$A$8:$BV$103,COLUMN(기본데이타!BG$8),0))</f>
        <v/>
      </c>
      <c r="BE48" s="168" t="str">
        <f>IF($A48="","",VLOOKUP($A48,기본데이타!$A$8:$BV$103,COLUMN(기본데이타!BH$8),0))</f>
        <v/>
      </c>
      <c r="BF48" s="168" t="str">
        <f>IF($A48="","",VLOOKUP($A48,기본데이타!$A$8:$BV$103,COLUMN(기본데이타!BI$8),0))</f>
        <v/>
      </c>
      <c r="BG48" s="168" t="str">
        <f>IF($A48="","",VLOOKUP($A48,기본데이타!$A$8:$BV$103,COLUMN(기본데이타!BJ$8),0))</f>
        <v/>
      </c>
      <c r="BH48" s="168" t="str">
        <f>IF($A48="","",VLOOKUP($A48,기본데이타!$A$8:$BV$103,COLUMN(기본데이타!BK$8),0))</f>
        <v/>
      </c>
      <c r="BI48" s="168" t="str">
        <f>IF($A48="","",VLOOKUP($A48,기본데이타!$A$8:$BV$103,COLUMN(기본데이타!BL$8),0))</f>
        <v/>
      </c>
      <c r="BJ48" s="168" t="str">
        <f>IF($A48="","",VLOOKUP($A48,기본데이타!$A$8:$BV$103,COLUMN(기본데이타!BM$8),0))</f>
        <v/>
      </c>
      <c r="BK48" s="168" t="str">
        <f>IF($A48="","",VLOOKUP($A48,기본데이타!$A$8:$BV$103,COLUMN(기본데이타!BN$8),0))</f>
        <v/>
      </c>
      <c r="BL48" s="168" t="str">
        <f>IF($A48="","",VLOOKUP($A48,기본데이타!$A$8:$BV$103,COLUMN(기본데이타!BO$8),0))</f>
        <v/>
      </c>
      <c r="BM48" s="168" t="str">
        <f>IF($A48="","",VLOOKUP($A48,기본데이타!$A$8:$BV$103,COLUMN(기본데이타!BP$8),0))</f>
        <v/>
      </c>
      <c r="BN48" s="168" t="str">
        <f>IF($A48="","",VLOOKUP($A48,기본데이타!$A$8:$BV$103,COLUMN(기본데이타!BQ$8),0))</f>
        <v/>
      </c>
      <c r="BO48" s="168" t="str">
        <f>IF($A48="","",VLOOKUP($A48,기본데이타!$A$8:$BV$103,COLUMN(기본데이타!BR$8),0))</f>
        <v/>
      </c>
      <c r="BP48" s="168" t="str">
        <f>IF($A48="","",VLOOKUP($A48,기본데이타!$A$8:$BV$103,COLUMN(기본데이타!BS$8),0))</f>
        <v/>
      </c>
      <c r="BQ48" s="980" t="str">
        <f>IF($A48="","",VLOOKUP($A48,기본데이타!$A$8:$BV$103,COLUMN(기본데이타!BT$8),0))</f>
        <v/>
      </c>
      <c r="BR48" s="984" t="str">
        <f>IF($A48="","",VLOOKUP($A48,기본데이타!$A$8:$BV$103,COLUMN(기본데이타!BU$8),0))</f>
        <v/>
      </c>
      <c r="BS48" s="168" t="str">
        <f>IF($A48="","",VLOOKUP($A48,기본데이타!$A$8:$BV$103,COLUMN(기본데이타!BV$8),0))</f>
        <v/>
      </c>
      <c r="BT48" s="981">
        <f t="shared" ref="BT48:BT67" si="11">A48</f>
        <v>0</v>
      </c>
      <c r="BU48" s="242"/>
    </row>
    <row r="49" spans="1:73" s="7" customFormat="1" ht="73.5" customHeight="1">
      <c r="A49" s="171"/>
      <c r="B49" s="163"/>
      <c r="C49" s="164" t="str">
        <f>IF($A49="","",VLOOKUP($A49,기본데이타!$A$8:$BV$103,COLUMN(기본데이타!F$8),0))</f>
        <v/>
      </c>
      <c r="D49" s="165" t="str">
        <f>IF($A49="","",VLOOKUP($A49,기본데이타!$A$8:$BV$103,COLUMN(기본데이타!G$8),0))</f>
        <v/>
      </c>
      <c r="E49" s="166" t="str">
        <f>IF($A49="","",VLOOKUP($A49,기본데이타!$A$8:$BV$103,COLUMN(기본데이타!H$8),0))</f>
        <v/>
      </c>
      <c r="F49" s="166" t="str">
        <f>IF($A49="","",VLOOKUP($A49,기본데이타!$A$8:$BV$103,COLUMN(기본데이타!I$8),0))</f>
        <v/>
      </c>
      <c r="G49" s="166" t="str">
        <f>IF($A49="","",VLOOKUP($A49,기본데이타!$A$8:$BV$103,COLUMN(기본데이타!J$8),0))</f>
        <v/>
      </c>
      <c r="H49" s="167" t="str">
        <f>IF($A49="","",VLOOKUP($A49,기본데이타!$A$8:$BV$103,COLUMN(기본데이타!K$8),0))</f>
        <v/>
      </c>
      <c r="I49" s="167" t="str">
        <f>IF($A49="","",VLOOKUP($A49,기본데이타!$A$8:$BV$103,COLUMN(기본데이타!L$8),0))</f>
        <v/>
      </c>
      <c r="J49" s="167" t="str">
        <f>IF($A49="","",VLOOKUP($A49,기본데이타!$A$8:$BV$103,COLUMN(기본데이타!M$8),0))</f>
        <v/>
      </c>
      <c r="K49" s="168" t="str">
        <f>IF($A49="","",VLOOKUP($A49,기본데이타!$A$8:$BV$103,COLUMN(기본데이타!N$8),0))</f>
        <v/>
      </c>
      <c r="L49" s="167" t="str">
        <f>IF($A49="","",VLOOKUP($A49,기본데이타!$A$8:$BV$103,COLUMN(기본데이타!O$8),0))</f>
        <v/>
      </c>
      <c r="M49" s="168" t="str">
        <f>IF($A49="","",VLOOKUP($A49,기본데이타!$A$8:$BV$103,COLUMN(기본데이타!P$8),0))</f>
        <v/>
      </c>
      <c r="N49" s="168" t="str">
        <f>IF($A49="","",VLOOKUP($A49,기본데이타!$A$8:$BV$103,COLUMN(기본데이타!Q$8),0))</f>
        <v/>
      </c>
      <c r="O49" s="168" t="str">
        <f>IF($A49="","",VLOOKUP($A49,기본데이타!$A$8:$BV$103,COLUMN(기본데이타!R$8),0))</f>
        <v/>
      </c>
      <c r="P49" s="168" t="str">
        <f>IF($A49="","",VLOOKUP($A49,기본데이타!$A$8:$BV$103,COLUMN(기본데이타!S$8),0))</f>
        <v/>
      </c>
      <c r="Q49" s="168" t="str">
        <f>IF($A49="","",VLOOKUP($A49,기본데이타!$A$8:$BV$103,COLUMN(기본데이타!T$8),0))</f>
        <v/>
      </c>
      <c r="R49" s="168" t="str">
        <f>IF($A49="","",VLOOKUP($A49,기본데이타!$A$8:$BV$103,COLUMN(기본데이타!U$8),0))</f>
        <v/>
      </c>
      <c r="S49" s="168" t="str">
        <f>IF($A49="","",VLOOKUP($A49,기본데이타!$A$8:$BV$103,COLUMN(기본데이타!V$8),0))</f>
        <v/>
      </c>
      <c r="T49" s="168" t="str">
        <f>IF($A49="","",VLOOKUP($A49,기본데이타!$A$8:$BV$103,COLUMN(기본데이타!W$8),0))</f>
        <v/>
      </c>
      <c r="U49" s="168" t="str">
        <f>IF($A49="","",VLOOKUP($A49,기본데이타!$A$8:$BV$103,COLUMN(기본데이타!X$8),0))</f>
        <v/>
      </c>
      <c r="V49" s="168" t="str">
        <f>IF($A49="","",VLOOKUP($A49,기본데이타!$A$8:$BV$103,COLUMN(기본데이타!Y$8),0))</f>
        <v/>
      </c>
      <c r="W49" s="168" t="str">
        <f>IF($A49="","",VLOOKUP($A49,기본데이타!$A$8:$BV$103,COLUMN(기본데이타!Z$8),0))</f>
        <v/>
      </c>
      <c r="X49" s="168" t="str">
        <f>IF($A49="","",VLOOKUP($A49,기본데이타!$A$8:$BV$103,COLUMN(기본데이타!AA$8),0))</f>
        <v/>
      </c>
      <c r="Y49" s="168" t="str">
        <f>IF($A49="","",VLOOKUP($A49,기본데이타!$A$8:$BV$103,COLUMN(기본데이타!AB$8),0))</f>
        <v/>
      </c>
      <c r="Z49" s="167" t="str">
        <f>IF($A49="","",VLOOKUP($A49,기본데이타!$A$8:$BV$103,COLUMN(기본데이타!AC$8),0))</f>
        <v/>
      </c>
      <c r="AA49" s="168" t="str">
        <f>IF($A49="","",VLOOKUP($A49,기본데이타!$A$8:$BV$103,COLUMN(기본데이타!AD$8),0))</f>
        <v/>
      </c>
      <c r="AB49" s="167" t="str">
        <f>IF($A49="","",VLOOKUP($A49,기본데이타!$A$8:$BV$103,COLUMN(기본데이타!AE$8),0))</f>
        <v/>
      </c>
      <c r="AC49" s="168" t="str">
        <f>IF($A49="","",VLOOKUP($A49,기본데이타!$A$8:$BV$103,COLUMN(기본데이타!AF$8),0))</f>
        <v/>
      </c>
      <c r="AD49" s="167" t="str">
        <f>IF($A49="","",VLOOKUP($A49,기본데이타!$A$8:$BV$103,COLUMN(기본데이타!AG$8),0))</f>
        <v/>
      </c>
      <c r="AE49" s="168" t="str">
        <f>IF($A49="","",VLOOKUP($A49,기본데이타!$A$8:$BV$103,COLUMN(기본데이타!AH$8),0))</f>
        <v/>
      </c>
      <c r="AF49" s="167" t="str">
        <f>IF($A49="","",VLOOKUP($A49,기본데이타!$A$8:$BV$103,COLUMN(기본데이타!AI$8),0))</f>
        <v/>
      </c>
      <c r="AG49" s="169" t="str">
        <f>IF($A49="","",VLOOKUP($A49,기본데이타!$A$8:$BV$103,COLUMN(기본데이타!AJ$8),0))</f>
        <v/>
      </c>
      <c r="AH49" s="364" t="str">
        <f>IF($A49="","",VLOOKUP($A49,기본데이타!$A$8:$BV$103,COLUMN(기본데이타!AK$8),0))</f>
        <v/>
      </c>
      <c r="AI49" s="364" t="str">
        <f>IF($A49="","",VLOOKUP($A49,기본데이타!$A$8:$BV$103,COLUMN(기본데이타!AL$8),0))</f>
        <v/>
      </c>
      <c r="AJ49" s="364" t="str">
        <f>IF($A49="","",VLOOKUP($A49,기본데이타!$A$8:$BV$103,COLUMN(기본데이타!AM$8),0))</f>
        <v/>
      </c>
      <c r="AK49" s="364" t="str">
        <f>IF($A49="","",VLOOKUP($A49,기본데이타!$A$8:$BV$103,COLUMN(기본데이타!AN$8),0))</f>
        <v/>
      </c>
      <c r="AL49" s="364" t="str">
        <f>IF($A49="","",VLOOKUP($A49,기본데이타!$A$8:$BV$103,COLUMN(기본데이타!AO$8),0))</f>
        <v/>
      </c>
      <c r="AM49" s="364" t="str">
        <f>IF($A49="","",VLOOKUP($A49,기본데이타!$A$8:$BV$103,COLUMN(기본데이타!AP$8),0))</f>
        <v/>
      </c>
      <c r="AN49" s="364" t="str">
        <f>IF($A49="","",VLOOKUP($A49,기본데이타!$A$8:$BV$103,COLUMN(기본데이타!AQ$8),0))</f>
        <v/>
      </c>
      <c r="AO49" s="364" t="str">
        <f>IF($A49="","",VLOOKUP($A49,기본데이타!$A$8:$BV$103,COLUMN(기본데이타!AR$8),0))</f>
        <v/>
      </c>
      <c r="AP49" s="364" t="str">
        <f>IF($A49="","",VLOOKUP($A49,기본데이타!$A$8:$BV$103,COLUMN(기본데이타!AS$8),0))</f>
        <v/>
      </c>
      <c r="AQ49" s="364" t="str">
        <f>IF($A49="","",VLOOKUP($A49,기본데이타!$A$8:$BV$103,COLUMN(기본데이타!AT$8),0))</f>
        <v/>
      </c>
      <c r="AR49" s="364" t="str">
        <f>IF($A49="","",VLOOKUP($A49,기본데이타!$A$8:$BV$103,COLUMN(기본데이타!AU$8),0))</f>
        <v/>
      </c>
      <c r="AS49" s="364" t="str">
        <f>IF($A49="","",VLOOKUP($A49,기본데이타!$A$8:$BV$103,COLUMN(기본데이타!AV$8),0))</f>
        <v/>
      </c>
      <c r="AT49" s="358" t="str">
        <f>IF($A49="","",VLOOKUP($A49,기본데이타!$A$8:$BV$103,COLUMN(기본데이타!AW$8),0))</f>
        <v/>
      </c>
      <c r="AU49" s="358" t="str">
        <f>IF($A49="","",VLOOKUP($A49,기본데이타!$A$8:$BV$103,COLUMN(기본데이타!AX$8),0))</f>
        <v/>
      </c>
      <c r="AV49" s="358" t="str">
        <f>IF($A49="","",VLOOKUP($A49,기본데이타!$A$8:$BV$103,COLUMN(기본데이타!AY$8),0))</f>
        <v/>
      </c>
      <c r="AW49" s="358" t="str">
        <f t="shared" si="10"/>
        <v/>
      </c>
      <c r="AX49" s="168" t="str">
        <f>IF($A49="","",VLOOKUP($A49,기본데이타!$A$8:$BV$103,COLUMN(기본데이타!BA$8),0))</f>
        <v/>
      </c>
      <c r="AY49" s="168" t="str">
        <f>IF($A49="","",VLOOKUP($A49,기본데이타!$A$8:$BV$103,COLUMN(기본데이타!BB$8),0))</f>
        <v/>
      </c>
      <c r="AZ49" s="168" t="str">
        <f>IF($A49="","",VLOOKUP($A49,기본데이타!$A$8:$BV$103,COLUMN(기본데이타!BC$8),0))</f>
        <v/>
      </c>
      <c r="BA49" s="168" t="str">
        <f>IF($A49="","",VLOOKUP($A49,기본데이타!$A$8:$BV$103,COLUMN(기본데이타!BD$8),0))</f>
        <v/>
      </c>
      <c r="BB49" s="168" t="str">
        <f>IF($A49="","",VLOOKUP($A49,기본데이타!$A$8:$BV$103,COLUMN(기본데이타!BE$8),0))</f>
        <v/>
      </c>
      <c r="BC49" s="168" t="str">
        <f>IF($A49="","",VLOOKUP($A49,기본데이타!$A$8:$BV$103,COLUMN(기본데이타!BF$8),0))</f>
        <v/>
      </c>
      <c r="BD49" s="168" t="str">
        <f>IF($A49="","",VLOOKUP($A49,기본데이타!$A$8:$BV$103,COLUMN(기본데이타!BG$8),0))</f>
        <v/>
      </c>
      <c r="BE49" s="168" t="str">
        <f>IF($A49="","",VLOOKUP($A49,기본데이타!$A$8:$BV$103,COLUMN(기본데이타!BH$8),0))</f>
        <v/>
      </c>
      <c r="BF49" s="168" t="str">
        <f>IF($A49="","",VLOOKUP($A49,기본데이타!$A$8:$BV$103,COLUMN(기본데이타!BI$8),0))</f>
        <v/>
      </c>
      <c r="BG49" s="168" t="str">
        <f>IF($A49="","",VLOOKUP($A49,기본데이타!$A$8:$BV$103,COLUMN(기본데이타!BJ$8),0))</f>
        <v/>
      </c>
      <c r="BH49" s="168" t="str">
        <f>IF($A49="","",VLOOKUP($A49,기본데이타!$A$8:$BV$103,COLUMN(기본데이타!BK$8),0))</f>
        <v/>
      </c>
      <c r="BI49" s="168" t="str">
        <f>IF($A49="","",VLOOKUP($A49,기본데이타!$A$8:$BV$103,COLUMN(기본데이타!BL$8),0))</f>
        <v/>
      </c>
      <c r="BJ49" s="168" t="str">
        <f>IF($A49="","",VLOOKUP($A49,기본데이타!$A$8:$BV$103,COLUMN(기본데이타!BM$8),0))</f>
        <v/>
      </c>
      <c r="BK49" s="168" t="str">
        <f>IF($A49="","",VLOOKUP($A49,기본데이타!$A$8:$BV$103,COLUMN(기본데이타!BN$8),0))</f>
        <v/>
      </c>
      <c r="BL49" s="168" t="str">
        <f>IF($A49="","",VLOOKUP($A49,기본데이타!$A$8:$BV$103,COLUMN(기본데이타!BO$8),0))</f>
        <v/>
      </c>
      <c r="BM49" s="168" t="str">
        <f>IF($A49="","",VLOOKUP($A49,기본데이타!$A$8:$BV$103,COLUMN(기본데이타!BP$8),0))</f>
        <v/>
      </c>
      <c r="BN49" s="168" t="str">
        <f>IF($A49="","",VLOOKUP($A49,기본데이타!$A$8:$BV$103,COLUMN(기본데이타!BQ$8),0))</f>
        <v/>
      </c>
      <c r="BO49" s="168" t="str">
        <f>IF($A49="","",VLOOKUP($A49,기본데이타!$A$8:$BV$103,COLUMN(기본데이타!BR$8),0))</f>
        <v/>
      </c>
      <c r="BP49" s="168" t="str">
        <f>IF($A49="","",VLOOKUP($A49,기본데이타!$A$8:$BV$103,COLUMN(기본데이타!BS$8),0))</f>
        <v/>
      </c>
      <c r="BQ49" s="980" t="str">
        <f>IF($A49="","",VLOOKUP($A49,기본데이타!$A$8:$BV$103,COLUMN(기본데이타!BT$8),0))</f>
        <v/>
      </c>
      <c r="BR49" s="984" t="str">
        <f>IF($A49="","",VLOOKUP($A49,기본데이타!$A$8:$BV$103,COLUMN(기본데이타!BU$8),0))</f>
        <v/>
      </c>
      <c r="BS49" s="168" t="str">
        <f>IF($A49="","",VLOOKUP($A49,기본데이타!$A$8:$BV$103,COLUMN(기본데이타!BV$8),0))</f>
        <v/>
      </c>
      <c r="BT49" s="981">
        <f t="shared" si="11"/>
        <v>0</v>
      </c>
      <c r="BU49" s="242"/>
    </row>
    <row r="50" spans="1:73" s="7" customFormat="1" ht="73.5" customHeight="1">
      <c r="A50" s="171"/>
      <c r="B50" s="163"/>
      <c r="C50" s="164" t="str">
        <f>IF($A50="","",VLOOKUP($A50,기본데이타!$A$8:$BV$103,COLUMN(기본데이타!F$8),0))</f>
        <v/>
      </c>
      <c r="D50" s="165" t="str">
        <f>IF($A50="","",VLOOKUP($A50,기본데이타!$A$8:$BV$103,COLUMN(기본데이타!G$8),0))</f>
        <v/>
      </c>
      <c r="E50" s="166" t="str">
        <f>IF($A50="","",VLOOKUP($A50,기본데이타!$A$8:$BV$103,COLUMN(기본데이타!H$8),0))</f>
        <v/>
      </c>
      <c r="F50" s="166" t="str">
        <f>IF($A50="","",VLOOKUP($A50,기본데이타!$A$8:$BV$103,COLUMN(기본데이타!I$8),0))</f>
        <v/>
      </c>
      <c r="G50" s="166" t="str">
        <f>IF($A50="","",VLOOKUP($A50,기본데이타!$A$8:$BV$103,COLUMN(기본데이타!J$8),0))</f>
        <v/>
      </c>
      <c r="H50" s="167" t="str">
        <f>IF($A50="","",VLOOKUP($A50,기본데이타!$A$8:$BV$103,COLUMN(기본데이타!K$8),0))</f>
        <v/>
      </c>
      <c r="I50" s="167" t="str">
        <f>IF($A50="","",VLOOKUP($A50,기본데이타!$A$8:$BV$103,COLUMN(기본데이타!L$8),0))</f>
        <v/>
      </c>
      <c r="J50" s="167" t="str">
        <f>IF($A50="","",VLOOKUP($A50,기본데이타!$A$8:$BV$103,COLUMN(기본데이타!M$8),0))</f>
        <v/>
      </c>
      <c r="K50" s="168" t="str">
        <f>IF($A50="","",VLOOKUP($A50,기본데이타!$A$8:$BV$103,COLUMN(기본데이타!N$8),0))</f>
        <v/>
      </c>
      <c r="L50" s="167" t="str">
        <f>IF($A50="","",VLOOKUP($A50,기본데이타!$A$8:$BV$103,COLUMN(기본데이타!O$8),0))</f>
        <v/>
      </c>
      <c r="M50" s="168" t="str">
        <f>IF($A50="","",VLOOKUP($A50,기본데이타!$A$8:$BV$103,COLUMN(기본데이타!P$8),0))</f>
        <v/>
      </c>
      <c r="N50" s="168" t="str">
        <f>IF($A50="","",VLOOKUP($A50,기본데이타!$A$8:$BV$103,COLUMN(기본데이타!Q$8),0))</f>
        <v/>
      </c>
      <c r="O50" s="168" t="str">
        <f>IF($A50="","",VLOOKUP($A50,기본데이타!$A$8:$BV$103,COLUMN(기본데이타!R$8),0))</f>
        <v/>
      </c>
      <c r="P50" s="168" t="str">
        <f>IF($A50="","",VLOOKUP($A50,기본데이타!$A$8:$BV$103,COLUMN(기본데이타!S$8),0))</f>
        <v/>
      </c>
      <c r="Q50" s="168" t="str">
        <f>IF($A50="","",VLOOKUP($A50,기본데이타!$A$8:$BV$103,COLUMN(기본데이타!T$8),0))</f>
        <v/>
      </c>
      <c r="R50" s="168" t="str">
        <f>IF($A50="","",VLOOKUP($A50,기본데이타!$A$8:$BV$103,COLUMN(기본데이타!U$8),0))</f>
        <v/>
      </c>
      <c r="S50" s="168" t="str">
        <f>IF($A50="","",VLOOKUP($A50,기본데이타!$A$8:$BV$103,COLUMN(기본데이타!V$8),0))</f>
        <v/>
      </c>
      <c r="T50" s="168" t="str">
        <f>IF($A50="","",VLOOKUP($A50,기본데이타!$A$8:$BV$103,COLUMN(기본데이타!W$8),0))</f>
        <v/>
      </c>
      <c r="U50" s="168" t="str">
        <f>IF($A50="","",VLOOKUP($A50,기본데이타!$A$8:$BV$103,COLUMN(기본데이타!X$8),0))</f>
        <v/>
      </c>
      <c r="V50" s="168" t="str">
        <f>IF($A50="","",VLOOKUP($A50,기본데이타!$A$8:$BV$103,COLUMN(기본데이타!Y$8),0))</f>
        <v/>
      </c>
      <c r="W50" s="168" t="str">
        <f>IF($A50="","",VLOOKUP($A50,기본데이타!$A$8:$BV$103,COLUMN(기본데이타!Z$8),0))</f>
        <v/>
      </c>
      <c r="X50" s="168" t="str">
        <f>IF($A50="","",VLOOKUP($A50,기본데이타!$A$8:$BV$103,COLUMN(기본데이타!AA$8),0))</f>
        <v/>
      </c>
      <c r="Y50" s="168" t="str">
        <f>IF($A50="","",VLOOKUP($A50,기본데이타!$A$8:$BV$103,COLUMN(기본데이타!AB$8),0))</f>
        <v/>
      </c>
      <c r="Z50" s="167" t="str">
        <f>IF($A50="","",VLOOKUP($A50,기본데이타!$A$8:$BV$103,COLUMN(기본데이타!AC$8),0))</f>
        <v/>
      </c>
      <c r="AA50" s="168" t="str">
        <f>IF($A50="","",VLOOKUP($A50,기본데이타!$A$8:$BV$103,COLUMN(기본데이타!AD$8),0))</f>
        <v/>
      </c>
      <c r="AB50" s="167" t="str">
        <f>IF($A50="","",VLOOKUP($A50,기본데이타!$A$8:$BV$103,COLUMN(기본데이타!AE$8),0))</f>
        <v/>
      </c>
      <c r="AC50" s="168" t="str">
        <f>IF($A50="","",VLOOKUP($A50,기본데이타!$A$8:$BV$103,COLUMN(기본데이타!AF$8),0))</f>
        <v/>
      </c>
      <c r="AD50" s="167" t="str">
        <f>IF($A50="","",VLOOKUP($A50,기본데이타!$A$8:$BV$103,COLUMN(기본데이타!AG$8),0))</f>
        <v/>
      </c>
      <c r="AE50" s="168" t="str">
        <f>IF($A50="","",VLOOKUP($A50,기본데이타!$A$8:$BV$103,COLUMN(기본데이타!AH$8),0))</f>
        <v/>
      </c>
      <c r="AF50" s="167" t="str">
        <f>IF($A50="","",VLOOKUP($A50,기본데이타!$A$8:$BV$103,COLUMN(기본데이타!AI$8),0))</f>
        <v/>
      </c>
      <c r="AG50" s="169" t="str">
        <f>IF($A50="","",VLOOKUP($A50,기본데이타!$A$8:$BV$103,COLUMN(기본데이타!AJ$8),0))</f>
        <v/>
      </c>
      <c r="AH50" s="364" t="str">
        <f>IF($A50="","",VLOOKUP($A50,기본데이타!$A$8:$BV$103,COLUMN(기본데이타!AK$8),0))</f>
        <v/>
      </c>
      <c r="AI50" s="364" t="str">
        <f>IF($A50="","",VLOOKUP($A50,기본데이타!$A$8:$BV$103,COLUMN(기본데이타!AL$8),0))</f>
        <v/>
      </c>
      <c r="AJ50" s="364" t="str">
        <f>IF($A50="","",VLOOKUP($A50,기본데이타!$A$8:$BV$103,COLUMN(기본데이타!AM$8),0))</f>
        <v/>
      </c>
      <c r="AK50" s="364" t="str">
        <f>IF($A50="","",VLOOKUP($A50,기본데이타!$A$8:$BV$103,COLUMN(기본데이타!AN$8),0))</f>
        <v/>
      </c>
      <c r="AL50" s="364" t="str">
        <f>IF($A50="","",VLOOKUP($A50,기본데이타!$A$8:$BV$103,COLUMN(기본데이타!AO$8),0))</f>
        <v/>
      </c>
      <c r="AM50" s="364" t="str">
        <f>IF($A50="","",VLOOKUP($A50,기본데이타!$A$8:$BV$103,COLUMN(기본데이타!AP$8),0))</f>
        <v/>
      </c>
      <c r="AN50" s="364" t="str">
        <f>IF($A50="","",VLOOKUP($A50,기본데이타!$A$8:$BV$103,COLUMN(기본데이타!AQ$8),0))</f>
        <v/>
      </c>
      <c r="AO50" s="364" t="str">
        <f>IF($A50="","",VLOOKUP($A50,기본데이타!$A$8:$BV$103,COLUMN(기본데이타!AR$8),0))</f>
        <v/>
      </c>
      <c r="AP50" s="364" t="str">
        <f>IF($A50="","",VLOOKUP($A50,기본데이타!$A$8:$BV$103,COLUMN(기본데이타!AS$8),0))</f>
        <v/>
      </c>
      <c r="AQ50" s="364" t="str">
        <f>IF($A50="","",VLOOKUP($A50,기본데이타!$A$8:$BV$103,COLUMN(기본데이타!AT$8),0))</f>
        <v/>
      </c>
      <c r="AR50" s="364" t="str">
        <f>IF($A50="","",VLOOKUP($A50,기본데이타!$A$8:$BV$103,COLUMN(기본데이타!AU$8),0))</f>
        <v/>
      </c>
      <c r="AS50" s="364" t="str">
        <f>IF($A50="","",VLOOKUP($A50,기본데이타!$A$8:$BV$103,COLUMN(기본데이타!AV$8),0))</f>
        <v/>
      </c>
      <c r="AT50" s="358" t="str">
        <f>IF($A50="","",VLOOKUP($A50,기본데이타!$A$8:$BV$103,COLUMN(기본데이타!AW$8),0))</f>
        <v/>
      </c>
      <c r="AU50" s="358" t="str">
        <f>IF($A50="","",VLOOKUP($A50,기본데이타!$A$8:$BV$103,COLUMN(기본데이타!AX$8),0))</f>
        <v/>
      </c>
      <c r="AV50" s="358" t="str">
        <f>IF($A50="","",VLOOKUP($A50,기본데이타!$A$8:$BV$103,COLUMN(기본데이타!AY$8),0))</f>
        <v/>
      </c>
      <c r="AW50" s="358" t="str">
        <f t="shared" si="10"/>
        <v/>
      </c>
      <c r="AX50" s="168" t="str">
        <f>IF($A50="","",VLOOKUP($A50,기본데이타!$A$8:$BV$103,COLUMN(기본데이타!BA$8),0))</f>
        <v/>
      </c>
      <c r="AY50" s="168" t="str">
        <f>IF($A50="","",VLOOKUP($A50,기본데이타!$A$8:$BV$103,COLUMN(기본데이타!BB$8),0))</f>
        <v/>
      </c>
      <c r="AZ50" s="168" t="str">
        <f>IF($A50="","",VLOOKUP($A50,기본데이타!$A$8:$BV$103,COLUMN(기본데이타!BC$8),0))</f>
        <v/>
      </c>
      <c r="BA50" s="168" t="str">
        <f>IF($A50="","",VLOOKUP($A50,기본데이타!$A$8:$BV$103,COLUMN(기본데이타!BD$8),0))</f>
        <v/>
      </c>
      <c r="BB50" s="168" t="str">
        <f>IF($A50="","",VLOOKUP($A50,기본데이타!$A$8:$BV$103,COLUMN(기본데이타!BE$8),0))</f>
        <v/>
      </c>
      <c r="BC50" s="168" t="str">
        <f>IF($A50="","",VLOOKUP($A50,기본데이타!$A$8:$BV$103,COLUMN(기본데이타!BF$8),0))</f>
        <v/>
      </c>
      <c r="BD50" s="168" t="str">
        <f>IF($A50="","",VLOOKUP($A50,기본데이타!$A$8:$BV$103,COLUMN(기본데이타!BG$8),0))</f>
        <v/>
      </c>
      <c r="BE50" s="168" t="str">
        <f>IF($A50="","",VLOOKUP($A50,기본데이타!$A$8:$BV$103,COLUMN(기본데이타!BH$8),0))</f>
        <v/>
      </c>
      <c r="BF50" s="168" t="str">
        <f>IF($A50="","",VLOOKUP($A50,기본데이타!$A$8:$BV$103,COLUMN(기본데이타!BI$8),0))</f>
        <v/>
      </c>
      <c r="BG50" s="168" t="str">
        <f>IF($A50="","",VLOOKUP($A50,기본데이타!$A$8:$BV$103,COLUMN(기본데이타!BJ$8),0))</f>
        <v/>
      </c>
      <c r="BH50" s="168" t="str">
        <f>IF($A50="","",VLOOKUP($A50,기본데이타!$A$8:$BV$103,COLUMN(기본데이타!BK$8),0))</f>
        <v/>
      </c>
      <c r="BI50" s="168" t="str">
        <f>IF($A50="","",VLOOKUP($A50,기본데이타!$A$8:$BV$103,COLUMN(기본데이타!BL$8),0))</f>
        <v/>
      </c>
      <c r="BJ50" s="168" t="str">
        <f>IF($A50="","",VLOOKUP($A50,기본데이타!$A$8:$BV$103,COLUMN(기본데이타!BM$8),0))</f>
        <v/>
      </c>
      <c r="BK50" s="168" t="str">
        <f>IF($A50="","",VLOOKUP($A50,기본데이타!$A$8:$BV$103,COLUMN(기본데이타!BN$8),0))</f>
        <v/>
      </c>
      <c r="BL50" s="168" t="str">
        <f>IF($A50="","",VLOOKUP($A50,기본데이타!$A$8:$BV$103,COLUMN(기본데이타!BO$8),0))</f>
        <v/>
      </c>
      <c r="BM50" s="168" t="str">
        <f>IF($A50="","",VLOOKUP($A50,기본데이타!$A$8:$BV$103,COLUMN(기본데이타!BP$8),0))</f>
        <v/>
      </c>
      <c r="BN50" s="168" t="str">
        <f>IF($A50="","",VLOOKUP($A50,기본데이타!$A$8:$BV$103,COLUMN(기본데이타!BQ$8),0))</f>
        <v/>
      </c>
      <c r="BO50" s="168" t="str">
        <f>IF($A50="","",VLOOKUP($A50,기본데이타!$A$8:$BV$103,COLUMN(기본데이타!BR$8),0))</f>
        <v/>
      </c>
      <c r="BP50" s="168" t="str">
        <f>IF($A50="","",VLOOKUP($A50,기본데이타!$A$8:$BV$103,COLUMN(기본데이타!BS$8),0))</f>
        <v/>
      </c>
      <c r="BQ50" s="980" t="str">
        <f>IF($A50="","",VLOOKUP($A50,기본데이타!$A$8:$BV$103,COLUMN(기본데이타!BT$8),0))</f>
        <v/>
      </c>
      <c r="BR50" s="984" t="str">
        <f>IF($A50="","",VLOOKUP($A50,기본데이타!$A$8:$BV$103,COLUMN(기본데이타!BU$8),0))</f>
        <v/>
      </c>
      <c r="BS50" s="168" t="str">
        <f>IF($A50="","",VLOOKUP($A50,기본데이타!$A$8:$BV$103,COLUMN(기본데이타!BV$8),0))</f>
        <v/>
      </c>
      <c r="BT50" s="981">
        <f t="shared" si="11"/>
        <v>0</v>
      </c>
      <c r="BU50" s="242"/>
    </row>
    <row r="51" spans="1:73" s="7" customFormat="1" ht="73.5" customHeight="1">
      <c r="A51" s="171"/>
      <c r="B51" s="163"/>
      <c r="C51" s="164" t="str">
        <f>IF($A51="","",VLOOKUP($A51,기본데이타!$A$8:$BV$103,COLUMN(기본데이타!F$8),0))</f>
        <v/>
      </c>
      <c r="D51" s="165" t="str">
        <f>IF($A51="","",VLOOKUP($A51,기본데이타!$A$8:$BV$103,COLUMN(기본데이타!G$8),0))</f>
        <v/>
      </c>
      <c r="E51" s="166" t="str">
        <f>IF($A51="","",VLOOKUP($A51,기본데이타!$A$8:$BV$103,COLUMN(기본데이타!H$8),0))</f>
        <v/>
      </c>
      <c r="F51" s="166" t="str">
        <f>IF($A51="","",VLOOKUP($A51,기본데이타!$A$8:$BV$103,COLUMN(기본데이타!I$8),0))</f>
        <v/>
      </c>
      <c r="G51" s="166" t="str">
        <f>IF($A51="","",VLOOKUP($A51,기본데이타!$A$8:$BV$103,COLUMN(기본데이타!J$8),0))</f>
        <v/>
      </c>
      <c r="H51" s="167" t="str">
        <f>IF($A51="","",VLOOKUP($A51,기본데이타!$A$8:$BV$103,COLUMN(기본데이타!K$8),0))</f>
        <v/>
      </c>
      <c r="I51" s="167" t="str">
        <f>IF($A51="","",VLOOKUP($A51,기본데이타!$A$8:$BV$103,COLUMN(기본데이타!L$8),0))</f>
        <v/>
      </c>
      <c r="J51" s="167" t="str">
        <f>IF($A51="","",VLOOKUP($A51,기본데이타!$A$8:$BV$103,COLUMN(기본데이타!M$8),0))</f>
        <v/>
      </c>
      <c r="K51" s="168" t="str">
        <f>IF($A51="","",VLOOKUP($A51,기본데이타!$A$8:$BV$103,COLUMN(기본데이타!N$8),0))</f>
        <v/>
      </c>
      <c r="L51" s="167" t="str">
        <f>IF($A51="","",VLOOKUP($A51,기본데이타!$A$8:$BV$103,COLUMN(기본데이타!O$8),0))</f>
        <v/>
      </c>
      <c r="M51" s="168" t="str">
        <f>IF($A51="","",VLOOKUP($A51,기본데이타!$A$8:$BV$103,COLUMN(기본데이타!P$8),0))</f>
        <v/>
      </c>
      <c r="N51" s="168" t="str">
        <f>IF($A51="","",VLOOKUP($A51,기본데이타!$A$8:$BV$103,COLUMN(기본데이타!Q$8),0))</f>
        <v/>
      </c>
      <c r="O51" s="168" t="str">
        <f>IF($A51="","",VLOOKUP($A51,기본데이타!$A$8:$BV$103,COLUMN(기본데이타!R$8),0))</f>
        <v/>
      </c>
      <c r="P51" s="168" t="str">
        <f>IF($A51="","",VLOOKUP($A51,기본데이타!$A$8:$BV$103,COLUMN(기본데이타!S$8),0))</f>
        <v/>
      </c>
      <c r="Q51" s="168" t="str">
        <f>IF($A51="","",VLOOKUP($A51,기본데이타!$A$8:$BV$103,COLUMN(기본데이타!T$8),0))</f>
        <v/>
      </c>
      <c r="R51" s="168" t="str">
        <f>IF($A51="","",VLOOKUP($A51,기본데이타!$A$8:$BV$103,COLUMN(기본데이타!U$8),0))</f>
        <v/>
      </c>
      <c r="S51" s="168" t="str">
        <f>IF($A51="","",VLOOKUP($A51,기본데이타!$A$8:$BV$103,COLUMN(기본데이타!V$8),0))</f>
        <v/>
      </c>
      <c r="T51" s="168" t="str">
        <f>IF($A51="","",VLOOKUP($A51,기본데이타!$A$8:$BV$103,COLUMN(기본데이타!W$8),0))</f>
        <v/>
      </c>
      <c r="U51" s="168" t="str">
        <f>IF($A51="","",VLOOKUP($A51,기본데이타!$A$8:$BV$103,COLUMN(기본데이타!X$8),0))</f>
        <v/>
      </c>
      <c r="V51" s="168" t="str">
        <f>IF($A51="","",VLOOKUP($A51,기본데이타!$A$8:$BV$103,COLUMN(기본데이타!Y$8),0))</f>
        <v/>
      </c>
      <c r="W51" s="168" t="str">
        <f>IF($A51="","",VLOOKUP($A51,기본데이타!$A$8:$BV$103,COLUMN(기본데이타!Z$8),0))</f>
        <v/>
      </c>
      <c r="X51" s="168" t="str">
        <f>IF($A51="","",VLOOKUP($A51,기본데이타!$A$8:$BV$103,COLUMN(기본데이타!AA$8),0))</f>
        <v/>
      </c>
      <c r="Y51" s="168" t="str">
        <f>IF($A51="","",VLOOKUP($A51,기본데이타!$A$8:$BV$103,COLUMN(기본데이타!AB$8),0))</f>
        <v/>
      </c>
      <c r="Z51" s="167" t="str">
        <f>IF($A51="","",VLOOKUP($A51,기본데이타!$A$8:$BV$103,COLUMN(기본데이타!AC$8),0))</f>
        <v/>
      </c>
      <c r="AA51" s="168" t="str">
        <f>IF($A51="","",VLOOKUP($A51,기본데이타!$A$8:$BV$103,COLUMN(기본데이타!AD$8),0))</f>
        <v/>
      </c>
      <c r="AB51" s="167" t="str">
        <f>IF($A51="","",VLOOKUP($A51,기본데이타!$A$8:$BV$103,COLUMN(기본데이타!AE$8),0))</f>
        <v/>
      </c>
      <c r="AC51" s="168" t="str">
        <f>IF($A51="","",VLOOKUP($A51,기본데이타!$A$8:$BV$103,COLUMN(기본데이타!AF$8),0))</f>
        <v/>
      </c>
      <c r="AD51" s="167" t="str">
        <f>IF($A51="","",VLOOKUP($A51,기본데이타!$A$8:$BV$103,COLUMN(기본데이타!AG$8),0))</f>
        <v/>
      </c>
      <c r="AE51" s="168" t="str">
        <f>IF($A51="","",VLOOKUP($A51,기본데이타!$A$8:$BV$103,COLUMN(기본데이타!AH$8),0))</f>
        <v/>
      </c>
      <c r="AF51" s="167" t="str">
        <f>IF($A51="","",VLOOKUP($A51,기본데이타!$A$8:$BV$103,COLUMN(기본데이타!AI$8),0))</f>
        <v/>
      </c>
      <c r="AG51" s="169" t="str">
        <f>IF($A51="","",VLOOKUP($A51,기본데이타!$A$8:$BV$103,COLUMN(기본데이타!AJ$8),0))</f>
        <v/>
      </c>
      <c r="AH51" s="364" t="str">
        <f>IF($A51="","",VLOOKUP($A51,기본데이타!$A$8:$BV$103,COLUMN(기본데이타!AK$8),0))</f>
        <v/>
      </c>
      <c r="AI51" s="364" t="str">
        <f>IF($A51="","",VLOOKUP($A51,기본데이타!$A$8:$BV$103,COLUMN(기본데이타!AL$8),0))</f>
        <v/>
      </c>
      <c r="AJ51" s="364" t="str">
        <f>IF($A51="","",VLOOKUP($A51,기본데이타!$A$8:$BV$103,COLUMN(기본데이타!AM$8),0))</f>
        <v/>
      </c>
      <c r="AK51" s="364" t="str">
        <f>IF($A51="","",VLOOKUP($A51,기본데이타!$A$8:$BV$103,COLUMN(기본데이타!AN$8),0))</f>
        <v/>
      </c>
      <c r="AL51" s="364" t="str">
        <f>IF($A51="","",VLOOKUP($A51,기본데이타!$A$8:$BV$103,COLUMN(기본데이타!AO$8),0))</f>
        <v/>
      </c>
      <c r="AM51" s="364" t="str">
        <f>IF($A51="","",VLOOKUP($A51,기본데이타!$A$8:$BV$103,COLUMN(기본데이타!AP$8),0))</f>
        <v/>
      </c>
      <c r="AN51" s="364" t="str">
        <f>IF($A51="","",VLOOKUP($A51,기본데이타!$A$8:$BV$103,COLUMN(기본데이타!AQ$8),0))</f>
        <v/>
      </c>
      <c r="AO51" s="364" t="str">
        <f>IF($A51="","",VLOOKUP($A51,기본데이타!$A$8:$BV$103,COLUMN(기본데이타!AR$8),0))</f>
        <v/>
      </c>
      <c r="AP51" s="364" t="str">
        <f>IF($A51="","",VLOOKUP($A51,기본데이타!$A$8:$BV$103,COLUMN(기본데이타!AS$8),0))</f>
        <v/>
      </c>
      <c r="AQ51" s="364" t="str">
        <f>IF($A51="","",VLOOKUP($A51,기본데이타!$A$8:$BV$103,COLUMN(기본데이타!AT$8),0))</f>
        <v/>
      </c>
      <c r="AR51" s="364" t="str">
        <f>IF($A51="","",VLOOKUP($A51,기본데이타!$A$8:$BV$103,COLUMN(기본데이타!AU$8),0))</f>
        <v/>
      </c>
      <c r="AS51" s="364" t="str">
        <f>IF($A51="","",VLOOKUP($A51,기본데이타!$A$8:$BV$103,COLUMN(기본데이타!AV$8),0))</f>
        <v/>
      </c>
      <c r="AT51" s="358" t="str">
        <f>IF($A51="","",VLOOKUP($A51,기본데이타!$A$8:$BV$103,COLUMN(기본데이타!AW$8),0))</f>
        <v/>
      </c>
      <c r="AU51" s="358" t="str">
        <f>IF($A51="","",VLOOKUP($A51,기본데이타!$A$8:$BV$103,COLUMN(기본데이타!AX$8),0))</f>
        <v/>
      </c>
      <c r="AV51" s="358" t="str">
        <f>IF($A51="","",VLOOKUP($A51,기본데이타!$A$8:$BV$103,COLUMN(기본데이타!AY$8),0))</f>
        <v/>
      </c>
      <c r="AW51" s="358" t="str">
        <f t="shared" si="10"/>
        <v/>
      </c>
      <c r="AX51" s="168" t="str">
        <f>IF($A51="","",VLOOKUP($A51,기본데이타!$A$8:$BV$103,COLUMN(기본데이타!BA$8),0))</f>
        <v/>
      </c>
      <c r="AY51" s="168" t="str">
        <f>IF($A51="","",VLOOKUP($A51,기본데이타!$A$8:$BV$103,COLUMN(기본데이타!BB$8),0))</f>
        <v/>
      </c>
      <c r="AZ51" s="168" t="str">
        <f>IF($A51="","",VLOOKUP($A51,기본데이타!$A$8:$BV$103,COLUMN(기본데이타!BC$8),0))</f>
        <v/>
      </c>
      <c r="BA51" s="168" t="str">
        <f>IF($A51="","",VLOOKUP($A51,기본데이타!$A$8:$BV$103,COLUMN(기본데이타!BD$8),0))</f>
        <v/>
      </c>
      <c r="BB51" s="168" t="str">
        <f>IF($A51="","",VLOOKUP($A51,기본데이타!$A$8:$BV$103,COLUMN(기본데이타!BE$8),0))</f>
        <v/>
      </c>
      <c r="BC51" s="168" t="str">
        <f>IF($A51="","",VLOOKUP($A51,기본데이타!$A$8:$BV$103,COLUMN(기본데이타!BF$8),0))</f>
        <v/>
      </c>
      <c r="BD51" s="168" t="str">
        <f>IF($A51="","",VLOOKUP($A51,기본데이타!$A$8:$BV$103,COLUMN(기본데이타!BG$8),0))</f>
        <v/>
      </c>
      <c r="BE51" s="168" t="str">
        <f>IF($A51="","",VLOOKUP($A51,기본데이타!$A$8:$BV$103,COLUMN(기본데이타!BH$8),0))</f>
        <v/>
      </c>
      <c r="BF51" s="168" t="str">
        <f>IF($A51="","",VLOOKUP($A51,기본데이타!$A$8:$BV$103,COLUMN(기본데이타!BI$8),0))</f>
        <v/>
      </c>
      <c r="BG51" s="168" t="str">
        <f>IF($A51="","",VLOOKUP($A51,기본데이타!$A$8:$BV$103,COLUMN(기본데이타!BJ$8),0))</f>
        <v/>
      </c>
      <c r="BH51" s="168" t="str">
        <f>IF($A51="","",VLOOKUP($A51,기본데이타!$A$8:$BV$103,COLUMN(기본데이타!BK$8),0))</f>
        <v/>
      </c>
      <c r="BI51" s="168" t="str">
        <f>IF($A51="","",VLOOKUP($A51,기본데이타!$A$8:$BV$103,COLUMN(기본데이타!BL$8),0))</f>
        <v/>
      </c>
      <c r="BJ51" s="168" t="str">
        <f>IF($A51="","",VLOOKUP($A51,기본데이타!$A$8:$BV$103,COLUMN(기본데이타!BM$8),0))</f>
        <v/>
      </c>
      <c r="BK51" s="168" t="str">
        <f>IF($A51="","",VLOOKUP($A51,기본데이타!$A$8:$BV$103,COLUMN(기본데이타!BN$8),0))</f>
        <v/>
      </c>
      <c r="BL51" s="168" t="str">
        <f>IF($A51="","",VLOOKUP($A51,기본데이타!$A$8:$BV$103,COLUMN(기본데이타!BO$8),0))</f>
        <v/>
      </c>
      <c r="BM51" s="168" t="str">
        <f>IF($A51="","",VLOOKUP($A51,기본데이타!$A$8:$BV$103,COLUMN(기본데이타!BP$8),0))</f>
        <v/>
      </c>
      <c r="BN51" s="168" t="str">
        <f>IF($A51="","",VLOOKUP($A51,기본데이타!$A$8:$BV$103,COLUMN(기본데이타!BQ$8),0))</f>
        <v/>
      </c>
      <c r="BO51" s="168" t="str">
        <f>IF($A51="","",VLOOKUP($A51,기본데이타!$A$8:$BV$103,COLUMN(기본데이타!BR$8),0))</f>
        <v/>
      </c>
      <c r="BP51" s="168" t="str">
        <f>IF($A51="","",VLOOKUP($A51,기본데이타!$A$8:$BV$103,COLUMN(기본데이타!BS$8),0))</f>
        <v/>
      </c>
      <c r="BQ51" s="980" t="str">
        <f>IF($A51="","",VLOOKUP($A51,기본데이타!$A$8:$BV$103,COLUMN(기본데이타!BT$8),0))</f>
        <v/>
      </c>
      <c r="BR51" s="984" t="str">
        <f>IF($A51="","",VLOOKUP($A51,기본데이타!$A$8:$BV$103,COLUMN(기본데이타!BU$8),0))</f>
        <v/>
      </c>
      <c r="BS51" s="168" t="str">
        <f>IF($A51="","",VLOOKUP($A51,기본데이타!$A$8:$BV$103,COLUMN(기본데이타!BV$8),0))</f>
        <v/>
      </c>
      <c r="BT51" s="981">
        <f t="shared" si="11"/>
        <v>0</v>
      </c>
      <c r="BU51" s="242"/>
    </row>
    <row r="52" spans="1:73" s="7" customFormat="1" ht="73.5" customHeight="1">
      <c r="A52" s="171"/>
      <c r="B52" s="163"/>
      <c r="C52" s="164" t="str">
        <f>IF($A52="","",VLOOKUP($A52,기본데이타!$A$8:$BV$103,COLUMN(기본데이타!F$8),0))</f>
        <v/>
      </c>
      <c r="D52" s="165" t="str">
        <f>IF($A52="","",VLOOKUP($A52,기본데이타!$A$8:$BV$103,COLUMN(기본데이타!G$8),0))</f>
        <v/>
      </c>
      <c r="E52" s="166" t="str">
        <f>IF($A52="","",VLOOKUP($A52,기본데이타!$A$8:$BV$103,COLUMN(기본데이타!H$8),0))</f>
        <v/>
      </c>
      <c r="F52" s="166" t="str">
        <f>IF($A52="","",VLOOKUP($A52,기본데이타!$A$8:$BV$103,COLUMN(기본데이타!I$8),0))</f>
        <v/>
      </c>
      <c r="G52" s="166" t="str">
        <f>IF($A52="","",VLOOKUP($A52,기본데이타!$A$8:$BV$103,COLUMN(기본데이타!J$8),0))</f>
        <v/>
      </c>
      <c r="H52" s="167" t="str">
        <f>IF($A52="","",VLOOKUP($A52,기본데이타!$A$8:$BV$103,COLUMN(기본데이타!K$8),0))</f>
        <v/>
      </c>
      <c r="I52" s="167" t="str">
        <f>IF($A52="","",VLOOKUP($A52,기본데이타!$A$8:$BV$103,COLUMN(기본데이타!L$8),0))</f>
        <v/>
      </c>
      <c r="J52" s="167" t="str">
        <f>IF($A52="","",VLOOKUP($A52,기본데이타!$A$8:$BV$103,COLUMN(기본데이타!M$8),0))</f>
        <v/>
      </c>
      <c r="K52" s="168" t="str">
        <f>IF($A52="","",VLOOKUP($A52,기본데이타!$A$8:$BV$103,COLUMN(기본데이타!N$8),0))</f>
        <v/>
      </c>
      <c r="L52" s="167" t="str">
        <f>IF($A52="","",VLOOKUP($A52,기본데이타!$A$8:$BV$103,COLUMN(기본데이타!O$8),0))</f>
        <v/>
      </c>
      <c r="M52" s="168" t="str">
        <f>IF($A52="","",VLOOKUP($A52,기본데이타!$A$8:$BV$103,COLUMN(기본데이타!P$8),0))</f>
        <v/>
      </c>
      <c r="N52" s="168" t="str">
        <f>IF($A52="","",VLOOKUP($A52,기본데이타!$A$8:$BV$103,COLUMN(기본데이타!Q$8),0))</f>
        <v/>
      </c>
      <c r="O52" s="168" t="str">
        <f>IF($A52="","",VLOOKUP($A52,기본데이타!$A$8:$BV$103,COLUMN(기본데이타!R$8),0))</f>
        <v/>
      </c>
      <c r="P52" s="168" t="str">
        <f>IF($A52="","",VLOOKUP($A52,기본데이타!$A$8:$BV$103,COLUMN(기본데이타!S$8),0))</f>
        <v/>
      </c>
      <c r="Q52" s="168" t="str">
        <f>IF($A52="","",VLOOKUP($A52,기본데이타!$A$8:$BV$103,COLUMN(기본데이타!T$8),0))</f>
        <v/>
      </c>
      <c r="R52" s="168" t="str">
        <f>IF($A52="","",VLOOKUP($A52,기본데이타!$A$8:$BV$103,COLUMN(기본데이타!U$8),0))</f>
        <v/>
      </c>
      <c r="S52" s="168" t="str">
        <f>IF($A52="","",VLOOKUP($A52,기본데이타!$A$8:$BV$103,COLUMN(기본데이타!V$8),0))</f>
        <v/>
      </c>
      <c r="T52" s="168" t="str">
        <f>IF($A52="","",VLOOKUP($A52,기본데이타!$A$8:$BV$103,COLUMN(기본데이타!W$8),0))</f>
        <v/>
      </c>
      <c r="U52" s="168" t="str">
        <f>IF($A52="","",VLOOKUP($A52,기본데이타!$A$8:$BV$103,COLUMN(기본데이타!X$8),0))</f>
        <v/>
      </c>
      <c r="V52" s="168" t="str">
        <f>IF($A52="","",VLOOKUP($A52,기본데이타!$A$8:$BV$103,COLUMN(기본데이타!Y$8),0))</f>
        <v/>
      </c>
      <c r="W52" s="168" t="str">
        <f>IF($A52="","",VLOOKUP($A52,기본데이타!$A$8:$BV$103,COLUMN(기본데이타!Z$8),0))</f>
        <v/>
      </c>
      <c r="X52" s="168" t="str">
        <f>IF($A52="","",VLOOKUP($A52,기본데이타!$A$8:$BV$103,COLUMN(기본데이타!AA$8),0))</f>
        <v/>
      </c>
      <c r="Y52" s="168" t="str">
        <f>IF($A52="","",VLOOKUP($A52,기본데이타!$A$8:$BV$103,COLUMN(기본데이타!AB$8),0))</f>
        <v/>
      </c>
      <c r="Z52" s="167" t="str">
        <f>IF($A52="","",VLOOKUP($A52,기본데이타!$A$8:$BV$103,COLUMN(기본데이타!AC$8),0))</f>
        <v/>
      </c>
      <c r="AA52" s="168" t="str">
        <f>IF($A52="","",VLOOKUP($A52,기본데이타!$A$8:$BV$103,COLUMN(기본데이타!AD$8),0))</f>
        <v/>
      </c>
      <c r="AB52" s="167" t="str">
        <f>IF($A52="","",VLOOKUP($A52,기본데이타!$A$8:$BV$103,COLUMN(기본데이타!AE$8),0))</f>
        <v/>
      </c>
      <c r="AC52" s="168" t="str">
        <f>IF($A52="","",VLOOKUP($A52,기본데이타!$A$8:$BV$103,COLUMN(기본데이타!AF$8),0))</f>
        <v/>
      </c>
      <c r="AD52" s="167" t="str">
        <f>IF($A52="","",VLOOKUP($A52,기본데이타!$A$8:$BV$103,COLUMN(기본데이타!AG$8),0))</f>
        <v/>
      </c>
      <c r="AE52" s="168" t="str">
        <f>IF($A52="","",VLOOKUP($A52,기본데이타!$A$8:$BV$103,COLUMN(기본데이타!AH$8),0))</f>
        <v/>
      </c>
      <c r="AF52" s="167" t="str">
        <f>IF($A52="","",VLOOKUP($A52,기본데이타!$A$8:$BV$103,COLUMN(기본데이타!AI$8),0))</f>
        <v/>
      </c>
      <c r="AG52" s="169" t="str">
        <f>IF($A52="","",VLOOKUP($A52,기본데이타!$A$8:$BV$103,COLUMN(기본데이타!AJ$8),0))</f>
        <v/>
      </c>
      <c r="AH52" s="364" t="str">
        <f>IF($A52="","",VLOOKUP($A52,기본데이타!$A$8:$BV$103,COLUMN(기본데이타!AK$8),0))</f>
        <v/>
      </c>
      <c r="AI52" s="364" t="str">
        <f>IF($A52="","",VLOOKUP($A52,기본데이타!$A$8:$BV$103,COLUMN(기본데이타!AL$8),0))</f>
        <v/>
      </c>
      <c r="AJ52" s="364" t="str">
        <f>IF($A52="","",VLOOKUP($A52,기본데이타!$A$8:$BV$103,COLUMN(기본데이타!AM$8),0))</f>
        <v/>
      </c>
      <c r="AK52" s="364" t="str">
        <f>IF($A52="","",VLOOKUP($A52,기본데이타!$A$8:$BV$103,COLUMN(기본데이타!AN$8),0))</f>
        <v/>
      </c>
      <c r="AL52" s="364" t="str">
        <f>IF($A52="","",VLOOKUP($A52,기본데이타!$A$8:$BV$103,COLUMN(기본데이타!AO$8),0))</f>
        <v/>
      </c>
      <c r="AM52" s="364" t="str">
        <f>IF($A52="","",VLOOKUP($A52,기본데이타!$A$8:$BV$103,COLUMN(기본데이타!AP$8),0))</f>
        <v/>
      </c>
      <c r="AN52" s="364" t="str">
        <f>IF($A52="","",VLOOKUP($A52,기본데이타!$A$8:$BV$103,COLUMN(기본데이타!AQ$8),0))</f>
        <v/>
      </c>
      <c r="AO52" s="364" t="str">
        <f>IF($A52="","",VLOOKUP($A52,기본데이타!$A$8:$BV$103,COLUMN(기본데이타!AR$8),0))</f>
        <v/>
      </c>
      <c r="AP52" s="364" t="str">
        <f>IF($A52="","",VLOOKUP($A52,기본데이타!$A$8:$BV$103,COLUMN(기본데이타!AS$8),0))</f>
        <v/>
      </c>
      <c r="AQ52" s="364" t="str">
        <f>IF($A52="","",VLOOKUP($A52,기본데이타!$A$8:$BV$103,COLUMN(기본데이타!AT$8),0))</f>
        <v/>
      </c>
      <c r="AR52" s="364" t="str">
        <f>IF($A52="","",VLOOKUP($A52,기본데이타!$A$8:$BV$103,COLUMN(기본데이타!AU$8),0))</f>
        <v/>
      </c>
      <c r="AS52" s="364" t="str">
        <f>IF($A52="","",VLOOKUP($A52,기본데이타!$A$8:$BV$103,COLUMN(기본데이타!AV$8),0))</f>
        <v/>
      </c>
      <c r="AT52" s="358" t="str">
        <f>IF($A52="","",VLOOKUP($A52,기본데이타!$A$8:$BV$103,COLUMN(기본데이타!AW$8),0))</f>
        <v/>
      </c>
      <c r="AU52" s="358" t="str">
        <f>IF($A52="","",VLOOKUP($A52,기본데이타!$A$8:$BV$103,COLUMN(기본데이타!AX$8),0))</f>
        <v/>
      </c>
      <c r="AV52" s="358" t="str">
        <f>IF($A52="","",VLOOKUP($A52,기본데이타!$A$8:$BV$103,COLUMN(기본데이타!AY$8),0))</f>
        <v/>
      </c>
      <c r="AW52" s="358" t="str">
        <f t="shared" si="10"/>
        <v/>
      </c>
      <c r="AX52" s="168" t="str">
        <f>IF($A52="","",VLOOKUP($A52,기본데이타!$A$8:$BV$103,COLUMN(기본데이타!BA$8),0))</f>
        <v/>
      </c>
      <c r="AY52" s="168" t="str">
        <f>IF($A52="","",VLOOKUP($A52,기본데이타!$A$8:$BV$103,COLUMN(기본데이타!BB$8),0))</f>
        <v/>
      </c>
      <c r="AZ52" s="168" t="str">
        <f>IF($A52="","",VLOOKUP($A52,기본데이타!$A$8:$BV$103,COLUMN(기본데이타!BC$8),0))</f>
        <v/>
      </c>
      <c r="BA52" s="168" t="str">
        <f>IF($A52="","",VLOOKUP($A52,기본데이타!$A$8:$BV$103,COLUMN(기본데이타!BD$8),0))</f>
        <v/>
      </c>
      <c r="BB52" s="168" t="str">
        <f>IF($A52="","",VLOOKUP($A52,기본데이타!$A$8:$BV$103,COLUMN(기본데이타!BE$8),0))</f>
        <v/>
      </c>
      <c r="BC52" s="168" t="str">
        <f>IF($A52="","",VLOOKUP($A52,기본데이타!$A$8:$BV$103,COLUMN(기본데이타!BF$8),0))</f>
        <v/>
      </c>
      <c r="BD52" s="168" t="str">
        <f>IF($A52="","",VLOOKUP($A52,기본데이타!$A$8:$BV$103,COLUMN(기본데이타!BG$8),0))</f>
        <v/>
      </c>
      <c r="BE52" s="168" t="str">
        <f>IF($A52="","",VLOOKUP($A52,기본데이타!$A$8:$BV$103,COLUMN(기본데이타!BH$8),0))</f>
        <v/>
      </c>
      <c r="BF52" s="168" t="str">
        <f>IF($A52="","",VLOOKUP($A52,기본데이타!$A$8:$BV$103,COLUMN(기본데이타!BI$8),0))</f>
        <v/>
      </c>
      <c r="BG52" s="168" t="str">
        <f>IF($A52="","",VLOOKUP($A52,기본데이타!$A$8:$BV$103,COLUMN(기본데이타!BJ$8),0))</f>
        <v/>
      </c>
      <c r="BH52" s="168" t="str">
        <f>IF($A52="","",VLOOKUP($A52,기본데이타!$A$8:$BV$103,COLUMN(기본데이타!BK$8),0))</f>
        <v/>
      </c>
      <c r="BI52" s="168" t="str">
        <f>IF($A52="","",VLOOKUP($A52,기본데이타!$A$8:$BV$103,COLUMN(기본데이타!BL$8),0))</f>
        <v/>
      </c>
      <c r="BJ52" s="168" t="str">
        <f>IF($A52="","",VLOOKUP($A52,기본데이타!$A$8:$BV$103,COLUMN(기본데이타!BM$8),0))</f>
        <v/>
      </c>
      <c r="BK52" s="168" t="str">
        <f>IF($A52="","",VLOOKUP($A52,기본데이타!$A$8:$BV$103,COLUMN(기본데이타!BN$8),0))</f>
        <v/>
      </c>
      <c r="BL52" s="168" t="str">
        <f>IF($A52="","",VLOOKUP($A52,기본데이타!$A$8:$BV$103,COLUMN(기본데이타!BO$8),0))</f>
        <v/>
      </c>
      <c r="BM52" s="168" t="str">
        <f>IF($A52="","",VLOOKUP($A52,기본데이타!$A$8:$BV$103,COLUMN(기본데이타!BP$8),0))</f>
        <v/>
      </c>
      <c r="BN52" s="168" t="str">
        <f>IF($A52="","",VLOOKUP($A52,기본데이타!$A$8:$BV$103,COLUMN(기본데이타!BQ$8),0))</f>
        <v/>
      </c>
      <c r="BO52" s="168" t="str">
        <f>IF($A52="","",VLOOKUP($A52,기본데이타!$A$8:$BV$103,COLUMN(기본데이타!BR$8),0))</f>
        <v/>
      </c>
      <c r="BP52" s="168" t="str">
        <f>IF($A52="","",VLOOKUP($A52,기본데이타!$A$8:$BV$103,COLUMN(기본데이타!BS$8),0))</f>
        <v/>
      </c>
      <c r="BQ52" s="980" t="str">
        <f>IF($A52="","",VLOOKUP($A52,기본데이타!$A$8:$BV$103,COLUMN(기본데이타!BT$8),0))</f>
        <v/>
      </c>
      <c r="BR52" s="984" t="str">
        <f>IF($A52="","",VLOOKUP($A52,기본데이타!$A$8:$BV$103,COLUMN(기본데이타!BU$8),0))</f>
        <v/>
      </c>
      <c r="BS52" s="168" t="str">
        <f>IF($A52="","",VLOOKUP($A52,기본데이타!$A$8:$BV$103,COLUMN(기본데이타!BV$8),0))</f>
        <v/>
      </c>
      <c r="BT52" s="981">
        <f t="shared" si="11"/>
        <v>0</v>
      </c>
      <c r="BU52" s="242"/>
    </row>
    <row r="53" spans="1:73" s="7" customFormat="1" ht="73.5" customHeight="1">
      <c r="A53" s="171"/>
      <c r="B53" s="163"/>
      <c r="C53" s="164" t="str">
        <f>IF($A53="","",VLOOKUP($A53,기본데이타!$A$8:$BV$103,COLUMN(기본데이타!F$8),0))</f>
        <v/>
      </c>
      <c r="D53" s="165" t="str">
        <f>IF($A53="","",VLOOKUP($A53,기본데이타!$A$8:$BV$103,COLUMN(기본데이타!G$8),0))</f>
        <v/>
      </c>
      <c r="E53" s="166" t="str">
        <f>IF($A53="","",VLOOKUP($A53,기본데이타!$A$8:$BV$103,COLUMN(기본데이타!H$8),0))</f>
        <v/>
      </c>
      <c r="F53" s="166" t="str">
        <f>IF($A53="","",VLOOKUP($A53,기본데이타!$A$8:$BV$103,COLUMN(기본데이타!I$8),0))</f>
        <v/>
      </c>
      <c r="G53" s="166" t="str">
        <f>IF($A53="","",VLOOKUP($A53,기본데이타!$A$8:$BV$103,COLUMN(기본데이타!J$8),0))</f>
        <v/>
      </c>
      <c r="H53" s="167" t="str">
        <f>IF($A53="","",VLOOKUP($A53,기본데이타!$A$8:$BV$103,COLUMN(기본데이타!K$8),0))</f>
        <v/>
      </c>
      <c r="I53" s="167" t="str">
        <f>IF($A53="","",VLOOKUP($A53,기본데이타!$A$8:$BV$103,COLUMN(기본데이타!L$8),0))</f>
        <v/>
      </c>
      <c r="J53" s="167" t="str">
        <f>IF($A53="","",VLOOKUP($A53,기본데이타!$A$8:$BV$103,COLUMN(기본데이타!M$8),0))</f>
        <v/>
      </c>
      <c r="K53" s="168" t="str">
        <f>IF($A53="","",VLOOKUP($A53,기본데이타!$A$8:$BV$103,COLUMN(기본데이타!N$8),0))</f>
        <v/>
      </c>
      <c r="L53" s="167" t="str">
        <f>IF($A53="","",VLOOKUP($A53,기본데이타!$A$8:$BV$103,COLUMN(기본데이타!O$8),0))</f>
        <v/>
      </c>
      <c r="M53" s="168" t="str">
        <f>IF($A53="","",VLOOKUP($A53,기본데이타!$A$8:$BV$103,COLUMN(기본데이타!P$8),0))</f>
        <v/>
      </c>
      <c r="N53" s="168" t="str">
        <f>IF($A53="","",VLOOKUP($A53,기본데이타!$A$8:$BV$103,COLUMN(기본데이타!Q$8),0))</f>
        <v/>
      </c>
      <c r="O53" s="168" t="str">
        <f>IF($A53="","",VLOOKUP($A53,기본데이타!$A$8:$BV$103,COLUMN(기본데이타!R$8),0))</f>
        <v/>
      </c>
      <c r="P53" s="168" t="str">
        <f>IF($A53="","",VLOOKUP($A53,기본데이타!$A$8:$BV$103,COLUMN(기본데이타!S$8),0))</f>
        <v/>
      </c>
      <c r="Q53" s="168" t="str">
        <f>IF($A53="","",VLOOKUP($A53,기본데이타!$A$8:$BV$103,COLUMN(기본데이타!T$8),0))</f>
        <v/>
      </c>
      <c r="R53" s="168" t="str">
        <f>IF($A53="","",VLOOKUP($A53,기본데이타!$A$8:$BV$103,COLUMN(기본데이타!U$8),0))</f>
        <v/>
      </c>
      <c r="S53" s="168" t="str">
        <f>IF($A53="","",VLOOKUP($A53,기본데이타!$A$8:$BV$103,COLUMN(기본데이타!V$8),0))</f>
        <v/>
      </c>
      <c r="T53" s="168" t="str">
        <f>IF($A53="","",VLOOKUP($A53,기본데이타!$A$8:$BV$103,COLUMN(기본데이타!W$8),0))</f>
        <v/>
      </c>
      <c r="U53" s="168" t="str">
        <f>IF($A53="","",VLOOKUP($A53,기본데이타!$A$8:$BV$103,COLUMN(기본데이타!X$8),0))</f>
        <v/>
      </c>
      <c r="V53" s="168" t="str">
        <f>IF($A53="","",VLOOKUP($A53,기본데이타!$A$8:$BV$103,COLUMN(기본데이타!Y$8),0))</f>
        <v/>
      </c>
      <c r="W53" s="168" t="str">
        <f>IF($A53="","",VLOOKUP($A53,기본데이타!$A$8:$BV$103,COLUMN(기본데이타!Z$8),0))</f>
        <v/>
      </c>
      <c r="X53" s="168" t="str">
        <f>IF($A53="","",VLOOKUP($A53,기본데이타!$A$8:$BV$103,COLUMN(기본데이타!AA$8),0))</f>
        <v/>
      </c>
      <c r="Y53" s="168" t="str">
        <f>IF($A53="","",VLOOKUP($A53,기본데이타!$A$8:$BV$103,COLUMN(기본데이타!AB$8),0))</f>
        <v/>
      </c>
      <c r="Z53" s="167" t="str">
        <f>IF($A53="","",VLOOKUP($A53,기본데이타!$A$8:$BV$103,COLUMN(기본데이타!AC$8),0))</f>
        <v/>
      </c>
      <c r="AA53" s="168" t="str">
        <f>IF($A53="","",VLOOKUP($A53,기본데이타!$A$8:$BV$103,COLUMN(기본데이타!AD$8),0))</f>
        <v/>
      </c>
      <c r="AB53" s="167" t="str">
        <f>IF($A53="","",VLOOKUP($A53,기본데이타!$A$8:$BV$103,COLUMN(기본데이타!AE$8),0))</f>
        <v/>
      </c>
      <c r="AC53" s="168" t="str">
        <f>IF($A53="","",VLOOKUP($A53,기본데이타!$A$8:$BV$103,COLUMN(기본데이타!AF$8),0))</f>
        <v/>
      </c>
      <c r="AD53" s="167" t="str">
        <f>IF($A53="","",VLOOKUP($A53,기본데이타!$A$8:$BV$103,COLUMN(기본데이타!AG$8),0))</f>
        <v/>
      </c>
      <c r="AE53" s="168" t="str">
        <f>IF($A53="","",VLOOKUP($A53,기본데이타!$A$8:$BV$103,COLUMN(기본데이타!AH$8),0))</f>
        <v/>
      </c>
      <c r="AF53" s="167" t="str">
        <f>IF($A53="","",VLOOKUP($A53,기본데이타!$A$8:$BV$103,COLUMN(기본데이타!AI$8),0))</f>
        <v/>
      </c>
      <c r="AG53" s="169" t="str">
        <f>IF($A53="","",VLOOKUP($A53,기본데이타!$A$8:$BV$103,COLUMN(기본데이타!AJ$8),0))</f>
        <v/>
      </c>
      <c r="AH53" s="364" t="str">
        <f>IF($A53="","",VLOOKUP($A53,기본데이타!$A$8:$BV$103,COLUMN(기본데이타!AK$8),0))</f>
        <v/>
      </c>
      <c r="AI53" s="364" t="str">
        <f>IF($A53="","",VLOOKUP($A53,기본데이타!$A$8:$BV$103,COLUMN(기본데이타!AL$8),0))</f>
        <v/>
      </c>
      <c r="AJ53" s="364" t="str">
        <f>IF($A53="","",VLOOKUP($A53,기본데이타!$A$8:$BV$103,COLUMN(기본데이타!AM$8),0))</f>
        <v/>
      </c>
      <c r="AK53" s="364" t="str">
        <f>IF($A53="","",VLOOKUP($A53,기본데이타!$A$8:$BV$103,COLUMN(기본데이타!AN$8),0))</f>
        <v/>
      </c>
      <c r="AL53" s="364" t="str">
        <f>IF($A53="","",VLOOKUP($A53,기본데이타!$A$8:$BV$103,COLUMN(기본데이타!AO$8),0))</f>
        <v/>
      </c>
      <c r="AM53" s="364" t="str">
        <f>IF($A53="","",VLOOKUP($A53,기본데이타!$A$8:$BV$103,COLUMN(기본데이타!AP$8),0))</f>
        <v/>
      </c>
      <c r="AN53" s="364" t="str">
        <f>IF($A53="","",VLOOKUP($A53,기본데이타!$A$8:$BV$103,COLUMN(기본데이타!AQ$8),0))</f>
        <v/>
      </c>
      <c r="AO53" s="364" t="str">
        <f>IF($A53="","",VLOOKUP($A53,기본데이타!$A$8:$BV$103,COLUMN(기본데이타!AR$8),0))</f>
        <v/>
      </c>
      <c r="AP53" s="364" t="str">
        <f>IF($A53="","",VLOOKUP($A53,기본데이타!$A$8:$BV$103,COLUMN(기본데이타!AS$8),0))</f>
        <v/>
      </c>
      <c r="AQ53" s="364" t="str">
        <f>IF($A53="","",VLOOKUP($A53,기본데이타!$A$8:$BV$103,COLUMN(기본데이타!AT$8),0))</f>
        <v/>
      </c>
      <c r="AR53" s="364" t="str">
        <f>IF($A53="","",VLOOKUP($A53,기본데이타!$A$8:$BV$103,COLUMN(기본데이타!AU$8),0))</f>
        <v/>
      </c>
      <c r="AS53" s="364" t="str">
        <f>IF($A53="","",VLOOKUP($A53,기본데이타!$A$8:$BV$103,COLUMN(기본데이타!AV$8),0))</f>
        <v/>
      </c>
      <c r="AT53" s="358" t="str">
        <f>IF($A53="","",VLOOKUP($A53,기본데이타!$A$8:$BV$103,COLUMN(기본데이타!AW$8),0))</f>
        <v/>
      </c>
      <c r="AU53" s="358" t="str">
        <f>IF($A53="","",VLOOKUP($A53,기본데이타!$A$8:$BV$103,COLUMN(기본데이타!AX$8),0))</f>
        <v/>
      </c>
      <c r="AV53" s="358" t="str">
        <f>IF($A53="","",VLOOKUP($A53,기본데이타!$A$8:$BV$103,COLUMN(기본데이타!AY$8),0))</f>
        <v/>
      </c>
      <c r="AW53" s="358" t="str">
        <f t="shared" si="10"/>
        <v/>
      </c>
      <c r="AX53" s="168" t="str">
        <f>IF($A53="","",VLOOKUP($A53,기본데이타!$A$8:$BV$103,COLUMN(기본데이타!BA$8),0))</f>
        <v/>
      </c>
      <c r="AY53" s="168" t="str">
        <f>IF($A53="","",VLOOKUP($A53,기본데이타!$A$8:$BV$103,COLUMN(기본데이타!BB$8),0))</f>
        <v/>
      </c>
      <c r="AZ53" s="168" t="str">
        <f>IF($A53="","",VLOOKUP($A53,기본데이타!$A$8:$BV$103,COLUMN(기본데이타!BC$8),0))</f>
        <v/>
      </c>
      <c r="BA53" s="168" t="str">
        <f>IF($A53="","",VLOOKUP($A53,기본데이타!$A$8:$BV$103,COLUMN(기본데이타!BD$8),0))</f>
        <v/>
      </c>
      <c r="BB53" s="168" t="str">
        <f>IF($A53="","",VLOOKUP($A53,기본데이타!$A$8:$BV$103,COLUMN(기본데이타!BE$8),0))</f>
        <v/>
      </c>
      <c r="BC53" s="168" t="str">
        <f>IF($A53="","",VLOOKUP($A53,기본데이타!$A$8:$BV$103,COLUMN(기본데이타!BF$8),0))</f>
        <v/>
      </c>
      <c r="BD53" s="168" t="str">
        <f>IF($A53="","",VLOOKUP($A53,기본데이타!$A$8:$BV$103,COLUMN(기본데이타!BG$8),0))</f>
        <v/>
      </c>
      <c r="BE53" s="168" t="str">
        <f>IF($A53="","",VLOOKUP($A53,기본데이타!$A$8:$BV$103,COLUMN(기본데이타!BH$8),0))</f>
        <v/>
      </c>
      <c r="BF53" s="168" t="str">
        <f>IF($A53="","",VLOOKUP($A53,기본데이타!$A$8:$BV$103,COLUMN(기본데이타!BI$8),0))</f>
        <v/>
      </c>
      <c r="BG53" s="168" t="str">
        <f>IF($A53="","",VLOOKUP($A53,기본데이타!$A$8:$BV$103,COLUMN(기본데이타!BJ$8),0))</f>
        <v/>
      </c>
      <c r="BH53" s="168" t="str">
        <f>IF($A53="","",VLOOKUP($A53,기본데이타!$A$8:$BV$103,COLUMN(기본데이타!BK$8),0))</f>
        <v/>
      </c>
      <c r="BI53" s="168" t="str">
        <f>IF($A53="","",VLOOKUP($A53,기본데이타!$A$8:$BV$103,COLUMN(기본데이타!BL$8),0))</f>
        <v/>
      </c>
      <c r="BJ53" s="168" t="str">
        <f>IF($A53="","",VLOOKUP($A53,기본데이타!$A$8:$BV$103,COLUMN(기본데이타!BM$8),0))</f>
        <v/>
      </c>
      <c r="BK53" s="168" t="str">
        <f>IF($A53="","",VLOOKUP($A53,기본데이타!$A$8:$BV$103,COLUMN(기본데이타!BN$8),0))</f>
        <v/>
      </c>
      <c r="BL53" s="168" t="str">
        <f>IF($A53="","",VLOOKUP($A53,기본데이타!$A$8:$BV$103,COLUMN(기본데이타!BO$8),0))</f>
        <v/>
      </c>
      <c r="BM53" s="168" t="str">
        <f>IF($A53="","",VLOOKUP($A53,기본데이타!$A$8:$BV$103,COLUMN(기본데이타!BP$8),0))</f>
        <v/>
      </c>
      <c r="BN53" s="168" t="str">
        <f>IF($A53="","",VLOOKUP($A53,기본데이타!$A$8:$BV$103,COLUMN(기본데이타!BQ$8),0))</f>
        <v/>
      </c>
      <c r="BO53" s="168" t="str">
        <f>IF($A53="","",VLOOKUP($A53,기본데이타!$A$8:$BV$103,COLUMN(기본데이타!BR$8),0))</f>
        <v/>
      </c>
      <c r="BP53" s="168" t="str">
        <f>IF($A53="","",VLOOKUP($A53,기본데이타!$A$8:$BV$103,COLUMN(기본데이타!BS$8),0))</f>
        <v/>
      </c>
      <c r="BQ53" s="980" t="str">
        <f>IF($A53="","",VLOOKUP($A53,기본데이타!$A$8:$BV$103,COLUMN(기본데이타!BT$8),0))</f>
        <v/>
      </c>
      <c r="BR53" s="984" t="str">
        <f>IF($A53="","",VLOOKUP($A53,기본데이타!$A$8:$BV$103,COLUMN(기본데이타!BU$8),0))</f>
        <v/>
      </c>
      <c r="BS53" s="168" t="str">
        <f>IF($A53="","",VLOOKUP($A53,기본데이타!$A$8:$BV$103,COLUMN(기본데이타!BV$8),0))</f>
        <v/>
      </c>
      <c r="BT53" s="981">
        <f t="shared" si="11"/>
        <v>0</v>
      </c>
      <c r="BU53" s="242"/>
    </row>
    <row r="54" spans="1:73" s="7" customFormat="1" ht="73.5" customHeight="1">
      <c r="A54" s="171"/>
      <c r="B54" s="163"/>
      <c r="C54" s="164" t="str">
        <f>IF($A54="","",VLOOKUP($A54,기본데이타!$A$8:$BV$103,COLUMN(기본데이타!F$8),0))</f>
        <v/>
      </c>
      <c r="D54" s="165" t="str">
        <f>IF($A54="","",VLOOKUP($A54,기본데이타!$A$8:$BV$103,COLUMN(기본데이타!G$8),0))</f>
        <v/>
      </c>
      <c r="E54" s="166" t="str">
        <f>IF($A54="","",VLOOKUP($A54,기본데이타!$A$8:$BV$103,COLUMN(기본데이타!H$8),0))</f>
        <v/>
      </c>
      <c r="F54" s="166" t="str">
        <f>IF($A54="","",VLOOKUP($A54,기본데이타!$A$8:$BV$103,COLUMN(기본데이타!I$8),0))</f>
        <v/>
      </c>
      <c r="G54" s="166" t="str">
        <f>IF($A54="","",VLOOKUP($A54,기본데이타!$A$8:$BV$103,COLUMN(기본데이타!J$8),0))</f>
        <v/>
      </c>
      <c r="H54" s="167" t="str">
        <f>IF($A54="","",VLOOKUP($A54,기본데이타!$A$8:$BV$103,COLUMN(기본데이타!K$8),0))</f>
        <v/>
      </c>
      <c r="I54" s="167" t="str">
        <f>IF($A54="","",VLOOKUP($A54,기본데이타!$A$8:$BV$103,COLUMN(기본데이타!L$8),0))</f>
        <v/>
      </c>
      <c r="J54" s="167" t="str">
        <f>IF($A54="","",VLOOKUP($A54,기본데이타!$A$8:$BV$103,COLUMN(기본데이타!M$8),0))</f>
        <v/>
      </c>
      <c r="K54" s="168" t="str">
        <f>IF($A54="","",VLOOKUP($A54,기본데이타!$A$8:$BV$103,COLUMN(기본데이타!N$8),0))</f>
        <v/>
      </c>
      <c r="L54" s="167" t="str">
        <f>IF($A54="","",VLOOKUP($A54,기본데이타!$A$8:$BV$103,COLUMN(기본데이타!O$8),0))</f>
        <v/>
      </c>
      <c r="M54" s="168" t="str">
        <f>IF($A54="","",VLOOKUP($A54,기본데이타!$A$8:$BV$103,COLUMN(기본데이타!P$8),0))</f>
        <v/>
      </c>
      <c r="N54" s="168" t="str">
        <f>IF($A54="","",VLOOKUP($A54,기본데이타!$A$8:$BV$103,COLUMN(기본데이타!Q$8),0))</f>
        <v/>
      </c>
      <c r="O54" s="168" t="str">
        <f>IF($A54="","",VLOOKUP($A54,기본데이타!$A$8:$BV$103,COLUMN(기본데이타!R$8),0))</f>
        <v/>
      </c>
      <c r="P54" s="168" t="str">
        <f>IF($A54="","",VLOOKUP($A54,기본데이타!$A$8:$BV$103,COLUMN(기본데이타!S$8),0))</f>
        <v/>
      </c>
      <c r="Q54" s="168" t="str">
        <f>IF($A54="","",VLOOKUP($A54,기본데이타!$A$8:$BV$103,COLUMN(기본데이타!T$8),0))</f>
        <v/>
      </c>
      <c r="R54" s="168" t="str">
        <f>IF($A54="","",VLOOKUP($A54,기본데이타!$A$8:$BV$103,COLUMN(기본데이타!U$8),0))</f>
        <v/>
      </c>
      <c r="S54" s="168" t="str">
        <f>IF($A54="","",VLOOKUP($A54,기본데이타!$A$8:$BV$103,COLUMN(기본데이타!V$8),0))</f>
        <v/>
      </c>
      <c r="T54" s="168" t="str">
        <f>IF($A54="","",VLOOKUP($A54,기본데이타!$A$8:$BV$103,COLUMN(기본데이타!W$8),0))</f>
        <v/>
      </c>
      <c r="U54" s="168" t="str">
        <f>IF($A54="","",VLOOKUP($A54,기본데이타!$A$8:$BV$103,COLUMN(기본데이타!X$8),0))</f>
        <v/>
      </c>
      <c r="V54" s="168" t="str">
        <f>IF($A54="","",VLOOKUP($A54,기본데이타!$A$8:$BV$103,COLUMN(기본데이타!Y$8),0))</f>
        <v/>
      </c>
      <c r="W54" s="168" t="str">
        <f>IF($A54="","",VLOOKUP($A54,기본데이타!$A$8:$BV$103,COLUMN(기본데이타!Z$8),0))</f>
        <v/>
      </c>
      <c r="X54" s="168" t="str">
        <f>IF($A54="","",VLOOKUP($A54,기본데이타!$A$8:$BV$103,COLUMN(기본데이타!AA$8),0))</f>
        <v/>
      </c>
      <c r="Y54" s="168" t="str">
        <f>IF($A54="","",VLOOKUP($A54,기본데이타!$A$8:$BV$103,COLUMN(기본데이타!AB$8),0))</f>
        <v/>
      </c>
      <c r="Z54" s="167" t="str">
        <f>IF($A54="","",VLOOKUP($A54,기본데이타!$A$8:$BV$103,COLUMN(기본데이타!AC$8),0))</f>
        <v/>
      </c>
      <c r="AA54" s="168" t="str">
        <f>IF($A54="","",VLOOKUP($A54,기본데이타!$A$8:$BV$103,COLUMN(기본데이타!AD$8),0))</f>
        <v/>
      </c>
      <c r="AB54" s="167" t="str">
        <f>IF($A54="","",VLOOKUP($A54,기본데이타!$A$8:$BV$103,COLUMN(기본데이타!AE$8),0))</f>
        <v/>
      </c>
      <c r="AC54" s="168" t="str">
        <f>IF($A54="","",VLOOKUP($A54,기본데이타!$A$8:$BV$103,COLUMN(기본데이타!AF$8),0))</f>
        <v/>
      </c>
      <c r="AD54" s="167" t="str">
        <f>IF($A54="","",VLOOKUP($A54,기본데이타!$A$8:$BV$103,COLUMN(기본데이타!AG$8),0))</f>
        <v/>
      </c>
      <c r="AE54" s="168" t="str">
        <f>IF($A54="","",VLOOKUP($A54,기본데이타!$A$8:$BV$103,COLUMN(기본데이타!AH$8),0))</f>
        <v/>
      </c>
      <c r="AF54" s="167" t="str">
        <f>IF($A54="","",VLOOKUP($A54,기본데이타!$A$8:$BV$103,COLUMN(기본데이타!AI$8),0))</f>
        <v/>
      </c>
      <c r="AG54" s="169" t="str">
        <f>IF($A54="","",VLOOKUP($A54,기본데이타!$A$8:$BV$103,COLUMN(기본데이타!AJ$8),0))</f>
        <v/>
      </c>
      <c r="AH54" s="364" t="str">
        <f>IF($A54="","",VLOOKUP($A54,기본데이타!$A$8:$BV$103,COLUMN(기본데이타!AK$8),0))</f>
        <v/>
      </c>
      <c r="AI54" s="364" t="str">
        <f>IF($A54="","",VLOOKUP($A54,기본데이타!$A$8:$BV$103,COLUMN(기본데이타!AL$8),0))</f>
        <v/>
      </c>
      <c r="AJ54" s="364" t="str">
        <f>IF($A54="","",VLOOKUP($A54,기본데이타!$A$8:$BV$103,COLUMN(기본데이타!AM$8),0))</f>
        <v/>
      </c>
      <c r="AK54" s="364" t="str">
        <f>IF($A54="","",VLOOKUP($A54,기본데이타!$A$8:$BV$103,COLUMN(기본데이타!AN$8),0))</f>
        <v/>
      </c>
      <c r="AL54" s="364" t="str">
        <f>IF($A54="","",VLOOKUP($A54,기본데이타!$A$8:$BV$103,COLUMN(기본데이타!AO$8),0))</f>
        <v/>
      </c>
      <c r="AM54" s="364" t="str">
        <f>IF($A54="","",VLOOKUP($A54,기본데이타!$A$8:$BV$103,COLUMN(기본데이타!AP$8),0))</f>
        <v/>
      </c>
      <c r="AN54" s="364" t="str">
        <f>IF($A54="","",VLOOKUP($A54,기본데이타!$A$8:$BV$103,COLUMN(기본데이타!AQ$8),0))</f>
        <v/>
      </c>
      <c r="AO54" s="364" t="str">
        <f>IF($A54="","",VLOOKUP($A54,기본데이타!$A$8:$BV$103,COLUMN(기본데이타!AR$8),0))</f>
        <v/>
      </c>
      <c r="AP54" s="364" t="str">
        <f>IF($A54="","",VLOOKUP($A54,기본데이타!$A$8:$BV$103,COLUMN(기본데이타!AS$8),0))</f>
        <v/>
      </c>
      <c r="AQ54" s="364" t="str">
        <f>IF($A54="","",VLOOKUP($A54,기본데이타!$A$8:$BV$103,COLUMN(기본데이타!AT$8),0))</f>
        <v/>
      </c>
      <c r="AR54" s="364" t="str">
        <f>IF($A54="","",VLOOKUP($A54,기본데이타!$A$8:$BV$103,COLUMN(기본데이타!AU$8),0))</f>
        <v/>
      </c>
      <c r="AS54" s="364" t="str">
        <f>IF($A54="","",VLOOKUP($A54,기본데이타!$A$8:$BV$103,COLUMN(기본데이타!AV$8),0))</f>
        <v/>
      </c>
      <c r="AT54" s="358" t="str">
        <f>IF($A54="","",VLOOKUP($A54,기본데이타!$A$8:$BV$103,COLUMN(기본데이타!AW$8),0))</f>
        <v/>
      </c>
      <c r="AU54" s="358" t="str">
        <f>IF($A54="","",VLOOKUP($A54,기본데이타!$A$8:$BV$103,COLUMN(기본데이타!AX$8),0))</f>
        <v/>
      </c>
      <c r="AV54" s="358" t="str">
        <f>IF($A54="","",VLOOKUP($A54,기본데이타!$A$8:$BV$103,COLUMN(기본데이타!AY$8),0))</f>
        <v/>
      </c>
      <c r="AW54" s="358" t="str">
        <f t="shared" si="10"/>
        <v/>
      </c>
      <c r="AX54" s="168" t="str">
        <f>IF($A54="","",VLOOKUP($A54,기본데이타!$A$8:$BV$103,COLUMN(기본데이타!BA$8),0))</f>
        <v/>
      </c>
      <c r="AY54" s="168" t="str">
        <f>IF($A54="","",VLOOKUP($A54,기본데이타!$A$8:$BV$103,COLUMN(기본데이타!BB$8),0))</f>
        <v/>
      </c>
      <c r="AZ54" s="168" t="str">
        <f>IF($A54="","",VLOOKUP($A54,기본데이타!$A$8:$BV$103,COLUMN(기본데이타!BC$8),0))</f>
        <v/>
      </c>
      <c r="BA54" s="168" t="str">
        <f>IF($A54="","",VLOOKUP($A54,기본데이타!$A$8:$BV$103,COLUMN(기본데이타!BD$8),0))</f>
        <v/>
      </c>
      <c r="BB54" s="168" t="str">
        <f>IF($A54="","",VLOOKUP($A54,기본데이타!$A$8:$BV$103,COLUMN(기본데이타!BE$8),0))</f>
        <v/>
      </c>
      <c r="BC54" s="168" t="str">
        <f>IF($A54="","",VLOOKUP($A54,기본데이타!$A$8:$BV$103,COLUMN(기본데이타!BF$8),0))</f>
        <v/>
      </c>
      <c r="BD54" s="168" t="str">
        <f>IF($A54="","",VLOOKUP($A54,기본데이타!$A$8:$BV$103,COLUMN(기본데이타!BG$8),0))</f>
        <v/>
      </c>
      <c r="BE54" s="168" t="str">
        <f>IF($A54="","",VLOOKUP($A54,기본데이타!$A$8:$BV$103,COLUMN(기본데이타!BH$8),0))</f>
        <v/>
      </c>
      <c r="BF54" s="168" t="str">
        <f>IF($A54="","",VLOOKUP($A54,기본데이타!$A$8:$BV$103,COLUMN(기본데이타!BI$8),0))</f>
        <v/>
      </c>
      <c r="BG54" s="168" t="str">
        <f>IF($A54="","",VLOOKUP($A54,기본데이타!$A$8:$BV$103,COLUMN(기본데이타!BJ$8),0))</f>
        <v/>
      </c>
      <c r="BH54" s="168" t="str">
        <f>IF($A54="","",VLOOKUP($A54,기본데이타!$A$8:$BV$103,COLUMN(기본데이타!BK$8),0))</f>
        <v/>
      </c>
      <c r="BI54" s="168" t="str">
        <f>IF($A54="","",VLOOKUP($A54,기본데이타!$A$8:$BV$103,COLUMN(기본데이타!BL$8),0))</f>
        <v/>
      </c>
      <c r="BJ54" s="168" t="str">
        <f>IF($A54="","",VLOOKUP($A54,기본데이타!$A$8:$BV$103,COLUMN(기본데이타!BM$8),0))</f>
        <v/>
      </c>
      <c r="BK54" s="168" t="str">
        <f>IF($A54="","",VLOOKUP($A54,기본데이타!$A$8:$BV$103,COLUMN(기본데이타!BN$8),0))</f>
        <v/>
      </c>
      <c r="BL54" s="168" t="str">
        <f>IF($A54="","",VLOOKUP($A54,기본데이타!$A$8:$BV$103,COLUMN(기본데이타!BO$8),0))</f>
        <v/>
      </c>
      <c r="BM54" s="168" t="str">
        <f>IF($A54="","",VLOOKUP($A54,기본데이타!$A$8:$BV$103,COLUMN(기본데이타!BP$8),0))</f>
        <v/>
      </c>
      <c r="BN54" s="168" t="str">
        <f>IF($A54="","",VLOOKUP($A54,기본데이타!$A$8:$BV$103,COLUMN(기본데이타!BQ$8),0))</f>
        <v/>
      </c>
      <c r="BO54" s="168" t="str">
        <f>IF($A54="","",VLOOKUP($A54,기본데이타!$A$8:$BV$103,COLUMN(기본데이타!BR$8),0))</f>
        <v/>
      </c>
      <c r="BP54" s="168" t="str">
        <f>IF($A54="","",VLOOKUP($A54,기본데이타!$A$8:$BV$103,COLUMN(기본데이타!BS$8),0))</f>
        <v/>
      </c>
      <c r="BQ54" s="980" t="str">
        <f>IF($A54="","",VLOOKUP($A54,기본데이타!$A$8:$BV$103,COLUMN(기본데이타!BT$8),0))</f>
        <v/>
      </c>
      <c r="BR54" s="984" t="str">
        <f>IF($A54="","",VLOOKUP($A54,기본데이타!$A$8:$BV$103,COLUMN(기본데이타!BU$8),0))</f>
        <v/>
      </c>
      <c r="BS54" s="168" t="str">
        <f>IF($A54="","",VLOOKUP($A54,기본데이타!$A$8:$BV$103,COLUMN(기본데이타!BV$8),0))</f>
        <v/>
      </c>
      <c r="BT54" s="981">
        <f t="shared" si="11"/>
        <v>0</v>
      </c>
      <c r="BU54" s="242"/>
    </row>
    <row r="55" spans="1:73" s="7" customFormat="1" ht="73.5" customHeight="1">
      <c r="A55" s="171"/>
      <c r="B55" s="163"/>
      <c r="C55" s="164" t="str">
        <f>IF($A55="","",VLOOKUP($A55,기본데이타!$A$8:$BV$103,COLUMN(기본데이타!F$8),0))</f>
        <v/>
      </c>
      <c r="D55" s="165" t="str">
        <f>IF($A55="","",VLOOKUP($A55,기본데이타!$A$8:$BV$103,COLUMN(기본데이타!G$8),0))</f>
        <v/>
      </c>
      <c r="E55" s="166" t="str">
        <f>IF($A55="","",VLOOKUP($A55,기본데이타!$A$8:$BV$103,COLUMN(기본데이타!H$8),0))</f>
        <v/>
      </c>
      <c r="F55" s="166" t="str">
        <f>IF($A55="","",VLOOKUP($A55,기본데이타!$A$8:$BV$103,COLUMN(기본데이타!I$8),0))</f>
        <v/>
      </c>
      <c r="G55" s="166" t="str">
        <f>IF($A55="","",VLOOKUP($A55,기본데이타!$A$8:$BV$103,COLUMN(기본데이타!J$8),0))</f>
        <v/>
      </c>
      <c r="H55" s="167" t="str">
        <f>IF($A55="","",VLOOKUP($A55,기본데이타!$A$8:$BV$103,COLUMN(기본데이타!K$8),0))</f>
        <v/>
      </c>
      <c r="I55" s="167" t="str">
        <f>IF($A55="","",VLOOKUP($A55,기본데이타!$A$8:$BV$103,COLUMN(기본데이타!L$8),0))</f>
        <v/>
      </c>
      <c r="J55" s="167" t="str">
        <f>IF($A55="","",VLOOKUP($A55,기본데이타!$A$8:$BV$103,COLUMN(기본데이타!M$8),0))</f>
        <v/>
      </c>
      <c r="K55" s="168" t="str">
        <f>IF($A55="","",VLOOKUP($A55,기본데이타!$A$8:$BV$103,COLUMN(기본데이타!N$8),0))</f>
        <v/>
      </c>
      <c r="L55" s="167" t="str">
        <f>IF($A55="","",VLOOKUP($A55,기본데이타!$A$8:$BV$103,COLUMN(기본데이타!O$8),0))</f>
        <v/>
      </c>
      <c r="M55" s="168" t="str">
        <f>IF($A55="","",VLOOKUP($A55,기본데이타!$A$8:$BV$103,COLUMN(기본데이타!P$8),0))</f>
        <v/>
      </c>
      <c r="N55" s="168" t="str">
        <f>IF($A55="","",VLOOKUP($A55,기본데이타!$A$8:$BV$103,COLUMN(기본데이타!Q$8),0))</f>
        <v/>
      </c>
      <c r="O55" s="168" t="str">
        <f>IF($A55="","",VLOOKUP($A55,기본데이타!$A$8:$BV$103,COLUMN(기본데이타!R$8),0))</f>
        <v/>
      </c>
      <c r="P55" s="168" t="str">
        <f>IF($A55="","",VLOOKUP($A55,기본데이타!$A$8:$BV$103,COLUMN(기본데이타!S$8),0))</f>
        <v/>
      </c>
      <c r="Q55" s="168" t="str">
        <f>IF($A55="","",VLOOKUP($A55,기본데이타!$A$8:$BV$103,COLUMN(기본데이타!T$8),0))</f>
        <v/>
      </c>
      <c r="R55" s="168" t="str">
        <f>IF($A55="","",VLOOKUP($A55,기본데이타!$A$8:$BV$103,COLUMN(기본데이타!U$8),0))</f>
        <v/>
      </c>
      <c r="S55" s="168" t="str">
        <f>IF($A55="","",VLOOKUP($A55,기본데이타!$A$8:$BV$103,COLUMN(기본데이타!V$8),0))</f>
        <v/>
      </c>
      <c r="T55" s="168" t="str">
        <f>IF($A55="","",VLOOKUP($A55,기본데이타!$A$8:$BV$103,COLUMN(기본데이타!W$8),0))</f>
        <v/>
      </c>
      <c r="U55" s="168" t="str">
        <f>IF($A55="","",VLOOKUP($A55,기본데이타!$A$8:$BV$103,COLUMN(기본데이타!X$8),0))</f>
        <v/>
      </c>
      <c r="V55" s="168" t="str">
        <f>IF($A55="","",VLOOKUP($A55,기본데이타!$A$8:$BV$103,COLUMN(기본데이타!Y$8),0))</f>
        <v/>
      </c>
      <c r="W55" s="168" t="str">
        <f>IF($A55="","",VLOOKUP($A55,기본데이타!$A$8:$BV$103,COLUMN(기본데이타!Z$8),0))</f>
        <v/>
      </c>
      <c r="X55" s="168" t="str">
        <f>IF($A55="","",VLOOKUP($A55,기본데이타!$A$8:$BV$103,COLUMN(기본데이타!AA$8),0))</f>
        <v/>
      </c>
      <c r="Y55" s="168" t="str">
        <f>IF($A55="","",VLOOKUP($A55,기본데이타!$A$8:$BV$103,COLUMN(기본데이타!AB$8),0))</f>
        <v/>
      </c>
      <c r="Z55" s="167" t="str">
        <f>IF($A55="","",VLOOKUP($A55,기본데이타!$A$8:$BV$103,COLUMN(기본데이타!AC$8),0))</f>
        <v/>
      </c>
      <c r="AA55" s="168" t="str">
        <f>IF($A55="","",VLOOKUP($A55,기본데이타!$A$8:$BV$103,COLUMN(기본데이타!AD$8),0))</f>
        <v/>
      </c>
      <c r="AB55" s="167" t="str">
        <f>IF($A55="","",VLOOKUP($A55,기본데이타!$A$8:$BV$103,COLUMN(기본데이타!AE$8),0))</f>
        <v/>
      </c>
      <c r="AC55" s="168" t="str">
        <f>IF($A55="","",VLOOKUP($A55,기본데이타!$A$8:$BV$103,COLUMN(기본데이타!AF$8),0))</f>
        <v/>
      </c>
      <c r="AD55" s="167" t="str">
        <f>IF($A55="","",VLOOKUP($A55,기본데이타!$A$8:$BV$103,COLUMN(기본데이타!AG$8),0))</f>
        <v/>
      </c>
      <c r="AE55" s="168" t="str">
        <f>IF($A55="","",VLOOKUP($A55,기본데이타!$A$8:$BV$103,COLUMN(기본데이타!AH$8),0))</f>
        <v/>
      </c>
      <c r="AF55" s="167" t="str">
        <f>IF($A55="","",VLOOKUP($A55,기본데이타!$A$8:$BV$103,COLUMN(기본데이타!AI$8),0))</f>
        <v/>
      </c>
      <c r="AG55" s="169" t="str">
        <f>IF($A55="","",VLOOKUP($A55,기본데이타!$A$8:$BV$103,COLUMN(기본데이타!AJ$8),0))</f>
        <v/>
      </c>
      <c r="AH55" s="364" t="str">
        <f>IF($A55="","",VLOOKUP($A55,기본데이타!$A$8:$BV$103,COLUMN(기본데이타!AK$8),0))</f>
        <v/>
      </c>
      <c r="AI55" s="364" t="str">
        <f>IF($A55="","",VLOOKUP($A55,기본데이타!$A$8:$BV$103,COLUMN(기본데이타!AL$8),0))</f>
        <v/>
      </c>
      <c r="AJ55" s="364" t="str">
        <f>IF($A55="","",VLOOKUP($A55,기본데이타!$A$8:$BV$103,COLUMN(기본데이타!AM$8),0))</f>
        <v/>
      </c>
      <c r="AK55" s="364" t="str">
        <f>IF($A55="","",VLOOKUP($A55,기본데이타!$A$8:$BV$103,COLUMN(기본데이타!AN$8),0))</f>
        <v/>
      </c>
      <c r="AL55" s="364" t="str">
        <f>IF($A55="","",VLOOKUP($A55,기본데이타!$A$8:$BV$103,COLUMN(기본데이타!AO$8),0))</f>
        <v/>
      </c>
      <c r="AM55" s="364" t="str">
        <f>IF($A55="","",VLOOKUP($A55,기본데이타!$A$8:$BV$103,COLUMN(기본데이타!AP$8),0))</f>
        <v/>
      </c>
      <c r="AN55" s="364" t="str">
        <f>IF($A55="","",VLOOKUP($A55,기본데이타!$A$8:$BV$103,COLUMN(기본데이타!AQ$8),0))</f>
        <v/>
      </c>
      <c r="AO55" s="364" t="str">
        <f>IF($A55="","",VLOOKUP($A55,기본데이타!$A$8:$BV$103,COLUMN(기본데이타!AR$8),0))</f>
        <v/>
      </c>
      <c r="AP55" s="364" t="str">
        <f>IF($A55="","",VLOOKUP($A55,기본데이타!$A$8:$BV$103,COLUMN(기본데이타!AS$8),0))</f>
        <v/>
      </c>
      <c r="AQ55" s="364" t="str">
        <f>IF($A55="","",VLOOKUP($A55,기본데이타!$A$8:$BV$103,COLUMN(기본데이타!AT$8),0))</f>
        <v/>
      </c>
      <c r="AR55" s="364" t="str">
        <f>IF($A55="","",VLOOKUP($A55,기본데이타!$A$8:$BV$103,COLUMN(기본데이타!AU$8),0))</f>
        <v/>
      </c>
      <c r="AS55" s="364" t="str">
        <f>IF($A55="","",VLOOKUP($A55,기본데이타!$A$8:$BV$103,COLUMN(기본데이타!AV$8),0))</f>
        <v/>
      </c>
      <c r="AT55" s="358" t="str">
        <f>IF($A55="","",VLOOKUP($A55,기본데이타!$A$8:$BV$103,COLUMN(기본데이타!AW$8),0))</f>
        <v/>
      </c>
      <c r="AU55" s="358" t="str">
        <f>IF($A55="","",VLOOKUP($A55,기본데이타!$A$8:$BV$103,COLUMN(기본데이타!AX$8),0))</f>
        <v/>
      </c>
      <c r="AV55" s="358" t="str">
        <f>IF($A55="","",VLOOKUP($A55,기본데이타!$A$8:$BV$103,COLUMN(기본데이타!AY$8),0))</f>
        <v/>
      </c>
      <c r="AW55" s="358" t="str">
        <f t="shared" si="10"/>
        <v/>
      </c>
      <c r="AX55" s="168" t="str">
        <f>IF($A55="","",VLOOKUP($A55,기본데이타!$A$8:$BV$103,COLUMN(기본데이타!BA$8),0))</f>
        <v/>
      </c>
      <c r="AY55" s="168" t="str">
        <f>IF($A55="","",VLOOKUP($A55,기본데이타!$A$8:$BV$103,COLUMN(기본데이타!BB$8),0))</f>
        <v/>
      </c>
      <c r="AZ55" s="168" t="str">
        <f>IF($A55="","",VLOOKUP($A55,기본데이타!$A$8:$BV$103,COLUMN(기본데이타!BC$8),0))</f>
        <v/>
      </c>
      <c r="BA55" s="168" t="str">
        <f>IF($A55="","",VLOOKUP($A55,기본데이타!$A$8:$BV$103,COLUMN(기본데이타!BD$8),0))</f>
        <v/>
      </c>
      <c r="BB55" s="168" t="str">
        <f>IF($A55="","",VLOOKUP($A55,기본데이타!$A$8:$BV$103,COLUMN(기본데이타!BE$8),0))</f>
        <v/>
      </c>
      <c r="BC55" s="168" t="str">
        <f>IF($A55="","",VLOOKUP($A55,기본데이타!$A$8:$BV$103,COLUMN(기본데이타!BF$8),0))</f>
        <v/>
      </c>
      <c r="BD55" s="168" t="str">
        <f>IF($A55="","",VLOOKUP($A55,기본데이타!$A$8:$BV$103,COLUMN(기본데이타!BG$8),0))</f>
        <v/>
      </c>
      <c r="BE55" s="168" t="str">
        <f>IF($A55="","",VLOOKUP($A55,기본데이타!$A$8:$BV$103,COLUMN(기본데이타!BH$8),0))</f>
        <v/>
      </c>
      <c r="BF55" s="168" t="str">
        <f>IF($A55="","",VLOOKUP($A55,기본데이타!$A$8:$BV$103,COLUMN(기본데이타!BI$8),0))</f>
        <v/>
      </c>
      <c r="BG55" s="168" t="str">
        <f>IF($A55="","",VLOOKUP($A55,기본데이타!$A$8:$BV$103,COLUMN(기본데이타!BJ$8),0))</f>
        <v/>
      </c>
      <c r="BH55" s="168" t="str">
        <f>IF($A55="","",VLOOKUP($A55,기본데이타!$A$8:$BV$103,COLUMN(기본데이타!BK$8),0))</f>
        <v/>
      </c>
      <c r="BI55" s="168" t="str">
        <f>IF($A55="","",VLOOKUP($A55,기본데이타!$A$8:$BV$103,COLUMN(기본데이타!BL$8),0))</f>
        <v/>
      </c>
      <c r="BJ55" s="168" t="str">
        <f>IF($A55="","",VLOOKUP($A55,기본데이타!$A$8:$BV$103,COLUMN(기본데이타!BM$8),0))</f>
        <v/>
      </c>
      <c r="BK55" s="168" t="str">
        <f>IF($A55="","",VLOOKUP($A55,기본데이타!$A$8:$BV$103,COLUMN(기본데이타!BN$8),0))</f>
        <v/>
      </c>
      <c r="BL55" s="168" t="str">
        <f>IF($A55="","",VLOOKUP($A55,기본데이타!$A$8:$BV$103,COLUMN(기본데이타!BO$8),0))</f>
        <v/>
      </c>
      <c r="BM55" s="168" t="str">
        <f>IF($A55="","",VLOOKUP($A55,기본데이타!$A$8:$BV$103,COLUMN(기본데이타!BP$8),0))</f>
        <v/>
      </c>
      <c r="BN55" s="168" t="str">
        <f>IF($A55="","",VLOOKUP($A55,기본데이타!$A$8:$BV$103,COLUMN(기본데이타!BQ$8),0))</f>
        <v/>
      </c>
      <c r="BO55" s="168" t="str">
        <f>IF($A55="","",VLOOKUP($A55,기본데이타!$A$8:$BV$103,COLUMN(기본데이타!BR$8),0))</f>
        <v/>
      </c>
      <c r="BP55" s="168" t="str">
        <f>IF($A55="","",VLOOKUP($A55,기본데이타!$A$8:$BV$103,COLUMN(기본데이타!BS$8),0))</f>
        <v/>
      </c>
      <c r="BQ55" s="980" t="str">
        <f>IF($A55="","",VLOOKUP($A55,기본데이타!$A$8:$BV$103,COLUMN(기본데이타!BT$8),0))</f>
        <v/>
      </c>
      <c r="BR55" s="984" t="str">
        <f>IF($A55="","",VLOOKUP($A55,기본데이타!$A$8:$BV$103,COLUMN(기본데이타!BU$8),0))</f>
        <v/>
      </c>
      <c r="BS55" s="168" t="str">
        <f>IF($A55="","",VLOOKUP($A55,기본데이타!$A$8:$BV$103,COLUMN(기본데이타!BV$8),0))</f>
        <v/>
      </c>
      <c r="BT55" s="981">
        <f t="shared" si="11"/>
        <v>0</v>
      </c>
      <c r="BU55" s="242"/>
    </row>
    <row r="56" spans="1:73" s="7" customFormat="1" ht="73.5" customHeight="1">
      <c r="A56" s="171"/>
      <c r="B56" s="163"/>
      <c r="C56" s="164" t="str">
        <f>IF($A56="","",VLOOKUP($A56,기본데이타!$A$8:$BV$103,COLUMN(기본데이타!F$8),0))</f>
        <v/>
      </c>
      <c r="D56" s="165" t="str">
        <f>IF($A56="","",VLOOKUP($A56,기본데이타!$A$8:$BV$103,COLUMN(기본데이타!G$8),0))</f>
        <v/>
      </c>
      <c r="E56" s="166" t="str">
        <f>IF($A56="","",VLOOKUP($A56,기본데이타!$A$8:$BV$103,COLUMN(기본데이타!H$8),0))</f>
        <v/>
      </c>
      <c r="F56" s="166" t="str">
        <f>IF($A56="","",VLOOKUP($A56,기본데이타!$A$8:$BV$103,COLUMN(기본데이타!I$8),0))</f>
        <v/>
      </c>
      <c r="G56" s="166" t="str">
        <f>IF($A56="","",VLOOKUP($A56,기본데이타!$A$8:$BV$103,COLUMN(기본데이타!J$8),0))</f>
        <v/>
      </c>
      <c r="H56" s="167" t="str">
        <f>IF($A56="","",VLOOKUP($A56,기본데이타!$A$8:$BV$103,COLUMN(기본데이타!K$8),0))</f>
        <v/>
      </c>
      <c r="I56" s="167" t="str">
        <f>IF($A56="","",VLOOKUP($A56,기본데이타!$A$8:$BV$103,COLUMN(기본데이타!L$8),0))</f>
        <v/>
      </c>
      <c r="J56" s="167" t="str">
        <f>IF($A56="","",VLOOKUP($A56,기본데이타!$A$8:$BV$103,COLUMN(기본데이타!M$8),0))</f>
        <v/>
      </c>
      <c r="K56" s="168" t="str">
        <f>IF($A56="","",VLOOKUP($A56,기본데이타!$A$8:$BV$103,COLUMN(기본데이타!N$8),0))</f>
        <v/>
      </c>
      <c r="L56" s="167" t="str">
        <f>IF($A56="","",VLOOKUP($A56,기본데이타!$A$8:$BV$103,COLUMN(기본데이타!O$8),0))</f>
        <v/>
      </c>
      <c r="M56" s="168" t="str">
        <f>IF($A56="","",VLOOKUP($A56,기본데이타!$A$8:$BV$103,COLUMN(기본데이타!P$8),0))</f>
        <v/>
      </c>
      <c r="N56" s="168" t="str">
        <f>IF($A56="","",VLOOKUP($A56,기본데이타!$A$8:$BV$103,COLUMN(기본데이타!Q$8),0))</f>
        <v/>
      </c>
      <c r="O56" s="168" t="str">
        <f>IF($A56="","",VLOOKUP($A56,기본데이타!$A$8:$BV$103,COLUMN(기본데이타!R$8),0))</f>
        <v/>
      </c>
      <c r="P56" s="168" t="str">
        <f>IF($A56="","",VLOOKUP($A56,기본데이타!$A$8:$BV$103,COLUMN(기본데이타!S$8),0))</f>
        <v/>
      </c>
      <c r="Q56" s="168" t="str">
        <f>IF($A56="","",VLOOKUP($A56,기본데이타!$A$8:$BV$103,COLUMN(기본데이타!T$8),0))</f>
        <v/>
      </c>
      <c r="R56" s="168" t="str">
        <f>IF($A56="","",VLOOKUP($A56,기본데이타!$A$8:$BV$103,COLUMN(기본데이타!U$8),0))</f>
        <v/>
      </c>
      <c r="S56" s="168" t="str">
        <f>IF($A56="","",VLOOKUP($A56,기본데이타!$A$8:$BV$103,COLUMN(기본데이타!V$8),0))</f>
        <v/>
      </c>
      <c r="T56" s="168" t="str">
        <f>IF($A56="","",VLOOKUP($A56,기본데이타!$A$8:$BV$103,COLUMN(기본데이타!W$8),0))</f>
        <v/>
      </c>
      <c r="U56" s="168" t="str">
        <f>IF($A56="","",VLOOKUP($A56,기본데이타!$A$8:$BV$103,COLUMN(기본데이타!X$8),0))</f>
        <v/>
      </c>
      <c r="V56" s="168" t="str">
        <f>IF($A56="","",VLOOKUP($A56,기본데이타!$A$8:$BV$103,COLUMN(기본데이타!Y$8),0))</f>
        <v/>
      </c>
      <c r="W56" s="168" t="str">
        <f>IF($A56="","",VLOOKUP($A56,기본데이타!$A$8:$BV$103,COLUMN(기본데이타!Z$8),0))</f>
        <v/>
      </c>
      <c r="X56" s="168" t="str">
        <f>IF($A56="","",VLOOKUP($A56,기본데이타!$A$8:$BV$103,COLUMN(기본데이타!AA$8),0))</f>
        <v/>
      </c>
      <c r="Y56" s="168" t="str">
        <f>IF($A56="","",VLOOKUP($A56,기본데이타!$A$8:$BV$103,COLUMN(기본데이타!AB$8),0))</f>
        <v/>
      </c>
      <c r="Z56" s="167" t="str">
        <f>IF($A56="","",VLOOKUP($A56,기본데이타!$A$8:$BV$103,COLUMN(기본데이타!AC$8),0))</f>
        <v/>
      </c>
      <c r="AA56" s="168" t="str">
        <f>IF($A56="","",VLOOKUP($A56,기본데이타!$A$8:$BV$103,COLUMN(기본데이타!AD$8),0))</f>
        <v/>
      </c>
      <c r="AB56" s="167" t="str">
        <f>IF($A56="","",VLOOKUP($A56,기본데이타!$A$8:$BV$103,COLUMN(기본데이타!AE$8),0))</f>
        <v/>
      </c>
      <c r="AC56" s="168" t="str">
        <f>IF($A56="","",VLOOKUP($A56,기본데이타!$A$8:$BV$103,COLUMN(기본데이타!AF$8),0))</f>
        <v/>
      </c>
      <c r="AD56" s="167" t="str">
        <f>IF($A56="","",VLOOKUP($A56,기본데이타!$A$8:$BV$103,COLUMN(기본데이타!AG$8),0))</f>
        <v/>
      </c>
      <c r="AE56" s="168" t="str">
        <f>IF($A56="","",VLOOKUP($A56,기본데이타!$A$8:$BV$103,COLUMN(기본데이타!AH$8),0))</f>
        <v/>
      </c>
      <c r="AF56" s="167" t="str">
        <f>IF($A56="","",VLOOKUP($A56,기본데이타!$A$8:$BV$103,COLUMN(기본데이타!AI$8),0))</f>
        <v/>
      </c>
      <c r="AG56" s="169" t="str">
        <f>IF($A56="","",VLOOKUP($A56,기본데이타!$A$8:$BV$103,COLUMN(기본데이타!AJ$8),0))</f>
        <v/>
      </c>
      <c r="AH56" s="364" t="str">
        <f>IF($A56="","",VLOOKUP($A56,기본데이타!$A$8:$BV$103,COLUMN(기본데이타!AK$8),0))</f>
        <v/>
      </c>
      <c r="AI56" s="364" t="str">
        <f>IF($A56="","",VLOOKUP($A56,기본데이타!$A$8:$BV$103,COLUMN(기본데이타!AL$8),0))</f>
        <v/>
      </c>
      <c r="AJ56" s="364" t="str">
        <f>IF($A56="","",VLOOKUP($A56,기본데이타!$A$8:$BV$103,COLUMN(기본데이타!AM$8),0))</f>
        <v/>
      </c>
      <c r="AK56" s="364" t="str">
        <f>IF($A56="","",VLOOKUP($A56,기본데이타!$A$8:$BV$103,COLUMN(기본데이타!AN$8),0))</f>
        <v/>
      </c>
      <c r="AL56" s="364" t="str">
        <f>IF($A56="","",VLOOKUP($A56,기본데이타!$A$8:$BV$103,COLUMN(기본데이타!AO$8),0))</f>
        <v/>
      </c>
      <c r="AM56" s="364" t="str">
        <f>IF($A56="","",VLOOKUP($A56,기본데이타!$A$8:$BV$103,COLUMN(기본데이타!AP$8),0))</f>
        <v/>
      </c>
      <c r="AN56" s="364" t="str">
        <f>IF($A56="","",VLOOKUP($A56,기본데이타!$A$8:$BV$103,COLUMN(기본데이타!AQ$8),0))</f>
        <v/>
      </c>
      <c r="AO56" s="364" t="str">
        <f>IF($A56="","",VLOOKUP($A56,기본데이타!$A$8:$BV$103,COLUMN(기본데이타!AR$8),0))</f>
        <v/>
      </c>
      <c r="AP56" s="364" t="str">
        <f>IF($A56="","",VLOOKUP($A56,기본데이타!$A$8:$BV$103,COLUMN(기본데이타!AS$8),0))</f>
        <v/>
      </c>
      <c r="AQ56" s="364" t="str">
        <f>IF($A56="","",VLOOKUP($A56,기본데이타!$A$8:$BV$103,COLUMN(기본데이타!AT$8),0))</f>
        <v/>
      </c>
      <c r="AR56" s="364" t="str">
        <f>IF($A56="","",VLOOKUP($A56,기본데이타!$A$8:$BV$103,COLUMN(기본데이타!AU$8),0))</f>
        <v/>
      </c>
      <c r="AS56" s="364" t="str">
        <f>IF($A56="","",VLOOKUP($A56,기본데이타!$A$8:$BV$103,COLUMN(기본데이타!AV$8),0))</f>
        <v/>
      </c>
      <c r="AT56" s="358" t="str">
        <f>IF($A56="","",VLOOKUP($A56,기본데이타!$A$8:$BV$103,COLUMN(기본데이타!AW$8),0))</f>
        <v/>
      </c>
      <c r="AU56" s="358" t="str">
        <f>IF($A56="","",VLOOKUP($A56,기본데이타!$A$8:$BV$103,COLUMN(기본데이타!AX$8),0))</f>
        <v/>
      </c>
      <c r="AV56" s="358" t="str">
        <f>IF($A56="","",VLOOKUP($A56,기본데이타!$A$8:$BV$103,COLUMN(기본데이타!AY$8),0))</f>
        <v/>
      </c>
      <c r="AW56" s="358" t="str">
        <f t="shared" si="10"/>
        <v/>
      </c>
      <c r="AX56" s="168" t="str">
        <f>IF($A56="","",VLOOKUP($A56,기본데이타!$A$8:$BV$103,COLUMN(기본데이타!BA$8),0))</f>
        <v/>
      </c>
      <c r="AY56" s="168" t="str">
        <f>IF($A56="","",VLOOKUP($A56,기본데이타!$A$8:$BV$103,COLUMN(기본데이타!BB$8),0))</f>
        <v/>
      </c>
      <c r="AZ56" s="168" t="str">
        <f>IF($A56="","",VLOOKUP($A56,기본데이타!$A$8:$BV$103,COLUMN(기본데이타!BC$8),0))</f>
        <v/>
      </c>
      <c r="BA56" s="168" t="str">
        <f>IF($A56="","",VLOOKUP($A56,기본데이타!$A$8:$BV$103,COLUMN(기본데이타!BD$8),0))</f>
        <v/>
      </c>
      <c r="BB56" s="168" t="str">
        <f>IF($A56="","",VLOOKUP($A56,기본데이타!$A$8:$BV$103,COLUMN(기본데이타!BE$8),0))</f>
        <v/>
      </c>
      <c r="BC56" s="168" t="str">
        <f>IF($A56="","",VLOOKUP($A56,기본데이타!$A$8:$BV$103,COLUMN(기본데이타!BF$8),0))</f>
        <v/>
      </c>
      <c r="BD56" s="168" t="str">
        <f>IF($A56="","",VLOOKUP($A56,기본데이타!$A$8:$BV$103,COLUMN(기본데이타!BG$8),0))</f>
        <v/>
      </c>
      <c r="BE56" s="168" t="str">
        <f>IF($A56="","",VLOOKUP($A56,기본데이타!$A$8:$BV$103,COLUMN(기본데이타!BH$8),0))</f>
        <v/>
      </c>
      <c r="BF56" s="168" t="str">
        <f>IF($A56="","",VLOOKUP($A56,기본데이타!$A$8:$BV$103,COLUMN(기본데이타!BI$8),0))</f>
        <v/>
      </c>
      <c r="BG56" s="168" t="str">
        <f>IF($A56="","",VLOOKUP($A56,기본데이타!$A$8:$BV$103,COLUMN(기본데이타!BJ$8),0))</f>
        <v/>
      </c>
      <c r="BH56" s="168" t="str">
        <f>IF($A56="","",VLOOKUP($A56,기본데이타!$A$8:$BV$103,COLUMN(기본데이타!BK$8),0))</f>
        <v/>
      </c>
      <c r="BI56" s="168" t="str">
        <f>IF($A56="","",VLOOKUP($A56,기본데이타!$A$8:$BV$103,COLUMN(기본데이타!BL$8),0))</f>
        <v/>
      </c>
      <c r="BJ56" s="168" t="str">
        <f>IF($A56="","",VLOOKUP($A56,기본데이타!$A$8:$BV$103,COLUMN(기본데이타!BM$8),0))</f>
        <v/>
      </c>
      <c r="BK56" s="168" t="str">
        <f>IF($A56="","",VLOOKUP($A56,기본데이타!$A$8:$BV$103,COLUMN(기본데이타!BN$8),0))</f>
        <v/>
      </c>
      <c r="BL56" s="168" t="str">
        <f>IF($A56="","",VLOOKUP($A56,기본데이타!$A$8:$BV$103,COLUMN(기본데이타!BO$8),0))</f>
        <v/>
      </c>
      <c r="BM56" s="168" t="str">
        <f>IF($A56="","",VLOOKUP($A56,기본데이타!$A$8:$BV$103,COLUMN(기본데이타!BP$8),0))</f>
        <v/>
      </c>
      <c r="BN56" s="168" t="str">
        <f>IF($A56="","",VLOOKUP($A56,기본데이타!$A$8:$BV$103,COLUMN(기본데이타!BQ$8),0))</f>
        <v/>
      </c>
      <c r="BO56" s="168" t="str">
        <f>IF($A56="","",VLOOKUP($A56,기본데이타!$A$8:$BV$103,COLUMN(기본데이타!BR$8),0))</f>
        <v/>
      </c>
      <c r="BP56" s="168" t="str">
        <f>IF($A56="","",VLOOKUP($A56,기본데이타!$A$8:$BV$103,COLUMN(기본데이타!BS$8),0))</f>
        <v/>
      </c>
      <c r="BQ56" s="980" t="str">
        <f>IF($A56="","",VLOOKUP($A56,기본데이타!$A$8:$BV$103,COLUMN(기본데이타!BT$8),0))</f>
        <v/>
      </c>
      <c r="BR56" s="984" t="str">
        <f>IF($A56="","",VLOOKUP($A56,기본데이타!$A$8:$BV$103,COLUMN(기본데이타!BU$8),0))</f>
        <v/>
      </c>
      <c r="BS56" s="168" t="str">
        <f>IF($A56="","",VLOOKUP($A56,기본데이타!$A$8:$BV$103,COLUMN(기본데이타!BV$8),0))</f>
        <v/>
      </c>
      <c r="BT56" s="981">
        <f t="shared" si="11"/>
        <v>0</v>
      </c>
      <c r="BU56" s="242"/>
    </row>
    <row r="57" spans="1:73" s="7" customFormat="1" ht="73.5" customHeight="1">
      <c r="A57" s="171"/>
      <c r="B57" s="163"/>
      <c r="C57" s="164" t="str">
        <f>IF($A57="","",VLOOKUP($A57,기본데이타!$A$8:$BV$103,COLUMN(기본데이타!F$8),0))</f>
        <v/>
      </c>
      <c r="D57" s="165" t="str">
        <f>IF($A57="","",VLOOKUP($A57,기본데이타!$A$8:$BV$103,COLUMN(기본데이타!G$8),0))</f>
        <v/>
      </c>
      <c r="E57" s="166" t="str">
        <f>IF($A57="","",VLOOKUP($A57,기본데이타!$A$8:$BV$103,COLUMN(기본데이타!H$8),0))</f>
        <v/>
      </c>
      <c r="F57" s="166" t="str">
        <f>IF($A57="","",VLOOKUP($A57,기본데이타!$A$8:$BV$103,COLUMN(기본데이타!I$8),0))</f>
        <v/>
      </c>
      <c r="G57" s="166" t="str">
        <f>IF($A57="","",VLOOKUP($A57,기본데이타!$A$8:$BV$103,COLUMN(기본데이타!J$8),0))</f>
        <v/>
      </c>
      <c r="H57" s="167" t="str">
        <f>IF($A57="","",VLOOKUP($A57,기본데이타!$A$8:$BV$103,COLUMN(기본데이타!K$8),0))</f>
        <v/>
      </c>
      <c r="I57" s="167" t="str">
        <f>IF($A57="","",VLOOKUP($A57,기본데이타!$A$8:$BV$103,COLUMN(기본데이타!L$8),0))</f>
        <v/>
      </c>
      <c r="J57" s="167" t="str">
        <f>IF($A57="","",VLOOKUP($A57,기본데이타!$A$8:$BV$103,COLUMN(기본데이타!M$8),0))</f>
        <v/>
      </c>
      <c r="K57" s="168" t="str">
        <f>IF($A57="","",VLOOKUP($A57,기본데이타!$A$8:$BV$103,COLUMN(기본데이타!N$8),0))</f>
        <v/>
      </c>
      <c r="L57" s="167" t="str">
        <f>IF($A57="","",VLOOKUP($A57,기본데이타!$A$8:$BV$103,COLUMN(기본데이타!O$8),0))</f>
        <v/>
      </c>
      <c r="M57" s="168" t="str">
        <f>IF($A57="","",VLOOKUP($A57,기본데이타!$A$8:$BV$103,COLUMN(기본데이타!P$8),0))</f>
        <v/>
      </c>
      <c r="N57" s="168" t="str">
        <f>IF($A57="","",VLOOKUP($A57,기본데이타!$A$8:$BV$103,COLUMN(기본데이타!Q$8),0))</f>
        <v/>
      </c>
      <c r="O57" s="168" t="str">
        <f>IF($A57="","",VLOOKUP($A57,기본데이타!$A$8:$BV$103,COLUMN(기본데이타!R$8),0))</f>
        <v/>
      </c>
      <c r="P57" s="168" t="str">
        <f>IF($A57="","",VLOOKUP($A57,기본데이타!$A$8:$BV$103,COLUMN(기본데이타!S$8),0))</f>
        <v/>
      </c>
      <c r="Q57" s="168" t="str">
        <f>IF($A57="","",VLOOKUP($A57,기본데이타!$A$8:$BV$103,COLUMN(기본데이타!T$8),0))</f>
        <v/>
      </c>
      <c r="R57" s="168" t="str">
        <f>IF($A57="","",VLOOKUP($A57,기본데이타!$A$8:$BV$103,COLUMN(기본데이타!U$8),0))</f>
        <v/>
      </c>
      <c r="S57" s="168" t="str">
        <f>IF($A57="","",VLOOKUP($A57,기본데이타!$A$8:$BV$103,COLUMN(기본데이타!V$8),0))</f>
        <v/>
      </c>
      <c r="T57" s="168" t="str">
        <f>IF($A57="","",VLOOKUP($A57,기본데이타!$A$8:$BV$103,COLUMN(기본데이타!W$8),0))</f>
        <v/>
      </c>
      <c r="U57" s="168" t="str">
        <f>IF($A57="","",VLOOKUP($A57,기본데이타!$A$8:$BV$103,COLUMN(기본데이타!X$8),0))</f>
        <v/>
      </c>
      <c r="V57" s="168" t="str">
        <f>IF($A57="","",VLOOKUP($A57,기본데이타!$A$8:$BV$103,COLUMN(기본데이타!Y$8),0))</f>
        <v/>
      </c>
      <c r="W57" s="168" t="str">
        <f>IF($A57="","",VLOOKUP($A57,기본데이타!$A$8:$BV$103,COLUMN(기본데이타!Z$8),0))</f>
        <v/>
      </c>
      <c r="X57" s="168" t="str">
        <f>IF($A57="","",VLOOKUP($A57,기본데이타!$A$8:$BV$103,COLUMN(기본데이타!AA$8),0))</f>
        <v/>
      </c>
      <c r="Y57" s="168" t="str">
        <f>IF($A57="","",VLOOKUP($A57,기본데이타!$A$8:$BV$103,COLUMN(기본데이타!AB$8),0))</f>
        <v/>
      </c>
      <c r="Z57" s="167" t="str">
        <f>IF($A57="","",VLOOKUP($A57,기본데이타!$A$8:$BV$103,COLUMN(기본데이타!AC$8),0))</f>
        <v/>
      </c>
      <c r="AA57" s="168" t="str">
        <f>IF($A57="","",VLOOKUP($A57,기본데이타!$A$8:$BV$103,COLUMN(기본데이타!AD$8),0))</f>
        <v/>
      </c>
      <c r="AB57" s="167" t="str">
        <f>IF($A57="","",VLOOKUP($A57,기본데이타!$A$8:$BV$103,COLUMN(기본데이타!AE$8),0))</f>
        <v/>
      </c>
      <c r="AC57" s="168" t="str">
        <f>IF($A57="","",VLOOKUP($A57,기본데이타!$A$8:$BV$103,COLUMN(기본데이타!AF$8),0))</f>
        <v/>
      </c>
      <c r="AD57" s="167" t="str">
        <f>IF($A57="","",VLOOKUP($A57,기본데이타!$A$8:$BV$103,COLUMN(기본데이타!AG$8),0))</f>
        <v/>
      </c>
      <c r="AE57" s="168" t="str">
        <f>IF($A57="","",VLOOKUP($A57,기본데이타!$A$8:$BV$103,COLUMN(기본데이타!AH$8),0))</f>
        <v/>
      </c>
      <c r="AF57" s="167" t="str">
        <f>IF($A57="","",VLOOKUP($A57,기본데이타!$A$8:$BV$103,COLUMN(기본데이타!AI$8),0))</f>
        <v/>
      </c>
      <c r="AG57" s="169" t="str">
        <f>IF($A57="","",VLOOKUP($A57,기본데이타!$A$8:$BV$103,COLUMN(기본데이타!AJ$8),0))</f>
        <v/>
      </c>
      <c r="AH57" s="364" t="str">
        <f>IF($A57="","",VLOOKUP($A57,기본데이타!$A$8:$BV$103,COLUMN(기본데이타!AK$8),0))</f>
        <v/>
      </c>
      <c r="AI57" s="364" t="str">
        <f>IF($A57="","",VLOOKUP($A57,기본데이타!$A$8:$BV$103,COLUMN(기본데이타!AL$8),0))</f>
        <v/>
      </c>
      <c r="AJ57" s="364" t="str">
        <f>IF($A57="","",VLOOKUP($A57,기본데이타!$A$8:$BV$103,COLUMN(기본데이타!AM$8),0))</f>
        <v/>
      </c>
      <c r="AK57" s="364" t="str">
        <f>IF($A57="","",VLOOKUP($A57,기본데이타!$A$8:$BV$103,COLUMN(기본데이타!AN$8),0))</f>
        <v/>
      </c>
      <c r="AL57" s="364" t="str">
        <f>IF($A57="","",VLOOKUP($A57,기본데이타!$A$8:$BV$103,COLUMN(기본데이타!AO$8),0))</f>
        <v/>
      </c>
      <c r="AM57" s="364" t="str">
        <f>IF($A57="","",VLOOKUP($A57,기본데이타!$A$8:$BV$103,COLUMN(기본데이타!AP$8),0))</f>
        <v/>
      </c>
      <c r="AN57" s="364" t="str">
        <f>IF($A57="","",VLOOKUP($A57,기본데이타!$A$8:$BV$103,COLUMN(기본데이타!AQ$8),0))</f>
        <v/>
      </c>
      <c r="AO57" s="364" t="str">
        <f>IF($A57="","",VLOOKUP($A57,기본데이타!$A$8:$BV$103,COLUMN(기본데이타!AR$8),0))</f>
        <v/>
      </c>
      <c r="AP57" s="364" t="str">
        <f>IF($A57="","",VLOOKUP($A57,기본데이타!$A$8:$BV$103,COLUMN(기본데이타!AS$8),0))</f>
        <v/>
      </c>
      <c r="AQ57" s="364" t="str">
        <f>IF($A57="","",VLOOKUP($A57,기본데이타!$A$8:$BV$103,COLUMN(기본데이타!AT$8),0))</f>
        <v/>
      </c>
      <c r="AR57" s="364" t="str">
        <f>IF($A57="","",VLOOKUP($A57,기본데이타!$A$8:$BV$103,COLUMN(기본데이타!AU$8),0))</f>
        <v/>
      </c>
      <c r="AS57" s="364" t="str">
        <f>IF($A57="","",VLOOKUP($A57,기본데이타!$A$8:$BV$103,COLUMN(기본데이타!AV$8),0))</f>
        <v/>
      </c>
      <c r="AT57" s="358" t="str">
        <f>IF($A57="","",VLOOKUP($A57,기본데이타!$A$8:$BV$103,COLUMN(기본데이타!AW$8),0))</f>
        <v/>
      </c>
      <c r="AU57" s="358" t="str">
        <f>IF($A57="","",VLOOKUP($A57,기본데이타!$A$8:$BV$103,COLUMN(기본데이타!AX$8),0))</f>
        <v/>
      </c>
      <c r="AV57" s="358" t="str">
        <f>IF($A57="","",VLOOKUP($A57,기본데이타!$A$8:$BV$103,COLUMN(기본데이타!AY$8),0))</f>
        <v/>
      </c>
      <c r="AW57" s="358" t="str">
        <f t="shared" si="10"/>
        <v/>
      </c>
      <c r="AX57" s="168" t="str">
        <f>IF($A57="","",VLOOKUP($A57,기본데이타!$A$8:$BV$103,COLUMN(기본데이타!BA$8),0))</f>
        <v/>
      </c>
      <c r="AY57" s="168" t="str">
        <f>IF($A57="","",VLOOKUP($A57,기본데이타!$A$8:$BV$103,COLUMN(기본데이타!BB$8),0))</f>
        <v/>
      </c>
      <c r="AZ57" s="168" t="str">
        <f>IF($A57="","",VLOOKUP($A57,기본데이타!$A$8:$BV$103,COLUMN(기본데이타!BC$8),0))</f>
        <v/>
      </c>
      <c r="BA57" s="168" t="str">
        <f>IF($A57="","",VLOOKUP($A57,기본데이타!$A$8:$BV$103,COLUMN(기본데이타!BD$8),0))</f>
        <v/>
      </c>
      <c r="BB57" s="168" t="str">
        <f>IF($A57="","",VLOOKUP($A57,기본데이타!$A$8:$BV$103,COLUMN(기본데이타!BE$8),0))</f>
        <v/>
      </c>
      <c r="BC57" s="168" t="str">
        <f>IF($A57="","",VLOOKUP($A57,기본데이타!$A$8:$BV$103,COLUMN(기본데이타!BF$8),0))</f>
        <v/>
      </c>
      <c r="BD57" s="168" t="str">
        <f>IF($A57="","",VLOOKUP($A57,기본데이타!$A$8:$BV$103,COLUMN(기본데이타!BG$8),0))</f>
        <v/>
      </c>
      <c r="BE57" s="168" t="str">
        <f>IF($A57="","",VLOOKUP($A57,기본데이타!$A$8:$BV$103,COLUMN(기본데이타!BH$8),0))</f>
        <v/>
      </c>
      <c r="BF57" s="168" t="str">
        <f>IF($A57="","",VLOOKUP($A57,기본데이타!$A$8:$BV$103,COLUMN(기본데이타!BI$8),0))</f>
        <v/>
      </c>
      <c r="BG57" s="168" t="str">
        <f>IF($A57="","",VLOOKUP($A57,기본데이타!$A$8:$BV$103,COLUMN(기본데이타!BJ$8),0))</f>
        <v/>
      </c>
      <c r="BH57" s="168" t="str">
        <f>IF($A57="","",VLOOKUP($A57,기본데이타!$A$8:$BV$103,COLUMN(기본데이타!BK$8),0))</f>
        <v/>
      </c>
      <c r="BI57" s="168" t="str">
        <f>IF($A57="","",VLOOKUP($A57,기본데이타!$A$8:$BV$103,COLUMN(기본데이타!BL$8),0))</f>
        <v/>
      </c>
      <c r="BJ57" s="168" t="str">
        <f>IF($A57="","",VLOOKUP($A57,기본데이타!$A$8:$BV$103,COLUMN(기본데이타!BM$8),0))</f>
        <v/>
      </c>
      <c r="BK57" s="168" t="str">
        <f>IF($A57="","",VLOOKUP($A57,기본데이타!$A$8:$BV$103,COLUMN(기본데이타!BN$8),0))</f>
        <v/>
      </c>
      <c r="BL57" s="168" t="str">
        <f>IF($A57="","",VLOOKUP($A57,기본데이타!$A$8:$BV$103,COLUMN(기본데이타!BO$8),0))</f>
        <v/>
      </c>
      <c r="BM57" s="168" t="str">
        <f>IF($A57="","",VLOOKUP($A57,기본데이타!$A$8:$BV$103,COLUMN(기본데이타!BP$8),0))</f>
        <v/>
      </c>
      <c r="BN57" s="168" t="str">
        <f>IF($A57="","",VLOOKUP($A57,기본데이타!$A$8:$BV$103,COLUMN(기본데이타!BQ$8),0))</f>
        <v/>
      </c>
      <c r="BO57" s="168" t="str">
        <f>IF($A57="","",VLOOKUP($A57,기본데이타!$A$8:$BV$103,COLUMN(기본데이타!BR$8),0))</f>
        <v/>
      </c>
      <c r="BP57" s="168" t="str">
        <f>IF($A57="","",VLOOKUP($A57,기본데이타!$A$8:$BV$103,COLUMN(기본데이타!BS$8),0))</f>
        <v/>
      </c>
      <c r="BQ57" s="980" t="str">
        <f>IF($A57="","",VLOOKUP($A57,기본데이타!$A$8:$BV$103,COLUMN(기본데이타!BT$8),0))</f>
        <v/>
      </c>
      <c r="BR57" s="984" t="str">
        <f>IF($A57="","",VLOOKUP($A57,기본데이타!$A$8:$BV$103,COLUMN(기본데이타!BU$8),0))</f>
        <v/>
      </c>
      <c r="BS57" s="168" t="str">
        <f>IF($A57="","",VLOOKUP($A57,기본데이타!$A$8:$BV$103,COLUMN(기본데이타!BV$8),0))</f>
        <v/>
      </c>
      <c r="BT57" s="981">
        <f t="shared" si="11"/>
        <v>0</v>
      </c>
      <c r="BU57" s="242"/>
    </row>
    <row r="58" spans="1:73" s="7" customFormat="1" ht="73.5" customHeight="1">
      <c r="A58" s="171"/>
      <c r="B58" s="163"/>
      <c r="C58" s="164" t="str">
        <f>IF($A58="","",VLOOKUP($A58,기본데이타!$A$8:$BV$103,COLUMN(기본데이타!F$8),0))</f>
        <v/>
      </c>
      <c r="D58" s="165" t="str">
        <f>IF($A58="","",VLOOKUP($A58,기본데이타!$A$8:$BV$103,COLUMN(기본데이타!G$8),0))</f>
        <v/>
      </c>
      <c r="E58" s="166" t="str">
        <f>IF($A58="","",VLOOKUP($A58,기본데이타!$A$8:$BV$103,COLUMN(기본데이타!H$8),0))</f>
        <v/>
      </c>
      <c r="F58" s="166" t="str">
        <f>IF($A58="","",VLOOKUP($A58,기본데이타!$A$8:$BV$103,COLUMN(기본데이타!I$8),0))</f>
        <v/>
      </c>
      <c r="G58" s="166" t="str">
        <f>IF($A58="","",VLOOKUP($A58,기본데이타!$A$8:$BV$103,COLUMN(기본데이타!J$8),0))</f>
        <v/>
      </c>
      <c r="H58" s="167" t="str">
        <f>IF($A58="","",VLOOKUP($A58,기본데이타!$A$8:$BV$103,COLUMN(기본데이타!K$8),0))</f>
        <v/>
      </c>
      <c r="I58" s="167" t="str">
        <f>IF($A58="","",VLOOKUP($A58,기본데이타!$A$8:$BV$103,COLUMN(기본데이타!L$8),0))</f>
        <v/>
      </c>
      <c r="J58" s="167" t="str">
        <f>IF($A58="","",VLOOKUP($A58,기본데이타!$A$8:$BV$103,COLUMN(기본데이타!M$8),0))</f>
        <v/>
      </c>
      <c r="K58" s="168" t="str">
        <f>IF($A58="","",VLOOKUP($A58,기본데이타!$A$8:$BV$103,COLUMN(기본데이타!N$8),0))</f>
        <v/>
      </c>
      <c r="L58" s="167" t="str">
        <f>IF($A58="","",VLOOKUP($A58,기본데이타!$A$8:$BV$103,COLUMN(기본데이타!O$8),0))</f>
        <v/>
      </c>
      <c r="M58" s="168" t="str">
        <f>IF($A58="","",VLOOKUP($A58,기본데이타!$A$8:$BV$103,COLUMN(기본데이타!P$8),0))</f>
        <v/>
      </c>
      <c r="N58" s="168" t="str">
        <f>IF($A58="","",VLOOKUP($A58,기본데이타!$A$8:$BV$103,COLUMN(기본데이타!Q$8),0))</f>
        <v/>
      </c>
      <c r="O58" s="168" t="str">
        <f>IF($A58="","",VLOOKUP($A58,기본데이타!$A$8:$BV$103,COLUMN(기본데이타!R$8),0))</f>
        <v/>
      </c>
      <c r="P58" s="168" t="str">
        <f>IF($A58="","",VLOOKUP($A58,기본데이타!$A$8:$BV$103,COLUMN(기본데이타!S$8),0))</f>
        <v/>
      </c>
      <c r="Q58" s="168" t="str">
        <f>IF($A58="","",VLOOKUP($A58,기본데이타!$A$8:$BV$103,COLUMN(기본데이타!T$8),0))</f>
        <v/>
      </c>
      <c r="R58" s="168" t="str">
        <f>IF($A58="","",VLOOKUP($A58,기본데이타!$A$8:$BV$103,COLUMN(기본데이타!U$8),0))</f>
        <v/>
      </c>
      <c r="S58" s="168" t="str">
        <f>IF($A58="","",VLOOKUP($A58,기본데이타!$A$8:$BV$103,COLUMN(기본데이타!V$8),0))</f>
        <v/>
      </c>
      <c r="T58" s="168" t="str">
        <f>IF($A58="","",VLOOKUP($A58,기본데이타!$A$8:$BV$103,COLUMN(기본데이타!W$8),0))</f>
        <v/>
      </c>
      <c r="U58" s="168" t="str">
        <f>IF($A58="","",VLOOKUP($A58,기본데이타!$A$8:$BV$103,COLUMN(기본데이타!X$8),0))</f>
        <v/>
      </c>
      <c r="V58" s="168" t="str">
        <f>IF($A58="","",VLOOKUP($A58,기본데이타!$A$8:$BV$103,COLUMN(기본데이타!Y$8),0))</f>
        <v/>
      </c>
      <c r="W58" s="168" t="str">
        <f>IF($A58="","",VLOOKUP($A58,기본데이타!$A$8:$BV$103,COLUMN(기본데이타!Z$8),0))</f>
        <v/>
      </c>
      <c r="X58" s="168" t="str">
        <f>IF($A58="","",VLOOKUP($A58,기본데이타!$A$8:$BV$103,COLUMN(기본데이타!AA$8),0))</f>
        <v/>
      </c>
      <c r="Y58" s="168" t="str">
        <f>IF($A58="","",VLOOKUP($A58,기본데이타!$A$8:$BV$103,COLUMN(기본데이타!AB$8),0))</f>
        <v/>
      </c>
      <c r="Z58" s="167" t="str">
        <f>IF($A58="","",VLOOKUP($A58,기본데이타!$A$8:$BV$103,COLUMN(기본데이타!AC$8),0))</f>
        <v/>
      </c>
      <c r="AA58" s="168" t="str">
        <f>IF($A58="","",VLOOKUP($A58,기본데이타!$A$8:$BV$103,COLUMN(기본데이타!AD$8),0))</f>
        <v/>
      </c>
      <c r="AB58" s="167" t="str">
        <f>IF($A58="","",VLOOKUP($A58,기본데이타!$A$8:$BV$103,COLUMN(기본데이타!AE$8),0))</f>
        <v/>
      </c>
      <c r="AC58" s="168" t="str">
        <f>IF($A58="","",VLOOKUP($A58,기본데이타!$A$8:$BV$103,COLUMN(기본데이타!AF$8),0))</f>
        <v/>
      </c>
      <c r="AD58" s="167" t="str">
        <f>IF($A58="","",VLOOKUP($A58,기본데이타!$A$8:$BV$103,COLUMN(기본데이타!AG$8),0))</f>
        <v/>
      </c>
      <c r="AE58" s="168" t="str">
        <f>IF($A58="","",VLOOKUP($A58,기본데이타!$A$8:$BV$103,COLUMN(기본데이타!AH$8),0))</f>
        <v/>
      </c>
      <c r="AF58" s="167" t="str">
        <f>IF($A58="","",VLOOKUP($A58,기본데이타!$A$8:$BV$103,COLUMN(기본데이타!AI$8),0))</f>
        <v/>
      </c>
      <c r="AG58" s="169" t="str">
        <f>IF($A58="","",VLOOKUP($A58,기본데이타!$A$8:$BV$103,COLUMN(기본데이타!AJ$8),0))</f>
        <v/>
      </c>
      <c r="AH58" s="364" t="str">
        <f>IF($A58="","",VLOOKUP($A58,기본데이타!$A$8:$BV$103,COLUMN(기본데이타!AK$8),0))</f>
        <v/>
      </c>
      <c r="AI58" s="364" t="str">
        <f>IF($A58="","",VLOOKUP($A58,기본데이타!$A$8:$BV$103,COLUMN(기본데이타!AL$8),0))</f>
        <v/>
      </c>
      <c r="AJ58" s="364" t="str">
        <f>IF($A58="","",VLOOKUP($A58,기본데이타!$A$8:$BV$103,COLUMN(기본데이타!AM$8),0))</f>
        <v/>
      </c>
      <c r="AK58" s="364" t="str">
        <f>IF($A58="","",VLOOKUP($A58,기본데이타!$A$8:$BV$103,COLUMN(기본데이타!AN$8),0))</f>
        <v/>
      </c>
      <c r="AL58" s="364" t="str">
        <f>IF($A58="","",VLOOKUP($A58,기본데이타!$A$8:$BV$103,COLUMN(기본데이타!AO$8),0))</f>
        <v/>
      </c>
      <c r="AM58" s="364" t="str">
        <f>IF($A58="","",VLOOKUP($A58,기본데이타!$A$8:$BV$103,COLUMN(기본데이타!AP$8),0))</f>
        <v/>
      </c>
      <c r="AN58" s="364" t="str">
        <f>IF($A58="","",VLOOKUP($A58,기본데이타!$A$8:$BV$103,COLUMN(기본데이타!AQ$8),0))</f>
        <v/>
      </c>
      <c r="AO58" s="364" t="str">
        <f>IF($A58="","",VLOOKUP($A58,기본데이타!$A$8:$BV$103,COLUMN(기본데이타!AR$8),0))</f>
        <v/>
      </c>
      <c r="AP58" s="364" t="str">
        <f>IF($A58="","",VLOOKUP($A58,기본데이타!$A$8:$BV$103,COLUMN(기본데이타!AS$8),0))</f>
        <v/>
      </c>
      <c r="AQ58" s="364" t="str">
        <f>IF($A58="","",VLOOKUP($A58,기본데이타!$A$8:$BV$103,COLUMN(기본데이타!AT$8),0))</f>
        <v/>
      </c>
      <c r="AR58" s="364" t="str">
        <f>IF($A58="","",VLOOKUP($A58,기본데이타!$A$8:$BV$103,COLUMN(기본데이타!AU$8),0))</f>
        <v/>
      </c>
      <c r="AS58" s="364" t="str">
        <f>IF($A58="","",VLOOKUP($A58,기본데이타!$A$8:$BV$103,COLUMN(기본데이타!AV$8),0))</f>
        <v/>
      </c>
      <c r="AT58" s="358" t="str">
        <f>IF($A58="","",VLOOKUP($A58,기본데이타!$A$8:$BV$103,COLUMN(기본데이타!AW$8),0))</f>
        <v/>
      </c>
      <c r="AU58" s="358" t="str">
        <f>IF($A58="","",VLOOKUP($A58,기본데이타!$A$8:$BV$103,COLUMN(기본데이타!AX$8),0))</f>
        <v/>
      </c>
      <c r="AV58" s="358" t="str">
        <f>IF($A58="","",VLOOKUP($A58,기본데이타!$A$8:$BV$103,COLUMN(기본데이타!AY$8),0))</f>
        <v/>
      </c>
      <c r="AW58" s="358" t="str">
        <f t="shared" si="10"/>
        <v/>
      </c>
      <c r="AX58" s="168" t="str">
        <f>IF($A58="","",VLOOKUP($A58,기본데이타!$A$8:$BV$103,COLUMN(기본데이타!BA$8),0))</f>
        <v/>
      </c>
      <c r="AY58" s="168" t="str">
        <f>IF($A58="","",VLOOKUP($A58,기본데이타!$A$8:$BV$103,COLUMN(기본데이타!BB$8),0))</f>
        <v/>
      </c>
      <c r="AZ58" s="168" t="str">
        <f>IF($A58="","",VLOOKUP($A58,기본데이타!$A$8:$BV$103,COLUMN(기본데이타!BC$8),0))</f>
        <v/>
      </c>
      <c r="BA58" s="168" t="str">
        <f>IF($A58="","",VLOOKUP($A58,기본데이타!$A$8:$BV$103,COLUMN(기본데이타!BD$8),0))</f>
        <v/>
      </c>
      <c r="BB58" s="168" t="str">
        <f>IF($A58="","",VLOOKUP($A58,기본데이타!$A$8:$BV$103,COLUMN(기본데이타!BE$8),0))</f>
        <v/>
      </c>
      <c r="BC58" s="168" t="str">
        <f>IF($A58="","",VLOOKUP($A58,기본데이타!$A$8:$BV$103,COLUMN(기본데이타!BF$8),0))</f>
        <v/>
      </c>
      <c r="BD58" s="168" t="str">
        <f>IF($A58="","",VLOOKUP($A58,기본데이타!$A$8:$BV$103,COLUMN(기본데이타!BG$8),0))</f>
        <v/>
      </c>
      <c r="BE58" s="168" t="str">
        <f>IF($A58="","",VLOOKUP($A58,기본데이타!$A$8:$BV$103,COLUMN(기본데이타!BH$8),0))</f>
        <v/>
      </c>
      <c r="BF58" s="168" t="str">
        <f>IF($A58="","",VLOOKUP($A58,기본데이타!$A$8:$BV$103,COLUMN(기본데이타!BI$8),0))</f>
        <v/>
      </c>
      <c r="BG58" s="168" t="str">
        <f>IF($A58="","",VLOOKUP($A58,기본데이타!$A$8:$BV$103,COLUMN(기본데이타!BJ$8),0))</f>
        <v/>
      </c>
      <c r="BH58" s="168" t="str">
        <f>IF($A58="","",VLOOKUP($A58,기본데이타!$A$8:$BV$103,COLUMN(기본데이타!BK$8),0))</f>
        <v/>
      </c>
      <c r="BI58" s="168" t="str">
        <f>IF($A58="","",VLOOKUP($A58,기본데이타!$A$8:$BV$103,COLUMN(기본데이타!BL$8),0))</f>
        <v/>
      </c>
      <c r="BJ58" s="168" t="str">
        <f>IF($A58="","",VLOOKUP($A58,기본데이타!$A$8:$BV$103,COLUMN(기본데이타!BM$8),0))</f>
        <v/>
      </c>
      <c r="BK58" s="168" t="str">
        <f>IF($A58="","",VLOOKUP($A58,기본데이타!$A$8:$BV$103,COLUMN(기본데이타!BN$8),0))</f>
        <v/>
      </c>
      <c r="BL58" s="168" t="str">
        <f>IF($A58="","",VLOOKUP($A58,기본데이타!$A$8:$BV$103,COLUMN(기본데이타!BO$8),0))</f>
        <v/>
      </c>
      <c r="BM58" s="168" t="str">
        <f>IF($A58="","",VLOOKUP($A58,기본데이타!$A$8:$BV$103,COLUMN(기본데이타!BP$8),0))</f>
        <v/>
      </c>
      <c r="BN58" s="168" t="str">
        <f>IF($A58="","",VLOOKUP($A58,기본데이타!$A$8:$BV$103,COLUMN(기본데이타!BQ$8),0))</f>
        <v/>
      </c>
      <c r="BO58" s="168" t="str">
        <f>IF($A58="","",VLOOKUP($A58,기본데이타!$A$8:$BV$103,COLUMN(기본데이타!BR$8),0))</f>
        <v/>
      </c>
      <c r="BP58" s="168" t="str">
        <f>IF($A58="","",VLOOKUP($A58,기본데이타!$A$8:$BV$103,COLUMN(기본데이타!BS$8),0))</f>
        <v/>
      </c>
      <c r="BQ58" s="980" t="str">
        <f>IF($A58="","",VLOOKUP($A58,기본데이타!$A$8:$BV$103,COLUMN(기본데이타!BT$8),0))</f>
        <v/>
      </c>
      <c r="BR58" s="984" t="str">
        <f>IF($A58="","",VLOOKUP($A58,기본데이타!$A$8:$BV$103,COLUMN(기본데이타!BU$8),0))</f>
        <v/>
      </c>
      <c r="BS58" s="168" t="str">
        <f>IF($A58="","",VLOOKUP($A58,기본데이타!$A$8:$BV$103,COLUMN(기본데이타!BV$8),0))</f>
        <v/>
      </c>
      <c r="BT58" s="981">
        <f t="shared" si="11"/>
        <v>0</v>
      </c>
      <c r="BU58" s="242"/>
    </row>
    <row r="59" spans="1:73" s="7" customFormat="1" ht="73.5" customHeight="1">
      <c r="A59" s="171"/>
      <c r="B59" s="163"/>
      <c r="C59" s="164" t="str">
        <f>IF($A59="","",VLOOKUP($A59,기본데이타!$A$8:$BV$103,COLUMN(기본데이타!F$8),0))</f>
        <v/>
      </c>
      <c r="D59" s="165" t="str">
        <f>IF($A59="","",VLOOKUP($A59,기본데이타!$A$8:$BV$103,COLUMN(기본데이타!G$8),0))</f>
        <v/>
      </c>
      <c r="E59" s="166" t="str">
        <f>IF($A59="","",VLOOKUP($A59,기본데이타!$A$8:$BV$103,COLUMN(기본데이타!H$8),0))</f>
        <v/>
      </c>
      <c r="F59" s="166" t="str">
        <f>IF($A59="","",VLOOKUP($A59,기본데이타!$A$8:$BV$103,COLUMN(기본데이타!I$8),0))</f>
        <v/>
      </c>
      <c r="G59" s="166" t="str">
        <f>IF($A59="","",VLOOKUP($A59,기본데이타!$A$8:$BV$103,COLUMN(기본데이타!J$8),0))</f>
        <v/>
      </c>
      <c r="H59" s="167" t="str">
        <f>IF($A59="","",VLOOKUP($A59,기본데이타!$A$8:$BV$103,COLUMN(기본데이타!K$8),0))</f>
        <v/>
      </c>
      <c r="I59" s="167" t="str">
        <f>IF($A59="","",VLOOKUP($A59,기본데이타!$A$8:$BV$103,COLUMN(기본데이타!L$8),0))</f>
        <v/>
      </c>
      <c r="J59" s="167" t="str">
        <f>IF($A59="","",VLOOKUP($A59,기본데이타!$A$8:$BV$103,COLUMN(기본데이타!M$8),0))</f>
        <v/>
      </c>
      <c r="K59" s="168" t="str">
        <f>IF($A59="","",VLOOKUP($A59,기본데이타!$A$8:$BV$103,COLUMN(기본데이타!N$8),0))</f>
        <v/>
      </c>
      <c r="L59" s="167" t="str">
        <f>IF($A59="","",VLOOKUP($A59,기본데이타!$A$8:$BV$103,COLUMN(기본데이타!O$8),0))</f>
        <v/>
      </c>
      <c r="M59" s="168" t="str">
        <f>IF($A59="","",VLOOKUP($A59,기본데이타!$A$8:$BV$103,COLUMN(기본데이타!P$8),0))</f>
        <v/>
      </c>
      <c r="N59" s="168" t="str">
        <f>IF($A59="","",VLOOKUP($A59,기본데이타!$A$8:$BV$103,COLUMN(기본데이타!Q$8),0))</f>
        <v/>
      </c>
      <c r="O59" s="168" t="str">
        <f>IF($A59="","",VLOOKUP($A59,기본데이타!$A$8:$BV$103,COLUMN(기본데이타!R$8),0))</f>
        <v/>
      </c>
      <c r="P59" s="168" t="str">
        <f>IF($A59="","",VLOOKUP($A59,기본데이타!$A$8:$BV$103,COLUMN(기본데이타!S$8),0))</f>
        <v/>
      </c>
      <c r="Q59" s="168" t="str">
        <f>IF($A59="","",VLOOKUP($A59,기본데이타!$A$8:$BV$103,COLUMN(기본데이타!T$8),0))</f>
        <v/>
      </c>
      <c r="R59" s="168" t="str">
        <f>IF($A59="","",VLOOKUP($A59,기본데이타!$A$8:$BV$103,COLUMN(기본데이타!U$8),0))</f>
        <v/>
      </c>
      <c r="S59" s="168" t="str">
        <f>IF($A59="","",VLOOKUP($A59,기본데이타!$A$8:$BV$103,COLUMN(기본데이타!V$8),0))</f>
        <v/>
      </c>
      <c r="T59" s="168" t="str">
        <f>IF($A59="","",VLOOKUP($A59,기본데이타!$A$8:$BV$103,COLUMN(기본데이타!W$8),0))</f>
        <v/>
      </c>
      <c r="U59" s="168" t="str">
        <f>IF($A59="","",VLOOKUP($A59,기본데이타!$A$8:$BV$103,COLUMN(기본데이타!X$8),0))</f>
        <v/>
      </c>
      <c r="V59" s="168" t="str">
        <f>IF($A59="","",VLOOKUP($A59,기본데이타!$A$8:$BV$103,COLUMN(기본데이타!Y$8),0))</f>
        <v/>
      </c>
      <c r="W59" s="168" t="str">
        <f>IF($A59="","",VLOOKUP($A59,기본데이타!$A$8:$BV$103,COLUMN(기본데이타!Z$8),0))</f>
        <v/>
      </c>
      <c r="X59" s="168" t="str">
        <f>IF($A59="","",VLOOKUP($A59,기본데이타!$A$8:$BV$103,COLUMN(기본데이타!AA$8),0))</f>
        <v/>
      </c>
      <c r="Y59" s="168" t="str">
        <f>IF($A59="","",VLOOKUP($A59,기본데이타!$A$8:$BV$103,COLUMN(기본데이타!AB$8),0))</f>
        <v/>
      </c>
      <c r="Z59" s="167" t="str">
        <f>IF($A59="","",VLOOKUP($A59,기본데이타!$A$8:$BV$103,COLUMN(기본데이타!AC$8),0))</f>
        <v/>
      </c>
      <c r="AA59" s="168" t="str">
        <f>IF($A59="","",VLOOKUP($A59,기본데이타!$A$8:$BV$103,COLUMN(기본데이타!AD$8),0))</f>
        <v/>
      </c>
      <c r="AB59" s="167" t="str">
        <f>IF($A59="","",VLOOKUP($A59,기본데이타!$A$8:$BV$103,COLUMN(기본데이타!AE$8),0))</f>
        <v/>
      </c>
      <c r="AC59" s="168" t="str">
        <f>IF($A59="","",VLOOKUP($A59,기본데이타!$A$8:$BV$103,COLUMN(기본데이타!AF$8),0))</f>
        <v/>
      </c>
      <c r="AD59" s="167" t="str">
        <f>IF($A59="","",VLOOKUP($A59,기본데이타!$A$8:$BV$103,COLUMN(기본데이타!AG$8),0))</f>
        <v/>
      </c>
      <c r="AE59" s="168" t="str">
        <f>IF($A59="","",VLOOKUP($A59,기본데이타!$A$8:$BV$103,COLUMN(기본데이타!AH$8),0))</f>
        <v/>
      </c>
      <c r="AF59" s="167" t="str">
        <f>IF($A59="","",VLOOKUP($A59,기본데이타!$A$8:$BV$103,COLUMN(기본데이타!AI$8),0))</f>
        <v/>
      </c>
      <c r="AG59" s="169" t="str">
        <f>IF($A59="","",VLOOKUP($A59,기본데이타!$A$8:$BV$103,COLUMN(기본데이타!AJ$8),0))</f>
        <v/>
      </c>
      <c r="AH59" s="364" t="str">
        <f>IF($A59="","",VLOOKUP($A59,기본데이타!$A$8:$BV$103,COLUMN(기본데이타!AK$8),0))</f>
        <v/>
      </c>
      <c r="AI59" s="364" t="str">
        <f>IF($A59="","",VLOOKUP($A59,기본데이타!$A$8:$BV$103,COLUMN(기본데이타!AL$8),0))</f>
        <v/>
      </c>
      <c r="AJ59" s="364" t="str">
        <f>IF($A59="","",VLOOKUP($A59,기본데이타!$A$8:$BV$103,COLUMN(기본데이타!AM$8),0))</f>
        <v/>
      </c>
      <c r="AK59" s="364" t="str">
        <f>IF($A59="","",VLOOKUP($A59,기본데이타!$A$8:$BV$103,COLUMN(기본데이타!AN$8),0))</f>
        <v/>
      </c>
      <c r="AL59" s="364" t="str">
        <f>IF($A59="","",VLOOKUP($A59,기본데이타!$A$8:$BV$103,COLUMN(기본데이타!AO$8),0))</f>
        <v/>
      </c>
      <c r="AM59" s="364" t="str">
        <f>IF($A59="","",VLOOKUP($A59,기본데이타!$A$8:$BV$103,COLUMN(기본데이타!AP$8),0))</f>
        <v/>
      </c>
      <c r="AN59" s="364" t="str">
        <f>IF($A59="","",VLOOKUP($A59,기본데이타!$A$8:$BV$103,COLUMN(기본데이타!AQ$8),0))</f>
        <v/>
      </c>
      <c r="AO59" s="364" t="str">
        <f>IF($A59="","",VLOOKUP($A59,기본데이타!$A$8:$BV$103,COLUMN(기본데이타!AR$8),0))</f>
        <v/>
      </c>
      <c r="AP59" s="364" t="str">
        <f>IF($A59="","",VLOOKUP($A59,기본데이타!$A$8:$BV$103,COLUMN(기본데이타!AS$8),0))</f>
        <v/>
      </c>
      <c r="AQ59" s="364" t="str">
        <f>IF($A59="","",VLOOKUP($A59,기본데이타!$A$8:$BV$103,COLUMN(기본데이타!AT$8),0))</f>
        <v/>
      </c>
      <c r="AR59" s="364" t="str">
        <f>IF($A59="","",VLOOKUP($A59,기본데이타!$A$8:$BV$103,COLUMN(기본데이타!AU$8),0))</f>
        <v/>
      </c>
      <c r="AS59" s="364" t="str">
        <f>IF($A59="","",VLOOKUP($A59,기본데이타!$A$8:$BV$103,COLUMN(기본데이타!AV$8),0))</f>
        <v/>
      </c>
      <c r="AT59" s="358" t="str">
        <f>IF($A59="","",VLOOKUP($A59,기본데이타!$A$8:$BV$103,COLUMN(기본데이타!AW$8),0))</f>
        <v/>
      </c>
      <c r="AU59" s="358" t="str">
        <f>IF($A59="","",VLOOKUP($A59,기본데이타!$A$8:$BV$103,COLUMN(기본데이타!AX$8),0))</f>
        <v/>
      </c>
      <c r="AV59" s="358" t="str">
        <f>IF($A59="","",VLOOKUP($A59,기본데이타!$A$8:$BV$103,COLUMN(기본데이타!AY$8),0))</f>
        <v/>
      </c>
      <c r="AW59" s="358" t="str">
        <f t="shared" si="10"/>
        <v/>
      </c>
      <c r="AX59" s="168" t="str">
        <f>IF($A59="","",VLOOKUP($A59,기본데이타!$A$8:$BV$103,COLUMN(기본데이타!BA$8),0))</f>
        <v/>
      </c>
      <c r="AY59" s="168" t="str">
        <f>IF($A59="","",VLOOKUP($A59,기본데이타!$A$8:$BV$103,COLUMN(기본데이타!BB$8),0))</f>
        <v/>
      </c>
      <c r="AZ59" s="168" t="str">
        <f>IF($A59="","",VLOOKUP($A59,기본데이타!$A$8:$BV$103,COLUMN(기본데이타!BC$8),0))</f>
        <v/>
      </c>
      <c r="BA59" s="168" t="str">
        <f>IF($A59="","",VLOOKUP($A59,기본데이타!$A$8:$BV$103,COLUMN(기본데이타!BD$8),0))</f>
        <v/>
      </c>
      <c r="BB59" s="168" t="str">
        <f>IF($A59="","",VLOOKUP($A59,기본데이타!$A$8:$BV$103,COLUMN(기본데이타!BE$8),0))</f>
        <v/>
      </c>
      <c r="BC59" s="168" t="str">
        <f>IF($A59="","",VLOOKUP($A59,기본데이타!$A$8:$BV$103,COLUMN(기본데이타!BF$8),0))</f>
        <v/>
      </c>
      <c r="BD59" s="168" t="str">
        <f>IF($A59="","",VLOOKUP($A59,기본데이타!$A$8:$BV$103,COLUMN(기본데이타!BG$8),0))</f>
        <v/>
      </c>
      <c r="BE59" s="168" t="str">
        <f>IF($A59="","",VLOOKUP($A59,기본데이타!$A$8:$BV$103,COLUMN(기본데이타!BH$8),0))</f>
        <v/>
      </c>
      <c r="BF59" s="168" t="str">
        <f>IF($A59="","",VLOOKUP($A59,기본데이타!$A$8:$BV$103,COLUMN(기본데이타!BI$8),0))</f>
        <v/>
      </c>
      <c r="BG59" s="168" t="str">
        <f>IF($A59="","",VLOOKUP($A59,기본데이타!$A$8:$BV$103,COLUMN(기본데이타!BJ$8),0))</f>
        <v/>
      </c>
      <c r="BH59" s="168" t="str">
        <f>IF($A59="","",VLOOKUP($A59,기본데이타!$A$8:$BV$103,COLUMN(기본데이타!BK$8),0))</f>
        <v/>
      </c>
      <c r="BI59" s="168" t="str">
        <f>IF($A59="","",VLOOKUP($A59,기본데이타!$A$8:$BV$103,COLUMN(기본데이타!BL$8),0))</f>
        <v/>
      </c>
      <c r="BJ59" s="168" t="str">
        <f>IF($A59="","",VLOOKUP($A59,기본데이타!$A$8:$BV$103,COLUMN(기본데이타!BM$8),0))</f>
        <v/>
      </c>
      <c r="BK59" s="168" t="str">
        <f>IF($A59="","",VLOOKUP($A59,기본데이타!$A$8:$BV$103,COLUMN(기본데이타!BN$8),0))</f>
        <v/>
      </c>
      <c r="BL59" s="168" t="str">
        <f>IF($A59="","",VLOOKUP($A59,기본데이타!$A$8:$BV$103,COLUMN(기본데이타!BO$8),0))</f>
        <v/>
      </c>
      <c r="BM59" s="168" t="str">
        <f>IF($A59="","",VLOOKUP($A59,기본데이타!$A$8:$BV$103,COLUMN(기본데이타!BP$8),0))</f>
        <v/>
      </c>
      <c r="BN59" s="168" t="str">
        <f>IF($A59="","",VLOOKUP($A59,기본데이타!$A$8:$BV$103,COLUMN(기본데이타!BQ$8),0))</f>
        <v/>
      </c>
      <c r="BO59" s="168" t="str">
        <f>IF($A59="","",VLOOKUP($A59,기본데이타!$A$8:$BV$103,COLUMN(기본데이타!BR$8),0))</f>
        <v/>
      </c>
      <c r="BP59" s="168" t="str">
        <f>IF($A59="","",VLOOKUP($A59,기본데이타!$A$8:$BV$103,COLUMN(기본데이타!BS$8),0))</f>
        <v/>
      </c>
      <c r="BQ59" s="980" t="str">
        <f>IF($A59="","",VLOOKUP($A59,기본데이타!$A$8:$BV$103,COLUMN(기본데이타!BT$8),0))</f>
        <v/>
      </c>
      <c r="BR59" s="984" t="str">
        <f>IF($A59="","",VLOOKUP($A59,기본데이타!$A$8:$BV$103,COLUMN(기본데이타!BU$8),0))</f>
        <v/>
      </c>
      <c r="BS59" s="168" t="str">
        <f>IF($A59="","",VLOOKUP($A59,기본데이타!$A$8:$BV$103,COLUMN(기본데이타!BV$8),0))</f>
        <v/>
      </c>
      <c r="BT59" s="981">
        <f t="shared" si="11"/>
        <v>0</v>
      </c>
      <c r="BU59" s="242"/>
    </row>
    <row r="60" spans="1:73" s="7" customFormat="1" ht="73.5" customHeight="1">
      <c r="A60" s="171"/>
      <c r="B60" s="163"/>
      <c r="C60" s="164" t="str">
        <f>IF($A60="","",VLOOKUP($A60,기본데이타!$A$8:$BV$103,COLUMN(기본데이타!F$8),0))</f>
        <v/>
      </c>
      <c r="D60" s="165" t="str">
        <f>IF($A60="","",VLOOKUP($A60,기본데이타!$A$8:$BV$103,COLUMN(기본데이타!G$8),0))</f>
        <v/>
      </c>
      <c r="E60" s="166" t="str">
        <f>IF($A60="","",VLOOKUP($A60,기본데이타!$A$8:$BV$103,COLUMN(기본데이타!H$8),0))</f>
        <v/>
      </c>
      <c r="F60" s="166" t="str">
        <f>IF($A60="","",VLOOKUP($A60,기본데이타!$A$8:$BV$103,COLUMN(기본데이타!I$8),0))</f>
        <v/>
      </c>
      <c r="G60" s="166" t="str">
        <f>IF($A60="","",VLOOKUP($A60,기본데이타!$A$8:$BV$103,COLUMN(기본데이타!J$8),0))</f>
        <v/>
      </c>
      <c r="H60" s="167" t="str">
        <f>IF($A60="","",VLOOKUP($A60,기본데이타!$A$8:$BV$103,COLUMN(기본데이타!K$8),0))</f>
        <v/>
      </c>
      <c r="I60" s="167" t="str">
        <f>IF($A60="","",VLOOKUP($A60,기본데이타!$A$8:$BV$103,COLUMN(기본데이타!L$8),0))</f>
        <v/>
      </c>
      <c r="J60" s="167" t="str">
        <f>IF($A60="","",VLOOKUP($A60,기본데이타!$A$8:$BV$103,COLUMN(기본데이타!M$8),0))</f>
        <v/>
      </c>
      <c r="K60" s="168" t="str">
        <f>IF($A60="","",VLOOKUP($A60,기본데이타!$A$8:$BV$103,COLUMN(기본데이타!N$8),0))</f>
        <v/>
      </c>
      <c r="L60" s="167" t="str">
        <f>IF($A60="","",VLOOKUP($A60,기본데이타!$A$8:$BV$103,COLUMN(기본데이타!O$8),0))</f>
        <v/>
      </c>
      <c r="M60" s="168" t="str">
        <f>IF($A60="","",VLOOKUP($A60,기본데이타!$A$8:$BV$103,COLUMN(기본데이타!P$8),0))</f>
        <v/>
      </c>
      <c r="N60" s="168" t="str">
        <f>IF($A60="","",VLOOKUP($A60,기본데이타!$A$8:$BV$103,COLUMN(기본데이타!Q$8),0))</f>
        <v/>
      </c>
      <c r="O60" s="168" t="str">
        <f>IF($A60="","",VLOOKUP($A60,기본데이타!$A$8:$BV$103,COLUMN(기본데이타!R$8),0))</f>
        <v/>
      </c>
      <c r="P60" s="168" t="str">
        <f>IF($A60="","",VLOOKUP($A60,기본데이타!$A$8:$BV$103,COLUMN(기본데이타!S$8),0))</f>
        <v/>
      </c>
      <c r="Q60" s="168" t="str">
        <f>IF($A60="","",VLOOKUP($A60,기본데이타!$A$8:$BV$103,COLUMN(기본데이타!T$8),0))</f>
        <v/>
      </c>
      <c r="R60" s="168" t="str">
        <f>IF($A60="","",VLOOKUP($A60,기본데이타!$A$8:$BV$103,COLUMN(기본데이타!U$8),0))</f>
        <v/>
      </c>
      <c r="S60" s="168" t="str">
        <f>IF($A60="","",VLOOKUP($A60,기본데이타!$A$8:$BV$103,COLUMN(기본데이타!V$8),0))</f>
        <v/>
      </c>
      <c r="T60" s="168" t="str">
        <f>IF($A60="","",VLOOKUP($A60,기본데이타!$A$8:$BV$103,COLUMN(기본데이타!W$8),0))</f>
        <v/>
      </c>
      <c r="U60" s="168" t="str">
        <f>IF($A60="","",VLOOKUP($A60,기본데이타!$A$8:$BV$103,COLUMN(기본데이타!X$8),0))</f>
        <v/>
      </c>
      <c r="V60" s="168" t="str">
        <f>IF($A60="","",VLOOKUP($A60,기본데이타!$A$8:$BV$103,COLUMN(기본데이타!Y$8),0))</f>
        <v/>
      </c>
      <c r="W60" s="168" t="str">
        <f>IF($A60="","",VLOOKUP($A60,기본데이타!$A$8:$BV$103,COLUMN(기본데이타!Z$8),0))</f>
        <v/>
      </c>
      <c r="X60" s="168" t="str">
        <f>IF($A60="","",VLOOKUP($A60,기본데이타!$A$8:$BV$103,COLUMN(기본데이타!AA$8),0))</f>
        <v/>
      </c>
      <c r="Y60" s="168" t="str">
        <f>IF($A60="","",VLOOKUP($A60,기본데이타!$A$8:$BV$103,COLUMN(기본데이타!AB$8),0))</f>
        <v/>
      </c>
      <c r="Z60" s="167" t="str">
        <f>IF($A60="","",VLOOKUP($A60,기본데이타!$A$8:$BV$103,COLUMN(기본데이타!AC$8),0))</f>
        <v/>
      </c>
      <c r="AA60" s="168" t="str">
        <f>IF($A60="","",VLOOKUP($A60,기본데이타!$A$8:$BV$103,COLUMN(기본데이타!AD$8),0))</f>
        <v/>
      </c>
      <c r="AB60" s="167" t="str">
        <f>IF($A60="","",VLOOKUP($A60,기본데이타!$A$8:$BV$103,COLUMN(기본데이타!AE$8),0))</f>
        <v/>
      </c>
      <c r="AC60" s="168" t="str">
        <f>IF($A60="","",VLOOKUP($A60,기본데이타!$A$8:$BV$103,COLUMN(기본데이타!AF$8),0))</f>
        <v/>
      </c>
      <c r="AD60" s="167" t="str">
        <f>IF($A60="","",VLOOKUP($A60,기본데이타!$A$8:$BV$103,COLUMN(기본데이타!AG$8),0))</f>
        <v/>
      </c>
      <c r="AE60" s="168" t="str">
        <f>IF($A60="","",VLOOKUP($A60,기본데이타!$A$8:$BV$103,COLUMN(기본데이타!AH$8),0))</f>
        <v/>
      </c>
      <c r="AF60" s="167" t="str">
        <f>IF($A60="","",VLOOKUP($A60,기본데이타!$A$8:$BV$103,COLUMN(기본데이타!AI$8),0))</f>
        <v/>
      </c>
      <c r="AG60" s="169" t="str">
        <f>IF($A60="","",VLOOKUP($A60,기본데이타!$A$8:$BV$103,COLUMN(기본데이타!AJ$8),0))</f>
        <v/>
      </c>
      <c r="AH60" s="364" t="str">
        <f>IF($A60="","",VLOOKUP($A60,기본데이타!$A$8:$BV$103,COLUMN(기본데이타!AK$8),0))</f>
        <v/>
      </c>
      <c r="AI60" s="364" t="str">
        <f>IF($A60="","",VLOOKUP($A60,기본데이타!$A$8:$BV$103,COLUMN(기본데이타!AL$8),0))</f>
        <v/>
      </c>
      <c r="AJ60" s="364" t="str">
        <f>IF($A60="","",VLOOKUP($A60,기본데이타!$A$8:$BV$103,COLUMN(기본데이타!AM$8),0))</f>
        <v/>
      </c>
      <c r="AK60" s="364" t="str">
        <f>IF($A60="","",VLOOKUP($A60,기본데이타!$A$8:$BV$103,COLUMN(기본데이타!AN$8),0))</f>
        <v/>
      </c>
      <c r="AL60" s="364" t="str">
        <f>IF($A60="","",VLOOKUP($A60,기본데이타!$A$8:$BV$103,COLUMN(기본데이타!AO$8),0))</f>
        <v/>
      </c>
      <c r="AM60" s="364" t="str">
        <f>IF($A60="","",VLOOKUP($A60,기본데이타!$A$8:$BV$103,COLUMN(기본데이타!AP$8),0))</f>
        <v/>
      </c>
      <c r="AN60" s="364" t="str">
        <f>IF($A60="","",VLOOKUP($A60,기본데이타!$A$8:$BV$103,COLUMN(기본데이타!AQ$8),0))</f>
        <v/>
      </c>
      <c r="AO60" s="364" t="str">
        <f>IF($A60="","",VLOOKUP($A60,기본데이타!$A$8:$BV$103,COLUMN(기본데이타!AR$8),0))</f>
        <v/>
      </c>
      <c r="AP60" s="364" t="str">
        <f>IF($A60="","",VLOOKUP($A60,기본데이타!$A$8:$BV$103,COLUMN(기본데이타!AS$8),0))</f>
        <v/>
      </c>
      <c r="AQ60" s="364" t="str">
        <f>IF($A60="","",VLOOKUP($A60,기본데이타!$A$8:$BV$103,COLUMN(기본데이타!AT$8),0))</f>
        <v/>
      </c>
      <c r="AR60" s="364" t="str">
        <f>IF($A60="","",VLOOKUP($A60,기본데이타!$A$8:$BV$103,COLUMN(기본데이타!AU$8),0))</f>
        <v/>
      </c>
      <c r="AS60" s="364" t="str">
        <f>IF($A60="","",VLOOKUP($A60,기본데이타!$A$8:$BV$103,COLUMN(기본데이타!AV$8),0))</f>
        <v/>
      </c>
      <c r="AT60" s="358" t="str">
        <f>IF($A60="","",VLOOKUP($A60,기본데이타!$A$8:$BV$103,COLUMN(기본데이타!AW$8),0))</f>
        <v/>
      </c>
      <c r="AU60" s="358" t="str">
        <f>IF($A60="","",VLOOKUP($A60,기본데이타!$A$8:$BV$103,COLUMN(기본데이타!AX$8),0))</f>
        <v/>
      </c>
      <c r="AV60" s="358" t="str">
        <f>IF($A60="","",VLOOKUP($A60,기본데이타!$A$8:$BV$103,COLUMN(기본데이타!AY$8),0))</f>
        <v/>
      </c>
      <c r="AW60" s="358" t="str">
        <f t="shared" si="10"/>
        <v/>
      </c>
      <c r="AX60" s="168" t="str">
        <f>IF($A60="","",VLOOKUP($A60,기본데이타!$A$8:$BV$103,COLUMN(기본데이타!BA$8),0))</f>
        <v/>
      </c>
      <c r="AY60" s="168" t="str">
        <f>IF($A60="","",VLOOKUP($A60,기본데이타!$A$8:$BV$103,COLUMN(기본데이타!BB$8),0))</f>
        <v/>
      </c>
      <c r="AZ60" s="168" t="str">
        <f>IF($A60="","",VLOOKUP($A60,기본데이타!$A$8:$BV$103,COLUMN(기본데이타!BC$8),0))</f>
        <v/>
      </c>
      <c r="BA60" s="168" t="str">
        <f>IF($A60="","",VLOOKUP($A60,기본데이타!$A$8:$BV$103,COLUMN(기본데이타!BD$8),0))</f>
        <v/>
      </c>
      <c r="BB60" s="168" t="str">
        <f>IF($A60="","",VLOOKUP($A60,기본데이타!$A$8:$BV$103,COLUMN(기본데이타!BE$8),0))</f>
        <v/>
      </c>
      <c r="BC60" s="168" t="str">
        <f>IF($A60="","",VLOOKUP($A60,기본데이타!$A$8:$BV$103,COLUMN(기본데이타!BF$8),0))</f>
        <v/>
      </c>
      <c r="BD60" s="168" t="str">
        <f>IF($A60="","",VLOOKUP($A60,기본데이타!$A$8:$BV$103,COLUMN(기본데이타!BG$8),0))</f>
        <v/>
      </c>
      <c r="BE60" s="168" t="str">
        <f>IF($A60="","",VLOOKUP($A60,기본데이타!$A$8:$BV$103,COLUMN(기본데이타!BH$8),0))</f>
        <v/>
      </c>
      <c r="BF60" s="168" t="str">
        <f>IF($A60="","",VLOOKUP($A60,기본데이타!$A$8:$BV$103,COLUMN(기본데이타!BI$8),0))</f>
        <v/>
      </c>
      <c r="BG60" s="168" t="str">
        <f>IF($A60="","",VLOOKUP($A60,기본데이타!$A$8:$BV$103,COLUMN(기본데이타!BJ$8),0))</f>
        <v/>
      </c>
      <c r="BH60" s="168" t="str">
        <f>IF($A60="","",VLOOKUP($A60,기본데이타!$A$8:$BV$103,COLUMN(기본데이타!BK$8),0))</f>
        <v/>
      </c>
      <c r="BI60" s="168" t="str">
        <f>IF($A60="","",VLOOKUP($A60,기본데이타!$A$8:$BV$103,COLUMN(기본데이타!BL$8),0))</f>
        <v/>
      </c>
      <c r="BJ60" s="168" t="str">
        <f>IF($A60="","",VLOOKUP($A60,기본데이타!$A$8:$BV$103,COLUMN(기본데이타!BM$8),0))</f>
        <v/>
      </c>
      <c r="BK60" s="168" t="str">
        <f>IF($A60="","",VLOOKUP($A60,기본데이타!$A$8:$BV$103,COLUMN(기본데이타!BN$8),0))</f>
        <v/>
      </c>
      <c r="BL60" s="168" t="str">
        <f>IF($A60="","",VLOOKUP($A60,기본데이타!$A$8:$BV$103,COLUMN(기본데이타!BO$8),0))</f>
        <v/>
      </c>
      <c r="BM60" s="168" t="str">
        <f>IF($A60="","",VLOOKUP($A60,기본데이타!$A$8:$BV$103,COLUMN(기본데이타!BP$8),0))</f>
        <v/>
      </c>
      <c r="BN60" s="168" t="str">
        <f>IF($A60="","",VLOOKUP($A60,기본데이타!$A$8:$BV$103,COLUMN(기본데이타!BQ$8),0))</f>
        <v/>
      </c>
      <c r="BO60" s="168" t="str">
        <f>IF($A60="","",VLOOKUP($A60,기본데이타!$A$8:$BV$103,COLUMN(기본데이타!BR$8),0))</f>
        <v/>
      </c>
      <c r="BP60" s="168" t="str">
        <f>IF($A60="","",VLOOKUP($A60,기본데이타!$A$8:$BV$103,COLUMN(기본데이타!BS$8),0))</f>
        <v/>
      </c>
      <c r="BQ60" s="980" t="str">
        <f>IF($A60="","",VLOOKUP($A60,기본데이타!$A$8:$BV$103,COLUMN(기본데이타!BT$8),0))</f>
        <v/>
      </c>
      <c r="BR60" s="984" t="str">
        <f>IF($A60="","",VLOOKUP($A60,기본데이타!$A$8:$BV$103,COLUMN(기본데이타!BU$8),0))</f>
        <v/>
      </c>
      <c r="BS60" s="168" t="str">
        <f>IF($A60="","",VLOOKUP($A60,기본데이타!$A$8:$BV$103,COLUMN(기본데이타!BV$8),0))</f>
        <v/>
      </c>
      <c r="BT60" s="981">
        <f t="shared" si="11"/>
        <v>0</v>
      </c>
      <c r="BU60" s="242"/>
    </row>
    <row r="61" spans="1:73" s="7" customFormat="1" ht="73.5" customHeight="1">
      <c r="A61" s="171"/>
      <c r="B61" s="163"/>
      <c r="C61" s="164" t="str">
        <f>IF($A61="","",VLOOKUP($A61,기본데이타!$A$8:$BV$103,COLUMN(기본데이타!F$8),0))</f>
        <v/>
      </c>
      <c r="D61" s="165" t="str">
        <f>IF($A61="","",VLOOKUP($A61,기본데이타!$A$8:$BV$103,COLUMN(기본데이타!G$8),0))</f>
        <v/>
      </c>
      <c r="E61" s="166" t="str">
        <f>IF($A61="","",VLOOKUP($A61,기본데이타!$A$8:$BV$103,COLUMN(기본데이타!H$8),0))</f>
        <v/>
      </c>
      <c r="F61" s="166" t="str">
        <f>IF($A61="","",VLOOKUP($A61,기본데이타!$A$8:$BV$103,COLUMN(기본데이타!I$8),0))</f>
        <v/>
      </c>
      <c r="G61" s="166" t="str">
        <f>IF($A61="","",VLOOKUP($A61,기본데이타!$A$8:$BV$103,COLUMN(기본데이타!J$8),0))</f>
        <v/>
      </c>
      <c r="H61" s="167" t="str">
        <f>IF($A61="","",VLOOKUP($A61,기본데이타!$A$8:$BV$103,COLUMN(기본데이타!K$8),0))</f>
        <v/>
      </c>
      <c r="I61" s="167" t="str">
        <f>IF($A61="","",VLOOKUP($A61,기본데이타!$A$8:$BV$103,COLUMN(기본데이타!L$8),0))</f>
        <v/>
      </c>
      <c r="J61" s="167" t="str">
        <f>IF($A61="","",VLOOKUP($A61,기본데이타!$A$8:$BV$103,COLUMN(기본데이타!M$8),0))</f>
        <v/>
      </c>
      <c r="K61" s="168" t="str">
        <f>IF($A61="","",VLOOKUP($A61,기본데이타!$A$8:$BV$103,COLUMN(기본데이타!N$8),0))</f>
        <v/>
      </c>
      <c r="L61" s="167" t="str">
        <f>IF($A61="","",VLOOKUP($A61,기본데이타!$A$8:$BV$103,COLUMN(기본데이타!O$8),0))</f>
        <v/>
      </c>
      <c r="M61" s="168" t="str">
        <f>IF($A61="","",VLOOKUP($A61,기본데이타!$A$8:$BV$103,COLUMN(기본데이타!P$8),0))</f>
        <v/>
      </c>
      <c r="N61" s="168" t="str">
        <f>IF($A61="","",VLOOKUP($A61,기본데이타!$A$8:$BV$103,COLUMN(기본데이타!Q$8),0))</f>
        <v/>
      </c>
      <c r="O61" s="168" t="str">
        <f>IF($A61="","",VLOOKUP($A61,기본데이타!$A$8:$BV$103,COLUMN(기본데이타!R$8),0))</f>
        <v/>
      </c>
      <c r="P61" s="168" t="str">
        <f>IF($A61="","",VLOOKUP($A61,기본데이타!$A$8:$BV$103,COLUMN(기본데이타!S$8),0))</f>
        <v/>
      </c>
      <c r="Q61" s="168" t="str">
        <f>IF($A61="","",VLOOKUP($A61,기본데이타!$A$8:$BV$103,COLUMN(기본데이타!T$8),0))</f>
        <v/>
      </c>
      <c r="R61" s="168" t="str">
        <f>IF($A61="","",VLOOKUP($A61,기본데이타!$A$8:$BV$103,COLUMN(기본데이타!U$8),0))</f>
        <v/>
      </c>
      <c r="S61" s="168" t="str">
        <f>IF($A61="","",VLOOKUP($A61,기본데이타!$A$8:$BV$103,COLUMN(기본데이타!V$8),0))</f>
        <v/>
      </c>
      <c r="T61" s="168" t="str">
        <f>IF($A61="","",VLOOKUP($A61,기본데이타!$A$8:$BV$103,COLUMN(기본데이타!W$8),0))</f>
        <v/>
      </c>
      <c r="U61" s="168" t="str">
        <f>IF($A61="","",VLOOKUP($A61,기본데이타!$A$8:$BV$103,COLUMN(기본데이타!X$8),0))</f>
        <v/>
      </c>
      <c r="V61" s="168" t="str">
        <f>IF($A61="","",VLOOKUP($A61,기본데이타!$A$8:$BV$103,COLUMN(기본데이타!Y$8),0))</f>
        <v/>
      </c>
      <c r="W61" s="168" t="str">
        <f>IF($A61="","",VLOOKUP($A61,기본데이타!$A$8:$BV$103,COLUMN(기본데이타!Z$8),0))</f>
        <v/>
      </c>
      <c r="X61" s="168" t="str">
        <f>IF($A61="","",VLOOKUP($A61,기본데이타!$A$8:$BV$103,COLUMN(기본데이타!AA$8),0))</f>
        <v/>
      </c>
      <c r="Y61" s="168" t="str">
        <f>IF($A61="","",VLOOKUP($A61,기본데이타!$A$8:$BV$103,COLUMN(기본데이타!AB$8),0))</f>
        <v/>
      </c>
      <c r="Z61" s="167" t="str">
        <f>IF($A61="","",VLOOKUP($A61,기본데이타!$A$8:$BV$103,COLUMN(기본데이타!AC$8),0))</f>
        <v/>
      </c>
      <c r="AA61" s="168" t="str">
        <f>IF($A61="","",VLOOKUP($A61,기본데이타!$A$8:$BV$103,COLUMN(기본데이타!AD$8),0))</f>
        <v/>
      </c>
      <c r="AB61" s="167" t="str">
        <f>IF($A61="","",VLOOKUP($A61,기본데이타!$A$8:$BV$103,COLUMN(기본데이타!AE$8),0))</f>
        <v/>
      </c>
      <c r="AC61" s="168" t="str">
        <f>IF($A61="","",VLOOKUP($A61,기본데이타!$A$8:$BV$103,COLUMN(기본데이타!AF$8),0))</f>
        <v/>
      </c>
      <c r="AD61" s="167" t="str">
        <f>IF($A61="","",VLOOKUP($A61,기본데이타!$A$8:$BV$103,COLUMN(기본데이타!AG$8),0))</f>
        <v/>
      </c>
      <c r="AE61" s="168" t="str">
        <f>IF($A61="","",VLOOKUP($A61,기본데이타!$A$8:$BV$103,COLUMN(기본데이타!AH$8),0))</f>
        <v/>
      </c>
      <c r="AF61" s="167" t="str">
        <f>IF($A61="","",VLOOKUP($A61,기본데이타!$A$8:$BV$103,COLUMN(기본데이타!AI$8),0))</f>
        <v/>
      </c>
      <c r="AG61" s="169" t="str">
        <f>IF($A61="","",VLOOKUP($A61,기본데이타!$A$8:$BV$103,COLUMN(기본데이타!AJ$8),0))</f>
        <v/>
      </c>
      <c r="AH61" s="364" t="str">
        <f>IF($A61="","",VLOOKUP($A61,기본데이타!$A$8:$BV$103,COLUMN(기본데이타!AK$8),0))</f>
        <v/>
      </c>
      <c r="AI61" s="364" t="str">
        <f>IF($A61="","",VLOOKUP($A61,기본데이타!$A$8:$BV$103,COLUMN(기본데이타!AL$8),0))</f>
        <v/>
      </c>
      <c r="AJ61" s="364" t="str">
        <f>IF($A61="","",VLOOKUP($A61,기본데이타!$A$8:$BV$103,COLUMN(기본데이타!AM$8),0))</f>
        <v/>
      </c>
      <c r="AK61" s="364" t="str">
        <f>IF($A61="","",VLOOKUP($A61,기본데이타!$A$8:$BV$103,COLUMN(기본데이타!AN$8),0))</f>
        <v/>
      </c>
      <c r="AL61" s="364" t="str">
        <f>IF($A61="","",VLOOKUP($A61,기본데이타!$A$8:$BV$103,COLUMN(기본데이타!AO$8),0))</f>
        <v/>
      </c>
      <c r="AM61" s="364" t="str">
        <f>IF($A61="","",VLOOKUP($A61,기본데이타!$A$8:$BV$103,COLUMN(기본데이타!AP$8),0))</f>
        <v/>
      </c>
      <c r="AN61" s="364" t="str">
        <f>IF($A61="","",VLOOKUP($A61,기본데이타!$A$8:$BV$103,COLUMN(기본데이타!AQ$8),0))</f>
        <v/>
      </c>
      <c r="AO61" s="364" t="str">
        <f>IF($A61="","",VLOOKUP($A61,기본데이타!$A$8:$BV$103,COLUMN(기본데이타!AR$8),0))</f>
        <v/>
      </c>
      <c r="AP61" s="364" t="str">
        <f>IF($A61="","",VLOOKUP($A61,기본데이타!$A$8:$BV$103,COLUMN(기본데이타!AS$8),0))</f>
        <v/>
      </c>
      <c r="AQ61" s="364" t="str">
        <f>IF($A61="","",VLOOKUP($A61,기본데이타!$A$8:$BV$103,COLUMN(기본데이타!AT$8),0))</f>
        <v/>
      </c>
      <c r="AR61" s="364" t="str">
        <f>IF($A61="","",VLOOKUP($A61,기본데이타!$A$8:$BV$103,COLUMN(기본데이타!AU$8),0))</f>
        <v/>
      </c>
      <c r="AS61" s="364" t="str">
        <f>IF($A61="","",VLOOKUP($A61,기본데이타!$A$8:$BV$103,COLUMN(기본데이타!AV$8),0))</f>
        <v/>
      </c>
      <c r="AT61" s="358" t="str">
        <f>IF($A61="","",VLOOKUP($A61,기본데이타!$A$8:$BV$103,COLUMN(기본데이타!AW$8),0))</f>
        <v/>
      </c>
      <c r="AU61" s="358" t="str">
        <f>IF($A61="","",VLOOKUP($A61,기본데이타!$A$8:$BV$103,COLUMN(기본데이타!AX$8),0))</f>
        <v/>
      </c>
      <c r="AV61" s="358" t="str">
        <f>IF($A61="","",VLOOKUP($A61,기본데이타!$A$8:$BV$103,COLUMN(기본데이타!AY$8),0))</f>
        <v/>
      </c>
      <c r="AW61" s="358" t="str">
        <f t="shared" si="10"/>
        <v/>
      </c>
      <c r="AX61" s="168" t="str">
        <f>IF($A61="","",VLOOKUP($A61,기본데이타!$A$8:$BV$103,COLUMN(기본데이타!BA$8),0))</f>
        <v/>
      </c>
      <c r="AY61" s="168" t="str">
        <f>IF($A61="","",VLOOKUP($A61,기본데이타!$A$8:$BV$103,COLUMN(기본데이타!BB$8),0))</f>
        <v/>
      </c>
      <c r="AZ61" s="168" t="str">
        <f>IF($A61="","",VLOOKUP($A61,기본데이타!$A$8:$BV$103,COLUMN(기본데이타!BC$8),0))</f>
        <v/>
      </c>
      <c r="BA61" s="168" t="str">
        <f>IF($A61="","",VLOOKUP($A61,기본데이타!$A$8:$BV$103,COLUMN(기본데이타!BD$8),0))</f>
        <v/>
      </c>
      <c r="BB61" s="168" t="str">
        <f>IF($A61="","",VLOOKUP($A61,기본데이타!$A$8:$BV$103,COLUMN(기본데이타!BE$8),0))</f>
        <v/>
      </c>
      <c r="BC61" s="168" t="str">
        <f>IF($A61="","",VLOOKUP($A61,기본데이타!$A$8:$BV$103,COLUMN(기본데이타!BF$8),0))</f>
        <v/>
      </c>
      <c r="BD61" s="168" t="str">
        <f>IF($A61="","",VLOOKUP($A61,기본데이타!$A$8:$BV$103,COLUMN(기본데이타!BG$8),0))</f>
        <v/>
      </c>
      <c r="BE61" s="168" t="str">
        <f>IF($A61="","",VLOOKUP($A61,기본데이타!$A$8:$BV$103,COLUMN(기본데이타!BH$8),0))</f>
        <v/>
      </c>
      <c r="BF61" s="168" t="str">
        <f>IF($A61="","",VLOOKUP($A61,기본데이타!$A$8:$BV$103,COLUMN(기본데이타!BI$8),0))</f>
        <v/>
      </c>
      <c r="BG61" s="168" t="str">
        <f>IF($A61="","",VLOOKUP($A61,기본데이타!$A$8:$BV$103,COLUMN(기본데이타!BJ$8),0))</f>
        <v/>
      </c>
      <c r="BH61" s="168" t="str">
        <f>IF($A61="","",VLOOKUP($A61,기본데이타!$A$8:$BV$103,COLUMN(기본데이타!BK$8),0))</f>
        <v/>
      </c>
      <c r="BI61" s="168" t="str">
        <f>IF($A61="","",VLOOKUP($A61,기본데이타!$A$8:$BV$103,COLUMN(기본데이타!BL$8),0))</f>
        <v/>
      </c>
      <c r="BJ61" s="168" t="str">
        <f>IF($A61="","",VLOOKUP($A61,기본데이타!$A$8:$BV$103,COLUMN(기본데이타!BM$8),0))</f>
        <v/>
      </c>
      <c r="BK61" s="168" t="str">
        <f>IF($A61="","",VLOOKUP($A61,기본데이타!$A$8:$BV$103,COLUMN(기본데이타!BN$8),0))</f>
        <v/>
      </c>
      <c r="BL61" s="168" t="str">
        <f>IF($A61="","",VLOOKUP($A61,기본데이타!$A$8:$BV$103,COLUMN(기본데이타!BO$8),0))</f>
        <v/>
      </c>
      <c r="BM61" s="168" t="str">
        <f>IF($A61="","",VLOOKUP($A61,기본데이타!$A$8:$BV$103,COLUMN(기본데이타!BP$8),0))</f>
        <v/>
      </c>
      <c r="BN61" s="168" t="str">
        <f>IF($A61="","",VLOOKUP($A61,기본데이타!$A$8:$BV$103,COLUMN(기본데이타!BQ$8),0))</f>
        <v/>
      </c>
      <c r="BO61" s="168" t="str">
        <f>IF($A61="","",VLOOKUP($A61,기본데이타!$A$8:$BV$103,COLUMN(기본데이타!BR$8),0))</f>
        <v/>
      </c>
      <c r="BP61" s="168" t="str">
        <f>IF($A61="","",VLOOKUP($A61,기본데이타!$A$8:$BV$103,COLUMN(기본데이타!BS$8),0))</f>
        <v/>
      </c>
      <c r="BQ61" s="980" t="str">
        <f>IF($A61="","",VLOOKUP($A61,기본데이타!$A$8:$BV$103,COLUMN(기본데이타!BT$8),0))</f>
        <v/>
      </c>
      <c r="BR61" s="984" t="str">
        <f>IF($A61="","",VLOOKUP($A61,기본데이타!$A$8:$BV$103,COLUMN(기본데이타!BU$8),0))</f>
        <v/>
      </c>
      <c r="BS61" s="168" t="str">
        <f>IF($A61="","",VLOOKUP($A61,기본데이타!$A$8:$BV$103,COLUMN(기본데이타!BV$8),0))</f>
        <v/>
      </c>
      <c r="BT61" s="981">
        <f t="shared" si="11"/>
        <v>0</v>
      </c>
      <c r="BU61" s="242"/>
    </row>
    <row r="62" spans="1:73" s="7" customFormat="1" ht="73.5" customHeight="1">
      <c r="A62" s="171"/>
      <c r="B62" s="163"/>
      <c r="C62" s="164" t="str">
        <f>IF($A62="","",VLOOKUP($A62,기본데이타!$A$8:$BV$103,COLUMN(기본데이타!F$8),0))</f>
        <v/>
      </c>
      <c r="D62" s="165" t="str">
        <f>IF($A62="","",VLOOKUP($A62,기본데이타!$A$8:$BV$103,COLUMN(기본데이타!G$8),0))</f>
        <v/>
      </c>
      <c r="E62" s="166" t="str">
        <f>IF($A62="","",VLOOKUP($A62,기본데이타!$A$8:$BV$103,COLUMN(기본데이타!H$8),0))</f>
        <v/>
      </c>
      <c r="F62" s="166" t="str">
        <f>IF($A62="","",VLOOKUP($A62,기본데이타!$A$8:$BV$103,COLUMN(기본데이타!I$8),0))</f>
        <v/>
      </c>
      <c r="G62" s="166" t="str">
        <f>IF($A62="","",VLOOKUP($A62,기본데이타!$A$8:$BV$103,COLUMN(기본데이타!J$8),0))</f>
        <v/>
      </c>
      <c r="H62" s="167" t="str">
        <f>IF($A62="","",VLOOKUP($A62,기본데이타!$A$8:$BV$103,COLUMN(기본데이타!K$8),0))</f>
        <v/>
      </c>
      <c r="I62" s="167" t="str">
        <f>IF($A62="","",VLOOKUP($A62,기본데이타!$A$8:$BV$103,COLUMN(기본데이타!L$8),0))</f>
        <v/>
      </c>
      <c r="J62" s="167" t="str">
        <f>IF($A62="","",VLOOKUP($A62,기본데이타!$A$8:$BV$103,COLUMN(기본데이타!M$8),0))</f>
        <v/>
      </c>
      <c r="K62" s="168" t="str">
        <f>IF($A62="","",VLOOKUP($A62,기본데이타!$A$8:$BV$103,COLUMN(기본데이타!N$8),0))</f>
        <v/>
      </c>
      <c r="L62" s="167" t="str">
        <f>IF($A62="","",VLOOKUP($A62,기본데이타!$A$8:$BV$103,COLUMN(기본데이타!O$8),0))</f>
        <v/>
      </c>
      <c r="M62" s="168" t="str">
        <f>IF($A62="","",VLOOKUP($A62,기본데이타!$A$8:$BV$103,COLUMN(기본데이타!P$8),0))</f>
        <v/>
      </c>
      <c r="N62" s="168" t="str">
        <f>IF($A62="","",VLOOKUP($A62,기본데이타!$A$8:$BV$103,COLUMN(기본데이타!Q$8),0))</f>
        <v/>
      </c>
      <c r="O62" s="168" t="str">
        <f>IF($A62="","",VLOOKUP($A62,기본데이타!$A$8:$BV$103,COLUMN(기본데이타!R$8),0))</f>
        <v/>
      </c>
      <c r="P62" s="168" t="str">
        <f>IF($A62="","",VLOOKUP($A62,기본데이타!$A$8:$BV$103,COLUMN(기본데이타!S$8),0))</f>
        <v/>
      </c>
      <c r="Q62" s="168" t="str">
        <f>IF($A62="","",VLOOKUP($A62,기본데이타!$A$8:$BV$103,COLUMN(기본데이타!T$8),0))</f>
        <v/>
      </c>
      <c r="R62" s="168" t="str">
        <f>IF($A62="","",VLOOKUP($A62,기본데이타!$A$8:$BV$103,COLUMN(기본데이타!U$8),0))</f>
        <v/>
      </c>
      <c r="S62" s="168" t="str">
        <f>IF($A62="","",VLOOKUP($A62,기본데이타!$A$8:$BV$103,COLUMN(기본데이타!V$8),0))</f>
        <v/>
      </c>
      <c r="T62" s="168" t="str">
        <f>IF($A62="","",VLOOKUP($A62,기본데이타!$A$8:$BV$103,COLUMN(기본데이타!W$8),0))</f>
        <v/>
      </c>
      <c r="U62" s="168" t="str">
        <f>IF($A62="","",VLOOKUP($A62,기본데이타!$A$8:$BV$103,COLUMN(기본데이타!X$8),0))</f>
        <v/>
      </c>
      <c r="V62" s="168" t="str">
        <f>IF($A62="","",VLOOKUP($A62,기본데이타!$A$8:$BV$103,COLUMN(기본데이타!Y$8),0))</f>
        <v/>
      </c>
      <c r="W62" s="168" t="str">
        <f>IF($A62="","",VLOOKUP($A62,기본데이타!$A$8:$BV$103,COLUMN(기본데이타!Z$8),0))</f>
        <v/>
      </c>
      <c r="X62" s="168" t="str">
        <f>IF($A62="","",VLOOKUP($A62,기본데이타!$A$8:$BV$103,COLUMN(기본데이타!AA$8),0))</f>
        <v/>
      </c>
      <c r="Y62" s="168" t="str">
        <f>IF($A62="","",VLOOKUP($A62,기본데이타!$A$8:$BV$103,COLUMN(기본데이타!AB$8),0))</f>
        <v/>
      </c>
      <c r="Z62" s="167" t="str">
        <f>IF($A62="","",VLOOKUP($A62,기본데이타!$A$8:$BV$103,COLUMN(기본데이타!AC$8),0))</f>
        <v/>
      </c>
      <c r="AA62" s="168" t="str">
        <f>IF($A62="","",VLOOKUP($A62,기본데이타!$A$8:$BV$103,COLUMN(기본데이타!AD$8),0))</f>
        <v/>
      </c>
      <c r="AB62" s="167" t="str">
        <f>IF($A62="","",VLOOKUP($A62,기본데이타!$A$8:$BV$103,COLUMN(기본데이타!AE$8),0))</f>
        <v/>
      </c>
      <c r="AC62" s="168" t="str">
        <f>IF($A62="","",VLOOKUP($A62,기본데이타!$A$8:$BV$103,COLUMN(기본데이타!AF$8),0))</f>
        <v/>
      </c>
      <c r="AD62" s="167" t="str">
        <f>IF($A62="","",VLOOKUP($A62,기본데이타!$A$8:$BV$103,COLUMN(기본데이타!AG$8),0))</f>
        <v/>
      </c>
      <c r="AE62" s="168" t="str">
        <f>IF($A62="","",VLOOKUP($A62,기본데이타!$A$8:$BV$103,COLUMN(기본데이타!AH$8),0))</f>
        <v/>
      </c>
      <c r="AF62" s="167" t="str">
        <f>IF($A62="","",VLOOKUP($A62,기본데이타!$A$8:$BV$103,COLUMN(기본데이타!AI$8),0))</f>
        <v/>
      </c>
      <c r="AG62" s="169" t="str">
        <f>IF($A62="","",VLOOKUP($A62,기본데이타!$A$8:$BV$103,COLUMN(기본데이타!AJ$8),0))</f>
        <v/>
      </c>
      <c r="AH62" s="364" t="str">
        <f>IF($A62="","",VLOOKUP($A62,기본데이타!$A$8:$BV$103,COLUMN(기본데이타!AK$8),0))</f>
        <v/>
      </c>
      <c r="AI62" s="364" t="str">
        <f>IF($A62="","",VLOOKUP($A62,기본데이타!$A$8:$BV$103,COLUMN(기본데이타!AL$8),0))</f>
        <v/>
      </c>
      <c r="AJ62" s="364" t="str">
        <f>IF($A62="","",VLOOKUP($A62,기본데이타!$A$8:$BV$103,COLUMN(기본데이타!AM$8),0))</f>
        <v/>
      </c>
      <c r="AK62" s="364" t="str">
        <f>IF($A62="","",VLOOKUP($A62,기본데이타!$A$8:$BV$103,COLUMN(기본데이타!AN$8),0))</f>
        <v/>
      </c>
      <c r="AL62" s="364" t="str">
        <f>IF($A62="","",VLOOKUP($A62,기본데이타!$A$8:$BV$103,COLUMN(기본데이타!AO$8),0))</f>
        <v/>
      </c>
      <c r="AM62" s="364" t="str">
        <f>IF($A62="","",VLOOKUP($A62,기본데이타!$A$8:$BV$103,COLUMN(기본데이타!AP$8),0))</f>
        <v/>
      </c>
      <c r="AN62" s="364" t="str">
        <f>IF($A62="","",VLOOKUP($A62,기본데이타!$A$8:$BV$103,COLUMN(기본데이타!AQ$8),0))</f>
        <v/>
      </c>
      <c r="AO62" s="364" t="str">
        <f>IF($A62="","",VLOOKUP($A62,기본데이타!$A$8:$BV$103,COLUMN(기본데이타!AR$8),0))</f>
        <v/>
      </c>
      <c r="AP62" s="364" t="str">
        <f>IF($A62="","",VLOOKUP($A62,기본데이타!$A$8:$BV$103,COLUMN(기본데이타!AS$8),0))</f>
        <v/>
      </c>
      <c r="AQ62" s="364" t="str">
        <f>IF($A62="","",VLOOKUP($A62,기본데이타!$A$8:$BV$103,COLUMN(기본데이타!AT$8),0))</f>
        <v/>
      </c>
      <c r="AR62" s="364" t="str">
        <f>IF($A62="","",VLOOKUP($A62,기본데이타!$A$8:$BV$103,COLUMN(기본데이타!AU$8),0))</f>
        <v/>
      </c>
      <c r="AS62" s="364" t="str">
        <f>IF($A62="","",VLOOKUP($A62,기본데이타!$A$8:$BV$103,COLUMN(기본데이타!AV$8),0))</f>
        <v/>
      </c>
      <c r="AT62" s="358" t="str">
        <f>IF($A62="","",VLOOKUP($A62,기본데이타!$A$8:$BV$103,COLUMN(기본데이타!AW$8),0))</f>
        <v/>
      </c>
      <c r="AU62" s="358" t="str">
        <f>IF($A62="","",VLOOKUP($A62,기본데이타!$A$8:$BV$103,COLUMN(기본데이타!AX$8),0))</f>
        <v/>
      </c>
      <c r="AV62" s="358" t="str">
        <f>IF($A62="","",VLOOKUP($A62,기본데이타!$A$8:$BV$103,COLUMN(기본데이타!AY$8),0))</f>
        <v/>
      </c>
      <c r="AW62" s="358" t="str">
        <f t="shared" si="10"/>
        <v/>
      </c>
      <c r="AX62" s="168" t="str">
        <f>IF($A62="","",VLOOKUP($A62,기본데이타!$A$8:$BV$103,COLUMN(기본데이타!BA$8),0))</f>
        <v/>
      </c>
      <c r="AY62" s="168" t="str">
        <f>IF($A62="","",VLOOKUP($A62,기본데이타!$A$8:$BV$103,COLUMN(기본데이타!BB$8),0))</f>
        <v/>
      </c>
      <c r="AZ62" s="168" t="str">
        <f>IF($A62="","",VLOOKUP($A62,기본데이타!$A$8:$BV$103,COLUMN(기본데이타!BC$8),0))</f>
        <v/>
      </c>
      <c r="BA62" s="168" t="str">
        <f>IF($A62="","",VLOOKUP($A62,기본데이타!$A$8:$BV$103,COLUMN(기본데이타!BD$8),0))</f>
        <v/>
      </c>
      <c r="BB62" s="168" t="str">
        <f>IF($A62="","",VLOOKUP($A62,기본데이타!$A$8:$BV$103,COLUMN(기본데이타!BE$8),0))</f>
        <v/>
      </c>
      <c r="BC62" s="168" t="str">
        <f>IF($A62="","",VLOOKUP($A62,기본데이타!$A$8:$BV$103,COLUMN(기본데이타!BF$8),0))</f>
        <v/>
      </c>
      <c r="BD62" s="168" t="str">
        <f>IF($A62="","",VLOOKUP($A62,기본데이타!$A$8:$BV$103,COLUMN(기본데이타!BG$8),0))</f>
        <v/>
      </c>
      <c r="BE62" s="168" t="str">
        <f>IF($A62="","",VLOOKUP($A62,기본데이타!$A$8:$BV$103,COLUMN(기본데이타!BH$8),0))</f>
        <v/>
      </c>
      <c r="BF62" s="168" t="str">
        <f>IF($A62="","",VLOOKUP($A62,기본데이타!$A$8:$BV$103,COLUMN(기본데이타!BI$8),0))</f>
        <v/>
      </c>
      <c r="BG62" s="168" t="str">
        <f>IF($A62="","",VLOOKUP($A62,기본데이타!$A$8:$BV$103,COLUMN(기본데이타!BJ$8),0))</f>
        <v/>
      </c>
      <c r="BH62" s="168" t="str">
        <f>IF($A62="","",VLOOKUP($A62,기본데이타!$A$8:$BV$103,COLUMN(기본데이타!BK$8),0))</f>
        <v/>
      </c>
      <c r="BI62" s="168" t="str">
        <f>IF($A62="","",VLOOKUP($A62,기본데이타!$A$8:$BV$103,COLUMN(기본데이타!BL$8),0))</f>
        <v/>
      </c>
      <c r="BJ62" s="168" t="str">
        <f>IF($A62="","",VLOOKUP($A62,기본데이타!$A$8:$BV$103,COLUMN(기본데이타!BM$8),0))</f>
        <v/>
      </c>
      <c r="BK62" s="168" t="str">
        <f>IF($A62="","",VLOOKUP($A62,기본데이타!$A$8:$BV$103,COLUMN(기본데이타!BN$8),0))</f>
        <v/>
      </c>
      <c r="BL62" s="168" t="str">
        <f>IF($A62="","",VLOOKUP($A62,기본데이타!$A$8:$BV$103,COLUMN(기본데이타!BO$8),0))</f>
        <v/>
      </c>
      <c r="BM62" s="168" t="str">
        <f>IF($A62="","",VLOOKUP($A62,기본데이타!$A$8:$BV$103,COLUMN(기본데이타!BP$8),0))</f>
        <v/>
      </c>
      <c r="BN62" s="168" t="str">
        <f>IF($A62="","",VLOOKUP($A62,기본데이타!$A$8:$BV$103,COLUMN(기본데이타!BQ$8),0))</f>
        <v/>
      </c>
      <c r="BO62" s="168" t="str">
        <f>IF($A62="","",VLOOKUP($A62,기본데이타!$A$8:$BV$103,COLUMN(기본데이타!BR$8),0))</f>
        <v/>
      </c>
      <c r="BP62" s="168" t="str">
        <f>IF($A62="","",VLOOKUP($A62,기본데이타!$A$8:$BV$103,COLUMN(기본데이타!BS$8),0))</f>
        <v/>
      </c>
      <c r="BQ62" s="980" t="str">
        <f>IF($A62="","",VLOOKUP($A62,기본데이타!$A$8:$BV$103,COLUMN(기본데이타!BT$8),0))</f>
        <v/>
      </c>
      <c r="BR62" s="984" t="str">
        <f>IF($A62="","",VLOOKUP($A62,기본데이타!$A$8:$BV$103,COLUMN(기본데이타!BU$8),0))</f>
        <v/>
      </c>
      <c r="BS62" s="168" t="str">
        <f>IF($A62="","",VLOOKUP($A62,기본데이타!$A$8:$BV$103,COLUMN(기본데이타!BV$8),0))</f>
        <v/>
      </c>
      <c r="BT62" s="981">
        <f t="shared" si="11"/>
        <v>0</v>
      </c>
      <c r="BU62" s="242"/>
    </row>
    <row r="63" spans="1:73" s="7" customFormat="1" ht="73.5" customHeight="1">
      <c r="A63" s="171"/>
      <c r="B63" s="163"/>
      <c r="C63" s="164" t="str">
        <f>IF($A63="","",VLOOKUP($A63,기본데이타!$A$8:$BV$103,COLUMN(기본데이타!F$8),0))</f>
        <v/>
      </c>
      <c r="D63" s="165" t="str">
        <f>IF($A63="","",VLOOKUP($A63,기본데이타!$A$8:$BV$103,COLUMN(기본데이타!G$8),0))</f>
        <v/>
      </c>
      <c r="E63" s="166" t="str">
        <f>IF($A63="","",VLOOKUP($A63,기본데이타!$A$8:$BV$103,COLUMN(기본데이타!H$8),0))</f>
        <v/>
      </c>
      <c r="F63" s="166" t="str">
        <f>IF($A63="","",VLOOKUP($A63,기본데이타!$A$8:$BV$103,COLUMN(기본데이타!I$8),0))</f>
        <v/>
      </c>
      <c r="G63" s="166" t="str">
        <f>IF($A63="","",VLOOKUP($A63,기본데이타!$A$8:$BV$103,COLUMN(기본데이타!J$8),0))</f>
        <v/>
      </c>
      <c r="H63" s="167" t="str">
        <f>IF($A63="","",VLOOKUP($A63,기본데이타!$A$8:$BV$103,COLUMN(기본데이타!K$8),0))</f>
        <v/>
      </c>
      <c r="I63" s="167" t="str">
        <f>IF($A63="","",VLOOKUP($A63,기본데이타!$A$8:$BV$103,COLUMN(기본데이타!L$8),0))</f>
        <v/>
      </c>
      <c r="J63" s="167" t="str">
        <f>IF($A63="","",VLOOKUP($A63,기본데이타!$A$8:$BV$103,COLUMN(기본데이타!M$8),0))</f>
        <v/>
      </c>
      <c r="K63" s="168" t="str">
        <f>IF($A63="","",VLOOKUP($A63,기본데이타!$A$8:$BV$103,COLUMN(기본데이타!N$8),0))</f>
        <v/>
      </c>
      <c r="L63" s="167" t="str">
        <f>IF($A63="","",VLOOKUP($A63,기본데이타!$A$8:$BV$103,COLUMN(기본데이타!O$8),0))</f>
        <v/>
      </c>
      <c r="M63" s="168" t="str">
        <f>IF($A63="","",VLOOKUP($A63,기본데이타!$A$8:$BV$103,COLUMN(기본데이타!P$8),0))</f>
        <v/>
      </c>
      <c r="N63" s="168" t="str">
        <f>IF($A63="","",VLOOKUP($A63,기본데이타!$A$8:$BV$103,COLUMN(기본데이타!Q$8),0))</f>
        <v/>
      </c>
      <c r="O63" s="168" t="str">
        <f>IF($A63="","",VLOOKUP($A63,기본데이타!$A$8:$BV$103,COLUMN(기본데이타!R$8),0))</f>
        <v/>
      </c>
      <c r="P63" s="168" t="str">
        <f>IF($A63="","",VLOOKUP($A63,기본데이타!$A$8:$BV$103,COLUMN(기본데이타!S$8),0))</f>
        <v/>
      </c>
      <c r="Q63" s="168" t="str">
        <f>IF($A63="","",VLOOKUP($A63,기본데이타!$A$8:$BV$103,COLUMN(기본데이타!T$8),0))</f>
        <v/>
      </c>
      <c r="R63" s="168" t="str">
        <f>IF($A63="","",VLOOKUP($A63,기본데이타!$A$8:$BV$103,COLUMN(기본데이타!U$8),0))</f>
        <v/>
      </c>
      <c r="S63" s="168" t="str">
        <f>IF($A63="","",VLOOKUP($A63,기본데이타!$A$8:$BV$103,COLUMN(기본데이타!V$8),0))</f>
        <v/>
      </c>
      <c r="T63" s="168" t="str">
        <f>IF($A63="","",VLOOKUP($A63,기본데이타!$A$8:$BV$103,COLUMN(기본데이타!W$8),0))</f>
        <v/>
      </c>
      <c r="U63" s="168" t="str">
        <f>IF($A63="","",VLOOKUP($A63,기본데이타!$A$8:$BV$103,COLUMN(기본데이타!X$8),0))</f>
        <v/>
      </c>
      <c r="V63" s="168" t="str">
        <f>IF($A63="","",VLOOKUP($A63,기본데이타!$A$8:$BV$103,COLUMN(기본데이타!Y$8),0))</f>
        <v/>
      </c>
      <c r="W63" s="168" t="str">
        <f>IF($A63="","",VLOOKUP($A63,기본데이타!$A$8:$BV$103,COLUMN(기본데이타!Z$8),0))</f>
        <v/>
      </c>
      <c r="X63" s="168" t="str">
        <f>IF($A63="","",VLOOKUP($A63,기본데이타!$A$8:$BV$103,COLUMN(기본데이타!AA$8),0))</f>
        <v/>
      </c>
      <c r="Y63" s="168" t="str">
        <f>IF($A63="","",VLOOKUP($A63,기본데이타!$A$8:$BV$103,COLUMN(기본데이타!AB$8),0))</f>
        <v/>
      </c>
      <c r="Z63" s="167" t="str">
        <f>IF($A63="","",VLOOKUP($A63,기본데이타!$A$8:$BV$103,COLUMN(기본데이타!AC$8),0))</f>
        <v/>
      </c>
      <c r="AA63" s="168" t="str">
        <f>IF($A63="","",VLOOKUP($A63,기본데이타!$A$8:$BV$103,COLUMN(기본데이타!AD$8),0))</f>
        <v/>
      </c>
      <c r="AB63" s="167" t="str">
        <f>IF($A63="","",VLOOKUP($A63,기본데이타!$A$8:$BV$103,COLUMN(기본데이타!AE$8),0))</f>
        <v/>
      </c>
      <c r="AC63" s="168" t="str">
        <f>IF($A63="","",VLOOKUP($A63,기본데이타!$A$8:$BV$103,COLUMN(기본데이타!AF$8),0))</f>
        <v/>
      </c>
      <c r="AD63" s="167" t="str">
        <f>IF($A63="","",VLOOKUP($A63,기본데이타!$A$8:$BV$103,COLUMN(기본데이타!AG$8),0))</f>
        <v/>
      </c>
      <c r="AE63" s="168" t="str">
        <f>IF($A63="","",VLOOKUP($A63,기본데이타!$A$8:$BV$103,COLUMN(기본데이타!AH$8),0))</f>
        <v/>
      </c>
      <c r="AF63" s="167" t="str">
        <f>IF($A63="","",VLOOKUP($A63,기본데이타!$A$8:$BV$103,COLUMN(기본데이타!AI$8),0))</f>
        <v/>
      </c>
      <c r="AG63" s="169" t="str">
        <f>IF($A63="","",VLOOKUP($A63,기본데이타!$A$8:$BV$103,COLUMN(기본데이타!AJ$8),0))</f>
        <v/>
      </c>
      <c r="AH63" s="364" t="str">
        <f>IF($A63="","",VLOOKUP($A63,기본데이타!$A$8:$BV$103,COLUMN(기본데이타!AK$8),0))</f>
        <v/>
      </c>
      <c r="AI63" s="364" t="str">
        <f>IF($A63="","",VLOOKUP($A63,기본데이타!$A$8:$BV$103,COLUMN(기본데이타!AL$8),0))</f>
        <v/>
      </c>
      <c r="AJ63" s="364" t="str">
        <f>IF($A63="","",VLOOKUP($A63,기본데이타!$A$8:$BV$103,COLUMN(기본데이타!AM$8),0))</f>
        <v/>
      </c>
      <c r="AK63" s="364" t="str">
        <f>IF($A63="","",VLOOKUP($A63,기본데이타!$A$8:$BV$103,COLUMN(기본데이타!AN$8),0))</f>
        <v/>
      </c>
      <c r="AL63" s="364" t="str">
        <f>IF($A63="","",VLOOKUP($A63,기본데이타!$A$8:$BV$103,COLUMN(기본데이타!AO$8),0))</f>
        <v/>
      </c>
      <c r="AM63" s="364" t="str">
        <f>IF($A63="","",VLOOKUP($A63,기본데이타!$A$8:$BV$103,COLUMN(기본데이타!AP$8),0))</f>
        <v/>
      </c>
      <c r="AN63" s="364" t="str">
        <f>IF($A63="","",VLOOKUP($A63,기본데이타!$A$8:$BV$103,COLUMN(기본데이타!AQ$8),0))</f>
        <v/>
      </c>
      <c r="AO63" s="364" t="str">
        <f>IF($A63="","",VLOOKUP($A63,기본데이타!$A$8:$BV$103,COLUMN(기본데이타!AR$8),0))</f>
        <v/>
      </c>
      <c r="AP63" s="364" t="str">
        <f>IF($A63="","",VLOOKUP($A63,기본데이타!$A$8:$BV$103,COLUMN(기본데이타!AS$8),0))</f>
        <v/>
      </c>
      <c r="AQ63" s="364" t="str">
        <f>IF($A63="","",VLOOKUP($A63,기본데이타!$A$8:$BV$103,COLUMN(기본데이타!AT$8),0))</f>
        <v/>
      </c>
      <c r="AR63" s="364" t="str">
        <f>IF($A63="","",VLOOKUP($A63,기본데이타!$A$8:$BV$103,COLUMN(기본데이타!AU$8),0))</f>
        <v/>
      </c>
      <c r="AS63" s="364" t="str">
        <f>IF($A63="","",VLOOKUP($A63,기본데이타!$A$8:$BV$103,COLUMN(기본데이타!AV$8),0))</f>
        <v/>
      </c>
      <c r="AT63" s="358" t="str">
        <f>IF($A63="","",VLOOKUP($A63,기본데이타!$A$8:$BV$103,COLUMN(기본데이타!AW$8),0))</f>
        <v/>
      </c>
      <c r="AU63" s="358" t="str">
        <f>IF($A63="","",VLOOKUP($A63,기본데이타!$A$8:$BV$103,COLUMN(기본데이타!AX$8),0))</f>
        <v/>
      </c>
      <c r="AV63" s="358" t="str">
        <f>IF($A63="","",VLOOKUP($A63,기본데이타!$A$8:$BV$103,COLUMN(기본데이타!AY$8),0))</f>
        <v/>
      </c>
      <c r="AW63" s="358" t="str">
        <f t="shared" si="10"/>
        <v/>
      </c>
      <c r="AX63" s="168" t="str">
        <f>IF($A63="","",VLOOKUP($A63,기본데이타!$A$8:$BV$103,COLUMN(기본데이타!BA$8),0))</f>
        <v/>
      </c>
      <c r="AY63" s="168" t="str">
        <f>IF($A63="","",VLOOKUP($A63,기본데이타!$A$8:$BV$103,COLUMN(기본데이타!BB$8),0))</f>
        <v/>
      </c>
      <c r="AZ63" s="168" t="str">
        <f>IF($A63="","",VLOOKUP($A63,기본데이타!$A$8:$BV$103,COLUMN(기본데이타!BC$8),0))</f>
        <v/>
      </c>
      <c r="BA63" s="168" t="str">
        <f>IF($A63="","",VLOOKUP($A63,기본데이타!$A$8:$BV$103,COLUMN(기본데이타!BD$8),0))</f>
        <v/>
      </c>
      <c r="BB63" s="168" t="str">
        <f>IF($A63="","",VLOOKUP($A63,기본데이타!$A$8:$BV$103,COLUMN(기본데이타!BE$8),0))</f>
        <v/>
      </c>
      <c r="BC63" s="168" t="str">
        <f>IF($A63="","",VLOOKUP($A63,기본데이타!$A$8:$BV$103,COLUMN(기본데이타!BF$8),0))</f>
        <v/>
      </c>
      <c r="BD63" s="168" t="str">
        <f>IF($A63="","",VLOOKUP($A63,기본데이타!$A$8:$BV$103,COLUMN(기본데이타!BG$8),0))</f>
        <v/>
      </c>
      <c r="BE63" s="168" t="str">
        <f>IF($A63="","",VLOOKUP($A63,기본데이타!$A$8:$BV$103,COLUMN(기본데이타!BH$8),0))</f>
        <v/>
      </c>
      <c r="BF63" s="168" t="str">
        <f>IF($A63="","",VLOOKUP($A63,기본데이타!$A$8:$BV$103,COLUMN(기본데이타!BI$8),0))</f>
        <v/>
      </c>
      <c r="BG63" s="168" t="str">
        <f>IF($A63="","",VLOOKUP($A63,기본데이타!$A$8:$BV$103,COLUMN(기본데이타!BJ$8),0))</f>
        <v/>
      </c>
      <c r="BH63" s="168" t="str">
        <f>IF($A63="","",VLOOKUP($A63,기본데이타!$A$8:$BV$103,COLUMN(기본데이타!BK$8),0))</f>
        <v/>
      </c>
      <c r="BI63" s="168" t="str">
        <f>IF($A63="","",VLOOKUP($A63,기본데이타!$A$8:$BV$103,COLUMN(기본데이타!BL$8),0))</f>
        <v/>
      </c>
      <c r="BJ63" s="168" t="str">
        <f>IF($A63="","",VLOOKUP($A63,기본데이타!$A$8:$BV$103,COLUMN(기본데이타!BM$8),0))</f>
        <v/>
      </c>
      <c r="BK63" s="168" t="str">
        <f>IF($A63="","",VLOOKUP($A63,기본데이타!$A$8:$BV$103,COLUMN(기본데이타!BN$8),0))</f>
        <v/>
      </c>
      <c r="BL63" s="168" t="str">
        <f>IF($A63="","",VLOOKUP($A63,기본데이타!$A$8:$BV$103,COLUMN(기본데이타!BO$8),0))</f>
        <v/>
      </c>
      <c r="BM63" s="168" t="str">
        <f>IF($A63="","",VLOOKUP($A63,기본데이타!$A$8:$BV$103,COLUMN(기본데이타!BP$8),0))</f>
        <v/>
      </c>
      <c r="BN63" s="168" t="str">
        <f>IF($A63="","",VLOOKUP($A63,기본데이타!$A$8:$BV$103,COLUMN(기본데이타!BQ$8),0))</f>
        <v/>
      </c>
      <c r="BO63" s="168" t="str">
        <f>IF($A63="","",VLOOKUP($A63,기본데이타!$A$8:$BV$103,COLUMN(기본데이타!BR$8),0))</f>
        <v/>
      </c>
      <c r="BP63" s="168" t="str">
        <f>IF($A63="","",VLOOKUP($A63,기본데이타!$A$8:$BV$103,COLUMN(기본데이타!BS$8),0))</f>
        <v/>
      </c>
      <c r="BQ63" s="980" t="str">
        <f>IF($A63="","",VLOOKUP($A63,기본데이타!$A$8:$BV$103,COLUMN(기본데이타!BT$8),0))</f>
        <v/>
      </c>
      <c r="BR63" s="984" t="str">
        <f>IF($A63="","",VLOOKUP($A63,기본데이타!$A$8:$BV$103,COLUMN(기본데이타!BU$8),0))</f>
        <v/>
      </c>
      <c r="BS63" s="168" t="str">
        <f>IF($A63="","",VLOOKUP($A63,기본데이타!$A$8:$BV$103,COLUMN(기본데이타!BV$8),0))</f>
        <v/>
      </c>
      <c r="BT63" s="981">
        <f t="shared" si="11"/>
        <v>0</v>
      </c>
      <c r="BU63" s="242"/>
    </row>
    <row r="64" spans="1:73" s="7" customFormat="1" ht="73.5" customHeight="1">
      <c r="A64" s="171"/>
      <c r="B64" s="163"/>
      <c r="C64" s="164" t="str">
        <f>IF($A64="","",VLOOKUP($A64,기본데이타!$A$8:$BV$103,COLUMN(기본데이타!F$8),0))</f>
        <v/>
      </c>
      <c r="D64" s="165" t="str">
        <f>IF($A64="","",VLOOKUP($A64,기본데이타!$A$8:$BV$103,COLUMN(기본데이타!G$8),0))</f>
        <v/>
      </c>
      <c r="E64" s="166" t="str">
        <f>IF($A64="","",VLOOKUP($A64,기본데이타!$A$8:$BV$103,COLUMN(기본데이타!H$8),0))</f>
        <v/>
      </c>
      <c r="F64" s="166" t="str">
        <f>IF($A64="","",VLOOKUP($A64,기본데이타!$A$8:$BV$103,COLUMN(기본데이타!I$8),0))</f>
        <v/>
      </c>
      <c r="G64" s="166" t="str">
        <f>IF($A64="","",VLOOKUP($A64,기본데이타!$A$8:$BV$103,COLUMN(기본데이타!J$8),0))</f>
        <v/>
      </c>
      <c r="H64" s="167" t="str">
        <f>IF($A64="","",VLOOKUP($A64,기본데이타!$A$8:$BV$103,COLUMN(기본데이타!K$8),0))</f>
        <v/>
      </c>
      <c r="I64" s="167" t="str">
        <f>IF($A64="","",VLOOKUP($A64,기본데이타!$A$8:$BV$103,COLUMN(기본데이타!L$8),0))</f>
        <v/>
      </c>
      <c r="J64" s="167" t="str">
        <f>IF($A64="","",VLOOKUP($A64,기본데이타!$A$8:$BV$103,COLUMN(기본데이타!M$8),0))</f>
        <v/>
      </c>
      <c r="K64" s="168" t="str">
        <f>IF($A64="","",VLOOKUP($A64,기본데이타!$A$8:$BV$103,COLUMN(기본데이타!N$8),0))</f>
        <v/>
      </c>
      <c r="L64" s="167" t="str">
        <f>IF($A64="","",VLOOKUP($A64,기본데이타!$A$8:$BV$103,COLUMN(기본데이타!O$8),0))</f>
        <v/>
      </c>
      <c r="M64" s="168" t="str">
        <f>IF($A64="","",VLOOKUP($A64,기본데이타!$A$8:$BV$103,COLUMN(기본데이타!P$8),0))</f>
        <v/>
      </c>
      <c r="N64" s="168" t="str">
        <f>IF($A64="","",VLOOKUP($A64,기본데이타!$A$8:$BV$103,COLUMN(기본데이타!Q$8),0))</f>
        <v/>
      </c>
      <c r="O64" s="168" t="str">
        <f>IF($A64="","",VLOOKUP($A64,기본데이타!$A$8:$BV$103,COLUMN(기본데이타!R$8),0))</f>
        <v/>
      </c>
      <c r="P64" s="168" t="str">
        <f>IF($A64="","",VLOOKUP($A64,기본데이타!$A$8:$BV$103,COLUMN(기본데이타!S$8),0))</f>
        <v/>
      </c>
      <c r="Q64" s="168" t="str">
        <f>IF($A64="","",VLOOKUP($A64,기본데이타!$A$8:$BV$103,COLUMN(기본데이타!T$8),0))</f>
        <v/>
      </c>
      <c r="R64" s="168" t="str">
        <f>IF($A64="","",VLOOKUP($A64,기본데이타!$A$8:$BV$103,COLUMN(기본데이타!U$8),0))</f>
        <v/>
      </c>
      <c r="S64" s="168" t="str">
        <f>IF($A64="","",VLOOKUP($A64,기본데이타!$A$8:$BV$103,COLUMN(기본데이타!V$8),0))</f>
        <v/>
      </c>
      <c r="T64" s="168" t="str">
        <f>IF($A64="","",VLOOKUP($A64,기본데이타!$A$8:$BV$103,COLUMN(기본데이타!W$8),0))</f>
        <v/>
      </c>
      <c r="U64" s="168" t="str">
        <f>IF($A64="","",VLOOKUP($A64,기본데이타!$A$8:$BV$103,COLUMN(기본데이타!X$8),0))</f>
        <v/>
      </c>
      <c r="V64" s="168" t="str">
        <f>IF($A64="","",VLOOKUP($A64,기본데이타!$A$8:$BV$103,COLUMN(기본데이타!Y$8),0))</f>
        <v/>
      </c>
      <c r="W64" s="168" t="str">
        <f>IF($A64="","",VLOOKUP($A64,기본데이타!$A$8:$BV$103,COLUMN(기본데이타!Z$8),0))</f>
        <v/>
      </c>
      <c r="X64" s="168" t="str">
        <f>IF($A64="","",VLOOKUP($A64,기본데이타!$A$8:$BV$103,COLUMN(기본데이타!AA$8),0))</f>
        <v/>
      </c>
      <c r="Y64" s="168" t="str">
        <f>IF($A64="","",VLOOKUP($A64,기본데이타!$A$8:$BV$103,COLUMN(기본데이타!AB$8),0))</f>
        <v/>
      </c>
      <c r="Z64" s="167" t="str">
        <f>IF($A64="","",VLOOKUP($A64,기본데이타!$A$8:$BV$103,COLUMN(기본데이타!AC$8),0))</f>
        <v/>
      </c>
      <c r="AA64" s="168" t="str">
        <f>IF($A64="","",VLOOKUP($A64,기본데이타!$A$8:$BV$103,COLUMN(기본데이타!AD$8),0))</f>
        <v/>
      </c>
      <c r="AB64" s="167" t="str">
        <f>IF($A64="","",VLOOKUP($A64,기본데이타!$A$8:$BV$103,COLUMN(기본데이타!AE$8),0))</f>
        <v/>
      </c>
      <c r="AC64" s="168" t="str">
        <f>IF($A64="","",VLOOKUP($A64,기본데이타!$A$8:$BV$103,COLUMN(기본데이타!AF$8),0))</f>
        <v/>
      </c>
      <c r="AD64" s="167" t="str">
        <f>IF($A64="","",VLOOKUP($A64,기본데이타!$A$8:$BV$103,COLUMN(기본데이타!AG$8),0))</f>
        <v/>
      </c>
      <c r="AE64" s="168" t="str">
        <f>IF($A64="","",VLOOKUP($A64,기본데이타!$A$8:$BV$103,COLUMN(기본데이타!AH$8),0))</f>
        <v/>
      </c>
      <c r="AF64" s="167" t="str">
        <f>IF($A64="","",VLOOKUP($A64,기본데이타!$A$8:$BV$103,COLUMN(기본데이타!AI$8),0))</f>
        <v/>
      </c>
      <c r="AG64" s="169" t="str">
        <f>IF($A64="","",VLOOKUP($A64,기본데이타!$A$8:$BV$103,COLUMN(기본데이타!AJ$8),0))</f>
        <v/>
      </c>
      <c r="AH64" s="364" t="str">
        <f>IF($A64="","",VLOOKUP($A64,기본데이타!$A$8:$BV$103,COLUMN(기본데이타!AK$8),0))</f>
        <v/>
      </c>
      <c r="AI64" s="364" t="str">
        <f>IF($A64="","",VLOOKUP($A64,기본데이타!$A$8:$BV$103,COLUMN(기본데이타!AL$8),0))</f>
        <v/>
      </c>
      <c r="AJ64" s="364" t="str">
        <f>IF($A64="","",VLOOKUP($A64,기본데이타!$A$8:$BV$103,COLUMN(기본데이타!AM$8),0))</f>
        <v/>
      </c>
      <c r="AK64" s="364" t="str">
        <f>IF($A64="","",VLOOKUP($A64,기본데이타!$A$8:$BV$103,COLUMN(기본데이타!AN$8),0))</f>
        <v/>
      </c>
      <c r="AL64" s="364" t="str">
        <f>IF($A64="","",VLOOKUP($A64,기본데이타!$A$8:$BV$103,COLUMN(기본데이타!AO$8),0))</f>
        <v/>
      </c>
      <c r="AM64" s="364" t="str">
        <f>IF($A64="","",VLOOKUP($A64,기본데이타!$A$8:$BV$103,COLUMN(기본데이타!AP$8),0))</f>
        <v/>
      </c>
      <c r="AN64" s="364" t="str">
        <f>IF($A64="","",VLOOKUP($A64,기본데이타!$A$8:$BV$103,COLUMN(기본데이타!AQ$8),0))</f>
        <v/>
      </c>
      <c r="AO64" s="364" t="str">
        <f>IF($A64="","",VLOOKUP($A64,기본데이타!$A$8:$BV$103,COLUMN(기본데이타!AR$8),0))</f>
        <v/>
      </c>
      <c r="AP64" s="364" t="str">
        <f>IF($A64="","",VLOOKUP($A64,기본데이타!$A$8:$BV$103,COLUMN(기본데이타!AS$8),0))</f>
        <v/>
      </c>
      <c r="AQ64" s="364" t="str">
        <f>IF($A64="","",VLOOKUP($A64,기본데이타!$A$8:$BV$103,COLUMN(기본데이타!AT$8),0))</f>
        <v/>
      </c>
      <c r="AR64" s="364" t="str">
        <f>IF($A64="","",VLOOKUP($A64,기본데이타!$A$8:$BV$103,COLUMN(기본데이타!AU$8),0))</f>
        <v/>
      </c>
      <c r="AS64" s="364" t="str">
        <f>IF($A64="","",VLOOKUP($A64,기본데이타!$A$8:$BV$103,COLUMN(기본데이타!AV$8),0))</f>
        <v/>
      </c>
      <c r="AT64" s="358" t="str">
        <f>IF($A64="","",VLOOKUP($A64,기본데이타!$A$8:$BV$103,COLUMN(기본데이타!AW$8),0))</f>
        <v/>
      </c>
      <c r="AU64" s="358" t="str">
        <f>IF($A64="","",VLOOKUP($A64,기본데이타!$A$8:$BV$103,COLUMN(기본데이타!AX$8),0))</f>
        <v/>
      </c>
      <c r="AV64" s="358" t="str">
        <f>IF($A64="","",VLOOKUP($A64,기본데이타!$A$8:$BV$103,COLUMN(기본데이타!AY$8),0))</f>
        <v/>
      </c>
      <c r="AW64" s="358" t="str">
        <f t="shared" si="10"/>
        <v/>
      </c>
      <c r="AX64" s="168" t="str">
        <f>IF($A64="","",VLOOKUP($A64,기본데이타!$A$8:$BV$103,COLUMN(기본데이타!BA$8),0))</f>
        <v/>
      </c>
      <c r="AY64" s="168" t="str">
        <f>IF($A64="","",VLOOKUP($A64,기본데이타!$A$8:$BV$103,COLUMN(기본데이타!BB$8),0))</f>
        <v/>
      </c>
      <c r="AZ64" s="168" t="str">
        <f>IF($A64="","",VLOOKUP($A64,기본데이타!$A$8:$BV$103,COLUMN(기본데이타!BC$8),0))</f>
        <v/>
      </c>
      <c r="BA64" s="168" t="str">
        <f>IF($A64="","",VLOOKUP($A64,기본데이타!$A$8:$BV$103,COLUMN(기본데이타!BD$8),0))</f>
        <v/>
      </c>
      <c r="BB64" s="168" t="str">
        <f>IF($A64="","",VLOOKUP($A64,기본데이타!$A$8:$BV$103,COLUMN(기본데이타!BE$8),0))</f>
        <v/>
      </c>
      <c r="BC64" s="168" t="str">
        <f>IF($A64="","",VLOOKUP($A64,기본데이타!$A$8:$BV$103,COLUMN(기본데이타!BF$8),0))</f>
        <v/>
      </c>
      <c r="BD64" s="168" t="str">
        <f>IF($A64="","",VLOOKUP($A64,기본데이타!$A$8:$BV$103,COLUMN(기본데이타!BG$8),0))</f>
        <v/>
      </c>
      <c r="BE64" s="168" t="str">
        <f>IF($A64="","",VLOOKUP($A64,기본데이타!$A$8:$BV$103,COLUMN(기본데이타!BH$8),0))</f>
        <v/>
      </c>
      <c r="BF64" s="168" t="str">
        <f>IF($A64="","",VLOOKUP($A64,기본데이타!$A$8:$BV$103,COLUMN(기본데이타!BI$8),0))</f>
        <v/>
      </c>
      <c r="BG64" s="168" t="str">
        <f>IF($A64="","",VLOOKUP($A64,기본데이타!$A$8:$BV$103,COLUMN(기본데이타!BJ$8),0))</f>
        <v/>
      </c>
      <c r="BH64" s="168" t="str">
        <f>IF($A64="","",VLOOKUP($A64,기본데이타!$A$8:$BV$103,COLUMN(기본데이타!BK$8),0))</f>
        <v/>
      </c>
      <c r="BI64" s="168" t="str">
        <f>IF($A64="","",VLOOKUP($A64,기본데이타!$A$8:$BV$103,COLUMN(기본데이타!BL$8),0))</f>
        <v/>
      </c>
      <c r="BJ64" s="168" t="str">
        <f>IF($A64="","",VLOOKUP($A64,기본데이타!$A$8:$BV$103,COLUMN(기본데이타!BM$8),0))</f>
        <v/>
      </c>
      <c r="BK64" s="168" t="str">
        <f>IF($A64="","",VLOOKUP($A64,기본데이타!$A$8:$BV$103,COLUMN(기본데이타!BN$8),0))</f>
        <v/>
      </c>
      <c r="BL64" s="168" t="str">
        <f>IF($A64="","",VLOOKUP($A64,기본데이타!$A$8:$BV$103,COLUMN(기본데이타!BO$8),0))</f>
        <v/>
      </c>
      <c r="BM64" s="168" t="str">
        <f>IF($A64="","",VLOOKUP($A64,기본데이타!$A$8:$BV$103,COLUMN(기본데이타!BP$8),0))</f>
        <v/>
      </c>
      <c r="BN64" s="168" t="str">
        <f>IF($A64="","",VLOOKUP($A64,기본데이타!$A$8:$BV$103,COLUMN(기본데이타!BQ$8),0))</f>
        <v/>
      </c>
      <c r="BO64" s="168" t="str">
        <f>IF($A64="","",VLOOKUP($A64,기본데이타!$A$8:$BV$103,COLUMN(기본데이타!BR$8),0))</f>
        <v/>
      </c>
      <c r="BP64" s="168" t="str">
        <f>IF($A64="","",VLOOKUP($A64,기본데이타!$A$8:$BV$103,COLUMN(기본데이타!BS$8),0))</f>
        <v/>
      </c>
      <c r="BQ64" s="980" t="str">
        <f>IF($A64="","",VLOOKUP($A64,기본데이타!$A$8:$BV$103,COLUMN(기본데이타!BT$8),0))</f>
        <v/>
      </c>
      <c r="BR64" s="984" t="str">
        <f>IF($A64="","",VLOOKUP($A64,기본데이타!$A$8:$BV$103,COLUMN(기본데이타!BU$8),0))</f>
        <v/>
      </c>
      <c r="BS64" s="168" t="str">
        <f>IF($A64="","",VLOOKUP($A64,기본데이타!$A$8:$BV$103,COLUMN(기본데이타!BV$8),0))</f>
        <v/>
      </c>
      <c r="BT64" s="981">
        <f t="shared" si="11"/>
        <v>0</v>
      </c>
      <c r="BU64" s="242"/>
    </row>
    <row r="65" spans="1:73" s="7" customFormat="1" ht="73.5" customHeight="1">
      <c r="A65" s="171"/>
      <c r="B65" s="163"/>
      <c r="C65" s="164" t="str">
        <f>IF($A65="","",VLOOKUP($A65,기본데이타!$A$8:$BV$103,COLUMN(기본데이타!F$8),0))</f>
        <v/>
      </c>
      <c r="D65" s="165" t="str">
        <f>IF($A65="","",VLOOKUP($A65,기본데이타!$A$8:$BV$103,COLUMN(기본데이타!G$8),0))</f>
        <v/>
      </c>
      <c r="E65" s="166" t="str">
        <f>IF($A65="","",VLOOKUP($A65,기본데이타!$A$8:$BV$103,COLUMN(기본데이타!H$8),0))</f>
        <v/>
      </c>
      <c r="F65" s="166" t="str">
        <f>IF($A65="","",VLOOKUP($A65,기본데이타!$A$8:$BV$103,COLUMN(기본데이타!I$8),0))</f>
        <v/>
      </c>
      <c r="G65" s="166" t="str">
        <f>IF($A65="","",VLOOKUP($A65,기본데이타!$A$8:$BV$103,COLUMN(기본데이타!J$8),0))</f>
        <v/>
      </c>
      <c r="H65" s="167" t="str">
        <f>IF($A65="","",VLOOKUP($A65,기본데이타!$A$8:$BV$103,COLUMN(기본데이타!K$8),0))</f>
        <v/>
      </c>
      <c r="I65" s="167" t="str">
        <f>IF($A65="","",VLOOKUP($A65,기본데이타!$A$8:$BV$103,COLUMN(기본데이타!L$8),0))</f>
        <v/>
      </c>
      <c r="J65" s="167" t="str">
        <f>IF($A65="","",VLOOKUP($A65,기본데이타!$A$8:$BV$103,COLUMN(기본데이타!M$8),0))</f>
        <v/>
      </c>
      <c r="K65" s="168" t="str">
        <f>IF($A65="","",VLOOKUP($A65,기본데이타!$A$8:$BV$103,COLUMN(기본데이타!N$8),0))</f>
        <v/>
      </c>
      <c r="L65" s="167" t="str">
        <f>IF($A65="","",VLOOKUP($A65,기본데이타!$A$8:$BV$103,COLUMN(기본데이타!O$8),0))</f>
        <v/>
      </c>
      <c r="M65" s="168" t="str">
        <f>IF($A65="","",VLOOKUP($A65,기본데이타!$A$8:$BV$103,COLUMN(기본데이타!P$8),0))</f>
        <v/>
      </c>
      <c r="N65" s="168" t="str">
        <f>IF($A65="","",VLOOKUP($A65,기본데이타!$A$8:$BV$103,COLUMN(기본데이타!Q$8),0))</f>
        <v/>
      </c>
      <c r="O65" s="168" t="str">
        <f>IF($A65="","",VLOOKUP($A65,기본데이타!$A$8:$BV$103,COLUMN(기본데이타!R$8),0))</f>
        <v/>
      </c>
      <c r="P65" s="168" t="str">
        <f>IF($A65="","",VLOOKUP($A65,기본데이타!$A$8:$BV$103,COLUMN(기본데이타!S$8),0))</f>
        <v/>
      </c>
      <c r="Q65" s="168" t="str">
        <f>IF($A65="","",VLOOKUP($A65,기본데이타!$A$8:$BV$103,COLUMN(기본데이타!T$8),0))</f>
        <v/>
      </c>
      <c r="R65" s="168" t="str">
        <f>IF($A65="","",VLOOKUP($A65,기본데이타!$A$8:$BV$103,COLUMN(기본데이타!U$8),0))</f>
        <v/>
      </c>
      <c r="S65" s="168" t="str">
        <f>IF($A65="","",VLOOKUP($A65,기본데이타!$A$8:$BV$103,COLUMN(기본데이타!V$8),0))</f>
        <v/>
      </c>
      <c r="T65" s="168" t="str">
        <f>IF($A65="","",VLOOKUP($A65,기본데이타!$A$8:$BV$103,COLUMN(기본데이타!W$8),0))</f>
        <v/>
      </c>
      <c r="U65" s="168" t="str">
        <f>IF($A65="","",VLOOKUP($A65,기본데이타!$A$8:$BV$103,COLUMN(기본데이타!X$8),0))</f>
        <v/>
      </c>
      <c r="V65" s="168" t="str">
        <f>IF($A65="","",VLOOKUP($A65,기본데이타!$A$8:$BV$103,COLUMN(기본데이타!Y$8),0))</f>
        <v/>
      </c>
      <c r="W65" s="168" t="str">
        <f>IF($A65="","",VLOOKUP($A65,기본데이타!$A$8:$BV$103,COLUMN(기본데이타!Z$8),0))</f>
        <v/>
      </c>
      <c r="X65" s="168" t="str">
        <f>IF($A65="","",VLOOKUP($A65,기본데이타!$A$8:$BV$103,COLUMN(기본데이타!AA$8),0))</f>
        <v/>
      </c>
      <c r="Y65" s="168" t="str">
        <f>IF($A65="","",VLOOKUP($A65,기본데이타!$A$8:$BV$103,COLUMN(기본데이타!AB$8),0))</f>
        <v/>
      </c>
      <c r="Z65" s="167" t="str">
        <f>IF($A65="","",VLOOKUP($A65,기본데이타!$A$8:$BV$103,COLUMN(기본데이타!AC$8),0))</f>
        <v/>
      </c>
      <c r="AA65" s="168" t="str">
        <f>IF($A65="","",VLOOKUP($A65,기본데이타!$A$8:$BV$103,COLUMN(기본데이타!AD$8),0))</f>
        <v/>
      </c>
      <c r="AB65" s="167" t="str">
        <f>IF($A65="","",VLOOKUP($A65,기본데이타!$A$8:$BV$103,COLUMN(기본데이타!AE$8),0))</f>
        <v/>
      </c>
      <c r="AC65" s="168" t="str">
        <f>IF($A65="","",VLOOKUP($A65,기본데이타!$A$8:$BV$103,COLUMN(기본데이타!AF$8),0))</f>
        <v/>
      </c>
      <c r="AD65" s="167" t="str">
        <f>IF($A65="","",VLOOKUP($A65,기본데이타!$A$8:$BV$103,COLUMN(기본데이타!AG$8),0))</f>
        <v/>
      </c>
      <c r="AE65" s="168" t="str">
        <f>IF($A65="","",VLOOKUP($A65,기본데이타!$A$8:$BV$103,COLUMN(기본데이타!AH$8),0))</f>
        <v/>
      </c>
      <c r="AF65" s="167" t="str">
        <f>IF($A65="","",VLOOKUP($A65,기본데이타!$A$8:$BV$103,COLUMN(기본데이타!AI$8),0))</f>
        <v/>
      </c>
      <c r="AG65" s="169" t="str">
        <f>IF($A65="","",VLOOKUP($A65,기본데이타!$A$8:$BV$103,COLUMN(기본데이타!AJ$8),0))</f>
        <v/>
      </c>
      <c r="AH65" s="364" t="str">
        <f>IF($A65="","",VLOOKUP($A65,기본데이타!$A$8:$BV$103,COLUMN(기본데이타!AK$8),0))</f>
        <v/>
      </c>
      <c r="AI65" s="364" t="str">
        <f>IF($A65="","",VLOOKUP($A65,기본데이타!$A$8:$BV$103,COLUMN(기본데이타!AL$8),0))</f>
        <v/>
      </c>
      <c r="AJ65" s="364" t="str">
        <f>IF($A65="","",VLOOKUP($A65,기본데이타!$A$8:$BV$103,COLUMN(기본데이타!AM$8),0))</f>
        <v/>
      </c>
      <c r="AK65" s="364" t="str">
        <f>IF($A65="","",VLOOKUP($A65,기본데이타!$A$8:$BV$103,COLUMN(기본데이타!AN$8),0))</f>
        <v/>
      </c>
      <c r="AL65" s="364" t="str">
        <f>IF($A65="","",VLOOKUP($A65,기본데이타!$A$8:$BV$103,COLUMN(기본데이타!AO$8),0))</f>
        <v/>
      </c>
      <c r="AM65" s="364" t="str">
        <f>IF($A65="","",VLOOKUP($A65,기본데이타!$A$8:$BV$103,COLUMN(기본데이타!AP$8),0))</f>
        <v/>
      </c>
      <c r="AN65" s="364" t="str">
        <f>IF($A65="","",VLOOKUP($A65,기본데이타!$A$8:$BV$103,COLUMN(기본데이타!AQ$8),0))</f>
        <v/>
      </c>
      <c r="AO65" s="364" t="str">
        <f>IF($A65="","",VLOOKUP($A65,기본데이타!$A$8:$BV$103,COLUMN(기본데이타!AR$8),0))</f>
        <v/>
      </c>
      <c r="AP65" s="364" t="str">
        <f>IF($A65="","",VLOOKUP($A65,기본데이타!$A$8:$BV$103,COLUMN(기본데이타!AS$8),0))</f>
        <v/>
      </c>
      <c r="AQ65" s="364" t="str">
        <f>IF($A65="","",VLOOKUP($A65,기본데이타!$A$8:$BV$103,COLUMN(기본데이타!AT$8),0))</f>
        <v/>
      </c>
      <c r="AR65" s="364" t="str">
        <f>IF($A65="","",VLOOKUP($A65,기본데이타!$A$8:$BV$103,COLUMN(기본데이타!AU$8),0))</f>
        <v/>
      </c>
      <c r="AS65" s="364" t="str">
        <f>IF($A65="","",VLOOKUP($A65,기본데이타!$A$8:$BV$103,COLUMN(기본데이타!AV$8),0))</f>
        <v/>
      </c>
      <c r="AT65" s="358" t="str">
        <f>IF($A65="","",VLOOKUP($A65,기본데이타!$A$8:$BV$103,COLUMN(기본데이타!AW$8),0))</f>
        <v/>
      </c>
      <c r="AU65" s="358" t="str">
        <f>IF($A65="","",VLOOKUP($A65,기본데이타!$A$8:$BV$103,COLUMN(기본데이타!AX$8),0))</f>
        <v/>
      </c>
      <c r="AV65" s="358" t="str">
        <f>IF($A65="","",VLOOKUP($A65,기본데이타!$A$8:$BV$103,COLUMN(기본데이타!AY$8),0))</f>
        <v/>
      </c>
      <c r="AW65" s="358" t="str">
        <f t="shared" si="10"/>
        <v/>
      </c>
      <c r="AX65" s="168" t="str">
        <f>IF($A65="","",VLOOKUP($A65,기본데이타!$A$8:$BV$103,COLUMN(기본데이타!BA$8),0))</f>
        <v/>
      </c>
      <c r="AY65" s="168" t="str">
        <f>IF($A65="","",VLOOKUP($A65,기본데이타!$A$8:$BV$103,COLUMN(기본데이타!BB$8),0))</f>
        <v/>
      </c>
      <c r="AZ65" s="168" t="str">
        <f>IF($A65="","",VLOOKUP($A65,기본데이타!$A$8:$BV$103,COLUMN(기본데이타!BC$8),0))</f>
        <v/>
      </c>
      <c r="BA65" s="168" t="str">
        <f>IF($A65="","",VLOOKUP($A65,기본데이타!$A$8:$BV$103,COLUMN(기본데이타!BD$8),0))</f>
        <v/>
      </c>
      <c r="BB65" s="168" t="str">
        <f>IF($A65="","",VLOOKUP($A65,기본데이타!$A$8:$BV$103,COLUMN(기본데이타!BE$8),0))</f>
        <v/>
      </c>
      <c r="BC65" s="168" t="str">
        <f>IF($A65="","",VLOOKUP($A65,기본데이타!$A$8:$BV$103,COLUMN(기본데이타!BF$8),0))</f>
        <v/>
      </c>
      <c r="BD65" s="168" t="str">
        <f>IF($A65="","",VLOOKUP($A65,기본데이타!$A$8:$BV$103,COLUMN(기본데이타!BG$8),0))</f>
        <v/>
      </c>
      <c r="BE65" s="168" t="str">
        <f>IF($A65="","",VLOOKUP($A65,기본데이타!$A$8:$BV$103,COLUMN(기본데이타!BH$8),0))</f>
        <v/>
      </c>
      <c r="BF65" s="168" t="str">
        <f>IF($A65="","",VLOOKUP($A65,기본데이타!$A$8:$BV$103,COLUMN(기본데이타!BI$8),0))</f>
        <v/>
      </c>
      <c r="BG65" s="168" t="str">
        <f>IF($A65="","",VLOOKUP($A65,기본데이타!$A$8:$BV$103,COLUMN(기본데이타!BJ$8),0))</f>
        <v/>
      </c>
      <c r="BH65" s="168" t="str">
        <f>IF($A65="","",VLOOKUP($A65,기본데이타!$A$8:$BV$103,COLUMN(기본데이타!BK$8),0))</f>
        <v/>
      </c>
      <c r="BI65" s="168" t="str">
        <f>IF($A65="","",VLOOKUP($A65,기본데이타!$A$8:$BV$103,COLUMN(기본데이타!BL$8),0))</f>
        <v/>
      </c>
      <c r="BJ65" s="168" t="str">
        <f>IF($A65="","",VLOOKUP($A65,기본데이타!$A$8:$BV$103,COLUMN(기본데이타!BM$8),0))</f>
        <v/>
      </c>
      <c r="BK65" s="168" t="str">
        <f>IF($A65="","",VLOOKUP($A65,기본데이타!$A$8:$BV$103,COLUMN(기본데이타!BN$8),0))</f>
        <v/>
      </c>
      <c r="BL65" s="168" t="str">
        <f>IF($A65="","",VLOOKUP($A65,기본데이타!$A$8:$BV$103,COLUMN(기본데이타!BO$8),0))</f>
        <v/>
      </c>
      <c r="BM65" s="168" t="str">
        <f>IF($A65="","",VLOOKUP($A65,기본데이타!$A$8:$BV$103,COLUMN(기본데이타!BP$8),0))</f>
        <v/>
      </c>
      <c r="BN65" s="168" t="str">
        <f>IF($A65="","",VLOOKUP($A65,기본데이타!$A$8:$BV$103,COLUMN(기본데이타!BQ$8),0))</f>
        <v/>
      </c>
      <c r="BO65" s="168" t="str">
        <f>IF($A65="","",VLOOKUP($A65,기본데이타!$A$8:$BV$103,COLUMN(기본데이타!BR$8),0))</f>
        <v/>
      </c>
      <c r="BP65" s="168" t="str">
        <f>IF($A65="","",VLOOKUP($A65,기본데이타!$A$8:$BV$103,COLUMN(기본데이타!BS$8),0))</f>
        <v/>
      </c>
      <c r="BQ65" s="980" t="str">
        <f>IF($A65="","",VLOOKUP($A65,기본데이타!$A$8:$BV$103,COLUMN(기본데이타!BT$8),0))</f>
        <v/>
      </c>
      <c r="BR65" s="984" t="str">
        <f>IF($A65="","",VLOOKUP($A65,기본데이타!$A$8:$BV$103,COLUMN(기본데이타!BU$8),0))</f>
        <v/>
      </c>
      <c r="BS65" s="168" t="str">
        <f>IF($A65="","",VLOOKUP($A65,기본데이타!$A$8:$BV$103,COLUMN(기본데이타!BV$8),0))</f>
        <v/>
      </c>
      <c r="BT65" s="981">
        <f t="shared" si="11"/>
        <v>0</v>
      </c>
      <c r="BU65" s="242"/>
    </row>
    <row r="66" spans="1:73" s="7" customFormat="1" ht="73.5" customHeight="1">
      <c r="A66" s="171"/>
      <c r="B66" s="163"/>
      <c r="C66" s="164" t="str">
        <f>IF($A66="","",VLOOKUP($A66,기본데이타!$A$8:$BV$103,COLUMN(기본데이타!F$8),0))</f>
        <v/>
      </c>
      <c r="D66" s="165" t="str">
        <f>IF($A66="","",VLOOKUP($A66,기본데이타!$A$8:$BV$103,COLUMN(기본데이타!G$8),0))</f>
        <v/>
      </c>
      <c r="E66" s="166" t="str">
        <f>IF($A66="","",VLOOKUP($A66,기본데이타!$A$8:$BV$103,COLUMN(기본데이타!H$8),0))</f>
        <v/>
      </c>
      <c r="F66" s="166" t="str">
        <f>IF($A66="","",VLOOKUP($A66,기본데이타!$A$8:$BV$103,COLUMN(기본데이타!I$8),0))</f>
        <v/>
      </c>
      <c r="G66" s="166" t="str">
        <f>IF($A66="","",VLOOKUP($A66,기본데이타!$A$8:$BV$103,COLUMN(기본데이타!J$8),0))</f>
        <v/>
      </c>
      <c r="H66" s="167" t="str">
        <f>IF($A66="","",VLOOKUP($A66,기본데이타!$A$8:$BV$103,COLUMN(기본데이타!K$8),0))</f>
        <v/>
      </c>
      <c r="I66" s="167" t="str">
        <f>IF($A66="","",VLOOKUP($A66,기본데이타!$A$8:$BV$103,COLUMN(기본데이타!L$8),0))</f>
        <v/>
      </c>
      <c r="J66" s="167" t="str">
        <f>IF($A66="","",VLOOKUP($A66,기본데이타!$A$8:$BV$103,COLUMN(기본데이타!M$8),0))</f>
        <v/>
      </c>
      <c r="K66" s="168" t="str">
        <f>IF($A66="","",VLOOKUP($A66,기본데이타!$A$8:$BV$103,COLUMN(기본데이타!N$8),0))</f>
        <v/>
      </c>
      <c r="L66" s="167" t="str">
        <f>IF($A66="","",VLOOKUP($A66,기본데이타!$A$8:$BV$103,COLUMN(기본데이타!O$8),0))</f>
        <v/>
      </c>
      <c r="M66" s="168" t="str">
        <f>IF($A66="","",VLOOKUP($A66,기본데이타!$A$8:$BV$103,COLUMN(기본데이타!P$8),0))</f>
        <v/>
      </c>
      <c r="N66" s="168" t="str">
        <f>IF($A66="","",VLOOKUP($A66,기본데이타!$A$8:$BV$103,COLUMN(기본데이타!Q$8),0))</f>
        <v/>
      </c>
      <c r="O66" s="168" t="str">
        <f>IF($A66="","",VLOOKUP($A66,기본데이타!$A$8:$BV$103,COLUMN(기본데이타!R$8),0))</f>
        <v/>
      </c>
      <c r="P66" s="168" t="str">
        <f>IF($A66="","",VLOOKUP($A66,기본데이타!$A$8:$BV$103,COLUMN(기본데이타!S$8),0))</f>
        <v/>
      </c>
      <c r="Q66" s="168" t="str">
        <f>IF($A66="","",VLOOKUP($A66,기본데이타!$A$8:$BV$103,COLUMN(기본데이타!T$8),0))</f>
        <v/>
      </c>
      <c r="R66" s="168" t="str">
        <f>IF($A66="","",VLOOKUP($A66,기본데이타!$A$8:$BV$103,COLUMN(기본데이타!U$8),0))</f>
        <v/>
      </c>
      <c r="S66" s="168" t="str">
        <f>IF($A66="","",VLOOKUP($A66,기본데이타!$A$8:$BV$103,COLUMN(기본데이타!V$8),0))</f>
        <v/>
      </c>
      <c r="T66" s="168" t="str">
        <f>IF($A66="","",VLOOKUP($A66,기본데이타!$A$8:$BV$103,COLUMN(기본데이타!W$8),0))</f>
        <v/>
      </c>
      <c r="U66" s="168" t="str">
        <f>IF($A66="","",VLOOKUP($A66,기본데이타!$A$8:$BV$103,COLUMN(기본데이타!X$8),0))</f>
        <v/>
      </c>
      <c r="V66" s="168" t="str">
        <f>IF($A66="","",VLOOKUP($A66,기본데이타!$A$8:$BV$103,COLUMN(기본데이타!Y$8),0))</f>
        <v/>
      </c>
      <c r="W66" s="168" t="str">
        <f>IF($A66="","",VLOOKUP($A66,기본데이타!$A$8:$BV$103,COLUMN(기본데이타!Z$8),0))</f>
        <v/>
      </c>
      <c r="X66" s="168" t="str">
        <f>IF($A66="","",VLOOKUP($A66,기본데이타!$A$8:$BV$103,COLUMN(기본데이타!AA$8),0))</f>
        <v/>
      </c>
      <c r="Y66" s="168" t="str">
        <f>IF($A66="","",VLOOKUP($A66,기본데이타!$A$8:$BV$103,COLUMN(기본데이타!AB$8),0))</f>
        <v/>
      </c>
      <c r="Z66" s="167" t="str">
        <f>IF($A66="","",VLOOKUP($A66,기본데이타!$A$8:$BV$103,COLUMN(기본데이타!AC$8),0))</f>
        <v/>
      </c>
      <c r="AA66" s="168" t="str">
        <f>IF($A66="","",VLOOKUP($A66,기본데이타!$A$8:$BV$103,COLUMN(기본데이타!AD$8),0))</f>
        <v/>
      </c>
      <c r="AB66" s="167" t="str">
        <f>IF($A66="","",VLOOKUP($A66,기본데이타!$A$8:$BV$103,COLUMN(기본데이타!AE$8),0))</f>
        <v/>
      </c>
      <c r="AC66" s="168" t="str">
        <f>IF($A66="","",VLOOKUP($A66,기본데이타!$A$8:$BV$103,COLUMN(기본데이타!AF$8),0))</f>
        <v/>
      </c>
      <c r="AD66" s="167" t="str">
        <f>IF($A66="","",VLOOKUP($A66,기본데이타!$A$8:$BV$103,COLUMN(기본데이타!AG$8),0))</f>
        <v/>
      </c>
      <c r="AE66" s="168" t="str">
        <f>IF($A66="","",VLOOKUP($A66,기본데이타!$A$8:$BV$103,COLUMN(기본데이타!AH$8),0))</f>
        <v/>
      </c>
      <c r="AF66" s="167" t="str">
        <f>IF($A66="","",VLOOKUP($A66,기본데이타!$A$8:$BV$103,COLUMN(기본데이타!AI$8),0))</f>
        <v/>
      </c>
      <c r="AG66" s="169" t="str">
        <f>IF($A66="","",VLOOKUP($A66,기본데이타!$A$8:$BV$103,COLUMN(기본데이타!AJ$8),0))</f>
        <v/>
      </c>
      <c r="AH66" s="364" t="str">
        <f>IF($A66="","",VLOOKUP($A66,기본데이타!$A$8:$BV$103,COLUMN(기본데이타!AK$8),0))</f>
        <v/>
      </c>
      <c r="AI66" s="364" t="str">
        <f>IF($A66="","",VLOOKUP($A66,기본데이타!$A$8:$BV$103,COLUMN(기본데이타!AL$8),0))</f>
        <v/>
      </c>
      <c r="AJ66" s="364" t="str">
        <f>IF($A66="","",VLOOKUP($A66,기본데이타!$A$8:$BV$103,COLUMN(기본데이타!AM$8),0))</f>
        <v/>
      </c>
      <c r="AK66" s="364" t="str">
        <f>IF($A66="","",VLOOKUP($A66,기본데이타!$A$8:$BV$103,COLUMN(기본데이타!AN$8),0))</f>
        <v/>
      </c>
      <c r="AL66" s="364" t="str">
        <f>IF($A66="","",VLOOKUP($A66,기본데이타!$A$8:$BV$103,COLUMN(기본데이타!AO$8),0))</f>
        <v/>
      </c>
      <c r="AM66" s="364" t="str">
        <f>IF($A66="","",VLOOKUP($A66,기본데이타!$A$8:$BV$103,COLUMN(기본데이타!AP$8),0))</f>
        <v/>
      </c>
      <c r="AN66" s="364" t="str">
        <f>IF($A66="","",VLOOKUP($A66,기본데이타!$A$8:$BV$103,COLUMN(기본데이타!AQ$8),0))</f>
        <v/>
      </c>
      <c r="AO66" s="364" t="str">
        <f>IF($A66="","",VLOOKUP($A66,기본데이타!$A$8:$BV$103,COLUMN(기본데이타!AR$8),0))</f>
        <v/>
      </c>
      <c r="AP66" s="364" t="str">
        <f>IF($A66="","",VLOOKUP($A66,기본데이타!$A$8:$BV$103,COLUMN(기본데이타!AS$8),0))</f>
        <v/>
      </c>
      <c r="AQ66" s="364" t="str">
        <f>IF($A66="","",VLOOKUP($A66,기본데이타!$A$8:$BV$103,COLUMN(기본데이타!AT$8),0))</f>
        <v/>
      </c>
      <c r="AR66" s="364" t="str">
        <f>IF($A66="","",VLOOKUP($A66,기본데이타!$A$8:$BV$103,COLUMN(기본데이타!AU$8),0))</f>
        <v/>
      </c>
      <c r="AS66" s="364" t="str">
        <f>IF($A66="","",VLOOKUP($A66,기본데이타!$A$8:$BV$103,COLUMN(기본데이타!AV$8),0))</f>
        <v/>
      </c>
      <c r="AT66" s="358" t="str">
        <f>IF($A66="","",VLOOKUP($A66,기본데이타!$A$8:$BV$103,COLUMN(기본데이타!AW$8),0))</f>
        <v/>
      </c>
      <c r="AU66" s="358" t="str">
        <f>IF($A66="","",VLOOKUP($A66,기본데이타!$A$8:$BV$103,COLUMN(기본데이타!AX$8),0))</f>
        <v/>
      </c>
      <c r="AV66" s="358" t="str">
        <f>IF($A66="","",VLOOKUP($A66,기본데이타!$A$8:$BV$103,COLUMN(기본데이타!AY$8),0))</f>
        <v/>
      </c>
      <c r="AW66" s="358" t="str">
        <f t="shared" si="10"/>
        <v/>
      </c>
      <c r="AX66" s="168" t="str">
        <f>IF($A66="","",VLOOKUP($A66,기본데이타!$A$8:$BV$103,COLUMN(기본데이타!BA$8),0))</f>
        <v/>
      </c>
      <c r="AY66" s="168" t="str">
        <f>IF($A66="","",VLOOKUP($A66,기본데이타!$A$8:$BV$103,COLUMN(기본데이타!BB$8),0))</f>
        <v/>
      </c>
      <c r="AZ66" s="168" t="str">
        <f>IF($A66="","",VLOOKUP($A66,기본데이타!$A$8:$BV$103,COLUMN(기본데이타!BC$8),0))</f>
        <v/>
      </c>
      <c r="BA66" s="168" t="str">
        <f>IF($A66="","",VLOOKUP($A66,기본데이타!$A$8:$BV$103,COLUMN(기본데이타!BD$8),0))</f>
        <v/>
      </c>
      <c r="BB66" s="168" t="str">
        <f>IF($A66="","",VLOOKUP($A66,기본데이타!$A$8:$BV$103,COLUMN(기본데이타!BE$8),0))</f>
        <v/>
      </c>
      <c r="BC66" s="168" t="str">
        <f>IF($A66="","",VLOOKUP($A66,기본데이타!$A$8:$BV$103,COLUMN(기본데이타!BF$8),0))</f>
        <v/>
      </c>
      <c r="BD66" s="168" t="str">
        <f>IF($A66="","",VLOOKUP($A66,기본데이타!$A$8:$BV$103,COLUMN(기본데이타!BG$8),0))</f>
        <v/>
      </c>
      <c r="BE66" s="168" t="str">
        <f>IF($A66="","",VLOOKUP($A66,기본데이타!$A$8:$BV$103,COLUMN(기본데이타!BH$8),0))</f>
        <v/>
      </c>
      <c r="BF66" s="168" t="str">
        <f>IF($A66="","",VLOOKUP($A66,기본데이타!$A$8:$BV$103,COLUMN(기본데이타!BI$8),0))</f>
        <v/>
      </c>
      <c r="BG66" s="168" t="str">
        <f>IF($A66="","",VLOOKUP($A66,기본데이타!$A$8:$BV$103,COLUMN(기본데이타!BJ$8),0))</f>
        <v/>
      </c>
      <c r="BH66" s="168" t="str">
        <f>IF($A66="","",VLOOKUP($A66,기본데이타!$A$8:$BV$103,COLUMN(기본데이타!BK$8),0))</f>
        <v/>
      </c>
      <c r="BI66" s="168" t="str">
        <f>IF($A66="","",VLOOKUP($A66,기본데이타!$A$8:$BV$103,COLUMN(기본데이타!BL$8),0))</f>
        <v/>
      </c>
      <c r="BJ66" s="168" t="str">
        <f>IF($A66="","",VLOOKUP($A66,기본데이타!$A$8:$BV$103,COLUMN(기본데이타!BM$8),0))</f>
        <v/>
      </c>
      <c r="BK66" s="168" t="str">
        <f>IF($A66="","",VLOOKUP($A66,기본데이타!$A$8:$BV$103,COLUMN(기본데이타!BN$8),0))</f>
        <v/>
      </c>
      <c r="BL66" s="168" t="str">
        <f>IF($A66="","",VLOOKUP($A66,기본데이타!$A$8:$BV$103,COLUMN(기본데이타!BO$8),0))</f>
        <v/>
      </c>
      <c r="BM66" s="168" t="str">
        <f>IF($A66="","",VLOOKUP($A66,기본데이타!$A$8:$BV$103,COLUMN(기본데이타!BP$8),0))</f>
        <v/>
      </c>
      <c r="BN66" s="168" t="str">
        <f>IF($A66="","",VLOOKUP($A66,기본데이타!$A$8:$BV$103,COLUMN(기본데이타!BQ$8),0))</f>
        <v/>
      </c>
      <c r="BO66" s="168" t="str">
        <f>IF($A66="","",VLOOKUP($A66,기본데이타!$A$8:$BV$103,COLUMN(기본데이타!BR$8),0))</f>
        <v/>
      </c>
      <c r="BP66" s="168" t="str">
        <f>IF($A66="","",VLOOKUP($A66,기본데이타!$A$8:$BV$103,COLUMN(기본데이타!BS$8),0))</f>
        <v/>
      </c>
      <c r="BQ66" s="980" t="str">
        <f>IF($A66="","",VLOOKUP($A66,기본데이타!$A$8:$BV$103,COLUMN(기본데이타!BT$8),0))</f>
        <v/>
      </c>
      <c r="BR66" s="984" t="str">
        <f>IF($A66="","",VLOOKUP($A66,기본데이타!$A$8:$BV$103,COLUMN(기본데이타!BU$8),0))</f>
        <v/>
      </c>
      <c r="BS66" s="168" t="str">
        <f>IF($A66="","",VLOOKUP($A66,기본데이타!$A$8:$BV$103,COLUMN(기본데이타!BV$8),0))</f>
        <v/>
      </c>
      <c r="BT66" s="981">
        <f t="shared" si="11"/>
        <v>0</v>
      </c>
      <c r="BU66" s="242"/>
    </row>
    <row r="67" spans="1:73" s="7" customFormat="1" ht="73.5" customHeight="1">
      <c r="A67" s="171"/>
      <c r="B67" s="163"/>
      <c r="C67" s="164" t="str">
        <f>IF($A67="","",VLOOKUP($A67,기본데이타!$A$8:$BV$103,COLUMN(기본데이타!F$8),0))</f>
        <v/>
      </c>
      <c r="D67" s="165" t="str">
        <f>IF($A67="","",VLOOKUP($A67,기본데이타!$A$8:$BV$103,COLUMN(기본데이타!G$8),0))</f>
        <v/>
      </c>
      <c r="E67" s="166" t="str">
        <f>IF($A67="","",VLOOKUP($A67,기본데이타!$A$8:$BV$103,COLUMN(기본데이타!H$8),0))</f>
        <v/>
      </c>
      <c r="F67" s="166" t="str">
        <f>IF($A67="","",VLOOKUP($A67,기본데이타!$A$8:$BV$103,COLUMN(기본데이타!I$8),0))</f>
        <v/>
      </c>
      <c r="G67" s="166" t="str">
        <f>IF($A67="","",VLOOKUP($A67,기본데이타!$A$8:$BV$103,COLUMN(기본데이타!J$8),0))</f>
        <v/>
      </c>
      <c r="H67" s="167" t="str">
        <f>IF($A67="","",VLOOKUP($A67,기본데이타!$A$8:$BV$103,COLUMN(기본데이타!K$8),0))</f>
        <v/>
      </c>
      <c r="I67" s="167" t="str">
        <f>IF($A67="","",VLOOKUP($A67,기본데이타!$A$8:$BV$103,COLUMN(기본데이타!L$8),0))</f>
        <v/>
      </c>
      <c r="J67" s="167" t="str">
        <f>IF($A67="","",VLOOKUP($A67,기본데이타!$A$8:$BV$103,COLUMN(기본데이타!M$8),0))</f>
        <v/>
      </c>
      <c r="K67" s="168" t="str">
        <f>IF($A67="","",VLOOKUP($A67,기본데이타!$A$8:$BV$103,COLUMN(기본데이타!N$8),0))</f>
        <v/>
      </c>
      <c r="L67" s="167" t="str">
        <f>IF($A67="","",VLOOKUP($A67,기본데이타!$A$8:$BV$103,COLUMN(기본데이타!O$8),0))</f>
        <v/>
      </c>
      <c r="M67" s="168" t="str">
        <f>IF($A67="","",VLOOKUP($A67,기본데이타!$A$8:$BV$103,COLUMN(기본데이타!P$8),0))</f>
        <v/>
      </c>
      <c r="N67" s="168" t="str">
        <f>IF($A67="","",VLOOKUP($A67,기본데이타!$A$8:$BV$103,COLUMN(기본데이타!Q$8),0))</f>
        <v/>
      </c>
      <c r="O67" s="168" t="str">
        <f>IF($A67="","",VLOOKUP($A67,기본데이타!$A$8:$BV$103,COLUMN(기본데이타!R$8),0))</f>
        <v/>
      </c>
      <c r="P67" s="168" t="str">
        <f>IF($A67="","",VLOOKUP($A67,기본데이타!$A$8:$BV$103,COLUMN(기본데이타!S$8),0))</f>
        <v/>
      </c>
      <c r="Q67" s="168" t="str">
        <f>IF($A67="","",VLOOKUP($A67,기본데이타!$A$8:$BV$103,COLUMN(기본데이타!T$8),0))</f>
        <v/>
      </c>
      <c r="R67" s="168" t="str">
        <f>IF($A67="","",VLOOKUP($A67,기본데이타!$A$8:$BV$103,COLUMN(기본데이타!U$8),0))</f>
        <v/>
      </c>
      <c r="S67" s="168" t="str">
        <f>IF($A67="","",VLOOKUP($A67,기본데이타!$A$8:$BV$103,COLUMN(기본데이타!V$8),0))</f>
        <v/>
      </c>
      <c r="T67" s="168" t="str">
        <f>IF($A67="","",VLOOKUP($A67,기본데이타!$A$8:$BV$103,COLUMN(기본데이타!W$8),0))</f>
        <v/>
      </c>
      <c r="U67" s="168" t="str">
        <f>IF($A67="","",VLOOKUP($A67,기본데이타!$A$8:$BV$103,COLUMN(기본데이타!X$8),0))</f>
        <v/>
      </c>
      <c r="V67" s="168" t="str">
        <f>IF($A67="","",VLOOKUP($A67,기본데이타!$A$8:$BV$103,COLUMN(기본데이타!Y$8),0))</f>
        <v/>
      </c>
      <c r="W67" s="168" t="str">
        <f>IF($A67="","",VLOOKUP($A67,기본데이타!$A$8:$BV$103,COLUMN(기본데이타!Z$8),0))</f>
        <v/>
      </c>
      <c r="X67" s="168" t="str">
        <f>IF($A67="","",VLOOKUP($A67,기본데이타!$A$8:$BV$103,COLUMN(기본데이타!AA$8),0))</f>
        <v/>
      </c>
      <c r="Y67" s="168" t="str">
        <f>IF($A67="","",VLOOKUP($A67,기본데이타!$A$8:$BV$103,COLUMN(기본데이타!AB$8),0))</f>
        <v/>
      </c>
      <c r="Z67" s="167" t="str">
        <f>IF($A67="","",VLOOKUP($A67,기본데이타!$A$8:$BV$103,COLUMN(기본데이타!AC$8),0))</f>
        <v/>
      </c>
      <c r="AA67" s="168" t="str">
        <f>IF($A67="","",VLOOKUP($A67,기본데이타!$A$8:$BV$103,COLUMN(기본데이타!AD$8),0))</f>
        <v/>
      </c>
      <c r="AB67" s="167" t="str">
        <f>IF($A67="","",VLOOKUP($A67,기본데이타!$A$8:$BV$103,COLUMN(기본데이타!AE$8),0))</f>
        <v/>
      </c>
      <c r="AC67" s="168" t="str">
        <f>IF($A67="","",VLOOKUP($A67,기본데이타!$A$8:$BV$103,COLUMN(기본데이타!AF$8),0))</f>
        <v/>
      </c>
      <c r="AD67" s="167" t="str">
        <f>IF($A67="","",VLOOKUP($A67,기본데이타!$A$8:$BV$103,COLUMN(기본데이타!AG$8),0))</f>
        <v/>
      </c>
      <c r="AE67" s="168" t="str">
        <f>IF($A67="","",VLOOKUP($A67,기본데이타!$A$8:$BV$103,COLUMN(기본데이타!AH$8),0))</f>
        <v/>
      </c>
      <c r="AF67" s="167" t="str">
        <f>IF($A67="","",VLOOKUP($A67,기본데이타!$A$8:$BV$103,COLUMN(기본데이타!AI$8),0))</f>
        <v/>
      </c>
      <c r="AG67" s="169" t="str">
        <f>IF($A67="","",VLOOKUP($A67,기본데이타!$A$8:$BV$103,COLUMN(기본데이타!AJ$8),0))</f>
        <v/>
      </c>
      <c r="AH67" s="364" t="str">
        <f>IF($A67="","",VLOOKUP($A67,기본데이타!$A$8:$BV$103,COLUMN(기본데이타!AK$8),0))</f>
        <v/>
      </c>
      <c r="AI67" s="364" t="str">
        <f>IF($A67="","",VLOOKUP($A67,기본데이타!$A$8:$BV$103,COLUMN(기본데이타!AL$8),0))</f>
        <v/>
      </c>
      <c r="AJ67" s="364" t="str">
        <f>IF($A67="","",VLOOKUP($A67,기본데이타!$A$8:$BV$103,COLUMN(기본데이타!AM$8),0))</f>
        <v/>
      </c>
      <c r="AK67" s="364" t="str">
        <f>IF($A67="","",VLOOKUP($A67,기본데이타!$A$8:$BV$103,COLUMN(기본데이타!AN$8),0))</f>
        <v/>
      </c>
      <c r="AL67" s="364" t="str">
        <f>IF($A67="","",VLOOKUP($A67,기본데이타!$A$8:$BV$103,COLUMN(기본데이타!AO$8),0))</f>
        <v/>
      </c>
      <c r="AM67" s="364" t="str">
        <f>IF($A67="","",VLOOKUP($A67,기본데이타!$A$8:$BV$103,COLUMN(기본데이타!AP$8),0))</f>
        <v/>
      </c>
      <c r="AN67" s="364" t="str">
        <f>IF($A67="","",VLOOKUP($A67,기본데이타!$A$8:$BV$103,COLUMN(기본데이타!AQ$8),0))</f>
        <v/>
      </c>
      <c r="AO67" s="364" t="str">
        <f>IF($A67="","",VLOOKUP($A67,기본데이타!$A$8:$BV$103,COLUMN(기본데이타!AR$8),0))</f>
        <v/>
      </c>
      <c r="AP67" s="364" t="str">
        <f>IF($A67="","",VLOOKUP($A67,기본데이타!$A$8:$BV$103,COLUMN(기본데이타!AS$8),0))</f>
        <v/>
      </c>
      <c r="AQ67" s="364" t="str">
        <f>IF($A67="","",VLOOKUP($A67,기본데이타!$A$8:$BV$103,COLUMN(기본데이타!AT$8),0))</f>
        <v/>
      </c>
      <c r="AR67" s="364" t="str">
        <f>IF($A67="","",VLOOKUP($A67,기본데이타!$A$8:$BV$103,COLUMN(기본데이타!AU$8),0))</f>
        <v/>
      </c>
      <c r="AS67" s="364" t="str">
        <f>IF($A67="","",VLOOKUP($A67,기본데이타!$A$8:$BV$103,COLUMN(기본데이타!AV$8),0))</f>
        <v/>
      </c>
      <c r="AT67" s="358" t="str">
        <f>IF($A67="","",VLOOKUP($A67,기본데이타!$A$8:$BV$103,COLUMN(기본데이타!AW$8),0))</f>
        <v/>
      </c>
      <c r="AU67" s="358" t="str">
        <f>IF($A67="","",VLOOKUP($A67,기본데이타!$A$8:$BV$103,COLUMN(기본데이타!AX$8),0))</f>
        <v/>
      </c>
      <c r="AV67" s="358" t="str">
        <f>IF($A67="","",VLOOKUP($A67,기본데이타!$A$8:$BV$103,COLUMN(기본데이타!AY$8),0))</f>
        <v/>
      </c>
      <c r="AW67" s="358" t="str">
        <f t="shared" si="10"/>
        <v/>
      </c>
      <c r="AX67" s="168" t="str">
        <f>IF($A67="","",VLOOKUP($A67,기본데이타!$A$8:$BV$103,COLUMN(기본데이타!BA$8),0))</f>
        <v/>
      </c>
      <c r="AY67" s="168" t="str">
        <f>IF($A67="","",VLOOKUP($A67,기본데이타!$A$8:$BV$103,COLUMN(기본데이타!BB$8),0))</f>
        <v/>
      </c>
      <c r="AZ67" s="168" t="str">
        <f>IF($A67="","",VLOOKUP($A67,기본데이타!$A$8:$BV$103,COLUMN(기본데이타!BC$8),0))</f>
        <v/>
      </c>
      <c r="BA67" s="168" t="str">
        <f>IF($A67="","",VLOOKUP($A67,기본데이타!$A$8:$BV$103,COLUMN(기본데이타!BD$8),0))</f>
        <v/>
      </c>
      <c r="BB67" s="168" t="str">
        <f>IF($A67="","",VLOOKUP($A67,기본데이타!$A$8:$BV$103,COLUMN(기본데이타!BE$8),0))</f>
        <v/>
      </c>
      <c r="BC67" s="168" t="str">
        <f>IF($A67="","",VLOOKUP($A67,기본데이타!$A$8:$BV$103,COLUMN(기본데이타!BF$8),0))</f>
        <v/>
      </c>
      <c r="BD67" s="168" t="str">
        <f>IF($A67="","",VLOOKUP($A67,기본데이타!$A$8:$BV$103,COLUMN(기본데이타!BG$8),0))</f>
        <v/>
      </c>
      <c r="BE67" s="168" t="str">
        <f>IF($A67="","",VLOOKUP($A67,기본데이타!$A$8:$BV$103,COLUMN(기본데이타!BH$8),0))</f>
        <v/>
      </c>
      <c r="BF67" s="168" t="str">
        <f>IF($A67="","",VLOOKUP($A67,기본데이타!$A$8:$BV$103,COLUMN(기본데이타!BI$8),0))</f>
        <v/>
      </c>
      <c r="BG67" s="168" t="str">
        <f>IF($A67="","",VLOOKUP($A67,기본데이타!$A$8:$BV$103,COLUMN(기본데이타!BJ$8),0))</f>
        <v/>
      </c>
      <c r="BH67" s="168" t="str">
        <f>IF($A67="","",VLOOKUP($A67,기본데이타!$A$8:$BV$103,COLUMN(기본데이타!BK$8),0))</f>
        <v/>
      </c>
      <c r="BI67" s="168" t="str">
        <f>IF($A67="","",VLOOKUP($A67,기본데이타!$A$8:$BV$103,COLUMN(기본데이타!BL$8),0))</f>
        <v/>
      </c>
      <c r="BJ67" s="168" t="str">
        <f>IF($A67="","",VLOOKUP($A67,기본데이타!$A$8:$BV$103,COLUMN(기본데이타!BM$8),0))</f>
        <v/>
      </c>
      <c r="BK67" s="168" t="str">
        <f>IF($A67="","",VLOOKUP($A67,기본데이타!$A$8:$BV$103,COLUMN(기본데이타!BN$8),0))</f>
        <v/>
      </c>
      <c r="BL67" s="168" t="str">
        <f>IF($A67="","",VLOOKUP($A67,기본데이타!$A$8:$BV$103,COLUMN(기본데이타!BO$8),0))</f>
        <v/>
      </c>
      <c r="BM67" s="168" t="str">
        <f>IF($A67="","",VLOOKUP($A67,기본데이타!$A$8:$BV$103,COLUMN(기본데이타!BP$8),0))</f>
        <v/>
      </c>
      <c r="BN67" s="168" t="str">
        <f>IF($A67="","",VLOOKUP($A67,기본데이타!$A$8:$BV$103,COLUMN(기본데이타!BQ$8),0))</f>
        <v/>
      </c>
      <c r="BO67" s="168" t="str">
        <f>IF($A67="","",VLOOKUP($A67,기본데이타!$A$8:$BV$103,COLUMN(기본데이타!BR$8),0))</f>
        <v/>
      </c>
      <c r="BP67" s="168" t="str">
        <f>IF($A67="","",VLOOKUP($A67,기본데이타!$A$8:$BV$103,COLUMN(기본데이타!BS$8),0))</f>
        <v/>
      </c>
      <c r="BQ67" s="980" t="str">
        <f>IF($A67="","",VLOOKUP($A67,기본데이타!$A$8:$BV$103,COLUMN(기본데이타!BT$8),0))</f>
        <v/>
      </c>
      <c r="BR67" s="984" t="str">
        <f>IF($A67="","",VLOOKUP($A67,기본데이타!$A$8:$BV$103,COLUMN(기본데이타!BU$8),0))</f>
        <v/>
      </c>
      <c r="BS67" s="168" t="str">
        <f>IF($A67="","",VLOOKUP($A67,기본데이타!$A$8:$BV$103,COLUMN(기본데이타!BV$8),0))</f>
        <v/>
      </c>
      <c r="BT67" s="981">
        <f t="shared" si="11"/>
        <v>0</v>
      </c>
      <c r="BU67" s="242"/>
    </row>
    <row r="68" spans="1:73" s="7" customFormat="1" ht="73.5" customHeight="1">
      <c r="A68" s="171"/>
      <c r="B68" s="163"/>
      <c r="C68" s="164" t="str">
        <f>IF($A68="","",VLOOKUP($A68,기본데이타!$A$8:$BV$103,COLUMN(기본데이타!F$8),0))</f>
        <v/>
      </c>
      <c r="D68" s="165" t="str">
        <f>IF($A68="","",VLOOKUP($A68,기본데이타!$A$8:$BV$103,COLUMN(기본데이타!G$8),0))</f>
        <v/>
      </c>
      <c r="E68" s="166" t="str">
        <f>IF($A68="","",VLOOKUP($A68,기본데이타!$A$8:$BV$103,COLUMN(기본데이타!H$8),0))</f>
        <v/>
      </c>
      <c r="F68" s="166" t="str">
        <f>IF($A68="","",VLOOKUP($A68,기본데이타!$A$8:$BV$103,COLUMN(기본데이타!I$8),0))</f>
        <v/>
      </c>
      <c r="G68" s="166" t="str">
        <f>IF($A68="","",VLOOKUP($A68,기본데이타!$A$8:$BV$103,COLUMN(기본데이타!J$8),0))</f>
        <v/>
      </c>
      <c r="H68" s="167" t="str">
        <f>IF($A68="","",VLOOKUP($A68,기본데이타!$A$8:$BV$103,COLUMN(기본데이타!K$8),0))</f>
        <v/>
      </c>
      <c r="I68" s="167" t="str">
        <f>IF($A68="","",VLOOKUP($A68,기본데이타!$A$8:$BV$103,COLUMN(기본데이타!L$8),0))</f>
        <v/>
      </c>
      <c r="J68" s="167" t="str">
        <f>IF($A68="","",VLOOKUP($A68,기본데이타!$A$8:$BV$103,COLUMN(기본데이타!M$8),0))</f>
        <v/>
      </c>
      <c r="K68" s="168" t="str">
        <f>IF($A68="","",VLOOKUP($A68,기본데이타!$A$8:$BV$103,COLUMN(기본데이타!N$8),0))</f>
        <v/>
      </c>
      <c r="L68" s="167" t="str">
        <f>IF($A68="","",VLOOKUP($A68,기본데이타!$A$8:$BV$103,COLUMN(기본데이타!O$8),0))</f>
        <v/>
      </c>
      <c r="M68" s="168" t="str">
        <f>IF($A68="","",VLOOKUP($A68,기본데이타!$A$8:$BV$103,COLUMN(기본데이타!P$8),0))</f>
        <v/>
      </c>
      <c r="N68" s="168" t="str">
        <f>IF($A68="","",VLOOKUP($A68,기본데이타!$A$8:$BV$103,COLUMN(기본데이타!Q$8),0))</f>
        <v/>
      </c>
      <c r="O68" s="168" t="str">
        <f>IF($A68="","",VLOOKUP($A68,기본데이타!$A$8:$BV$103,COLUMN(기본데이타!R$8),0))</f>
        <v/>
      </c>
      <c r="P68" s="168" t="str">
        <f>IF($A68="","",VLOOKUP($A68,기본데이타!$A$8:$BV$103,COLUMN(기본데이타!S$8),0))</f>
        <v/>
      </c>
      <c r="Q68" s="168" t="str">
        <f>IF($A68="","",VLOOKUP($A68,기본데이타!$A$8:$BV$103,COLUMN(기본데이타!T$8),0))</f>
        <v/>
      </c>
      <c r="R68" s="168" t="str">
        <f>IF($A68="","",VLOOKUP($A68,기본데이타!$A$8:$BV$103,COLUMN(기본데이타!U$8),0))</f>
        <v/>
      </c>
      <c r="S68" s="168" t="str">
        <f>IF($A68="","",VLOOKUP($A68,기본데이타!$A$8:$BV$103,COLUMN(기본데이타!V$8),0))</f>
        <v/>
      </c>
      <c r="T68" s="168" t="str">
        <f>IF($A68="","",VLOOKUP($A68,기본데이타!$A$8:$BV$103,COLUMN(기본데이타!W$8),0))</f>
        <v/>
      </c>
      <c r="U68" s="168" t="str">
        <f>IF($A68="","",VLOOKUP($A68,기본데이타!$A$8:$BV$103,COLUMN(기본데이타!X$8),0))</f>
        <v/>
      </c>
      <c r="V68" s="168" t="str">
        <f>IF($A68="","",VLOOKUP($A68,기본데이타!$A$8:$BV$103,COLUMN(기본데이타!Y$8),0))</f>
        <v/>
      </c>
      <c r="W68" s="168" t="str">
        <f>IF($A68="","",VLOOKUP($A68,기본데이타!$A$8:$BV$103,COLUMN(기본데이타!Z$8),0))</f>
        <v/>
      </c>
      <c r="X68" s="168" t="str">
        <f>IF($A68="","",VLOOKUP($A68,기본데이타!$A$8:$BV$103,COLUMN(기본데이타!AA$8),0))</f>
        <v/>
      </c>
      <c r="Y68" s="168" t="str">
        <f>IF($A68="","",VLOOKUP($A68,기본데이타!$A$8:$BV$103,COLUMN(기본데이타!AB$8),0))</f>
        <v/>
      </c>
      <c r="Z68" s="167" t="str">
        <f>IF($A68="","",VLOOKUP($A68,기본데이타!$A$8:$BV$103,COLUMN(기본데이타!AC$8),0))</f>
        <v/>
      </c>
      <c r="AA68" s="168" t="str">
        <f>IF($A68="","",VLOOKUP($A68,기본데이타!$A$8:$BV$103,COLUMN(기본데이타!AD$8),0))</f>
        <v/>
      </c>
      <c r="AB68" s="167" t="str">
        <f>IF($A68="","",VLOOKUP($A68,기본데이타!$A$8:$BV$103,COLUMN(기본데이타!AE$8),0))</f>
        <v/>
      </c>
      <c r="AC68" s="168" t="str">
        <f>IF($A68="","",VLOOKUP($A68,기본데이타!$A$8:$BV$103,COLUMN(기본데이타!AF$8),0))</f>
        <v/>
      </c>
      <c r="AD68" s="167" t="str">
        <f>IF($A68="","",VLOOKUP($A68,기본데이타!$A$8:$BV$103,COLUMN(기본데이타!AG$8),0))</f>
        <v/>
      </c>
      <c r="AE68" s="168" t="str">
        <f>IF($A68="","",VLOOKUP($A68,기본데이타!$A$8:$BV$103,COLUMN(기본데이타!AH$8),0))</f>
        <v/>
      </c>
      <c r="AF68" s="167" t="str">
        <f>IF($A68="","",VLOOKUP($A68,기본데이타!$A$8:$BV$103,COLUMN(기본데이타!AI$8),0))</f>
        <v/>
      </c>
      <c r="AG68" s="169" t="str">
        <f>IF($A68="","",VLOOKUP($A68,기본데이타!$A$8:$BV$103,COLUMN(기본데이타!AJ$8),0))</f>
        <v/>
      </c>
      <c r="AH68" s="364" t="str">
        <f>IF($A68="","",VLOOKUP($A68,기본데이타!$A$8:$BV$103,COLUMN(기본데이타!AK$8),0))</f>
        <v/>
      </c>
      <c r="AI68" s="364" t="str">
        <f>IF($A68="","",VLOOKUP($A68,기본데이타!$A$8:$BV$103,COLUMN(기본데이타!AL$8),0))</f>
        <v/>
      </c>
      <c r="AJ68" s="364" t="str">
        <f>IF($A68="","",VLOOKUP($A68,기본데이타!$A$8:$BV$103,COLUMN(기본데이타!AM$8),0))</f>
        <v/>
      </c>
      <c r="AK68" s="364" t="str">
        <f>IF($A68="","",VLOOKUP($A68,기본데이타!$A$8:$BV$103,COLUMN(기본데이타!AN$8),0))</f>
        <v/>
      </c>
      <c r="AL68" s="364" t="str">
        <f>IF($A68="","",VLOOKUP($A68,기본데이타!$A$8:$BV$103,COLUMN(기본데이타!AO$8),0))</f>
        <v/>
      </c>
      <c r="AM68" s="364" t="str">
        <f>IF($A68="","",VLOOKUP($A68,기본데이타!$A$8:$BV$103,COLUMN(기본데이타!AP$8),0))</f>
        <v/>
      </c>
      <c r="AN68" s="364" t="str">
        <f>IF($A68="","",VLOOKUP($A68,기본데이타!$A$8:$BV$103,COLUMN(기본데이타!AQ$8),0))</f>
        <v/>
      </c>
      <c r="AO68" s="364" t="str">
        <f>IF($A68="","",VLOOKUP($A68,기본데이타!$A$8:$BV$103,COLUMN(기본데이타!AR$8),0))</f>
        <v/>
      </c>
      <c r="AP68" s="364" t="str">
        <f>IF($A68="","",VLOOKUP($A68,기본데이타!$A$8:$BV$103,COLUMN(기본데이타!AS$8),0))</f>
        <v/>
      </c>
      <c r="AQ68" s="364" t="str">
        <f>IF($A68="","",VLOOKUP($A68,기본데이타!$A$8:$BV$103,COLUMN(기본데이타!AT$8),0))</f>
        <v/>
      </c>
      <c r="AR68" s="364" t="str">
        <f>IF($A68="","",VLOOKUP($A68,기본데이타!$A$8:$BV$103,COLUMN(기본데이타!AU$8),0))</f>
        <v/>
      </c>
      <c r="AS68" s="364" t="str">
        <f>IF($A68="","",VLOOKUP($A68,기본데이타!$A$8:$BV$103,COLUMN(기본데이타!AV$8),0))</f>
        <v/>
      </c>
      <c r="AT68" s="358" t="str">
        <f>IF($A68="","",VLOOKUP($A68,기본데이타!$A$8:$BV$103,COLUMN(기본데이타!AW$8),0))</f>
        <v/>
      </c>
      <c r="AU68" s="358" t="str">
        <f>IF($A68="","",VLOOKUP($A68,기본데이타!$A$8:$BV$103,COLUMN(기본데이타!AX$8),0))</f>
        <v/>
      </c>
      <c r="AV68" s="358" t="str">
        <f>IF($A68="","",VLOOKUP($A68,기본데이타!$A$8:$BV$103,COLUMN(기본데이타!AY$8),0))</f>
        <v/>
      </c>
      <c r="AW68" s="358" t="str">
        <f>IF(AT68="","",SUM(AT68:AV68))</f>
        <v/>
      </c>
      <c r="AX68" s="168" t="str">
        <f>IF($A68="","",VLOOKUP($A68,기본데이타!$A$8:$BV$103,COLUMN(기본데이타!BA$8),0))</f>
        <v/>
      </c>
      <c r="AY68" s="168" t="str">
        <f>IF($A68="","",VLOOKUP($A68,기본데이타!$A$8:$BV$103,COLUMN(기본데이타!BB$8),0))</f>
        <v/>
      </c>
      <c r="AZ68" s="168" t="str">
        <f>IF($A68="","",VLOOKUP($A68,기본데이타!$A$8:$BV$103,COLUMN(기본데이타!BC$8),0))</f>
        <v/>
      </c>
      <c r="BA68" s="168" t="str">
        <f>IF($A68="","",VLOOKUP($A68,기본데이타!$A$8:$BV$103,COLUMN(기본데이타!BD$8),0))</f>
        <v/>
      </c>
      <c r="BB68" s="168" t="str">
        <f>IF($A68="","",VLOOKUP($A68,기본데이타!$A$8:$BV$103,COLUMN(기본데이타!BE$8),0))</f>
        <v/>
      </c>
      <c r="BC68" s="168" t="str">
        <f>IF($A68="","",VLOOKUP($A68,기본데이타!$A$8:$BV$103,COLUMN(기본데이타!BF$8),0))</f>
        <v/>
      </c>
      <c r="BD68" s="168" t="str">
        <f>IF($A68="","",VLOOKUP($A68,기본데이타!$A$8:$BV$103,COLUMN(기본데이타!BG$8),0))</f>
        <v/>
      </c>
      <c r="BE68" s="168" t="str">
        <f>IF($A68="","",VLOOKUP($A68,기본데이타!$A$8:$BV$103,COLUMN(기본데이타!BH$8),0))</f>
        <v/>
      </c>
      <c r="BF68" s="168" t="str">
        <f>IF($A68="","",VLOOKUP($A68,기본데이타!$A$8:$BV$103,COLUMN(기본데이타!BI$8),0))</f>
        <v/>
      </c>
      <c r="BG68" s="168" t="str">
        <f>IF($A68="","",VLOOKUP($A68,기본데이타!$A$8:$BV$103,COLUMN(기본데이타!BJ$8),0))</f>
        <v/>
      </c>
      <c r="BH68" s="168" t="str">
        <f>IF($A68="","",VLOOKUP($A68,기본데이타!$A$8:$BV$103,COLUMN(기본데이타!BK$8),0))</f>
        <v/>
      </c>
      <c r="BI68" s="168" t="str">
        <f>IF($A68="","",VLOOKUP($A68,기본데이타!$A$8:$BV$103,COLUMN(기본데이타!BL$8),0))</f>
        <v/>
      </c>
      <c r="BJ68" s="168" t="str">
        <f>IF($A68="","",VLOOKUP($A68,기본데이타!$A$8:$BV$103,COLUMN(기본데이타!BM$8),0))</f>
        <v/>
      </c>
      <c r="BK68" s="168" t="str">
        <f>IF($A68="","",VLOOKUP($A68,기본데이타!$A$8:$BV$103,COLUMN(기본데이타!BN$8),0))</f>
        <v/>
      </c>
      <c r="BL68" s="168" t="str">
        <f>IF($A68="","",VLOOKUP($A68,기본데이타!$A$8:$BV$103,COLUMN(기본데이타!BO$8),0))</f>
        <v/>
      </c>
      <c r="BM68" s="168" t="str">
        <f>IF($A68="","",VLOOKUP($A68,기본데이타!$A$8:$BV$103,COLUMN(기본데이타!BP$8),0))</f>
        <v/>
      </c>
      <c r="BN68" s="168" t="str">
        <f>IF($A68="","",VLOOKUP($A68,기본데이타!$A$8:$BV$103,COLUMN(기본데이타!BQ$8),0))</f>
        <v/>
      </c>
      <c r="BO68" s="168" t="str">
        <f>IF($A68="","",VLOOKUP($A68,기본데이타!$A$8:$BV$103,COLUMN(기본데이타!BR$8),0))</f>
        <v/>
      </c>
      <c r="BP68" s="168" t="str">
        <f>IF($A68="","",VLOOKUP($A68,기본데이타!$A$8:$BV$103,COLUMN(기본데이타!BS$8),0))</f>
        <v/>
      </c>
      <c r="BQ68" s="980" t="str">
        <f>IF($A68="","",VLOOKUP($A68,기본데이타!$A$8:$BV$103,COLUMN(기본데이타!BT$8),0))</f>
        <v/>
      </c>
      <c r="BR68" s="984" t="str">
        <f>IF($A68="","",VLOOKUP($A68,기본데이타!$A$8:$BV$103,COLUMN(기본데이타!BU$8),0))</f>
        <v/>
      </c>
      <c r="BS68" s="168" t="str">
        <f>IF($A68="","",VLOOKUP($A68,기본데이타!$A$8:$BV$103,COLUMN(기본데이타!BV$8),0))</f>
        <v/>
      </c>
      <c r="BT68" s="981">
        <f>A68</f>
        <v>0</v>
      </c>
      <c r="BU68" s="242"/>
    </row>
    <row r="69" spans="1:73" s="7" customFormat="1" ht="73.5" customHeight="1">
      <c r="A69" s="171"/>
      <c r="B69" s="163"/>
      <c r="C69" s="164" t="str">
        <f>IF($A69="","",VLOOKUP($A69,기본데이타!$A$8:$BV$103,COLUMN(기본데이타!F$8),0))</f>
        <v/>
      </c>
      <c r="D69" s="165" t="str">
        <f>IF($A69="","",VLOOKUP($A69,기본데이타!$A$8:$BV$103,COLUMN(기본데이타!G$8),0))</f>
        <v/>
      </c>
      <c r="E69" s="166" t="str">
        <f>IF($A69="","",VLOOKUP($A69,기본데이타!$A$8:$BV$103,COLUMN(기본데이타!H$8),0))</f>
        <v/>
      </c>
      <c r="F69" s="166" t="str">
        <f>IF($A69="","",VLOOKUP($A69,기본데이타!$A$8:$BV$103,COLUMN(기본데이타!I$8),0))</f>
        <v/>
      </c>
      <c r="G69" s="166" t="str">
        <f>IF($A69="","",VLOOKUP($A69,기본데이타!$A$8:$BV$103,COLUMN(기본데이타!J$8),0))</f>
        <v/>
      </c>
      <c r="H69" s="167" t="str">
        <f>IF($A69="","",VLOOKUP($A69,기본데이타!$A$8:$BV$103,COLUMN(기본데이타!K$8),0))</f>
        <v/>
      </c>
      <c r="I69" s="167" t="str">
        <f>IF($A69="","",VLOOKUP($A69,기본데이타!$A$8:$BV$103,COLUMN(기본데이타!L$8),0))</f>
        <v/>
      </c>
      <c r="J69" s="167" t="str">
        <f>IF($A69="","",VLOOKUP($A69,기본데이타!$A$8:$BV$103,COLUMN(기본데이타!M$8),0))</f>
        <v/>
      </c>
      <c r="K69" s="168" t="str">
        <f>IF($A69="","",VLOOKUP($A69,기본데이타!$A$8:$BV$103,COLUMN(기본데이타!N$8),0))</f>
        <v/>
      </c>
      <c r="L69" s="167" t="str">
        <f>IF($A69="","",VLOOKUP($A69,기본데이타!$A$8:$BV$103,COLUMN(기본데이타!O$8),0))</f>
        <v/>
      </c>
      <c r="M69" s="168" t="str">
        <f>IF($A69="","",VLOOKUP($A69,기본데이타!$A$8:$BV$103,COLUMN(기본데이타!P$8),0))</f>
        <v/>
      </c>
      <c r="N69" s="168" t="str">
        <f>IF($A69="","",VLOOKUP($A69,기본데이타!$A$8:$BV$103,COLUMN(기본데이타!Q$8),0))</f>
        <v/>
      </c>
      <c r="O69" s="168" t="str">
        <f>IF($A69="","",VLOOKUP($A69,기본데이타!$A$8:$BV$103,COLUMN(기본데이타!R$8),0))</f>
        <v/>
      </c>
      <c r="P69" s="168" t="str">
        <f>IF($A69="","",VLOOKUP($A69,기본데이타!$A$8:$BV$103,COLUMN(기본데이타!S$8),0))</f>
        <v/>
      </c>
      <c r="Q69" s="168" t="str">
        <f>IF($A69="","",VLOOKUP($A69,기본데이타!$A$8:$BV$103,COLUMN(기본데이타!T$8),0))</f>
        <v/>
      </c>
      <c r="R69" s="168" t="str">
        <f>IF($A69="","",VLOOKUP($A69,기본데이타!$A$8:$BV$103,COLUMN(기본데이타!U$8),0))</f>
        <v/>
      </c>
      <c r="S69" s="168" t="str">
        <f>IF($A69="","",VLOOKUP($A69,기본데이타!$A$8:$BV$103,COLUMN(기본데이타!V$8),0))</f>
        <v/>
      </c>
      <c r="T69" s="168" t="str">
        <f>IF($A69="","",VLOOKUP($A69,기본데이타!$A$8:$BV$103,COLUMN(기본데이타!W$8),0))</f>
        <v/>
      </c>
      <c r="U69" s="168" t="str">
        <f>IF($A69="","",VLOOKUP($A69,기본데이타!$A$8:$BV$103,COLUMN(기본데이타!X$8),0))</f>
        <v/>
      </c>
      <c r="V69" s="168" t="str">
        <f>IF($A69="","",VLOOKUP($A69,기본데이타!$A$8:$BV$103,COLUMN(기본데이타!Y$8),0))</f>
        <v/>
      </c>
      <c r="W69" s="168" t="str">
        <f>IF($A69="","",VLOOKUP($A69,기본데이타!$A$8:$BV$103,COLUMN(기본데이타!Z$8),0))</f>
        <v/>
      </c>
      <c r="X69" s="168" t="str">
        <f>IF($A69="","",VLOOKUP($A69,기본데이타!$A$8:$BV$103,COLUMN(기본데이타!AA$8),0))</f>
        <v/>
      </c>
      <c r="Y69" s="168" t="str">
        <f>IF($A69="","",VLOOKUP($A69,기본데이타!$A$8:$BV$103,COLUMN(기본데이타!AB$8),0))</f>
        <v/>
      </c>
      <c r="Z69" s="167" t="str">
        <f>IF($A69="","",VLOOKUP($A69,기본데이타!$A$8:$BV$103,COLUMN(기본데이타!AC$8),0))</f>
        <v/>
      </c>
      <c r="AA69" s="168" t="str">
        <f>IF($A69="","",VLOOKUP($A69,기본데이타!$A$8:$BV$103,COLUMN(기본데이타!AD$8),0))</f>
        <v/>
      </c>
      <c r="AB69" s="167" t="str">
        <f>IF($A69="","",VLOOKUP($A69,기본데이타!$A$8:$BV$103,COLUMN(기본데이타!AE$8),0))</f>
        <v/>
      </c>
      <c r="AC69" s="168" t="str">
        <f>IF($A69="","",VLOOKUP($A69,기본데이타!$A$8:$BV$103,COLUMN(기본데이타!AF$8),0))</f>
        <v/>
      </c>
      <c r="AD69" s="167" t="str">
        <f>IF($A69="","",VLOOKUP($A69,기본데이타!$A$8:$BV$103,COLUMN(기본데이타!AG$8),0))</f>
        <v/>
      </c>
      <c r="AE69" s="168" t="str">
        <f>IF($A69="","",VLOOKUP($A69,기본데이타!$A$8:$BV$103,COLUMN(기본데이타!AH$8),0))</f>
        <v/>
      </c>
      <c r="AF69" s="167" t="str">
        <f>IF($A69="","",VLOOKUP($A69,기본데이타!$A$8:$BV$103,COLUMN(기본데이타!AI$8),0))</f>
        <v/>
      </c>
      <c r="AG69" s="169" t="str">
        <f>IF($A69="","",VLOOKUP($A69,기본데이타!$A$8:$BV$103,COLUMN(기본데이타!AJ$8),0))</f>
        <v/>
      </c>
      <c r="AH69" s="364" t="str">
        <f>IF($A69="","",VLOOKUP($A69,기본데이타!$A$8:$BV$103,COLUMN(기본데이타!AK$8),0))</f>
        <v/>
      </c>
      <c r="AI69" s="364" t="str">
        <f>IF($A69="","",VLOOKUP($A69,기본데이타!$A$8:$BV$103,COLUMN(기본데이타!AL$8),0))</f>
        <v/>
      </c>
      <c r="AJ69" s="364" t="str">
        <f>IF($A69="","",VLOOKUP($A69,기본데이타!$A$8:$BV$103,COLUMN(기본데이타!AM$8),0))</f>
        <v/>
      </c>
      <c r="AK69" s="364" t="str">
        <f>IF($A69="","",VLOOKUP($A69,기본데이타!$A$8:$BV$103,COLUMN(기본데이타!AN$8),0))</f>
        <v/>
      </c>
      <c r="AL69" s="364" t="str">
        <f>IF($A69="","",VLOOKUP($A69,기본데이타!$A$8:$BV$103,COLUMN(기본데이타!AO$8),0))</f>
        <v/>
      </c>
      <c r="AM69" s="364" t="str">
        <f>IF($A69="","",VLOOKUP($A69,기본데이타!$A$8:$BV$103,COLUMN(기본데이타!AP$8),0))</f>
        <v/>
      </c>
      <c r="AN69" s="364" t="str">
        <f>IF($A69="","",VLOOKUP($A69,기본데이타!$A$8:$BV$103,COLUMN(기본데이타!AQ$8),0))</f>
        <v/>
      </c>
      <c r="AO69" s="364" t="str">
        <f>IF($A69="","",VLOOKUP($A69,기본데이타!$A$8:$BV$103,COLUMN(기본데이타!AR$8),0))</f>
        <v/>
      </c>
      <c r="AP69" s="364" t="str">
        <f>IF($A69="","",VLOOKUP($A69,기본데이타!$A$8:$BV$103,COLUMN(기본데이타!AS$8),0))</f>
        <v/>
      </c>
      <c r="AQ69" s="364" t="str">
        <f>IF($A69="","",VLOOKUP($A69,기본데이타!$A$8:$BV$103,COLUMN(기본데이타!AT$8),0))</f>
        <v/>
      </c>
      <c r="AR69" s="364" t="str">
        <f>IF($A69="","",VLOOKUP($A69,기본데이타!$A$8:$BV$103,COLUMN(기본데이타!AU$8),0))</f>
        <v/>
      </c>
      <c r="AS69" s="364" t="str">
        <f>IF($A69="","",VLOOKUP($A69,기본데이타!$A$8:$BV$103,COLUMN(기본데이타!AV$8),0))</f>
        <v/>
      </c>
      <c r="AT69" s="358" t="str">
        <f>IF($A69="","",VLOOKUP($A69,기본데이타!$A$8:$BV$103,COLUMN(기본데이타!AW$8),0))</f>
        <v/>
      </c>
      <c r="AU69" s="358" t="str">
        <f>IF($A69="","",VLOOKUP($A69,기본데이타!$A$8:$BV$103,COLUMN(기본데이타!AX$8),0))</f>
        <v/>
      </c>
      <c r="AV69" s="358" t="str">
        <f>IF($A69="","",VLOOKUP($A69,기본데이타!$A$8:$BV$103,COLUMN(기본데이타!AY$8),0))</f>
        <v/>
      </c>
      <c r="AW69" s="358" t="str">
        <f>IF(AT69="","",SUM(AT69:AV69))</f>
        <v/>
      </c>
      <c r="AX69" s="168" t="str">
        <f>IF($A69="","",VLOOKUP($A69,기본데이타!$A$8:$BV$103,COLUMN(기본데이타!BA$8),0))</f>
        <v/>
      </c>
      <c r="AY69" s="168" t="str">
        <f>IF($A69="","",VLOOKUP($A69,기본데이타!$A$8:$BV$103,COLUMN(기본데이타!BB$8),0))</f>
        <v/>
      </c>
      <c r="AZ69" s="168" t="str">
        <f>IF($A69="","",VLOOKUP($A69,기본데이타!$A$8:$BV$103,COLUMN(기본데이타!BC$8),0))</f>
        <v/>
      </c>
      <c r="BA69" s="168" t="str">
        <f>IF($A69="","",VLOOKUP($A69,기본데이타!$A$8:$BV$103,COLUMN(기본데이타!BD$8),0))</f>
        <v/>
      </c>
      <c r="BB69" s="168" t="str">
        <f>IF($A69="","",VLOOKUP($A69,기본데이타!$A$8:$BV$103,COLUMN(기본데이타!BE$8),0))</f>
        <v/>
      </c>
      <c r="BC69" s="168" t="str">
        <f>IF($A69="","",VLOOKUP($A69,기본데이타!$A$8:$BV$103,COLUMN(기본데이타!BF$8),0))</f>
        <v/>
      </c>
      <c r="BD69" s="168" t="str">
        <f>IF($A69="","",VLOOKUP($A69,기본데이타!$A$8:$BV$103,COLUMN(기본데이타!BG$8),0))</f>
        <v/>
      </c>
      <c r="BE69" s="168" t="str">
        <f>IF($A69="","",VLOOKUP($A69,기본데이타!$A$8:$BV$103,COLUMN(기본데이타!BH$8),0))</f>
        <v/>
      </c>
      <c r="BF69" s="168" t="str">
        <f>IF($A69="","",VLOOKUP($A69,기본데이타!$A$8:$BV$103,COLUMN(기본데이타!BI$8),0))</f>
        <v/>
      </c>
      <c r="BG69" s="168" t="str">
        <f>IF($A69="","",VLOOKUP($A69,기본데이타!$A$8:$BV$103,COLUMN(기본데이타!BJ$8),0))</f>
        <v/>
      </c>
      <c r="BH69" s="168" t="str">
        <f>IF($A69="","",VLOOKUP($A69,기본데이타!$A$8:$BV$103,COLUMN(기본데이타!BK$8),0))</f>
        <v/>
      </c>
      <c r="BI69" s="168" t="str">
        <f>IF($A69="","",VLOOKUP($A69,기본데이타!$A$8:$BV$103,COLUMN(기본데이타!BL$8),0))</f>
        <v/>
      </c>
      <c r="BJ69" s="168" t="str">
        <f>IF($A69="","",VLOOKUP($A69,기본데이타!$A$8:$BV$103,COLUMN(기본데이타!BM$8),0))</f>
        <v/>
      </c>
      <c r="BK69" s="168" t="str">
        <f>IF($A69="","",VLOOKUP($A69,기본데이타!$A$8:$BV$103,COLUMN(기본데이타!BN$8),0))</f>
        <v/>
      </c>
      <c r="BL69" s="168" t="str">
        <f>IF($A69="","",VLOOKUP($A69,기본데이타!$A$8:$BV$103,COLUMN(기본데이타!BO$8),0))</f>
        <v/>
      </c>
      <c r="BM69" s="168" t="str">
        <f>IF($A69="","",VLOOKUP($A69,기본데이타!$A$8:$BV$103,COLUMN(기본데이타!BP$8),0))</f>
        <v/>
      </c>
      <c r="BN69" s="168" t="str">
        <f>IF($A69="","",VLOOKUP($A69,기본데이타!$A$8:$BV$103,COLUMN(기본데이타!BQ$8),0))</f>
        <v/>
      </c>
      <c r="BO69" s="168" t="str">
        <f>IF($A69="","",VLOOKUP($A69,기본데이타!$A$8:$BV$103,COLUMN(기본데이타!BR$8),0))</f>
        <v/>
      </c>
      <c r="BP69" s="168" t="str">
        <f>IF($A69="","",VLOOKUP($A69,기본데이타!$A$8:$BV$103,COLUMN(기본데이타!BS$8),0))</f>
        <v/>
      </c>
      <c r="BQ69" s="980" t="str">
        <f>IF($A69="","",VLOOKUP($A69,기본데이타!$A$8:$BV$103,COLUMN(기본데이타!BT$8),0))</f>
        <v/>
      </c>
      <c r="BR69" s="984" t="str">
        <f>IF($A69="","",VLOOKUP($A69,기본데이타!$A$8:$BV$103,COLUMN(기본데이타!BU$8),0))</f>
        <v/>
      </c>
      <c r="BS69" s="168" t="str">
        <f>IF($A69="","",VLOOKUP($A69,기본데이타!$A$8:$BV$103,COLUMN(기본데이타!BV$8),0))</f>
        <v/>
      </c>
      <c r="BT69" s="981">
        <f>A69</f>
        <v>0</v>
      </c>
      <c r="BU69" s="242"/>
    </row>
    <row r="70" spans="1:73" s="7" customFormat="1" ht="73.5" customHeight="1">
      <c r="A70" s="171"/>
      <c r="B70" s="163"/>
      <c r="C70" s="164" t="str">
        <f>IF($A70="","",VLOOKUP($A70,기본데이타!$A$8:$BV$103,COLUMN(기본데이타!F$8),0))</f>
        <v/>
      </c>
      <c r="D70" s="165" t="str">
        <f>IF($A70="","",VLOOKUP($A70,기본데이타!$A$8:$BV$103,COLUMN(기본데이타!G$8),0))</f>
        <v/>
      </c>
      <c r="E70" s="166" t="str">
        <f>IF($A70="","",VLOOKUP($A70,기본데이타!$A$8:$BV$103,COLUMN(기본데이타!H$8),0))</f>
        <v/>
      </c>
      <c r="F70" s="166" t="str">
        <f>IF($A70="","",VLOOKUP($A70,기본데이타!$A$8:$BV$103,COLUMN(기본데이타!I$8),0))</f>
        <v/>
      </c>
      <c r="G70" s="166" t="str">
        <f>IF($A70="","",VLOOKUP($A70,기본데이타!$A$8:$BV$103,COLUMN(기본데이타!J$8),0))</f>
        <v/>
      </c>
      <c r="H70" s="167" t="str">
        <f>IF($A70="","",VLOOKUP($A70,기본데이타!$A$8:$BV$103,COLUMN(기본데이타!K$8),0))</f>
        <v/>
      </c>
      <c r="I70" s="167" t="str">
        <f>IF($A70="","",VLOOKUP($A70,기본데이타!$A$8:$BV$103,COLUMN(기본데이타!L$8),0))</f>
        <v/>
      </c>
      <c r="J70" s="167" t="str">
        <f>IF($A70="","",VLOOKUP($A70,기본데이타!$A$8:$BV$103,COLUMN(기본데이타!M$8),0))</f>
        <v/>
      </c>
      <c r="K70" s="168" t="str">
        <f>IF($A70="","",VLOOKUP($A70,기본데이타!$A$8:$BV$103,COLUMN(기본데이타!N$8),0))</f>
        <v/>
      </c>
      <c r="L70" s="167" t="str">
        <f>IF($A70="","",VLOOKUP($A70,기본데이타!$A$8:$BV$103,COLUMN(기본데이타!O$8),0))</f>
        <v/>
      </c>
      <c r="M70" s="168" t="str">
        <f>IF($A70="","",VLOOKUP($A70,기본데이타!$A$8:$BV$103,COLUMN(기본데이타!P$8),0))</f>
        <v/>
      </c>
      <c r="N70" s="168" t="str">
        <f>IF($A70="","",VLOOKUP($A70,기본데이타!$A$8:$BV$103,COLUMN(기본데이타!Q$8),0))</f>
        <v/>
      </c>
      <c r="O70" s="168" t="str">
        <f>IF($A70="","",VLOOKUP($A70,기본데이타!$A$8:$BV$103,COLUMN(기본데이타!R$8),0))</f>
        <v/>
      </c>
      <c r="P70" s="168" t="str">
        <f>IF($A70="","",VLOOKUP($A70,기본데이타!$A$8:$BV$103,COLUMN(기본데이타!S$8),0))</f>
        <v/>
      </c>
      <c r="Q70" s="168" t="str">
        <f>IF($A70="","",VLOOKUP($A70,기본데이타!$A$8:$BV$103,COLUMN(기본데이타!T$8),0))</f>
        <v/>
      </c>
      <c r="R70" s="168" t="str">
        <f>IF($A70="","",VLOOKUP($A70,기본데이타!$A$8:$BV$103,COLUMN(기본데이타!U$8),0))</f>
        <v/>
      </c>
      <c r="S70" s="168" t="str">
        <f>IF($A70="","",VLOOKUP($A70,기본데이타!$A$8:$BV$103,COLUMN(기본데이타!V$8),0))</f>
        <v/>
      </c>
      <c r="T70" s="168" t="str">
        <f>IF($A70="","",VLOOKUP($A70,기본데이타!$A$8:$BV$103,COLUMN(기본데이타!W$8),0))</f>
        <v/>
      </c>
      <c r="U70" s="168" t="str">
        <f>IF($A70="","",VLOOKUP($A70,기본데이타!$A$8:$BV$103,COLUMN(기본데이타!X$8),0))</f>
        <v/>
      </c>
      <c r="V70" s="168" t="str">
        <f>IF($A70="","",VLOOKUP($A70,기본데이타!$A$8:$BV$103,COLUMN(기본데이타!Y$8),0))</f>
        <v/>
      </c>
      <c r="W70" s="168" t="str">
        <f>IF($A70="","",VLOOKUP($A70,기본데이타!$A$8:$BV$103,COLUMN(기본데이타!Z$8),0))</f>
        <v/>
      </c>
      <c r="X70" s="168" t="str">
        <f>IF($A70="","",VLOOKUP($A70,기본데이타!$A$8:$BV$103,COLUMN(기본데이타!AA$8),0))</f>
        <v/>
      </c>
      <c r="Y70" s="168" t="str">
        <f>IF($A70="","",VLOOKUP($A70,기본데이타!$A$8:$BV$103,COLUMN(기본데이타!AB$8),0))</f>
        <v/>
      </c>
      <c r="Z70" s="167" t="str">
        <f>IF($A70="","",VLOOKUP($A70,기본데이타!$A$8:$BV$103,COLUMN(기본데이타!AC$8),0))</f>
        <v/>
      </c>
      <c r="AA70" s="168" t="str">
        <f>IF($A70="","",VLOOKUP($A70,기본데이타!$A$8:$BV$103,COLUMN(기본데이타!AD$8),0))</f>
        <v/>
      </c>
      <c r="AB70" s="167" t="str">
        <f>IF($A70="","",VLOOKUP($A70,기본데이타!$A$8:$BV$103,COLUMN(기본데이타!AE$8),0))</f>
        <v/>
      </c>
      <c r="AC70" s="168" t="str">
        <f>IF($A70="","",VLOOKUP($A70,기본데이타!$A$8:$BV$103,COLUMN(기본데이타!AF$8),0))</f>
        <v/>
      </c>
      <c r="AD70" s="167" t="str">
        <f>IF($A70="","",VLOOKUP($A70,기본데이타!$A$8:$BV$103,COLUMN(기본데이타!AG$8),0))</f>
        <v/>
      </c>
      <c r="AE70" s="168" t="str">
        <f>IF($A70="","",VLOOKUP($A70,기본데이타!$A$8:$BV$103,COLUMN(기본데이타!AH$8),0))</f>
        <v/>
      </c>
      <c r="AF70" s="167" t="str">
        <f>IF($A70="","",VLOOKUP($A70,기본데이타!$A$8:$BV$103,COLUMN(기본데이타!AI$8),0))</f>
        <v/>
      </c>
      <c r="AG70" s="169" t="str">
        <f>IF($A70="","",VLOOKUP($A70,기본데이타!$A$8:$BV$103,COLUMN(기본데이타!AJ$8),0))</f>
        <v/>
      </c>
      <c r="AH70" s="364" t="str">
        <f>IF($A70="","",VLOOKUP($A70,기본데이타!$A$8:$BV$103,COLUMN(기본데이타!AK$8),0))</f>
        <v/>
      </c>
      <c r="AI70" s="364" t="str">
        <f>IF($A70="","",VLOOKUP($A70,기본데이타!$A$8:$BV$103,COLUMN(기본데이타!AL$8),0))</f>
        <v/>
      </c>
      <c r="AJ70" s="364" t="str">
        <f>IF($A70="","",VLOOKUP($A70,기본데이타!$A$8:$BV$103,COLUMN(기본데이타!AM$8),0))</f>
        <v/>
      </c>
      <c r="AK70" s="364" t="str">
        <f>IF($A70="","",VLOOKUP($A70,기본데이타!$A$8:$BV$103,COLUMN(기본데이타!AN$8),0))</f>
        <v/>
      </c>
      <c r="AL70" s="364" t="str">
        <f>IF($A70="","",VLOOKUP($A70,기본데이타!$A$8:$BV$103,COLUMN(기본데이타!AO$8),0))</f>
        <v/>
      </c>
      <c r="AM70" s="364" t="str">
        <f>IF($A70="","",VLOOKUP($A70,기본데이타!$A$8:$BV$103,COLUMN(기본데이타!AP$8),0))</f>
        <v/>
      </c>
      <c r="AN70" s="364" t="str">
        <f>IF($A70="","",VLOOKUP($A70,기본데이타!$A$8:$BV$103,COLUMN(기본데이타!AQ$8),0))</f>
        <v/>
      </c>
      <c r="AO70" s="364" t="str">
        <f>IF($A70="","",VLOOKUP($A70,기본데이타!$A$8:$BV$103,COLUMN(기본데이타!AR$8),0))</f>
        <v/>
      </c>
      <c r="AP70" s="364" t="str">
        <f>IF($A70="","",VLOOKUP($A70,기본데이타!$A$8:$BV$103,COLUMN(기본데이타!AS$8),0))</f>
        <v/>
      </c>
      <c r="AQ70" s="364" t="str">
        <f>IF($A70="","",VLOOKUP($A70,기본데이타!$A$8:$BV$103,COLUMN(기본데이타!AT$8),0))</f>
        <v/>
      </c>
      <c r="AR70" s="364" t="str">
        <f>IF($A70="","",VLOOKUP($A70,기본데이타!$A$8:$BV$103,COLUMN(기본데이타!AU$8),0))</f>
        <v/>
      </c>
      <c r="AS70" s="364" t="str">
        <f>IF($A70="","",VLOOKUP($A70,기본데이타!$A$8:$BV$103,COLUMN(기본데이타!AV$8),0))</f>
        <v/>
      </c>
      <c r="AT70" s="358" t="str">
        <f>IF($A70="","",VLOOKUP($A70,기본데이타!$A$8:$BV$103,COLUMN(기본데이타!AW$8),0))</f>
        <v/>
      </c>
      <c r="AU70" s="358" t="str">
        <f>IF($A70="","",VLOOKUP($A70,기본데이타!$A$8:$BV$103,COLUMN(기본데이타!AX$8),0))</f>
        <v/>
      </c>
      <c r="AV70" s="358" t="str">
        <f>IF($A70="","",VLOOKUP($A70,기본데이타!$A$8:$BV$103,COLUMN(기본데이타!AY$8),0))</f>
        <v/>
      </c>
      <c r="AW70" s="358" t="str">
        <f>IF(AT70="","",SUM(AT70:AV70))</f>
        <v/>
      </c>
      <c r="AX70" s="168" t="str">
        <f>IF($A70="","",VLOOKUP($A70,기본데이타!$A$8:$BV$103,COLUMN(기본데이타!BA$8),0))</f>
        <v/>
      </c>
      <c r="AY70" s="168" t="str">
        <f>IF($A70="","",VLOOKUP($A70,기본데이타!$A$8:$BV$103,COLUMN(기본데이타!BB$8),0))</f>
        <v/>
      </c>
      <c r="AZ70" s="168" t="str">
        <f>IF($A70="","",VLOOKUP($A70,기본데이타!$A$8:$BV$103,COLUMN(기본데이타!BC$8),0))</f>
        <v/>
      </c>
      <c r="BA70" s="168" t="str">
        <f>IF($A70="","",VLOOKUP($A70,기본데이타!$A$8:$BV$103,COLUMN(기본데이타!BD$8),0))</f>
        <v/>
      </c>
      <c r="BB70" s="168" t="str">
        <f>IF($A70="","",VLOOKUP($A70,기본데이타!$A$8:$BV$103,COLUMN(기본데이타!BE$8),0))</f>
        <v/>
      </c>
      <c r="BC70" s="168" t="str">
        <f>IF($A70="","",VLOOKUP($A70,기본데이타!$A$8:$BV$103,COLUMN(기본데이타!BF$8),0))</f>
        <v/>
      </c>
      <c r="BD70" s="168" t="str">
        <f>IF($A70="","",VLOOKUP($A70,기본데이타!$A$8:$BV$103,COLUMN(기본데이타!BG$8),0))</f>
        <v/>
      </c>
      <c r="BE70" s="168" t="str">
        <f>IF($A70="","",VLOOKUP($A70,기본데이타!$A$8:$BV$103,COLUMN(기본데이타!BH$8),0))</f>
        <v/>
      </c>
      <c r="BF70" s="168" t="str">
        <f>IF($A70="","",VLOOKUP($A70,기본데이타!$A$8:$BV$103,COLUMN(기본데이타!BI$8),0))</f>
        <v/>
      </c>
      <c r="BG70" s="168" t="str">
        <f>IF($A70="","",VLOOKUP($A70,기본데이타!$A$8:$BV$103,COLUMN(기본데이타!BJ$8),0))</f>
        <v/>
      </c>
      <c r="BH70" s="168" t="str">
        <f>IF($A70="","",VLOOKUP($A70,기본데이타!$A$8:$BV$103,COLUMN(기본데이타!BK$8),0))</f>
        <v/>
      </c>
      <c r="BI70" s="168" t="str">
        <f>IF($A70="","",VLOOKUP($A70,기본데이타!$A$8:$BV$103,COLUMN(기본데이타!BL$8),0))</f>
        <v/>
      </c>
      <c r="BJ70" s="168" t="str">
        <f>IF($A70="","",VLOOKUP($A70,기본데이타!$A$8:$BV$103,COLUMN(기본데이타!BM$8),0))</f>
        <v/>
      </c>
      <c r="BK70" s="168" t="str">
        <f>IF($A70="","",VLOOKUP($A70,기본데이타!$A$8:$BV$103,COLUMN(기본데이타!BN$8),0))</f>
        <v/>
      </c>
      <c r="BL70" s="168" t="str">
        <f>IF($A70="","",VLOOKUP($A70,기본데이타!$A$8:$BV$103,COLUMN(기본데이타!BO$8),0))</f>
        <v/>
      </c>
      <c r="BM70" s="168" t="str">
        <f>IF($A70="","",VLOOKUP($A70,기본데이타!$A$8:$BV$103,COLUMN(기본데이타!BP$8),0))</f>
        <v/>
      </c>
      <c r="BN70" s="168" t="str">
        <f>IF($A70="","",VLOOKUP($A70,기본데이타!$A$8:$BV$103,COLUMN(기본데이타!BQ$8),0))</f>
        <v/>
      </c>
      <c r="BO70" s="168" t="str">
        <f>IF($A70="","",VLOOKUP($A70,기본데이타!$A$8:$BV$103,COLUMN(기본데이타!BR$8),0))</f>
        <v/>
      </c>
      <c r="BP70" s="168" t="str">
        <f>IF($A70="","",VLOOKUP($A70,기본데이타!$A$8:$BV$103,COLUMN(기본데이타!BS$8),0))</f>
        <v/>
      </c>
      <c r="BQ70" s="980" t="str">
        <f>IF($A70="","",VLOOKUP($A70,기본데이타!$A$8:$BV$103,COLUMN(기본데이타!BT$8),0))</f>
        <v/>
      </c>
      <c r="BR70" s="984" t="str">
        <f>IF($A70="","",VLOOKUP($A70,기본데이타!$A$8:$BV$103,COLUMN(기본데이타!BU$8),0))</f>
        <v/>
      </c>
      <c r="BS70" s="168" t="str">
        <f>IF($A70="","",VLOOKUP($A70,기본데이타!$A$8:$BV$103,COLUMN(기본데이타!BV$8),0))</f>
        <v/>
      </c>
      <c r="BT70" s="981">
        <f>A70</f>
        <v>0</v>
      </c>
      <c r="BU70" s="241"/>
    </row>
  </sheetData>
  <mergeCells count="14">
    <mergeCell ref="BS4:BS6"/>
    <mergeCell ref="BT4:BT6"/>
    <mergeCell ref="AH5:AJ5"/>
    <mergeCell ref="BK5:BK6"/>
    <mergeCell ref="BO4:BR4"/>
    <mergeCell ref="C4:C6"/>
    <mergeCell ref="Y4:Z5"/>
    <mergeCell ref="AS4:AS6"/>
    <mergeCell ref="AT4:AW5"/>
    <mergeCell ref="AX4:AX6"/>
    <mergeCell ref="AA4:AB5"/>
    <mergeCell ref="AC4:AD5"/>
    <mergeCell ref="AE4:AF5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">
    <tabColor rgb="FFFFFF00"/>
  </sheetPr>
  <dimension ref="A1:BV76"/>
  <sheetViews>
    <sheetView showGridLines="0" showZeros="0" zoomScale="50" zoomScaleNormal="50" workbookViewId="0">
      <pane xSplit="4" ySplit="7" topLeftCell="E8" activePane="bottomRight" state="frozen"/>
      <selection activeCell="BS1" sqref="BS1"/>
      <selection pane="topRight" activeCell="BS1" sqref="BS1"/>
      <selection pane="bottomLeft" activeCell="BS1" sqref="BS1"/>
      <selection pane="bottomRight" activeCell="G8" sqref="G8:BT8"/>
    </sheetView>
  </sheetViews>
  <sheetFormatPr defaultRowHeight="25.5"/>
  <cols>
    <col min="1" max="1" width="9" style="2" bestFit="1" customWidth="1"/>
    <col min="2" max="2" width="23" style="2" bestFit="1" customWidth="1"/>
    <col min="3" max="3" width="49.6640625" style="2" bestFit="1" customWidth="1"/>
    <col min="4" max="4" width="14.3320312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bestFit="1" customWidth="1"/>
    <col min="10" max="10" width="6.33203125" style="2" customWidth="1"/>
    <col min="11" max="11" width="8.44140625" style="2" bestFit="1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4.109375" style="2" bestFit="1" customWidth="1"/>
    <col min="18" max="18" width="5.77734375" style="2" customWidth="1"/>
    <col min="19" max="19" width="11.77734375" style="2" bestFit="1" customWidth="1"/>
    <col min="20" max="20" width="5.77734375" style="2" customWidth="1"/>
    <col min="21" max="21" width="13" style="2" bestFit="1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bestFit="1" customWidth="1"/>
    <col min="27" max="27" width="5.77734375" style="2" customWidth="1"/>
    <col min="28" max="28" width="13.44140625" style="2" bestFit="1" customWidth="1"/>
    <col min="29" max="29" width="5.77734375" style="2" customWidth="1"/>
    <col min="30" max="30" width="13.44140625" style="2" bestFit="1" customWidth="1"/>
    <col min="31" max="31" width="5.77734375" style="2" customWidth="1"/>
    <col min="32" max="32" width="13.44140625" style="2" bestFit="1" customWidth="1"/>
    <col min="33" max="33" width="7.77734375" style="2" customWidth="1"/>
    <col min="34" max="45" width="12.77734375" style="360" customWidth="1"/>
    <col min="46" max="49" width="20.77734375" style="2" bestFit="1" customWidth="1"/>
    <col min="50" max="50" width="11.44140625" style="2" customWidth="1"/>
    <col min="51" max="51" width="15.5546875" style="2" bestFit="1" customWidth="1"/>
    <col min="52" max="53" width="14" style="2" customWidth="1"/>
    <col min="54" max="54" width="15.21875" style="2" customWidth="1"/>
    <col min="55" max="55" width="14.6640625" style="2" customWidth="1"/>
    <col min="56" max="57" width="14" style="2" customWidth="1"/>
    <col min="58" max="58" width="11.44140625" style="2" customWidth="1"/>
    <col min="59" max="62" width="15.21875" style="2" customWidth="1"/>
    <col min="63" max="64" width="22.6640625" style="2" bestFit="1" customWidth="1"/>
    <col min="65" max="65" width="20.6640625" style="2" bestFit="1" customWidth="1"/>
    <col min="66" max="66" width="18.33203125" style="2" bestFit="1" customWidth="1"/>
    <col min="67" max="67" width="25.21875" style="2" bestFit="1" customWidth="1"/>
    <col min="68" max="68" width="19.88671875" style="2" bestFit="1" customWidth="1"/>
    <col min="69" max="69" width="15" style="2" customWidth="1"/>
    <col min="70" max="70" width="30.55468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245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COUNTA(A8:A45)</f>
        <v>1</v>
      </c>
      <c r="D7" s="137">
        <f t="shared" ref="D7:N7" si="0">SUM(D8:D45)</f>
        <v>51</v>
      </c>
      <c r="E7" s="134">
        <f t="shared" si="0"/>
        <v>35554000</v>
      </c>
      <c r="F7" s="134">
        <f t="shared" si="0"/>
        <v>0</v>
      </c>
      <c r="G7" s="134">
        <f t="shared" si="0"/>
        <v>35554000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IF(N7=0,0,(SUMPRODUCT(N8:N45,O8:O45))/N7)</f>
        <v>0</v>
      </c>
      <c r="P7" s="138">
        <f>SUM(P8:P45)</f>
        <v>0</v>
      </c>
      <c r="Q7" s="134">
        <f>IF(P7=0,0,(SUMPRODUCT(P8:P45,Q8:Q45))/P7)</f>
        <v>0</v>
      </c>
      <c r="R7" s="138">
        <f>SUM(R8:R45)</f>
        <v>0</v>
      </c>
      <c r="S7" s="134">
        <f>IF(R7=0,0,(SUMPRODUCT(R8:R45,S8:S45))/R7)</f>
        <v>0</v>
      </c>
      <c r="T7" s="138">
        <f>SUM(T8:T45)</f>
        <v>0</v>
      </c>
      <c r="U7" s="139">
        <f>IF(T7=0,0,(SUMPRODUCT(T8:T45,U8:U45))/T7)</f>
        <v>0</v>
      </c>
      <c r="V7" s="139">
        <f>SUM(V8:V45)</f>
        <v>0</v>
      </c>
      <c r="W7" s="139">
        <f>IF(V7=0,0,(SUMPRODUCT(V8:V45,W8:W45))/V7)</f>
        <v>0</v>
      </c>
      <c r="X7" s="139">
        <f>IF(W7=0,0,(SUMPRODUCT(V8:V45,X8:X45))/V7)</f>
        <v>0</v>
      </c>
      <c r="Y7" s="138">
        <f>SUM(Y8:Y45)</f>
        <v>0</v>
      </c>
      <c r="Z7" s="134">
        <f>IF(Y7=0,0,(SUMPRODUCT(Y8:Y45,Z8:Z45))/Y7)</f>
        <v>0</v>
      </c>
      <c r="AA7" s="138">
        <f>SUM(AA8:AA45)</f>
        <v>0</v>
      </c>
      <c r="AB7" s="134">
        <f>IF(AA7=0,0,(SUMPRODUCT(AA8:AA45,AB8:AB45))/AA7)</f>
        <v>0</v>
      </c>
      <c r="AC7" s="138">
        <f>SUM(AC8:AC45)</f>
        <v>0</v>
      </c>
      <c r="AD7" s="134">
        <f>IF(AC7=0,0,(SUMPRODUCT(AC8:AC45,AD8:AD45))/AC7)</f>
        <v>0</v>
      </c>
      <c r="AE7" s="138">
        <f>SUM(AE8:AE45)</f>
        <v>0</v>
      </c>
      <c r="AF7" s="134">
        <f>IF(AE7=0,0,(SUMPRODUCT(AE8:AE45,AF8:AF45))/AE7)</f>
        <v>0</v>
      </c>
      <c r="AG7" s="134">
        <f t="shared" ref="AG7:BN7" si="1">SUM(AG8:AG45)</f>
        <v>0</v>
      </c>
      <c r="AH7" s="357">
        <f t="shared" si="1"/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SUM(AP8:AP45)</f>
        <v>0</v>
      </c>
      <c r="AQ7" s="357">
        <f t="shared" si="2"/>
        <v>0</v>
      </c>
      <c r="AR7" s="357">
        <f t="shared" ref="AR7" si="3">SUM(AR8:AR45)</f>
        <v>0</v>
      </c>
      <c r="AS7" s="367">
        <f t="shared" si="1"/>
        <v>0</v>
      </c>
      <c r="AT7" s="134">
        <f t="shared" si="1"/>
        <v>1636560</v>
      </c>
      <c r="AU7" s="134">
        <f t="shared" si="1"/>
        <v>0</v>
      </c>
      <c r="AV7" s="134">
        <f t="shared" si="1"/>
        <v>89208</v>
      </c>
      <c r="AW7" s="134">
        <f t="shared" si="1"/>
        <v>1725768</v>
      </c>
      <c r="AX7" s="134">
        <f t="shared" si="1"/>
        <v>0</v>
      </c>
      <c r="AY7" s="134">
        <f t="shared" si="1"/>
        <v>0</v>
      </c>
      <c r="AZ7" s="1163">
        <f t="shared" si="1"/>
        <v>0</v>
      </c>
      <c r="BA7" s="140">
        <f t="shared" si="1"/>
        <v>0</v>
      </c>
      <c r="BB7" s="139">
        <f t="shared" si="1"/>
        <v>0</v>
      </c>
      <c r="BC7" s="139">
        <f t="shared" si="1"/>
        <v>0</v>
      </c>
      <c r="BD7" s="134">
        <f t="shared" si="1"/>
        <v>0</v>
      </c>
      <c r="BE7" s="134">
        <f t="shared" si="1"/>
        <v>0</v>
      </c>
      <c r="BF7" s="134">
        <f t="shared" si="1"/>
        <v>0</v>
      </c>
      <c r="BG7" s="134">
        <f t="shared" si="1"/>
        <v>0</v>
      </c>
      <c r="BH7" s="134">
        <f t="shared" ref="BH7:BI7" si="4">SUM(BH8:BH45)</f>
        <v>0</v>
      </c>
      <c r="BI7" s="134">
        <f t="shared" si="4"/>
        <v>0</v>
      </c>
      <c r="BJ7" s="134">
        <f t="shared" ref="BJ7" si="5">SUM(BJ8:BJ45)</f>
        <v>0</v>
      </c>
      <c r="BK7" s="141">
        <f t="shared" si="1"/>
        <v>0</v>
      </c>
      <c r="BL7" s="141">
        <f t="shared" si="1"/>
        <v>0</v>
      </c>
      <c r="BM7" s="141">
        <f t="shared" si="1"/>
        <v>0</v>
      </c>
      <c r="BN7" s="141">
        <f t="shared" si="1"/>
        <v>0</v>
      </c>
      <c r="BO7" s="142"/>
      <c r="BP7" s="143"/>
      <c r="BQ7" s="300"/>
      <c r="BR7" s="300"/>
      <c r="BS7" s="799">
        <f>SUM(BS9:BS33)</f>
        <v>0</v>
      </c>
      <c r="BT7" s="800"/>
    </row>
    <row r="8" spans="1:74" s="7" customFormat="1" ht="73.5" customHeight="1">
      <c r="A8" s="171">
        <v>2</v>
      </c>
      <c r="B8" s="162" t="s">
        <v>328</v>
      </c>
      <c r="C8" s="131" t="str">
        <f>IF($A8="","",VLOOKUP($A8,기본데이타!$A$8:$BV$103,COLUMN(기본데이타!F$8),0))</f>
        <v>비산동729-17번지R</v>
      </c>
      <c r="D8" s="144">
        <f>IF($A8="","",VLOOKUP($A8,기본데이타!$A$8:$BV$103,COLUMN(기본데이타!G$8),0))</f>
        <v>51</v>
      </c>
      <c r="E8" s="145">
        <f>IF($A8="","",VLOOKUP($A8,기본데이타!$A$8:$BV$103,COLUMN(기본데이타!H$8),0))</f>
        <v>35554000</v>
      </c>
      <c r="F8" s="145">
        <f>IF($A8="","",VLOOKUP($A8,기본데이타!$A$8:$BV$103,COLUMN(기본데이타!I$8),0))</f>
        <v>0</v>
      </c>
      <c r="G8" s="145">
        <f>IF($A8="","",VLOOKUP($A8,기본데이타!$A$8:$BV$103,COLUMN(기본데이타!J$8),0))</f>
        <v>35554000</v>
      </c>
      <c r="H8" s="146">
        <f>IF($A8="","",VLOOKUP($A8,기본데이타!$A$8:$BV$103,COLUMN(기본데이타!K$8),0))</f>
        <v>0</v>
      </c>
      <c r="I8" s="146">
        <f>IF($A8="","",VLOOKUP($A8,기본데이타!$A$8:$BV$103,COLUMN(기본데이타!L$8),0))</f>
        <v>0</v>
      </c>
      <c r="J8" s="146">
        <f>IF($A8="","",VLOOKUP($A8,기본데이타!$A$8:$BV$103,COLUMN(기본데이타!M$8),0))</f>
        <v>0</v>
      </c>
      <c r="K8" s="136">
        <f>IF($A8="","",VLOOKUP($A8,기본데이타!$A$8:$BV$103,COLUMN(기본데이타!N$8),0))</f>
        <v>0</v>
      </c>
      <c r="L8" s="146">
        <f>IF($A8="","",VLOOKUP($A8,기본데이타!$A$8:$BV$103,COLUMN(기본데이타!O$8),0))</f>
        <v>0</v>
      </c>
      <c r="M8" s="136">
        <f>IF($A8="","",VLOOKUP($A8,기본데이타!$A$8:$BV$103,COLUMN(기본데이타!P$8),0))</f>
        <v>0</v>
      </c>
      <c r="N8" s="136">
        <f>IF($A8="","",VLOOKUP($A8,기본데이타!$A$8:$BV$103,COLUMN(기본데이타!Q$8),0))</f>
        <v>0</v>
      </c>
      <c r="O8" s="136">
        <f>IF($A8="","",VLOOKUP($A8,기본데이타!$A$8:$BV$103,COLUMN(기본데이타!R$8),0))</f>
        <v>0</v>
      </c>
      <c r="P8" s="136">
        <f>IF($A8="","",VLOOKUP($A8,기본데이타!$A$8:$BV$103,COLUMN(기본데이타!S$8),0))</f>
        <v>0</v>
      </c>
      <c r="Q8" s="136">
        <f>IF($A8="","",VLOOKUP($A8,기본데이타!$A$8:$BV$103,COLUMN(기본데이타!T$8),0))</f>
        <v>0</v>
      </c>
      <c r="R8" s="136">
        <f>IF($A8="","",VLOOKUP($A8,기본데이타!$A$8:$BV$103,COLUMN(기본데이타!U$8),0))</f>
        <v>0</v>
      </c>
      <c r="S8" s="136">
        <f>IF($A8="","",VLOOKUP($A8,기본데이타!$A$8:$BV$103,COLUMN(기본데이타!V$8),0))</f>
        <v>0</v>
      </c>
      <c r="T8" s="136">
        <f>IF($A8="","",VLOOKUP($A8,기본데이타!$A$8:$BV$103,COLUMN(기본데이타!W$8),0))</f>
        <v>0</v>
      </c>
      <c r="U8" s="136">
        <f>IF($A8="","",VLOOKUP($A8,기본데이타!$A$8:$BV$103,COLUMN(기본데이타!X$8),0))</f>
        <v>0</v>
      </c>
      <c r="V8" s="136">
        <f>IF($A8="","",VLOOKUP($A8,기본데이타!$A$8:$BV$103,COLUMN(기본데이타!Y$8),0))</f>
        <v>0</v>
      </c>
      <c r="W8" s="136">
        <f>IF($A8="","",VLOOKUP($A8,기본데이타!$A$8:$BV$103,COLUMN(기본데이타!Z$8),0))</f>
        <v>0</v>
      </c>
      <c r="X8" s="136">
        <f>IF($A8="","",VLOOKUP($A8,기본데이타!$A$8:$BV$103,COLUMN(기본데이타!AA$8),0))</f>
        <v>0</v>
      </c>
      <c r="Y8" s="136">
        <f>IF($A8="","",VLOOKUP($A8,기본데이타!$A$8:$BV$103,COLUMN(기본데이타!AB$8),0))</f>
        <v>0</v>
      </c>
      <c r="Z8" s="146">
        <f>IF($A8="","",VLOOKUP($A8,기본데이타!$A$8:$BV$103,COLUMN(기본데이타!AC$8),0))</f>
        <v>0</v>
      </c>
      <c r="AA8" s="1391">
        <f>IF($A8="","",VLOOKUP($A8,기본데이타!$A$8:$BV$103,COLUMN(기본데이타!AD$8),0))</f>
        <v>0</v>
      </c>
      <c r="AB8" s="1397">
        <f>IF($A8="","",VLOOKUP($A8,기본데이타!$A$8:$BV$103,COLUMN(기본데이타!AE$8),0))</f>
        <v>0</v>
      </c>
      <c r="AC8" s="1391">
        <f>IF($A8="","",VLOOKUP($A8,기본데이타!$A$8:$BV$103,COLUMN(기본데이타!AF$8),0))</f>
        <v>0</v>
      </c>
      <c r="AD8" s="1397">
        <f>IF($A8="","",VLOOKUP($A8,기본데이타!$A$8:$BV$103,COLUMN(기본데이타!AG$8),0))</f>
        <v>0</v>
      </c>
      <c r="AE8" s="1391">
        <f>IF($A8="","",VLOOKUP($A8,기본데이타!$A$8:$BV$103,COLUMN(기본데이타!AH$8),0))</f>
        <v>0</v>
      </c>
      <c r="AF8" s="1397">
        <f>IF($A8="","",VLOOKUP($A8,기본데이타!$A$8:$BV$103,COLUMN(기본데이타!AI$8),0))</f>
        <v>0</v>
      </c>
      <c r="AG8" s="135">
        <f>IF($A8="","",VLOOKUP($A8,기본데이타!$A$8:$BV$103,COLUMN(기본데이타!AJ$8),0))</f>
        <v>0</v>
      </c>
      <c r="AH8" s="135">
        <f>IF($A8="","",VLOOKUP($A8,기본데이타!$A$8:$BV$103,COLUMN(기본데이타!AK$8),0))</f>
        <v>0</v>
      </c>
      <c r="AI8" s="135">
        <f>IF($A8="","",VLOOKUP($A8,기본데이타!$A$8:$BV$103,COLUMN(기본데이타!AL$8),0))</f>
        <v>0</v>
      </c>
      <c r="AJ8" s="135">
        <f>IF($A8="","",VLOOKUP($A8,기본데이타!$A$8:$BV$103,COLUMN(기본데이타!AM$8),0))</f>
        <v>0</v>
      </c>
      <c r="AK8" s="135">
        <f>IF($A8="","",VLOOKUP($A8,기본데이타!$A$8:$BV$103,COLUMN(기본데이타!AN$8),0))</f>
        <v>0</v>
      </c>
      <c r="AL8" s="135">
        <f>IF($A8="","",VLOOKUP($A8,기본데이타!$A$8:$BV$103,COLUMN(기본데이타!AO$8),0))</f>
        <v>0</v>
      </c>
      <c r="AM8" s="135">
        <f>IF($A8="","",VLOOKUP($A8,기본데이타!$A$8:$BV$103,COLUMN(기본데이타!AP$8),0))</f>
        <v>0</v>
      </c>
      <c r="AN8" s="135">
        <f>IF($A8="","",VLOOKUP($A8,기본데이타!$A$8:$BV$103,COLUMN(기본데이타!AQ$8),0))</f>
        <v>0</v>
      </c>
      <c r="AO8" s="135">
        <f>IF($A8="","",VLOOKUP($A8,기본데이타!$A$8:$BV$103,COLUMN(기본데이타!AR$8),0))</f>
        <v>0</v>
      </c>
      <c r="AP8" s="1398">
        <f>IF($A8="","",VLOOKUP($A8,기본데이타!$A$8:$BV$103,COLUMN(기본데이타!AS$8),0))</f>
        <v>0</v>
      </c>
      <c r="AQ8" s="1398">
        <f>IF($A8="","",VLOOKUP($A8,기본데이타!$A$8:$BV$103,COLUMN(기본데이타!AT$8),0))</f>
        <v>0</v>
      </c>
      <c r="AR8" s="1398">
        <f>IF($A8="","",VLOOKUP($A8,기본데이타!$A$8:$BV$103,COLUMN(기본데이타!AU$8),0))</f>
        <v>0</v>
      </c>
      <c r="AS8" s="135">
        <f>IF($A8="","",VLOOKUP($A8,기본데이타!$A$8:$BV$103,COLUMN(기본데이타!AV$8),0))</f>
        <v>0</v>
      </c>
      <c r="AT8" s="136">
        <f>IF($A8="","",VLOOKUP($A8,기본데이타!$A$8:$BV$103,COLUMN(기본데이타!AW$8),0))</f>
        <v>1636560</v>
      </c>
      <c r="AU8" s="136">
        <f>IF($A8="","",VLOOKUP($A8,기본데이타!$A$8:$BV$103,COLUMN(기본데이타!AX$8),0))</f>
        <v>0</v>
      </c>
      <c r="AV8" s="136">
        <f>IF($A8="","",VLOOKUP($A8,기본데이타!$A$8:$BV$103,COLUMN(기본데이타!AY$8),0))</f>
        <v>89208</v>
      </c>
      <c r="AW8" s="136">
        <f>IF(AT8="","",SUM(AT8:AV8))</f>
        <v>1725768</v>
      </c>
      <c r="AX8" s="136">
        <f>IF($A8="","",VLOOKUP($A8,기본데이타!$A$8:$BV$103,COLUMN(기본데이타!BA$8),0))</f>
        <v>0</v>
      </c>
      <c r="AY8" s="136">
        <f>IF($A8="","",VLOOKUP($A8,기본데이타!$A$8:$BV$103,COLUMN(기본데이타!BB$8),0))</f>
        <v>0</v>
      </c>
      <c r="AZ8" s="1164">
        <f>IF($A8="","",VLOOKUP($A8,기본데이타!$A$8:$BV$103,COLUMN(기본데이타!BC$8),0))</f>
        <v>0</v>
      </c>
      <c r="BA8" s="136">
        <f>IF($A8="","",VLOOKUP($A8,기본데이타!$A$8:$BV$103,COLUMN(기본데이타!BD$8),0))</f>
        <v>0</v>
      </c>
      <c r="BB8" s="136">
        <f>IF($A8="","",VLOOKUP($A8,기본데이타!$A$8:$BV$103,COLUMN(기본데이타!BE$8),0))</f>
        <v>0</v>
      </c>
      <c r="BC8" s="136">
        <f>IF($A8="","",VLOOKUP($A8,기본데이타!$A$8:$BV$103,COLUMN(기본데이타!BF$8),0))</f>
        <v>0</v>
      </c>
      <c r="BD8" s="136">
        <f>IF($A8="","",VLOOKUP($A8,기본데이타!$A$8:$BV$103,COLUMN(기본데이타!BG$8),0))</f>
        <v>0</v>
      </c>
      <c r="BE8" s="136">
        <f>IF($A8="","",VLOOKUP($A8,기본데이타!$A$8:$BV$103,COLUMN(기본데이타!BH$8),0))</f>
        <v>0</v>
      </c>
      <c r="BF8" s="136">
        <f>IF($A8="","",VLOOKUP($A8,기본데이타!$A$8:$BV$103,COLUMN(기본데이타!BI$8),0))</f>
        <v>0</v>
      </c>
      <c r="BG8" s="136">
        <f>IF($A8="","",VLOOKUP($A8,기본데이타!$A$8:$BV$103,COLUMN(기본데이타!BJ$8),0))</f>
        <v>0</v>
      </c>
      <c r="BH8" s="136">
        <f>IF($A8="","",VLOOKUP($A8,기본데이타!$A$8:$BV$103,COLUMN(기본데이타!BK$8),0))</f>
        <v>0</v>
      </c>
      <c r="BI8" s="136">
        <f>IF($A8="","",VLOOKUP($A8,기본데이타!$A$8:$BV$103,COLUMN(기본데이타!BL$8),0))</f>
        <v>0</v>
      </c>
      <c r="BJ8" s="136">
        <f>IF($A8="","",VLOOKUP($A8,기본데이타!$A$8:$BV$103,COLUMN(기본데이타!BM$8),0))</f>
        <v>0</v>
      </c>
      <c r="BK8" s="136">
        <f>IF($A8="","",VLOOKUP($A8,기본데이타!$A$8:$BV$103,COLUMN(기본데이타!BN$8),0))</f>
        <v>0</v>
      </c>
      <c r="BL8" s="136">
        <f>IF($A8="","",VLOOKUP($A8,기본데이타!$A$8:$BV$103,COLUMN(기본데이타!BO$8),0))</f>
        <v>0</v>
      </c>
      <c r="BM8" s="136">
        <f>IF($A8="","",VLOOKUP($A8,기본데이타!$A$8:$BV$103,COLUMN(기본데이타!BP$8),0))</f>
        <v>0</v>
      </c>
      <c r="BN8" s="136">
        <f>IF($A8="","",VLOOKUP($A8,기본데이타!$A$8:$BV$103,COLUMN(기본데이타!BQ$8),0))</f>
        <v>0</v>
      </c>
      <c r="BO8" s="136">
        <f>IF($A8="","",VLOOKUP($A8,기본데이타!$A$8:$BV$103,COLUMN(기본데이타!BR$8),0))</f>
        <v>0</v>
      </c>
      <c r="BP8" s="136">
        <f>IF($A8="","",VLOOKUP($A8,기본데이타!$A$8:$BV$103,COLUMN(기본데이타!BS$8),0))</f>
        <v>0</v>
      </c>
      <c r="BQ8" s="136">
        <f>IF($A8="","",VLOOKUP($A8,기본데이타!$A$8:$BV$103,COLUMN(기본데이타!BT$8),0))</f>
        <v>0</v>
      </c>
      <c r="BR8" s="136">
        <f>IF($A8="","",VLOOKUP($A8,기본데이타!$A$8:$BV$103,COLUMN(기본데이타!BU$8),0))</f>
        <v>0</v>
      </c>
      <c r="BS8" s="136">
        <f>IF($A8="","",VLOOKUP($A8,기본데이타!$A$8:$BV$103,COLUMN(기본데이타!BV$8),0))</f>
        <v>0</v>
      </c>
      <c r="BT8" s="801">
        <f>A8</f>
        <v>2</v>
      </c>
      <c r="BU8" s="242"/>
    </row>
    <row r="9" spans="1:74" s="7" customFormat="1" ht="73.5" customHeight="1">
      <c r="A9" s="171"/>
      <c r="B9" s="163"/>
      <c r="C9" s="1210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76" si="6">IF(AT9="","",SUM(AT9:AV9))</f>
        <v/>
      </c>
      <c r="AX9" s="136" t="str">
        <f>IF($A9="","",VLOOKUP($A9,기본데이타!$A$8:$BV$103,COLUMN(기본데이타!BA$8),0))</f>
        <v/>
      </c>
      <c r="AY9" s="136" t="str">
        <f>IF($A9="","",VLOOKUP($A9,기본데이타!$A$8:$BV$103,COLUMN(기본데이타!BB$8),0))</f>
        <v/>
      </c>
      <c r="AZ9" s="1164" t="str">
        <f>IF($A9="","",VLOOKUP($A9,기본데이타!$A$8:$BV$103,COLUMN(기본데이타!BC$8),0))</f>
        <v/>
      </c>
      <c r="BA9" s="136" t="str">
        <f>IF($A9="","",VLOOKUP($A9,기본데이타!$A$8:$BV$103,COLUMN(기본데이타!BD$8),0))</f>
        <v/>
      </c>
      <c r="BB9" s="136" t="str">
        <f>IF($A9="","",VLOOKUP($A9,기본데이타!$A$8:$BV$103,COLUMN(기본데이타!BE$8),0))</f>
        <v/>
      </c>
      <c r="BC9" s="136" t="str">
        <f>IF($A9="","",VLOOKUP($A9,기본데이타!$A$8:$BV$103,COLUMN(기본데이타!BF$8),0))</f>
        <v/>
      </c>
      <c r="BD9" s="136" t="str">
        <f>IF($A9="","",VLOOKUP($A9,기본데이타!$A$8:$BV$103,COLUMN(기본데이타!BG$8),0))</f>
        <v/>
      </c>
      <c r="BE9" s="136" t="str">
        <f>IF($A9="","",VLOOKUP($A9,기본데이타!$A$8:$BV$103,COLUMN(기본데이타!BH$8),0))</f>
        <v/>
      </c>
      <c r="BF9" s="136" t="str">
        <f>IF($A9="","",VLOOKUP($A9,기본데이타!$A$8:$BV$103,COLUMN(기본데이타!BI$8),0))</f>
        <v/>
      </c>
      <c r="BG9" s="136" t="str">
        <f>IF($A9="","",VLOOKUP($A9,기본데이타!$A$8:$BV$103,COLUMN(기본데이타!BJ$8),0))</f>
        <v/>
      </c>
      <c r="BH9" s="136" t="str">
        <f>IF($A9="","",VLOOKUP($A9,기본데이타!$A$8:$BV$103,COLUMN(기본데이타!BK$8),0))</f>
        <v/>
      </c>
      <c r="BI9" s="136" t="str">
        <f>IF($A9="","",VLOOKUP($A9,기본데이타!$A$8:$BV$103,COLUMN(기본데이타!BL$8),0))</f>
        <v/>
      </c>
      <c r="BJ9" s="136" t="str">
        <f>IF($A9="","",VLOOKUP($A9,기본데이타!$A$8:$BV$103,COLUMN(기본데이타!BM$8),0))</f>
        <v/>
      </c>
      <c r="BK9" s="136" t="str">
        <f>IF($A9="","",VLOOKUP($A9,기본데이타!$A$8:$BV$103,COLUMN(기본데이타!BN$8),0))</f>
        <v/>
      </c>
      <c r="BL9" s="136" t="str">
        <f>IF($A9="","",VLOOKUP($A9,기본데이타!$A$8:$BV$103,COLUMN(기본데이타!BO$8),0))</f>
        <v/>
      </c>
      <c r="BM9" s="136" t="str">
        <f>IF($A9="","",VLOOKUP($A9,기본데이타!$A$8:$BV$103,COLUMN(기본데이타!BP$8),0))</f>
        <v/>
      </c>
      <c r="BN9" s="136" t="str">
        <f>IF($A9="","",VLOOKUP($A9,기본데이타!$A$8:$BV$103,COLUMN(기본데이타!BQ$8),0))</f>
        <v/>
      </c>
      <c r="BO9" s="136" t="str">
        <f>IF($A9="","",VLOOKUP($A9,기본데이타!$A$8:$BV$103,COLUMN(기본데이타!BR$8),0))</f>
        <v/>
      </c>
      <c r="BP9" s="136" t="str">
        <f>IF($A9="","",VLOOKUP($A9,기본데이타!$A$8:$BV$103,COLUMN(기본데이타!BS$8),0))</f>
        <v/>
      </c>
      <c r="BQ9" s="136" t="str">
        <f>IF($A9="","",VLOOKUP($A9,기본데이타!$A$8:$BV$103,COLUMN(기본데이타!BT$8),0))</f>
        <v/>
      </c>
      <c r="BR9" s="136" t="str">
        <f>IF($A9="","",VLOOKUP($A9,기본데이타!$A$8:$BV$103,COLUMN(기본데이타!BU$8),0))</f>
        <v/>
      </c>
      <c r="BS9" s="136" t="str">
        <f>IF($A9="","",VLOOKUP($A9,기본데이타!$A$8:$BV$103,COLUMN(기본데이타!BV$8),0))</f>
        <v/>
      </c>
      <c r="BT9" s="801">
        <f t="shared" ref="BT9:BT32" si="7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6"/>
        <v/>
      </c>
      <c r="AX10" s="136" t="str">
        <f>IF($A10="","",VLOOKUP($A10,기본데이타!$A$8:$BV$103,COLUMN(기본데이타!BA$8),0))</f>
        <v/>
      </c>
      <c r="AY10" s="136" t="str">
        <f>IF($A10="","",VLOOKUP($A10,기본데이타!$A$8:$BV$103,COLUMN(기본데이타!BB$8),0))</f>
        <v/>
      </c>
      <c r="AZ10" s="1164" t="str">
        <f>IF($A10="","",VLOOKUP($A10,기본데이타!$A$8:$BV$103,COLUMN(기본데이타!BC$8),0))</f>
        <v/>
      </c>
      <c r="BA10" s="136" t="str">
        <f>IF($A10="","",VLOOKUP($A10,기본데이타!$A$8:$BV$103,COLUMN(기본데이타!BD$8),0))</f>
        <v/>
      </c>
      <c r="BB10" s="136" t="str">
        <f>IF($A10="","",VLOOKUP($A10,기본데이타!$A$8:$BV$103,COLUMN(기본데이타!BE$8),0))</f>
        <v/>
      </c>
      <c r="BC10" s="136" t="str">
        <f>IF($A10="","",VLOOKUP($A10,기본데이타!$A$8:$BV$103,COLUMN(기본데이타!BF$8),0))</f>
        <v/>
      </c>
      <c r="BD10" s="136" t="str">
        <f>IF($A10="","",VLOOKUP($A10,기본데이타!$A$8:$BV$103,COLUMN(기본데이타!BG$8),0))</f>
        <v/>
      </c>
      <c r="BE10" s="136" t="str">
        <f>IF($A10="","",VLOOKUP($A10,기본데이타!$A$8:$BV$103,COLUMN(기본데이타!BH$8),0))</f>
        <v/>
      </c>
      <c r="BF10" s="136" t="str">
        <f>IF($A10="","",VLOOKUP($A10,기본데이타!$A$8:$BV$103,COLUMN(기본데이타!BI$8),0))</f>
        <v/>
      </c>
      <c r="BG10" s="136" t="str">
        <f>IF($A10="","",VLOOKUP($A10,기본데이타!$A$8:$BV$103,COLUMN(기본데이타!BJ$8),0))</f>
        <v/>
      </c>
      <c r="BH10" s="136" t="str">
        <f>IF($A10="","",VLOOKUP($A10,기본데이타!$A$8:$BV$103,COLUMN(기본데이타!BK$8),0))</f>
        <v/>
      </c>
      <c r="BI10" s="136" t="str">
        <f>IF($A10="","",VLOOKUP($A10,기본데이타!$A$8:$BV$103,COLUMN(기본데이타!BL$8),0))</f>
        <v/>
      </c>
      <c r="BJ10" s="136" t="str">
        <f>IF($A10="","",VLOOKUP($A10,기본데이타!$A$8:$BV$103,COLUMN(기본데이타!BM$8),0))</f>
        <v/>
      </c>
      <c r="BK10" s="136" t="str">
        <f>IF($A10="","",VLOOKUP($A10,기본데이타!$A$8:$BV$103,COLUMN(기본데이타!BN$8),0))</f>
        <v/>
      </c>
      <c r="BL10" s="136" t="str">
        <f>IF($A10="","",VLOOKUP($A10,기본데이타!$A$8:$BV$103,COLUMN(기본데이타!BO$8),0))</f>
        <v/>
      </c>
      <c r="BM10" s="136" t="str">
        <f>IF($A10="","",VLOOKUP($A10,기본데이타!$A$8:$BV$103,COLUMN(기본데이타!BP$8),0))</f>
        <v/>
      </c>
      <c r="BN10" s="136" t="str">
        <f>IF($A10="","",VLOOKUP($A10,기본데이타!$A$8:$BV$103,COLUMN(기본데이타!BQ$8),0))</f>
        <v/>
      </c>
      <c r="BO10" s="136" t="str">
        <f>IF($A10="","",VLOOKUP($A10,기본데이타!$A$8:$BV$103,COLUMN(기본데이타!BR$8),0))</f>
        <v/>
      </c>
      <c r="BP10" s="136" t="str">
        <f>IF($A10="","",VLOOKUP($A10,기본데이타!$A$8:$BV$103,COLUMN(기본데이타!BS$8),0))</f>
        <v/>
      </c>
      <c r="BQ10" s="136" t="str">
        <f>IF($A10="","",VLOOKUP($A10,기본데이타!$A$8:$BV$103,COLUMN(기본데이타!BT$8),0))</f>
        <v/>
      </c>
      <c r="BR10" s="136" t="str">
        <f>IF($A10="","",VLOOKUP($A10,기본데이타!$A$8:$BV$103,COLUMN(기본데이타!BU$8),0))</f>
        <v/>
      </c>
      <c r="BS10" s="136" t="str">
        <f>IF($A10="","",VLOOKUP($A10,기본데이타!$A$8:$BV$103,COLUMN(기본데이타!BV$8),0))</f>
        <v/>
      </c>
      <c r="BT10" s="801">
        <f t="shared" si="7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6"/>
        <v/>
      </c>
      <c r="AX11" s="136" t="str">
        <f>IF($A11="","",VLOOKUP($A11,기본데이타!$A$8:$BV$103,COLUMN(기본데이타!BA$8),0))</f>
        <v/>
      </c>
      <c r="AY11" s="136" t="str">
        <f>IF($A11="","",VLOOKUP($A11,기본데이타!$A$8:$BV$103,COLUMN(기본데이타!BB$8),0))</f>
        <v/>
      </c>
      <c r="AZ11" s="1164" t="str">
        <f>IF($A11="","",VLOOKUP($A11,기본데이타!$A$8:$BV$103,COLUMN(기본데이타!BC$8),0))</f>
        <v/>
      </c>
      <c r="BA11" s="136" t="str">
        <f>IF($A11="","",VLOOKUP($A11,기본데이타!$A$8:$BV$103,COLUMN(기본데이타!BD$8),0))</f>
        <v/>
      </c>
      <c r="BB11" s="136" t="str">
        <f>IF($A11="","",VLOOKUP($A11,기본데이타!$A$8:$BV$103,COLUMN(기본데이타!BE$8),0))</f>
        <v/>
      </c>
      <c r="BC11" s="136" t="str">
        <f>IF($A11="","",VLOOKUP($A11,기본데이타!$A$8:$BV$103,COLUMN(기본데이타!BF$8),0))</f>
        <v/>
      </c>
      <c r="BD11" s="136" t="str">
        <f>IF($A11="","",VLOOKUP($A11,기본데이타!$A$8:$BV$103,COLUMN(기본데이타!BG$8),0))</f>
        <v/>
      </c>
      <c r="BE11" s="136" t="str">
        <f>IF($A11="","",VLOOKUP($A11,기본데이타!$A$8:$BV$103,COLUMN(기본데이타!BH$8),0))</f>
        <v/>
      </c>
      <c r="BF11" s="136" t="str">
        <f>IF($A11="","",VLOOKUP($A11,기본데이타!$A$8:$BV$103,COLUMN(기본데이타!BI$8),0))</f>
        <v/>
      </c>
      <c r="BG11" s="136" t="str">
        <f>IF($A11="","",VLOOKUP($A11,기본데이타!$A$8:$BV$103,COLUMN(기본데이타!BJ$8),0))</f>
        <v/>
      </c>
      <c r="BH11" s="136" t="str">
        <f>IF($A11="","",VLOOKUP($A11,기본데이타!$A$8:$BV$103,COLUMN(기본데이타!BK$8),0))</f>
        <v/>
      </c>
      <c r="BI11" s="136" t="str">
        <f>IF($A11="","",VLOOKUP($A11,기본데이타!$A$8:$BV$103,COLUMN(기본데이타!BL$8),0))</f>
        <v/>
      </c>
      <c r="BJ11" s="136" t="str">
        <f>IF($A11="","",VLOOKUP($A11,기본데이타!$A$8:$BV$103,COLUMN(기본데이타!BM$8),0))</f>
        <v/>
      </c>
      <c r="BK11" s="136" t="str">
        <f>IF($A11="","",VLOOKUP($A11,기본데이타!$A$8:$BV$103,COLUMN(기본데이타!BN$8),0))</f>
        <v/>
      </c>
      <c r="BL11" s="136" t="str">
        <f>IF($A11="","",VLOOKUP($A11,기본데이타!$A$8:$BV$103,COLUMN(기본데이타!BO$8),0))</f>
        <v/>
      </c>
      <c r="BM11" s="136" t="str">
        <f>IF($A11="","",VLOOKUP($A11,기본데이타!$A$8:$BV$103,COLUMN(기본데이타!BP$8),0))</f>
        <v/>
      </c>
      <c r="BN11" s="136" t="str">
        <f>IF($A11="","",VLOOKUP($A11,기본데이타!$A$8:$BV$103,COLUMN(기본데이타!BQ$8),0))</f>
        <v/>
      </c>
      <c r="BO11" s="136" t="str">
        <f>IF($A11="","",VLOOKUP($A11,기본데이타!$A$8:$BV$103,COLUMN(기본데이타!BR$8),0))</f>
        <v/>
      </c>
      <c r="BP11" s="136" t="str">
        <f>IF($A11="","",VLOOKUP($A11,기본데이타!$A$8:$BV$103,COLUMN(기본데이타!BS$8),0))</f>
        <v/>
      </c>
      <c r="BQ11" s="136" t="str">
        <f>IF($A11="","",VLOOKUP($A11,기본데이타!$A$8:$BV$103,COLUMN(기본데이타!BT$8),0))</f>
        <v/>
      </c>
      <c r="BR11" s="136" t="str">
        <f>IF($A11="","",VLOOKUP($A11,기본데이타!$A$8:$BV$103,COLUMN(기본데이타!BU$8),0))</f>
        <v/>
      </c>
      <c r="BS11" s="136" t="str">
        <f>IF($A11="","",VLOOKUP($A11,기본데이타!$A$8:$BV$103,COLUMN(기본데이타!BV$8),0))</f>
        <v/>
      </c>
      <c r="BT11" s="801">
        <f t="shared" si="7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6"/>
        <v/>
      </c>
      <c r="AX12" s="136" t="str">
        <f>IF($A12="","",VLOOKUP($A12,기본데이타!$A$8:$BV$103,COLUMN(기본데이타!BA$8),0))</f>
        <v/>
      </c>
      <c r="AY12" s="136" t="str">
        <f>IF($A12="","",VLOOKUP($A12,기본데이타!$A$8:$BV$103,COLUMN(기본데이타!BB$8),0))</f>
        <v/>
      </c>
      <c r="AZ12" s="1164" t="str">
        <f>IF($A12="","",VLOOKUP($A12,기본데이타!$A$8:$BV$103,COLUMN(기본데이타!BC$8),0))</f>
        <v/>
      </c>
      <c r="BA12" s="136" t="str">
        <f>IF($A12="","",VLOOKUP($A12,기본데이타!$A$8:$BV$103,COLUMN(기본데이타!BD$8),0))</f>
        <v/>
      </c>
      <c r="BB12" s="136" t="str">
        <f>IF($A12="","",VLOOKUP($A12,기본데이타!$A$8:$BV$103,COLUMN(기본데이타!BE$8),0))</f>
        <v/>
      </c>
      <c r="BC12" s="136" t="str">
        <f>IF($A12="","",VLOOKUP($A12,기본데이타!$A$8:$BV$103,COLUMN(기본데이타!BF$8),0))</f>
        <v/>
      </c>
      <c r="BD12" s="136" t="str">
        <f>IF($A12="","",VLOOKUP($A12,기본데이타!$A$8:$BV$103,COLUMN(기본데이타!BG$8),0))</f>
        <v/>
      </c>
      <c r="BE12" s="136" t="str">
        <f>IF($A12="","",VLOOKUP($A12,기본데이타!$A$8:$BV$103,COLUMN(기본데이타!BH$8),0))</f>
        <v/>
      </c>
      <c r="BF12" s="136" t="str">
        <f>IF($A12="","",VLOOKUP($A12,기본데이타!$A$8:$BV$103,COLUMN(기본데이타!BI$8),0))</f>
        <v/>
      </c>
      <c r="BG12" s="136" t="str">
        <f>IF($A12="","",VLOOKUP($A12,기본데이타!$A$8:$BV$103,COLUMN(기본데이타!BJ$8),0))</f>
        <v/>
      </c>
      <c r="BH12" s="136" t="str">
        <f>IF($A12="","",VLOOKUP($A12,기본데이타!$A$8:$BV$103,COLUMN(기본데이타!BK$8),0))</f>
        <v/>
      </c>
      <c r="BI12" s="136" t="str">
        <f>IF($A12="","",VLOOKUP($A12,기본데이타!$A$8:$BV$103,COLUMN(기본데이타!BL$8),0))</f>
        <v/>
      </c>
      <c r="BJ12" s="136" t="str">
        <f>IF($A12="","",VLOOKUP($A12,기본데이타!$A$8:$BV$103,COLUMN(기본데이타!BM$8),0))</f>
        <v/>
      </c>
      <c r="BK12" s="136" t="str">
        <f>IF($A12="","",VLOOKUP($A12,기본데이타!$A$8:$BV$103,COLUMN(기본데이타!BN$8),0))</f>
        <v/>
      </c>
      <c r="BL12" s="136" t="str">
        <f>IF($A12="","",VLOOKUP($A12,기본데이타!$A$8:$BV$103,COLUMN(기본데이타!BO$8),0))</f>
        <v/>
      </c>
      <c r="BM12" s="136" t="str">
        <f>IF($A12="","",VLOOKUP($A12,기본데이타!$A$8:$BV$103,COLUMN(기본데이타!BP$8),0))</f>
        <v/>
      </c>
      <c r="BN12" s="136" t="str">
        <f>IF($A12="","",VLOOKUP($A12,기본데이타!$A$8:$BV$103,COLUMN(기본데이타!BQ$8),0))</f>
        <v/>
      </c>
      <c r="BO12" s="136" t="str">
        <f>IF($A12="","",VLOOKUP($A12,기본데이타!$A$8:$BV$103,COLUMN(기본데이타!BR$8),0))</f>
        <v/>
      </c>
      <c r="BP12" s="136" t="str">
        <f>IF($A12="","",VLOOKUP($A12,기본데이타!$A$8:$BV$103,COLUMN(기본데이타!BS$8),0))</f>
        <v/>
      </c>
      <c r="BQ12" s="136" t="str">
        <f>IF($A12="","",VLOOKUP($A12,기본데이타!$A$8:$BV$103,COLUMN(기본데이타!BT$8),0))</f>
        <v/>
      </c>
      <c r="BR12" s="136" t="str">
        <f>IF($A12="","",VLOOKUP($A12,기본데이타!$A$8:$BV$103,COLUMN(기본데이타!BU$8),0))</f>
        <v/>
      </c>
      <c r="BS12" s="136" t="str">
        <f>IF($A12="","",VLOOKUP($A12,기본데이타!$A$8:$BV$103,COLUMN(기본데이타!BV$8),0))</f>
        <v/>
      </c>
      <c r="BT12" s="801">
        <f t="shared" si="7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6"/>
        <v/>
      </c>
      <c r="AX13" s="136" t="str">
        <f>IF($A13="","",VLOOKUP($A13,기본데이타!$A$8:$BV$103,COLUMN(기본데이타!BA$8),0))</f>
        <v/>
      </c>
      <c r="AY13" s="136" t="str">
        <f>IF($A13="","",VLOOKUP($A13,기본데이타!$A$8:$BV$103,COLUMN(기본데이타!BB$8),0))</f>
        <v/>
      </c>
      <c r="AZ13" s="1164" t="str">
        <f>IF($A13="","",VLOOKUP($A13,기본데이타!$A$8:$BV$103,COLUMN(기본데이타!BC$8),0))</f>
        <v/>
      </c>
      <c r="BA13" s="136" t="str">
        <f>IF($A13="","",VLOOKUP($A13,기본데이타!$A$8:$BV$103,COLUMN(기본데이타!BD$8),0))</f>
        <v/>
      </c>
      <c r="BB13" s="136" t="str">
        <f>IF($A13="","",VLOOKUP($A13,기본데이타!$A$8:$BV$103,COLUMN(기본데이타!BE$8),0))</f>
        <v/>
      </c>
      <c r="BC13" s="136" t="str">
        <f>IF($A13="","",VLOOKUP($A13,기본데이타!$A$8:$BV$103,COLUMN(기본데이타!BF$8),0))</f>
        <v/>
      </c>
      <c r="BD13" s="136" t="str">
        <f>IF($A13="","",VLOOKUP($A13,기본데이타!$A$8:$BV$103,COLUMN(기본데이타!BG$8),0))</f>
        <v/>
      </c>
      <c r="BE13" s="136" t="str">
        <f>IF($A13="","",VLOOKUP($A13,기본데이타!$A$8:$BV$103,COLUMN(기본데이타!BH$8),0))</f>
        <v/>
      </c>
      <c r="BF13" s="136" t="str">
        <f>IF($A13="","",VLOOKUP($A13,기본데이타!$A$8:$BV$103,COLUMN(기본데이타!BI$8),0))</f>
        <v/>
      </c>
      <c r="BG13" s="136" t="str">
        <f>IF($A13="","",VLOOKUP($A13,기본데이타!$A$8:$BV$103,COLUMN(기본데이타!BJ$8),0))</f>
        <v/>
      </c>
      <c r="BH13" s="136" t="str">
        <f>IF($A13="","",VLOOKUP($A13,기본데이타!$A$8:$BV$103,COLUMN(기본데이타!BK$8),0))</f>
        <v/>
      </c>
      <c r="BI13" s="136" t="str">
        <f>IF($A13="","",VLOOKUP($A13,기본데이타!$A$8:$BV$103,COLUMN(기본데이타!BL$8),0))</f>
        <v/>
      </c>
      <c r="BJ13" s="136" t="str">
        <f>IF($A13="","",VLOOKUP($A13,기본데이타!$A$8:$BV$103,COLUMN(기본데이타!BM$8),0))</f>
        <v/>
      </c>
      <c r="BK13" s="136" t="str">
        <f>IF($A13="","",VLOOKUP($A13,기본데이타!$A$8:$BV$103,COLUMN(기본데이타!BN$8),0))</f>
        <v/>
      </c>
      <c r="BL13" s="136" t="str">
        <f>IF($A13="","",VLOOKUP($A13,기본데이타!$A$8:$BV$103,COLUMN(기본데이타!BO$8),0))</f>
        <v/>
      </c>
      <c r="BM13" s="136" t="str">
        <f>IF($A13="","",VLOOKUP($A13,기본데이타!$A$8:$BV$103,COLUMN(기본데이타!BP$8),0))</f>
        <v/>
      </c>
      <c r="BN13" s="136" t="str">
        <f>IF($A13="","",VLOOKUP($A13,기본데이타!$A$8:$BV$103,COLUMN(기본데이타!BQ$8),0))</f>
        <v/>
      </c>
      <c r="BO13" s="136" t="str">
        <f>IF($A13="","",VLOOKUP($A13,기본데이타!$A$8:$BV$103,COLUMN(기본데이타!BR$8),0))</f>
        <v/>
      </c>
      <c r="BP13" s="136" t="str">
        <f>IF($A13="","",VLOOKUP($A13,기본데이타!$A$8:$BV$103,COLUMN(기본데이타!BS$8),0))</f>
        <v/>
      </c>
      <c r="BQ13" s="136" t="str">
        <f>IF($A13="","",VLOOKUP($A13,기본데이타!$A$8:$BV$103,COLUMN(기본데이타!BT$8),0))</f>
        <v/>
      </c>
      <c r="BR13" s="136" t="str">
        <f>IF($A13="","",VLOOKUP($A13,기본데이타!$A$8:$BV$103,COLUMN(기본데이타!BU$8),0))</f>
        <v/>
      </c>
      <c r="BS13" s="136" t="str">
        <f>IF($A13="","",VLOOKUP($A13,기본데이타!$A$8:$BV$103,COLUMN(기본데이타!BV$8),0))</f>
        <v/>
      </c>
      <c r="BT13" s="801">
        <f t="shared" si="7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6"/>
        <v/>
      </c>
      <c r="AX14" s="136" t="str">
        <f>IF($A14="","",VLOOKUP($A14,기본데이타!$A$8:$BV$103,COLUMN(기본데이타!BA$8),0))</f>
        <v/>
      </c>
      <c r="AY14" s="136" t="str">
        <f>IF($A14="","",VLOOKUP($A14,기본데이타!$A$8:$BV$103,COLUMN(기본데이타!BB$8),0))</f>
        <v/>
      </c>
      <c r="AZ14" s="1164" t="str">
        <f>IF($A14="","",VLOOKUP($A14,기본데이타!$A$8:$BV$103,COLUMN(기본데이타!BC$8),0))</f>
        <v/>
      </c>
      <c r="BA14" s="136" t="str">
        <f>IF($A14="","",VLOOKUP($A14,기본데이타!$A$8:$BV$103,COLUMN(기본데이타!BD$8),0))</f>
        <v/>
      </c>
      <c r="BB14" s="136" t="str">
        <f>IF($A14="","",VLOOKUP($A14,기본데이타!$A$8:$BV$103,COLUMN(기본데이타!BE$8),0))</f>
        <v/>
      </c>
      <c r="BC14" s="136" t="str">
        <f>IF($A14="","",VLOOKUP($A14,기본데이타!$A$8:$BV$103,COLUMN(기본데이타!BF$8),0))</f>
        <v/>
      </c>
      <c r="BD14" s="136" t="str">
        <f>IF($A14="","",VLOOKUP($A14,기본데이타!$A$8:$BV$103,COLUMN(기본데이타!BG$8),0))</f>
        <v/>
      </c>
      <c r="BE14" s="136" t="str">
        <f>IF($A14="","",VLOOKUP($A14,기본데이타!$A$8:$BV$103,COLUMN(기본데이타!BH$8),0))</f>
        <v/>
      </c>
      <c r="BF14" s="136" t="str">
        <f>IF($A14="","",VLOOKUP($A14,기본데이타!$A$8:$BV$103,COLUMN(기본데이타!BI$8),0))</f>
        <v/>
      </c>
      <c r="BG14" s="136" t="str">
        <f>IF($A14="","",VLOOKUP($A14,기본데이타!$A$8:$BV$103,COLUMN(기본데이타!BJ$8),0))</f>
        <v/>
      </c>
      <c r="BH14" s="136" t="str">
        <f>IF($A14="","",VLOOKUP($A14,기본데이타!$A$8:$BV$103,COLUMN(기본데이타!BK$8),0))</f>
        <v/>
      </c>
      <c r="BI14" s="136" t="str">
        <f>IF($A14="","",VLOOKUP($A14,기본데이타!$A$8:$BV$103,COLUMN(기본데이타!BL$8),0))</f>
        <v/>
      </c>
      <c r="BJ14" s="136" t="str">
        <f>IF($A14="","",VLOOKUP($A14,기본데이타!$A$8:$BV$103,COLUMN(기본데이타!BM$8),0))</f>
        <v/>
      </c>
      <c r="BK14" s="136" t="str">
        <f>IF($A14="","",VLOOKUP($A14,기본데이타!$A$8:$BV$103,COLUMN(기본데이타!BN$8),0))</f>
        <v/>
      </c>
      <c r="BL14" s="136" t="str">
        <f>IF($A14="","",VLOOKUP($A14,기본데이타!$A$8:$BV$103,COLUMN(기본데이타!BO$8),0))</f>
        <v/>
      </c>
      <c r="BM14" s="136" t="str">
        <f>IF($A14="","",VLOOKUP($A14,기본데이타!$A$8:$BV$103,COLUMN(기본데이타!BP$8),0))</f>
        <v/>
      </c>
      <c r="BN14" s="136" t="str">
        <f>IF($A14="","",VLOOKUP($A14,기본데이타!$A$8:$BV$103,COLUMN(기본데이타!BQ$8),0))</f>
        <v/>
      </c>
      <c r="BO14" s="136" t="str">
        <f>IF($A14="","",VLOOKUP($A14,기본데이타!$A$8:$BV$103,COLUMN(기본데이타!BR$8),0))</f>
        <v/>
      </c>
      <c r="BP14" s="136" t="str">
        <f>IF($A14="","",VLOOKUP($A14,기본데이타!$A$8:$BV$103,COLUMN(기본데이타!BS$8),0))</f>
        <v/>
      </c>
      <c r="BQ14" s="136" t="str">
        <f>IF($A14="","",VLOOKUP($A14,기본데이타!$A$8:$BV$103,COLUMN(기본데이타!BT$8),0))</f>
        <v/>
      </c>
      <c r="BR14" s="136" t="str">
        <f>IF($A14="","",VLOOKUP($A14,기본데이타!$A$8:$BV$103,COLUMN(기본데이타!BU$8),0))</f>
        <v/>
      </c>
      <c r="BS14" s="136" t="str">
        <f>IF($A14="","",VLOOKUP($A14,기본데이타!$A$8:$BV$103,COLUMN(기본데이타!BV$8),0))</f>
        <v/>
      </c>
      <c r="BT14" s="801">
        <f t="shared" si="7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6"/>
        <v/>
      </c>
      <c r="AX15" s="136" t="str">
        <f>IF($A15="","",VLOOKUP($A15,기본데이타!$A$8:$BV$103,COLUMN(기본데이타!BA$8),0))</f>
        <v/>
      </c>
      <c r="AY15" s="136" t="str">
        <f>IF($A15="","",VLOOKUP($A15,기본데이타!$A$8:$BV$103,COLUMN(기본데이타!BB$8),0))</f>
        <v/>
      </c>
      <c r="AZ15" s="1164" t="str">
        <f>IF($A15="","",VLOOKUP($A15,기본데이타!$A$8:$BV$103,COLUMN(기본데이타!BC$8),0))</f>
        <v/>
      </c>
      <c r="BA15" s="136" t="str">
        <f>IF($A15="","",VLOOKUP($A15,기본데이타!$A$8:$BV$103,COLUMN(기본데이타!BD$8),0))</f>
        <v/>
      </c>
      <c r="BB15" s="136" t="str">
        <f>IF($A15="","",VLOOKUP($A15,기본데이타!$A$8:$BV$103,COLUMN(기본데이타!BE$8),0))</f>
        <v/>
      </c>
      <c r="BC15" s="136" t="str">
        <f>IF($A15="","",VLOOKUP($A15,기본데이타!$A$8:$BV$103,COLUMN(기본데이타!BF$8),0))</f>
        <v/>
      </c>
      <c r="BD15" s="136" t="str">
        <f>IF($A15="","",VLOOKUP($A15,기본데이타!$A$8:$BV$103,COLUMN(기본데이타!BG$8),0))</f>
        <v/>
      </c>
      <c r="BE15" s="136" t="str">
        <f>IF($A15="","",VLOOKUP($A15,기본데이타!$A$8:$BV$103,COLUMN(기본데이타!BH$8),0))</f>
        <v/>
      </c>
      <c r="BF15" s="136" t="str">
        <f>IF($A15="","",VLOOKUP($A15,기본데이타!$A$8:$BV$103,COLUMN(기본데이타!BI$8),0))</f>
        <v/>
      </c>
      <c r="BG15" s="136" t="str">
        <f>IF($A15="","",VLOOKUP($A15,기본데이타!$A$8:$BV$103,COLUMN(기본데이타!BJ$8),0))</f>
        <v/>
      </c>
      <c r="BH15" s="136" t="str">
        <f>IF($A15="","",VLOOKUP($A15,기본데이타!$A$8:$BV$103,COLUMN(기본데이타!BK$8),0))</f>
        <v/>
      </c>
      <c r="BI15" s="136" t="str">
        <f>IF($A15="","",VLOOKUP($A15,기본데이타!$A$8:$BV$103,COLUMN(기본데이타!BL$8),0))</f>
        <v/>
      </c>
      <c r="BJ15" s="136" t="str">
        <f>IF($A15="","",VLOOKUP($A15,기본데이타!$A$8:$BV$103,COLUMN(기본데이타!BM$8),0))</f>
        <v/>
      </c>
      <c r="BK15" s="136" t="str">
        <f>IF($A15="","",VLOOKUP($A15,기본데이타!$A$8:$BV$103,COLUMN(기본데이타!BN$8),0))</f>
        <v/>
      </c>
      <c r="BL15" s="136" t="str">
        <f>IF($A15="","",VLOOKUP($A15,기본데이타!$A$8:$BV$103,COLUMN(기본데이타!BO$8),0))</f>
        <v/>
      </c>
      <c r="BM15" s="136" t="str">
        <f>IF($A15="","",VLOOKUP($A15,기본데이타!$A$8:$BV$103,COLUMN(기본데이타!BP$8),0))</f>
        <v/>
      </c>
      <c r="BN15" s="136" t="str">
        <f>IF($A15="","",VLOOKUP($A15,기본데이타!$A$8:$BV$103,COLUMN(기본데이타!BQ$8),0))</f>
        <v/>
      </c>
      <c r="BO15" s="136" t="str">
        <f>IF($A15="","",VLOOKUP($A15,기본데이타!$A$8:$BV$103,COLUMN(기본데이타!BR$8),0))</f>
        <v/>
      </c>
      <c r="BP15" s="136" t="str">
        <f>IF($A15="","",VLOOKUP($A15,기본데이타!$A$8:$BV$103,COLUMN(기본데이타!BS$8),0))</f>
        <v/>
      </c>
      <c r="BQ15" s="136" t="str">
        <f>IF($A15="","",VLOOKUP($A15,기본데이타!$A$8:$BV$103,COLUMN(기본데이타!BT$8),0))</f>
        <v/>
      </c>
      <c r="BR15" s="136" t="str">
        <f>IF($A15="","",VLOOKUP($A15,기본데이타!$A$8:$BV$103,COLUMN(기본데이타!BU$8),0))</f>
        <v/>
      </c>
      <c r="BS15" s="136" t="str">
        <f>IF($A15="","",VLOOKUP($A15,기본데이타!$A$8:$BV$103,COLUMN(기본데이타!BV$8),0))</f>
        <v/>
      </c>
      <c r="BT15" s="801">
        <f t="shared" si="7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6"/>
        <v/>
      </c>
      <c r="AX16" s="136" t="str">
        <f>IF($A16="","",VLOOKUP($A16,기본데이타!$A$8:$BV$103,COLUMN(기본데이타!BA$8),0))</f>
        <v/>
      </c>
      <c r="AY16" s="136" t="str">
        <f>IF($A16="","",VLOOKUP($A16,기본데이타!$A$8:$BV$103,COLUMN(기본데이타!BB$8),0))</f>
        <v/>
      </c>
      <c r="AZ16" s="1164" t="str">
        <f>IF($A16="","",VLOOKUP($A16,기본데이타!$A$8:$BV$103,COLUMN(기본데이타!BC$8),0))</f>
        <v/>
      </c>
      <c r="BA16" s="136" t="str">
        <f>IF($A16="","",VLOOKUP($A16,기본데이타!$A$8:$BV$103,COLUMN(기본데이타!BD$8),0))</f>
        <v/>
      </c>
      <c r="BB16" s="136" t="str">
        <f>IF($A16="","",VLOOKUP($A16,기본데이타!$A$8:$BV$103,COLUMN(기본데이타!BE$8),0))</f>
        <v/>
      </c>
      <c r="BC16" s="136" t="str">
        <f>IF($A16="","",VLOOKUP($A16,기본데이타!$A$8:$BV$103,COLUMN(기본데이타!BF$8),0))</f>
        <v/>
      </c>
      <c r="BD16" s="136" t="str">
        <f>IF($A16="","",VLOOKUP($A16,기본데이타!$A$8:$BV$103,COLUMN(기본데이타!BG$8),0))</f>
        <v/>
      </c>
      <c r="BE16" s="136" t="str">
        <f>IF($A16="","",VLOOKUP($A16,기본데이타!$A$8:$BV$103,COLUMN(기본데이타!BH$8),0))</f>
        <v/>
      </c>
      <c r="BF16" s="136" t="str">
        <f>IF($A16="","",VLOOKUP($A16,기본데이타!$A$8:$BV$103,COLUMN(기본데이타!BI$8),0))</f>
        <v/>
      </c>
      <c r="BG16" s="136" t="str">
        <f>IF($A16="","",VLOOKUP($A16,기본데이타!$A$8:$BV$103,COLUMN(기본데이타!BJ$8),0))</f>
        <v/>
      </c>
      <c r="BH16" s="136" t="str">
        <f>IF($A16="","",VLOOKUP($A16,기본데이타!$A$8:$BV$103,COLUMN(기본데이타!BK$8),0))</f>
        <v/>
      </c>
      <c r="BI16" s="136" t="str">
        <f>IF($A16="","",VLOOKUP($A16,기본데이타!$A$8:$BV$103,COLUMN(기본데이타!BL$8),0))</f>
        <v/>
      </c>
      <c r="BJ16" s="136" t="str">
        <f>IF($A16="","",VLOOKUP($A16,기본데이타!$A$8:$BV$103,COLUMN(기본데이타!BM$8),0))</f>
        <v/>
      </c>
      <c r="BK16" s="136" t="str">
        <f>IF($A16="","",VLOOKUP($A16,기본데이타!$A$8:$BV$103,COLUMN(기본데이타!BN$8),0))</f>
        <v/>
      </c>
      <c r="BL16" s="136" t="str">
        <f>IF($A16="","",VLOOKUP($A16,기본데이타!$A$8:$BV$103,COLUMN(기본데이타!BO$8),0))</f>
        <v/>
      </c>
      <c r="BM16" s="136" t="str">
        <f>IF($A16="","",VLOOKUP($A16,기본데이타!$A$8:$BV$103,COLUMN(기본데이타!BP$8),0))</f>
        <v/>
      </c>
      <c r="BN16" s="136" t="str">
        <f>IF($A16="","",VLOOKUP($A16,기본데이타!$A$8:$BV$103,COLUMN(기본데이타!BQ$8),0))</f>
        <v/>
      </c>
      <c r="BO16" s="136" t="str">
        <f>IF($A16="","",VLOOKUP($A16,기본데이타!$A$8:$BV$103,COLUMN(기본데이타!BR$8),0))</f>
        <v/>
      </c>
      <c r="BP16" s="136" t="str">
        <f>IF($A16="","",VLOOKUP($A16,기본데이타!$A$8:$BV$103,COLUMN(기본데이타!BS$8),0))</f>
        <v/>
      </c>
      <c r="BQ16" s="136" t="str">
        <f>IF($A16="","",VLOOKUP($A16,기본데이타!$A$8:$BV$103,COLUMN(기본데이타!BT$8),0))</f>
        <v/>
      </c>
      <c r="BR16" s="136" t="str">
        <f>IF($A16="","",VLOOKUP($A16,기본데이타!$A$8:$BV$103,COLUMN(기본데이타!BU$8),0))</f>
        <v/>
      </c>
      <c r="BS16" s="136" t="str">
        <f>IF($A16="","",VLOOKUP($A16,기본데이타!$A$8:$BV$103,COLUMN(기본데이타!BV$8),0))</f>
        <v/>
      </c>
      <c r="BT16" s="801">
        <f t="shared" si="7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6"/>
        <v/>
      </c>
      <c r="AX17" s="136" t="str">
        <f>IF($A17="","",VLOOKUP($A17,기본데이타!$A$8:$BV$103,COLUMN(기본데이타!BA$8),0))</f>
        <v/>
      </c>
      <c r="AY17" s="136" t="str">
        <f>IF($A17="","",VLOOKUP($A17,기본데이타!$A$8:$BV$103,COLUMN(기본데이타!BB$8),0))</f>
        <v/>
      </c>
      <c r="AZ17" s="1164" t="str">
        <f>IF($A17="","",VLOOKUP($A17,기본데이타!$A$8:$BV$103,COLUMN(기본데이타!BC$8),0))</f>
        <v/>
      </c>
      <c r="BA17" s="136" t="str">
        <f>IF($A17="","",VLOOKUP($A17,기본데이타!$A$8:$BV$103,COLUMN(기본데이타!BD$8),0))</f>
        <v/>
      </c>
      <c r="BB17" s="136" t="str">
        <f>IF($A17="","",VLOOKUP($A17,기본데이타!$A$8:$BV$103,COLUMN(기본데이타!BE$8),0))</f>
        <v/>
      </c>
      <c r="BC17" s="136" t="str">
        <f>IF($A17="","",VLOOKUP($A17,기본데이타!$A$8:$BV$103,COLUMN(기본데이타!BF$8),0))</f>
        <v/>
      </c>
      <c r="BD17" s="136" t="str">
        <f>IF($A17="","",VLOOKUP($A17,기본데이타!$A$8:$BV$103,COLUMN(기본데이타!BG$8),0))</f>
        <v/>
      </c>
      <c r="BE17" s="136" t="str">
        <f>IF($A17="","",VLOOKUP($A17,기본데이타!$A$8:$BV$103,COLUMN(기본데이타!BH$8),0))</f>
        <v/>
      </c>
      <c r="BF17" s="136" t="str">
        <f>IF($A17="","",VLOOKUP($A17,기본데이타!$A$8:$BV$103,COLUMN(기본데이타!BI$8),0))</f>
        <v/>
      </c>
      <c r="BG17" s="136" t="str">
        <f>IF($A17="","",VLOOKUP($A17,기본데이타!$A$8:$BV$103,COLUMN(기본데이타!BJ$8),0))</f>
        <v/>
      </c>
      <c r="BH17" s="136" t="str">
        <f>IF($A17="","",VLOOKUP($A17,기본데이타!$A$8:$BV$103,COLUMN(기본데이타!BK$8),0))</f>
        <v/>
      </c>
      <c r="BI17" s="136" t="str">
        <f>IF($A17="","",VLOOKUP($A17,기본데이타!$A$8:$BV$103,COLUMN(기본데이타!BL$8),0))</f>
        <v/>
      </c>
      <c r="BJ17" s="136" t="str">
        <f>IF($A17="","",VLOOKUP($A17,기본데이타!$A$8:$BV$103,COLUMN(기본데이타!BM$8),0))</f>
        <v/>
      </c>
      <c r="BK17" s="136" t="str">
        <f>IF($A17="","",VLOOKUP($A17,기본데이타!$A$8:$BV$103,COLUMN(기본데이타!BN$8),0))</f>
        <v/>
      </c>
      <c r="BL17" s="136" t="str">
        <f>IF($A17="","",VLOOKUP($A17,기본데이타!$A$8:$BV$103,COLUMN(기본데이타!BO$8),0))</f>
        <v/>
      </c>
      <c r="BM17" s="136" t="str">
        <f>IF($A17="","",VLOOKUP($A17,기본데이타!$A$8:$BV$103,COLUMN(기본데이타!BP$8),0))</f>
        <v/>
      </c>
      <c r="BN17" s="136" t="str">
        <f>IF($A17="","",VLOOKUP($A17,기본데이타!$A$8:$BV$103,COLUMN(기본데이타!BQ$8),0))</f>
        <v/>
      </c>
      <c r="BO17" s="136" t="str">
        <f>IF($A17="","",VLOOKUP($A17,기본데이타!$A$8:$BV$103,COLUMN(기본데이타!BR$8),0))</f>
        <v/>
      </c>
      <c r="BP17" s="136" t="str">
        <f>IF($A17="","",VLOOKUP($A17,기본데이타!$A$8:$BV$103,COLUMN(기본데이타!BS$8),0))</f>
        <v/>
      </c>
      <c r="BQ17" s="136" t="str">
        <f>IF($A17="","",VLOOKUP($A17,기본데이타!$A$8:$BV$103,COLUMN(기본데이타!BT$8),0))</f>
        <v/>
      </c>
      <c r="BR17" s="136" t="str">
        <f>IF($A17="","",VLOOKUP($A17,기본데이타!$A$8:$BV$103,COLUMN(기본데이타!BU$8),0))</f>
        <v/>
      </c>
      <c r="BS17" s="136" t="str">
        <f>IF($A17="","",VLOOKUP($A17,기본데이타!$A$8:$BV$103,COLUMN(기본데이타!BV$8),0))</f>
        <v/>
      </c>
      <c r="BT17" s="801">
        <f t="shared" si="7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6"/>
        <v/>
      </c>
      <c r="AX18" s="136" t="str">
        <f>IF($A18="","",VLOOKUP($A18,기본데이타!$A$8:$BV$103,COLUMN(기본데이타!BA$8),0))</f>
        <v/>
      </c>
      <c r="AY18" s="136" t="str">
        <f>IF($A18="","",VLOOKUP($A18,기본데이타!$A$8:$BV$103,COLUMN(기본데이타!BB$8),0))</f>
        <v/>
      </c>
      <c r="AZ18" s="1164" t="str">
        <f>IF($A18="","",VLOOKUP($A18,기본데이타!$A$8:$BV$103,COLUMN(기본데이타!BC$8),0))</f>
        <v/>
      </c>
      <c r="BA18" s="136" t="str">
        <f>IF($A18="","",VLOOKUP($A18,기본데이타!$A$8:$BV$103,COLUMN(기본데이타!BD$8),0))</f>
        <v/>
      </c>
      <c r="BB18" s="136" t="str">
        <f>IF($A18="","",VLOOKUP($A18,기본데이타!$A$8:$BV$103,COLUMN(기본데이타!BE$8),0))</f>
        <v/>
      </c>
      <c r="BC18" s="136" t="str">
        <f>IF($A18="","",VLOOKUP($A18,기본데이타!$A$8:$BV$103,COLUMN(기본데이타!BF$8),0))</f>
        <v/>
      </c>
      <c r="BD18" s="136" t="str">
        <f>IF($A18="","",VLOOKUP($A18,기본데이타!$A$8:$BV$103,COLUMN(기본데이타!BG$8),0))</f>
        <v/>
      </c>
      <c r="BE18" s="136" t="str">
        <f>IF($A18="","",VLOOKUP($A18,기본데이타!$A$8:$BV$103,COLUMN(기본데이타!BH$8),0))</f>
        <v/>
      </c>
      <c r="BF18" s="136" t="str">
        <f>IF($A18="","",VLOOKUP($A18,기본데이타!$A$8:$BV$103,COLUMN(기본데이타!BI$8),0))</f>
        <v/>
      </c>
      <c r="BG18" s="136" t="str">
        <f>IF($A18="","",VLOOKUP($A18,기본데이타!$A$8:$BV$103,COLUMN(기본데이타!BJ$8),0))</f>
        <v/>
      </c>
      <c r="BH18" s="136" t="str">
        <f>IF($A18="","",VLOOKUP($A18,기본데이타!$A$8:$BV$103,COLUMN(기본데이타!BK$8),0))</f>
        <v/>
      </c>
      <c r="BI18" s="136" t="str">
        <f>IF($A18="","",VLOOKUP($A18,기본데이타!$A$8:$BV$103,COLUMN(기본데이타!BL$8),0))</f>
        <v/>
      </c>
      <c r="BJ18" s="136" t="str">
        <f>IF($A18="","",VLOOKUP($A18,기본데이타!$A$8:$BV$103,COLUMN(기본데이타!BM$8),0))</f>
        <v/>
      </c>
      <c r="BK18" s="136" t="str">
        <f>IF($A18="","",VLOOKUP($A18,기본데이타!$A$8:$BV$103,COLUMN(기본데이타!BN$8),0))</f>
        <v/>
      </c>
      <c r="BL18" s="136" t="str">
        <f>IF($A18="","",VLOOKUP($A18,기본데이타!$A$8:$BV$103,COLUMN(기본데이타!BO$8),0))</f>
        <v/>
      </c>
      <c r="BM18" s="136" t="str">
        <f>IF($A18="","",VLOOKUP($A18,기본데이타!$A$8:$BV$103,COLUMN(기본데이타!BP$8),0))</f>
        <v/>
      </c>
      <c r="BN18" s="136" t="str">
        <f>IF($A18="","",VLOOKUP($A18,기본데이타!$A$8:$BV$103,COLUMN(기본데이타!BQ$8),0))</f>
        <v/>
      </c>
      <c r="BO18" s="136" t="str">
        <f>IF($A18="","",VLOOKUP($A18,기본데이타!$A$8:$BV$103,COLUMN(기본데이타!BR$8),0))</f>
        <v/>
      </c>
      <c r="BP18" s="136" t="str">
        <f>IF($A18="","",VLOOKUP($A18,기본데이타!$A$8:$BV$103,COLUMN(기본데이타!BS$8),0))</f>
        <v/>
      </c>
      <c r="BQ18" s="136" t="str">
        <f>IF($A18="","",VLOOKUP($A18,기본데이타!$A$8:$BV$103,COLUMN(기본데이타!BT$8),0))</f>
        <v/>
      </c>
      <c r="BR18" s="136" t="str">
        <f>IF($A18="","",VLOOKUP($A18,기본데이타!$A$8:$BV$103,COLUMN(기본데이타!BU$8),0))</f>
        <v/>
      </c>
      <c r="BS18" s="136" t="str">
        <f>IF($A18="","",VLOOKUP($A18,기본데이타!$A$8:$BV$103,COLUMN(기본데이타!BV$8),0))</f>
        <v/>
      </c>
      <c r="BT18" s="801">
        <f t="shared" si="7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6"/>
        <v/>
      </c>
      <c r="AX19" s="136" t="str">
        <f>IF($A19="","",VLOOKUP($A19,기본데이타!$A$8:$BV$103,COLUMN(기본데이타!BA$8),0))</f>
        <v/>
      </c>
      <c r="AY19" s="136" t="str">
        <f>IF($A19="","",VLOOKUP($A19,기본데이타!$A$8:$BV$103,COLUMN(기본데이타!BB$8),0))</f>
        <v/>
      </c>
      <c r="AZ19" s="1164" t="str">
        <f>IF($A19="","",VLOOKUP($A19,기본데이타!$A$8:$BV$103,COLUMN(기본데이타!BC$8),0))</f>
        <v/>
      </c>
      <c r="BA19" s="136" t="str">
        <f>IF($A19="","",VLOOKUP($A19,기본데이타!$A$8:$BV$103,COLUMN(기본데이타!BD$8),0))</f>
        <v/>
      </c>
      <c r="BB19" s="136" t="str">
        <f>IF($A19="","",VLOOKUP($A19,기본데이타!$A$8:$BV$103,COLUMN(기본데이타!BE$8),0))</f>
        <v/>
      </c>
      <c r="BC19" s="136" t="str">
        <f>IF($A19="","",VLOOKUP($A19,기본데이타!$A$8:$BV$103,COLUMN(기본데이타!BF$8),0))</f>
        <v/>
      </c>
      <c r="BD19" s="136" t="str">
        <f>IF($A19="","",VLOOKUP($A19,기본데이타!$A$8:$BV$103,COLUMN(기본데이타!BG$8),0))</f>
        <v/>
      </c>
      <c r="BE19" s="136" t="str">
        <f>IF($A19="","",VLOOKUP($A19,기본데이타!$A$8:$BV$103,COLUMN(기본데이타!BH$8),0))</f>
        <v/>
      </c>
      <c r="BF19" s="136" t="str">
        <f>IF($A19="","",VLOOKUP($A19,기본데이타!$A$8:$BV$103,COLUMN(기본데이타!BI$8),0))</f>
        <v/>
      </c>
      <c r="BG19" s="136" t="str">
        <f>IF($A19="","",VLOOKUP($A19,기본데이타!$A$8:$BV$103,COLUMN(기본데이타!BJ$8),0))</f>
        <v/>
      </c>
      <c r="BH19" s="136" t="str">
        <f>IF($A19="","",VLOOKUP($A19,기본데이타!$A$8:$BV$103,COLUMN(기본데이타!BK$8),0))</f>
        <v/>
      </c>
      <c r="BI19" s="136" t="str">
        <f>IF($A19="","",VLOOKUP($A19,기본데이타!$A$8:$BV$103,COLUMN(기본데이타!BL$8),0))</f>
        <v/>
      </c>
      <c r="BJ19" s="136" t="str">
        <f>IF($A19="","",VLOOKUP($A19,기본데이타!$A$8:$BV$103,COLUMN(기본데이타!BM$8),0))</f>
        <v/>
      </c>
      <c r="BK19" s="136" t="str">
        <f>IF($A19="","",VLOOKUP($A19,기본데이타!$A$8:$BV$103,COLUMN(기본데이타!BN$8),0))</f>
        <v/>
      </c>
      <c r="BL19" s="136" t="str">
        <f>IF($A19="","",VLOOKUP($A19,기본데이타!$A$8:$BV$103,COLUMN(기본데이타!BO$8),0))</f>
        <v/>
      </c>
      <c r="BM19" s="136" t="str">
        <f>IF($A19="","",VLOOKUP($A19,기본데이타!$A$8:$BV$103,COLUMN(기본데이타!BP$8),0))</f>
        <v/>
      </c>
      <c r="BN19" s="136" t="str">
        <f>IF($A19="","",VLOOKUP($A19,기본데이타!$A$8:$BV$103,COLUMN(기본데이타!BQ$8),0))</f>
        <v/>
      </c>
      <c r="BO19" s="136" t="str">
        <f>IF($A19="","",VLOOKUP($A19,기본데이타!$A$8:$BV$103,COLUMN(기본데이타!BR$8),0))</f>
        <v/>
      </c>
      <c r="BP19" s="136" t="str">
        <f>IF($A19="","",VLOOKUP($A19,기본데이타!$A$8:$BV$103,COLUMN(기본데이타!BS$8),0))</f>
        <v/>
      </c>
      <c r="BQ19" s="136" t="str">
        <f>IF($A19="","",VLOOKUP($A19,기본데이타!$A$8:$BV$103,COLUMN(기본데이타!BT$8),0))</f>
        <v/>
      </c>
      <c r="BR19" s="136" t="str">
        <f>IF($A19="","",VLOOKUP($A19,기본데이타!$A$8:$BV$103,COLUMN(기본데이타!BU$8),0))</f>
        <v/>
      </c>
      <c r="BS19" s="136" t="str">
        <f>IF($A19="","",VLOOKUP($A19,기본데이타!$A$8:$BV$103,COLUMN(기본데이타!BV$8),0))</f>
        <v/>
      </c>
      <c r="BT19" s="801">
        <f t="shared" si="7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6"/>
        <v/>
      </c>
      <c r="AX20" s="136" t="str">
        <f>IF($A20="","",VLOOKUP($A20,기본데이타!$A$8:$BV$103,COLUMN(기본데이타!BA$8),0))</f>
        <v/>
      </c>
      <c r="AY20" s="136" t="str">
        <f>IF($A20="","",VLOOKUP($A20,기본데이타!$A$8:$BV$103,COLUMN(기본데이타!BB$8),0))</f>
        <v/>
      </c>
      <c r="AZ20" s="1164" t="str">
        <f>IF($A20="","",VLOOKUP($A20,기본데이타!$A$8:$BV$103,COLUMN(기본데이타!BC$8),0))</f>
        <v/>
      </c>
      <c r="BA20" s="136" t="str">
        <f>IF($A20="","",VLOOKUP($A20,기본데이타!$A$8:$BV$103,COLUMN(기본데이타!BD$8),0))</f>
        <v/>
      </c>
      <c r="BB20" s="136" t="str">
        <f>IF($A20="","",VLOOKUP($A20,기본데이타!$A$8:$BV$103,COLUMN(기본데이타!BE$8),0))</f>
        <v/>
      </c>
      <c r="BC20" s="136" t="str">
        <f>IF($A20="","",VLOOKUP($A20,기본데이타!$A$8:$BV$103,COLUMN(기본데이타!BF$8),0))</f>
        <v/>
      </c>
      <c r="BD20" s="136" t="str">
        <f>IF($A20="","",VLOOKUP($A20,기본데이타!$A$8:$BV$103,COLUMN(기본데이타!BG$8),0))</f>
        <v/>
      </c>
      <c r="BE20" s="136" t="str">
        <f>IF($A20="","",VLOOKUP($A20,기본데이타!$A$8:$BV$103,COLUMN(기본데이타!BH$8),0))</f>
        <v/>
      </c>
      <c r="BF20" s="136" t="str">
        <f>IF($A20="","",VLOOKUP($A20,기본데이타!$A$8:$BV$103,COLUMN(기본데이타!BI$8),0))</f>
        <v/>
      </c>
      <c r="BG20" s="136" t="str">
        <f>IF($A20="","",VLOOKUP($A20,기본데이타!$A$8:$BV$103,COLUMN(기본데이타!BJ$8),0))</f>
        <v/>
      </c>
      <c r="BH20" s="136" t="str">
        <f>IF($A20="","",VLOOKUP($A20,기본데이타!$A$8:$BV$103,COLUMN(기본데이타!BK$8),0))</f>
        <v/>
      </c>
      <c r="BI20" s="136" t="str">
        <f>IF($A20="","",VLOOKUP($A20,기본데이타!$A$8:$BV$103,COLUMN(기본데이타!BL$8),0))</f>
        <v/>
      </c>
      <c r="BJ20" s="136" t="str">
        <f>IF($A20="","",VLOOKUP($A20,기본데이타!$A$8:$BV$103,COLUMN(기본데이타!BM$8),0))</f>
        <v/>
      </c>
      <c r="BK20" s="136" t="str">
        <f>IF($A20="","",VLOOKUP($A20,기본데이타!$A$8:$BV$103,COLUMN(기본데이타!BN$8),0))</f>
        <v/>
      </c>
      <c r="BL20" s="136" t="str">
        <f>IF($A20="","",VLOOKUP($A20,기본데이타!$A$8:$BV$103,COLUMN(기본데이타!BO$8),0))</f>
        <v/>
      </c>
      <c r="BM20" s="136" t="str">
        <f>IF($A20="","",VLOOKUP($A20,기본데이타!$A$8:$BV$103,COLUMN(기본데이타!BP$8),0))</f>
        <v/>
      </c>
      <c r="BN20" s="136" t="str">
        <f>IF($A20="","",VLOOKUP($A20,기본데이타!$A$8:$BV$103,COLUMN(기본데이타!BQ$8),0))</f>
        <v/>
      </c>
      <c r="BO20" s="136" t="str">
        <f>IF($A20="","",VLOOKUP($A20,기본데이타!$A$8:$BV$103,COLUMN(기본데이타!BR$8),0))</f>
        <v/>
      </c>
      <c r="BP20" s="136" t="str">
        <f>IF($A20="","",VLOOKUP($A20,기본데이타!$A$8:$BV$103,COLUMN(기본데이타!BS$8),0))</f>
        <v/>
      </c>
      <c r="BQ20" s="136" t="str">
        <f>IF($A20="","",VLOOKUP($A20,기본데이타!$A$8:$BV$103,COLUMN(기본데이타!BT$8),0))</f>
        <v/>
      </c>
      <c r="BR20" s="136" t="str">
        <f>IF($A20="","",VLOOKUP($A20,기본데이타!$A$8:$BV$103,COLUMN(기본데이타!BU$8),0))</f>
        <v/>
      </c>
      <c r="BS20" s="136" t="str">
        <f>IF($A20="","",VLOOKUP($A20,기본데이타!$A$8:$BV$103,COLUMN(기본데이타!BV$8),0))</f>
        <v/>
      </c>
      <c r="BT20" s="801">
        <f t="shared" si="7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6"/>
        <v/>
      </c>
      <c r="AX21" s="136" t="str">
        <f>IF($A21="","",VLOOKUP($A21,기본데이타!$A$8:$BV$103,COLUMN(기본데이타!BA$8),0))</f>
        <v/>
      </c>
      <c r="AY21" s="136" t="str">
        <f>IF($A21="","",VLOOKUP($A21,기본데이타!$A$8:$BV$103,COLUMN(기본데이타!BB$8),0))</f>
        <v/>
      </c>
      <c r="AZ21" s="1164" t="str">
        <f>IF($A21="","",VLOOKUP($A21,기본데이타!$A$8:$BV$103,COLUMN(기본데이타!BC$8),0))</f>
        <v/>
      </c>
      <c r="BA21" s="136" t="str">
        <f>IF($A21="","",VLOOKUP($A21,기본데이타!$A$8:$BV$103,COLUMN(기본데이타!BD$8),0))</f>
        <v/>
      </c>
      <c r="BB21" s="136" t="str">
        <f>IF($A21="","",VLOOKUP($A21,기본데이타!$A$8:$BV$103,COLUMN(기본데이타!BE$8),0))</f>
        <v/>
      </c>
      <c r="BC21" s="136" t="str">
        <f>IF($A21="","",VLOOKUP($A21,기본데이타!$A$8:$BV$103,COLUMN(기본데이타!BF$8),0))</f>
        <v/>
      </c>
      <c r="BD21" s="136" t="str">
        <f>IF($A21="","",VLOOKUP($A21,기본데이타!$A$8:$BV$103,COLUMN(기본데이타!BG$8),0))</f>
        <v/>
      </c>
      <c r="BE21" s="136" t="str">
        <f>IF($A21="","",VLOOKUP($A21,기본데이타!$A$8:$BV$103,COLUMN(기본데이타!BH$8),0))</f>
        <v/>
      </c>
      <c r="BF21" s="136" t="str">
        <f>IF($A21="","",VLOOKUP($A21,기본데이타!$A$8:$BV$103,COLUMN(기본데이타!BI$8),0))</f>
        <v/>
      </c>
      <c r="BG21" s="136" t="str">
        <f>IF($A21="","",VLOOKUP($A21,기본데이타!$A$8:$BV$103,COLUMN(기본데이타!BJ$8),0))</f>
        <v/>
      </c>
      <c r="BH21" s="136" t="str">
        <f>IF($A21="","",VLOOKUP($A21,기본데이타!$A$8:$BV$103,COLUMN(기본데이타!BK$8),0))</f>
        <v/>
      </c>
      <c r="BI21" s="136" t="str">
        <f>IF($A21="","",VLOOKUP($A21,기본데이타!$A$8:$BV$103,COLUMN(기본데이타!BL$8),0))</f>
        <v/>
      </c>
      <c r="BJ21" s="136" t="str">
        <f>IF($A21="","",VLOOKUP($A21,기본데이타!$A$8:$BV$103,COLUMN(기본데이타!BM$8),0))</f>
        <v/>
      </c>
      <c r="BK21" s="136" t="str">
        <f>IF($A21="","",VLOOKUP($A21,기본데이타!$A$8:$BV$103,COLUMN(기본데이타!BN$8),0))</f>
        <v/>
      </c>
      <c r="BL21" s="136" t="str">
        <f>IF($A21="","",VLOOKUP($A21,기본데이타!$A$8:$BV$103,COLUMN(기본데이타!BO$8),0))</f>
        <v/>
      </c>
      <c r="BM21" s="136" t="str">
        <f>IF($A21="","",VLOOKUP($A21,기본데이타!$A$8:$BV$103,COLUMN(기본데이타!BP$8),0))</f>
        <v/>
      </c>
      <c r="BN21" s="136" t="str">
        <f>IF($A21="","",VLOOKUP($A21,기본데이타!$A$8:$BV$103,COLUMN(기본데이타!BQ$8),0))</f>
        <v/>
      </c>
      <c r="BO21" s="136" t="str">
        <f>IF($A21="","",VLOOKUP($A21,기본데이타!$A$8:$BV$103,COLUMN(기본데이타!BR$8),0))</f>
        <v/>
      </c>
      <c r="BP21" s="136" t="str">
        <f>IF($A21="","",VLOOKUP($A21,기본데이타!$A$8:$BV$103,COLUMN(기본데이타!BS$8),0))</f>
        <v/>
      </c>
      <c r="BQ21" s="136" t="str">
        <f>IF($A21="","",VLOOKUP($A21,기본데이타!$A$8:$BV$103,COLUMN(기본데이타!BT$8),0))</f>
        <v/>
      </c>
      <c r="BR21" s="136" t="str">
        <f>IF($A21="","",VLOOKUP($A21,기본데이타!$A$8:$BV$103,COLUMN(기본데이타!BU$8),0))</f>
        <v/>
      </c>
      <c r="BS21" s="136" t="str">
        <f>IF($A21="","",VLOOKUP($A21,기본데이타!$A$8:$BV$103,COLUMN(기본데이타!BV$8),0))</f>
        <v/>
      </c>
      <c r="BT21" s="801">
        <f t="shared" si="7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6"/>
        <v/>
      </c>
      <c r="AX22" s="136" t="str">
        <f>IF($A22="","",VLOOKUP($A22,기본데이타!$A$8:$BV$103,COLUMN(기본데이타!BA$8),0))</f>
        <v/>
      </c>
      <c r="AY22" s="136" t="str">
        <f>IF($A22="","",VLOOKUP($A22,기본데이타!$A$8:$BV$103,COLUMN(기본데이타!BB$8),0))</f>
        <v/>
      </c>
      <c r="AZ22" s="1164" t="str">
        <f>IF($A22="","",VLOOKUP($A22,기본데이타!$A$8:$BV$103,COLUMN(기본데이타!BC$8),0))</f>
        <v/>
      </c>
      <c r="BA22" s="136" t="str">
        <f>IF($A22="","",VLOOKUP($A22,기본데이타!$A$8:$BV$103,COLUMN(기본데이타!BD$8),0))</f>
        <v/>
      </c>
      <c r="BB22" s="136" t="str">
        <f>IF($A22="","",VLOOKUP($A22,기본데이타!$A$8:$BV$103,COLUMN(기본데이타!BE$8),0))</f>
        <v/>
      </c>
      <c r="BC22" s="136" t="str">
        <f>IF($A22="","",VLOOKUP($A22,기본데이타!$A$8:$BV$103,COLUMN(기본데이타!BF$8),0))</f>
        <v/>
      </c>
      <c r="BD22" s="136" t="str">
        <f>IF($A22="","",VLOOKUP($A22,기본데이타!$A$8:$BV$103,COLUMN(기본데이타!BG$8),0))</f>
        <v/>
      </c>
      <c r="BE22" s="136" t="str">
        <f>IF($A22="","",VLOOKUP($A22,기본데이타!$A$8:$BV$103,COLUMN(기본데이타!BH$8),0))</f>
        <v/>
      </c>
      <c r="BF22" s="136" t="str">
        <f>IF($A22="","",VLOOKUP($A22,기본데이타!$A$8:$BV$103,COLUMN(기본데이타!BI$8),0))</f>
        <v/>
      </c>
      <c r="BG22" s="136" t="str">
        <f>IF($A22="","",VLOOKUP($A22,기본데이타!$A$8:$BV$103,COLUMN(기본데이타!BJ$8),0))</f>
        <v/>
      </c>
      <c r="BH22" s="136" t="str">
        <f>IF($A22="","",VLOOKUP($A22,기본데이타!$A$8:$BV$103,COLUMN(기본데이타!BK$8),0))</f>
        <v/>
      </c>
      <c r="BI22" s="136" t="str">
        <f>IF($A22="","",VLOOKUP($A22,기본데이타!$A$8:$BV$103,COLUMN(기본데이타!BL$8),0))</f>
        <v/>
      </c>
      <c r="BJ22" s="136" t="str">
        <f>IF($A22="","",VLOOKUP($A22,기본데이타!$A$8:$BV$103,COLUMN(기본데이타!BM$8),0))</f>
        <v/>
      </c>
      <c r="BK22" s="136" t="str">
        <f>IF($A22="","",VLOOKUP($A22,기본데이타!$A$8:$BV$103,COLUMN(기본데이타!BN$8),0))</f>
        <v/>
      </c>
      <c r="BL22" s="136" t="str">
        <f>IF($A22="","",VLOOKUP($A22,기본데이타!$A$8:$BV$103,COLUMN(기본데이타!BO$8),0))</f>
        <v/>
      </c>
      <c r="BM22" s="136" t="str">
        <f>IF($A22="","",VLOOKUP($A22,기본데이타!$A$8:$BV$103,COLUMN(기본데이타!BP$8),0))</f>
        <v/>
      </c>
      <c r="BN22" s="136" t="str">
        <f>IF($A22="","",VLOOKUP($A22,기본데이타!$A$8:$BV$103,COLUMN(기본데이타!BQ$8),0))</f>
        <v/>
      </c>
      <c r="BO22" s="136" t="str">
        <f>IF($A22="","",VLOOKUP($A22,기본데이타!$A$8:$BV$103,COLUMN(기본데이타!BR$8),0))</f>
        <v/>
      </c>
      <c r="BP22" s="136" t="str">
        <f>IF($A22="","",VLOOKUP($A22,기본데이타!$A$8:$BV$103,COLUMN(기본데이타!BS$8),0))</f>
        <v/>
      </c>
      <c r="BQ22" s="136" t="str">
        <f>IF($A22="","",VLOOKUP($A22,기본데이타!$A$8:$BV$103,COLUMN(기본데이타!BT$8),0))</f>
        <v/>
      </c>
      <c r="BR22" s="136" t="str">
        <f>IF($A22="","",VLOOKUP($A22,기본데이타!$A$8:$BV$103,COLUMN(기본데이타!BU$8),0))</f>
        <v/>
      </c>
      <c r="BS22" s="136" t="str">
        <f>IF($A22="","",VLOOKUP($A22,기본데이타!$A$8:$BV$103,COLUMN(기본데이타!BV$8),0))</f>
        <v/>
      </c>
      <c r="BT22" s="801">
        <f t="shared" si="7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6"/>
        <v/>
      </c>
      <c r="AX23" s="136" t="str">
        <f>IF($A23="","",VLOOKUP($A23,기본데이타!$A$8:$BV$103,COLUMN(기본데이타!BA$8),0))</f>
        <v/>
      </c>
      <c r="AY23" s="136" t="str">
        <f>IF($A23="","",VLOOKUP($A23,기본데이타!$A$8:$BV$103,COLUMN(기본데이타!BB$8),0))</f>
        <v/>
      </c>
      <c r="AZ23" s="1164" t="str">
        <f>IF($A23="","",VLOOKUP($A23,기본데이타!$A$8:$BV$103,COLUMN(기본데이타!BC$8),0))</f>
        <v/>
      </c>
      <c r="BA23" s="136" t="str">
        <f>IF($A23="","",VLOOKUP($A23,기본데이타!$A$8:$BV$103,COLUMN(기본데이타!BD$8),0))</f>
        <v/>
      </c>
      <c r="BB23" s="136" t="str">
        <f>IF($A23="","",VLOOKUP($A23,기본데이타!$A$8:$BV$103,COLUMN(기본데이타!BE$8),0))</f>
        <v/>
      </c>
      <c r="BC23" s="136" t="str">
        <f>IF($A23="","",VLOOKUP($A23,기본데이타!$A$8:$BV$103,COLUMN(기본데이타!BF$8),0))</f>
        <v/>
      </c>
      <c r="BD23" s="136" t="str">
        <f>IF($A23="","",VLOOKUP($A23,기본데이타!$A$8:$BV$103,COLUMN(기본데이타!BG$8),0))</f>
        <v/>
      </c>
      <c r="BE23" s="136" t="str">
        <f>IF($A23="","",VLOOKUP($A23,기본데이타!$A$8:$BV$103,COLUMN(기본데이타!BH$8),0))</f>
        <v/>
      </c>
      <c r="BF23" s="136" t="str">
        <f>IF($A23="","",VLOOKUP($A23,기본데이타!$A$8:$BV$103,COLUMN(기본데이타!BI$8),0))</f>
        <v/>
      </c>
      <c r="BG23" s="136" t="str">
        <f>IF($A23="","",VLOOKUP($A23,기본데이타!$A$8:$BV$103,COLUMN(기본데이타!BJ$8),0))</f>
        <v/>
      </c>
      <c r="BH23" s="136" t="str">
        <f>IF($A23="","",VLOOKUP($A23,기본데이타!$A$8:$BV$103,COLUMN(기본데이타!BK$8),0))</f>
        <v/>
      </c>
      <c r="BI23" s="136" t="str">
        <f>IF($A23="","",VLOOKUP($A23,기본데이타!$A$8:$BV$103,COLUMN(기본데이타!BL$8),0))</f>
        <v/>
      </c>
      <c r="BJ23" s="136" t="str">
        <f>IF($A23="","",VLOOKUP($A23,기본데이타!$A$8:$BV$103,COLUMN(기본데이타!BM$8),0))</f>
        <v/>
      </c>
      <c r="BK23" s="136" t="str">
        <f>IF($A23="","",VLOOKUP($A23,기본데이타!$A$8:$BV$103,COLUMN(기본데이타!BN$8),0))</f>
        <v/>
      </c>
      <c r="BL23" s="136" t="str">
        <f>IF($A23="","",VLOOKUP($A23,기본데이타!$A$8:$BV$103,COLUMN(기본데이타!BO$8),0))</f>
        <v/>
      </c>
      <c r="BM23" s="136" t="str">
        <f>IF($A23="","",VLOOKUP($A23,기본데이타!$A$8:$BV$103,COLUMN(기본데이타!BP$8),0))</f>
        <v/>
      </c>
      <c r="BN23" s="136" t="str">
        <f>IF($A23="","",VLOOKUP($A23,기본데이타!$A$8:$BV$103,COLUMN(기본데이타!BQ$8),0))</f>
        <v/>
      </c>
      <c r="BO23" s="136" t="str">
        <f>IF($A23="","",VLOOKUP($A23,기본데이타!$A$8:$BV$103,COLUMN(기본데이타!BR$8),0))</f>
        <v/>
      </c>
      <c r="BP23" s="136" t="str">
        <f>IF($A23="","",VLOOKUP($A23,기본데이타!$A$8:$BV$103,COLUMN(기본데이타!BS$8),0))</f>
        <v/>
      </c>
      <c r="BQ23" s="136" t="str">
        <f>IF($A23="","",VLOOKUP($A23,기본데이타!$A$8:$BV$103,COLUMN(기본데이타!BT$8),0))</f>
        <v/>
      </c>
      <c r="BR23" s="136" t="str">
        <f>IF($A23="","",VLOOKUP($A23,기본데이타!$A$8:$BV$103,COLUMN(기본데이타!BU$8),0))</f>
        <v/>
      </c>
      <c r="BS23" s="136" t="str">
        <f>IF($A23="","",VLOOKUP($A23,기본데이타!$A$8:$BV$103,COLUMN(기본데이타!BV$8),0))</f>
        <v/>
      </c>
      <c r="BT23" s="801">
        <f t="shared" si="7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6"/>
        <v/>
      </c>
      <c r="AX24" s="136" t="str">
        <f>IF($A24="","",VLOOKUP($A24,기본데이타!$A$8:$BV$103,COLUMN(기본데이타!BA$8),0))</f>
        <v/>
      </c>
      <c r="AY24" s="136" t="str">
        <f>IF($A24="","",VLOOKUP($A24,기본데이타!$A$8:$BV$103,COLUMN(기본데이타!BB$8),0))</f>
        <v/>
      </c>
      <c r="AZ24" s="1164" t="str">
        <f>IF($A24="","",VLOOKUP($A24,기본데이타!$A$8:$BV$103,COLUMN(기본데이타!BC$8),0))</f>
        <v/>
      </c>
      <c r="BA24" s="136" t="str">
        <f>IF($A24="","",VLOOKUP($A24,기본데이타!$A$8:$BV$103,COLUMN(기본데이타!BD$8),0))</f>
        <v/>
      </c>
      <c r="BB24" s="136" t="str">
        <f>IF($A24="","",VLOOKUP($A24,기본데이타!$A$8:$BV$103,COLUMN(기본데이타!BE$8),0))</f>
        <v/>
      </c>
      <c r="BC24" s="136" t="str">
        <f>IF($A24="","",VLOOKUP($A24,기본데이타!$A$8:$BV$103,COLUMN(기본데이타!BF$8),0))</f>
        <v/>
      </c>
      <c r="BD24" s="136" t="str">
        <f>IF($A24="","",VLOOKUP($A24,기본데이타!$A$8:$BV$103,COLUMN(기본데이타!BG$8),0))</f>
        <v/>
      </c>
      <c r="BE24" s="136" t="str">
        <f>IF($A24="","",VLOOKUP($A24,기본데이타!$A$8:$BV$103,COLUMN(기본데이타!BH$8),0))</f>
        <v/>
      </c>
      <c r="BF24" s="136" t="str">
        <f>IF($A24="","",VLOOKUP($A24,기본데이타!$A$8:$BV$103,COLUMN(기본데이타!BI$8),0))</f>
        <v/>
      </c>
      <c r="BG24" s="136" t="str">
        <f>IF($A24="","",VLOOKUP($A24,기본데이타!$A$8:$BV$103,COLUMN(기본데이타!BJ$8),0))</f>
        <v/>
      </c>
      <c r="BH24" s="136" t="str">
        <f>IF($A24="","",VLOOKUP($A24,기본데이타!$A$8:$BV$103,COLUMN(기본데이타!BK$8),0))</f>
        <v/>
      </c>
      <c r="BI24" s="136" t="str">
        <f>IF($A24="","",VLOOKUP($A24,기본데이타!$A$8:$BV$103,COLUMN(기본데이타!BL$8),0))</f>
        <v/>
      </c>
      <c r="BJ24" s="136" t="str">
        <f>IF($A24="","",VLOOKUP($A24,기본데이타!$A$8:$BV$103,COLUMN(기본데이타!BM$8),0))</f>
        <v/>
      </c>
      <c r="BK24" s="136" t="str">
        <f>IF($A24="","",VLOOKUP($A24,기본데이타!$A$8:$BV$103,COLUMN(기본데이타!BN$8),0))</f>
        <v/>
      </c>
      <c r="BL24" s="136" t="str">
        <f>IF($A24="","",VLOOKUP($A24,기본데이타!$A$8:$BV$103,COLUMN(기본데이타!BO$8),0))</f>
        <v/>
      </c>
      <c r="BM24" s="136" t="str">
        <f>IF($A24="","",VLOOKUP($A24,기본데이타!$A$8:$BV$103,COLUMN(기본데이타!BP$8),0))</f>
        <v/>
      </c>
      <c r="BN24" s="136" t="str">
        <f>IF($A24="","",VLOOKUP($A24,기본데이타!$A$8:$BV$103,COLUMN(기본데이타!BQ$8),0))</f>
        <v/>
      </c>
      <c r="BO24" s="136" t="str">
        <f>IF($A24="","",VLOOKUP($A24,기본데이타!$A$8:$BV$103,COLUMN(기본데이타!BR$8),0))</f>
        <v/>
      </c>
      <c r="BP24" s="136" t="str">
        <f>IF($A24="","",VLOOKUP($A24,기본데이타!$A$8:$BV$103,COLUMN(기본데이타!BS$8),0))</f>
        <v/>
      </c>
      <c r="BQ24" s="136" t="str">
        <f>IF($A24="","",VLOOKUP($A24,기본데이타!$A$8:$BV$103,COLUMN(기본데이타!BT$8),0))</f>
        <v/>
      </c>
      <c r="BR24" s="136" t="str">
        <f>IF($A24="","",VLOOKUP($A24,기본데이타!$A$8:$BV$103,COLUMN(기본데이타!BU$8),0))</f>
        <v/>
      </c>
      <c r="BS24" s="136" t="str">
        <f>IF($A24="","",VLOOKUP($A24,기본데이타!$A$8:$BV$103,COLUMN(기본데이타!BV$8),0))</f>
        <v/>
      </c>
      <c r="BT24" s="801">
        <f t="shared" si="7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6"/>
        <v/>
      </c>
      <c r="AX25" s="136" t="str">
        <f>IF($A25="","",VLOOKUP($A25,기본데이타!$A$8:$BV$103,COLUMN(기본데이타!BA$8),0))</f>
        <v/>
      </c>
      <c r="AY25" s="136" t="str">
        <f>IF($A25="","",VLOOKUP($A25,기본데이타!$A$8:$BV$103,COLUMN(기본데이타!BB$8),0))</f>
        <v/>
      </c>
      <c r="AZ25" s="1164" t="str">
        <f>IF($A25="","",VLOOKUP($A25,기본데이타!$A$8:$BV$103,COLUMN(기본데이타!BC$8),0))</f>
        <v/>
      </c>
      <c r="BA25" s="136" t="str">
        <f>IF($A25="","",VLOOKUP($A25,기본데이타!$A$8:$BV$103,COLUMN(기본데이타!BD$8),0))</f>
        <v/>
      </c>
      <c r="BB25" s="136" t="str">
        <f>IF($A25="","",VLOOKUP($A25,기본데이타!$A$8:$BV$103,COLUMN(기본데이타!BE$8),0))</f>
        <v/>
      </c>
      <c r="BC25" s="136" t="str">
        <f>IF($A25="","",VLOOKUP($A25,기본데이타!$A$8:$BV$103,COLUMN(기본데이타!BF$8),0))</f>
        <v/>
      </c>
      <c r="BD25" s="136" t="str">
        <f>IF($A25="","",VLOOKUP($A25,기본데이타!$A$8:$BV$103,COLUMN(기본데이타!BG$8),0))</f>
        <v/>
      </c>
      <c r="BE25" s="136" t="str">
        <f>IF($A25="","",VLOOKUP($A25,기본데이타!$A$8:$BV$103,COLUMN(기본데이타!BH$8),0))</f>
        <v/>
      </c>
      <c r="BF25" s="136" t="str">
        <f>IF($A25="","",VLOOKUP($A25,기본데이타!$A$8:$BV$103,COLUMN(기본데이타!BI$8),0))</f>
        <v/>
      </c>
      <c r="BG25" s="136" t="str">
        <f>IF($A25="","",VLOOKUP($A25,기본데이타!$A$8:$BV$103,COLUMN(기본데이타!BJ$8),0))</f>
        <v/>
      </c>
      <c r="BH25" s="136" t="str">
        <f>IF($A25="","",VLOOKUP($A25,기본데이타!$A$8:$BV$103,COLUMN(기본데이타!BK$8),0))</f>
        <v/>
      </c>
      <c r="BI25" s="136" t="str">
        <f>IF($A25="","",VLOOKUP($A25,기본데이타!$A$8:$BV$103,COLUMN(기본데이타!BL$8),0))</f>
        <v/>
      </c>
      <c r="BJ25" s="136" t="str">
        <f>IF($A25="","",VLOOKUP($A25,기본데이타!$A$8:$BV$103,COLUMN(기본데이타!BM$8),0))</f>
        <v/>
      </c>
      <c r="BK25" s="136" t="str">
        <f>IF($A25="","",VLOOKUP($A25,기본데이타!$A$8:$BV$103,COLUMN(기본데이타!BN$8),0))</f>
        <v/>
      </c>
      <c r="BL25" s="136" t="str">
        <f>IF($A25="","",VLOOKUP($A25,기본데이타!$A$8:$BV$103,COLUMN(기본데이타!BO$8),0))</f>
        <v/>
      </c>
      <c r="BM25" s="136" t="str">
        <f>IF($A25="","",VLOOKUP($A25,기본데이타!$A$8:$BV$103,COLUMN(기본데이타!BP$8),0))</f>
        <v/>
      </c>
      <c r="BN25" s="136" t="str">
        <f>IF($A25="","",VLOOKUP($A25,기본데이타!$A$8:$BV$103,COLUMN(기본데이타!BQ$8),0))</f>
        <v/>
      </c>
      <c r="BO25" s="136" t="str">
        <f>IF($A25="","",VLOOKUP($A25,기본데이타!$A$8:$BV$103,COLUMN(기본데이타!BR$8),0))</f>
        <v/>
      </c>
      <c r="BP25" s="136" t="str">
        <f>IF($A25="","",VLOOKUP($A25,기본데이타!$A$8:$BV$103,COLUMN(기본데이타!BS$8),0))</f>
        <v/>
      </c>
      <c r="BQ25" s="136" t="str">
        <f>IF($A25="","",VLOOKUP($A25,기본데이타!$A$8:$BV$103,COLUMN(기본데이타!BT$8),0))</f>
        <v/>
      </c>
      <c r="BR25" s="136" t="str">
        <f>IF($A25="","",VLOOKUP($A25,기본데이타!$A$8:$BV$103,COLUMN(기본데이타!BU$8),0))</f>
        <v/>
      </c>
      <c r="BS25" s="136" t="str">
        <f>IF($A25="","",VLOOKUP($A25,기본데이타!$A$8:$BV$103,COLUMN(기본데이타!BV$8),0))</f>
        <v/>
      </c>
      <c r="BT25" s="801">
        <f t="shared" si="7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6"/>
        <v/>
      </c>
      <c r="AX26" s="136" t="str">
        <f>IF($A26="","",VLOOKUP($A26,기본데이타!$A$8:$BV$103,COLUMN(기본데이타!BA$8),0))</f>
        <v/>
      </c>
      <c r="AY26" s="136" t="str">
        <f>IF($A26="","",VLOOKUP($A26,기본데이타!$A$8:$BV$103,COLUMN(기본데이타!BB$8),0))</f>
        <v/>
      </c>
      <c r="AZ26" s="1164" t="str">
        <f>IF($A26="","",VLOOKUP($A26,기본데이타!$A$8:$BV$103,COLUMN(기본데이타!BC$8),0))</f>
        <v/>
      </c>
      <c r="BA26" s="136" t="str">
        <f>IF($A26="","",VLOOKUP($A26,기본데이타!$A$8:$BV$103,COLUMN(기본데이타!BD$8),0))</f>
        <v/>
      </c>
      <c r="BB26" s="136" t="str">
        <f>IF($A26="","",VLOOKUP($A26,기본데이타!$A$8:$BV$103,COLUMN(기본데이타!BE$8),0))</f>
        <v/>
      </c>
      <c r="BC26" s="136" t="str">
        <f>IF($A26="","",VLOOKUP($A26,기본데이타!$A$8:$BV$103,COLUMN(기본데이타!BF$8),0))</f>
        <v/>
      </c>
      <c r="BD26" s="136" t="str">
        <f>IF($A26="","",VLOOKUP($A26,기본데이타!$A$8:$BV$103,COLUMN(기본데이타!BG$8),0))</f>
        <v/>
      </c>
      <c r="BE26" s="136" t="str">
        <f>IF($A26="","",VLOOKUP($A26,기본데이타!$A$8:$BV$103,COLUMN(기본데이타!BH$8),0))</f>
        <v/>
      </c>
      <c r="BF26" s="136" t="str">
        <f>IF($A26="","",VLOOKUP($A26,기본데이타!$A$8:$BV$103,COLUMN(기본데이타!BI$8),0))</f>
        <v/>
      </c>
      <c r="BG26" s="136" t="str">
        <f>IF($A26="","",VLOOKUP($A26,기본데이타!$A$8:$BV$103,COLUMN(기본데이타!BJ$8),0))</f>
        <v/>
      </c>
      <c r="BH26" s="136" t="str">
        <f>IF($A26="","",VLOOKUP($A26,기본데이타!$A$8:$BV$103,COLUMN(기본데이타!BK$8),0))</f>
        <v/>
      </c>
      <c r="BI26" s="136" t="str">
        <f>IF($A26="","",VLOOKUP($A26,기본데이타!$A$8:$BV$103,COLUMN(기본데이타!BL$8),0))</f>
        <v/>
      </c>
      <c r="BJ26" s="136" t="str">
        <f>IF($A26="","",VLOOKUP($A26,기본데이타!$A$8:$BV$103,COLUMN(기본데이타!BM$8),0))</f>
        <v/>
      </c>
      <c r="BK26" s="136" t="str">
        <f>IF($A26="","",VLOOKUP($A26,기본데이타!$A$8:$BV$103,COLUMN(기본데이타!BN$8),0))</f>
        <v/>
      </c>
      <c r="BL26" s="136" t="str">
        <f>IF($A26="","",VLOOKUP($A26,기본데이타!$A$8:$BV$103,COLUMN(기본데이타!BO$8),0))</f>
        <v/>
      </c>
      <c r="BM26" s="136" t="str">
        <f>IF($A26="","",VLOOKUP($A26,기본데이타!$A$8:$BV$103,COLUMN(기본데이타!BP$8),0))</f>
        <v/>
      </c>
      <c r="BN26" s="136" t="str">
        <f>IF($A26="","",VLOOKUP($A26,기본데이타!$A$8:$BV$103,COLUMN(기본데이타!BQ$8),0))</f>
        <v/>
      </c>
      <c r="BO26" s="136" t="str">
        <f>IF($A26="","",VLOOKUP($A26,기본데이타!$A$8:$BV$103,COLUMN(기본데이타!BR$8),0))</f>
        <v/>
      </c>
      <c r="BP26" s="136" t="str">
        <f>IF($A26="","",VLOOKUP($A26,기본데이타!$A$8:$BV$103,COLUMN(기본데이타!BS$8),0))</f>
        <v/>
      </c>
      <c r="BQ26" s="136" t="str">
        <f>IF($A26="","",VLOOKUP($A26,기본데이타!$A$8:$BV$103,COLUMN(기본데이타!BT$8),0))</f>
        <v/>
      </c>
      <c r="BR26" s="136" t="str">
        <f>IF($A26="","",VLOOKUP($A26,기본데이타!$A$8:$BV$103,COLUMN(기본데이타!BU$8),0))</f>
        <v/>
      </c>
      <c r="BS26" s="136" t="str">
        <f>IF($A26="","",VLOOKUP($A26,기본데이타!$A$8:$BV$103,COLUMN(기본데이타!BV$8),0))</f>
        <v/>
      </c>
      <c r="BT26" s="801">
        <f t="shared" si="7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6"/>
        <v/>
      </c>
      <c r="AX27" s="136" t="str">
        <f>IF($A27="","",VLOOKUP($A27,기본데이타!$A$8:$BV$103,COLUMN(기본데이타!BA$8),0))</f>
        <v/>
      </c>
      <c r="AY27" s="136" t="str">
        <f>IF($A27="","",VLOOKUP($A27,기본데이타!$A$8:$BV$103,COLUMN(기본데이타!BB$8),0))</f>
        <v/>
      </c>
      <c r="AZ27" s="1164" t="str">
        <f>IF($A27="","",VLOOKUP($A27,기본데이타!$A$8:$BV$103,COLUMN(기본데이타!BC$8),0))</f>
        <v/>
      </c>
      <c r="BA27" s="136" t="str">
        <f>IF($A27="","",VLOOKUP($A27,기본데이타!$A$8:$BV$103,COLUMN(기본데이타!BD$8),0))</f>
        <v/>
      </c>
      <c r="BB27" s="136" t="str">
        <f>IF($A27="","",VLOOKUP($A27,기본데이타!$A$8:$BV$103,COLUMN(기본데이타!BE$8),0))</f>
        <v/>
      </c>
      <c r="BC27" s="136" t="str">
        <f>IF($A27="","",VLOOKUP($A27,기본데이타!$A$8:$BV$103,COLUMN(기본데이타!BF$8),0))</f>
        <v/>
      </c>
      <c r="BD27" s="136" t="str">
        <f>IF($A27="","",VLOOKUP($A27,기본데이타!$A$8:$BV$103,COLUMN(기본데이타!BG$8),0))</f>
        <v/>
      </c>
      <c r="BE27" s="136" t="str">
        <f>IF($A27="","",VLOOKUP($A27,기본데이타!$A$8:$BV$103,COLUMN(기본데이타!BH$8),0))</f>
        <v/>
      </c>
      <c r="BF27" s="136" t="str">
        <f>IF($A27="","",VLOOKUP($A27,기본데이타!$A$8:$BV$103,COLUMN(기본데이타!BI$8),0))</f>
        <v/>
      </c>
      <c r="BG27" s="136" t="str">
        <f>IF($A27="","",VLOOKUP($A27,기본데이타!$A$8:$BV$103,COLUMN(기본데이타!BJ$8),0))</f>
        <v/>
      </c>
      <c r="BH27" s="136" t="str">
        <f>IF($A27="","",VLOOKUP($A27,기본데이타!$A$8:$BV$103,COLUMN(기본데이타!BK$8),0))</f>
        <v/>
      </c>
      <c r="BI27" s="136" t="str">
        <f>IF($A27="","",VLOOKUP($A27,기본데이타!$A$8:$BV$103,COLUMN(기본데이타!BL$8),0))</f>
        <v/>
      </c>
      <c r="BJ27" s="136" t="str">
        <f>IF($A27="","",VLOOKUP($A27,기본데이타!$A$8:$BV$103,COLUMN(기본데이타!BM$8),0))</f>
        <v/>
      </c>
      <c r="BK27" s="136" t="str">
        <f>IF($A27="","",VLOOKUP($A27,기본데이타!$A$8:$BV$103,COLUMN(기본데이타!BN$8),0))</f>
        <v/>
      </c>
      <c r="BL27" s="136" t="str">
        <f>IF($A27="","",VLOOKUP($A27,기본데이타!$A$8:$BV$103,COLUMN(기본데이타!BO$8),0))</f>
        <v/>
      </c>
      <c r="BM27" s="136" t="str">
        <f>IF($A27="","",VLOOKUP($A27,기본데이타!$A$8:$BV$103,COLUMN(기본데이타!BP$8),0))</f>
        <v/>
      </c>
      <c r="BN27" s="136" t="str">
        <f>IF($A27="","",VLOOKUP($A27,기본데이타!$A$8:$BV$103,COLUMN(기본데이타!BQ$8),0))</f>
        <v/>
      </c>
      <c r="BO27" s="136" t="str">
        <f>IF($A27="","",VLOOKUP($A27,기본데이타!$A$8:$BV$103,COLUMN(기본데이타!BR$8),0))</f>
        <v/>
      </c>
      <c r="BP27" s="136" t="str">
        <f>IF($A27="","",VLOOKUP($A27,기본데이타!$A$8:$BV$103,COLUMN(기본데이타!BS$8),0))</f>
        <v/>
      </c>
      <c r="BQ27" s="136" t="str">
        <f>IF($A27="","",VLOOKUP($A27,기본데이타!$A$8:$BV$103,COLUMN(기본데이타!BT$8),0))</f>
        <v/>
      </c>
      <c r="BR27" s="136" t="str">
        <f>IF($A27="","",VLOOKUP($A27,기본데이타!$A$8:$BV$103,COLUMN(기본데이타!BU$8),0))</f>
        <v/>
      </c>
      <c r="BS27" s="136" t="str">
        <f>IF($A27="","",VLOOKUP($A27,기본데이타!$A$8:$BV$103,COLUMN(기본데이타!BV$8),0))</f>
        <v/>
      </c>
      <c r="BT27" s="801">
        <f t="shared" si="7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6"/>
        <v/>
      </c>
      <c r="AX28" s="136" t="str">
        <f>IF($A28="","",VLOOKUP($A28,기본데이타!$A$8:$BV$103,COLUMN(기본데이타!BA$8),0))</f>
        <v/>
      </c>
      <c r="AY28" s="136" t="str">
        <f>IF($A28="","",VLOOKUP($A28,기본데이타!$A$8:$BV$103,COLUMN(기본데이타!BB$8),0))</f>
        <v/>
      </c>
      <c r="AZ28" s="1164" t="str">
        <f>IF($A28="","",VLOOKUP($A28,기본데이타!$A$8:$BV$103,COLUMN(기본데이타!BC$8),0))</f>
        <v/>
      </c>
      <c r="BA28" s="136" t="str">
        <f>IF($A28="","",VLOOKUP($A28,기본데이타!$A$8:$BV$103,COLUMN(기본데이타!BD$8),0))</f>
        <v/>
      </c>
      <c r="BB28" s="136" t="str">
        <f>IF($A28="","",VLOOKUP($A28,기본데이타!$A$8:$BV$103,COLUMN(기본데이타!BE$8),0))</f>
        <v/>
      </c>
      <c r="BC28" s="136" t="str">
        <f>IF($A28="","",VLOOKUP($A28,기본데이타!$A$8:$BV$103,COLUMN(기본데이타!BF$8),0))</f>
        <v/>
      </c>
      <c r="BD28" s="136" t="str">
        <f>IF($A28="","",VLOOKUP($A28,기본데이타!$A$8:$BV$103,COLUMN(기본데이타!BG$8),0))</f>
        <v/>
      </c>
      <c r="BE28" s="136" t="str">
        <f>IF($A28="","",VLOOKUP($A28,기본데이타!$A$8:$BV$103,COLUMN(기본데이타!BH$8),0))</f>
        <v/>
      </c>
      <c r="BF28" s="136" t="str">
        <f>IF($A28="","",VLOOKUP($A28,기본데이타!$A$8:$BV$103,COLUMN(기본데이타!BI$8),0))</f>
        <v/>
      </c>
      <c r="BG28" s="136" t="str">
        <f>IF($A28="","",VLOOKUP($A28,기본데이타!$A$8:$BV$103,COLUMN(기본데이타!BJ$8),0))</f>
        <v/>
      </c>
      <c r="BH28" s="136" t="str">
        <f>IF($A28="","",VLOOKUP($A28,기본데이타!$A$8:$BV$103,COLUMN(기본데이타!BK$8),0))</f>
        <v/>
      </c>
      <c r="BI28" s="136" t="str">
        <f>IF($A28="","",VLOOKUP($A28,기본데이타!$A$8:$BV$103,COLUMN(기본데이타!BL$8),0))</f>
        <v/>
      </c>
      <c r="BJ28" s="136" t="str">
        <f>IF($A28="","",VLOOKUP($A28,기본데이타!$A$8:$BV$103,COLUMN(기본데이타!BM$8),0))</f>
        <v/>
      </c>
      <c r="BK28" s="136" t="str">
        <f>IF($A28="","",VLOOKUP($A28,기본데이타!$A$8:$BV$103,COLUMN(기본데이타!BN$8),0))</f>
        <v/>
      </c>
      <c r="BL28" s="136" t="str">
        <f>IF($A28="","",VLOOKUP($A28,기본데이타!$A$8:$BV$103,COLUMN(기본데이타!BO$8),0))</f>
        <v/>
      </c>
      <c r="BM28" s="136" t="str">
        <f>IF($A28="","",VLOOKUP($A28,기본데이타!$A$8:$BV$103,COLUMN(기본데이타!BP$8),0))</f>
        <v/>
      </c>
      <c r="BN28" s="136" t="str">
        <f>IF($A28="","",VLOOKUP($A28,기본데이타!$A$8:$BV$103,COLUMN(기본데이타!BQ$8),0))</f>
        <v/>
      </c>
      <c r="BO28" s="136" t="str">
        <f>IF($A28="","",VLOOKUP($A28,기본데이타!$A$8:$BV$103,COLUMN(기본데이타!BR$8),0))</f>
        <v/>
      </c>
      <c r="BP28" s="136" t="str">
        <f>IF($A28="","",VLOOKUP($A28,기본데이타!$A$8:$BV$103,COLUMN(기본데이타!BS$8),0))</f>
        <v/>
      </c>
      <c r="BQ28" s="136" t="str">
        <f>IF($A28="","",VLOOKUP($A28,기본데이타!$A$8:$BV$103,COLUMN(기본데이타!BT$8),0))</f>
        <v/>
      </c>
      <c r="BR28" s="136" t="str">
        <f>IF($A28="","",VLOOKUP($A28,기본데이타!$A$8:$BV$103,COLUMN(기본데이타!BU$8),0))</f>
        <v/>
      </c>
      <c r="BS28" s="136" t="str">
        <f>IF($A28="","",VLOOKUP($A28,기본데이타!$A$8:$BV$103,COLUMN(기본데이타!BV$8),0))</f>
        <v/>
      </c>
      <c r="BT28" s="801">
        <f t="shared" si="7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6"/>
        <v/>
      </c>
      <c r="AX29" s="136" t="str">
        <f>IF($A29="","",VLOOKUP($A29,기본데이타!$A$8:$BV$103,COLUMN(기본데이타!BA$8),0))</f>
        <v/>
      </c>
      <c r="AY29" s="136" t="str">
        <f>IF($A29="","",VLOOKUP($A29,기본데이타!$A$8:$BV$103,COLUMN(기본데이타!BB$8),0))</f>
        <v/>
      </c>
      <c r="AZ29" s="1164" t="str">
        <f>IF($A29="","",VLOOKUP($A29,기본데이타!$A$8:$BV$103,COLUMN(기본데이타!BC$8),0))</f>
        <v/>
      </c>
      <c r="BA29" s="136" t="str">
        <f>IF($A29="","",VLOOKUP($A29,기본데이타!$A$8:$BV$103,COLUMN(기본데이타!BD$8),0))</f>
        <v/>
      </c>
      <c r="BB29" s="136" t="str">
        <f>IF($A29="","",VLOOKUP($A29,기본데이타!$A$8:$BV$103,COLUMN(기본데이타!BE$8),0))</f>
        <v/>
      </c>
      <c r="BC29" s="136" t="str">
        <f>IF($A29="","",VLOOKUP($A29,기본데이타!$A$8:$BV$103,COLUMN(기본데이타!BF$8),0))</f>
        <v/>
      </c>
      <c r="BD29" s="136" t="str">
        <f>IF($A29="","",VLOOKUP($A29,기본데이타!$A$8:$BV$103,COLUMN(기본데이타!BG$8),0))</f>
        <v/>
      </c>
      <c r="BE29" s="136" t="str">
        <f>IF($A29="","",VLOOKUP($A29,기본데이타!$A$8:$BV$103,COLUMN(기본데이타!BH$8),0))</f>
        <v/>
      </c>
      <c r="BF29" s="136" t="str">
        <f>IF($A29="","",VLOOKUP($A29,기본데이타!$A$8:$BV$103,COLUMN(기본데이타!BI$8),0))</f>
        <v/>
      </c>
      <c r="BG29" s="136" t="str">
        <f>IF($A29="","",VLOOKUP($A29,기본데이타!$A$8:$BV$103,COLUMN(기본데이타!BJ$8),0))</f>
        <v/>
      </c>
      <c r="BH29" s="136" t="str">
        <f>IF($A29="","",VLOOKUP($A29,기본데이타!$A$8:$BV$103,COLUMN(기본데이타!BK$8),0))</f>
        <v/>
      </c>
      <c r="BI29" s="136" t="str">
        <f>IF($A29="","",VLOOKUP($A29,기본데이타!$A$8:$BV$103,COLUMN(기본데이타!BL$8),0))</f>
        <v/>
      </c>
      <c r="BJ29" s="136" t="str">
        <f>IF($A29="","",VLOOKUP($A29,기본데이타!$A$8:$BV$103,COLUMN(기본데이타!BM$8),0))</f>
        <v/>
      </c>
      <c r="BK29" s="136" t="str">
        <f>IF($A29="","",VLOOKUP($A29,기본데이타!$A$8:$BV$103,COLUMN(기본데이타!BN$8),0))</f>
        <v/>
      </c>
      <c r="BL29" s="136" t="str">
        <f>IF($A29="","",VLOOKUP($A29,기본데이타!$A$8:$BV$103,COLUMN(기본데이타!BO$8),0))</f>
        <v/>
      </c>
      <c r="BM29" s="136" t="str">
        <f>IF($A29="","",VLOOKUP($A29,기본데이타!$A$8:$BV$103,COLUMN(기본데이타!BP$8),0))</f>
        <v/>
      </c>
      <c r="BN29" s="136" t="str">
        <f>IF($A29="","",VLOOKUP($A29,기본데이타!$A$8:$BV$103,COLUMN(기본데이타!BQ$8),0))</f>
        <v/>
      </c>
      <c r="BO29" s="136" t="str">
        <f>IF($A29="","",VLOOKUP($A29,기본데이타!$A$8:$BV$103,COLUMN(기본데이타!BR$8),0))</f>
        <v/>
      </c>
      <c r="BP29" s="136" t="str">
        <f>IF($A29="","",VLOOKUP($A29,기본데이타!$A$8:$BV$103,COLUMN(기본데이타!BS$8),0))</f>
        <v/>
      </c>
      <c r="BQ29" s="136" t="str">
        <f>IF($A29="","",VLOOKUP($A29,기본데이타!$A$8:$BV$103,COLUMN(기본데이타!BT$8),0))</f>
        <v/>
      </c>
      <c r="BR29" s="136" t="str">
        <f>IF($A29="","",VLOOKUP($A29,기본데이타!$A$8:$BV$103,COLUMN(기본데이타!BU$8),0))</f>
        <v/>
      </c>
      <c r="BS29" s="136" t="str">
        <f>IF($A29="","",VLOOKUP($A29,기본데이타!$A$8:$BV$103,COLUMN(기본데이타!BV$8),0))</f>
        <v/>
      </c>
      <c r="BT29" s="801">
        <f t="shared" si="7"/>
        <v>0</v>
      </c>
      <c r="BU29" s="242"/>
    </row>
    <row r="30" spans="1:73" s="7" customFormat="1" ht="73.5" customHeight="1">
      <c r="A30" s="171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68" t="str">
        <f>IF($A30="","",VLOOKUP($A30,기본데이타!$A$8:$BV$103,COLUMN(기본데이타!Y$8),0))</f>
        <v/>
      </c>
      <c r="W30" s="168" t="str">
        <f>IF($A30="","",VLOOKUP($A30,기본데이타!$A$8:$BV$103,COLUMN(기본데이타!Z$8),0))</f>
        <v/>
      </c>
      <c r="X30" s="168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6"/>
        <v/>
      </c>
      <c r="AX30" s="136" t="str">
        <f>IF($A30="","",VLOOKUP($A30,기본데이타!$A$8:$BV$103,COLUMN(기본데이타!BA$8),0))</f>
        <v/>
      </c>
      <c r="AY30" s="136" t="str">
        <f>IF($A30="","",VLOOKUP($A30,기본데이타!$A$8:$BV$103,COLUMN(기본데이타!BB$8),0))</f>
        <v/>
      </c>
      <c r="AZ30" s="1164" t="str">
        <f>IF($A30="","",VLOOKUP($A30,기본데이타!$A$8:$BV$103,COLUMN(기본데이타!BC$8),0))</f>
        <v/>
      </c>
      <c r="BA30" s="136" t="str">
        <f>IF($A30="","",VLOOKUP($A30,기본데이타!$A$8:$BV$103,COLUMN(기본데이타!BD$8),0))</f>
        <v/>
      </c>
      <c r="BB30" s="136" t="str">
        <f>IF($A30="","",VLOOKUP($A30,기본데이타!$A$8:$BV$103,COLUMN(기본데이타!BE$8),0))</f>
        <v/>
      </c>
      <c r="BC30" s="136" t="str">
        <f>IF($A30="","",VLOOKUP($A30,기본데이타!$A$8:$BV$103,COLUMN(기본데이타!BF$8),0))</f>
        <v/>
      </c>
      <c r="BD30" s="136" t="str">
        <f>IF($A30="","",VLOOKUP($A30,기본데이타!$A$8:$BV$103,COLUMN(기본데이타!BG$8),0))</f>
        <v/>
      </c>
      <c r="BE30" s="136" t="str">
        <f>IF($A30="","",VLOOKUP($A30,기본데이타!$A$8:$BV$103,COLUMN(기본데이타!BH$8),0))</f>
        <v/>
      </c>
      <c r="BF30" s="136" t="str">
        <f>IF($A30="","",VLOOKUP($A30,기본데이타!$A$8:$BV$103,COLUMN(기본데이타!BI$8),0))</f>
        <v/>
      </c>
      <c r="BG30" s="136" t="str">
        <f>IF($A30="","",VLOOKUP($A30,기본데이타!$A$8:$BV$103,COLUMN(기본데이타!BJ$8),0))</f>
        <v/>
      </c>
      <c r="BH30" s="136" t="str">
        <f>IF($A30="","",VLOOKUP($A30,기본데이타!$A$8:$BV$103,COLUMN(기본데이타!BK$8),0))</f>
        <v/>
      </c>
      <c r="BI30" s="136" t="str">
        <f>IF($A30="","",VLOOKUP($A30,기본데이타!$A$8:$BV$103,COLUMN(기본데이타!BL$8),0))</f>
        <v/>
      </c>
      <c r="BJ30" s="136" t="str">
        <f>IF($A30="","",VLOOKUP($A30,기본데이타!$A$8:$BV$103,COLUMN(기본데이타!BM$8),0))</f>
        <v/>
      </c>
      <c r="BK30" s="136" t="str">
        <f>IF($A30="","",VLOOKUP($A30,기본데이타!$A$8:$BV$103,COLUMN(기본데이타!BN$8),0))</f>
        <v/>
      </c>
      <c r="BL30" s="136" t="str">
        <f>IF($A30="","",VLOOKUP($A30,기본데이타!$A$8:$BV$103,COLUMN(기본데이타!BO$8),0))</f>
        <v/>
      </c>
      <c r="BM30" s="136" t="str">
        <f>IF($A30="","",VLOOKUP($A30,기본데이타!$A$8:$BV$103,COLUMN(기본데이타!BP$8),0))</f>
        <v/>
      </c>
      <c r="BN30" s="136" t="str">
        <f>IF($A30="","",VLOOKUP($A30,기본데이타!$A$8:$BV$103,COLUMN(기본데이타!BQ$8),0))</f>
        <v/>
      </c>
      <c r="BO30" s="136" t="str">
        <f>IF($A30="","",VLOOKUP($A30,기본데이타!$A$8:$BV$103,COLUMN(기본데이타!BR$8),0))</f>
        <v/>
      </c>
      <c r="BP30" s="136" t="str">
        <f>IF($A30="","",VLOOKUP($A30,기본데이타!$A$8:$BV$103,COLUMN(기본데이타!BS$8),0))</f>
        <v/>
      </c>
      <c r="BQ30" s="136" t="str">
        <f>IF($A30="","",VLOOKUP($A30,기본데이타!$A$8:$BV$103,COLUMN(기본데이타!BT$8),0))</f>
        <v/>
      </c>
      <c r="BR30" s="136" t="str">
        <f>IF($A30="","",VLOOKUP($A30,기본데이타!$A$8:$BV$103,COLUMN(기본데이타!BU$8),0))</f>
        <v/>
      </c>
      <c r="BS30" s="136" t="str">
        <f>IF($A30="","",VLOOKUP($A30,기본데이타!$A$8:$BV$103,COLUMN(기본데이타!BV$8),0))</f>
        <v/>
      </c>
      <c r="BT30" s="801">
        <f t="shared" si="7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68" t="str">
        <f>IF($A31="","",VLOOKUP($A31,기본데이타!$A$8:$BV$103,COLUMN(기본데이타!Y$8),0))</f>
        <v/>
      </c>
      <c r="W31" s="168" t="str">
        <f>IF($A31="","",VLOOKUP($A31,기본데이타!$A$8:$BV$103,COLUMN(기본데이타!Z$8),0))</f>
        <v/>
      </c>
      <c r="X31" s="168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6"/>
        <v/>
      </c>
      <c r="AX31" s="136" t="str">
        <f>IF($A31="","",VLOOKUP($A31,기본데이타!$A$8:$BV$103,COLUMN(기본데이타!BA$8),0))</f>
        <v/>
      </c>
      <c r="AY31" s="136" t="str">
        <f>IF($A31="","",VLOOKUP($A31,기본데이타!$A$8:$BV$103,COLUMN(기본데이타!BB$8),0))</f>
        <v/>
      </c>
      <c r="AZ31" s="1164" t="str">
        <f>IF($A31="","",VLOOKUP($A31,기본데이타!$A$8:$BV$103,COLUMN(기본데이타!BC$8),0))</f>
        <v/>
      </c>
      <c r="BA31" s="136" t="str">
        <f>IF($A31="","",VLOOKUP($A31,기본데이타!$A$8:$BV$103,COLUMN(기본데이타!BD$8),0))</f>
        <v/>
      </c>
      <c r="BB31" s="136" t="str">
        <f>IF($A31="","",VLOOKUP($A31,기본데이타!$A$8:$BV$103,COLUMN(기본데이타!BE$8),0))</f>
        <v/>
      </c>
      <c r="BC31" s="136" t="str">
        <f>IF($A31="","",VLOOKUP($A31,기본데이타!$A$8:$BV$103,COLUMN(기본데이타!BF$8),0))</f>
        <v/>
      </c>
      <c r="BD31" s="136" t="str">
        <f>IF($A31="","",VLOOKUP($A31,기본데이타!$A$8:$BV$103,COLUMN(기본데이타!BG$8),0))</f>
        <v/>
      </c>
      <c r="BE31" s="136" t="str">
        <f>IF($A31="","",VLOOKUP($A31,기본데이타!$A$8:$BV$103,COLUMN(기본데이타!BH$8),0))</f>
        <v/>
      </c>
      <c r="BF31" s="136" t="str">
        <f>IF($A31="","",VLOOKUP($A31,기본데이타!$A$8:$BV$103,COLUMN(기본데이타!BI$8),0))</f>
        <v/>
      </c>
      <c r="BG31" s="136" t="str">
        <f>IF($A31="","",VLOOKUP($A31,기본데이타!$A$8:$BV$103,COLUMN(기본데이타!BJ$8),0))</f>
        <v/>
      </c>
      <c r="BH31" s="136" t="str">
        <f>IF($A31="","",VLOOKUP($A31,기본데이타!$A$8:$BV$103,COLUMN(기본데이타!BK$8),0))</f>
        <v/>
      </c>
      <c r="BI31" s="136" t="str">
        <f>IF($A31="","",VLOOKUP($A31,기본데이타!$A$8:$BV$103,COLUMN(기본데이타!BL$8),0))</f>
        <v/>
      </c>
      <c r="BJ31" s="136" t="str">
        <f>IF($A31="","",VLOOKUP($A31,기본데이타!$A$8:$BV$103,COLUMN(기본데이타!BM$8),0))</f>
        <v/>
      </c>
      <c r="BK31" s="136" t="str">
        <f>IF($A31="","",VLOOKUP($A31,기본데이타!$A$8:$BV$103,COLUMN(기본데이타!BN$8),0))</f>
        <v/>
      </c>
      <c r="BL31" s="136" t="str">
        <f>IF($A31="","",VLOOKUP($A31,기본데이타!$A$8:$BV$103,COLUMN(기본데이타!BO$8),0))</f>
        <v/>
      </c>
      <c r="BM31" s="136" t="str">
        <f>IF($A31="","",VLOOKUP($A31,기본데이타!$A$8:$BV$103,COLUMN(기본데이타!BP$8),0))</f>
        <v/>
      </c>
      <c r="BN31" s="136" t="str">
        <f>IF($A31="","",VLOOKUP($A31,기본데이타!$A$8:$BV$103,COLUMN(기본데이타!BQ$8),0))</f>
        <v/>
      </c>
      <c r="BO31" s="136" t="str">
        <f>IF($A31="","",VLOOKUP($A31,기본데이타!$A$8:$BV$103,COLUMN(기본데이타!BR$8),0))</f>
        <v/>
      </c>
      <c r="BP31" s="136" t="str">
        <f>IF($A31="","",VLOOKUP($A31,기본데이타!$A$8:$BV$103,COLUMN(기본데이타!BS$8),0))</f>
        <v/>
      </c>
      <c r="BQ31" s="136" t="str">
        <f>IF($A31="","",VLOOKUP($A31,기본데이타!$A$8:$BV$103,COLUMN(기본데이타!BT$8),0))</f>
        <v/>
      </c>
      <c r="BR31" s="136" t="str">
        <f>IF($A31="","",VLOOKUP($A31,기본데이타!$A$8:$BV$103,COLUMN(기본데이타!BU$8),0))</f>
        <v/>
      </c>
      <c r="BS31" s="136" t="str">
        <f>IF($A31="","",VLOOKUP($A31,기본데이타!$A$8:$BV$103,COLUMN(기본데이타!BV$8),0))</f>
        <v/>
      </c>
      <c r="BT31" s="801">
        <f t="shared" si="7"/>
        <v>0</v>
      </c>
      <c r="BU31" s="242"/>
    </row>
    <row r="32" spans="1:73" s="7" customFormat="1" ht="73.5" customHeight="1">
      <c r="A32" s="171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68" t="str">
        <f>IF($A32="","",VLOOKUP($A32,기본데이타!$A$8:$BV$103,COLUMN(기본데이타!Y$8),0))</f>
        <v/>
      </c>
      <c r="W32" s="168" t="str">
        <f>IF($A32="","",VLOOKUP($A32,기본데이타!$A$8:$BV$103,COLUMN(기본데이타!Z$8),0))</f>
        <v/>
      </c>
      <c r="X32" s="168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6"/>
        <v/>
      </c>
      <c r="AX32" s="136" t="str">
        <f>IF($A32="","",VLOOKUP($A32,기본데이타!$A$8:$BV$103,COLUMN(기본데이타!BA$8),0))</f>
        <v/>
      </c>
      <c r="AY32" s="136" t="str">
        <f>IF($A32="","",VLOOKUP($A32,기본데이타!$A$8:$BV$103,COLUMN(기본데이타!BB$8),0))</f>
        <v/>
      </c>
      <c r="AZ32" s="1164" t="str">
        <f>IF($A32="","",VLOOKUP($A32,기본데이타!$A$8:$BV$103,COLUMN(기본데이타!BC$8),0))</f>
        <v/>
      </c>
      <c r="BA32" s="136" t="str">
        <f>IF($A32="","",VLOOKUP($A32,기본데이타!$A$8:$BV$103,COLUMN(기본데이타!BD$8),0))</f>
        <v/>
      </c>
      <c r="BB32" s="136" t="str">
        <f>IF($A32="","",VLOOKUP($A32,기본데이타!$A$8:$BV$103,COLUMN(기본데이타!BE$8),0))</f>
        <v/>
      </c>
      <c r="BC32" s="136" t="str">
        <f>IF($A32="","",VLOOKUP($A32,기본데이타!$A$8:$BV$103,COLUMN(기본데이타!BF$8),0))</f>
        <v/>
      </c>
      <c r="BD32" s="136" t="str">
        <f>IF($A32="","",VLOOKUP($A32,기본데이타!$A$8:$BV$103,COLUMN(기본데이타!BG$8),0))</f>
        <v/>
      </c>
      <c r="BE32" s="136" t="str">
        <f>IF($A32="","",VLOOKUP($A32,기본데이타!$A$8:$BV$103,COLUMN(기본데이타!BH$8),0))</f>
        <v/>
      </c>
      <c r="BF32" s="136" t="str">
        <f>IF($A32="","",VLOOKUP($A32,기본데이타!$A$8:$BV$103,COLUMN(기본데이타!BI$8),0))</f>
        <v/>
      </c>
      <c r="BG32" s="136" t="str">
        <f>IF($A32="","",VLOOKUP($A32,기본데이타!$A$8:$BV$103,COLUMN(기본데이타!BJ$8),0))</f>
        <v/>
      </c>
      <c r="BH32" s="136" t="str">
        <f>IF($A32="","",VLOOKUP($A32,기본데이타!$A$8:$BV$103,COLUMN(기본데이타!BK$8),0))</f>
        <v/>
      </c>
      <c r="BI32" s="136" t="str">
        <f>IF($A32="","",VLOOKUP($A32,기본데이타!$A$8:$BV$103,COLUMN(기본데이타!BL$8),0))</f>
        <v/>
      </c>
      <c r="BJ32" s="136" t="str">
        <f>IF($A32="","",VLOOKUP($A32,기본데이타!$A$8:$BV$103,COLUMN(기본데이타!BM$8),0))</f>
        <v/>
      </c>
      <c r="BK32" s="136" t="str">
        <f>IF($A32="","",VLOOKUP($A32,기본데이타!$A$8:$BV$103,COLUMN(기본데이타!BN$8),0))</f>
        <v/>
      </c>
      <c r="BL32" s="136" t="str">
        <f>IF($A32="","",VLOOKUP($A32,기본데이타!$A$8:$BV$103,COLUMN(기본데이타!BO$8),0))</f>
        <v/>
      </c>
      <c r="BM32" s="136" t="str">
        <f>IF($A32="","",VLOOKUP($A32,기본데이타!$A$8:$BV$103,COLUMN(기본데이타!BP$8),0))</f>
        <v/>
      </c>
      <c r="BN32" s="136" t="str">
        <f>IF($A32="","",VLOOKUP($A32,기본데이타!$A$8:$BV$103,COLUMN(기본데이타!BQ$8),0))</f>
        <v/>
      </c>
      <c r="BO32" s="136" t="str">
        <f>IF($A32="","",VLOOKUP($A32,기본데이타!$A$8:$BV$103,COLUMN(기본데이타!BR$8),0))</f>
        <v/>
      </c>
      <c r="BP32" s="136" t="str">
        <f>IF($A32="","",VLOOKUP($A32,기본데이타!$A$8:$BV$103,COLUMN(기본데이타!BS$8),0))</f>
        <v/>
      </c>
      <c r="BQ32" s="136" t="str">
        <f>IF($A32="","",VLOOKUP($A32,기본데이타!$A$8:$BV$103,COLUMN(기본데이타!BT$8),0))</f>
        <v/>
      </c>
      <c r="BR32" s="136" t="str">
        <f>IF($A32="","",VLOOKUP($A32,기본데이타!$A$8:$BV$103,COLUMN(기본데이타!BU$8),0))</f>
        <v/>
      </c>
      <c r="BS32" s="136" t="str">
        <f>IF($A32="","",VLOOKUP($A32,기본데이타!$A$8:$BV$103,COLUMN(기본데이타!BV$8),0))</f>
        <v/>
      </c>
      <c r="BT32" s="801">
        <f t="shared" si="7"/>
        <v>0</v>
      </c>
      <c r="BU32" s="242"/>
    </row>
    <row r="33" spans="1:73" s="7" customFormat="1" ht="73.5" customHeight="1">
      <c r="A33" s="171"/>
      <c r="B33" s="163"/>
      <c r="C33" s="164" t="str">
        <f>IF($A33="","",VLOOKUP($A33,기본데이타!$A$8:$BV$103,COLUMN(기본데이타!F$8),0))</f>
        <v/>
      </c>
      <c r="D33" s="165" t="str">
        <f>IF($A33="","",VLOOKUP($A33,기본데이타!$A$8:$BV$103,COLUMN(기본데이타!G$8),0))</f>
        <v/>
      </c>
      <c r="E33" s="166" t="str">
        <f>IF($A33="","",VLOOKUP($A33,기본데이타!$A$8:$BV$103,COLUMN(기본데이타!H$8),0))</f>
        <v/>
      </c>
      <c r="F33" s="166" t="str">
        <f>IF($A33="","",VLOOKUP($A33,기본데이타!$A$8:$BV$103,COLUMN(기본데이타!I$8),0))</f>
        <v/>
      </c>
      <c r="G33" s="166" t="str">
        <f>IF($A33="","",VLOOKUP($A33,기본데이타!$A$8:$BV$103,COLUMN(기본데이타!J$8),0))</f>
        <v/>
      </c>
      <c r="H33" s="167" t="str">
        <f>IF($A33="","",VLOOKUP($A33,기본데이타!$A$8:$BV$103,COLUMN(기본데이타!K$8),0))</f>
        <v/>
      </c>
      <c r="I33" s="167" t="str">
        <f>IF($A33="","",VLOOKUP($A33,기본데이타!$A$8:$BV$103,COLUMN(기본데이타!L$8),0))</f>
        <v/>
      </c>
      <c r="J33" s="167" t="str">
        <f>IF($A33="","",VLOOKUP($A33,기본데이타!$A$8:$BV$103,COLUMN(기본데이타!M$8),0))</f>
        <v/>
      </c>
      <c r="K33" s="168" t="str">
        <f>IF($A33="","",VLOOKUP($A33,기본데이타!$A$8:$BV$103,COLUMN(기본데이타!N$8),0))</f>
        <v/>
      </c>
      <c r="L33" s="167" t="str">
        <f>IF($A33="","",VLOOKUP($A33,기본데이타!$A$8:$BV$103,COLUMN(기본데이타!O$8),0))</f>
        <v/>
      </c>
      <c r="M33" s="168" t="str">
        <f>IF($A33="","",VLOOKUP($A33,기본데이타!$A$8:$BV$103,COLUMN(기본데이타!P$8),0))</f>
        <v/>
      </c>
      <c r="N33" s="168" t="str">
        <f>IF($A33="","",VLOOKUP($A33,기본데이타!$A$8:$BV$103,COLUMN(기본데이타!Q$8),0))</f>
        <v/>
      </c>
      <c r="O33" s="168" t="str">
        <f>IF($A33="","",VLOOKUP($A33,기본데이타!$A$8:$BV$103,COLUMN(기본데이타!R$8),0))</f>
        <v/>
      </c>
      <c r="P33" s="168" t="str">
        <f>IF($A33="","",VLOOKUP($A33,기본데이타!$A$8:$BV$103,COLUMN(기본데이타!S$8),0))</f>
        <v/>
      </c>
      <c r="Q33" s="168" t="str">
        <f>IF($A33="","",VLOOKUP($A33,기본데이타!$A$8:$BV$103,COLUMN(기본데이타!T$8),0))</f>
        <v/>
      </c>
      <c r="R33" s="168" t="str">
        <f>IF($A33="","",VLOOKUP($A33,기본데이타!$A$8:$BV$103,COLUMN(기본데이타!U$8),0))</f>
        <v/>
      </c>
      <c r="S33" s="168" t="str">
        <f>IF($A33="","",VLOOKUP($A33,기본데이타!$A$8:$BV$103,COLUMN(기본데이타!V$8),0))</f>
        <v/>
      </c>
      <c r="T33" s="168" t="str">
        <f>IF($A33="","",VLOOKUP($A33,기본데이타!$A$8:$BV$103,COLUMN(기본데이타!W$8),0))</f>
        <v/>
      </c>
      <c r="U33" s="168" t="str">
        <f>IF($A33="","",VLOOKUP($A33,기본데이타!$A$8:$BV$103,COLUMN(기본데이타!X$8),0))</f>
        <v/>
      </c>
      <c r="V33" s="168" t="str">
        <f>IF($A33="","",VLOOKUP($A33,기본데이타!$A$8:$BV$103,COLUMN(기본데이타!Y$8),0))</f>
        <v/>
      </c>
      <c r="W33" s="168" t="str">
        <f>IF($A33="","",VLOOKUP($A33,기본데이타!$A$8:$BV$103,COLUMN(기본데이타!Z$8),0))</f>
        <v/>
      </c>
      <c r="X33" s="168" t="str">
        <f>IF($A33="","",VLOOKUP($A33,기본데이타!$A$8:$BV$103,COLUMN(기본데이타!AA$8),0))</f>
        <v/>
      </c>
      <c r="Y33" s="168" t="str">
        <f>IF($A33="","",VLOOKUP($A33,기본데이타!$A$8:$BV$103,COLUMN(기본데이타!AB$8),0))</f>
        <v/>
      </c>
      <c r="Z33" s="167" t="str">
        <f>IF($A33="","",VLOOKUP($A33,기본데이타!$A$8:$BV$103,COLUMN(기본데이타!AC$8),0))</f>
        <v/>
      </c>
      <c r="AA33" s="1393" t="str">
        <f>IF($A33="","",VLOOKUP($A33,기본데이타!$A$8:$BV$103,COLUMN(기본데이타!AD$8),0))</f>
        <v/>
      </c>
      <c r="AB33" s="1394" t="str">
        <f>IF($A33="","",VLOOKUP($A33,기본데이타!$A$8:$BV$103,COLUMN(기본데이타!AE$8),0))</f>
        <v/>
      </c>
      <c r="AC33" s="1393" t="str">
        <f>IF($A33="","",VLOOKUP($A33,기본데이타!$A$8:$BV$103,COLUMN(기본데이타!AF$8),0))</f>
        <v/>
      </c>
      <c r="AD33" s="1394" t="str">
        <f>IF($A33="","",VLOOKUP($A33,기본데이타!$A$8:$BV$103,COLUMN(기본데이타!AG$8),0))</f>
        <v/>
      </c>
      <c r="AE33" s="1393" t="str">
        <f>IF($A33="","",VLOOKUP($A33,기본데이타!$A$8:$BV$103,COLUMN(기본데이타!AH$8),0))</f>
        <v/>
      </c>
      <c r="AF33" s="1394" t="str">
        <f>IF($A33="","",VLOOKUP($A33,기본데이타!$A$8:$BV$103,COLUMN(기본데이타!AI$8),0))</f>
        <v/>
      </c>
      <c r="AG33" s="169" t="str">
        <f>IF($A33="","",VLOOKUP($A33,기본데이타!$A$8:$BV$103,COLUMN(기본데이타!AJ$8),0))</f>
        <v/>
      </c>
      <c r="AH33" s="364" t="str">
        <f>IF($A33="","",VLOOKUP($A33,기본데이타!$A$8:$BV$103,COLUMN(기본데이타!AK$8),0))</f>
        <v/>
      </c>
      <c r="AI33" s="364" t="str">
        <f>IF($A33="","",VLOOKUP($A33,기본데이타!$A$8:$BV$103,COLUMN(기본데이타!AL$8),0))</f>
        <v/>
      </c>
      <c r="AJ33" s="364" t="str">
        <f>IF($A33="","",VLOOKUP($A33,기본데이타!$A$8:$BV$103,COLUMN(기본데이타!AM$8),0))</f>
        <v/>
      </c>
      <c r="AK33" s="364" t="str">
        <f>IF($A33="","",VLOOKUP($A33,기본데이타!$A$8:$BV$103,COLUMN(기본데이타!AN$8),0))</f>
        <v/>
      </c>
      <c r="AL33" s="364" t="str">
        <f>IF($A33="","",VLOOKUP($A33,기본데이타!$A$8:$BV$103,COLUMN(기본데이타!AO$8),0))</f>
        <v/>
      </c>
      <c r="AM33" s="364" t="str">
        <f>IF($A33="","",VLOOKUP($A33,기본데이타!$A$8:$BV$103,COLUMN(기본데이타!AP$8),0))</f>
        <v/>
      </c>
      <c r="AN33" s="364" t="str">
        <f>IF($A33="","",VLOOKUP($A33,기본데이타!$A$8:$BV$103,COLUMN(기본데이타!AQ$8),0))</f>
        <v/>
      </c>
      <c r="AO33" s="364" t="str">
        <f>IF($A33="","",VLOOKUP($A33,기본데이타!$A$8:$BV$103,COLUMN(기본데이타!AR$8),0))</f>
        <v/>
      </c>
      <c r="AP33" s="1400" t="str">
        <f>IF($A33="","",VLOOKUP($A33,기본데이타!$A$8:$BV$103,COLUMN(기본데이타!AS$8),0))</f>
        <v/>
      </c>
      <c r="AQ33" s="1400" t="str">
        <f>IF($A33="","",VLOOKUP($A33,기본데이타!$A$8:$BV$103,COLUMN(기본데이타!AT$8),0))</f>
        <v/>
      </c>
      <c r="AR33" s="1400" t="str">
        <f>IF($A33="","",VLOOKUP($A33,기본데이타!$A$8:$BV$103,COLUMN(기본데이타!AU$8),0))</f>
        <v/>
      </c>
      <c r="AS33" s="364" t="str">
        <f>IF($A33="","",VLOOKUP($A33,기본데이타!$A$8:$BV$103,COLUMN(기본데이타!AV$8),0))</f>
        <v/>
      </c>
      <c r="AT33" s="358" t="str">
        <f>IF($A33="","",VLOOKUP($A33,기본데이타!$A$8:$BV$103,COLUMN(기본데이타!AW$8),0))</f>
        <v/>
      </c>
      <c r="AU33" s="358" t="str">
        <f>IF($A33="","",VLOOKUP($A33,기본데이타!$A$8:$BV$103,COLUMN(기본데이타!AX$8),0))</f>
        <v/>
      </c>
      <c r="AV33" s="358" t="str">
        <f>IF($A33="","",VLOOKUP($A33,기본데이타!$A$8:$BV$103,COLUMN(기본데이타!AY$8),0))</f>
        <v/>
      </c>
      <c r="AW33" s="358" t="str">
        <f t="shared" ref="AW33:AW43" si="8">IF(AT33="","",SUM(AT33:AV33))</f>
        <v/>
      </c>
      <c r="AX33" s="136" t="str">
        <f>IF($A33="","",VLOOKUP($A33,기본데이타!$A$8:$BV$103,COLUMN(기본데이타!BA$8),0))</f>
        <v/>
      </c>
      <c r="AY33" s="136" t="str">
        <f>IF($A33="","",VLOOKUP($A33,기본데이타!$A$8:$BV$103,COLUMN(기본데이타!BB$8),0))</f>
        <v/>
      </c>
      <c r="AZ33" s="1164" t="str">
        <f>IF($A33="","",VLOOKUP($A33,기본데이타!$A$8:$BV$103,COLUMN(기본데이타!BC$8),0))</f>
        <v/>
      </c>
      <c r="BA33" s="136" t="str">
        <f>IF($A33="","",VLOOKUP($A33,기본데이타!$A$8:$BV$103,COLUMN(기본데이타!BD$8),0))</f>
        <v/>
      </c>
      <c r="BB33" s="136" t="str">
        <f>IF($A33="","",VLOOKUP($A33,기본데이타!$A$8:$BV$103,COLUMN(기본데이타!BE$8),0))</f>
        <v/>
      </c>
      <c r="BC33" s="136" t="str">
        <f>IF($A33="","",VLOOKUP($A33,기본데이타!$A$8:$BV$103,COLUMN(기본데이타!BF$8),0))</f>
        <v/>
      </c>
      <c r="BD33" s="136" t="str">
        <f>IF($A33="","",VLOOKUP($A33,기본데이타!$A$8:$BV$103,COLUMN(기본데이타!BG$8),0))</f>
        <v/>
      </c>
      <c r="BE33" s="136" t="str">
        <f>IF($A33="","",VLOOKUP($A33,기본데이타!$A$8:$BV$103,COLUMN(기본데이타!BH$8),0))</f>
        <v/>
      </c>
      <c r="BF33" s="136" t="str">
        <f>IF($A33="","",VLOOKUP($A33,기본데이타!$A$8:$BV$103,COLUMN(기본데이타!BI$8),0))</f>
        <v/>
      </c>
      <c r="BG33" s="136" t="str">
        <f>IF($A33="","",VLOOKUP($A33,기본데이타!$A$8:$BV$103,COLUMN(기본데이타!BJ$8),0))</f>
        <v/>
      </c>
      <c r="BH33" s="136" t="str">
        <f>IF($A33="","",VLOOKUP($A33,기본데이타!$A$8:$BV$103,COLUMN(기본데이타!BK$8),0))</f>
        <v/>
      </c>
      <c r="BI33" s="136" t="str">
        <f>IF($A33="","",VLOOKUP($A33,기본데이타!$A$8:$BV$103,COLUMN(기본데이타!BL$8),0))</f>
        <v/>
      </c>
      <c r="BJ33" s="136" t="str">
        <f>IF($A33="","",VLOOKUP($A33,기본데이타!$A$8:$BV$103,COLUMN(기본데이타!BM$8),0))</f>
        <v/>
      </c>
      <c r="BK33" s="136" t="str">
        <f>IF($A33="","",VLOOKUP($A33,기본데이타!$A$8:$BV$103,COLUMN(기본데이타!BN$8),0))</f>
        <v/>
      </c>
      <c r="BL33" s="136" t="str">
        <f>IF($A33="","",VLOOKUP($A33,기본데이타!$A$8:$BV$103,COLUMN(기본데이타!BO$8),0))</f>
        <v/>
      </c>
      <c r="BM33" s="136" t="str">
        <f>IF($A33="","",VLOOKUP($A33,기본데이타!$A$8:$BV$103,COLUMN(기본데이타!BP$8),0))</f>
        <v/>
      </c>
      <c r="BN33" s="136" t="str">
        <f>IF($A33="","",VLOOKUP($A33,기본데이타!$A$8:$BV$103,COLUMN(기본데이타!BQ$8),0))</f>
        <v/>
      </c>
      <c r="BO33" s="136" t="str">
        <f>IF($A33="","",VLOOKUP($A33,기본데이타!$A$8:$BV$103,COLUMN(기본데이타!BR$8),0))</f>
        <v/>
      </c>
      <c r="BP33" s="136" t="str">
        <f>IF($A33="","",VLOOKUP($A33,기본데이타!$A$8:$BV$103,COLUMN(기본데이타!BS$8),0))</f>
        <v/>
      </c>
      <c r="BQ33" s="136" t="str">
        <f>IF($A33="","",VLOOKUP($A33,기본데이타!$A$8:$BV$103,COLUMN(기본데이타!BT$8),0))</f>
        <v/>
      </c>
      <c r="BR33" s="136" t="str">
        <f>IF($A33="","",VLOOKUP($A33,기본데이타!$A$8:$BV$103,COLUMN(기본데이타!BU$8),0))</f>
        <v/>
      </c>
      <c r="BS33" s="136" t="str">
        <f>IF($A33="","",VLOOKUP($A33,기본데이타!$A$8:$BV$103,COLUMN(기본데이타!BV$8),0))</f>
        <v/>
      </c>
      <c r="BT33" s="801">
        <f t="shared" ref="BT33:BT43" si="9">A33</f>
        <v>0</v>
      </c>
      <c r="BU33" s="241"/>
    </row>
    <row r="34" spans="1:73" s="7" customFormat="1" ht="73.5" customHeight="1">
      <c r="A34" s="170"/>
      <c r="B34" s="163"/>
      <c r="C34" s="164" t="str">
        <f>IF($A34="","",VLOOKUP($A34,기본데이타!$A$8:$BV$103,COLUMN(기본데이타!F$8),0))</f>
        <v/>
      </c>
      <c r="D34" s="165" t="str">
        <f>IF($A34="","",VLOOKUP($A34,기본데이타!$A$8:$BV$103,COLUMN(기본데이타!G$8),0))</f>
        <v/>
      </c>
      <c r="E34" s="166" t="str">
        <f>IF($A34="","",VLOOKUP($A34,기본데이타!$A$8:$BV$103,COLUMN(기본데이타!H$8),0))</f>
        <v/>
      </c>
      <c r="F34" s="166" t="str">
        <f>IF($A34="","",VLOOKUP($A34,기본데이타!$A$8:$BV$103,COLUMN(기본데이타!I$8),0))</f>
        <v/>
      </c>
      <c r="G34" s="166" t="str">
        <f>IF($A34="","",VLOOKUP($A34,기본데이타!$A$8:$BV$103,COLUMN(기본데이타!J$8),0))</f>
        <v/>
      </c>
      <c r="H34" s="167" t="str">
        <f>IF($A34="","",VLOOKUP($A34,기본데이타!$A$8:$BV$103,COLUMN(기본데이타!K$8),0))</f>
        <v/>
      </c>
      <c r="I34" s="167" t="str">
        <f>IF($A34="","",VLOOKUP($A34,기본데이타!$A$8:$BV$103,COLUMN(기본데이타!L$8),0))</f>
        <v/>
      </c>
      <c r="J34" s="167" t="str">
        <f>IF($A34="","",VLOOKUP($A34,기본데이타!$A$8:$BV$103,COLUMN(기본데이타!M$8),0))</f>
        <v/>
      </c>
      <c r="K34" s="168" t="str">
        <f>IF($A34="","",VLOOKUP($A34,기본데이타!$A$8:$BV$103,COLUMN(기본데이타!N$8),0))</f>
        <v/>
      </c>
      <c r="L34" s="167" t="str">
        <f>IF($A34="","",VLOOKUP($A34,기본데이타!$A$8:$BV$103,COLUMN(기본데이타!O$8),0))</f>
        <v/>
      </c>
      <c r="M34" s="168" t="str">
        <f>IF($A34="","",VLOOKUP($A34,기본데이타!$A$8:$BV$103,COLUMN(기본데이타!P$8),0))</f>
        <v/>
      </c>
      <c r="N34" s="168" t="str">
        <f>IF($A34="","",VLOOKUP($A34,기본데이타!$A$8:$BV$103,COLUMN(기본데이타!Q$8),0))</f>
        <v/>
      </c>
      <c r="O34" s="168" t="str">
        <f>IF($A34="","",VLOOKUP($A34,기본데이타!$A$8:$BV$103,COLUMN(기본데이타!R$8),0))</f>
        <v/>
      </c>
      <c r="P34" s="168" t="str">
        <f>IF($A34="","",VLOOKUP($A34,기본데이타!$A$8:$BV$103,COLUMN(기본데이타!S$8),0))</f>
        <v/>
      </c>
      <c r="Q34" s="168" t="str">
        <f>IF($A34="","",VLOOKUP($A34,기본데이타!$A$8:$BV$103,COLUMN(기본데이타!T$8),0))</f>
        <v/>
      </c>
      <c r="R34" s="168" t="str">
        <f>IF($A34="","",VLOOKUP($A34,기본데이타!$A$8:$BV$103,COLUMN(기본데이타!U$8),0))</f>
        <v/>
      </c>
      <c r="S34" s="168" t="str">
        <f>IF($A34="","",VLOOKUP($A34,기본데이타!$A$8:$BV$103,COLUMN(기본데이타!V$8),0))</f>
        <v/>
      </c>
      <c r="T34" s="168" t="str">
        <f>IF($A34="","",VLOOKUP($A34,기본데이타!$A$8:$BV$103,COLUMN(기본데이타!W$8),0))</f>
        <v/>
      </c>
      <c r="U34" s="168" t="str">
        <f>IF($A34="","",VLOOKUP($A34,기본데이타!$A$8:$BV$103,COLUMN(기본데이타!X$8),0))</f>
        <v/>
      </c>
      <c r="V34" s="168" t="str">
        <f>IF($A34="","",VLOOKUP($A34,기본데이타!$A$8:$BV$103,COLUMN(기본데이타!Y$8),0))</f>
        <v/>
      </c>
      <c r="W34" s="168" t="str">
        <f>IF($A34="","",VLOOKUP($A34,기본데이타!$A$8:$BV$103,COLUMN(기본데이타!Z$8),0))</f>
        <v/>
      </c>
      <c r="X34" s="168" t="str">
        <f>IF($A34="","",VLOOKUP($A34,기본데이타!$A$8:$BV$103,COLUMN(기본데이타!AA$8),0))</f>
        <v/>
      </c>
      <c r="Y34" s="168" t="str">
        <f>IF($A34="","",VLOOKUP($A34,기본데이타!$A$8:$BV$103,COLUMN(기본데이타!AB$8),0))</f>
        <v/>
      </c>
      <c r="Z34" s="167" t="str">
        <f>IF($A34="","",VLOOKUP($A34,기본데이타!$A$8:$BV$103,COLUMN(기본데이타!AC$8),0))</f>
        <v/>
      </c>
      <c r="AA34" s="168" t="str">
        <f>IF($A34="","",VLOOKUP($A34,기본데이타!$A$8:$BV$103,COLUMN(기본데이타!AD$8),0))</f>
        <v/>
      </c>
      <c r="AB34" s="167" t="str">
        <f>IF($A34="","",VLOOKUP($A34,기본데이타!$A$8:$BV$103,COLUMN(기본데이타!AE$8),0))</f>
        <v/>
      </c>
      <c r="AC34" s="168" t="str">
        <f>IF($A34="","",VLOOKUP($A34,기본데이타!$A$8:$BV$103,COLUMN(기본데이타!AF$8),0))</f>
        <v/>
      </c>
      <c r="AD34" s="167" t="str">
        <f>IF($A34="","",VLOOKUP($A34,기본데이타!$A$8:$BV$103,COLUMN(기본데이타!AG$8),0))</f>
        <v/>
      </c>
      <c r="AE34" s="168" t="str">
        <f>IF($A34="","",VLOOKUP($A34,기본데이타!$A$8:$BV$103,COLUMN(기본데이타!AH$8),0))</f>
        <v/>
      </c>
      <c r="AF34" s="167" t="str">
        <f>IF($A34="","",VLOOKUP($A34,기본데이타!$A$8:$BV$103,COLUMN(기본데이타!AI$8),0))</f>
        <v/>
      </c>
      <c r="AG34" s="169" t="str">
        <f>IF($A34="","",VLOOKUP($A34,기본데이타!$A$8:$BV$103,COLUMN(기본데이타!AJ$8),0))</f>
        <v/>
      </c>
      <c r="AH34" s="364" t="str">
        <f>IF($A34="","",VLOOKUP($A34,기본데이타!$A$8:$BV$103,COLUMN(기본데이타!AK$8),0))</f>
        <v/>
      </c>
      <c r="AI34" s="364" t="str">
        <f>IF($A34="","",VLOOKUP($A34,기본데이타!$A$8:$BV$103,COLUMN(기본데이타!AL$8),0))</f>
        <v/>
      </c>
      <c r="AJ34" s="364" t="str">
        <f>IF($A34="","",VLOOKUP($A34,기본데이타!$A$8:$BV$103,COLUMN(기본데이타!AM$8),0))</f>
        <v/>
      </c>
      <c r="AK34" s="364" t="str">
        <f>IF($A34="","",VLOOKUP($A34,기본데이타!$A$8:$BV$103,COLUMN(기본데이타!AN$8),0))</f>
        <v/>
      </c>
      <c r="AL34" s="364" t="str">
        <f>IF($A34="","",VLOOKUP($A34,기본데이타!$A$8:$BV$103,COLUMN(기본데이타!AO$8),0))</f>
        <v/>
      </c>
      <c r="AM34" s="364" t="str">
        <f>IF($A34="","",VLOOKUP($A34,기본데이타!$A$8:$BV$103,COLUMN(기본데이타!AP$8),0))</f>
        <v/>
      </c>
      <c r="AN34" s="364" t="str">
        <f>IF($A34="","",VLOOKUP($A34,기본데이타!$A$8:$BV$103,COLUMN(기본데이타!AQ$8),0))</f>
        <v/>
      </c>
      <c r="AO34" s="364" t="str">
        <f>IF($A34="","",VLOOKUP($A34,기본데이타!$A$8:$BV$103,COLUMN(기본데이타!AR$8),0))</f>
        <v/>
      </c>
      <c r="AP34" s="364" t="str">
        <f>IF($A34="","",VLOOKUP($A34,기본데이타!$A$8:$BV$103,COLUMN(기본데이타!AS$8),0))</f>
        <v/>
      </c>
      <c r="AQ34" s="364" t="str">
        <f>IF($A34="","",VLOOKUP($A34,기본데이타!$A$8:$BV$103,COLUMN(기본데이타!AT$8),0))</f>
        <v/>
      </c>
      <c r="AR34" s="364" t="str">
        <f>IF($A34="","",VLOOKUP($A34,기본데이타!$A$8:$BV$103,COLUMN(기본데이타!AU$8),0))</f>
        <v/>
      </c>
      <c r="AS34" s="364" t="str">
        <f>IF($A34="","",VLOOKUP($A34,기본데이타!$A$8:$BV$103,COLUMN(기본데이타!AV$8),0))</f>
        <v/>
      </c>
      <c r="AT34" s="358" t="str">
        <f>IF($A34="","",VLOOKUP($A34,기본데이타!$A$8:$BV$103,COLUMN(기본데이타!AW$8),0))</f>
        <v/>
      </c>
      <c r="AU34" s="358" t="str">
        <f>IF($A34="","",VLOOKUP($A34,기본데이타!$A$8:$BV$103,COLUMN(기본데이타!AX$8),0))</f>
        <v/>
      </c>
      <c r="AV34" s="358" t="str">
        <f>IF($A34="","",VLOOKUP($A34,기본데이타!$A$8:$BV$103,COLUMN(기본데이타!AY$8),0))</f>
        <v/>
      </c>
      <c r="AW34" s="358" t="str">
        <f t="shared" si="8"/>
        <v/>
      </c>
      <c r="AX34" s="136" t="str">
        <f>IF($A34="","",VLOOKUP($A34,기본데이타!$A$8:$BV$103,COLUMN(기본데이타!BA$8),0))</f>
        <v/>
      </c>
      <c r="AY34" s="136" t="str">
        <f>IF($A34="","",VLOOKUP($A34,기본데이타!$A$8:$BV$103,COLUMN(기본데이타!BB$8),0))</f>
        <v/>
      </c>
      <c r="AZ34" s="1164" t="str">
        <f>IF($A34="","",VLOOKUP($A34,기본데이타!$A$8:$BV$103,COLUMN(기본데이타!BC$8),0))</f>
        <v/>
      </c>
      <c r="BA34" s="136" t="str">
        <f>IF($A34="","",VLOOKUP($A34,기본데이타!$A$8:$BV$103,COLUMN(기본데이타!BD$8),0))</f>
        <v/>
      </c>
      <c r="BB34" s="136" t="str">
        <f>IF($A34="","",VLOOKUP($A34,기본데이타!$A$8:$BV$103,COLUMN(기본데이타!BE$8),0))</f>
        <v/>
      </c>
      <c r="BC34" s="136" t="str">
        <f>IF($A34="","",VLOOKUP($A34,기본데이타!$A$8:$BV$103,COLUMN(기본데이타!BF$8),0))</f>
        <v/>
      </c>
      <c r="BD34" s="136" t="str">
        <f>IF($A34="","",VLOOKUP($A34,기본데이타!$A$8:$BV$103,COLUMN(기본데이타!BG$8),0))</f>
        <v/>
      </c>
      <c r="BE34" s="136" t="str">
        <f>IF($A34="","",VLOOKUP($A34,기본데이타!$A$8:$BV$103,COLUMN(기본데이타!BH$8),0))</f>
        <v/>
      </c>
      <c r="BF34" s="136" t="str">
        <f>IF($A34="","",VLOOKUP($A34,기본데이타!$A$8:$BV$103,COLUMN(기본데이타!BI$8),0))</f>
        <v/>
      </c>
      <c r="BG34" s="136" t="str">
        <f>IF($A34="","",VLOOKUP($A34,기본데이타!$A$8:$BV$103,COLUMN(기본데이타!BJ$8),0))</f>
        <v/>
      </c>
      <c r="BH34" s="136" t="str">
        <f>IF($A34="","",VLOOKUP($A34,기본데이타!$A$8:$BV$103,COLUMN(기본데이타!BK$8),0))</f>
        <v/>
      </c>
      <c r="BI34" s="136" t="str">
        <f>IF($A34="","",VLOOKUP($A34,기본데이타!$A$8:$BV$103,COLUMN(기본데이타!BL$8),0))</f>
        <v/>
      </c>
      <c r="BJ34" s="136" t="str">
        <f>IF($A34="","",VLOOKUP($A34,기본데이타!$A$8:$BV$103,COLUMN(기본데이타!BM$8),0))</f>
        <v/>
      </c>
      <c r="BK34" s="136" t="str">
        <f>IF($A34="","",VLOOKUP($A34,기본데이타!$A$8:$BV$103,COLUMN(기본데이타!BN$8),0))</f>
        <v/>
      </c>
      <c r="BL34" s="136" t="str">
        <f>IF($A34="","",VLOOKUP($A34,기본데이타!$A$8:$BV$103,COLUMN(기본데이타!BO$8),0))</f>
        <v/>
      </c>
      <c r="BM34" s="136" t="str">
        <f>IF($A34="","",VLOOKUP($A34,기본데이타!$A$8:$BV$103,COLUMN(기본데이타!BP$8),0))</f>
        <v/>
      </c>
      <c r="BN34" s="136" t="str">
        <f>IF($A34="","",VLOOKUP($A34,기본데이타!$A$8:$BV$103,COLUMN(기본데이타!BQ$8),0))</f>
        <v/>
      </c>
      <c r="BO34" s="136" t="str">
        <f>IF($A34="","",VLOOKUP($A34,기본데이타!$A$8:$BV$103,COLUMN(기본데이타!BR$8),0))</f>
        <v/>
      </c>
      <c r="BP34" s="136" t="str">
        <f>IF($A34="","",VLOOKUP($A34,기본데이타!$A$8:$BV$103,COLUMN(기본데이타!BS$8),0))</f>
        <v/>
      </c>
      <c r="BQ34" s="136" t="str">
        <f>IF($A34="","",VLOOKUP($A34,기본데이타!$A$8:$BV$103,COLUMN(기본데이타!BT$8),0))</f>
        <v/>
      </c>
      <c r="BR34" s="136" t="str">
        <f>IF($A34="","",VLOOKUP($A34,기본데이타!$A$8:$BV$103,COLUMN(기본데이타!BU$8),0))</f>
        <v/>
      </c>
      <c r="BS34" s="136" t="str">
        <f>IF($A34="","",VLOOKUP($A34,기본데이타!$A$8:$BV$103,COLUMN(기본데이타!BV$8),0))</f>
        <v/>
      </c>
      <c r="BT34" s="801">
        <f t="shared" si="9"/>
        <v>0</v>
      </c>
      <c r="BU34" s="241"/>
    </row>
    <row r="35" spans="1:73" s="7" customFormat="1" ht="73.5" customHeight="1">
      <c r="A35" s="170"/>
      <c r="B35" s="163"/>
      <c r="C35" s="164" t="str">
        <f>IF($A35="","",VLOOKUP($A35,기본데이타!$A$8:$BV$103,COLUMN(기본데이타!F$8),0))</f>
        <v/>
      </c>
      <c r="D35" s="165" t="str">
        <f>IF($A35="","",VLOOKUP($A35,기본데이타!$A$8:$BV$103,COLUMN(기본데이타!G$8),0))</f>
        <v/>
      </c>
      <c r="E35" s="166" t="str">
        <f>IF($A35="","",VLOOKUP($A35,기본데이타!$A$8:$BV$103,COLUMN(기본데이타!H$8),0))</f>
        <v/>
      </c>
      <c r="F35" s="166" t="str">
        <f>IF($A35="","",VLOOKUP($A35,기본데이타!$A$8:$BV$103,COLUMN(기본데이타!I$8),0))</f>
        <v/>
      </c>
      <c r="G35" s="166" t="str">
        <f>IF($A35="","",VLOOKUP($A35,기본데이타!$A$8:$BV$103,COLUMN(기본데이타!J$8),0))</f>
        <v/>
      </c>
      <c r="H35" s="167" t="str">
        <f>IF($A35="","",VLOOKUP($A35,기본데이타!$A$8:$BV$103,COLUMN(기본데이타!K$8),0))</f>
        <v/>
      </c>
      <c r="I35" s="167" t="str">
        <f>IF($A35="","",VLOOKUP($A35,기본데이타!$A$8:$BV$103,COLUMN(기본데이타!L$8),0))</f>
        <v/>
      </c>
      <c r="J35" s="167" t="str">
        <f>IF($A35="","",VLOOKUP($A35,기본데이타!$A$8:$BV$103,COLUMN(기본데이타!M$8),0))</f>
        <v/>
      </c>
      <c r="K35" s="168" t="str">
        <f>IF($A35="","",VLOOKUP($A35,기본데이타!$A$8:$BV$103,COLUMN(기본데이타!N$8),0))</f>
        <v/>
      </c>
      <c r="L35" s="167" t="str">
        <f>IF($A35="","",VLOOKUP($A35,기본데이타!$A$8:$BV$103,COLUMN(기본데이타!O$8),0))</f>
        <v/>
      </c>
      <c r="M35" s="168" t="str">
        <f>IF($A35="","",VLOOKUP($A35,기본데이타!$A$8:$BV$103,COLUMN(기본데이타!P$8),0))</f>
        <v/>
      </c>
      <c r="N35" s="168" t="str">
        <f>IF($A35="","",VLOOKUP($A35,기본데이타!$A$8:$BV$103,COLUMN(기본데이타!Q$8),0))</f>
        <v/>
      </c>
      <c r="O35" s="168" t="str">
        <f>IF($A35="","",VLOOKUP($A35,기본데이타!$A$8:$BV$103,COLUMN(기본데이타!R$8),0))</f>
        <v/>
      </c>
      <c r="P35" s="168" t="str">
        <f>IF($A35="","",VLOOKUP($A35,기본데이타!$A$8:$BV$103,COLUMN(기본데이타!S$8),0))</f>
        <v/>
      </c>
      <c r="Q35" s="168" t="str">
        <f>IF($A35="","",VLOOKUP($A35,기본데이타!$A$8:$BV$103,COLUMN(기본데이타!T$8),0))</f>
        <v/>
      </c>
      <c r="R35" s="168" t="str">
        <f>IF($A35="","",VLOOKUP($A35,기본데이타!$A$8:$BV$103,COLUMN(기본데이타!U$8),0))</f>
        <v/>
      </c>
      <c r="S35" s="168" t="str">
        <f>IF($A35="","",VLOOKUP($A35,기본데이타!$A$8:$BV$103,COLUMN(기본데이타!V$8),0))</f>
        <v/>
      </c>
      <c r="T35" s="168" t="str">
        <f>IF($A35="","",VLOOKUP($A35,기본데이타!$A$8:$BV$103,COLUMN(기본데이타!W$8),0))</f>
        <v/>
      </c>
      <c r="U35" s="168" t="str">
        <f>IF($A35="","",VLOOKUP($A35,기본데이타!$A$8:$BV$103,COLUMN(기본데이타!X$8),0))</f>
        <v/>
      </c>
      <c r="V35" s="168" t="str">
        <f>IF($A35="","",VLOOKUP($A35,기본데이타!$A$8:$BV$103,COLUMN(기본데이타!Y$8),0))</f>
        <v/>
      </c>
      <c r="W35" s="168" t="str">
        <f>IF($A35="","",VLOOKUP($A35,기본데이타!$A$8:$BV$103,COLUMN(기본데이타!Z$8),0))</f>
        <v/>
      </c>
      <c r="X35" s="168" t="str">
        <f>IF($A35="","",VLOOKUP($A35,기본데이타!$A$8:$BV$103,COLUMN(기본데이타!AA$8),0))</f>
        <v/>
      </c>
      <c r="Y35" s="168" t="str">
        <f>IF($A35="","",VLOOKUP($A35,기본데이타!$A$8:$BV$103,COLUMN(기본데이타!AB$8),0))</f>
        <v/>
      </c>
      <c r="Z35" s="167" t="str">
        <f>IF($A35="","",VLOOKUP($A35,기본데이타!$A$8:$BV$103,COLUMN(기본데이타!AC$8),0))</f>
        <v/>
      </c>
      <c r="AA35" s="168" t="str">
        <f>IF($A35="","",VLOOKUP($A35,기본데이타!$A$8:$BV$103,COLUMN(기본데이타!AD$8),0))</f>
        <v/>
      </c>
      <c r="AB35" s="167" t="str">
        <f>IF($A35="","",VLOOKUP($A35,기본데이타!$A$8:$BV$103,COLUMN(기본데이타!AE$8),0))</f>
        <v/>
      </c>
      <c r="AC35" s="168" t="str">
        <f>IF($A35="","",VLOOKUP($A35,기본데이타!$A$8:$BV$103,COLUMN(기본데이타!AF$8),0))</f>
        <v/>
      </c>
      <c r="AD35" s="167" t="str">
        <f>IF($A35="","",VLOOKUP($A35,기본데이타!$A$8:$BV$103,COLUMN(기본데이타!AG$8),0))</f>
        <v/>
      </c>
      <c r="AE35" s="168" t="str">
        <f>IF($A35="","",VLOOKUP($A35,기본데이타!$A$8:$BV$103,COLUMN(기본데이타!AH$8),0))</f>
        <v/>
      </c>
      <c r="AF35" s="167" t="str">
        <f>IF($A35="","",VLOOKUP($A35,기본데이타!$A$8:$BV$103,COLUMN(기본데이타!AI$8),0))</f>
        <v/>
      </c>
      <c r="AG35" s="169" t="str">
        <f>IF($A35="","",VLOOKUP($A35,기본데이타!$A$8:$BV$103,COLUMN(기본데이타!AJ$8),0))</f>
        <v/>
      </c>
      <c r="AH35" s="364" t="str">
        <f>IF($A35="","",VLOOKUP($A35,기본데이타!$A$8:$BV$103,COLUMN(기본데이타!AK$8),0))</f>
        <v/>
      </c>
      <c r="AI35" s="364" t="str">
        <f>IF($A35="","",VLOOKUP($A35,기본데이타!$A$8:$BV$103,COLUMN(기본데이타!AL$8),0))</f>
        <v/>
      </c>
      <c r="AJ35" s="364" t="str">
        <f>IF($A35="","",VLOOKUP($A35,기본데이타!$A$8:$BV$103,COLUMN(기본데이타!AM$8),0))</f>
        <v/>
      </c>
      <c r="AK35" s="364" t="str">
        <f>IF($A35="","",VLOOKUP($A35,기본데이타!$A$8:$BV$103,COLUMN(기본데이타!AN$8),0))</f>
        <v/>
      </c>
      <c r="AL35" s="364" t="str">
        <f>IF($A35="","",VLOOKUP($A35,기본데이타!$A$8:$BV$103,COLUMN(기본데이타!AO$8),0))</f>
        <v/>
      </c>
      <c r="AM35" s="364" t="str">
        <f>IF($A35="","",VLOOKUP($A35,기본데이타!$A$8:$BV$103,COLUMN(기본데이타!AP$8),0))</f>
        <v/>
      </c>
      <c r="AN35" s="364" t="str">
        <f>IF($A35="","",VLOOKUP($A35,기본데이타!$A$8:$BV$103,COLUMN(기본데이타!AQ$8),0))</f>
        <v/>
      </c>
      <c r="AO35" s="364" t="str">
        <f>IF($A35="","",VLOOKUP($A35,기본데이타!$A$8:$BV$103,COLUMN(기본데이타!AR$8),0))</f>
        <v/>
      </c>
      <c r="AP35" s="364" t="str">
        <f>IF($A35="","",VLOOKUP($A35,기본데이타!$A$8:$BV$103,COLUMN(기본데이타!AS$8),0))</f>
        <v/>
      </c>
      <c r="AQ35" s="364" t="str">
        <f>IF($A35="","",VLOOKUP($A35,기본데이타!$A$8:$BV$103,COLUMN(기본데이타!AT$8),0))</f>
        <v/>
      </c>
      <c r="AR35" s="364" t="str">
        <f>IF($A35="","",VLOOKUP($A35,기본데이타!$A$8:$BV$103,COLUMN(기본데이타!AU$8),0))</f>
        <v/>
      </c>
      <c r="AS35" s="364" t="str">
        <f>IF($A35="","",VLOOKUP($A35,기본데이타!$A$8:$BV$103,COLUMN(기본데이타!AV$8),0))</f>
        <v/>
      </c>
      <c r="AT35" s="358" t="str">
        <f>IF($A35="","",VLOOKUP($A35,기본데이타!$A$8:$BV$103,COLUMN(기본데이타!AW$8),0))</f>
        <v/>
      </c>
      <c r="AU35" s="358" t="str">
        <f>IF($A35="","",VLOOKUP($A35,기본데이타!$A$8:$BV$103,COLUMN(기본데이타!AX$8),0))</f>
        <v/>
      </c>
      <c r="AV35" s="358" t="str">
        <f>IF($A35="","",VLOOKUP($A35,기본데이타!$A$8:$BV$103,COLUMN(기본데이타!AY$8),0))</f>
        <v/>
      </c>
      <c r="AW35" s="358" t="str">
        <f t="shared" si="8"/>
        <v/>
      </c>
      <c r="AX35" s="136" t="str">
        <f>IF($A35="","",VLOOKUP($A35,기본데이타!$A$8:$BV$103,COLUMN(기본데이타!BA$8),0))</f>
        <v/>
      </c>
      <c r="AY35" s="136" t="str">
        <f>IF($A35="","",VLOOKUP($A35,기본데이타!$A$8:$BV$103,COLUMN(기본데이타!BB$8),0))</f>
        <v/>
      </c>
      <c r="AZ35" s="1164" t="str">
        <f>IF($A35="","",VLOOKUP($A35,기본데이타!$A$8:$BV$103,COLUMN(기본데이타!BC$8),0))</f>
        <v/>
      </c>
      <c r="BA35" s="136" t="str">
        <f>IF($A35="","",VLOOKUP($A35,기본데이타!$A$8:$BV$103,COLUMN(기본데이타!BD$8),0))</f>
        <v/>
      </c>
      <c r="BB35" s="136" t="str">
        <f>IF($A35="","",VLOOKUP($A35,기본데이타!$A$8:$BV$103,COLUMN(기본데이타!BE$8),0))</f>
        <v/>
      </c>
      <c r="BC35" s="136" t="str">
        <f>IF($A35="","",VLOOKUP($A35,기본데이타!$A$8:$BV$103,COLUMN(기본데이타!BF$8),0))</f>
        <v/>
      </c>
      <c r="BD35" s="136" t="str">
        <f>IF($A35="","",VLOOKUP($A35,기본데이타!$A$8:$BV$103,COLUMN(기본데이타!BG$8),0))</f>
        <v/>
      </c>
      <c r="BE35" s="136" t="str">
        <f>IF($A35="","",VLOOKUP($A35,기본데이타!$A$8:$BV$103,COLUMN(기본데이타!BH$8),0))</f>
        <v/>
      </c>
      <c r="BF35" s="136" t="str">
        <f>IF($A35="","",VLOOKUP($A35,기본데이타!$A$8:$BV$103,COLUMN(기본데이타!BI$8),0))</f>
        <v/>
      </c>
      <c r="BG35" s="136" t="str">
        <f>IF($A35="","",VLOOKUP($A35,기본데이타!$A$8:$BV$103,COLUMN(기본데이타!BJ$8),0))</f>
        <v/>
      </c>
      <c r="BH35" s="136" t="str">
        <f>IF($A35="","",VLOOKUP($A35,기본데이타!$A$8:$BV$103,COLUMN(기본데이타!BK$8),0))</f>
        <v/>
      </c>
      <c r="BI35" s="136" t="str">
        <f>IF($A35="","",VLOOKUP($A35,기본데이타!$A$8:$BV$103,COLUMN(기본데이타!BL$8),0))</f>
        <v/>
      </c>
      <c r="BJ35" s="136" t="str">
        <f>IF($A35="","",VLOOKUP($A35,기본데이타!$A$8:$BV$103,COLUMN(기본데이타!BM$8),0))</f>
        <v/>
      </c>
      <c r="BK35" s="136" t="str">
        <f>IF($A35="","",VLOOKUP($A35,기본데이타!$A$8:$BV$103,COLUMN(기본데이타!BN$8),0))</f>
        <v/>
      </c>
      <c r="BL35" s="136" t="str">
        <f>IF($A35="","",VLOOKUP($A35,기본데이타!$A$8:$BV$103,COLUMN(기본데이타!BO$8),0))</f>
        <v/>
      </c>
      <c r="BM35" s="136" t="str">
        <f>IF($A35="","",VLOOKUP($A35,기본데이타!$A$8:$BV$103,COLUMN(기본데이타!BP$8),0))</f>
        <v/>
      </c>
      <c r="BN35" s="136" t="str">
        <f>IF($A35="","",VLOOKUP($A35,기본데이타!$A$8:$BV$103,COLUMN(기본데이타!BQ$8),0))</f>
        <v/>
      </c>
      <c r="BO35" s="136" t="str">
        <f>IF($A35="","",VLOOKUP($A35,기본데이타!$A$8:$BV$103,COLUMN(기본데이타!BR$8),0))</f>
        <v/>
      </c>
      <c r="BP35" s="136" t="str">
        <f>IF($A35="","",VLOOKUP($A35,기본데이타!$A$8:$BV$103,COLUMN(기본데이타!BS$8),0))</f>
        <v/>
      </c>
      <c r="BQ35" s="136" t="str">
        <f>IF($A35="","",VLOOKUP($A35,기본데이타!$A$8:$BV$103,COLUMN(기본데이타!BT$8),0))</f>
        <v/>
      </c>
      <c r="BR35" s="136" t="str">
        <f>IF($A35="","",VLOOKUP($A35,기본데이타!$A$8:$BV$103,COLUMN(기본데이타!BU$8),0))</f>
        <v/>
      </c>
      <c r="BS35" s="136" t="str">
        <f>IF($A35="","",VLOOKUP($A35,기본데이타!$A$8:$BV$103,COLUMN(기본데이타!BV$8),0))</f>
        <v/>
      </c>
      <c r="BT35" s="801">
        <f t="shared" si="9"/>
        <v>0</v>
      </c>
      <c r="BU35" s="241"/>
    </row>
    <row r="36" spans="1:73" s="7" customFormat="1" ht="73.5" customHeight="1">
      <c r="A36" s="170"/>
      <c r="B36" s="163"/>
      <c r="C36" s="164" t="str">
        <f>IF($A36="","",VLOOKUP($A36,기본데이타!$A$8:$BV$103,COLUMN(기본데이타!F$8),0))</f>
        <v/>
      </c>
      <c r="D36" s="165" t="str">
        <f>IF($A36="","",VLOOKUP($A36,기본데이타!$A$8:$BV$103,COLUMN(기본데이타!G$8),0))</f>
        <v/>
      </c>
      <c r="E36" s="166" t="str">
        <f>IF($A36="","",VLOOKUP($A36,기본데이타!$A$8:$BV$103,COLUMN(기본데이타!H$8),0))</f>
        <v/>
      </c>
      <c r="F36" s="166" t="str">
        <f>IF($A36="","",VLOOKUP($A36,기본데이타!$A$8:$BV$103,COLUMN(기본데이타!I$8),0))</f>
        <v/>
      </c>
      <c r="G36" s="166" t="str">
        <f>IF($A36="","",VLOOKUP($A36,기본데이타!$A$8:$BV$103,COLUMN(기본데이타!J$8),0))</f>
        <v/>
      </c>
      <c r="H36" s="167" t="str">
        <f>IF($A36="","",VLOOKUP($A36,기본데이타!$A$8:$BV$103,COLUMN(기본데이타!K$8),0))</f>
        <v/>
      </c>
      <c r="I36" s="167" t="str">
        <f>IF($A36="","",VLOOKUP($A36,기본데이타!$A$8:$BV$103,COLUMN(기본데이타!L$8),0))</f>
        <v/>
      </c>
      <c r="J36" s="167" t="str">
        <f>IF($A36="","",VLOOKUP($A36,기본데이타!$A$8:$BV$103,COLUMN(기본데이타!M$8),0))</f>
        <v/>
      </c>
      <c r="K36" s="168" t="str">
        <f>IF($A36="","",VLOOKUP($A36,기본데이타!$A$8:$BV$103,COLUMN(기본데이타!N$8),0))</f>
        <v/>
      </c>
      <c r="L36" s="167" t="str">
        <f>IF($A36="","",VLOOKUP($A36,기본데이타!$A$8:$BV$103,COLUMN(기본데이타!O$8),0))</f>
        <v/>
      </c>
      <c r="M36" s="168" t="str">
        <f>IF($A36="","",VLOOKUP($A36,기본데이타!$A$8:$BV$103,COLUMN(기본데이타!P$8),0))</f>
        <v/>
      </c>
      <c r="N36" s="168" t="str">
        <f>IF($A36="","",VLOOKUP($A36,기본데이타!$A$8:$BV$103,COLUMN(기본데이타!Q$8),0))</f>
        <v/>
      </c>
      <c r="O36" s="168" t="str">
        <f>IF($A36="","",VLOOKUP($A36,기본데이타!$A$8:$BV$103,COLUMN(기본데이타!R$8),0))</f>
        <v/>
      </c>
      <c r="P36" s="168" t="str">
        <f>IF($A36="","",VLOOKUP($A36,기본데이타!$A$8:$BV$103,COLUMN(기본데이타!S$8),0))</f>
        <v/>
      </c>
      <c r="Q36" s="168" t="str">
        <f>IF($A36="","",VLOOKUP($A36,기본데이타!$A$8:$BV$103,COLUMN(기본데이타!T$8),0))</f>
        <v/>
      </c>
      <c r="R36" s="168" t="str">
        <f>IF($A36="","",VLOOKUP($A36,기본데이타!$A$8:$BV$103,COLUMN(기본데이타!U$8),0))</f>
        <v/>
      </c>
      <c r="S36" s="168" t="str">
        <f>IF($A36="","",VLOOKUP($A36,기본데이타!$A$8:$BV$103,COLUMN(기본데이타!V$8),0))</f>
        <v/>
      </c>
      <c r="T36" s="168" t="str">
        <f>IF($A36="","",VLOOKUP($A36,기본데이타!$A$8:$BV$103,COLUMN(기본데이타!W$8),0))</f>
        <v/>
      </c>
      <c r="U36" s="168" t="str">
        <f>IF($A36="","",VLOOKUP($A36,기본데이타!$A$8:$BV$103,COLUMN(기본데이타!X$8),0))</f>
        <v/>
      </c>
      <c r="V36" s="168" t="str">
        <f>IF($A36="","",VLOOKUP($A36,기본데이타!$A$8:$BV$103,COLUMN(기본데이타!Y$8),0))</f>
        <v/>
      </c>
      <c r="W36" s="168" t="str">
        <f>IF($A36="","",VLOOKUP($A36,기본데이타!$A$8:$BV$103,COLUMN(기본데이타!Z$8),0))</f>
        <v/>
      </c>
      <c r="X36" s="168" t="str">
        <f>IF($A36="","",VLOOKUP($A36,기본데이타!$A$8:$BV$103,COLUMN(기본데이타!AA$8),0))</f>
        <v/>
      </c>
      <c r="Y36" s="168" t="str">
        <f>IF($A36="","",VLOOKUP($A36,기본데이타!$A$8:$BV$103,COLUMN(기본데이타!AB$8),0))</f>
        <v/>
      </c>
      <c r="Z36" s="167" t="str">
        <f>IF($A36="","",VLOOKUP($A36,기본데이타!$A$8:$BV$103,COLUMN(기본데이타!AC$8),0))</f>
        <v/>
      </c>
      <c r="AA36" s="168" t="str">
        <f>IF($A36="","",VLOOKUP($A36,기본데이타!$A$8:$BV$103,COLUMN(기본데이타!AD$8),0))</f>
        <v/>
      </c>
      <c r="AB36" s="167" t="str">
        <f>IF($A36="","",VLOOKUP($A36,기본데이타!$A$8:$BV$103,COLUMN(기본데이타!AE$8),0))</f>
        <v/>
      </c>
      <c r="AC36" s="168" t="str">
        <f>IF($A36="","",VLOOKUP($A36,기본데이타!$A$8:$BV$103,COLUMN(기본데이타!AF$8),0))</f>
        <v/>
      </c>
      <c r="AD36" s="167" t="str">
        <f>IF($A36="","",VLOOKUP($A36,기본데이타!$A$8:$BV$103,COLUMN(기본데이타!AG$8),0))</f>
        <v/>
      </c>
      <c r="AE36" s="168" t="str">
        <f>IF($A36="","",VLOOKUP($A36,기본데이타!$A$8:$BV$103,COLUMN(기본데이타!AH$8),0))</f>
        <v/>
      </c>
      <c r="AF36" s="167" t="str">
        <f>IF($A36="","",VLOOKUP($A36,기본데이타!$A$8:$BV$103,COLUMN(기본데이타!AI$8),0))</f>
        <v/>
      </c>
      <c r="AG36" s="169" t="str">
        <f>IF($A36="","",VLOOKUP($A36,기본데이타!$A$8:$BV$103,COLUMN(기본데이타!AJ$8),0))</f>
        <v/>
      </c>
      <c r="AH36" s="364" t="str">
        <f>IF($A36="","",VLOOKUP($A36,기본데이타!$A$8:$BV$103,COLUMN(기본데이타!AK$8),0))</f>
        <v/>
      </c>
      <c r="AI36" s="364" t="str">
        <f>IF($A36="","",VLOOKUP($A36,기본데이타!$A$8:$BV$103,COLUMN(기본데이타!AL$8),0))</f>
        <v/>
      </c>
      <c r="AJ36" s="364" t="str">
        <f>IF($A36="","",VLOOKUP($A36,기본데이타!$A$8:$BV$103,COLUMN(기본데이타!AM$8),0))</f>
        <v/>
      </c>
      <c r="AK36" s="364" t="str">
        <f>IF($A36="","",VLOOKUP($A36,기본데이타!$A$8:$BV$103,COLUMN(기본데이타!AN$8),0))</f>
        <v/>
      </c>
      <c r="AL36" s="364" t="str">
        <f>IF($A36="","",VLOOKUP($A36,기본데이타!$A$8:$BV$103,COLUMN(기본데이타!AO$8),0))</f>
        <v/>
      </c>
      <c r="AM36" s="364" t="str">
        <f>IF($A36="","",VLOOKUP($A36,기본데이타!$A$8:$BV$103,COLUMN(기본데이타!AP$8),0))</f>
        <v/>
      </c>
      <c r="AN36" s="364" t="str">
        <f>IF($A36="","",VLOOKUP($A36,기본데이타!$A$8:$BV$103,COLUMN(기본데이타!AQ$8),0))</f>
        <v/>
      </c>
      <c r="AO36" s="364" t="str">
        <f>IF($A36="","",VLOOKUP($A36,기본데이타!$A$8:$BV$103,COLUMN(기본데이타!AR$8),0))</f>
        <v/>
      </c>
      <c r="AP36" s="364" t="str">
        <f>IF($A36="","",VLOOKUP($A36,기본데이타!$A$8:$BV$103,COLUMN(기본데이타!AS$8),0))</f>
        <v/>
      </c>
      <c r="AQ36" s="364" t="str">
        <f>IF($A36="","",VLOOKUP($A36,기본데이타!$A$8:$BV$103,COLUMN(기본데이타!AT$8),0))</f>
        <v/>
      </c>
      <c r="AR36" s="364" t="str">
        <f>IF($A36="","",VLOOKUP($A36,기본데이타!$A$8:$BV$103,COLUMN(기본데이타!AU$8),0))</f>
        <v/>
      </c>
      <c r="AS36" s="364" t="str">
        <f>IF($A36="","",VLOOKUP($A36,기본데이타!$A$8:$BV$103,COLUMN(기본데이타!AV$8),0))</f>
        <v/>
      </c>
      <c r="AT36" s="358" t="str">
        <f>IF($A36="","",VLOOKUP($A36,기본데이타!$A$8:$BV$103,COLUMN(기본데이타!AW$8),0))</f>
        <v/>
      </c>
      <c r="AU36" s="358" t="str">
        <f>IF($A36="","",VLOOKUP($A36,기본데이타!$A$8:$BV$103,COLUMN(기본데이타!AX$8),0))</f>
        <v/>
      </c>
      <c r="AV36" s="358" t="str">
        <f>IF($A36="","",VLOOKUP($A36,기본데이타!$A$8:$BV$103,COLUMN(기본데이타!AY$8),0))</f>
        <v/>
      </c>
      <c r="AW36" s="358" t="str">
        <f t="shared" si="8"/>
        <v/>
      </c>
      <c r="AX36" s="136" t="str">
        <f>IF($A36="","",VLOOKUP($A36,기본데이타!$A$8:$BV$103,COLUMN(기본데이타!BA$8),0))</f>
        <v/>
      </c>
      <c r="AY36" s="136" t="str">
        <f>IF($A36="","",VLOOKUP($A36,기본데이타!$A$8:$BV$103,COLUMN(기본데이타!BB$8),0))</f>
        <v/>
      </c>
      <c r="AZ36" s="1164" t="str">
        <f>IF($A36="","",VLOOKUP($A36,기본데이타!$A$8:$BV$103,COLUMN(기본데이타!BC$8),0))</f>
        <v/>
      </c>
      <c r="BA36" s="136" t="str">
        <f>IF($A36="","",VLOOKUP($A36,기본데이타!$A$8:$BV$103,COLUMN(기본데이타!BD$8),0))</f>
        <v/>
      </c>
      <c r="BB36" s="136" t="str">
        <f>IF($A36="","",VLOOKUP($A36,기본데이타!$A$8:$BV$103,COLUMN(기본데이타!BE$8),0))</f>
        <v/>
      </c>
      <c r="BC36" s="136" t="str">
        <f>IF($A36="","",VLOOKUP($A36,기본데이타!$A$8:$BV$103,COLUMN(기본데이타!BF$8),0))</f>
        <v/>
      </c>
      <c r="BD36" s="136" t="str">
        <f>IF($A36="","",VLOOKUP($A36,기본데이타!$A$8:$BV$103,COLUMN(기본데이타!BG$8),0))</f>
        <v/>
      </c>
      <c r="BE36" s="136" t="str">
        <f>IF($A36="","",VLOOKUP($A36,기본데이타!$A$8:$BV$103,COLUMN(기본데이타!BH$8),0))</f>
        <v/>
      </c>
      <c r="BF36" s="136" t="str">
        <f>IF($A36="","",VLOOKUP($A36,기본데이타!$A$8:$BV$103,COLUMN(기본데이타!BI$8),0))</f>
        <v/>
      </c>
      <c r="BG36" s="136" t="str">
        <f>IF($A36="","",VLOOKUP($A36,기본데이타!$A$8:$BV$103,COLUMN(기본데이타!BJ$8),0))</f>
        <v/>
      </c>
      <c r="BH36" s="136" t="str">
        <f>IF($A36="","",VLOOKUP($A36,기본데이타!$A$8:$BV$103,COLUMN(기본데이타!BK$8),0))</f>
        <v/>
      </c>
      <c r="BI36" s="136" t="str">
        <f>IF($A36="","",VLOOKUP($A36,기본데이타!$A$8:$BV$103,COLUMN(기본데이타!BL$8),0))</f>
        <v/>
      </c>
      <c r="BJ36" s="136" t="str">
        <f>IF($A36="","",VLOOKUP($A36,기본데이타!$A$8:$BV$103,COLUMN(기본데이타!BM$8),0))</f>
        <v/>
      </c>
      <c r="BK36" s="136" t="str">
        <f>IF($A36="","",VLOOKUP($A36,기본데이타!$A$8:$BV$103,COLUMN(기본데이타!BN$8),0))</f>
        <v/>
      </c>
      <c r="BL36" s="136" t="str">
        <f>IF($A36="","",VLOOKUP($A36,기본데이타!$A$8:$BV$103,COLUMN(기본데이타!BO$8),0))</f>
        <v/>
      </c>
      <c r="BM36" s="136" t="str">
        <f>IF($A36="","",VLOOKUP($A36,기본데이타!$A$8:$BV$103,COLUMN(기본데이타!BP$8),0))</f>
        <v/>
      </c>
      <c r="BN36" s="136" t="str">
        <f>IF($A36="","",VLOOKUP($A36,기본데이타!$A$8:$BV$103,COLUMN(기본데이타!BQ$8),0))</f>
        <v/>
      </c>
      <c r="BO36" s="136" t="str">
        <f>IF($A36="","",VLOOKUP($A36,기본데이타!$A$8:$BV$103,COLUMN(기본데이타!BR$8),0))</f>
        <v/>
      </c>
      <c r="BP36" s="136" t="str">
        <f>IF($A36="","",VLOOKUP($A36,기본데이타!$A$8:$BV$103,COLUMN(기본데이타!BS$8),0))</f>
        <v/>
      </c>
      <c r="BQ36" s="136" t="str">
        <f>IF($A36="","",VLOOKUP($A36,기본데이타!$A$8:$BV$103,COLUMN(기본데이타!BT$8),0))</f>
        <v/>
      </c>
      <c r="BR36" s="136" t="str">
        <f>IF($A36="","",VLOOKUP($A36,기본데이타!$A$8:$BV$103,COLUMN(기본데이타!BU$8),0))</f>
        <v/>
      </c>
      <c r="BS36" s="136" t="str">
        <f>IF($A36="","",VLOOKUP($A36,기본데이타!$A$8:$BV$103,COLUMN(기본데이타!BV$8),0))</f>
        <v/>
      </c>
      <c r="BT36" s="801">
        <f t="shared" si="9"/>
        <v>0</v>
      </c>
      <c r="BU36" s="241"/>
    </row>
    <row r="37" spans="1:73" s="7" customFormat="1" ht="73.5" customHeight="1">
      <c r="A37" s="170"/>
      <c r="B37" s="163"/>
      <c r="C37" s="164" t="str">
        <f>IF($A37="","",VLOOKUP($A37,기본데이타!$A$8:$BV$103,COLUMN(기본데이타!F$8),0))</f>
        <v/>
      </c>
      <c r="D37" s="165" t="str">
        <f>IF($A37="","",VLOOKUP($A37,기본데이타!$A$8:$BV$103,COLUMN(기본데이타!G$8),0))</f>
        <v/>
      </c>
      <c r="E37" s="166" t="str">
        <f>IF($A37="","",VLOOKUP($A37,기본데이타!$A$8:$BV$103,COLUMN(기본데이타!H$8),0))</f>
        <v/>
      </c>
      <c r="F37" s="166" t="str">
        <f>IF($A37="","",VLOOKUP($A37,기본데이타!$A$8:$BV$103,COLUMN(기본데이타!I$8),0))</f>
        <v/>
      </c>
      <c r="G37" s="166" t="str">
        <f>IF($A37="","",VLOOKUP($A37,기본데이타!$A$8:$BV$103,COLUMN(기본데이타!J$8),0))</f>
        <v/>
      </c>
      <c r="H37" s="167" t="str">
        <f>IF($A37="","",VLOOKUP($A37,기본데이타!$A$8:$BV$103,COLUMN(기본데이타!K$8),0))</f>
        <v/>
      </c>
      <c r="I37" s="167" t="str">
        <f>IF($A37="","",VLOOKUP($A37,기본데이타!$A$8:$BV$103,COLUMN(기본데이타!L$8),0))</f>
        <v/>
      </c>
      <c r="J37" s="167" t="str">
        <f>IF($A37="","",VLOOKUP($A37,기본데이타!$A$8:$BV$103,COLUMN(기본데이타!M$8),0))</f>
        <v/>
      </c>
      <c r="K37" s="168" t="str">
        <f>IF($A37="","",VLOOKUP($A37,기본데이타!$A$8:$BV$103,COLUMN(기본데이타!N$8),0))</f>
        <v/>
      </c>
      <c r="L37" s="167" t="str">
        <f>IF($A37="","",VLOOKUP($A37,기본데이타!$A$8:$BV$103,COLUMN(기본데이타!O$8),0))</f>
        <v/>
      </c>
      <c r="M37" s="168" t="str">
        <f>IF($A37="","",VLOOKUP($A37,기본데이타!$A$8:$BV$103,COLUMN(기본데이타!P$8),0))</f>
        <v/>
      </c>
      <c r="N37" s="168" t="str">
        <f>IF($A37="","",VLOOKUP($A37,기본데이타!$A$8:$BV$103,COLUMN(기본데이타!Q$8),0))</f>
        <v/>
      </c>
      <c r="O37" s="168" t="str">
        <f>IF($A37="","",VLOOKUP($A37,기본데이타!$A$8:$BV$103,COLUMN(기본데이타!R$8),0))</f>
        <v/>
      </c>
      <c r="P37" s="168" t="str">
        <f>IF($A37="","",VLOOKUP($A37,기본데이타!$A$8:$BV$103,COLUMN(기본데이타!S$8),0))</f>
        <v/>
      </c>
      <c r="Q37" s="168" t="str">
        <f>IF($A37="","",VLOOKUP($A37,기본데이타!$A$8:$BV$103,COLUMN(기본데이타!T$8),0))</f>
        <v/>
      </c>
      <c r="R37" s="168" t="str">
        <f>IF($A37="","",VLOOKUP($A37,기본데이타!$A$8:$BV$103,COLUMN(기본데이타!U$8),0))</f>
        <v/>
      </c>
      <c r="S37" s="168" t="str">
        <f>IF($A37="","",VLOOKUP($A37,기본데이타!$A$8:$BV$103,COLUMN(기본데이타!V$8),0))</f>
        <v/>
      </c>
      <c r="T37" s="168" t="str">
        <f>IF($A37="","",VLOOKUP($A37,기본데이타!$A$8:$BV$103,COLUMN(기본데이타!W$8),0))</f>
        <v/>
      </c>
      <c r="U37" s="168" t="str">
        <f>IF($A37="","",VLOOKUP($A37,기본데이타!$A$8:$BV$103,COLUMN(기본데이타!X$8),0))</f>
        <v/>
      </c>
      <c r="V37" s="168" t="str">
        <f>IF($A37="","",VLOOKUP($A37,기본데이타!$A$8:$BV$103,COLUMN(기본데이타!Y$8),0))</f>
        <v/>
      </c>
      <c r="W37" s="168" t="str">
        <f>IF($A37="","",VLOOKUP($A37,기본데이타!$A$8:$BV$103,COLUMN(기본데이타!Z$8),0))</f>
        <v/>
      </c>
      <c r="X37" s="168" t="str">
        <f>IF($A37="","",VLOOKUP($A37,기본데이타!$A$8:$BV$103,COLUMN(기본데이타!AA$8),0))</f>
        <v/>
      </c>
      <c r="Y37" s="168" t="str">
        <f>IF($A37="","",VLOOKUP($A37,기본데이타!$A$8:$BV$103,COLUMN(기본데이타!AB$8),0))</f>
        <v/>
      </c>
      <c r="Z37" s="167" t="str">
        <f>IF($A37="","",VLOOKUP($A37,기본데이타!$A$8:$BV$103,COLUMN(기본데이타!AC$8),0))</f>
        <v/>
      </c>
      <c r="AA37" s="168" t="str">
        <f>IF($A37="","",VLOOKUP($A37,기본데이타!$A$8:$BV$103,COLUMN(기본데이타!AD$8),0))</f>
        <v/>
      </c>
      <c r="AB37" s="167" t="str">
        <f>IF($A37="","",VLOOKUP($A37,기본데이타!$A$8:$BV$103,COLUMN(기본데이타!AE$8),0))</f>
        <v/>
      </c>
      <c r="AC37" s="168" t="str">
        <f>IF($A37="","",VLOOKUP($A37,기본데이타!$A$8:$BV$103,COLUMN(기본데이타!AF$8),0))</f>
        <v/>
      </c>
      <c r="AD37" s="167" t="str">
        <f>IF($A37="","",VLOOKUP($A37,기본데이타!$A$8:$BV$103,COLUMN(기본데이타!AG$8),0))</f>
        <v/>
      </c>
      <c r="AE37" s="168" t="str">
        <f>IF($A37="","",VLOOKUP($A37,기본데이타!$A$8:$BV$103,COLUMN(기본데이타!AH$8),0))</f>
        <v/>
      </c>
      <c r="AF37" s="167" t="str">
        <f>IF($A37="","",VLOOKUP($A37,기본데이타!$A$8:$BV$103,COLUMN(기본데이타!AI$8),0))</f>
        <v/>
      </c>
      <c r="AG37" s="169" t="str">
        <f>IF($A37="","",VLOOKUP($A37,기본데이타!$A$8:$BV$103,COLUMN(기본데이타!AJ$8),0))</f>
        <v/>
      </c>
      <c r="AH37" s="364" t="str">
        <f>IF($A37="","",VLOOKUP($A37,기본데이타!$A$8:$BV$103,COLUMN(기본데이타!AK$8),0))</f>
        <v/>
      </c>
      <c r="AI37" s="364" t="str">
        <f>IF($A37="","",VLOOKUP($A37,기본데이타!$A$8:$BV$103,COLUMN(기본데이타!AL$8),0))</f>
        <v/>
      </c>
      <c r="AJ37" s="364" t="str">
        <f>IF($A37="","",VLOOKUP($A37,기본데이타!$A$8:$BV$103,COLUMN(기본데이타!AM$8),0))</f>
        <v/>
      </c>
      <c r="AK37" s="364" t="str">
        <f>IF($A37="","",VLOOKUP($A37,기본데이타!$A$8:$BV$103,COLUMN(기본데이타!AN$8),0))</f>
        <v/>
      </c>
      <c r="AL37" s="364" t="str">
        <f>IF($A37="","",VLOOKUP($A37,기본데이타!$A$8:$BV$103,COLUMN(기본데이타!AO$8),0))</f>
        <v/>
      </c>
      <c r="AM37" s="364" t="str">
        <f>IF($A37="","",VLOOKUP($A37,기본데이타!$A$8:$BV$103,COLUMN(기본데이타!AP$8),0))</f>
        <v/>
      </c>
      <c r="AN37" s="364" t="str">
        <f>IF($A37="","",VLOOKUP($A37,기본데이타!$A$8:$BV$103,COLUMN(기본데이타!AQ$8),0))</f>
        <v/>
      </c>
      <c r="AO37" s="364" t="str">
        <f>IF($A37="","",VLOOKUP($A37,기본데이타!$A$8:$BV$103,COLUMN(기본데이타!AR$8),0))</f>
        <v/>
      </c>
      <c r="AP37" s="364" t="str">
        <f>IF($A37="","",VLOOKUP($A37,기본데이타!$A$8:$BV$103,COLUMN(기본데이타!AS$8),0))</f>
        <v/>
      </c>
      <c r="AQ37" s="364" t="str">
        <f>IF($A37="","",VLOOKUP($A37,기본데이타!$A$8:$BV$103,COLUMN(기본데이타!AT$8),0))</f>
        <v/>
      </c>
      <c r="AR37" s="364" t="str">
        <f>IF($A37="","",VLOOKUP($A37,기본데이타!$A$8:$BV$103,COLUMN(기본데이타!AU$8),0))</f>
        <v/>
      </c>
      <c r="AS37" s="364" t="str">
        <f>IF($A37="","",VLOOKUP($A37,기본데이타!$A$8:$BV$103,COLUMN(기본데이타!AV$8),0))</f>
        <v/>
      </c>
      <c r="AT37" s="358" t="str">
        <f>IF($A37="","",VLOOKUP($A37,기본데이타!$A$8:$BV$103,COLUMN(기본데이타!AW$8),0))</f>
        <v/>
      </c>
      <c r="AU37" s="358" t="str">
        <f>IF($A37="","",VLOOKUP($A37,기본데이타!$A$8:$BV$103,COLUMN(기본데이타!AX$8),0))</f>
        <v/>
      </c>
      <c r="AV37" s="358" t="str">
        <f>IF($A37="","",VLOOKUP($A37,기본데이타!$A$8:$BV$103,COLUMN(기본데이타!AY$8),0))</f>
        <v/>
      </c>
      <c r="AW37" s="358" t="str">
        <f t="shared" si="8"/>
        <v/>
      </c>
      <c r="AX37" s="136" t="str">
        <f>IF($A37="","",VLOOKUP($A37,기본데이타!$A$8:$BV$103,COLUMN(기본데이타!BA$8),0))</f>
        <v/>
      </c>
      <c r="AY37" s="136" t="str">
        <f>IF($A37="","",VLOOKUP($A37,기본데이타!$A$8:$BV$103,COLUMN(기본데이타!BB$8),0))</f>
        <v/>
      </c>
      <c r="AZ37" s="1164" t="str">
        <f>IF($A37="","",VLOOKUP($A37,기본데이타!$A$8:$BV$103,COLUMN(기본데이타!BC$8),0))</f>
        <v/>
      </c>
      <c r="BA37" s="136" t="str">
        <f>IF($A37="","",VLOOKUP($A37,기본데이타!$A$8:$BV$103,COLUMN(기본데이타!BD$8),0))</f>
        <v/>
      </c>
      <c r="BB37" s="136" t="str">
        <f>IF($A37="","",VLOOKUP($A37,기본데이타!$A$8:$BV$103,COLUMN(기본데이타!BE$8),0))</f>
        <v/>
      </c>
      <c r="BC37" s="136" t="str">
        <f>IF($A37="","",VLOOKUP($A37,기본데이타!$A$8:$BV$103,COLUMN(기본데이타!BF$8),0))</f>
        <v/>
      </c>
      <c r="BD37" s="136" t="str">
        <f>IF($A37="","",VLOOKUP($A37,기본데이타!$A$8:$BV$103,COLUMN(기본데이타!BG$8),0))</f>
        <v/>
      </c>
      <c r="BE37" s="136" t="str">
        <f>IF($A37="","",VLOOKUP($A37,기본데이타!$A$8:$BV$103,COLUMN(기본데이타!BH$8),0))</f>
        <v/>
      </c>
      <c r="BF37" s="136" t="str">
        <f>IF($A37="","",VLOOKUP($A37,기본데이타!$A$8:$BV$103,COLUMN(기본데이타!BI$8),0))</f>
        <v/>
      </c>
      <c r="BG37" s="136" t="str">
        <f>IF($A37="","",VLOOKUP($A37,기본데이타!$A$8:$BV$103,COLUMN(기본데이타!BJ$8),0))</f>
        <v/>
      </c>
      <c r="BH37" s="136" t="str">
        <f>IF($A37="","",VLOOKUP($A37,기본데이타!$A$8:$BV$103,COLUMN(기본데이타!BK$8),0))</f>
        <v/>
      </c>
      <c r="BI37" s="136" t="str">
        <f>IF($A37="","",VLOOKUP($A37,기본데이타!$A$8:$BV$103,COLUMN(기본데이타!BL$8),0))</f>
        <v/>
      </c>
      <c r="BJ37" s="136" t="str">
        <f>IF($A37="","",VLOOKUP($A37,기본데이타!$A$8:$BV$103,COLUMN(기본데이타!BM$8),0))</f>
        <v/>
      </c>
      <c r="BK37" s="136" t="str">
        <f>IF($A37="","",VLOOKUP($A37,기본데이타!$A$8:$BV$103,COLUMN(기본데이타!BN$8),0))</f>
        <v/>
      </c>
      <c r="BL37" s="136" t="str">
        <f>IF($A37="","",VLOOKUP($A37,기본데이타!$A$8:$BV$103,COLUMN(기본데이타!BO$8),0))</f>
        <v/>
      </c>
      <c r="BM37" s="136" t="str">
        <f>IF($A37="","",VLOOKUP($A37,기본데이타!$A$8:$BV$103,COLUMN(기본데이타!BP$8),0))</f>
        <v/>
      </c>
      <c r="BN37" s="136" t="str">
        <f>IF($A37="","",VLOOKUP($A37,기본데이타!$A$8:$BV$103,COLUMN(기본데이타!BQ$8),0))</f>
        <v/>
      </c>
      <c r="BO37" s="136" t="str">
        <f>IF($A37="","",VLOOKUP($A37,기본데이타!$A$8:$BV$103,COLUMN(기본데이타!BR$8),0))</f>
        <v/>
      </c>
      <c r="BP37" s="136" t="str">
        <f>IF($A37="","",VLOOKUP($A37,기본데이타!$A$8:$BV$103,COLUMN(기본데이타!BS$8),0))</f>
        <v/>
      </c>
      <c r="BQ37" s="136" t="str">
        <f>IF($A37="","",VLOOKUP($A37,기본데이타!$A$8:$BV$103,COLUMN(기본데이타!BT$8),0))</f>
        <v/>
      </c>
      <c r="BR37" s="136" t="str">
        <f>IF($A37="","",VLOOKUP($A37,기본데이타!$A$8:$BV$103,COLUMN(기본데이타!BU$8),0))</f>
        <v/>
      </c>
      <c r="BS37" s="136" t="str">
        <f>IF($A37="","",VLOOKUP($A37,기본데이타!$A$8:$BV$103,COLUMN(기본데이타!BV$8),0))</f>
        <v/>
      </c>
      <c r="BT37" s="801">
        <f t="shared" si="9"/>
        <v>0</v>
      </c>
      <c r="BU37" s="241"/>
    </row>
    <row r="38" spans="1:73" s="7" customFormat="1" ht="73.5" customHeight="1">
      <c r="A38" s="170"/>
      <c r="B38" s="163"/>
      <c r="C38" s="164" t="str">
        <f>IF($A38="","",VLOOKUP($A38,기본데이타!$A$8:$BV$103,COLUMN(기본데이타!F$8),0))</f>
        <v/>
      </c>
      <c r="D38" s="165" t="str">
        <f>IF($A38="","",VLOOKUP($A38,기본데이타!$A$8:$BV$103,COLUMN(기본데이타!G$8),0))</f>
        <v/>
      </c>
      <c r="E38" s="166" t="str">
        <f>IF($A38="","",VLOOKUP($A38,기본데이타!$A$8:$BV$103,COLUMN(기본데이타!H$8),0))</f>
        <v/>
      </c>
      <c r="F38" s="166" t="str">
        <f>IF($A38="","",VLOOKUP($A38,기본데이타!$A$8:$BV$103,COLUMN(기본데이타!I$8),0))</f>
        <v/>
      </c>
      <c r="G38" s="166" t="str">
        <f>IF($A38="","",VLOOKUP($A38,기본데이타!$A$8:$BV$103,COLUMN(기본데이타!J$8),0))</f>
        <v/>
      </c>
      <c r="H38" s="167" t="str">
        <f>IF($A38="","",VLOOKUP($A38,기본데이타!$A$8:$BV$103,COLUMN(기본데이타!K$8),0))</f>
        <v/>
      </c>
      <c r="I38" s="167" t="str">
        <f>IF($A38="","",VLOOKUP($A38,기본데이타!$A$8:$BV$103,COLUMN(기본데이타!L$8),0))</f>
        <v/>
      </c>
      <c r="J38" s="167" t="str">
        <f>IF($A38="","",VLOOKUP($A38,기본데이타!$A$8:$BV$103,COLUMN(기본데이타!M$8),0))</f>
        <v/>
      </c>
      <c r="K38" s="168" t="str">
        <f>IF($A38="","",VLOOKUP($A38,기본데이타!$A$8:$BV$103,COLUMN(기본데이타!N$8),0))</f>
        <v/>
      </c>
      <c r="L38" s="167" t="str">
        <f>IF($A38="","",VLOOKUP($A38,기본데이타!$A$8:$BV$103,COLUMN(기본데이타!O$8),0))</f>
        <v/>
      </c>
      <c r="M38" s="168" t="str">
        <f>IF($A38="","",VLOOKUP($A38,기본데이타!$A$8:$BV$103,COLUMN(기본데이타!P$8),0))</f>
        <v/>
      </c>
      <c r="N38" s="168" t="str">
        <f>IF($A38="","",VLOOKUP($A38,기본데이타!$A$8:$BV$103,COLUMN(기본데이타!Q$8),0))</f>
        <v/>
      </c>
      <c r="O38" s="168" t="str">
        <f>IF($A38="","",VLOOKUP($A38,기본데이타!$A$8:$BV$103,COLUMN(기본데이타!R$8),0))</f>
        <v/>
      </c>
      <c r="P38" s="168" t="str">
        <f>IF($A38="","",VLOOKUP($A38,기본데이타!$A$8:$BV$103,COLUMN(기본데이타!S$8),0))</f>
        <v/>
      </c>
      <c r="Q38" s="168" t="str">
        <f>IF($A38="","",VLOOKUP($A38,기본데이타!$A$8:$BV$103,COLUMN(기본데이타!T$8),0))</f>
        <v/>
      </c>
      <c r="R38" s="168" t="str">
        <f>IF($A38="","",VLOOKUP($A38,기본데이타!$A$8:$BV$103,COLUMN(기본데이타!U$8),0))</f>
        <v/>
      </c>
      <c r="S38" s="168" t="str">
        <f>IF($A38="","",VLOOKUP($A38,기본데이타!$A$8:$BV$103,COLUMN(기본데이타!V$8),0))</f>
        <v/>
      </c>
      <c r="T38" s="168" t="str">
        <f>IF($A38="","",VLOOKUP($A38,기본데이타!$A$8:$BV$103,COLUMN(기본데이타!W$8),0))</f>
        <v/>
      </c>
      <c r="U38" s="168" t="str">
        <f>IF($A38="","",VLOOKUP($A38,기본데이타!$A$8:$BV$103,COLUMN(기본데이타!X$8),0))</f>
        <v/>
      </c>
      <c r="V38" s="168" t="str">
        <f>IF($A38="","",VLOOKUP($A38,기본데이타!$A$8:$BV$103,COLUMN(기본데이타!Y$8),0))</f>
        <v/>
      </c>
      <c r="W38" s="168" t="str">
        <f>IF($A38="","",VLOOKUP($A38,기본데이타!$A$8:$BV$103,COLUMN(기본데이타!Z$8),0))</f>
        <v/>
      </c>
      <c r="X38" s="168" t="str">
        <f>IF($A38="","",VLOOKUP($A38,기본데이타!$A$8:$BV$103,COLUMN(기본데이타!AA$8),0))</f>
        <v/>
      </c>
      <c r="Y38" s="168" t="str">
        <f>IF($A38="","",VLOOKUP($A38,기본데이타!$A$8:$BV$103,COLUMN(기본데이타!AB$8),0))</f>
        <v/>
      </c>
      <c r="Z38" s="167" t="str">
        <f>IF($A38="","",VLOOKUP($A38,기본데이타!$A$8:$BV$103,COLUMN(기본데이타!AC$8),0))</f>
        <v/>
      </c>
      <c r="AA38" s="168" t="str">
        <f>IF($A38="","",VLOOKUP($A38,기본데이타!$A$8:$BV$103,COLUMN(기본데이타!AD$8),0))</f>
        <v/>
      </c>
      <c r="AB38" s="167" t="str">
        <f>IF($A38="","",VLOOKUP($A38,기본데이타!$A$8:$BV$103,COLUMN(기본데이타!AE$8),0))</f>
        <v/>
      </c>
      <c r="AC38" s="168" t="str">
        <f>IF($A38="","",VLOOKUP($A38,기본데이타!$A$8:$BV$103,COLUMN(기본데이타!AF$8),0))</f>
        <v/>
      </c>
      <c r="AD38" s="167" t="str">
        <f>IF($A38="","",VLOOKUP($A38,기본데이타!$A$8:$BV$103,COLUMN(기본데이타!AG$8),0))</f>
        <v/>
      </c>
      <c r="AE38" s="168" t="str">
        <f>IF($A38="","",VLOOKUP($A38,기본데이타!$A$8:$BV$103,COLUMN(기본데이타!AH$8),0))</f>
        <v/>
      </c>
      <c r="AF38" s="167" t="str">
        <f>IF($A38="","",VLOOKUP($A38,기본데이타!$A$8:$BV$103,COLUMN(기본데이타!AI$8),0))</f>
        <v/>
      </c>
      <c r="AG38" s="169" t="str">
        <f>IF($A38="","",VLOOKUP($A38,기본데이타!$A$8:$BV$103,COLUMN(기본데이타!AJ$8),0))</f>
        <v/>
      </c>
      <c r="AH38" s="364" t="str">
        <f>IF($A38="","",VLOOKUP($A38,기본데이타!$A$8:$BV$103,COLUMN(기본데이타!AK$8),0))</f>
        <v/>
      </c>
      <c r="AI38" s="364" t="str">
        <f>IF($A38="","",VLOOKUP($A38,기본데이타!$A$8:$BV$103,COLUMN(기본데이타!AL$8),0))</f>
        <v/>
      </c>
      <c r="AJ38" s="364" t="str">
        <f>IF($A38="","",VLOOKUP($A38,기본데이타!$A$8:$BV$103,COLUMN(기본데이타!AM$8),0))</f>
        <v/>
      </c>
      <c r="AK38" s="364" t="str">
        <f>IF($A38="","",VLOOKUP($A38,기본데이타!$A$8:$BV$103,COLUMN(기본데이타!AN$8),0))</f>
        <v/>
      </c>
      <c r="AL38" s="364" t="str">
        <f>IF($A38="","",VLOOKUP($A38,기본데이타!$A$8:$BV$103,COLUMN(기본데이타!AO$8),0))</f>
        <v/>
      </c>
      <c r="AM38" s="364" t="str">
        <f>IF($A38="","",VLOOKUP($A38,기본데이타!$A$8:$BV$103,COLUMN(기본데이타!AP$8),0))</f>
        <v/>
      </c>
      <c r="AN38" s="364" t="str">
        <f>IF($A38="","",VLOOKUP($A38,기본데이타!$A$8:$BV$103,COLUMN(기본데이타!AQ$8),0))</f>
        <v/>
      </c>
      <c r="AO38" s="364" t="str">
        <f>IF($A38="","",VLOOKUP($A38,기본데이타!$A$8:$BV$103,COLUMN(기본데이타!AR$8),0))</f>
        <v/>
      </c>
      <c r="AP38" s="364" t="str">
        <f>IF($A38="","",VLOOKUP($A38,기본데이타!$A$8:$BV$103,COLUMN(기본데이타!AS$8),0))</f>
        <v/>
      </c>
      <c r="AQ38" s="364" t="str">
        <f>IF($A38="","",VLOOKUP($A38,기본데이타!$A$8:$BV$103,COLUMN(기본데이타!AT$8),0))</f>
        <v/>
      </c>
      <c r="AR38" s="364" t="str">
        <f>IF($A38="","",VLOOKUP($A38,기본데이타!$A$8:$BV$103,COLUMN(기본데이타!AU$8),0))</f>
        <v/>
      </c>
      <c r="AS38" s="364" t="str">
        <f>IF($A38="","",VLOOKUP($A38,기본데이타!$A$8:$BV$103,COLUMN(기본데이타!AV$8),0))</f>
        <v/>
      </c>
      <c r="AT38" s="358" t="str">
        <f>IF($A38="","",VLOOKUP($A38,기본데이타!$A$8:$BV$103,COLUMN(기본데이타!AW$8),0))</f>
        <v/>
      </c>
      <c r="AU38" s="358" t="str">
        <f>IF($A38="","",VLOOKUP($A38,기본데이타!$A$8:$BV$103,COLUMN(기본데이타!AX$8),0))</f>
        <v/>
      </c>
      <c r="AV38" s="358" t="str">
        <f>IF($A38="","",VLOOKUP($A38,기본데이타!$A$8:$BV$103,COLUMN(기본데이타!AY$8),0))</f>
        <v/>
      </c>
      <c r="AW38" s="358" t="str">
        <f t="shared" si="8"/>
        <v/>
      </c>
      <c r="AX38" s="136" t="str">
        <f>IF($A38="","",VLOOKUP($A38,기본데이타!$A$8:$BV$103,COLUMN(기본데이타!BA$8),0))</f>
        <v/>
      </c>
      <c r="AY38" s="136" t="str">
        <f>IF($A38="","",VLOOKUP($A38,기본데이타!$A$8:$BV$103,COLUMN(기본데이타!BB$8),0))</f>
        <v/>
      </c>
      <c r="AZ38" s="1164" t="str">
        <f>IF($A38="","",VLOOKUP($A38,기본데이타!$A$8:$BV$103,COLUMN(기본데이타!BC$8),0))</f>
        <v/>
      </c>
      <c r="BA38" s="136" t="str">
        <f>IF($A38="","",VLOOKUP($A38,기본데이타!$A$8:$BV$103,COLUMN(기본데이타!BD$8),0))</f>
        <v/>
      </c>
      <c r="BB38" s="136" t="str">
        <f>IF($A38="","",VLOOKUP($A38,기본데이타!$A$8:$BV$103,COLUMN(기본데이타!BE$8),0))</f>
        <v/>
      </c>
      <c r="BC38" s="136" t="str">
        <f>IF($A38="","",VLOOKUP($A38,기본데이타!$A$8:$BV$103,COLUMN(기본데이타!BF$8),0))</f>
        <v/>
      </c>
      <c r="BD38" s="136" t="str">
        <f>IF($A38="","",VLOOKUP($A38,기본데이타!$A$8:$BV$103,COLUMN(기본데이타!BG$8),0))</f>
        <v/>
      </c>
      <c r="BE38" s="136" t="str">
        <f>IF($A38="","",VLOOKUP($A38,기본데이타!$A$8:$BV$103,COLUMN(기본데이타!BH$8),0))</f>
        <v/>
      </c>
      <c r="BF38" s="136" t="str">
        <f>IF($A38="","",VLOOKUP($A38,기본데이타!$A$8:$BV$103,COLUMN(기본데이타!BI$8),0))</f>
        <v/>
      </c>
      <c r="BG38" s="136" t="str">
        <f>IF($A38="","",VLOOKUP($A38,기본데이타!$A$8:$BV$103,COLUMN(기본데이타!BJ$8),0))</f>
        <v/>
      </c>
      <c r="BH38" s="136" t="str">
        <f>IF($A38="","",VLOOKUP($A38,기본데이타!$A$8:$BV$103,COLUMN(기본데이타!BK$8),0))</f>
        <v/>
      </c>
      <c r="BI38" s="136" t="str">
        <f>IF($A38="","",VLOOKUP($A38,기본데이타!$A$8:$BV$103,COLUMN(기본데이타!BL$8),0))</f>
        <v/>
      </c>
      <c r="BJ38" s="136" t="str">
        <f>IF($A38="","",VLOOKUP($A38,기본데이타!$A$8:$BV$103,COLUMN(기본데이타!BM$8),0))</f>
        <v/>
      </c>
      <c r="BK38" s="136" t="str">
        <f>IF($A38="","",VLOOKUP($A38,기본데이타!$A$8:$BV$103,COLUMN(기본데이타!BN$8),0))</f>
        <v/>
      </c>
      <c r="BL38" s="136" t="str">
        <f>IF($A38="","",VLOOKUP($A38,기본데이타!$A$8:$BV$103,COLUMN(기본데이타!BO$8),0))</f>
        <v/>
      </c>
      <c r="BM38" s="136" t="str">
        <f>IF($A38="","",VLOOKUP($A38,기본데이타!$A$8:$BV$103,COLUMN(기본데이타!BP$8),0))</f>
        <v/>
      </c>
      <c r="BN38" s="136" t="str">
        <f>IF($A38="","",VLOOKUP($A38,기본데이타!$A$8:$BV$103,COLUMN(기본데이타!BQ$8),0))</f>
        <v/>
      </c>
      <c r="BO38" s="136" t="str">
        <f>IF($A38="","",VLOOKUP($A38,기본데이타!$A$8:$BV$103,COLUMN(기본데이타!BR$8),0))</f>
        <v/>
      </c>
      <c r="BP38" s="136" t="str">
        <f>IF($A38="","",VLOOKUP($A38,기본데이타!$A$8:$BV$103,COLUMN(기본데이타!BS$8),0))</f>
        <v/>
      </c>
      <c r="BQ38" s="136" t="str">
        <f>IF($A38="","",VLOOKUP($A38,기본데이타!$A$8:$BV$103,COLUMN(기본데이타!BT$8),0))</f>
        <v/>
      </c>
      <c r="BR38" s="136" t="str">
        <f>IF($A38="","",VLOOKUP($A38,기본데이타!$A$8:$BV$103,COLUMN(기본데이타!BU$8),0))</f>
        <v/>
      </c>
      <c r="BS38" s="136" t="str">
        <f>IF($A38="","",VLOOKUP($A38,기본데이타!$A$8:$BV$103,COLUMN(기본데이타!BV$8),0))</f>
        <v/>
      </c>
      <c r="BT38" s="801">
        <f t="shared" si="9"/>
        <v>0</v>
      </c>
      <c r="BU38" s="241"/>
    </row>
    <row r="39" spans="1:73" s="7" customFormat="1" ht="73.5" customHeight="1">
      <c r="A39" s="170"/>
      <c r="B39" s="163"/>
      <c r="C39" s="164" t="str">
        <f>IF($A39="","",VLOOKUP($A39,기본데이타!$A$8:$BV$103,COLUMN(기본데이타!F$8),0))</f>
        <v/>
      </c>
      <c r="D39" s="165" t="str">
        <f>IF($A39="","",VLOOKUP($A39,기본데이타!$A$8:$BV$103,COLUMN(기본데이타!G$8),0))</f>
        <v/>
      </c>
      <c r="E39" s="166" t="str">
        <f>IF($A39="","",VLOOKUP($A39,기본데이타!$A$8:$BV$103,COLUMN(기본데이타!H$8),0))</f>
        <v/>
      </c>
      <c r="F39" s="166" t="str">
        <f>IF($A39="","",VLOOKUP($A39,기본데이타!$A$8:$BV$103,COLUMN(기본데이타!I$8),0))</f>
        <v/>
      </c>
      <c r="G39" s="166" t="str">
        <f>IF($A39="","",VLOOKUP($A39,기본데이타!$A$8:$BV$103,COLUMN(기본데이타!J$8),0))</f>
        <v/>
      </c>
      <c r="H39" s="167" t="str">
        <f>IF($A39="","",VLOOKUP($A39,기본데이타!$A$8:$BV$103,COLUMN(기본데이타!K$8),0))</f>
        <v/>
      </c>
      <c r="I39" s="167" t="str">
        <f>IF($A39="","",VLOOKUP($A39,기본데이타!$A$8:$BV$103,COLUMN(기본데이타!L$8),0))</f>
        <v/>
      </c>
      <c r="J39" s="167" t="str">
        <f>IF($A39="","",VLOOKUP($A39,기본데이타!$A$8:$BV$103,COLUMN(기본데이타!M$8),0))</f>
        <v/>
      </c>
      <c r="K39" s="168" t="str">
        <f>IF($A39="","",VLOOKUP($A39,기본데이타!$A$8:$BV$103,COLUMN(기본데이타!N$8),0))</f>
        <v/>
      </c>
      <c r="L39" s="167" t="str">
        <f>IF($A39="","",VLOOKUP($A39,기본데이타!$A$8:$BV$103,COLUMN(기본데이타!O$8),0))</f>
        <v/>
      </c>
      <c r="M39" s="168" t="str">
        <f>IF($A39="","",VLOOKUP($A39,기본데이타!$A$8:$BV$103,COLUMN(기본데이타!P$8),0))</f>
        <v/>
      </c>
      <c r="N39" s="168" t="str">
        <f>IF($A39="","",VLOOKUP($A39,기본데이타!$A$8:$BV$103,COLUMN(기본데이타!Q$8),0))</f>
        <v/>
      </c>
      <c r="O39" s="168" t="str">
        <f>IF($A39="","",VLOOKUP($A39,기본데이타!$A$8:$BV$103,COLUMN(기본데이타!R$8),0))</f>
        <v/>
      </c>
      <c r="P39" s="168" t="str">
        <f>IF($A39="","",VLOOKUP($A39,기본데이타!$A$8:$BV$103,COLUMN(기본데이타!S$8),0))</f>
        <v/>
      </c>
      <c r="Q39" s="168" t="str">
        <f>IF($A39="","",VLOOKUP($A39,기본데이타!$A$8:$BV$103,COLUMN(기본데이타!T$8),0))</f>
        <v/>
      </c>
      <c r="R39" s="168" t="str">
        <f>IF($A39="","",VLOOKUP($A39,기본데이타!$A$8:$BV$103,COLUMN(기본데이타!U$8),0))</f>
        <v/>
      </c>
      <c r="S39" s="168" t="str">
        <f>IF($A39="","",VLOOKUP($A39,기본데이타!$A$8:$BV$103,COLUMN(기본데이타!V$8),0))</f>
        <v/>
      </c>
      <c r="T39" s="168" t="str">
        <f>IF($A39="","",VLOOKUP($A39,기본데이타!$A$8:$BV$103,COLUMN(기본데이타!W$8),0))</f>
        <v/>
      </c>
      <c r="U39" s="168" t="str">
        <f>IF($A39="","",VLOOKUP($A39,기본데이타!$A$8:$BV$103,COLUMN(기본데이타!X$8),0))</f>
        <v/>
      </c>
      <c r="V39" s="168" t="str">
        <f>IF($A39="","",VLOOKUP($A39,기본데이타!$A$8:$BV$103,COLUMN(기본데이타!Y$8),0))</f>
        <v/>
      </c>
      <c r="W39" s="168" t="str">
        <f>IF($A39="","",VLOOKUP($A39,기본데이타!$A$8:$BV$103,COLUMN(기본데이타!Z$8),0))</f>
        <v/>
      </c>
      <c r="X39" s="168" t="str">
        <f>IF($A39="","",VLOOKUP($A39,기본데이타!$A$8:$BV$103,COLUMN(기본데이타!AA$8),0))</f>
        <v/>
      </c>
      <c r="Y39" s="168" t="str">
        <f>IF($A39="","",VLOOKUP($A39,기본데이타!$A$8:$BV$103,COLUMN(기본데이타!AB$8),0))</f>
        <v/>
      </c>
      <c r="Z39" s="167" t="str">
        <f>IF($A39="","",VLOOKUP($A39,기본데이타!$A$8:$BV$103,COLUMN(기본데이타!AC$8),0))</f>
        <v/>
      </c>
      <c r="AA39" s="168" t="str">
        <f>IF($A39="","",VLOOKUP($A39,기본데이타!$A$8:$BV$103,COLUMN(기본데이타!AD$8),0))</f>
        <v/>
      </c>
      <c r="AB39" s="167" t="str">
        <f>IF($A39="","",VLOOKUP($A39,기본데이타!$A$8:$BV$103,COLUMN(기본데이타!AE$8),0))</f>
        <v/>
      </c>
      <c r="AC39" s="168" t="str">
        <f>IF($A39="","",VLOOKUP($A39,기본데이타!$A$8:$BV$103,COLUMN(기본데이타!AF$8),0))</f>
        <v/>
      </c>
      <c r="AD39" s="167" t="str">
        <f>IF($A39="","",VLOOKUP($A39,기본데이타!$A$8:$BV$103,COLUMN(기본데이타!AG$8),0))</f>
        <v/>
      </c>
      <c r="AE39" s="168" t="str">
        <f>IF($A39="","",VLOOKUP($A39,기본데이타!$A$8:$BV$103,COLUMN(기본데이타!AH$8),0))</f>
        <v/>
      </c>
      <c r="AF39" s="167" t="str">
        <f>IF($A39="","",VLOOKUP($A39,기본데이타!$A$8:$BV$103,COLUMN(기본데이타!AI$8),0))</f>
        <v/>
      </c>
      <c r="AG39" s="169" t="str">
        <f>IF($A39="","",VLOOKUP($A39,기본데이타!$A$8:$BV$103,COLUMN(기본데이타!AJ$8),0))</f>
        <v/>
      </c>
      <c r="AH39" s="364" t="str">
        <f>IF($A39="","",VLOOKUP($A39,기본데이타!$A$8:$BV$103,COLUMN(기본데이타!AK$8),0))</f>
        <v/>
      </c>
      <c r="AI39" s="364" t="str">
        <f>IF($A39="","",VLOOKUP($A39,기본데이타!$A$8:$BV$103,COLUMN(기본데이타!AL$8),0))</f>
        <v/>
      </c>
      <c r="AJ39" s="364" t="str">
        <f>IF($A39="","",VLOOKUP($A39,기본데이타!$A$8:$BV$103,COLUMN(기본데이타!AM$8),0))</f>
        <v/>
      </c>
      <c r="AK39" s="364" t="str">
        <f>IF($A39="","",VLOOKUP($A39,기본데이타!$A$8:$BV$103,COLUMN(기본데이타!AN$8),0))</f>
        <v/>
      </c>
      <c r="AL39" s="364" t="str">
        <f>IF($A39="","",VLOOKUP($A39,기본데이타!$A$8:$BV$103,COLUMN(기본데이타!AO$8),0))</f>
        <v/>
      </c>
      <c r="AM39" s="364" t="str">
        <f>IF($A39="","",VLOOKUP($A39,기본데이타!$A$8:$BV$103,COLUMN(기본데이타!AP$8),0))</f>
        <v/>
      </c>
      <c r="AN39" s="364" t="str">
        <f>IF($A39="","",VLOOKUP($A39,기본데이타!$A$8:$BV$103,COLUMN(기본데이타!AQ$8),0))</f>
        <v/>
      </c>
      <c r="AO39" s="364" t="str">
        <f>IF($A39="","",VLOOKUP($A39,기본데이타!$A$8:$BV$103,COLUMN(기본데이타!AR$8),0))</f>
        <v/>
      </c>
      <c r="AP39" s="364" t="str">
        <f>IF($A39="","",VLOOKUP($A39,기본데이타!$A$8:$BV$103,COLUMN(기본데이타!AS$8),0))</f>
        <v/>
      </c>
      <c r="AQ39" s="364" t="str">
        <f>IF($A39="","",VLOOKUP($A39,기본데이타!$A$8:$BV$103,COLUMN(기본데이타!AT$8),0))</f>
        <v/>
      </c>
      <c r="AR39" s="364" t="str">
        <f>IF($A39="","",VLOOKUP($A39,기본데이타!$A$8:$BV$103,COLUMN(기본데이타!AU$8),0))</f>
        <v/>
      </c>
      <c r="AS39" s="364" t="str">
        <f>IF($A39="","",VLOOKUP($A39,기본데이타!$A$8:$BV$103,COLUMN(기본데이타!AV$8),0))</f>
        <v/>
      </c>
      <c r="AT39" s="358" t="str">
        <f>IF($A39="","",VLOOKUP($A39,기본데이타!$A$8:$BV$103,COLUMN(기본데이타!AW$8),0))</f>
        <v/>
      </c>
      <c r="AU39" s="358" t="str">
        <f>IF($A39="","",VLOOKUP($A39,기본데이타!$A$8:$BV$103,COLUMN(기본데이타!AX$8),0))</f>
        <v/>
      </c>
      <c r="AV39" s="358" t="str">
        <f>IF($A39="","",VLOOKUP($A39,기본데이타!$A$8:$BV$103,COLUMN(기본데이타!AY$8),0))</f>
        <v/>
      </c>
      <c r="AW39" s="358" t="str">
        <f t="shared" si="8"/>
        <v/>
      </c>
      <c r="AX39" s="136" t="str">
        <f>IF($A39="","",VLOOKUP($A39,기본데이타!$A$8:$BV$103,COLUMN(기본데이타!BA$8),0))</f>
        <v/>
      </c>
      <c r="AY39" s="136" t="str">
        <f>IF($A39="","",VLOOKUP($A39,기본데이타!$A$8:$BV$103,COLUMN(기본데이타!BB$8),0))</f>
        <v/>
      </c>
      <c r="AZ39" s="1164" t="str">
        <f>IF($A39="","",VLOOKUP($A39,기본데이타!$A$8:$BV$103,COLUMN(기본데이타!BC$8),0))</f>
        <v/>
      </c>
      <c r="BA39" s="136" t="str">
        <f>IF($A39="","",VLOOKUP($A39,기본데이타!$A$8:$BV$103,COLUMN(기본데이타!BD$8),0))</f>
        <v/>
      </c>
      <c r="BB39" s="136" t="str">
        <f>IF($A39="","",VLOOKUP($A39,기본데이타!$A$8:$BV$103,COLUMN(기본데이타!BE$8),0))</f>
        <v/>
      </c>
      <c r="BC39" s="136" t="str">
        <f>IF($A39="","",VLOOKUP($A39,기본데이타!$A$8:$BV$103,COLUMN(기본데이타!BF$8),0))</f>
        <v/>
      </c>
      <c r="BD39" s="136" t="str">
        <f>IF($A39="","",VLOOKUP($A39,기본데이타!$A$8:$BV$103,COLUMN(기본데이타!BG$8),0))</f>
        <v/>
      </c>
      <c r="BE39" s="136" t="str">
        <f>IF($A39="","",VLOOKUP($A39,기본데이타!$A$8:$BV$103,COLUMN(기본데이타!BH$8),0))</f>
        <v/>
      </c>
      <c r="BF39" s="136" t="str">
        <f>IF($A39="","",VLOOKUP($A39,기본데이타!$A$8:$BV$103,COLUMN(기본데이타!BI$8),0))</f>
        <v/>
      </c>
      <c r="BG39" s="136" t="str">
        <f>IF($A39="","",VLOOKUP($A39,기본데이타!$A$8:$BV$103,COLUMN(기본데이타!BJ$8),0))</f>
        <v/>
      </c>
      <c r="BH39" s="136" t="str">
        <f>IF($A39="","",VLOOKUP($A39,기본데이타!$A$8:$BV$103,COLUMN(기본데이타!BK$8),0))</f>
        <v/>
      </c>
      <c r="BI39" s="136" t="str">
        <f>IF($A39="","",VLOOKUP($A39,기본데이타!$A$8:$BV$103,COLUMN(기본데이타!BL$8),0))</f>
        <v/>
      </c>
      <c r="BJ39" s="136" t="str">
        <f>IF($A39="","",VLOOKUP($A39,기본데이타!$A$8:$BV$103,COLUMN(기본데이타!BM$8),0))</f>
        <v/>
      </c>
      <c r="BK39" s="136" t="str">
        <f>IF($A39="","",VLOOKUP($A39,기본데이타!$A$8:$BV$103,COLUMN(기본데이타!BN$8),0))</f>
        <v/>
      </c>
      <c r="BL39" s="136" t="str">
        <f>IF($A39="","",VLOOKUP($A39,기본데이타!$A$8:$BV$103,COLUMN(기본데이타!BO$8),0))</f>
        <v/>
      </c>
      <c r="BM39" s="136" t="str">
        <f>IF($A39="","",VLOOKUP($A39,기본데이타!$A$8:$BV$103,COLUMN(기본데이타!BP$8),0))</f>
        <v/>
      </c>
      <c r="BN39" s="136" t="str">
        <f>IF($A39="","",VLOOKUP($A39,기본데이타!$A$8:$BV$103,COLUMN(기본데이타!BQ$8),0))</f>
        <v/>
      </c>
      <c r="BO39" s="136" t="str">
        <f>IF($A39="","",VLOOKUP($A39,기본데이타!$A$8:$BV$103,COLUMN(기본데이타!BR$8),0))</f>
        <v/>
      </c>
      <c r="BP39" s="136" t="str">
        <f>IF($A39="","",VLOOKUP($A39,기본데이타!$A$8:$BV$103,COLUMN(기본데이타!BS$8),0))</f>
        <v/>
      </c>
      <c r="BQ39" s="136" t="str">
        <f>IF($A39="","",VLOOKUP($A39,기본데이타!$A$8:$BV$103,COLUMN(기본데이타!BT$8),0))</f>
        <v/>
      </c>
      <c r="BR39" s="136" t="str">
        <f>IF($A39="","",VLOOKUP($A39,기본데이타!$A$8:$BV$103,COLUMN(기본데이타!BU$8),0))</f>
        <v/>
      </c>
      <c r="BS39" s="136" t="str">
        <f>IF($A39="","",VLOOKUP($A39,기본데이타!$A$8:$BV$103,COLUMN(기본데이타!BV$8),0))</f>
        <v/>
      </c>
      <c r="BT39" s="801">
        <f t="shared" si="9"/>
        <v>0</v>
      </c>
      <c r="BU39" s="241"/>
    </row>
    <row r="40" spans="1:73" s="7" customFormat="1" ht="73.5" customHeight="1">
      <c r="A40" s="170"/>
      <c r="B40" s="163"/>
      <c r="C40" s="164" t="str">
        <f>IF($A40="","",VLOOKUP($A40,기본데이타!$A$8:$BV$103,COLUMN(기본데이타!F$8),0))</f>
        <v/>
      </c>
      <c r="D40" s="165" t="str">
        <f>IF($A40="","",VLOOKUP($A40,기본데이타!$A$8:$BV$103,COLUMN(기본데이타!G$8),0))</f>
        <v/>
      </c>
      <c r="E40" s="166" t="str">
        <f>IF($A40="","",VLOOKUP($A40,기본데이타!$A$8:$BV$103,COLUMN(기본데이타!H$8),0))</f>
        <v/>
      </c>
      <c r="F40" s="166" t="str">
        <f>IF($A40="","",VLOOKUP($A40,기본데이타!$A$8:$BV$103,COLUMN(기본데이타!I$8),0))</f>
        <v/>
      </c>
      <c r="G40" s="166" t="str">
        <f>IF($A40="","",VLOOKUP($A40,기본데이타!$A$8:$BV$103,COLUMN(기본데이타!J$8),0))</f>
        <v/>
      </c>
      <c r="H40" s="167" t="str">
        <f>IF($A40="","",VLOOKUP($A40,기본데이타!$A$8:$BV$103,COLUMN(기본데이타!K$8),0))</f>
        <v/>
      </c>
      <c r="I40" s="167" t="str">
        <f>IF($A40="","",VLOOKUP($A40,기본데이타!$A$8:$BV$103,COLUMN(기본데이타!L$8),0))</f>
        <v/>
      </c>
      <c r="J40" s="167" t="str">
        <f>IF($A40="","",VLOOKUP($A40,기본데이타!$A$8:$BV$103,COLUMN(기본데이타!M$8),0))</f>
        <v/>
      </c>
      <c r="K40" s="168" t="str">
        <f>IF($A40="","",VLOOKUP($A40,기본데이타!$A$8:$BV$103,COLUMN(기본데이타!N$8),0))</f>
        <v/>
      </c>
      <c r="L40" s="167" t="str">
        <f>IF($A40="","",VLOOKUP($A40,기본데이타!$A$8:$BV$103,COLUMN(기본데이타!O$8),0))</f>
        <v/>
      </c>
      <c r="M40" s="168" t="str">
        <f>IF($A40="","",VLOOKUP($A40,기본데이타!$A$8:$BV$103,COLUMN(기본데이타!P$8),0))</f>
        <v/>
      </c>
      <c r="N40" s="168" t="str">
        <f>IF($A40="","",VLOOKUP($A40,기본데이타!$A$8:$BV$103,COLUMN(기본데이타!Q$8),0))</f>
        <v/>
      </c>
      <c r="O40" s="168" t="str">
        <f>IF($A40="","",VLOOKUP($A40,기본데이타!$A$8:$BV$103,COLUMN(기본데이타!R$8),0))</f>
        <v/>
      </c>
      <c r="P40" s="168" t="str">
        <f>IF($A40="","",VLOOKUP($A40,기본데이타!$A$8:$BV$103,COLUMN(기본데이타!S$8),0))</f>
        <v/>
      </c>
      <c r="Q40" s="168" t="str">
        <f>IF($A40="","",VLOOKUP($A40,기본데이타!$A$8:$BV$103,COLUMN(기본데이타!T$8),0))</f>
        <v/>
      </c>
      <c r="R40" s="168" t="str">
        <f>IF($A40="","",VLOOKUP($A40,기본데이타!$A$8:$BV$103,COLUMN(기본데이타!U$8),0))</f>
        <v/>
      </c>
      <c r="S40" s="168" t="str">
        <f>IF($A40="","",VLOOKUP($A40,기본데이타!$A$8:$BV$103,COLUMN(기본데이타!V$8),0))</f>
        <v/>
      </c>
      <c r="T40" s="168" t="str">
        <f>IF($A40="","",VLOOKUP($A40,기본데이타!$A$8:$BV$103,COLUMN(기본데이타!W$8),0))</f>
        <v/>
      </c>
      <c r="U40" s="168" t="str">
        <f>IF($A40="","",VLOOKUP($A40,기본데이타!$A$8:$BV$103,COLUMN(기본데이타!X$8),0))</f>
        <v/>
      </c>
      <c r="V40" s="168" t="str">
        <f>IF($A40="","",VLOOKUP($A40,기본데이타!$A$8:$BV$103,COLUMN(기본데이타!Y$8),0))</f>
        <v/>
      </c>
      <c r="W40" s="168" t="str">
        <f>IF($A40="","",VLOOKUP($A40,기본데이타!$A$8:$BV$103,COLUMN(기본데이타!Z$8),0))</f>
        <v/>
      </c>
      <c r="X40" s="168" t="str">
        <f>IF($A40="","",VLOOKUP($A40,기본데이타!$A$8:$BV$103,COLUMN(기본데이타!AA$8),0))</f>
        <v/>
      </c>
      <c r="Y40" s="168" t="str">
        <f>IF($A40="","",VLOOKUP($A40,기본데이타!$A$8:$BV$103,COLUMN(기본데이타!AB$8),0))</f>
        <v/>
      </c>
      <c r="Z40" s="167" t="str">
        <f>IF($A40="","",VLOOKUP($A40,기본데이타!$A$8:$BV$103,COLUMN(기본데이타!AC$8),0))</f>
        <v/>
      </c>
      <c r="AA40" s="168" t="str">
        <f>IF($A40="","",VLOOKUP($A40,기본데이타!$A$8:$BV$103,COLUMN(기본데이타!AD$8),0))</f>
        <v/>
      </c>
      <c r="AB40" s="167" t="str">
        <f>IF($A40="","",VLOOKUP($A40,기본데이타!$A$8:$BV$103,COLUMN(기본데이타!AE$8),0))</f>
        <v/>
      </c>
      <c r="AC40" s="168" t="str">
        <f>IF($A40="","",VLOOKUP($A40,기본데이타!$A$8:$BV$103,COLUMN(기본데이타!AF$8),0))</f>
        <v/>
      </c>
      <c r="AD40" s="167" t="str">
        <f>IF($A40="","",VLOOKUP($A40,기본데이타!$A$8:$BV$103,COLUMN(기본데이타!AG$8),0))</f>
        <v/>
      </c>
      <c r="AE40" s="168" t="str">
        <f>IF($A40="","",VLOOKUP($A40,기본데이타!$A$8:$BV$103,COLUMN(기본데이타!AH$8),0))</f>
        <v/>
      </c>
      <c r="AF40" s="167" t="str">
        <f>IF($A40="","",VLOOKUP($A40,기본데이타!$A$8:$BV$103,COLUMN(기본데이타!AI$8),0))</f>
        <v/>
      </c>
      <c r="AG40" s="169" t="str">
        <f>IF($A40="","",VLOOKUP($A40,기본데이타!$A$8:$BV$103,COLUMN(기본데이타!AJ$8),0))</f>
        <v/>
      </c>
      <c r="AH40" s="364" t="str">
        <f>IF($A40="","",VLOOKUP($A40,기본데이타!$A$8:$BV$103,COLUMN(기본데이타!AK$8),0))</f>
        <v/>
      </c>
      <c r="AI40" s="364" t="str">
        <f>IF($A40="","",VLOOKUP($A40,기본데이타!$A$8:$BV$103,COLUMN(기본데이타!AL$8),0))</f>
        <v/>
      </c>
      <c r="AJ40" s="364" t="str">
        <f>IF($A40="","",VLOOKUP($A40,기본데이타!$A$8:$BV$103,COLUMN(기본데이타!AM$8),0))</f>
        <v/>
      </c>
      <c r="AK40" s="364" t="str">
        <f>IF($A40="","",VLOOKUP($A40,기본데이타!$A$8:$BV$103,COLUMN(기본데이타!AN$8),0))</f>
        <v/>
      </c>
      <c r="AL40" s="364" t="str">
        <f>IF($A40="","",VLOOKUP($A40,기본데이타!$A$8:$BV$103,COLUMN(기본데이타!AO$8),0))</f>
        <v/>
      </c>
      <c r="AM40" s="364" t="str">
        <f>IF($A40="","",VLOOKUP($A40,기본데이타!$A$8:$BV$103,COLUMN(기본데이타!AP$8),0))</f>
        <v/>
      </c>
      <c r="AN40" s="364" t="str">
        <f>IF($A40="","",VLOOKUP($A40,기본데이타!$A$8:$BV$103,COLUMN(기본데이타!AQ$8),0))</f>
        <v/>
      </c>
      <c r="AO40" s="364" t="str">
        <f>IF($A40="","",VLOOKUP($A40,기본데이타!$A$8:$BV$103,COLUMN(기본데이타!AR$8),0))</f>
        <v/>
      </c>
      <c r="AP40" s="364" t="str">
        <f>IF($A40="","",VLOOKUP($A40,기본데이타!$A$8:$BV$103,COLUMN(기본데이타!AS$8),0))</f>
        <v/>
      </c>
      <c r="AQ40" s="364" t="str">
        <f>IF($A40="","",VLOOKUP($A40,기본데이타!$A$8:$BV$103,COLUMN(기본데이타!AT$8),0))</f>
        <v/>
      </c>
      <c r="AR40" s="364" t="str">
        <f>IF($A40="","",VLOOKUP($A40,기본데이타!$A$8:$BV$103,COLUMN(기본데이타!AU$8),0))</f>
        <v/>
      </c>
      <c r="AS40" s="364" t="str">
        <f>IF($A40="","",VLOOKUP($A40,기본데이타!$A$8:$BV$103,COLUMN(기본데이타!AV$8),0))</f>
        <v/>
      </c>
      <c r="AT40" s="358" t="str">
        <f>IF($A40="","",VLOOKUP($A40,기본데이타!$A$8:$BV$103,COLUMN(기본데이타!AW$8),0))</f>
        <v/>
      </c>
      <c r="AU40" s="358" t="str">
        <f>IF($A40="","",VLOOKUP($A40,기본데이타!$A$8:$BV$103,COLUMN(기본데이타!AX$8),0))</f>
        <v/>
      </c>
      <c r="AV40" s="358" t="str">
        <f>IF($A40="","",VLOOKUP($A40,기본데이타!$A$8:$BV$103,COLUMN(기본데이타!AY$8),0))</f>
        <v/>
      </c>
      <c r="AW40" s="358" t="str">
        <f t="shared" si="8"/>
        <v/>
      </c>
      <c r="AX40" s="136" t="str">
        <f>IF($A40="","",VLOOKUP($A40,기본데이타!$A$8:$BV$103,COLUMN(기본데이타!BA$8),0))</f>
        <v/>
      </c>
      <c r="AY40" s="136" t="str">
        <f>IF($A40="","",VLOOKUP($A40,기본데이타!$A$8:$BV$103,COLUMN(기본데이타!BB$8),0))</f>
        <v/>
      </c>
      <c r="AZ40" s="1164" t="str">
        <f>IF($A40="","",VLOOKUP($A40,기본데이타!$A$8:$BV$103,COLUMN(기본데이타!BC$8),0))</f>
        <v/>
      </c>
      <c r="BA40" s="136" t="str">
        <f>IF($A40="","",VLOOKUP($A40,기본데이타!$A$8:$BV$103,COLUMN(기본데이타!BD$8),0))</f>
        <v/>
      </c>
      <c r="BB40" s="136" t="str">
        <f>IF($A40="","",VLOOKUP($A40,기본데이타!$A$8:$BV$103,COLUMN(기본데이타!BE$8),0))</f>
        <v/>
      </c>
      <c r="BC40" s="136" t="str">
        <f>IF($A40="","",VLOOKUP($A40,기본데이타!$A$8:$BV$103,COLUMN(기본데이타!BF$8),0))</f>
        <v/>
      </c>
      <c r="BD40" s="136" t="str">
        <f>IF($A40="","",VLOOKUP($A40,기본데이타!$A$8:$BV$103,COLUMN(기본데이타!BG$8),0))</f>
        <v/>
      </c>
      <c r="BE40" s="136" t="str">
        <f>IF($A40="","",VLOOKUP($A40,기본데이타!$A$8:$BV$103,COLUMN(기본데이타!BH$8),0))</f>
        <v/>
      </c>
      <c r="BF40" s="136" t="str">
        <f>IF($A40="","",VLOOKUP($A40,기본데이타!$A$8:$BV$103,COLUMN(기본데이타!BI$8),0))</f>
        <v/>
      </c>
      <c r="BG40" s="136" t="str">
        <f>IF($A40="","",VLOOKUP($A40,기본데이타!$A$8:$BV$103,COLUMN(기본데이타!BJ$8),0))</f>
        <v/>
      </c>
      <c r="BH40" s="136" t="str">
        <f>IF($A40="","",VLOOKUP($A40,기본데이타!$A$8:$BV$103,COLUMN(기본데이타!BK$8),0))</f>
        <v/>
      </c>
      <c r="BI40" s="136" t="str">
        <f>IF($A40="","",VLOOKUP($A40,기본데이타!$A$8:$BV$103,COLUMN(기본데이타!BL$8),0))</f>
        <v/>
      </c>
      <c r="BJ40" s="136" t="str">
        <f>IF($A40="","",VLOOKUP($A40,기본데이타!$A$8:$BV$103,COLUMN(기본데이타!BM$8),0))</f>
        <v/>
      </c>
      <c r="BK40" s="136" t="str">
        <f>IF($A40="","",VLOOKUP($A40,기본데이타!$A$8:$BV$103,COLUMN(기본데이타!BN$8),0))</f>
        <v/>
      </c>
      <c r="BL40" s="136" t="str">
        <f>IF($A40="","",VLOOKUP($A40,기본데이타!$A$8:$BV$103,COLUMN(기본데이타!BO$8),0))</f>
        <v/>
      </c>
      <c r="BM40" s="136" t="str">
        <f>IF($A40="","",VLOOKUP($A40,기본데이타!$A$8:$BV$103,COLUMN(기본데이타!BP$8),0))</f>
        <v/>
      </c>
      <c r="BN40" s="136" t="str">
        <f>IF($A40="","",VLOOKUP($A40,기본데이타!$A$8:$BV$103,COLUMN(기본데이타!BQ$8),0))</f>
        <v/>
      </c>
      <c r="BO40" s="136" t="str">
        <f>IF($A40="","",VLOOKUP($A40,기본데이타!$A$8:$BV$103,COLUMN(기본데이타!BR$8),0))</f>
        <v/>
      </c>
      <c r="BP40" s="136" t="str">
        <f>IF($A40="","",VLOOKUP($A40,기본데이타!$A$8:$BV$103,COLUMN(기본데이타!BS$8),0))</f>
        <v/>
      </c>
      <c r="BQ40" s="136" t="str">
        <f>IF($A40="","",VLOOKUP($A40,기본데이타!$A$8:$BV$103,COLUMN(기본데이타!BT$8),0))</f>
        <v/>
      </c>
      <c r="BR40" s="136" t="str">
        <f>IF($A40="","",VLOOKUP($A40,기본데이타!$A$8:$BV$103,COLUMN(기본데이타!BU$8),0))</f>
        <v/>
      </c>
      <c r="BS40" s="136" t="str">
        <f>IF($A40="","",VLOOKUP($A40,기본데이타!$A$8:$BV$103,COLUMN(기본데이타!BV$8),0))</f>
        <v/>
      </c>
      <c r="BT40" s="801">
        <f t="shared" si="9"/>
        <v>0</v>
      </c>
      <c r="BU40" s="241"/>
    </row>
    <row r="41" spans="1:73" s="7" customFormat="1" ht="73.5" customHeight="1">
      <c r="A41" s="170"/>
      <c r="B41" s="163"/>
      <c r="C41" s="164" t="str">
        <f>IF($A41="","",VLOOKUP($A41,기본데이타!$A$8:$BV$103,COLUMN(기본데이타!F$8),0))</f>
        <v/>
      </c>
      <c r="D41" s="165" t="str">
        <f>IF($A41="","",VLOOKUP($A41,기본데이타!$A$8:$BV$103,COLUMN(기본데이타!G$8),0))</f>
        <v/>
      </c>
      <c r="E41" s="166" t="str">
        <f>IF($A41="","",VLOOKUP($A41,기본데이타!$A$8:$BV$103,COLUMN(기본데이타!H$8),0))</f>
        <v/>
      </c>
      <c r="F41" s="166" t="str">
        <f>IF($A41="","",VLOOKUP($A41,기본데이타!$A$8:$BV$103,COLUMN(기본데이타!I$8),0))</f>
        <v/>
      </c>
      <c r="G41" s="166" t="str">
        <f>IF($A41="","",VLOOKUP($A41,기본데이타!$A$8:$BV$103,COLUMN(기본데이타!J$8),0))</f>
        <v/>
      </c>
      <c r="H41" s="167" t="str">
        <f>IF($A41="","",VLOOKUP($A41,기본데이타!$A$8:$BV$103,COLUMN(기본데이타!K$8),0))</f>
        <v/>
      </c>
      <c r="I41" s="167" t="str">
        <f>IF($A41="","",VLOOKUP($A41,기본데이타!$A$8:$BV$103,COLUMN(기본데이타!L$8),0))</f>
        <v/>
      </c>
      <c r="J41" s="167" t="str">
        <f>IF($A41="","",VLOOKUP($A41,기본데이타!$A$8:$BV$103,COLUMN(기본데이타!M$8),0))</f>
        <v/>
      </c>
      <c r="K41" s="168" t="str">
        <f>IF($A41="","",VLOOKUP($A41,기본데이타!$A$8:$BV$103,COLUMN(기본데이타!N$8),0))</f>
        <v/>
      </c>
      <c r="L41" s="167" t="str">
        <f>IF($A41="","",VLOOKUP($A41,기본데이타!$A$8:$BV$103,COLUMN(기본데이타!O$8),0))</f>
        <v/>
      </c>
      <c r="M41" s="168" t="str">
        <f>IF($A41="","",VLOOKUP($A41,기본데이타!$A$8:$BV$103,COLUMN(기본데이타!P$8),0))</f>
        <v/>
      </c>
      <c r="N41" s="168" t="str">
        <f>IF($A41="","",VLOOKUP($A41,기본데이타!$A$8:$BV$103,COLUMN(기본데이타!Q$8),0))</f>
        <v/>
      </c>
      <c r="O41" s="168" t="str">
        <f>IF($A41="","",VLOOKUP($A41,기본데이타!$A$8:$BV$103,COLUMN(기본데이타!R$8),0))</f>
        <v/>
      </c>
      <c r="P41" s="168" t="str">
        <f>IF($A41="","",VLOOKUP($A41,기본데이타!$A$8:$BV$103,COLUMN(기본데이타!S$8),0))</f>
        <v/>
      </c>
      <c r="Q41" s="168" t="str">
        <f>IF($A41="","",VLOOKUP($A41,기본데이타!$A$8:$BV$103,COLUMN(기본데이타!T$8),0))</f>
        <v/>
      </c>
      <c r="R41" s="168" t="str">
        <f>IF($A41="","",VLOOKUP($A41,기본데이타!$A$8:$BV$103,COLUMN(기본데이타!U$8),0))</f>
        <v/>
      </c>
      <c r="S41" s="168" t="str">
        <f>IF($A41="","",VLOOKUP($A41,기본데이타!$A$8:$BV$103,COLUMN(기본데이타!V$8),0))</f>
        <v/>
      </c>
      <c r="T41" s="168" t="str">
        <f>IF($A41="","",VLOOKUP($A41,기본데이타!$A$8:$BV$103,COLUMN(기본데이타!W$8),0))</f>
        <v/>
      </c>
      <c r="U41" s="168" t="str">
        <f>IF($A41="","",VLOOKUP($A41,기본데이타!$A$8:$BV$103,COLUMN(기본데이타!X$8),0))</f>
        <v/>
      </c>
      <c r="V41" s="168" t="str">
        <f>IF($A41="","",VLOOKUP($A41,기본데이타!$A$8:$BV$103,COLUMN(기본데이타!Y$8),0))</f>
        <v/>
      </c>
      <c r="W41" s="168" t="str">
        <f>IF($A41="","",VLOOKUP($A41,기본데이타!$A$8:$BV$103,COLUMN(기본데이타!Z$8),0))</f>
        <v/>
      </c>
      <c r="X41" s="168" t="str">
        <f>IF($A41="","",VLOOKUP($A41,기본데이타!$A$8:$BV$103,COLUMN(기본데이타!AA$8),0))</f>
        <v/>
      </c>
      <c r="Y41" s="168" t="str">
        <f>IF($A41="","",VLOOKUP($A41,기본데이타!$A$8:$BV$103,COLUMN(기본데이타!AB$8),0))</f>
        <v/>
      </c>
      <c r="Z41" s="167" t="str">
        <f>IF($A41="","",VLOOKUP($A41,기본데이타!$A$8:$BV$103,COLUMN(기본데이타!AC$8),0))</f>
        <v/>
      </c>
      <c r="AA41" s="168" t="str">
        <f>IF($A41="","",VLOOKUP($A41,기본데이타!$A$8:$BV$103,COLUMN(기본데이타!AD$8),0))</f>
        <v/>
      </c>
      <c r="AB41" s="167" t="str">
        <f>IF($A41="","",VLOOKUP($A41,기본데이타!$A$8:$BV$103,COLUMN(기본데이타!AE$8),0))</f>
        <v/>
      </c>
      <c r="AC41" s="168" t="str">
        <f>IF($A41="","",VLOOKUP($A41,기본데이타!$A$8:$BV$103,COLUMN(기본데이타!AF$8),0))</f>
        <v/>
      </c>
      <c r="AD41" s="167" t="str">
        <f>IF($A41="","",VLOOKUP($A41,기본데이타!$A$8:$BV$103,COLUMN(기본데이타!AG$8),0))</f>
        <v/>
      </c>
      <c r="AE41" s="168" t="str">
        <f>IF($A41="","",VLOOKUP($A41,기본데이타!$A$8:$BV$103,COLUMN(기본데이타!AH$8),0))</f>
        <v/>
      </c>
      <c r="AF41" s="167" t="str">
        <f>IF($A41="","",VLOOKUP($A41,기본데이타!$A$8:$BV$103,COLUMN(기본데이타!AI$8),0))</f>
        <v/>
      </c>
      <c r="AG41" s="169" t="str">
        <f>IF($A41="","",VLOOKUP($A41,기본데이타!$A$8:$BV$103,COLUMN(기본데이타!AJ$8),0))</f>
        <v/>
      </c>
      <c r="AH41" s="364" t="str">
        <f>IF($A41="","",VLOOKUP($A41,기본데이타!$A$8:$BV$103,COLUMN(기본데이타!AK$8),0))</f>
        <v/>
      </c>
      <c r="AI41" s="364" t="str">
        <f>IF($A41="","",VLOOKUP($A41,기본데이타!$A$8:$BV$103,COLUMN(기본데이타!AL$8),0))</f>
        <v/>
      </c>
      <c r="AJ41" s="364" t="str">
        <f>IF($A41="","",VLOOKUP($A41,기본데이타!$A$8:$BV$103,COLUMN(기본데이타!AM$8),0))</f>
        <v/>
      </c>
      <c r="AK41" s="364" t="str">
        <f>IF($A41="","",VLOOKUP($A41,기본데이타!$A$8:$BV$103,COLUMN(기본데이타!AN$8),0))</f>
        <v/>
      </c>
      <c r="AL41" s="364" t="str">
        <f>IF($A41="","",VLOOKUP($A41,기본데이타!$A$8:$BV$103,COLUMN(기본데이타!AO$8),0))</f>
        <v/>
      </c>
      <c r="AM41" s="364" t="str">
        <f>IF($A41="","",VLOOKUP($A41,기본데이타!$A$8:$BV$103,COLUMN(기본데이타!AP$8),0))</f>
        <v/>
      </c>
      <c r="AN41" s="364" t="str">
        <f>IF($A41="","",VLOOKUP($A41,기본데이타!$A$8:$BV$103,COLUMN(기본데이타!AQ$8),0))</f>
        <v/>
      </c>
      <c r="AO41" s="364" t="str">
        <f>IF($A41="","",VLOOKUP($A41,기본데이타!$A$8:$BV$103,COLUMN(기본데이타!AR$8),0))</f>
        <v/>
      </c>
      <c r="AP41" s="364" t="str">
        <f>IF($A41="","",VLOOKUP($A41,기본데이타!$A$8:$BV$103,COLUMN(기본데이타!AS$8),0))</f>
        <v/>
      </c>
      <c r="AQ41" s="364" t="str">
        <f>IF($A41="","",VLOOKUP($A41,기본데이타!$A$8:$BV$103,COLUMN(기본데이타!AT$8),0))</f>
        <v/>
      </c>
      <c r="AR41" s="364" t="str">
        <f>IF($A41="","",VLOOKUP($A41,기본데이타!$A$8:$BV$103,COLUMN(기본데이타!AU$8),0))</f>
        <v/>
      </c>
      <c r="AS41" s="364" t="str">
        <f>IF($A41="","",VLOOKUP($A41,기본데이타!$A$8:$BV$103,COLUMN(기본데이타!AV$8),0))</f>
        <v/>
      </c>
      <c r="AT41" s="358" t="str">
        <f>IF($A41="","",VLOOKUP($A41,기본데이타!$A$8:$BV$103,COLUMN(기본데이타!AW$8),0))</f>
        <v/>
      </c>
      <c r="AU41" s="358" t="str">
        <f>IF($A41="","",VLOOKUP($A41,기본데이타!$A$8:$BV$103,COLUMN(기본데이타!AX$8),0))</f>
        <v/>
      </c>
      <c r="AV41" s="358" t="str">
        <f>IF($A41="","",VLOOKUP($A41,기본데이타!$A$8:$BV$103,COLUMN(기본데이타!AY$8),0))</f>
        <v/>
      </c>
      <c r="AW41" s="358" t="str">
        <f t="shared" si="8"/>
        <v/>
      </c>
      <c r="AX41" s="136" t="str">
        <f>IF($A41="","",VLOOKUP($A41,기본데이타!$A$8:$BV$103,COLUMN(기본데이타!BA$8),0))</f>
        <v/>
      </c>
      <c r="AY41" s="136" t="str">
        <f>IF($A41="","",VLOOKUP($A41,기본데이타!$A$8:$BV$103,COLUMN(기본데이타!BB$8),0))</f>
        <v/>
      </c>
      <c r="AZ41" s="1164" t="str">
        <f>IF($A41="","",VLOOKUP($A41,기본데이타!$A$8:$BV$103,COLUMN(기본데이타!BC$8),0))</f>
        <v/>
      </c>
      <c r="BA41" s="136" t="str">
        <f>IF($A41="","",VLOOKUP($A41,기본데이타!$A$8:$BV$103,COLUMN(기본데이타!BD$8),0))</f>
        <v/>
      </c>
      <c r="BB41" s="136" t="str">
        <f>IF($A41="","",VLOOKUP($A41,기본데이타!$A$8:$BV$103,COLUMN(기본데이타!BE$8),0))</f>
        <v/>
      </c>
      <c r="BC41" s="136" t="str">
        <f>IF($A41="","",VLOOKUP($A41,기본데이타!$A$8:$BV$103,COLUMN(기본데이타!BF$8),0))</f>
        <v/>
      </c>
      <c r="BD41" s="136" t="str">
        <f>IF($A41="","",VLOOKUP($A41,기본데이타!$A$8:$BV$103,COLUMN(기본데이타!BG$8),0))</f>
        <v/>
      </c>
      <c r="BE41" s="136" t="str">
        <f>IF($A41="","",VLOOKUP($A41,기본데이타!$A$8:$BV$103,COLUMN(기본데이타!BH$8),0))</f>
        <v/>
      </c>
      <c r="BF41" s="136" t="str">
        <f>IF($A41="","",VLOOKUP($A41,기본데이타!$A$8:$BV$103,COLUMN(기본데이타!BI$8),0))</f>
        <v/>
      </c>
      <c r="BG41" s="136" t="str">
        <f>IF($A41="","",VLOOKUP($A41,기본데이타!$A$8:$BV$103,COLUMN(기본데이타!BJ$8),0))</f>
        <v/>
      </c>
      <c r="BH41" s="136" t="str">
        <f>IF($A41="","",VLOOKUP($A41,기본데이타!$A$8:$BV$103,COLUMN(기본데이타!BK$8),0))</f>
        <v/>
      </c>
      <c r="BI41" s="136" t="str">
        <f>IF($A41="","",VLOOKUP($A41,기본데이타!$A$8:$BV$103,COLUMN(기본데이타!BL$8),0))</f>
        <v/>
      </c>
      <c r="BJ41" s="136" t="str">
        <f>IF($A41="","",VLOOKUP($A41,기본데이타!$A$8:$BV$103,COLUMN(기본데이타!BM$8),0))</f>
        <v/>
      </c>
      <c r="BK41" s="136" t="str">
        <f>IF($A41="","",VLOOKUP($A41,기본데이타!$A$8:$BV$103,COLUMN(기본데이타!BN$8),0))</f>
        <v/>
      </c>
      <c r="BL41" s="136" t="str">
        <f>IF($A41="","",VLOOKUP($A41,기본데이타!$A$8:$BV$103,COLUMN(기본데이타!BO$8),0))</f>
        <v/>
      </c>
      <c r="BM41" s="136" t="str">
        <f>IF($A41="","",VLOOKUP($A41,기본데이타!$A$8:$BV$103,COLUMN(기본데이타!BP$8),0))</f>
        <v/>
      </c>
      <c r="BN41" s="136" t="str">
        <f>IF($A41="","",VLOOKUP($A41,기본데이타!$A$8:$BV$103,COLUMN(기본데이타!BQ$8),0))</f>
        <v/>
      </c>
      <c r="BO41" s="136" t="str">
        <f>IF($A41="","",VLOOKUP($A41,기본데이타!$A$8:$BV$103,COLUMN(기본데이타!BR$8),0))</f>
        <v/>
      </c>
      <c r="BP41" s="136" t="str">
        <f>IF($A41="","",VLOOKUP($A41,기본데이타!$A$8:$BV$103,COLUMN(기본데이타!BS$8),0))</f>
        <v/>
      </c>
      <c r="BQ41" s="136" t="str">
        <f>IF($A41="","",VLOOKUP($A41,기본데이타!$A$8:$BV$103,COLUMN(기본데이타!BT$8),0))</f>
        <v/>
      </c>
      <c r="BR41" s="136" t="str">
        <f>IF($A41="","",VLOOKUP($A41,기본데이타!$A$8:$BV$103,COLUMN(기본데이타!BU$8),0))</f>
        <v/>
      </c>
      <c r="BS41" s="136" t="str">
        <f>IF($A41="","",VLOOKUP($A41,기본데이타!$A$8:$BV$103,COLUMN(기본데이타!BV$8),0))</f>
        <v/>
      </c>
      <c r="BT41" s="801">
        <f t="shared" si="9"/>
        <v>0</v>
      </c>
      <c r="BU41" s="241"/>
    </row>
    <row r="42" spans="1:73" s="7" customFormat="1" ht="73.5" customHeight="1">
      <c r="A42" s="170"/>
      <c r="B42" s="163"/>
      <c r="C42" s="164" t="str">
        <f>IF($A42="","",VLOOKUP($A42,기본데이타!$A$8:$BV$103,COLUMN(기본데이타!F$8),0))</f>
        <v/>
      </c>
      <c r="D42" s="165" t="str">
        <f>IF($A42="","",VLOOKUP($A42,기본데이타!$A$8:$BV$103,COLUMN(기본데이타!G$8),0))</f>
        <v/>
      </c>
      <c r="E42" s="166" t="str">
        <f>IF($A42="","",VLOOKUP($A42,기본데이타!$A$8:$BV$103,COLUMN(기본데이타!H$8),0))</f>
        <v/>
      </c>
      <c r="F42" s="166" t="str">
        <f>IF($A42="","",VLOOKUP($A42,기본데이타!$A$8:$BV$103,COLUMN(기본데이타!I$8),0))</f>
        <v/>
      </c>
      <c r="G42" s="166" t="str">
        <f>IF($A42="","",VLOOKUP($A42,기본데이타!$A$8:$BV$103,COLUMN(기본데이타!J$8),0))</f>
        <v/>
      </c>
      <c r="H42" s="167" t="str">
        <f>IF($A42="","",VLOOKUP($A42,기본데이타!$A$8:$BV$103,COLUMN(기본데이타!K$8),0))</f>
        <v/>
      </c>
      <c r="I42" s="167" t="str">
        <f>IF($A42="","",VLOOKUP($A42,기본데이타!$A$8:$BV$103,COLUMN(기본데이타!L$8),0))</f>
        <v/>
      </c>
      <c r="J42" s="167" t="str">
        <f>IF($A42="","",VLOOKUP($A42,기본데이타!$A$8:$BV$103,COLUMN(기본데이타!M$8),0))</f>
        <v/>
      </c>
      <c r="K42" s="168" t="str">
        <f>IF($A42="","",VLOOKUP($A42,기본데이타!$A$8:$BV$103,COLUMN(기본데이타!N$8),0))</f>
        <v/>
      </c>
      <c r="L42" s="167" t="str">
        <f>IF($A42="","",VLOOKUP($A42,기본데이타!$A$8:$BV$103,COLUMN(기본데이타!O$8),0))</f>
        <v/>
      </c>
      <c r="M42" s="168" t="str">
        <f>IF($A42="","",VLOOKUP($A42,기본데이타!$A$8:$BV$103,COLUMN(기본데이타!P$8),0))</f>
        <v/>
      </c>
      <c r="N42" s="168" t="str">
        <f>IF($A42="","",VLOOKUP($A42,기본데이타!$A$8:$BV$103,COLUMN(기본데이타!Q$8),0))</f>
        <v/>
      </c>
      <c r="O42" s="168" t="str">
        <f>IF($A42="","",VLOOKUP($A42,기본데이타!$A$8:$BV$103,COLUMN(기본데이타!R$8),0))</f>
        <v/>
      </c>
      <c r="P42" s="168" t="str">
        <f>IF($A42="","",VLOOKUP($A42,기본데이타!$A$8:$BV$103,COLUMN(기본데이타!S$8),0))</f>
        <v/>
      </c>
      <c r="Q42" s="168" t="str">
        <f>IF($A42="","",VLOOKUP($A42,기본데이타!$A$8:$BV$103,COLUMN(기본데이타!T$8),0))</f>
        <v/>
      </c>
      <c r="R42" s="168" t="str">
        <f>IF($A42="","",VLOOKUP($A42,기본데이타!$A$8:$BV$103,COLUMN(기본데이타!U$8),0))</f>
        <v/>
      </c>
      <c r="S42" s="168" t="str">
        <f>IF($A42="","",VLOOKUP($A42,기본데이타!$A$8:$BV$103,COLUMN(기본데이타!V$8),0))</f>
        <v/>
      </c>
      <c r="T42" s="168" t="str">
        <f>IF($A42="","",VLOOKUP($A42,기본데이타!$A$8:$BV$103,COLUMN(기본데이타!W$8),0))</f>
        <v/>
      </c>
      <c r="U42" s="168" t="str">
        <f>IF($A42="","",VLOOKUP($A42,기본데이타!$A$8:$BV$103,COLUMN(기본데이타!X$8),0))</f>
        <v/>
      </c>
      <c r="V42" s="168" t="str">
        <f>IF($A42="","",VLOOKUP($A42,기본데이타!$A$8:$BV$103,COLUMN(기본데이타!Y$8),0))</f>
        <v/>
      </c>
      <c r="W42" s="168" t="str">
        <f>IF($A42="","",VLOOKUP($A42,기본데이타!$A$8:$BV$103,COLUMN(기본데이타!Z$8),0))</f>
        <v/>
      </c>
      <c r="X42" s="168" t="str">
        <f>IF($A42="","",VLOOKUP($A42,기본데이타!$A$8:$BV$103,COLUMN(기본데이타!AA$8),0))</f>
        <v/>
      </c>
      <c r="Y42" s="168" t="str">
        <f>IF($A42="","",VLOOKUP($A42,기본데이타!$A$8:$BV$103,COLUMN(기본데이타!AB$8),0))</f>
        <v/>
      </c>
      <c r="Z42" s="167" t="str">
        <f>IF($A42="","",VLOOKUP($A42,기본데이타!$A$8:$BV$103,COLUMN(기본데이타!AC$8),0))</f>
        <v/>
      </c>
      <c r="AA42" s="168" t="str">
        <f>IF($A42="","",VLOOKUP($A42,기본데이타!$A$8:$BV$103,COLUMN(기본데이타!AD$8),0))</f>
        <v/>
      </c>
      <c r="AB42" s="167" t="str">
        <f>IF($A42="","",VLOOKUP($A42,기본데이타!$A$8:$BV$103,COLUMN(기본데이타!AE$8),0))</f>
        <v/>
      </c>
      <c r="AC42" s="168" t="str">
        <f>IF($A42="","",VLOOKUP($A42,기본데이타!$A$8:$BV$103,COLUMN(기본데이타!AF$8),0))</f>
        <v/>
      </c>
      <c r="AD42" s="167" t="str">
        <f>IF($A42="","",VLOOKUP($A42,기본데이타!$A$8:$BV$103,COLUMN(기본데이타!AG$8),0))</f>
        <v/>
      </c>
      <c r="AE42" s="168" t="str">
        <f>IF($A42="","",VLOOKUP($A42,기본데이타!$A$8:$BV$103,COLUMN(기본데이타!AH$8),0))</f>
        <v/>
      </c>
      <c r="AF42" s="167" t="str">
        <f>IF($A42="","",VLOOKUP($A42,기본데이타!$A$8:$BV$103,COLUMN(기본데이타!AI$8),0))</f>
        <v/>
      </c>
      <c r="AG42" s="169" t="str">
        <f>IF($A42="","",VLOOKUP($A42,기본데이타!$A$8:$BV$103,COLUMN(기본데이타!AJ$8),0))</f>
        <v/>
      </c>
      <c r="AH42" s="364" t="str">
        <f>IF($A42="","",VLOOKUP($A42,기본데이타!$A$8:$BV$103,COLUMN(기본데이타!AK$8),0))</f>
        <v/>
      </c>
      <c r="AI42" s="364" t="str">
        <f>IF($A42="","",VLOOKUP($A42,기본데이타!$A$8:$BV$103,COLUMN(기본데이타!AL$8),0))</f>
        <v/>
      </c>
      <c r="AJ42" s="364" t="str">
        <f>IF($A42="","",VLOOKUP($A42,기본데이타!$A$8:$BV$103,COLUMN(기본데이타!AM$8),0))</f>
        <v/>
      </c>
      <c r="AK42" s="364" t="str">
        <f>IF($A42="","",VLOOKUP($A42,기본데이타!$A$8:$BV$103,COLUMN(기본데이타!AN$8),0))</f>
        <v/>
      </c>
      <c r="AL42" s="364" t="str">
        <f>IF($A42="","",VLOOKUP($A42,기본데이타!$A$8:$BV$103,COLUMN(기본데이타!AO$8),0))</f>
        <v/>
      </c>
      <c r="AM42" s="364" t="str">
        <f>IF($A42="","",VLOOKUP($A42,기본데이타!$A$8:$BV$103,COLUMN(기본데이타!AP$8),0))</f>
        <v/>
      </c>
      <c r="AN42" s="364" t="str">
        <f>IF($A42="","",VLOOKUP($A42,기본데이타!$A$8:$BV$103,COLUMN(기본데이타!AQ$8),0))</f>
        <v/>
      </c>
      <c r="AO42" s="364" t="str">
        <f>IF($A42="","",VLOOKUP($A42,기본데이타!$A$8:$BV$103,COLUMN(기본데이타!AR$8),0))</f>
        <v/>
      </c>
      <c r="AP42" s="364" t="str">
        <f>IF($A42="","",VLOOKUP($A42,기본데이타!$A$8:$BV$103,COLUMN(기본데이타!AS$8),0))</f>
        <v/>
      </c>
      <c r="AQ42" s="364" t="str">
        <f>IF($A42="","",VLOOKUP($A42,기본데이타!$A$8:$BV$103,COLUMN(기본데이타!AT$8),0))</f>
        <v/>
      </c>
      <c r="AR42" s="364" t="str">
        <f>IF($A42="","",VLOOKUP($A42,기본데이타!$A$8:$BV$103,COLUMN(기본데이타!AU$8),0))</f>
        <v/>
      </c>
      <c r="AS42" s="364" t="str">
        <f>IF($A42="","",VLOOKUP($A42,기본데이타!$A$8:$BV$103,COLUMN(기본데이타!AV$8),0))</f>
        <v/>
      </c>
      <c r="AT42" s="358" t="str">
        <f>IF($A42="","",VLOOKUP($A42,기본데이타!$A$8:$BV$103,COLUMN(기본데이타!AW$8),0))</f>
        <v/>
      </c>
      <c r="AU42" s="358" t="str">
        <f>IF($A42="","",VLOOKUP($A42,기본데이타!$A$8:$BV$103,COLUMN(기본데이타!AX$8),0))</f>
        <v/>
      </c>
      <c r="AV42" s="358" t="str">
        <f>IF($A42="","",VLOOKUP($A42,기본데이타!$A$8:$BV$103,COLUMN(기본데이타!AY$8),0))</f>
        <v/>
      </c>
      <c r="AW42" s="358" t="str">
        <f t="shared" si="8"/>
        <v/>
      </c>
      <c r="AX42" s="136" t="str">
        <f>IF($A42="","",VLOOKUP($A42,기본데이타!$A$8:$BV$103,COLUMN(기본데이타!BA$8),0))</f>
        <v/>
      </c>
      <c r="AY42" s="136" t="str">
        <f>IF($A42="","",VLOOKUP($A42,기본데이타!$A$8:$BV$103,COLUMN(기본데이타!BB$8),0))</f>
        <v/>
      </c>
      <c r="AZ42" s="1164" t="str">
        <f>IF($A42="","",VLOOKUP($A42,기본데이타!$A$8:$BV$103,COLUMN(기본데이타!BC$8),0))</f>
        <v/>
      </c>
      <c r="BA42" s="136" t="str">
        <f>IF($A42="","",VLOOKUP($A42,기본데이타!$A$8:$BV$103,COLUMN(기본데이타!BD$8),0))</f>
        <v/>
      </c>
      <c r="BB42" s="136" t="str">
        <f>IF($A42="","",VLOOKUP($A42,기본데이타!$A$8:$BV$103,COLUMN(기본데이타!BE$8),0))</f>
        <v/>
      </c>
      <c r="BC42" s="136" t="str">
        <f>IF($A42="","",VLOOKUP($A42,기본데이타!$A$8:$BV$103,COLUMN(기본데이타!BF$8),0))</f>
        <v/>
      </c>
      <c r="BD42" s="136" t="str">
        <f>IF($A42="","",VLOOKUP($A42,기본데이타!$A$8:$BV$103,COLUMN(기본데이타!BG$8),0))</f>
        <v/>
      </c>
      <c r="BE42" s="136" t="str">
        <f>IF($A42="","",VLOOKUP($A42,기본데이타!$A$8:$BV$103,COLUMN(기본데이타!BH$8),0))</f>
        <v/>
      </c>
      <c r="BF42" s="136" t="str">
        <f>IF($A42="","",VLOOKUP($A42,기본데이타!$A$8:$BV$103,COLUMN(기본데이타!BI$8),0))</f>
        <v/>
      </c>
      <c r="BG42" s="136" t="str">
        <f>IF($A42="","",VLOOKUP($A42,기본데이타!$A$8:$BV$103,COLUMN(기본데이타!BJ$8),0))</f>
        <v/>
      </c>
      <c r="BH42" s="136" t="str">
        <f>IF($A42="","",VLOOKUP($A42,기본데이타!$A$8:$BV$103,COLUMN(기본데이타!BK$8),0))</f>
        <v/>
      </c>
      <c r="BI42" s="136" t="str">
        <f>IF($A42="","",VLOOKUP($A42,기본데이타!$A$8:$BV$103,COLUMN(기본데이타!BL$8),0))</f>
        <v/>
      </c>
      <c r="BJ42" s="136" t="str">
        <f>IF($A42="","",VLOOKUP($A42,기본데이타!$A$8:$BV$103,COLUMN(기본데이타!BM$8),0))</f>
        <v/>
      </c>
      <c r="BK42" s="136" t="str">
        <f>IF($A42="","",VLOOKUP($A42,기본데이타!$A$8:$BV$103,COLUMN(기본데이타!BN$8),0))</f>
        <v/>
      </c>
      <c r="BL42" s="136" t="str">
        <f>IF($A42="","",VLOOKUP($A42,기본데이타!$A$8:$BV$103,COLUMN(기본데이타!BO$8),0))</f>
        <v/>
      </c>
      <c r="BM42" s="136" t="str">
        <f>IF($A42="","",VLOOKUP($A42,기본데이타!$A$8:$BV$103,COLUMN(기본데이타!BP$8),0))</f>
        <v/>
      </c>
      <c r="BN42" s="136" t="str">
        <f>IF($A42="","",VLOOKUP($A42,기본데이타!$A$8:$BV$103,COLUMN(기본데이타!BQ$8),0))</f>
        <v/>
      </c>
      <c r="BO42" s="136" t="str">
        <f>IF($A42="","",VLOOKUP($A42,기본데이타!$A$8:$BV$103,COLUMN(기본데이타!BR$8),0))</f>
        <v/>
      </c>
      <c r="BP42" s="136" t="str">
        <f>IF($A42="","",VLOOKUP($A42,기본데이타!$A$8:$BV$103,COLUMN(기본데이타!BS$8),0))</f>
        <v/>
      </c>
      <c r="BQ42" s="136" t="str">
        <f>IF($A42="","",VLOOKUP($A42,기본데이타!$A$8:$BV$103,COLUMN(기본데이타!BT$8),0))</f>
        <v/>
      </c>
      <c r="BR42" s="136" t="str">
        <f>IF($A42="","",VLOOKUP($A42,기본데이타!$A$8:$BV$103,COLUMN(기본데이타!BU$8),0))</f>
        <v/>
      </c>
      <c r="BS42" s="136" t="str">
        <f>IF($A42="","",VLOOKUP($A42,기본데이타!$A$8:$BV$103,COLUMN(기본데이타!BV$8),0))</f>
        <v/>
      </c>
      <c r="BT42" s="801">
        <f t="shared" si="9"/>
        <v>0</v>
      </c>
      <c r="BU42" s="241"/>
    </row>
    <row r="43" spans="1:73" s="7" customFormat="1" ht="73.5" customHeight="1">
      <c r="A43" s="170"/>
      <c r="B43" s="163"/>
      <c r="C43" s="164" t="str">
        <f>IF($A43="","",VLOOKUP($A43,기본데이타!$A$8:$BV$103,COLUMN(기본데이타!F$8),0))</f>
        <v/>
      </c>
      <c r="D43" s="165" t="str">
        <f>IF($A43="","",VLOOKUP($A43,기본데이타!$A$8:$BV$103,COLUMN(기본데이타!G$8),0))</f>
        <v/>
      </c>
      <c r="E43" s="166" t="str">
        <f>IF($A43="","",VLOOKUP($A43,기본데이타!$A$8:$BV$103,COLUMN(기본데이타!H$8),0))</f>
        <v/>
      </c>
      <c r="F43" s="166" t="str">
        <f>IF($A43="","",VLOOKUP($A43,기본데이타!$A$8:$BV$103,COLUMN(기본데이타!I$8),0))</f>
        <v/>
      </c>
      <c r="G43" s="166" t="str">
        <f>IF($A43="","",VLOOKUP($A43,기본데이타!$A$8:$BV$103,COLUMN(기본데이타!J$8),0))</f>
        <v/>
      </c>
      <c r="H43" s="167" t="str">
        <f>IF($A43="","",VLOOKUP($A43,기본데이타!$A$8:$BV$103,COLUMN(기본데이타!K$8),0))</f>
        <v/>
      </c>
      <c r="I43" s="167" t="str">
        <f>IF($A43="","",VLOOKUP($A43,기본데이타!$A$8:$BV$103,COLUMN(기본데이타!L$8),0))</f>
        <v/>
      </c>
      <c r="J43" s="167" t="str">
        <f>IF($A43="","",VLOOKUP($A43,기본데이타!$A$8:$BV$103,COLUMN(기본데이타!M$8),0))</f>
        <v/>
      </c>
      <c r="K43" s="168" t="str">
        <f>IF($A43="","",VLOOKUP($A43,기본데이타!$A$8:$BV$103,COLUMN(기본데이타!N$8),0))</f>
        <v/>
      </c>
      <c r="L43" s="167" t="str">
        <f>IF($A43="","",VLOOKUP($A43,기본데이타!$A$8:$BV$103,COLUMN(기본데이타!O$8),0))</f>
        <v/>
      </c>
      <c r="M43" s="168" t="str">
        <f>IF($A43="","",VLOOKUP($A43,기본데이타!$A$8:$BV$103,COLUMN(기본데이타!P$8),0))</f>
        <v/>
      </c>
      <c r="N43" s="168" t="str">
        <f>IF($A43="","",VLOOKUP($A43,기본데이타!$A$8:$BV$103,COLUMN(기본데이타!Q$8),0))</f>
        <v/>
      </c>
      <c r="O43" s="168" t="str">
        <f>IF($A43="","",VLOOKUP($A43,기본데이타!$A$8:$BV$103,COLUMN(기본데이타!R$8),0))</f>
        <v/>
      </c>
      <c r="P43" s="168" t="str">
        <f>IF($A43="","",VLOOKUP($A43,기본데이타!$A$8:$BV$103,COLUMN(기본데이타!S$8),0))</f>
        <v/>
      </c>
      <c r="Q43" s="168" t="str">
        <f>IF($A43="","",VLOOKUP($A43,기본데이타!$A$8:$BV$103,COLUMN(기본데이타!T$8),0))</f>
        <v/>
      </c>
      <c r="R43" s="168" t="str">
        <f>IF($A43="","",VLOOKUP($A43,기본데이타!$A$8:$BV$103,COLUMN(기본데이타!U$8),0))</f>
        <v/>
      </c>
      <c r="S43" s="168" t="str">
        <f>IF($A43="","",VLOOKUP($A43,기본데이타!$A$8:$BV$103,COLUMN(기본데이타!V$8),0))</f>
        <v/>
      </c>
      <c r="T43" s="168" t="str">
        <f>IF($A43="","",VLOOKUP($A43,기본데이타!$A$8:$BV$103,COLUMN(기본데이타!W$8),0))</f>
        <v/>
      </c>
      <c r="U43" s="168" t="str">
        <f>IF($A43="","",VLOOKUP($A43,기본데이타!$A$8:$BV$103,COLUMN(기본데이타!X$8),0))</f>
        <v/>
      </c>
      <c r="V43" s="168" t="str">
        <f>IF($A43="","",VLOOKUP($A43,기본데이타!$A$8:$BV$103,COLUMN(기본데이타!Y$8),0))</f>
        <v/>
      </c>
      <c r="W43" s="168" t="str">
        <f>IF($A43="","",VLOOKUP($A43,기본데이타!$A$8:$BV$103,COLUMN(기본데이타!Z$8),0))</f>
        <v/>
      </c>
      <c r="X43" s="168" t="str">
        <f>IF($A43="","",VLOOKUP($A43,기본데이타!$A$8:$BV$103,COLUMN(기본데이타!AA$8),0))</f>
        <v/>
      </c>
      <c r="Y43" s="168" t="str">
        <f>IF($A43="","",VLOOKUP($A43,기본데이타!$A$8:$BV$103,COLUMN(기본데이타!AB$8),0))</f>
        <v/>
      </c>
      <c r="Z43" s="167" t="str">
        <f>IF($A43="","",VLOOKUP($A43,기본데이타!$A$8:$BV$103,COLUMN(기본데이타!AC$8),0))</f>
        <v/>
      </c>
      <c r="AA43" s="168" t="str">
        <f>IF($A43="","",VLOOKUP($A43,기본데이타!$A$8:$BV$103,COLUMN(기본데이타!AD$8),0))</f>
        <v/>
      </c>
      <c r="AB43" s="167" t="str">
        <f>IF($A43="","",VLOOKUP($A43,기본데이타!$A$8:$BV$103,COLUMN(기본데이타!AE$8),0))</f>
        <v/>
      </c>
      <c r="AC43" s="168" t="str">
        <f>IF($A43="","",VLOOKUP($A43,기본데이타!$A$8:$BV$103,COLUMN(기본데이타!AF$8),0))</f>
        <v/>
      </c>
      <c r="AD43" s="167" t="str">
        <f>IF($A43="","",VLOOKUP($A43,기본데이타!$A$8:$BV$103,COLUMN(기본데이타!AG$8),0))</f>
        <v/>
      </c>
      <c r="AE43" s="168" t="str">
        <f>IF($A43="","",VLOOKUP($A43,기본데이타!$A$8:$BV$103,COLUMN(기본데이타!AH$8),0))</f>
        <v/>
      </c>
      <c r="AF43" s="167" t="str">
        <f>IF($A43="","",VLOOKUP($A43,기본데이타!$A$8:$BV$103,COLUMN(기본데이타!AI$8),0))</f>
        <v/>
      </c>
      <c r="AG43" s="169" t="str">
        <f>IF($A43="","",VLOOKUP($A43,기본데이타!$A$8:$BV$103,COLUMN(기본데이타!AJ$8),0))</f>
        <v/>
      </c>
      <c r="AH43" s="364" t="str">
        <f>IF($A43="","",VLOOKUP($A43,기본데이타!$A$8:$BV$103,COLUMN(기본데이타!AK$8),0))</f>
        <v/>
      </c>
      <c r="AI43" s="364" t="str">
        <f>IF($A43="","",VLOOKUP($A43,기본데이타!$A$8:$BV$103,COLUMN(기본데이타!AL$8),0))</f>
        <v/>
      </c>
      <c r="AJ43" s="364" t="str">
        <f>IF($A43="","",VLOOKUP($A43,기본데이타!$A$8:$BV$103,COLUMN(기본데이타!AM$8),0))</f>
        <v/>
      </c>
      <c r="AK43" s="364" t="str">
        <f>IF($A43="","",VLOOKUP($A43,기본데이타!$A$8:$BV$103,COLUMN(기본데이타!AN$8),0))</f>
        <v/>
      </c>
      <c r="AL43" s="364" t="str">
        <f>IF($A43="","",VLOOKUP($A43,기본데이타!$A$8:$BV$103,COLUMN(기본데이타!AO$8),0))</f>
        <v/>
      </c>
      <c r="AM43" s="364" t="str">
        <f>IF($A43="","",VLOOKUP($A43,기본데이타!$A$8:$BV$103,COLUMN(기본데이타!AP$8),0))</f>
        <v/>
      </c>
      <c r="AN43" s="364" t="str">
        <f>IF($A43="","",VLOOKUP($A43,기본데이타!$A$8:$BV$103,COLUMN(기본데이타!AQ$8),0))</f>
        <v/>
      </c>
      <c r="AO43" s="364" t="str">
        <f>IF($A43="","",VLOOKUP($A43,기본데이타!$A$8:$BV$103,COLUMN(기본데이타!AR$8),0))</f>
        <v/>
      </c>
      <c r="AP43" s="364" t="str">
        <f>IF($A43="","",VLOOKUP($A43,기본데이타!$A$8:$BV$103,COLUMN(기본데이타!AS$8),0))</f>
        <v/>
      </c>
      <c r="AQ43" s="364" t="str">
        <f>IF($A43="","",VLOOKUP($A43,기본데이타!$A$8:$BV$103,COLUMN(기본데이타!AT$8),0))</f>
        <v/>
      </c>
      <c r="AR43" s="364" t="str">
        <f>IF($A43="","",VLOOKUP($A43,기본데이타!$A$8:$BV$103,COLUMN(기본데이타!AU$8),0))</f>
        <v/>
      </c>
      <c r="AS43" s="364" t="str">
        <f>IF($A43="","",VLOOKUP($A43,기본데이타!$A$8:$BV$103,COLUMN(기본데이타!AV$8),0))</f>
        <v/>
      </c>
      <c r="AT43" s="358" t="str">
        <f>IF($A43="","",VLOOKUP($A43,기본데이타!$A$8:$BV$103,COLUMN(기본데이타!AW$8),0))</f>
        <v/>
      </c>
      <c r="AU43" s="358" t="str">
        <f>IF($A43="","",VLOOKUP($A43,기본데이타!$A$8:$BV$103,COLUMN(기본데이타!AX$8),0))</f>
        <v/>
      </c>
      <c r="AV43" s="358" t="str">
        <f>IF($A43="","",VLOOKUP($A43,기본데이타!$A$8:$BV$103,COLUMN(기본데이타!AY$8),0))</f>
        <v/>
      </c>
      <c r="AW43" s="358" t="str">
        <f t="shared" si="8"/>
        <v/>
      </c>
      <c r="AX43" s="136" t="str">
        <f>IF($A43="","",VLOOKUP($A43,기본데이타!$A$8:$BV$103,COLUMN(기본데이타!BA$8),0))</f>
        <v/>
      </c>
      <c r="AY43" s="136" t="str">
        <f>IF($A43="","",VLOOKUP($A43,기본데이타!$A$8:$BV$103,COLUMN(기본데이타!BB$8),0))</f>
        <v/>
      </c>
      <c r="AZ43" s="1164" t="str">
        <f>IF($A43="","",VLOOKUP($A43,기본데이타!$A$8:$BV$103,COLUMN(기본데이타!BC$8),0))</f>
        <v/>
      </c>
      <c r="BA43" s="136" t="str">
        <f>IF($A43="","",VLOOKUP($A43,기본데이타!$A$8:$BV$103,COLUMN(기본데이타!BD$8),0))</f>
        <v/>
      </c>
      <c r="BB43" s="136" t="str">
        <f>IF($A43="","",VLOOKUP($A43,기본데이타!$A$8:$BV$103,COLUMN(기본데이타!BE$8),0))</f>
        <v/>
      </c>
      <c r="BC43" s="136" t="str">
        <f>IF($A43="","",VLOOKUP($A43,기본데이타!$A$8:$BV$103,COLUMN(기본데이타!BF$8),0))</f>
        <v/>
      </c>
      <c r="BD43" s="136" t="str">
        <f>IF($A43="","",VLOOKUP($A43,기본데이타!$A$8:$BV$103,COLUMN(기본데이타!BG$8),0))</f>
        <v/>
      </c>
      <c r="BE43" s="136" t="str">
        <f>IF($A43="","",VLOOKUP($A43,기본데이타!$A$8:$BV$103,COLUMN(기본데이타!BH$8),0))</f>
        <v/>
      </c>
      <c r="BF43" s="136" t="str">
        <f>IF($A43="","",VLOOKUP($A43,기본데이타!$A$8:$BV$103,COLUMN(기본데이타!BI$8),0))</f>
        <v/>
      </c>
      <c r="BG43" s="136" t="str">
        <f>IF($A43="","",VLOOKUP($A43,기본데이타!$A$8:$BV$103,COLUMN(기본데이타!BJ$8),0))</f>
        <v/>
      </c>
      <c r="BH43" s="136" t="str">
        <f>IF($A43="","",VLOOKUP($A43,기본데이타!$A$8:$BV$103,COLUMN(기본데이타!BK$8),0))</f>
        <v/>
      </c>
      <c r="BI43" s="136" t="str">
        <f>IF($A43="","",VLOOKUP($A43,기본데이타!$A$8:$BV$103,COLUMN(기본데이타!BL$8),0))</f>
        <v/>
      </c>
      <c r="BJ43" s="136" t="str">
        <f>IF($A43="","",VLOOKUP($A43,기본데이타!$A$8:$BV$103,COLUMN(기본데이타!BM$8),0))</f>
        <v/>
      </c>
      <c r="BK43" s="136" t="str">
        <f>IF($A43="","",VLOOKUP($A43,기본데이타!$A$8:$BV$103,COLUMN(기본데이타!BN$8),0))</f>
        <v/>
      </c>
      <c r="BL43" s="136" t="str">
        <f>IF($A43="","",VLOOKUP($A43,기본데이타!$A$8:$BV$103,COLUMN(기본데이타!BO$8),0))</f>
        <v/>
      </c>
      <c r="BM43" s="136" t="str">
        <f>IF($A43="","",VLOOKUP($A43,기본데이타!$A$8:$BV$103,COLUMN(기본데이타!BP$8),0))</f>
        <v/>
      </c>
      <c r="BN43" s="136" t="str">
        <f>IF($A43="","",VLOOKUP($A43,기본데이타!$A$8:$BV$103,COLUMN(기본데이타!BQ$8),0))</f>
        <v/>
      </c>
      <c r="BO43" s="136" t="str">
        <f>IF($A43="","",VLOOKUP($A43,기본데이타!$A$8:$BV$103,COLUMN(기본데이타!BR$8),0))</f>
        <v/>
      </c>
      <c r="BP43" s="136" t="str">
        <f>IF($A43="","",VLOOKUP($A43,기본데이타!$A$8:$BV$103,COLUMN(기본데이타!BS$8),0))</f>
        <v/>
      </c>
      <c r="BQ43" s="136" t="str">
        <f>IF($A43="","",VLOOKUP($A43,기본데이타!$A$8:$BV$103,COLUMN(기본데이타!BT$8),0))</f>
        <v/>
      </c>
      <c r="BR43" s="136" t="str">
        <f>IF($A43="","",VLOOKUP($A43,기본데이타!$A$8:$BV$103,COLUMN(기본데이타!BU$8),0))</f>
        <v/>
      </c>
      <c r="BS43" s="136" t="str">
        <f>IF($A43="","",VLOOKUP($A43,기본데이타!$A$8:$BV$103,COLUMN(기본데이타!BV$8),0))</f>
        <v/>
      </c>
      <c r="BT43" s="801">
        <f t="shared" si="9"/>
        <v>0</v>
      </c>
      <c r="BU43" s="241"/>
    </row>
    <row r="44" spans="1:73">
      <c r="AT44" s="355" t="str">
        <f>IF($A44="","",VLOOKUP($A44,기본데이타!$A$10:$BV$103,COLUMN(기본데이타!AW$8),0))</f>
        <v/>
      </c>
      <c r="AU44" s="355" t="str">
        <f>IF($A44="","",VLOOKUP($A44,기본데이타!$A$10:$BV$103,COLUMN(기본데이타!AX$8),0))</f>
        <v/>
      </c>
      <c r="AV44" s="355" t="str">
        <f>IF($A44="","",VLOOKUP($A44,기본데이타!$A$10:$BV$103,COLUMN(기본데이타!AY$8),0))</f>
        <v/>
      </c>
      <c r="AW44" s="355" t="str">
        <f t="shared" si="6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6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6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6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6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6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6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6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6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6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6"/>
        <v/>
      </c>
    </row>
    <row r="55" spans="46:49">
      <c r="AT55" s="10" t="str">
        <f>IF($A55="","",VLOOKUP($A55,기본데이타!$A$10:$BV$103,COLUMN(기본데이타!AW$8),0))</f>
        <v/>
      </c>
      <c r="AU55" s="10" t="str">
        <f>IF($A55="","",VLOOKUP($A55,기본데이타!$A$10:$BV$103,COLUMN(기본데이타!AX$8),0))</f>
        <v/>
      </c>
      <c r="AV55" s="10" t="str">
        <f>IF($A55="","",VLOOKUP($A55,기본데이타!$A$10:$BV$103,COLUMN(기본데이타!AY$8),0))</f>
        <v/>
      </c>
      <c r="AW55" s="10" t="str">
        <f t="shared" si="6"/>
        <v/>
      </c>
    </row>
    <row r="56" spans="46:49">
      <c r="AT56" s="10" t="str">
        <f>IF($A56="","",VLOOKUP($A56,기본데이타!$A$10:$BV$103,COLUMN(기본데이타!AW$8),0))</f>
        <v/>
      </c>
      <c r="AU56" s="10" t="str">
        <f>IF($A56="","",VLOOKUP($A56,기본데이타!$A$10:$BV$103,COLUMN(기본데이타!AX$8),0))</f>
        <v/>
      </c>
      <c r="AV56" s="10" t="str">
        <f>IF($A56="","",VLOOKUP($A56,기본데이타!$A$10:$BV$103,COLUMN(기본데이타!AY$8),0))</f>
        <v/>
      </c>
      <c r="AW56" s="10" t="str">
        <f t="shared" si="6"/>
        <v/>
      </c>
    </row>
    <row r="57" spans="46:49">
      <c r="AT57" s="10" t="str">
        <f>IF($A57="","",VLOOKUP($A57,기본데이타!$A$10:$BV$103,COLUMN(기본데이타!AW$8),0))</f>
        <v/>
      </c>
      <c r="AU57" s="10" t="str">
        <f>IF($A57="","",VLOOKUP($A57,기본데이타!$A$10:$BV$103,COLUMN(기본데이타!AX$8),0))</f>
        <v/>
      </c>
      <c r="AV57" s="10" t="str">
        <f>IF($A57="","",VLOOKUP($A57,기본데이타!$A$10:$BV$103,COLUMN(기본데이타!AY$8),0))</f>
        <v/>
      </c>
      <c r="AW57" s="10" t="str">
        <f t="shared" si="6"/>
        <v/>
      </c>
    </row>
    <row r="58" spans="46:49">
      <c r="AT58" s="10" t="str">
        <f>IF($A58="","",VLOOKUP($A58,기본데이타!$A$10:$BV$103,COLUMN(기본데이타!AW$8),0))</f>
        <v/>
      </c>
      <c r="AU58" s="10" t="str">
        <f>IF($A58="","",VLOOKUP($A58,기본데이타!$A$10:$BV$103,COLUMN(기본데이타!AX$8),0))</f>
        <v/>
      </c>
      <c r="AV58" s="10" t="str">
        <f>IF($A58="","",VLOOKUP($A58,기본데이타!$A$10:$BV$103,COLUMN(기본데이타!AY$8),0))</f>
        <v/>
      </c>
      <c r="AW58" s="10" t="str">
        <f t="shared" si="6"/>
        <v/>
      </c>
    </row>
    <row r="59" spans="46:49">
      <c r="AT59" s="10" t="str">
        <f>IF($A59="","",VLOOKUP($A59,기본데이타!$A$10:$BV$103,COLUMN(기본데이타!AW$8),0))</f>
        <v/>
      </c>
      <c r="AU59" s="10" t="str">
        <f>IF($A59="","",VLOOKUP($A59,기본데이타!$A$10:$BV$103,COLUMN(기본데이타!AX$8),0))</f>
        <v/>
      </c>
      <c r="AV59" s="10" t="str">
        <f>IF($A59="","",VLOOKUP($A59,기본데이타!$A$10:$BV$103,COLUMN(기본데이타!AY$8),0))</f>
        <v/>
      </c>
      <c r="AW59" s="10" t="str">
        <f t="shared" si="6"/>
        <v/>
      </c>
    </row>
    <row r="60" spans="46:49">
      <c r="AT60" s="10" t="str">
        <f>IF($A60="","",VLOOKUP($A60,기본데이타!$A$10:$BV$103,COLUMN(기본데이타!AW$8),0))</f>
        <v/>
      </c>
      <c r="AU60" s="10" t="str">
        <f>IF($A60="","",VLOOKUP($A60,기본데이타!$A$10:$BV$103,COLUMN(기본데이타!AX$8),0))</f>
        <v/>
      </c>
      <c r="AV60" s="10" t="str">
        <f>IF($A60="","",VLOOKUP($A60,기본데이타!$A$10:$BV$103,COLUMN(기본데이타!AY$8),0))</f>
        <v/>
      </c>
      <c r="AW60" s="10" t="str">
        <f t="shared" si="6"/>
        <v/>
      </c>
    </row>
    <row r="61" spans="46:49">
      <c r="AT61" s="10" t="str">
        <f>IF($A61="","",VLOOKUP($A61,기본데이타!$A$10:$BV$103,COLUMN(기본데이타!AW$8),0))</f>
        <v/>
      </c>
      <c r="AU61" s="10" t="str">
        <f>IF($A61="","",VLOOKUP($A61,기본데이타!$A$10:$BV$103,COLUMN(기본데이타!AX$8),0))</f>
        <v/>
      </c>
      <c r="AV61" s="10" t="str">
        <f>IF($A61="","",VLOOKUP($A61,기본데이타!$A$10:$BV$103,COLUMN(기본데이타!AY$8),0))</f>
        <v/>
      </c>
      <c r="AW61" s="10" t="str">
        <f t="shared" si="6"/>
        <v/>
      </c>
    </row>
    <row r="62" spans="46:49">
      <c r="AT62" s="10" t="str">
        <f>IF($A62="","",VLOOKUP($A62,기본데이타!$A$10:$BV$103,COLUMN(기본데이타!AW$8),0))</f>
        <v/>
      </c>
      <c r="AU62" s="10" t="str">
        <f>IF($A62="","",VLOOKUP($A62,기본데이타!$A$10:$BV$103,COLUMN(기본데이타!AX$8),0))</f>
        <v/>
      </c>
      <c r="AV62" s="10" t="str">
        <f>IF($A62="","",VLOOKUP($A62,기본데이타!$A$10:$BV$103,COLUMN(기본데이타!AY$8),0))</f>
        <v/>
      </c>
      <c r="AW62" s="10" t="str">
        <f t="shared" si="6"/>
        <v/>
      </c>
    </row>
    <row r="63" spans="46:49">
      <c r="AT63" s="10" t="str">
        <f>IF($A63="","",VLOOKUP($A63,기본데이타!$A$10:$BV$103,COLUMN(기본데이타!AW$8),0))</f>
        <v/>
      </c>
      <c r="AU63" s="10" t="str">
        <f>IF($A63="","",VLOOKUP($A63,기본데이타!$A$10:$BV$103,COLUMN(기본데이타!AX$8),0))</f>
        <v/>
      </c>
      <c r="AV63" s="10" t="str">
        <f>IF($A63="","",VLOOKUP($A63,기본데이타!$A$10:$BV$103,COLUMN(기본데이타!AY$8),0))</f>
        <v/>
      </c>
      <c r="AW63" s="10" t="str">
        <f t="shared" si="6"/>
        <v/>
      </c>
    </row>
    <row r="64" spans="46:49">
      <c r="AT64" s="10" t="str">
        <f>IF($A64="","",VLOOKUP($A64,기본데이타!$A$10:$BV$103,COLUMN(기본데이타!AW$8),0))</f>
        <v/>
      </c>
      <c r="AU64" s="10" t="str">
        <f>IF($A64="","",VLOOKUP($A64,기본데이타!$A$10:$BV$103,COLUMN(기본데이타!AX$8),0))</f>
        <v/>
      </c>
      <c r="AV64" s="10" t="str">
        <f>IF($A64="","",VLOOKUP($A64,기본데이타!$A$10:$BV$103,COLUMN(기본데이타!AY$8),0))</f>
        <v/>
      </c>
      <c r="AW64" s="10" t="str">
        <f t="shared" si="6"/>
        <v/>
      </c>
    </row>
    <row r="65" spans="46:49">
      <c r="AT65" s="10"/>
      <c r="AU65" s="10"/>
      <c r="AV65" s="10"/>
      <c r="AW65" s="10" t="str">
        <f t="shared" si="6"/>
        <v/>
      </c>
    </row>
    <row r="66" spans="46:49">
      <c r="AT66" s="10"/>
      <c r="AU66" s="10"/>
      <c r="AV66" s="10"/>
      <c r="AW66" s="10" t="str">
        <f t="shared" si="6"/>
        <v/>
      </c>
    </row>
    <row r="67" spans="46:49">
      <c r="AT67" s="10"/>
      <c r="AU67" s="10"/>
      <c r="AV67" s="10"/>
      <c r="AW67" s="10" t="str">
        <f t="shared" si="6"/>
        <v/>
      </c>
    </row>
    <row r="68" spans="46:49">
      <c r="AT68" s="10"/>
      <c r="AU68" s="10"/>
      <c r="AV68" s="10"/>
      <c r="AW68" s="10" t="str">
        <f t="shared" si="6"/>
        <v/>
      </c>
    </row>
    <row r="69" spans="46:49">
      <c r="AT69" s="10"/>
      <c r="AU69" s="10"/>
      <c r="AV69" s="10"/>
      <c r="AW69" s="10" t="str">
        <f t="shared" si="6"/>
        <v/>
      </c>
    </row>
    <row r="70" spans="46:49">
      <c r="AT70" s="10"/>
      <c r="AU70" s="10"/>
      <c r="AV70" s="10"/>
      <c r="AW70" s="10" t="str">
        <f t="shared" si="6"/>
        <v/>
      </c>
    </row>
    <row r="71" spans="46:49">
      <c r="AT71" s="10"/>
      <c r="AU71" s="10"/>
      <c r="AV71" s="10"/>
      <c r="AW71" s="10" t="str">
        <f t="shared" si="6"/>
        <v/>
      </c>
    </row>
    <row r="72" spans="46:49">
      <c r="AT72" s="10"/>
      <c r="AU72" s="10"/>
      <c r="AV72" s="10"/>
      <c r="AW72" s="10" t="str">
        <f t="shared" si="6"/>
        <v/>
      </c>
    </row>
    <row r="73" spans="46:49">
      <c r="AT73" s="10"/>
      <c r="AU73" s="10"/>
      <c r="AV73" s="10"/>
      <c r="AW73" s="10" t="str">
        <f t="shared" si="6"/>
        <v/>
      </c>
    </row>
    <row r="74" spans="46:49">
      <c r="AT74" s="10"/>
      <c r="AU74" s="10"/>
      <c r="AV74" s="10"/>
      <c r="AW74" s="10" t="str">
        <f t="shared" si="6"/>
        <v/>
      </c>
    </row>
    <row r="75" spans="46:49">
      <c r="AT75" s="10"/>
      <c r="AU75" s="10"/>
      <c r="AV75" s="10"/>
      <c r="AW75" s="10" t="str">
        <f t="shared" si="6"/>
        <v/>
      </c>
    </row>
    <row r="76" spans="46:49">
      <c r="AW76" s="2" t="str">
        <f t="shared" si="6"/>
        <v/>
      </c>
    </row>
  </sheetData>
  <mergeCells count="14">
    <mergeCell ref="C4:C6"/>
    <mergeCell ref="Y4:Z5"/>
    <mergeCell ref="AS4:AS6"/>
    <mergeCell ref="AT4:AW5"/>
    <mergeCell ref="AX4:AX6"/>
    <mergeCell ref="AA4:AB5"/>
    <mergeCell ref="AC4:AD5"/>
    <mergeCell ref="AE4:AF5"/>
    <mergeCell ref="BS4:BS6"/>
    <mergeCell ref="BT4:BT6"/>
    <mergeCell ref="AH5:AJ5"/>
    <mergeCell ref="BK5:BK6"/>
    <mergeCell ref="BO4:BR4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2">
    <tabColor rgb="FFFFFF00"/>
  </sheetPr>
  <dimension ref="A1:BV66"/>
  <sheetViews>
    <sheetView showGridLines="0" showZeros="0" zoomScale="50" workbookViewId="0">
      <pane xSplit="4" ySplit="7" topLeftCell="BH8" activePane="bottomRight" state="frozen"/>
      <selection activeCell="BS1" sqref="BS1"/>
      <selection pane="topRight" activeCell="BS1" sqref="BS1"/>
      <selection pane="bottomLeft" activeCell="BS1" sqref="BS1"/>
      <selection pane="bottomRight" activeCell="BO7" sqref="BO7"/>
    </sheetView>
  </sheetViews>
  <sheetFormatPr defaultRowHeight="25.5"/>
  <cols>
    <col min="1" max="1" width="9" style="2" bestFit="1" customWidth="1"/>
    <col min="2" max="2" width="16.6640625" style="2" bestFit="1" customWidth="1"/>
    <col min="3" max="3" width="49.6640625" style="2" bestFit="1" customWidth="1"/>
    <col min="4" max="4" width="14.33203125" style="2" bestFit="1" customWidth="1"/>
    <col min="5" max="5" width="25.109375" style="2" bestFit="1" customWidth="1"/>
    <col min="6" max="7" width="25" style="2" customWidth="1"/>
    <col min="8" max="8" width="6.33203125" style="2" customWidth="1"/>
    <col min="9" max="9" width="9" style="2" bestFit="1" customWidth="1"/>
    <col min="10" max="10" width="6.33203125" style="2" customWidth="1"/>
    <col min="11" max="11" width="8.44140625" style="2" bestFit="1" customWidth="1"/>
    <col min="12" max="12" width="6.33203125" style="2" customWidth="1"/>
    <col min="13" max="13" width="7.21875" style="2" customWidth="1"/>
    <col min="14" max="14" width="5.77734375" style="2" customWidth="1"/>
    <col min="15" max="15" width="7.44140625" style="2" customWidth="1"/>
    <col min="16" max="16" width="5.77734375" style="2" customWidth="1"/>
    <col min="17" max="17" width="11.44140625" style="2" bestFit="1" customWidth="1"/>
    <col min="18" max="18" width="5.77734375" style="2" customWidth="1"/>
    <col min="19" max="19" width="11.77734375" style="2" bestFit="1" customWidth="1"/>
    <col min="20" max="20" width="5.77734375" style="2" customWidth="1"/>
    <col min="21" max="21" width="13" style="2" bestFit="1" customWidth="1"/>
    <col min="22" max="22" width="5.77734375" style="2" customWidth="1"/>
    <col min="23" max="24" width="9.5546875" style="2" customWidth="1"/>
    <col min="25" max="25" width="5.77734375" style="2" customWidth="1"/>
    <col min="26" max="26" width="13.44140625" style="2" bestFit="1" customWidth="1"/>
    <col min="27" max="27" width="5.77734375" style="2" customWidth="1"/>
    <col min="28" max="28" width="13.44140625" style="2" bestFit="1" customWidth="1"/>
    <col min="29" max="29" width="5.77734375" style="2" customWidth="1"/>
    <col min="30" max="30" width="13.44140625" style="2" bestFit="1" customWidth="1"/>
    <col min="31" max="31" width="5.77734375" style="2" customWidth="1"/>
    <col min="32" max="32" width="13.44140625" style="2" bestFit="1" customWidth="1"/>
    <col min="33" max="33" width="7.77734375" style="2" customWidth="1"/>
    <col min="34" max="45" width="12.77734375" style="360" customWidth="1"/>
    <col min="46" max="49" width="20.77734375" style="2" bestFit="1" customWidth="1"/>
    <col min="50" max="50" width="11.44140625" style="2" customWidth="1"/>
    <col min="51" max="51" width="15.5546875" style="2" bestFit="1" customWidth="1"/>
    <col min="52" max="53" width="14" style="2" customWidth="1"/>
    <col min="54" max="54" width="15.21875" style="2" customWidth="1"/>
    <col min="55" max="55" width="14.6640625" style="2" customWidth="1"/>
    <col min="56" max="57" width="14" style="2" customWidth="1"/>
    <col min="58" max="58" width="11.44140625" style="2" customWidth="1"/>
    <col min="59" max="62" width="15.21875" style="2" customWidth="1"/>
    <col min="63" max="64" width="22.6640625" style="2" bestFit="1" customWidth="1"/>
    <col min="65" max="65" width="20.6640625" style="2" bestFit="1" customWidth="1"/>
    <col min="66" max="66" width="16.77734375" style="2" bestFit="1" customWidth="1"/>
    <col min="67" max="67" width="25.21875" style="2" bestFit="1" customWidth="1"/>
    <col min="68" max="69" width="15" style="2" customWidth="1"/>
    <col min="70" max="70" width="30.5546875" style="2" customWidth="1"/>
    <col min="71" max="71" width="30.33203125" style="2" customWidth="1"/>
    <col min="72" max="72" width="8.88671875" style="2"/>
    <col min="73" max="73" width="23.88671875" style="241" customWidth="1"/>
    <col min="74" max="16384" width="8.88671875" style="2"/>
  </cols>
  <sheetData>
    <row r="1" spans="1:74" ht="39.950000000000003" customHeight="1">
      <c r="B1" s="1"/>
    </row>
    <row r="2" spans="1:74" ht="60" customHeight="1">
      <c r="B2" s="5" t="s">
        <v>119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4" ht="39.950000000000003" customHeight="1" thickBot="1">
      <c r="BG3" s="4"/>
      <c r="BH3" s="4"/>
      <c r="BI3" s="4"/>
      <c r="BJ3" s="4"/>
      <c r="BM3" s="6"/>
    </row>
    <row r="4" spans="1:74" ht="50.25" customHeight="1">
      <c r="B4" s="158"/>
      <c r="C4" s="2121" t="s">
        <v>21</v>
      </c>
      <c r="D4" s="25"/>
      <c r="E4" s="203" t="s">
        <v>99</v>
      </c>
      <c r="F4" s="204"/>
      <c r="G4" s="205"/>
      <c r="H4" s="150" t="s">
        <v>261</v>
      </c>
      <c r="I4" s="150"/>
      <c r="J4" s="150"/>
      <c r="K4" s="150"/>
      <c r="L4" s="150"/>
      <c r="M4" s="150"/>
      <c r="N4" s="150"/>
      <c r="O4" s="150"/>
      <c r="P4" s="150" t="s">
        <v>260</v>
      </c>
      <c r="Q4" s="150"/>
      <c r="R4" s="150"/>
      <c r="S4" s="150"/>
      <c r="T4" s="150"/>
      <c r="U4" s="150"/>
      <c r="V4" s="150"/>
      <c r="W4" s="150"/>
      <c r="X4" s="150"/>
      <c r="Y4" s="2126" t="s">
        <v>259</v>
      </c>
      <c r="Z4" s="2127"/>
      <c r="AA4" s="2126" t="s">
        <v>418</v>
      </c>
      <c r="AB4" s="2127"/>
      <c r="AC4" s="2126" t="s">
        <v>420</v>
      </c>
      <c r="AD4" s="2127"/>
      <c r="AE4" s="2126" t="s">
        <v>422</v>
      </c>
      <c r="AF4" s="2127"/>
      <c r="AG4" s="149" t="s">
        <v>72</v>
      </c>
      <c r="AH4" s="362" t="s">
        <v>135</v>
      </c>
      <c r="AI4" s="362"/>
      <c r="AJ4" s="362"/>
      <c r="AK4" s="362"/>
      <c r="AL4" s="362"/>
      <c r="AM4" s="362"/>
      <c r="AN4" s="362"/>
      <c r="AO4" s="362"/>
      <c r="AP4" s="362"/>
      <c r="AQ4" s="362"/>
      <c r="AR4" s="362"/>
      <c r="AS4" s="2135" t="s">
        <v>145</v>
      </c>
      <c r="AT4" s="2129" t="s">
        <v>2</v>
      </c>
      <c r="AU4" s="2130"/>
      <c r="AV4" s="2130"/>
      <c r="AW4" s="2131"/>
      <c r="AX4" s="2141" t="s">
        <v>228</v>
      </c>
      <c r="AY4" s="150" t="s">
        <v>262</v>
      </c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  <c r="BL4" s="25" t="s">
        <v>73</v>
      </c>
      <c r="BM4" s="25" t="s">
        <v>74</v>
      </c>
      <c r="BN4" s="25" t="s">
        <v>74</v>
      </c>
      <c r="BO4" s="2113" t="s">
        <v>75</v>
      </c>
      <c r="BP4" s="2114"/>
      <c r="BQ4" s="2114"/>
      <c r="BR4" s="2115"/>
      <c r="BS4" s="2123" t="s">
        <v>111</v>
      </c>
      <c r="BT4" s="2116" t="s">
        <v>76</v>
      </c>
      <c r="BU4" s="2"/>
      <c r="BV4" s="241"/>
    </row>
    <row r="5" spans="1:74" ht="50.25" customHeight="1">
      <c r="B5" s="159" t="s">
        <v>20</v>
      </c>
      <c r="C5" s="2122"/>
      <c r="D5" s="26" t="s">
        <v>77</v>
      </c>
      <c r="E5" s="26" t="s">
        <v>100</v>
      </c>
      <c r="F5" s="201" t="s">
        <v>97</v>
      </c>
      <c r="G5" s="201" t="s">
        <v>98</v>
      </c>
      <c r="H5" s="155" t="s">
        <v>78</v>
      </c>
      <c r="I5" s="156"/>
      <c r="J5" s="155" t="s">
        <v>79</v>
      </c>
      <c r="K5" s="156"/>
      <c r="L5" s="155" t="s">
        <v>80</v>
      </c>
      <c r="M5" s="156"/>
      <c r="N5" s="155" t="s">
        <v>81</v>
      </c>
      <c r="O5" s="156"/>
      <c r="P5" s="155" t="s">
        <v>11</v>
      </c>
      <c r="Q5" s="156"/>
      <c r="R5" s="155" t="s">
        <v>12</v>
      </c>
      <c r="S5" s="156"/>
      <c r="T5" s="156" t="s">
        <v>256</v>
      </c>
      <c r="U5" s="156"/>
      <c r="V5" s="156" t="s">
        <v>250</v>
      </c>
      <c r="W5" s="156"/>
      <c r="X5" s="156"/>
      <c r="Y5" s="2128"/>
      <c r="Z5" s="2128"/>
      <c r="AA5" s="2128"/>
      <c r="AB5" s="2128"/>
      <c r="AC5" s="2128"/>
      <c r="AD5" s="2128"/>
      <c r="AE5" s="2128"/>
      <c r="AF5" s="2128"/>
      <c r="AG5" s="152" t="s">
        <v>83</v>
      </c>
      <c r="AH5" s="2138" t="s">
        <v>0</v>
      </c>
      <c r="AI5" s="2139"/>
      <c r="AJ5" s="2140"/>
      <c r="AK5" s="2143" t="s">
        <v>136</v>
      </c>
      <c r="AL5" s="2144"/>
      <c r="AM5" s="2144"/>
      <c r="AN5" s="2144"/>
      <c r="AO5" s="2144"/>
      <c r="AP5" s="2144"/>
      <c r="AQ5" s="2144"/>
      <c r="AR5" s="2145"/>
      <c r="AS5" s="2136"/>
      <c r="AT5" s="2132"/>
      <c r="AU5" s="2133"/>
      <c r="AV5" s="2133"/>
      <c r="AW5" s="2134"/>
      <c r="AX5" s="2142"/>
      <c r="AY5" s="517" t="s">
        <v>84</v>
      </c>
      <c r="AZ5" s="518"/>
      <c r="BA5" s="518"/>
      <c r="BB5" s="517" t="s">
        <v>85</v>
      </c>
      <c r="BC5" s="518"/>
      <c r="BD5" s="518"/>
      <c r="BE5" s="518"/>
      <c r="BF5" s="518"/>
      <c r="BG5" s="132" t="s">
        <v>86</v>
      </c>
      <c r="BH5" s="132" t="s">
        <v>398</v>
      </c>
      <c r="BI5" s="132" t="s">
        <v>399</v>
      </c>
      <c r="BJ5" s="1403" t="s">
        <v>428</v>
      </c>
      <c r="BK5" s="2119" t="s">
        <v>87</v>
      </c>
      <c r="BL5" s="26" t="s">
        <v>88</v>
      </c>
      <c r="BM5" s="26" t="s">
        <v>89</v>
      </c>
      <c r="BN5" s="26" t="s">
        <v>90</v>
      </c>
      <c r="BO5" s="147" t="s">
        <v>91</v>
      </c>
      <c r="BP5" s="147" t="s">
        <v>92</v>
      </c>
      <c r="BQ5" s="147" t="s">
        <v>93</v>
      </c>
      <c r="BR5" s="147" t="s">
        <v>120</v>
      </c>
      <c r="BS5" s="2124"/>
      <c r="BT5" s="2117"/>
      <c r="BU5" s="2"/>
      <c r="BV5" s="241"/>
    </row>
    <row r="6" spans="1:74" ht="50.25" customHeight="1">
      <c r="B6" s="160"/>
      <c r="C6" s="2122"/>
      <c r="D6" s="148" t="s">
        <v>14</v>
      </c>
      <c r="E6" s="148" t="s">
        <v>13</v>
      </c>
      <c r="F6" s="202"/>
      <c r="G6" s="202"/>
      <c r="H6" s="157" t="s">
        <v>5</v>
      </c>
      <c r="I6" s="157" t="s">
        <v>6</v>
      </c>
      <c r="J6" s="157" t="s">
        <v>5</v>
      </c>
      <c r="K6" s="127" t="s">
        <v>6</v>
      </c>
      <c r="L6" s="157" t="s">
        <v>5</v>
      </c>
      <c r="M6" s="127" t="s">
        <v>6</v>
      </c>
      <c r="N6" s="157" t="s">
        <v>4</v>
      </c>
      <c r="O6" s="127" t="s">
        <v>7</v>
      </c>
      <c r="P6" s="157" t="s">
        <v>4</v>
      </c>
      <c r="Q6" s="127" t="s">
        <v>7</v>
      </c>
      <c r="R6" s="157" t="s">
        <v>4</v>
      </c>
      <c r="S6" s="127" t="s">
        <v>7</v>
      </c>
      <c r="T6" s="157" t="s">
        <v>4</v>
      </c>
      <c r="U6" s="154" t="s">
        <v>249</v>
      </c>
      <c r="V6" s="157" t="s">
        <v>4</v>
      </c>
      <c r="W6" s="154" t="s">
        <v>257</v>
      </c>
      <c r="X6" s="154" t="s">
        <v>258</v>
      </c>
      <c r="Y6" s="157" t="s">
        <v>4</v>
      </c>
      <c r="Z6" s="127" t="s">
        <v>7</v>
      </c>
      <c r="AA6" s="157" t="s">
        <v>4</v>
      </c>
      <c r="AB6" s="127" t="s">
        <v>7</v>
      </c>
      <c r="AC6" s="157" t="s">
        <v>4</v>
      </c>
      <c r="AD6" s="127" t="s">
        <v>7</v>
      </c>
      <c r="AE6" s="157" t="s">
        <v>4</v>
      </c>
      <c r="AF6" s="127" t="s">
        <v>7</v>
      </c>
      <c r="AG6" s="133" t="s">
        <v>3</v>
      </c>
      <c r="AH6" s="363" t="s">
        <v>137</v>
      </c>
      <c r="AI6" s="363" t="s">
        <v>138</v>
      </c>
      <c r="AJ6" s="363" t="s">
        <v>139</v>
      </c>
      <c r="AK6" s="363" t="s">
        <v>140</v>
      </c>
      <c r="AL6" s="366" t="s">
        <v>141</v>
      </c>
      <c r="AM6" s="366" t="s">
        <v>142</v>
      </c>
      <c r="AN6" s="366" t="s">
        <v>143</v>
      </c>
      <c r="AO6" s="366" t="s">
        <v>114</v>
      </c>
      <c r="AP6" s="366" t="s">
        <v>423</v>
      </c>
      <c r="AQ6" s="366" t="s">
        <v>424</v>
      </c>
      <c r="AR6" s="366" t="s">
        <v>426</v>
      </c>
      <c r="AS6" s="2137"/>
      <c r="AT6" s="293" t="s">
        <v>115</v>
      </c>
      <c r="AU6" s="293" t="s">
        <v>116</v>
      </c>
      <c r="AV6" s="293" t="s">
        <v>117</v>
      </c>
      <c r="AW6" s="293" t="s">
        <v>118</v>
      </c>
      <c r="AX6" s="2120"/>
      <c r="AY6" s="515" t="s">
        <v>68</v>
      </c>
      <c r="AZ6" s="515" t="s">
        <v>15</v>
      </c>
      <c r="BA6" s="516" t="s">
        <v>16</v>
      </c>
      <c r="BB6" s="153" t="s">
        <v>69</v>
      </c>
      <c r="BC6" s="154" t="s">
        <v>70</v>
      </c>
      <c r="BD6" s="154" t="s">
        <v>71</v>
      </c>
      <c r="BE6" s="154" t="s">
        <v>254</v>
      </c>
      <c r="BF6" s="154" t="s">
        <v>255</v>
      </c>
      <c r="BG6" s="133"/>
      <c r="BH6" s="133"/>
      <c r="BI6" s="133"/>
      <c r="BJ6" s="133"/>
      <c r="BK6" s="2120"/>
      <c r="BL6" s="148" t="s">
        <v>17</v>
      </c>
      <c r="BM6" s="148" t="s">
        <v>8</v>
      </c>
      <c r="BN6" s="148" t="s">
        <v>8</v>
      </c>
      <c r="BO6" s="148" t="s">
        <v>18</v>
      </c>
      <c r="BP6" s="148" t="s">
        <v>13</v>
      </c>
      <c r="BQ6" s="148" t="s">
        <v>19</v>
      </c>
      <c r="BR6" s="148" t="s">
        <v>122</v>
      </c>
      <c r="BS6" s="2125"/>
      <c r="BT6" s="2118"/>
      <c r="BU6" s="2"/>
      <c r="BV6" s="241"/>
    </row>
    <row r="7" spans="1:74" ht="57.75" customHeight="1">
      <c r="B7" s="161"/>
      <c r="C7" s="181">
        <f>COUNTA(A8:A35)</f>
        <v>0</v>
      </c>
      <c r="D7" s="137">
        <f t="shared" ref="D7:N7" si="0">SUM(D8:D32)</f>
        <v>0</v>
      </c>
      <c r="E7" s="134">
        <f t="shared" si="0"/>
        <v>0</v>
      </c>
      <c r="F7" s="134">
        <f t="shared" si="0"/>
        <v>0</v>
      </c>
      <c r="G7" s="134">
        <f t="shared" si="0"/>
        <v>0</v>
      </c>
      <c r="H7" s="138">
        <f t="shared" si="0"/>
        <v>0</v>
      </c>
      <c r="I7" s="138">
        <f t="shared" si="0"/>
        <v>0</v>
      </c>
      <c r="J7" s="138">
        <f t="shared" si="0"/>
        <v>0</v>
      </c>
      <c r="K7" s="134">
        <f t="shared" si="0"/>
        <v>0</v>
      </c>
      <c r="L7" s="138">
        <f t="shared" si="0"/>
        <v>0</v>
      </c>
      <c r="M7" s="134">
        <f t="shared" si="0"/>
        <v>0</v>
      </c>
      <c r="N7" s="138">
        <f t="shared" si="0"/>
        <v>0</v>
      </c>
      <c r="O7" s="134">
        <f>IF(N7=0,0,(SUMPRODUCT(N8:N32,O8:O32))/N7)</f>
        <v>0</v>
      </c>
      <c r="P7" s="138">
        <f>SUM(P8:P32)</f>
        <v>0</v>
      </c>
      <c r="Q7" s="134">
        <f>IF(P7=0,0,(SUMPRODUCT(P8:P32,Q8:Q32))/P7)</f>
        <v>0</v>
      </c>
      <c r="R7" s="138">
        <f>SUM(R8:R32)</f>
        <v>0</v>
      </c>
      <c r="S7" s="134">
        <f>IF(R7=0,0,(SUMPRODUCT(R8:R32,S8:S32))/R7)</f>
        <v>0</v>
      </c>
      <c r="T7" s="138">
        <f>SUM(T8:T32)</f>
        <v>0</v>
      </c>
      <c r="U7" s="139">
        <f>IF(T7=0,0,(SUMPRODUCT(T8:T32,U8:U32))/T7)</f>
        <v>0</v>
      </c>
      <c r="V7" s="139">
        <f>SUM(V8:V32)</f>
        <v>0</v>
      </c>
      <c r="W7" s="139">
        <f>IF(V7=0,0,(SUMPRODUCT(V8:V32,W8:W32))/V7)</f>
        <v>0</v>
      </c>
      <c r="X7" s="139">
        <f>IF(W7=0,0,(SUMPRODUCT(V8:V32,X8:X32))/V7)</f>
        <v>0</v>
      </c>
      <c r="Y7" s="138">
        <f>SUM(Y8:Y32)</f>
        <v>0</v>
      </c>
      <c r="Z7" s="134">
        <f>IF(Y7=0,0,(SUMPRODUCT(Y8:Y32,Z8:Z32))/Y7)</f>
        <v>0</v>
      </c>
      <c r="AA7" s="138">
        <f>SUM(AA8:AA32)</f>
        <v>0</v>
      </c>
      <c r="AB7" s="134">
        <f>IF(AA7=0,0,(SUMPRODUCT(AA8:AA32,AB8:AB32))/AA7)</f>
        <v>0</v>
      </c>
      <c r="AC7" s="138">
        <f>SUM(AC8:AC32)</f>
        <v>0</v>
      </c>
      <c r="AD7" s="134">
        <f>IF(AC7=0,0,(SUMPRODUCT(AC8:AC32,AD8:AD32))/AC7)</f>
        <v>0</v>
      </c>
      <c r="AE7" s="138">
        <f>SUM(AE8:AE32)</f>
        <v>0</v>
      </c>
      <c r="AF7" s="134">
        <f>IF(AE7=0,0,(SUMPRODUCT(AE8:AE32,AF8:AF32))/AE7)</f>
        <v>0</v>
      </c>
      <c r="AG7" s="134">
        <f>SUM(AG8:AG32)</f>
        <v>0</v>
      </c>
      <c r="AH7" s="357">
        <f t="shared" ref="AH7:AS7" si="1">SUM(AH8:AH28)</f>
        <v>0</v>
      </c>
      <c r="AI7" s="357">
        <f t="shared" si="1"/>
        <v>0</v>
      </c>
      <c r="AJ7" s="357">
        <f t="shared" si="1"/>
        <v>0</v>
      </c>
      <c r="AK7" s="357">
        <f t="shared" si="1"/>
        <v>0</v>
      </c>
      <c r="AL7" s="357">
        <f t="shared" si="1"/>
        <v>0</v>
      </c>
      <c r="AM7" s="357">
        <f t="shared" si="1"/>
        <v>0</v>
      </c>
      <c r="AN7" s="357">
        <f t="shared" si="1"/>
        <v>0</v>
      </c>
      <c r="AO7" s="357">
        <f t="shared" si="1"/>
        <v>0</v>
      </c>
      <c r="AP7" s="357">
        <f t="shared" ref="AP7:AQ7" si="2">SUM(AP8:AP28)</f>
        <v>0</v>
      </c>
      <c r="AQ7" s="357">
        <f t="shared" si="2"/>
        <v>0</v>
      </c>
      <c r="AR7" s="357">
        <f t="shared" ref="AR7" si="3">SUM(AR8:AR28)</f>
        <v>0</v>
      </c>
      <c r="AS7" s="367">
        <f t="shared" si="1"/>
        <v>0</v>
      </c>
      <c r="AT7" s="134">
        <f>SUM(AT8:AT31)</f>
        <v>0</v>
      </c>
      <c r="AU7" s="134">
        <f>SUM(AU8:AU31)</f>
        <v>0</v>
      </c>
      <c r="AV7" s="134">
        <f>SUM(AV8:AV31)</f>
        <v>0</v>
      </c>
      <c r="AW7" s="134">
        <f>SUM(AW8:AW31)</f>
        <v>0</v>
      </c>
      <c r="AX7" s="134">
        <f t="shared" ref="AX7:BN7" si="4">SUM(AX8:AX32)</f>
        <v>0</v>
      </c>
      <c r="AY7" s="134">
        <f t="shared" si="4"/>
        <v>0</v>
      </c>
      <c r="AZ7" s="134">
        <f t="shared" si="4"/>
        <v>0</v>
      </c>
      <c r="BA7" s="140">
        <f t="shared" si="4"/>
        <v>0</v>
      </c>
      <c r="BB7" s="139">
        <f t="shared" si="4"/>
        <v>0</v>
      </c>
      <c r="BC7" s="139">
        <f t="shared" si="4"/>
        <v>0</v>
      </c>
      <c r="BD7" s="134">
        <f t="shared" si="4"/>
        <v>0</v>
      </c>
      <c r="BE7" s="134">
        <f t="shared" si="4"/>
        <v>0</v>
      </c>
      <c r="BF7" s="134">
        <f t="shared" si="4"/>
        <v>0</v>
      </c>
      <c r="BG7" s="134">
        <f t="shared" si="4"/>
        <v>0</v>
      </c>
      <c r="BH7" s="134">
        <f t="shared" ref="BH7:BI7" si="5">SUM(BH8:BH32)</f>
        <v>0</v>
      </c>
      <c r="BI7" s="134">
        <f t="shared" si="5"/>
        <v>0</v>
      </c>
      <c r="BJ7" s="134">
        <f t="shared" ref="BJ7" si="6">SUM(BJ8:BJ32)</f>
        <v>0</v>
      </c>
      <c r="BK7" s="141">
        <f t="shared" si="4"/>
        <v>0</v>
      </c>
      <c r="BL7" s="141">
        <f t="shared" si="4"/>
        <v>0</v>
      </c>
      <c r="BM7" s="141">
        <f t="shared" si="4"/>
        <v>0</v>
      </c>
      <c r="BN7" s="141">
        <f t="shared" si="4"/>
        <v>0</v>
      </c>
      <c r="BO7" s="142"/>
      <c r="BP7" s="143"/>
      <c r="BQ7" s="300"/>
      <c r="BR7" s="300"/>
      <c r="BS7" s="799">
        <f>SUM(BS9:BS33)</f>
        <v>0</v>
      </c>
      <c r="BT7" s="800"/>
    </row>
    <row r="8" spans="1:74" s="7" customFormat="1" ht="73.5" customHeight="1">
      <c r="A8" s="171"/>
      <c r="B8" s="162" t="s">
        <v>268</v>
      </c>
      <c r="C8" s="131" t="str">
        <f>IF($A8="","",VLOOKUP($A8,기본데이타!$A$8:$BV$103,COLUMN(기본데이타!F$8),0))</f>
        <v/>
      </c>
      <c r="D8" s="144" t="str">
        <f>IF($A8="","",VLOOKUP($A8,기본데이타!$A$8:$BV$103,COLUMN(기본데이타!G$8),0))</f>
        <v/>
      </c>
      <c r="E8" s="145" t="str">
        <f>IF($A8="","",VLOOKUP($A8,기본데이타!$A$8:$BV$103,COLUMN(기본데이타!H$8),0))</f>
        <v/>
      </c>
      <c r="F8" s="145" t="str">
        <f>IF($A8="","",VLOOKUP($A8,기본데이타!$A$8:$BV$103,COLUMN(기본데이타!I$8),0))</f>
        <v/>
      </c>
      <c r="G8" s="145" t="str">
        <f>IF($A8="","",VLOOKUP($A8,기본데이타!$A$8:$BV$103,COLUMN(기본데이타!J$8),0))</f>
        <v/>
      </c>
      <c r="H8" s="146" t="str">
        <f>IF($A8="","",VLOOKUP($A8,기본데이타!$A$8:$BV$103,COLUMN(기본데이타!K$8),0))</f>
        <v/>
      </c>
      <c r="I8" s="146" t="str">
        <f>IF($A8="","",VLOOKUP($A8,기본데이타!$A$8:$BV$103,COLUMN(기본데이타!L$8),0))</f>
        <v/>
      </c>
      <c r="J8" s="146" t="str">
        <f>IF($A8="","",VLOOKUP($A8,기본데이타!$A$8:$BV$103,COLUMN(기본데이타!M$8),0))</f>
        <v/>
      </c>
      <c r="K8" s="136" t="str">
        <f>IF($A8="","",VLOOKUP($A8,기본데이타!$A$8:$BV$103,COLUMN(기본데이타!N$8),0))</f>
        <v/>
      </c>
      <c r="L8" s="146" t="str">
        <f>IF($A8="","",VLOOKUP($A8,기본데이타!$A$8:$BV$103,COLUMN(기본데이타!O$8),0))</f>
        <v/>
      </c>
      <c r="M8" s="136" t="str">
        <f>IF($A8="","",VLOOKUP($A8,기본데이타!$A$8:$BV$103,COLUMN(기본데이타!P$8),0))</f>
        <v/>
      </c>
      <c r="N8" s="136" t="str">
        <f>IF($A8="","",VLOOKUP($A8,기본데이타!$A$8:$BV$103,COLUMN(기본데이타!Q$8),0))</f>
        <v/>
      </c>
      <c r="O8" s="136" t="str">
        <f>IF($A8="","",VLOOKUP($A8,기본데이타!$A$8:$BV$103,COLUMN(기본데이타!R$8),0))</f>
        <v/>
      </c>
      <c r="P8" s="136" t="str">
        <f>IF($A8="","",VLOOKUP($A8,기본데이타!$A$8:$BV$103,COLUMN(기본데이타!S$8),0))</f>
        <v/>
      </c>
      <c r="Q8" s="136" t="str">
        <f>IF($A8="","",VLOOKUP($A8,기본데이타!$A$8:$BV$103,COLUMN(기본데이타!T$8),0))</f>
        <v/>
      </c>
      <c r="R8" s="136" t="str">
        <f>IF($A8="","",VLOOKUP($A8,기본데이타!$A$8:$BV$103,COLUMN(기본데이타!U$8),0))</f>
        <v/>
      </c>
      <c r="S8" s="136" t="str">
        <f>IF($A8="","",VLOOKUP($A8,기본데이타!$A$8:$BV$103,COLUMN(기본데이타!V$8),0))</f>
        <v/>
      </c>
      <c r="T8" s="136" t="str">
        <f>IF($A8="","",VLOOKUP($A8,기본데이타!$A$8:$BV$103,COLUMN(기본데이타!W$8),0))</f>
        <v/>
      </c>
      <c r="U8" s="136" t="str">
        <f>IF($A8="","",VLOOKUP($A8,기본데이타!$A$8:$BV$103,COLUMN(기본데이타!X$8),0))</f>
        <v/>
      </c>
      <c r="V8" s="136" t="str">
        <f>IF($A8="","",VLOOKUP($A8,기본데이타!$A$8:$BV$103,COLUMN(기본데이타!Y$8),0))</f>
        <v/>
      </c>
      <c r="W8" s="136" t="str">
        <f>IF($A8="","",VLOOKUP($A8,기본데이타!$A$8:$BV$103,COLUMN(기본데이타!Z$8),0))</f>
        <v/>
      </c>
      <c r="X8" s="136" t="str">
        <f>IF($A8="","",VLOOKUP($A8,기본데이타!$A$8:$BV$103,COLUMN(기본데이타!AA$8),0))</f>
        <v/>
      </c>
      <c r="Y8" s="136" t="str">
        <f>IF($A8="","",VLOOKUP($A8,기본데이타!$A$8:$BV$103,COLUMN(기본데이타!AB$8),0))</f>
        <v/>
      </c>
      <c r="Z8" s="146" t="str">
        <f>IF($A8="","",VLOOKUP($A8,기본데이타!$A$8:$BV$103,COLUMN(기본데이타!AC$8),0))</f>
        <v/>
      </c>
      <c r="AA8" s="1391" t="str">
        <f>IF($A8="","",VLOOKUP($A8,기본데이타!$A$8:$BV$103,COLUMN(기본데이타!AD$8),0))</f>
        <v/>
      </c>
      <c r="AB8" s="1397" t="str">
        <f>IF($A8="","",VLOOKUP($A8,기본데이타!$A$8:$BV$103,COLUMN(기본데이타!AE$8),0))</f>
        <v/>
      </c>
      <c r="AC8" s="1391" t="str">
        <f>IF($A8="","",VLOOKUP($A8,기본데이타!$A$8:$BV$103,COLUMN(기본데이타!AF$8),0))</f>
        <v/>
      </c>
      <c r="AD8" s="1397" t="str">
        <f>IF($A8="","",VLOOKUP($A8,기본데이타!$A$8:$BV$103,COLUMN(기본데이타!AG$8),0))</f>
        <v/>
      </c>
      <c r="AE8" s="1391" t="str">
        <f>IF($A8="","",VLOOKUP($A8,기본데이타!$A$8:$BV$103,COLUMN(기본데이타!AH$8),0))</f>
        <v/>
      </c>
      <c r="AF8" s="1397" t="str">
        <f>IF($A8="","",VLOOKUP($A8,기본데이타!$A$8:$BV$103,COLUMN(기본데이타!AI$8),0))</f>
        <v/>
      </c>
      <c r="AG8" s="135" t="str">
        <f>IF($A8="","",VLOOKUP($A8,기본데이타!$A$8:$BV$103,COLUMN(기본데이타!AJ$8),0))</f>
        <v/>
      </c>
      <c r="AH8" s="135" t="str">
        <f>IF($A8="","",VLOOKUP($A8,기본데이타!$A$8:$BV$103,COLUMN(기본데이타!AK$8),0))</f>
        <v/>
      </c>
      <c r="AI8" s="135" t="str">
        <f>IF($A8="","",VLOOKUP($A8,기본데이타!$A$8:$BV$103,COLUMN(기본데이타!AL$8),0))</f>
        <v/>
      </c>
      <c r="AJ8" s="135" t="str">
        <f>IF($A8="","",VLOOKUP($A8,기본데이타!$A$8:$BV$103,COLUMN(기본데이타!AM$8),0))</f>
        <v/>
      </c>
      <c r="AK8" s="135" t="str">
        <f>IF($A8="","",VLOOKUP($A8,기본데이타!$A$8:$BV$103,COLUMN(기본데이타!AN$8),0))</f>
        <v/>
      </c>
      <c r="AL8" s="135" t="str">
        <f>IF($A8="","",VLOOKUP($A8,기본데이타!$A$8:$BV$103,COLUMN(기본데이타!AO$8),0))</f>
        <v/>
      </c>
      <c r="AM8" s="135" t="str">
        <f>IF($A8="","",VLOOKUP($A8,기본데이타!$A$8:$BV$103,COLUMN(기본데이타!AP$8),0))</f>
        <v/>
      </c>
      <c r="AN8" s="135" t="str">
        <f>IF($A8="","",VLOOKUP($A8,기본데이타!$A$8:$BV$103,COLUMN(기본데이타!AQ$8),0))</f>
        <v/>
      </c>
      <c r="AO8" s="135" t="str">
        <f>IF($A8="","",VLOOKUP($A8,기본데이타!$A$8:$BV$103,COLUMN(기본데이타!AR$8),0))</f>
        <v/>
      </c>
      <c r="AP8" s="1398" t="str">
        <f>IF($A8="","",VLOOKUP($A8,기본데이타!$A$8:$BV$103,COLUMN(기본데이타!AS$8),0))</f>
        <v/>
      </c>
      <c r="AQ8" s="1398" t="str">
        <f>IF($A8="","",VLOOKUP($A8,기본데이타!$A$8:$BV$103,COLUMN(기본데이타!AT$8),0))</f>
        <v/>
      </c>
      <c r="AR8" s="1398" t="str">
        <f>IF($A8="","",VLOOKUP($A8,기본데이타!$A$8:$BV$103,COLUMN(기본데이타!AU$8),0))</f>
        <v/>
      </c>
      <c r="AS8" s="135" t="str">
        <f>IF($A8="","",VLOOKUP($A8,기본데이타!$A$8:$BV$103,COLUMN(기본데이타!AV$8),0))</f>
        <v/>
      </c>
      <c r="AT8" s="136" t="str">
        <f>IF($A8="","",VLOOKUP($A8,기본데이타!$A$8:$BV$103,COLUMN(기본데이타!AW$8),0))</f>
        <v/>
      </c>
      <c r="AU8" s="136" t="str">
        <f>IF($A8="","",VLOOKUP($A8,기본데이타!$A$8:$BV$103,COLUMN(기본데이타!AX$8),0))</f>
        <v/>
      </c>
      <c r="AV8" s="136" t="str">
        <f>IF($A8="","",VLOOKUP($A8,기본데이타!$A$8:$BV$103,COLUMN(기본데이타!AY$8),0))</f>
        <v/>
      </c>
      <c r="AW8" s="136" t="str">
        <f>IF(AT8="","",SUM(AT8:AV8))</f>
        <v/>
      </c>
      <c r="AX8" s="136" t="str">
        <f>IF($A8="","",VLOOKUP($A8,기본데이타!$A$8:$BV$103,COLUMN(기본데이타!BA$8),0))</f>
        <v/>
      </c>
      <c r="AY8" s="136" t="str">
        <f>IF($A8="","",VLOOKUP($A8,기본데이타!$A$8:$BV$103,COLUMN(기본데이타!BB$8),0))</f>
        <v/>
      </c>
      <c r="AZ8" s="136" t="str">
        <f>IF($A8="","",VLOOKUP($A8,기본데이타!$A$8:$BV$103,COLUMN(기본데이타!BC$8),0))</f>
        <v/>
      </c>
      <c r="BA8" s="136" t="str">
        <f>IF($A8="","",VLOOKUP($A8,기본데이타!$A$8:$BV$103,COLUMN(기본데이타!BD$8),0))</f>
        <v/>
      </c>
      <c r="BB8" s="136" t="str">
        <f>IF($A8="","",VLOOKUP($A8,기본데이타!$A$8:$BV$103,COLUMN(기본데이타!BE$8),0))</f>
        <v/>
      </c>
      <c r="BC8" s="136" t="str">
        <f>IF($A8="","",VLOOKUP($A8,기본데이타!$A$8:$BV$103,COLUMN(기본데이타!BF$8),0))</f>
        <v/>
      </c>
      <c r="BD8" s="136" t="str">
        <f>IF($A8="","",VLOOKUP($A8,기본데이타!$A$8:$BV$103,COLUMN(기본데이타!BG$8),0))</f>
        <v/>
      </c>
      <c r="BE8" s="136" t="str">
        <f>IF($A8="","",VLOOKUP($A8,기본데이타!$A$8:$BV$103,COLUMN(기본데이타!BH$8),0))</f>
        <v/>
      </c>
      <c r="BF8" s="136" t="str">
        <f>IF($A8="","",VLOOKUP($A8,기본데이타!$A$8:$BV$103,COLUMN(기본데이타!BI$8),0))</f>
        <v/>
      </c>
      <c r="BG8" s="136" t="str">
        <f>IF($A8="","",VLOOKUP($A8,기본데이타!$A$8:$BV$103,COLUMN(기본데이타!BJ$8),0))</f>
        <v/>
      </c>
      <c r="BH8" s="136" t="str">
        <f>IF($A8="","",VLOOKUP($A8,기본데이타!$A$8:$BV$103,COLUMN(기본데이타!BK$8),0))</f>
        <v/>
      </c>
      <c r="BI8" s="136" t="str">
        <f>IF($A8="","",VLOOKUP($A8,기본데이타!$A$8:$BV$103,COLUMN(기본데이타!BL$8),0))</f>
        <v/>
      </c>
      <c r="BJ8" s="136" t="str">
        <f>IF($A8="","",VLOOKUP($A8,기본데이타!$A$8:$BV$103,COLUMN(기본데이타!BM$8),0))</f>
        <v/>
      </c>
      <c r="BK8" s="136" t="str">
        <f>IF($A8="","",VLOOKUP($A8,기본데이타!$A$8:$BV$103,COLUMN(기본데이타!BN$8),0))</f>
        <v/>
      </c>
      <c r="BL8" s="136" t="str">
        <f>IF($A8="","",VLOOKUP($A8,기본데이타!$A$8:$BV$103,COLUMN(기본데이타!BO$8),0))</f>
        <v/>
      </c>
      <c r="BM8" s="136" t="str">
        <f>IF($A8="","",VLOOKUP($A8,기본데이타!$A$8:$BV$103,COLUMN(기본데이타!BP$8),0))</f>
        <v/>
      </c>
      <c r="BN8" s="136" t="str">
        <f>IF($A8="","",VLOOKUP($A8,기본데이타!$A$8:$BV$103,COLUMN(기본데이타!BQ$8),0))</f>
        <v/>
      </c>
      <c r="BO8" s="136" t="str">
        <f>IF($A8="","",VLOOKUP($A8,기본데이타!$A$8:$BV$103,COLUMN(기본데이타!BR$8),0))</f>
        <v/>
      </c>
      <c r="BP8" s="136" t="str">
        <f>IF($A8="","",VLOOKUP($A8,기본데이타!$A$8:$BV$103,COLUMN(기본데이타!BS$8),0))</f>
        <v/>
      </c>
      <c r="BQ8" s="136" t="str">
        <f>IF($A8="","",VLOOKUP($A8,기본데이타!$A$8:$BV$103,COLUMN(기본데이타!BT$8),0))</f>
        <v/>
      </c>
      <c r="BR8" s="136" t="str">
        <f>IF($A8="","",VLOOKUP($A8,기본데이타!$A$8:$BV$103,COLUMN(기본데이타!BU$8),0))</f>
        <v/>
      </c>
      <c r="BS8" s="136" t="str">
        <f>IF($A8="","",VLOOKUP($A8,기본데이타!$A$8:$BV$103,COLUMN(기본데이타!BV$8),0))</f>
        <v/>
      </c>
      <c r="BT8" s="801">
        <f>A8</f>
        <v>0</v>
      </c>
      <c r="BU8" s="242"/>
    </row>
    <row r="9" spans="1:74" s="7" customFormat="1" ht="73.5" customHeight="1">
      <c r="A9" s="171"/>
      <c r="B9" s="163"/>
      <c r="C9" s="257" t="str">
        <f>IF($A9="","",VLOOKUP($A9,기본데이타!$A$8:$BV$103,COLUMN(기본데이타!F$8),0))</f>
        <v/>
      </c>
      <c r="D9" s="165" t="str">
        <f>IF($A9="","",VLOOKUP($A9,기본데이타!$A$8:$BV$103,COLUMN(기본데이타!G$8),0))</f>
        <v/>
      </c>
      <c r="E9" s="166" t="str">
        <f>IF($A9="","",VLOOKUP($A9,기본데이타!$A$8:$BV$103,COLUMN(기본데이타!H$8),0))</f>
        <v/>
      </c>
      <c r="F9" s="166" t="str">
        <f>IF($A9="","",VLOOKUP($A9,기본데이타!$A$8:$BV$103,COLUMN(기본데이타!I$8),0))</f>
        <v/>
      </c>
      <c r="G9" s="166" t="str">
        <f>IF($A9="","",VLOOKUP($A9,기본데이타!$A$8:$BV$103,COLUMN(기본데이타!J$8),0))</f>
        <v/>
      </c>
      <c r="H9" s="167" t="str">
        <f>IF($A9="","",VLOOKUP($A9,기본데이타!$A$8:$BV$103,COLUMN(기본데이타!K$8),0))</f>
        <v/>
      </c>
      <c r="I9" s="167" t="str">
        <f>IF($A9="","",VLOOKUP($A9,기본데이타!$A$8:$BV$103,COLUMN(기본데이타!L$8),0))</f>
        <v/>
      </c>
      <c r="J9" s="167" t="str">
        <f>IF($A9="","",VLOOKUP($A9,기본데이타!$A$8:$BV$103,COLUMN(기본데이타!M$8),0))</f>
        <v/>
      </c>
      <c r="K9" s="168" t="str">
        <f>IF($A9="","",VLOOKUP($A9,기본데이타!$A$8:$BV$103,COLUMN(기본데이타!N$8),0))</f>
        <v/>
      </c>
      <c r="L9" s="167" t="str">
        <f>IF($A9="","",VLOOKUP($A9,기본데이타!$A$8:$BV$103,COLUMN(기본데이타!O$8),0))</f>
        <v/>
      </c>
      <c r="M9" s="168" t="str">
        <f>IF($A9="","",VLOOKUP($A9,기본데이타!$A$8:$BV$103,COLUMN(기본데이타!P$8),0))</f>
        <v/>
      </c>
      <c r="N9" s="168" t="str">
        <f>IF($A9="","",VLOOKUP($A9,기본데이타!$A$8:$BV$103,COLUMN(기본데이타!Q$8),0))</f>
        <v/>
      </c>
      <c r="O9" s="168" t="str">
        <f>IF($A9="","",VLOOKUP($A9,기본데이타!$A$8:$BV$103,COLUMN(기본데이타!R$8),0))</f>
        <v/>
      </c>
      <c r="P9" s="168" t="str">
        <f>IF($A9="","",VLOOKUP($A9,기본데이타!$A$8:$BV$103,COLUMN(기본데이타!S$8),0))</f>
        <v/>
      </c>
      <c r="Q9" s="168" t="str">
        <f>IF($A9="","",VLOOKUP($A9,기본데이타!$A$8:$BV$103,COLUMN(기본데이타!T$8),0))</f>
        <v/>
      </c>
      <c r="R9" s="168" t="str">
        <f>IF($A9="","",VLOOKUP($A9,기본데이타!$A$8:$BV$103,COLUMN(기본데이타!U$8),0))</f>
        <v/>
      </c>
      <c r="S9" s="168" t="str">
        <f>IF($A9="","",VLOOKUP($A9,기본데이타!$A$8:$BV$103,COLUMN(기본데이타!V$8),0))</f>
        <v/>
      </c>
      <c r="T9" s="168" t="str">
        <f>IF($A9="","",VLOOKUP($A9,기본데이타!$A$8:$BV$103,COLUMN(기본데이타!W$8),0))</f>
        <v/>
      </c>
      <c r="U9" s="168" t="str">
        <f>IF($A9="","",VLOOKUP($A9,기본데이타!$A$8:$BV$103,COLUMN(기본데이타!X$8),0))</f>
        <v/>
      </c>
      <c r="V9" s="168" t="str">
        <f>IF($A9="","",VLOOKUP($A9,기본데이타!$A$8:$BV$103,COLUMN(기본데이타!Y$8),0))</f>
        <v/>
      </c>
      <c r="W9" s="168" t="str">
        <f>IF($A9="","",VLOOKUP($A9,기본데이타!$A$8:$BV$103,COLUMN(기본데이타!Z$8),0))</f>
        <v/>
      </c>
      <c r="X9" s="168" t="str">
        <f>IF($A9="","",VLOOKUP($A9,기본데이타!$A$8:$BV$103,COLUMN(기본데이타!AA$8),0))</f>
        <v/>
      </c>
      <c r="Y9" s="168" t="str">
        <f>IF($A9="","",VLOOKUP($A9,기본데이타!$A$8:$BV$103,COLUMN(기본데이타!AB$8),0))</f>
        <v/>
      </c>
      <c r="Z9" s="167" t="str">
        <f>IF($A9="","",VLOOKUP($A9,기본데이타!$A$8:$BV$103,COLUMN(기본데이타!AC$8),0))</f>
        <v/>
      </c>
      <c r="AA9" s="1393" t="str">
        <f>IF($A9="","",VLOOKUP($A9,기본데이타!$A$8:$BV$103,COLUMN(기본데이타!AD$8),0))</f>
        <v/>
      </c>
      <c r="AB9" s="1394" t="str">
        <f>IF($A9="","",VLOOKUP($A9,기본데이타!$A$8:$BV$103,COLUMN(기본데이타!AE$8),0))</f>
        <v/>
      </c>
      <c r="AC9" s="1393" t="str">
        <f>IF($A9="","",VLOOKUP($A9,기본데이타!$A$8:$BV$103,COLUMN(기본데이타!AF$8),0))</f>
        <v/>
      </c>
      <c r="AD9" s="1394" t="str">
        <f>IF($A9="","",VLOOKUP($A9,기본데이타!$A$8:$BV$103,COLUMN(기본데이타!AG$8),0))</f>
        <v/>
      </c>
      <c r="AE9" s="1393" t="str">
        <f>IF($A9="","",VLOOKUP($A9,기본데이타!$A$8:$BV$103,COLUMN(기본데이타!AH$8),0))</f>
        <v/>
      </c>
      <c r="AF9" s="1394" t="str">
        <f>IF($A9="","",VLOOKUP($A9,기본데이타!$A$8:$BV$103,COLUMN(기본데이타!AI$8),0))</f>
        <v/>
      </c>
      <c r="AG9" s="169" t="str">
        <f>IF($A9="","",VLOOKUP($A9,기본데이타!$A$8:$BV$103,COLUMN(기본데이타!AJ$8),0))</f>
        <v/>
      </c>
      <c r="AH9" s="368" t="str">
        <f>IF($A9="","",VLOOKUP($A9,기본데이타!$A$8:$BV$103,COLUMN(기본데이타!AK$8),0))</f>
        <v/>
      </c>
      <c r="AI9" s="368" t="str">
        <f>IF($A9="","",VLOOKUP($A9,기본데이타!$A$8:$BV$103,COLUMN(기본데이타!AL$8),0))</f>
        <v/>
      </c>
      <c r="AJ9" s="368" t="str">
        <f>IF($A9="","",VLOOKUP($A9,기본데이타!$A$8:$BV$103,COLUMN(기본데이타!AM$8),0))</f>
        <v/>
      </c>
      <c r="AK9" s="368" t="str">
        <f>IF($A9="","",VLOOKUP($A9,기본데이타!$A$8:$BV$103,COLUMN(기본데이타!AN$8),0))</f>
        <v/>
      </c>
      <c r="AL9" s="368" t="str">
        <f>IF($A9="","",VLOOKUP($A9,기본데이타!$A$8:$BV$103,COLUMN(기본데이타!AO$8),0))</f>
        <v/>
      </c>
      <c r="AM9" s="368" t="str">
        <f>IF($A9="","",VLOOKUP($A9,기본데이타!$A$8:$BV$103,COLUMN(기본데이타!AP$8),0))</f>
        <v/>
      </c>
      <c r="AN9" s="368" t="str">
        <f>IF($A9="","",VLOOKUP($A9,기본데이타!$A$8:$BV$103,COLUMN(기본데이타!AQ$8),0))</f>
        <v/>
      </c>
      <c r="AO9" s="368" t="str">
        <f>IF($A9="","",VLOOKUP($A9,기본데이타!$A$8:$BV$103,COLUMN(기본데이타!AR$8),0))</f>
        <v/>
      </c>
      <c r="AP9" s="1399" t="str">
        <f>IF($A9="","",VLOOKUP($A9,기본데이타!$A$8:$BV$103,COLUMN(기본데이타!AS$8),0))</f>
        <v/>
      </c>
      <c r="AQ9" s="1399" t="str">
        <f>IF($A9="","",VLOOKUP($A9,기본데이타!$A$8:$BV$103,COLUMN(기본데이타!AT$8),0))</f>
        <v/>
      </c>
      <c r="AR9" s="1399" t="str">
        <f>IF($A9="","",VLOOKUP($A9,기본데이타!$A$8:$BV$103,COLUMN(기본데이타!AU$8),0))</f>
        <v/>
      </c>
      <c r="AS9" s="368" t="str">
        <f>IF($A9="","",VLOOKUP($A9,기본데이타!$A$8:$BV$103,COLUMN(기본데이타!AV$8),0))</f>
        <v/>
      </c>
      <c r="AT9" s="168" t="str">
        <f>IF($A9="","",VLOOKUP($A9,기본데이타!$A$8:$BV$103,COLUMN(기본데이타!AW$8),0))</f>
        <v/>
      </c>
      <c r="AU9" s="168" t="str">
        <f>IF($A9="","",VLOOKUP($A9,기본데이타!$A$8:$BV$103,COLUMN(기본데이타!AX$8),0))</f>
        <v/>
      </c>
      <c r="AV9" s="168" t="str">
        <f>IF($A9="","",VLOOKUP($A9,기본데이타!$A$8:$BV$103,COLUMN(기본데이타!AY$8),0))</f>
        <v/>
      </c>
      <c r="AW9" s="168" t="str">
        <f t="shared" ref="AW9:AW66" si="7">IF(AT9="","",SUM(AT9:AV9))</f>
        <v/>
      </c>
      <c r="AX9" s="136" t="str">
        <f>IF($A9="","",VLOOKUP($A9,기본데이타!$A$8:$BV$103,COLUMN(기본데이타!BA$8),0))</f>
        <v/>
      </c>
      <c r="AY9" s="136" t="str">
        <f>IF($A9="","",VLOOKUP($A9,기본데이타!$A$8:$BV$103,COLUMN(기본데이타!BB$8),0))</f>
        <v/>
      </c>
      <c r="AZ9" s="136" t="str">
        <f>IF($A9="","",VLOOKUP($A9,기본데이타!$A$8:$BV$103,COLUMN(기본데이타!BC$8),0))</f>
        <v/>
      </c>
      <c r="BA9" s="136" t="str">
        <f>IF($A9="","",VLOOKUP($A9,기본데이타!$A$8:$BV$103,COLUMN(기본데이타!BD$8),0))</f>
        <v/>
      </c>
      <c r="BB9" s="136" t="str">
        <f>IF($A9="","",VLOOKUP($A9,기본데이타!$A$8:$BV$103,COLUMN(기본데이타!BE$8),0))</f>
        <v/>
      </c>
      <c r="BC9" s="136" t="str">
        <f>IF($A9="","",VLOOKUP($A9,기본데이타!$A$8:$BV$103,COLUMN(기본데이타!BF$8),0))</f>
        <v/>
      </c>
      <c r="BD9" s="136" t="str">
        <f>IF($A9="","",VLOOKUP($A9,기본데이타!$A$8:$BV$103,COLUMN(기본데이타!BG$8),0))</f>
        <v/>
      </c>
      <c r="BE9" s="136" t="str">
        <f>IF($A9="","",VLOOKUP($A9,기본데이타!$A$8:$BV$103,COLUMN(기본데이타!BH$8),0))</f>
        <v/>
      </c>
      <c r="BF9" s="136" t="str">
        <f>IF($A9="","",VLOOKUP($A9,기본데이타!$A$8:$BV$103,COLUMN(기본데이타!BI$8),0))</f>
        <v/>
      </c>
      <c r="BG9" s="136" t="str">
        <f>IF($A9="","",VLOOKUP($A9,기본데이타!$A$8:$BV$103,COLUMN(기본데이타!BJ$8),0))</f>
        <v/>
      </c>
      <c r="BH9" s="136" t="str">
        <f>IF($A9="","",VLOOKUP($A9,기본데이타!$A$8:$BV$103,COLUMN(기본데이타!BK$8),0))</f>
        <v/>
      </c>
      <c r="BI9" s="136" t="str">
        <f>IF($A9="","",VLOOKUP($A9,기본데이타!$A$8:$BV$103,COLUMN(기본데이타!BL$8),0))</f>
        <v/>
      </c>
      <c r="BJ9" s="136" t="str">
        <f>IF($A9="","",VLOOKUP($A9,기본데이타!$A$8:$BV$103,COLUMN(기본데이타!BM$8),0))</f>
        <v/>
      </c>
      <c r="BK9" s="136" t="str">
        <f>IF($A9="","",VLOOKUP($A9,기본데이타!$A$8:$BV$103,COLUMN(기본데이타!BN$8),0))</f>
        <v/>
      </c>
      <c r="BL9" s="136" t="str">
        <f>IF($A9="","",VLOOKUP($A9,기본데이타!$A$8:$BV$103,COLUMN(기본데이타!BO$8),0))</f>
        <v/>
      </c>
      <c r="BM9" s="136" t="str">
        <f>IF($A9="","",VLOOKUP($A9,기본데이타!$A$8:$BV$103,COLUMN(기본데이타!BP$8),0))</f>
        <v/>
      </c>
      <c r="BN9" s="136" t="str">
        <f>IF($A9="","",VLOOKUP($A9,기본데이타!$A$8:$BV$103,COLUMN(기본데이타!BQ$8),0))</f>
        <v/>
      </c>
      <c r="BO9" s="136" t="str">
        <f>IF($A9="","",VLOOKUP($A9,기본데이타!$A$8:$BV$103,COLUMN(기본데이타!BR$8),0))</f>
        <v/>
      </c>
      <c r="BP9" s="136" t="str">
        <f>IF($A9="","",VLOOKUP($A9,기본데이타!$A$8:$BV$103,COLUMN(기본데이타!BS$8),0))</f>
        <v/>
      </c>
      <c r="BQ9" s="136" t="str">
        <f>IF($A9="","",VLOOKUP($A9,기본데이타!$A$8:$BV$103,COLUMN(기본데이타!BT$8),0))</f>
        <v/>
      </c>
      <c r="BR9" s="136" t="str">
        <f>IF($A9="","",VLOOKUP($A9,기본데이타!$A$8:$BV$103,COLUMN(기본데이타!BU$8),0))</f>
        <v/>
      </c>
      <c r="BS9" s="136" t="str">
        <f>IF($A9="","",VLOOKUP($A9,기본데이타!$A$8:$BV$103,COLUMN(기본데이타!BV$8),0))</f>
        <v/>
      </c>
      <c r="BT9" s="801">
        <f t="shared" ref="BT9:BT33" si="8">A9</f>
        <v>0</v>
      </c>
      <c r="BU9" s="307"/>
    </row>
    <row r="10" spans="1:74" s="7" customFormat="1" ht="73.5" customHeight="1">
      <c r="A10" s="171"/>
      <c r="B10" s="163"/>
      <c r="C10" s="164" t="str">
        <f>IF($A10="","",VLOOKUP($A10,기본데이타!$A$8:$BV$103,COLUMN(기본데이타!F$8),0))</f>
        <v/>
      </c>
      <c r="D10" s="165" t="str">
        <f>IF($A10="","",VLOOKUP($A10,기본데이타!$A$8:$BV$103,COLUMN(기본데이타!G$8),0))</f>
        <v/>
      </c>
      <c r="E10" s="166" t="str">
        <f>IF($A10="","",VLOOKUP($A10,기본데이타!$A$8:$BV$103,COLUMN(기본데이타!H$8),0))</f>
        <v/>
      </c>
      <c r="F10" s="166" t="str">
        <f>IF($A10="","",VLOOKUP($A10,기본데이타!$A$8:$BV$103,COLUMN(기본데이타!I$8),0))</f>
        <v/>
      </c>
      <c r="G10" s="166" t="str">
        <f>IF($A10="","",VLOOKUP($A10,기본데이타!$A$8:$BV$103,COLUMN(기본데이타!J$8),0))</f>
        <v/>
      </c>
      <c r="H10" s="167" t="str">
        <f>IF($A10="","",VLOOKUP($A10,기본데이타!$A$8:$BV$103,COLUMN(기본데이타!K$8),0))</f>
        <v/>
      </c>
      <c r="I10" s="167" t="str">
        <f>IF($A10="","",VLOOKUP($A10,기본데이타!$A$8:$BV$103,COLUMN(기본데이타!L$8),0))</f>
        <v/>
      </c>
      <c r="J10" s="167" t="str">
        <f>IF($A10="","",VLOOKUP($A10,기본데이타!$A$8:$BV$103,COLUMN(기본데이타!M$8),0))</f>
        <v/>
      </c>
      <c r="K10" s="168" t="str">
        <f>IF($A10="","",VLOOKUP($A10,기본데이타!$A$8:$BV$103,COLUMN(기본데이타!N$8),0))</f>
        <v/>
      </c>
      <c r="L10" s="167" t="str">
        <f>IF($A10="","",VLOOKUP($A10,기본데이타!$A$8:$BV$103,COLUMN(기본데이타!O$8),0))</f>
        <v/>
      </c>
      <c r="M10" s="168" t="str">
        <f>IF($A10="","",VLOOKUP($A10,기본데이타!$A$8:$BV$103,COLUMN(기본데이타!P$8),0))</f>
        <v/>
      </c>
      <c r="N10" s="168" t="str">
        <f>IF($A10="","",VLOOKUP($A10,기본데이타!$A$8:$BV$103,COLUMN(기본데이타!Q$8),0))</f>
        <v/>
      </c>
      <c r="O10" s="168" t="str">
        <f>IF($A10="","",VLOOKUP($A10,기본데이타!$A$8:$BV$103,COLUMN(기본데이타!R$8),0))</f>
        <v/>
      </c>
      <c r="P10" s="168" t="str">
        <f>IF($A10="","",VLOOKUP($A10,기본데이타!$A$8:$BV$103,COLUMN(기본데이타!S$8),0))</f>
        <v/>
      </c>
      <c r="Q10" s="168" t="str">
        <f>IF($A10="","",VLOOKUP($A10,기본데이타!$A$8:$BV$103,COLUMN(기본데이타!T$8),0))</f>
        <v/>
      </c>
      <c r="R10" s="168" t="str">
        <f>IF($A10="","",VLOOKUP($A10,기본데이타!$A$8:$BV$103,COLUMN(기본데이타!U$8),0))</f>
        <v/>
      </c>
      <c r="S10" s="168" t="str">
        <f>IF($A10="","",VLOOKUP($A10,기본데이타!$A$8:$BV$103,COLUMN(기본데이타!V$8),0))</f>
        <v/>
      </c>
      <c r="T10" s="168" t="str">
        <f>IF($A10="","",VLOOKUP($A10,기본데이타!$A$8:$BV$103,COLUMN(기본데이타!W$8),0))</f>
        <v/>
      </c>
      <c r="U10" s="168" t="str">
        <f>IF($A10="","",VLOOKUP($A10,기본데이타!$A$8:$BV$103,COLUMN(기본데이타!X$8),0))</f>
        <v/>
      </c>
      <c r="V10" s="168" t="str">
        <f>IF($A10="","",VLOOKUP($A10,기본데이타!$A$8:$BV$103,COLUMN(기본데이타!Y$8),0))</f>
        <v/>
      </c>
      <c r="W10" s="168" t="str">
        <f>IF($A10="","",VLOOKUP($A10,기본데이타!$A$8:$BV$103,COLUMN(기본데이타!Z$8),0))</f>
        <v/>
      </c>
      <c r="X10" s="168" t="str">
        <f>IF($A10="","",VLOOKUP($A10,기본데이타!$A$8:$BV$103,COLUMN(기본데이타!AA$8),0))</f>
        <v/>
      </c>
      <c r="Y10" s="168" t="str">
        <f>IF($A10="","",VLOOKUP($A10,기본데이타!$A$8:$BV$103,COLUMN(기본데이타!AB$8),0))</f>
        <v/>
      </c>
      <c r="Z10" s="167" t="str">
        <f>IF($A10="","",VLOOKUP($A10,기본데이타!$A$8:$BV$103,COLUMN(기본데이타!AC$8),0))</f>
        <v/>
      </c>
      <c r="AA10" s="1393" t="str">
        <f>IF($A10="","",VLOOKUP($A10,기본데이타!$A$8:$BV$103,COLUMN(기본데이타!AD$8),0))</f>
        <v/>
      </c>
      <c r="AB10" s="1394" t="str">
        <f>IF($A10="","",VLOOKUP($A10,기본데이타!$A$8:$BV$103,COLUMN(기본데이타!AE$8),0))</f>
        <v/>
      </c>
      <c r="AC10" s="1393" t="str">
        <f>IF($A10="","",VLOOKUP($A10,기본데이타!$A$8:$BV$103,COLUMN(기본데이타!AF$8),0))</f>
        <v/>
      </c>
      <c r="AD10" s="1394" t="str">
        <f>IF($A10="","",VLOOKUP($A10,기본데이타!$A$8:$BV$103,COLUMN(기본데이타!AG$8),0))</f>
        <v/>
      </c>
      <c r="AE10" s="1393" t="str">
        <f>IF($A10="","",VLOOKUP($A10,기본데이타!$A$8:$BV$103,COLUMN(기본데이타!AH$8),0))</f>
        <v/>
      </c>
      <c r="AF10" s="1394" t="str">
        <f>IF($A10="","",VLOOKUP($A10,기본데이타!$A$8:$BV$103,COLUMN(기본데이타!AI$8),0))</f>
        <v/>
      </c>
      <c r="AG10" s="169" t="str">
        <f>IF($A10="","",VLOOKUP($A10,기본데이타!$A$8:$BV$103,COLUMN(기본데이타!AJ$8),0))</f>
        <v/>
      </c>
      <c r="AH10" s="368" t="str">
        <f>IF($A10="","",VLOOKUP($A10,기본데이타!$A$8:$BV$103,COLUMN(기본데이타!AK$8),0))</f>
        <v/>
      </c>
      <c r="AI10" s="368" t="str">
        <f>IF($A10="","",VLOOKUP($A10,기본데이타!$A$8:$BV$103,COLUMN(기본데이타!AL$8),0))</f>
        <v/>
      </c>
      <c r="AJ10" s="368" t="str">
        <f>IF($A10="","",VLOOKUP($A10,기본데이타!$A$8:$BV$103,COLUMN(기본데이타!AM$8),0))</f>
        <v/>
      </c>
      <c r="AK10" s="368" t="str">
        <f>IF($A10="","",VLOOKUP($A10,기본데이타!$A$8:$BV$103,COLUMN(기본데이타!AN$8),0))</f>
        <v/>
      </c>
      <c r="AL10" s="368" t="str">
        <f>IF($A10="","",VLOOKUP($A10,기본데이타!$A$8:$BV$103,COLUMN(기본데이타!AO$8),0))</f>
        <v/>
      </c>
      <c r="AM10" s="368" t="str">
        <f>IF($A10="","",VLOOKUP($A10,기본데이타!$A$8:$BV$103,COLUMN(기본데이타!AP$8),0))</f>
        <v/>
      </c>
      <c r="AN10" s="368" t="str">
        <f>IF($A10="","",VLOOKUP($A10,기본데이타!$A$8:$BV$103,COLUMN(기본데이타!AQ$8),0))</f>
        <v/>
      </c>
      <c r="AO10" s="368" t="str">
        <f>IF($A10="","",VLOOKUP($A10,기본데이타!$A$8:$BV$103,COLUMN(기본데이타!AR$8),0))</f>
        <v/>
      </c>
      <c r="AP10" s="1399" t="str">
        <f>IF($A10="","",VLOOKUP($A10,기본데이타!$A$8:$BV$103,COLUMN(기본데이타!AS$8),0))</f>
        <v/>
      </c>
      <c r="AQ10" s="1399" t="str">
        <f>IF($A10="","",VLOOKUP($A10,기본데이타!$A$8:$BV$103,COLUMN(기본데이타!AT$8),0))</f>
        <v/>
      </c>
      <c r="AR10" s="1399" t="str">
        <f>IF($A10="","",VLOOKUP($A10,기본데이타!$A$8:$BV$103,COLUMN(기본데이타!AU$8),0))</f>
        <v/>
      </c>
      <c r="AS10" s="368" t="str">
        <f>IF($A10="","",VLOOKUP($A10,기본데이타!$A$8:$BV$103,COLUMN(기본데이타!AV$8),0))</f>
        <v/>
      </c>
      <c r="AT10" s="168" t="str">
        <f>IF($A10="","",VLOOKUP($A10,기본데이타!$A$8:$BV$103,COLUMN(기본데이타!AW$8),0))</f>
        <v/>
      </c>
      <c r="AU10" s="168" t="str">
        <f>IF($A10="","",VLOOKUP($A10,기본데이타!$A$8:$BV$103,COLUMN(기본데이타!AX$8),0))</f>
        <v/>
      </c>
      <c r="AV10" s="168" t="str">
        <f>IF($A10="","",VLOOKUP($A10,기본데이타!$A$8:$BV$103,COLUMN(기본데이타!AY$8),0))</f>
        <v/>
      </c>
      <c r="AW10" s="168" t="str">
        <f t="shared" si="7"/>
        <v/>
      </c>
      <c r="AX10" s="136" t="str">
        <f>IF($A10="","",VLOOKUP($A10,기본데이타!$A$8:$BV$103,COLUMN(기본데이타!BA$8),0))</f>
        <v/>
      </c>
      <c r="AY10" s="136" t="str">
        <f>IF($A10="","",VLOOKUP($A10,기본데이타!$A$8:$BV$103,COLUMN(기본데이타!BB$8),0))</f>
        <v/>
      </c>
      <c r="AZ10" s="136" t="str">
        <f>IF($A10="","",VLOOKUP($A10,기본데이타!$A$8:$BV$103,COLUMN(기본데이타!BC$8),0))</f>
        <v/>
      </c>
      <c r="BA10" s="136" t="str">
        <f>IF($A10="","",VLOOKUP($A10,기본데이타!$A$8:$BV$103,COLUMN(기본데이타!BD$8),0))</f>
        <v/>
      </c>
      <c r="BB10" s="136" t="str">
        <f>IF($A10="","",VLOOKUP($A10,기본데이타!$A$8:$BV$103,COLUMN(기본데이타!BE$8),0))</f>
        <v/>
      </c>
      <c r="BC10" s="136" t="str">
        <f>IF($A10="","",VLOOKUP($A10,기본데이타!$A$8:$BV$103,COLUMN(기본데이타!BF$8),0))</f>
        <v/>
      </c>
      <c r="BD10" s="136" t="str">
        <f>IF($A10="","",VLOOKUP($A10,기본데이타!$A$8:$BV$103,COLUMN(기본데이타!BG$8),0))</f>
        <v/>
      </c>
      <c r="BE10" s="136" t="str">
        <f>IF($A10="","",VLOOKUP($A10,기본데이타!$A$8:$BV$103,COLUMN(기본데이타!BH$8),0))</f>
        <v/>
      </c>
      <c r="BF10" s="136" t="str">
        <f>IF($A10="","",VLOOKUP($A10,기본데이타!$A$8:$BV$103,COLUMN(기본데이타!BI$8),0))</f>
        <v/>
      </c>
      <c r="BG10" s="136" t="str">
        <f>IF($A10="","",VLOOKUP($A10,기본데이타!$A$8:$BV$103,COLUMN(기본데이타!BJ$8),0))</f>
        <v/>
      </c>
      <c r="BH10" s="136" t="str">
        <f>IF($A10="","",VLOOKUP($A10,기본데이타!$A$8:$BV$103,COLUMN(기본데이타!BK$8),0))</f>
        <v/>
      </c>
      <c r="BI10" s="136" t="str">
        <f>IF($A10="","",VLOOKUP($A10,기본데이타!$A$8:$BV$103,COLUMN(기본데이타!BL$8),0))</f>
        <v/>
      </c>
      <c r="BJ10" s="136" t="str">
        <f>IF($A10="","",VLOOKUP($A10,기본데이타!$A$8:$BV$103,COLUMN(기본데이타!BM$8),0))</f>
        <v/>
      </c>
      <c r="BK10" s="136" t="str">
        <f>IF($A10="","",VLOOKUP($A10,기본데이타!$A$8:$BV$103,COLUMN(기본데이타!BN$8),0))</f>
        <v/>
      </c>
      <c r="BL10" s="136" t="str">
        <f>IF($A10="","",VLOOKUP($A10,기본데이타!$A$8:$BV$103,COLUMN(기본데이타!BO$8),0))</f>
        <v/>
      </c>
      <c r="BM10" s="136" t="str">
        <f>IF($A10="","",VLOOKUP($A10,기본데이타!$A$8:$BV$103,COLUMN(기본데이타!BP$8),0))</f>
        <v/>
      </c>
      <c r="BN10" s="136" t="str">
        <f>IF($A10="","",VLOOKUP($A10,기본데이타!$A$8:$BV$103,COLUMN(기본데이타!BQ$8),0))</f>
        <v/>
      </c>
      <c r="BO10" s="136" t="str">
        <f>IF($A10="","",VLOOKUP($A10,기본데이타!$A$8:$BV$103,COLUMN(기본데이타!BR$8),0))</f>
        <v/>
      </c>
      <c r="BP10" s="136" t="str">
        <f>IF($A10="","",VLOOKUP($A10,기본데이타!$A$8:$BV$103,COLUMN(기본데이타!BS$8),0))</f>
        <v/>
      </c>
      <c r="BQ10" s="136" t="str">
        <f>IF($A10="","",VLOOKUP($A10,기본데이타!$A$8:$BV$103,COLUMN(기본데이타!BT$8),0))</f>
        <v/>
      </c>
      <c r="BR10" s="136" t="str">
        <f>IF($A10="","",VLOOKUP($A10,기본데이타!$A$8:$BV$103,COLUMN(기본데이타!BU$8),0))</f>
        <v/>
      </c>
      <c r="BS10" s="136" t="str">
        <f>IF($A10="","",VLOOKUP($A10,기본데이타!$A$8:$BV$103,COLUMN(기본데이타!BV$8),0))</f>
        <v/>
      </c>
      <c r="BT10" s="801">
        <f t="shared" si="8"/>
        <v>0</v>
      </c>
      <c r="BU10" s="242"/>
    </row>
    <row r="11" spans="1:74" s="7" customFormat="1" ht="73.5" customHeight="1">
      <c r="A11" s="171"/>
      <c r="B11" s="163"/>
      <c r="C11" s="164" t="str">
        <f>IF($A11="","",VLOOKUP($A11,기본데이타!$A$8:$BV$103,COLUMN(기본데이타!F$8),0))</f>
        <v/>
      </c>
      <c r="D11" s="165" t="str">
        <f>IF($A11="","",VLOOKUP($A11,기본데이타!$A$8:$BV$103,COLUMN(기본데이타!G$8),0))</f>
        <v/>
      </c>
      <c r="E11" s="166" t="str">
        <f>IF($A11="","",VLOOKUP($A11,기본데이타!$A$8:$BV$103,COLUMN(기본데이타!H$8),0))</f>
        <v/>
      </c>
      <c r="F11" s="166" t="str">
        <f>IF($A11="","",VLOOKUP($A11,기본데이타!$A$8:$BV$103,COLUMN(기본데이타!I$8),0))</f>
        <v/>
      </c>
      <c r="G11" s="166" t="str">
        <f>IF($A11="","",VLOOKUP($A11,기본데이타!$A$8:$BV$103,COLUMN(기본데이타!J$8),0))</f>
        <v/>
      </c>
      <c r="H11" s="167" t="str">
        <f>IF($A11="","",VLOOKUP($A11,기본데이타!$A$8:$BV$103,COLUMN(기본데이타!K$8),0))</f>
        <v/>
      </c>
      <c r="I11" s="167" t="str">
        <f>IF($A11="","",VLOOKUP($A11,기본데이타!$A$8:$BV$103,COLUMN(기본데이타!L$8),0))</f>
        <v/>
      </c>
      <c r="J11" s="167" t="str">
        <f>IF($A11="","",VLOOKUP($A11,기본데이타!$A$8:$BV$103,COLUMN(기본데이타!M$8),0))</f>
        <v/>
      </c>
      <c r="K11" s="168" t="str">
        <f>IF($A11="","",VLOOKUP($A11,기본데이타!$A$8:$BV$103,COLUMN(기본데이타!N$8),0))</f>
        <v/>
      </c>
      <c r="L11" s="167" t="str">
        <f>IF($A11="","",VLOOKUP($A11,기본데이타!$A$8:$BV$103,COLUMN(기본데이타!O$8),0))</f>
        <v/>
      </c>
      <c r="M11" s="168" t="str">
        <f>IF($A11="","",VLOOKUP($A11,기본데이타!$A$8:$BV$103,COLUMN(기본데이타!P$8),0))</f>
        <v/>
      </c>
      <c r="N11" s="168" t="str">
        <f>IF($A11="","",VLOOKUP($A11,기본데이타!$A$8:$BV$103,COLUMN(기본데이타!Q$8),0))</f>
        <v/>
      </c>
      <c r="O11" s="168" t="str">
        <f>IF($A11="","",VLOOKUP($A11,기본데이타!$A$8:$BV$103,COLUMN(기본데이타!R$8),0))</f>
        <v/>
      </c>
      <c r="P11" s="168" t="str">
        <f>IF($A11="","",VLOOKUP($A11,기본데이타!$A$8:$BV$103,COLUMN(기본데이타!S$8),0))</f>
        <v/>
      </c>
      <c r="Q11" s="168" t="str">
        <f>IF($A11="","",VLOOKUP($A11,기본데이타!$A$8:$BV$103,COLUMN(기본데이타!T$8),0))</f>
        <v/>
      </c>
      <c r="R11" s="168" t="str">
        <f>IF($A11="","",VLOOKUP($A11,기본데이타!$A$8:$BV$103,COLUMN(기본데이타!U$8),0))</f>
        <v/>
      </c>
      <c r="S11" s="168" t="str">
        <f>IF($A11="","",VLOOKUP($A11,기본데이타!$A$8:$BV$103,COLUMN(기본데이타!V$8),0))</f>
        <v/>
      </c>
      <c r="T11" s="168" t="str">
        <f>IF($A11="","",VLOOKUP($A11,기본데이타!$A$8:$BV$103,COLUMN(기본데이타!W$8),0))</f>
        <v/>
      </c>
      <c r="U11" s="168" t="str">
        <f>IF($A11="","",VLOOKUP($A11,기본데이타!$A$8:$BV$103,COLUMN(기본데이타!X$8),0))</f>
        <v/>
      </c>
      <c r="V11" s="168" t="str">
        <f>IF($A11="","",VLOOKUP($A11,기본데이타!$A$8:$BV$103,COLUMN(기본데이타!Y$8),0))</f>
        <v/>
      </c>
      <c r="W11" s="168" t="str">
        <f>IF($A11="","",VLOOKUP($A11,기본데이타!$A$8:$BV$103,COLUMN(기본데이타!Z$8),0))</f>
        <v/>
      </c>
      <c r="X11" s="168" t="str">
        <f>IF($A11="","",VLOOKUP($A11,기본데이타!$A$8:$BV$103,COLUMN(기본데이타!AA$8),0))</f>
        <v/>
      </c>
      <c r="Y11" s="168" t="str">
        <f>IF($A11="","",VLOOKUP($A11,기본데이타!$A$8:$BV$103,COLUMN(기본데이타!AB$8),0))</f>
        <v/>
      </c>
      <c r="Z11" s="167" t="str">
        <f>IF($A11="","",VLOOKUP($A11,기본데이타!$A$8:$BV$103,COLUMN(기본데이타!AC$8),0))</f>
        <v/>
      </c>
      <c r="AA11" s="1393" t="str">
        <f>IF($A11="","",VLOOKUP($A11,기본데이타!$A$8:$BV$103,COLUMN(기본데이타!AD$8),0))</f>
        <v/>
      </c>
      <c r="AB11" s="1394" t="str">
        <f>IF($A11="","",VLOOKUP($A11,기본데이타!$A$8:$BV$103,COLUMN(기본데이타!AE$8),0))</f>
        <v/>
      </c>
      <c r="AC11" s="1393" t="str">
        <f>IF($A11="","",VLOOKUP($A11,기본데이타!$A$8:$BV$103,COLUMN(기본데이타!AF$8),0))</f>
        <v/>
      </c>
      <c r="AD11" s="1394" t="str">
        <f>IF($A11="","",VLOOKUP($A11,기본데이타!$A$8:$BV$103,COLUMN(기본데이타!AG$8),0))</f>
        <v/>
      </c>
      <c r="AE11" s="1393" t="str">
        <f>IF($A11="","",VLOOKUP($A11,기본데이타!$A$8:$BV$103,COLUMN(기본데이타!AH$8),0))</f>
        <v/>
      </c>
      <c r="AF11" s="1394" t="str">
        <f>IF($A11="","",VLOOKUP($A11,기본데이타!$A$8:$BV$103,COLUMN(기본데이타!AI$8),0))</f>
        <v/>
      </c>
      <c r="AG11" s="169" t="str">
        <f>IF($A11="","",VLOOKUP($A11,기본데이타!$A$8:$BV$103,COLUMN(기본데이타!AJ$8),0))</f>
        <v/>
      </c>
      <c r="AH11" s="368" t="str">
        <f>IF($A11="","",VLOOKUP($A11,기본데이타!$A$8:$BV$103,COLUMN(기본데이타!AK$8),0))</f>
        <v/>
      </c>
      <c r="AI11" s="368" t="str">
        <f>IF($A11="","",VLOOKUP($A11,기본데이타!$A$8:$BV$103,COLUMN(기본데이타!AL$8),0))</f>
        <v/>
      </c>
      <c r="AJ11" s="368" t="str">
        <f>IF($A11="","",VLOOKUP($A11,기본데이타!$A$8:$BV$103,COLUMN(기본데이타!AM$8),0))</f>
        <v/>
      </c>
      <c r="AK11" s="368" t="str">
        <f>IF($A11="","",VLOOKUP($A11,기본데이타!$A$8:$BV$103,COLUMN(기본데이타!AN$8),0))</f>
        <v/>
      </c>
      <c r="AL11" s="368" t="str">
        <f>IF($A11="","",VLOOKUP($A11,기본데이타!$A$8:$BV$103,COLUMN(기본데이타!AO$8),0))</f>
        <v/>
      </c>
      <c r="AM11" s="368" t="str">
        <f>IF($A11="","",VLOOKUP($A11,기본데이타!$A$8:$BV$103,COLUMN(기본데이타!AP$8),0))</f>
        <v/>
      </c>
      <c r="AN11" s="368" t="str">
        <f>IF($A11="","",VLOOKUP($A11,기본데이타!$A$8:$BV$103,COLUMN(기본데이타!AQ$8),0))</f>
        <v/>
      </c>
      <c r="AO11" s="368" t="str">
        <f>IF($A11="","",VLOOKUP($A11,기본데이타!$A$8:$BV$103,COLUMN(기본데이타!AR$8),0))</f>
        <v/>
      </c>
      <c r="AP11" s="1399" t="str">
        <f>IF($A11="","",VLOOKUP($A11,기본데이타!$A$8:$BV$103,COLUMN(기본데이타!AS$8),0))</f>
        <v/>
      </c>
      <c r="AQ11" s="1399" t="str">
        <f>IF($A11="","",VLOOKUP($A11,기본데이타!$A$8:$BV$103,COLUMN(기본데이타!AT$8),0))</f>
        <v/>
      </c>
      <c r="AR11" s="1399" t="str">
        <f>IF($A11="","",VLOOKUP($A11,기본데이타!$A$8:$BV$103,COLUMN(기본데이타!AU$8),0))</f>
        <v/>
      </c>
      <c r="AS11" s="368" t="str">
        <f>IF($A11="","",VLOOKUP($A11,기본데이타!$A$8:$BV$103,COLUMN(기본데이타!AV$8),0))</f>
        <v/>
      </c>
      <c r="AT11" s="168" t="str">
        <f>IF($A11="","",VLOOKUP($A11,기본데이타!$A$8:$BV$103,COLUMN(기본데이타!AW$8),0))</f>
        <v/>
      </c>
      <c r="AU11" s="168" t="str">
        <f>IF($A11="","",VLOOKUP($A11,기본데이타!$A$8:$BV$103,COLUMN(기본데이타!AX$8),0))</f>
        <v/>
      </c>
      <c r="AV11" s="168" t="str">
        <f>IF($A11="","",VLOOKUP($A11,기본데이타!$A$8:$BV$103,COLUMN(기본데이타!AY$8),0))</f>
        <v/>
      </c>
      <c r="AW11" s="168" t="str">
        <f t="shared" si="7"/>
        <v/>
      </c>
      <c r="AX11" s="136" t="str">
        <f>IF($A11="","",VLOOKUP($A11,기본데이타!$A$8:$BV$103,COLUMN(기본데이타!BA$8),0))</f>
        <v/>
      </c>
      <c r="AY11" s="136" t="str">
        <f>IF($A11="","",VLOOKUP($A11,기본데이타!$A$8:$BV$103,COLUMN(기본데이타!BB$8),0))</f>
        <v/>
      </c>
      <c r="AZ11" s="136" t="str">
        <f>IF($A11="","",VLOOKUP($A11,기본데이타!$A$8:$BV$103,COLUMN(기본데이타!BC$8),0))</f>
        <v/>
      </c>
      <c r="BA11" s="136" t="str">
        <f>IF($A11="","",VLOOKUP($A11,기본데이타!$A$8:$BV$103,COLUMN(기본데이타!BD$8),0))</f>
        <v/>
      </c>
      <c r="BB11" s="136" t="str">
        <f>IF($A11="","",VLOOKUP($A11,기본데이타!$A$8:$BV$103,COLUMN(기본데이타!BE$8),0))</f>
        <v/>
      </c>
      <c r="BC11" s="136" t="str">
        <f>IF($A11="","",VLOOKUP($A11,기본데이타!$A$8:$BV$103,COLUMN(기본데이타!BF$8),0))</f>
        <v/>
      </c>
      <c r="BD11" s="136" t="str">
        <f>IF($A11="","",VLOOKUP($A11,기본데이타!$A$8:$BV$103,COLUMN(기본데이타!BG$8),0))</f>
        <v/>
      </c>
      <c r="BE11" s="136" t="str">
        <f>IF($A11="","",VLOOKUP($A11,기본데이타!$A$8:$BV$103,COLUMN(기본데이타!BH$8),0))</f>
        <v/>
      </c>
      <c r="BF11" s="136" t="str">
        <f>IF($A11="","",VLOOKUP($A11,기본데이타!$A$8:$BV$103,COLUMN(기본데이타!BI$8),0))</f>
        <v/>
      </c>
      <c r="BG11" s="136" t="str">
        <f>IF($A11="","",VLOOKUP($A11,기본데이타!$A$8:$BV$103,COLUMN(기본데이타!BJ$8),0))</f>
        <v/>
      </c>
      <c r="BH11" s="136" t="str">
        <f>IF($A11="","",VLOOKUP($A11,기본데이타!$A$8:$BV$103,COLUMN(기본데이타!BK$8),0))</f>
        <v/>
      </c>
      <c r="BI11" s="136" t="str">
        <f>IF($A11="","",VLOOKUP($A11,기본데이타!$A$8:$BV$103,COLUMN(기본데이타!BL$8),0))</f>
        <v/>
      </c>
      <c r="BJ11" s="136" t="str">
        <f>IF($A11="","",VLOOKUP($A11,기본데이타!$A$8:$BV$103,COLUMN(기본데이타!BM$8),0))</f>
        <v/>
      </c>
      <c r="BK11" s="136" t="str">
        <f>IF($A11="","",VLOOKUP($A11,기본데이타!$A$8:$BV$103,COLUMN(기본데이타!BN$8),0))</f>
        <v/>
      </c>
      <c r="BL11" s="136" t="str">
        <f>IF($A11="","",VLOOKUP($A11,기본데이타!$A$8:$BV$103,COLUMN(기본데이타!BO$8),0))</f>
        <v/>
      </c>
      <c r="BM11" s="136" t="str">
        <f>IF($A11="","",VLOOKUP($A11,기본데이타!$A$8:$BV$103,COLUMN(기본데이타!BP$8),0))</f>
        <v/>
      </c>
      <c r="BN11" s="136" t="str">
        <f>IF($A11="","",VLOOKUP($A11,기본데이타!$A$8:$BV$103,COLUMN(기본데이타!BQ$8),0))</f>
        <v/>
      </c>
      <c r="BO11" s="136" t="str">
        <f>IF($A11="","",VLOOKUP($A11,기본데이타!$A$8:$BV$103,COLUMN(기본데이타!BR$8),0))</f>
        <v/>
      </c>
      <c r="BP11" s="136" t="str">
        <f>IF($A11="","",VLOOKUP($A11,기본데이타!$A$8:$BV$103,COLUMN(기본데이타!BS$8),0))</f>
        <v/>
      </c>
      <c r="BQ11" s="136" t="str">
        <f>IF($A11="","",VLOOKUP($A11,기본데이타!$A$8:$BV$103,COLUMN(기본데이타!BT$8),0))</f>
        <v/>
      </c>
      <c r="BR11" s="136" t="str">
        <f>IF($A11="","",VLOOKUP($A11,기본데이타!$A$8:$BV$103,COLUMN(기본데이타!BU$8),0))</f>
        <v/>
      </c>
      <c r="BS11" s="136" t="str">
        <f>IF($A11="","",VLOOKUP($A11,기본데이타!$A$8:$BV$103,COLUMN(기본데이타!BV$8),0))</f>
        <v/>
      </c>
      <c r="BT11" s="801">
        <f t="shared" si="8"/>
        <v>0</v>
      </c>
      <c r="BU11" s="242"/>
    </row>
    <row r="12" spans="1:74" s="7" customFormat="1" ht="73.5" customHeight="1">
      <c r="A12" s="171"/>
      <c r="B12" s="163"/>
      <c r="C12" s="164" t="str">
        <f>IF($A12="","",VLOOKUP($A12,기본데이타!$A$8:$BV$103,COLUMN(기본데이타!F$8),0))</f>
        <v/>
      </c>
      <c r="D12" s="165" t="str">
        <f>IF($A12="","",VLOOKUP($A12,기본데이타!$A$8:$BV$103,COLUMN(기본데이타!G$8),0))</f>
        <v/>
      </c>
      <c r="E12" s="166" t="str">
        <f>IF($A12="","",VLOOKUP($A12,기본데이타!$A$8:$BV$103,COLUMN(기본데이타!H$8),0))</f>
        <v/>
      </c>
      <c r="F12" s="166" t="str">
        <f>IF($A12="","",VLOOKUP($A12,기본데이타!$A$8:$BV$103,COLUMN(기본데이타!I$8),0))</f>
        <v/>
      </c>
      <c r="G12" s="166" t="str">
        <f>IF($A12="","",VLOOKUP($A12,기본데이타!$A$8:$BV$103,COLUMN(기본데이타!J$8),0))</f>
        <v/>
      </c>
      <c r="H12" s="167" t="str">
        <f>IF($A12="","",VLOOKUP($A12,기본데이타!$A$8:$BV$103,COLUMN(기본데이타!K$8),0))</f>
        <v/>
      </c>
      <c r="I12" s="167" t="str">
        <f>IF($A12="","",VLOOKUP($A12,기본데이타!$A$8:$BV$103,COLUMN(기본데이타!L$8),0))</f>
        <v/>
      </c>
      <c r="J12" s="167" t="str">
        <f>IF($A12="","",VLOOKUP($A12,기본데이타!$A$8:$BV$103,COLUMN(기본데이타!M$8),0))</f>
        <v/>
      </c>
      <c r="K12" s="168" t="str">
        <f>IF($A12="","",VLOOKUP($A12,기본데이타!$A$8:$BV$103,COLUMN(기본데이타!N$8),0))</f>
        <v/>
      </c>
      <c r="L12" s="167" t="str">
        <f>IF($A12="","",VLOOKUP($A12,기본데이타!$A$8:$BV$103,COLUMN(기본데이타!O$8),0))</f>
        <v/>
      </c>
      <c r="M12" s="168" t="str">
        <f>IF($A12="","",VLOOKUP($A12,기본데이타!$A$8:$BV$103,COLUMN(기본데이타!P$8),0))</f>
        <v/>
      </c>
      <c r="N12" s="168" t="str">
        <f>IF($A12="","",VLOOKUP($A12,기본데이타!$A$8:$BV$103,COLUMN(기본데이타!Q$8),0))</f>
        <v/>
      </c>
      <c r="O12" s="168" t="str">
        <f>IF($A12="","",VLOOKUP($A12,기본데이타!$A$8:$BV$103,COLUMN(기본데이타!R$8),0))</f>
        <v/>
      </c>
      <c r="P12" s="168" t="str">
        <f>IF($A12="","",VLOOKUP($A12,기본데이타!$A$8:$BV$103,COLUMN(기본데이타!S$8),0))</f>
        <v/>
      </c>
      <c r="Q12" s="168" t="str">
        <f>IF($A12="","",VLOOKUP($A12,기본데이타!$A$8:$BV$103,COLUMN(기본데이타!T$8),0))</f>
        <v/>
      </c>
      <c r="R12" s="168" t="str">
        <f>IF($A12="","",VLOOKUP($A12,기본데이타!$A$8:$BV$103,COLUMN(기본데이타!U$8),0))</f>
        <v/>
      </c>
      <c r="S12" s="168" t="str">
        <f>IF($A12="","",VLOOKUP($A12,기본데이타!$A$8:$BV$103,COLUMN(기본데이타!V$8),0))</f>
        <v/>
      </c>
      <c r="T12" s="168" t="str">
        <f>IF($A12="","",VLOOKUP($A12,기본데이타!$A$8:$BV$103,COLUMN(기본데이타!W$8),0))</f>
        <v/>
      </c>
      <c r="U12" s="168" t="str">
        <f>IF($A12="","",VLOOKUP($A12,기본데이타!$A$8:$BV$103,COLUMN(기본데이타!X$8),0))</f>
        <v/>
      </c>
      <c r="V12" s="168" t="str">
        <f>IF($A12="","",VLOOKUP($A12,기본데이타!$A$8:$BV$103,COLUMN(기본데이타!Y$8),0))</f>
        <v/>
      </c>
      <c r="W12" s="168" t="str">
        <f>IF($A12="","",VLOOKUP($A12,기본데이타!$A$8:$BV$103,COLUMN(기본데이타!Z$8),0))</f>
        <v/>
      </c>
      <c r="X12" s="168" t="str">
        <f>IF($A12="","",VLOOKUP($A12,기본데이타!$A$8:$BV$103,COLUMN(기본데이타!AA$8),0))</f>
        <v/>
      </c>
      <c r="Y12" s="168" t="str">
        <f>IF($A12="","",VLOOKUP($A12,기본데이타!$A$8:$BV$103,COLUMN(기본데이타!AB$8),0))</f>
        <v/>
      </c>
      <c r="Z12" s="167" t="str">
        <f>IF($A12="","",VLOOKUP($A12,기본데이타!$A$8:$BV$103,COLUMN(기본데이타!AC$8),0))</f>
        <v/>
      </c>
      <c r="AA12" s="1393" t="str">
        <f>IF($A12="","",VLOOKUP($A12,기본데이타!$A$8:$BV$103,COLUMN(기본데이타!AD$8),0))</f>
        <v/>
      </c>
      <c r="AB12" s="1394" t="str">
        <f>IF($A12="","",VLOOKUP($A12,기본데이타!$A$8:$BV$103,COLUMN(기본데이타!AE$8),0))</f>
        <v/>
      </c>
      <c r="AC12" s="1393" t="str">
        <f>IF($A12="","",VLOOKUP($A12,기본데이타!$A$8:$BV$103,COLUMN(기본데이타!AF$8),0))</f>
        <v/>
      </c>
      <c r="AD12" s="1394" t="str">
        <f>IF($A12="","",VLOOKUP($A12,기본데이타!$A$8:$BV$103,COLUMN(기본데이타!AG$8),0))</f>
        <v/>
      </c>
      <c r="AE12" s="1393" t="str">
        <f>IF($A12="","",VLOOKUP($A12,기본데이타!$A$8:$BV$103,COLUMN(기본데이타!AH$8),0))</f>
        <v/>
      </c>
      <c r="AF12" s="1394" t="str">
        <f>IF($A12="","",VLOOKUP($A12,기본데이타!$A$8:$BV$103,COLUMN(기본데이타!AI$8),0))</f>
        <v/>
      </c>
      <c r="AG12" s="169" t="str">
        <f>IF($A12="","",VLOOKUP($A12,기본데이타!$A$8:$BV$103,COLUMN(기본데이타!AJ$8),0))</f>
        <v/>
      </c>
      <c r="AH12" s="368" t="str">
        <f>IF($A12="","",VLOOKUP($A12,기본데이타!$A$8:$BV$103,COLUMN(기본데이타!AK$8),0))</f>
        <v/>
      </c>
      <c r="AI12" s="368" t="str">
        <f>IF($A12="","",VLOOKUP($A12,기본데이타!$A$8:$BV$103,COLUMN(기본데이타!AL$8),0))</f>
        <v/>
      </c>
      <c r="AJ12" s="368" t="str">
        <f>IF($A12="","",VLOOKUP($A12,기본데이타!$A$8:$BV$103,COLUMN(기본데이타!AM$8),0))</f>
        <v/>
      </c>
      <c r="AK12" s="368" t="str">
        <f>IF($A12="","",VLOOKUP($A12,기본데이타!$A$8:$BV$103,COLUMN(기본데이타!AN$8),0))</f>
        <v/>
      </c>
      <c r="AL12" s="368" t="str">
        <f>IF($A12="","",VLOOKUP($A12,기본데이타!$A$8:$BV$103,COLUMN(기본데이타!AO$8),0))</f>
        <v/>
      </c>
      <c r="AM12" s="368" t="str">
        <f>IF($A12="","",VLOOKUP($A12,기본데이타!$A$8:$BV$103,COLUMN(기본데이타!AP$8),0))</f>
        <v/>
      </c>
      <c r="AN12" s="368" t="str">
        <f>IF($A12="","",VLOOKUP($A12,기본데이타!$A$8:$BV$103,COLUMN(기본데이타!AQ$8),0))</f>
        <v/>
      </c>
      <c r="AO12" s="368" t="str">
        <f>IF($A12="","",VLOOKUP($A12,기본데이타!$A$8:$BV$103,COLUMN(기본데이타!AR$8),0))</f>
        <v/>
      </c>
      <c r="AP12" s="1399" t="str">
        <f>IF($A12="","",VLOOKUP($A12,기본데이타!$A$8:$BV$103,COLUMN(기본데이타!AS$8),0))</f>
        <v/>
      </c>
      <c r="AQ12" s="1399" t="str">
        <f>IF($A12="","",VLOOKUP($A12,기본데이타!$A$8:$BV$103,COLUMN(기본데이타!AT$8),0))</f>
        <v/>
      </c>
      <c r="AR12" s="1399" t="str">
        <f>IF($A12="","",VLOOKUP($A12,기본데이타!$A$8:$BV$103,COLUMN(기본데이타!AU$8),0))</f>
        <v/>
      </c>
      <c r="AS12" s="368" t="str">
        <f>IF($A12="","",VLOOKUP($A12,기본데이타!$A$8:$BV$103,COLUMN(기본데이타!AV$8),0))</f>
        <v/>
      </c>
      <c r="AT12" s="168" t="str">
        <f>IF($A12="","",VLOOKUP($A12,기본데이타!$A$8:$BV$103,COLUMN(기본데이타!AW$8),0))</f>
        <v/>
      </c>
      <c r="AU12" s="168" t="str">
        <f>IF($A12="","",VLOOKUP($A12,기본데이타!$A$8:$BV$103,COLUMN(기본데이타!AX$8),0))</f>
        <v/>
      </c>
      <c r="AV12" s="168" t="str">
        <f>IF($A12="","",VLOOKUP($A12,기본데이타!$A$8:$BV$103,COLUMN(기본데이타!AY$8),0))</f>
        <v/>
      </c>
      <c r="AW12" s="168" t="str">
        <f t="shared" si="7"/>
        <v/>
      </c>
      <c r="AX12" s="136" t="str">
        <f>IF($A12="","",VLOOKUP($A12,기본데이타!$A$8:$BV$103,COLUMN(기본데이타!BA$8),0))</f>
        <v/>
      </c>
      <c r="AY12" s="136" t="str">
        <f>IF($A12="","",VLOOKUP($A12,기본데이타!$A$8:$BV$103,COLUMN(기본데이타!BB$8),0))</f>
        <v/>
      </c>
      <c r="AZ12" s="136" t="str">
        <f>IF($A12="","",VLOOKUP($A12,기본데이타!$A$8:$BV$103,COLUMN(기본데이타!BC$8),0))</f>
        <v/>
      </c>
      <c r="BA12" s="136" t="str">
        <f>IF($A12="","",VLOOKUP($A12,기본데이타!$A$8:$BV$103,COLUMN(기본데이타!BD$8),0))</f>
        <v/>
      </c>
      <c r="BB12" s="136" t="str">
        <f>IF($A12="","",VLOOKUP($A12,기본데이타!$A$8:$BV$103,COLUMN(기본데이타!BE$8),0))</f>
        <v/>
      </c>
      <c r="BC12" s="136" t="str">
        <f>IF($A12="","",VLOOKUP($A12,기본데이타!$A$8:$BV$103,COLUMN(기본데이타!BF$8),0))</f>
        <v/>
      </c>
      <c r="BD12" s="136" t="str">
        <f>IF($A12="","",VLOOKUP($A12,기본데이타!$A$8:$BV$103,COLUMN(기본데이타!BG$8),0))</f>
        <v/>
      </c>
      <c r="BE12" s="136" t="str">
        <f>IF($A12="","",VLOOKUP($A12,기본데이타!$A$8:$BV$103,COLUMN(기본데이타!BH$8),0))</f>
        <v/>
      </c>
      <c r="BF12" s="136" t="str">
        <f>IF($A12="","",VLOOKUP($A12,기본데이타!$A$8:$BV$103,COLUMN(기본데이타!BI$8),0))</f>
        <v/>
      </c>
      <c r="BG12" s="136" t="str">
        <f>IF($A12="","",VLOOKUP($A12,기본데이타!$A$8:$BV$103,COLUMN(기본데이타!BJ$8),0))</f>
        <v/>
      </c>
      <c r="BH12" s="136" t="str">
        <f>IF($A12="","",VLOOKUP($A12,기본데이타!$A$8:$BV$103,COLUMN(기본데이타!BK$8),0))</f>
        <v/>
      </c>
      <c r="BI12" s="136" t="str">
        <f>IF($A12="","",VLOOKUP($A12,기본데이타!$A$8:$BV$103,COLUMN(기본데이타!BL$8),0))</f>
        <v/>
      </c>
      <c r="BJ12" s="136" t="str">
        <f>IF($A12="","",VLOOKUP($A12,기본데이타!$A$8:$BV$103,COLUMN(기본데이타!BM$8),0))</f>
        <v/>
      </c>
      <c r="BK12" s="136" t="str">
        <f>IF($A12="","",VLOOKUP($A12,기본데이타!$A$8:$BV$103,COLUMN(기본데이타!BN$8),0))</f>
        <v/>
      </c>
      <c r="BL12" s="136" t="str">
        <f>IF($A12="","",VLOOKUP($A12,기본데이타!$A$8:$BV$103,COLUMN(기본데이타!BO$8),0))</f>
        <v/>
      </c>
      <c r="BM12" s="136" t="str">
        <f>IF($A12="","",VLOOKUP($A12,기본데이타!$A$8:$BV$103,COLUMN(기본데이타!BP$8),0))</f>
        <v/>
      </c>
      <c r="BN12" s="136" t="str">
        <f>IF($A12="","",VLOOKUP($A12,기본데이타!$A$8:$BV$103,COLUMN(기본데이타!BQ$8),0))</f>
        <v/>
      </c>
      <c r="BO12" s="136" t="str">
        <f>IF($A12="","",VLOOKUP($A12,기본데이타!$A$8:$BV$103,COLUMN(기본데이타!BR$8),0))</f>
        <v/>
      </c>
      <c r="BP12" s="136" t="str">
        <f>IF($A12="","",VLOOKUP($A12,기본데이타!$A$8:$BV$103,COLUMN(기본데이타!BS$8),0))</f>
        <v/>
      </c>
      <c r="BQ12" s="136" t="str">
        <f>IF($A12="","",VLOOKUP($A12,기본데이타!$A$8:$BV$103,COLUMN(기본데이타!BT$8),0))</f>
        <v/>
      </c>
      <c r="BR12" s="136" t="str">
        <f>IF($A12="","",VLOOKUP($A12,기본데이타!$A$8:$BV$103,COLUMN(기본데이타!BU$8),0))</f>
        <v/>
      </c>
      <c r="BS12" s="136" t="str">
        <f>IF($A12="","",VLOOKUP($A12,기본데이타!$A$8:$BV$103,COLUMN(기본데이타!BV$8),0))</f>
        <v/>
      </c>
      <c r="BT12" s="801">
        <f t="shared" si="8"/>
        <v>0</v>
      </c>
      <c r="BU12" s="242"/>
    </row>
    <row r="13" spans="1:74" s="7" customFormat="1" ht="73.5" customHeight="1">
      <c r="A13" s="171"/>
      <c r="B13" s="163"/>
      <c r="C13" s="164" t="str">
        <f>IF($A13="","",VLOOKUP($A13,기본데이타!$A$8:$BV$103,COLUMN(기본데이타!F$8),0))</f>
        <v/>
      </c>
      <c r="D13" s="165" t="str">
        <f>IF($A13="","",VLOOKUP($A13,기본데이타!$A$8:$BV$103,COLUMN(기본데이타!G$8),0))</f>
        <v/>
      </c>
      <c r="E13" s="166" t="str">
        <f>IF($A13="","",VLOOKUP($A13,기본데이타!$A$8:$BV$103,COLUMN(기본데이타!H$8),0))</f>
        <v/>
      </c>
      <c r="F13" s="166" t="str">
        <f>IF($A13="","",VLOOKUP($A13,기본데이타!$A$8:$BV$103,COLUMN(기본데이타!I$8),0))</f>
        <v/>
      </c>
      <c r="G13" s="166" t="str">
        <f>IF($A13="","",VLOOKUP($A13,기본데이타!$A$8:$BV$103,COLUMN(기본데이타!J$8),0))</f>
        <v/>
      </c>
      <c r="H13" s="167" t="str">
        <f>IF($A13="","",VLOOKUP($A13,기본데이타!$A$8:$BV$103,COLUMN(기본데이타!K$8),0))</f>
        <v/>
      </c>
      <c r="I13" s="167" t="str">
        <f>IF($A13="","",VLOOKUP($A13,기본데이타!$A$8:$BV$103,COLUMN(기본데이타!L$8),0))</f>
        <v/>
      </c>
      <c r="J13" s="167" t="str">
        <f>IF($A13="","",VLOOKUP($A13,기본데이타!$A$8:$BV$103,COLUMN(기본데이타!M$8),0))</f>
        <v/>
      </c>
      <c r="K13" s="168" t="str">
        <f>IF($A13="","",VLOOKUP($A13,기본데이타!$A$8:$BV$103,COLUMN(기본데이타!N$8),0))</f>
        <v/>
      </c>
      <c r="L13" s="167" t="str">
        <f>IF($A13="","",VLOOKUP($A13,기본데이타!$A$8:$BV$103,COLUMN(기본데이타!O$8),0))</f>
        <v/>
      </c>
      <c r="M13" s="168" t="str">
        <f>IF($A13="","",VLOOKUP($A13,기본데이타!$A$8:$BV$103,COLUMN(기본데이타!P$8),0))</f>
        <v/>
      </c>
      <c r="N13" s="168" t="str">
        <f>IF($A13="","",VLOOKUP($A13,기본데이타!$A$8:$BV$103,COLUMN(기본데이타!Q$8),0))</f>
        <v/>
      </c>
      <c r="O13" s="168" t="str">
        <f>IF($A13="","",VLOOKUP($A13,기본데이타!$A$8:$BV$103,COLUMN(기본데이타!R$8),0))</f>
        <v/>
      </c>
      <c r="P13" s="168" t="str">
        <f>IF($A13="","",VLOOKUP($A13,기본데이타!$A$8:$BV$103,COLUMN(기본데이타!S$8),0))</f>
        <v/>
      </c>
      <c r="Q13" s="168" t="str">
        <f>IF($A13="","",VLOOKUP($A13,기본데이타!$A$8:$BV$103,COLUMN(기본데이타!T$8),0))</f>
        <v/>
      </c>
      <c r="R13" s="168" t="str">
        <f>IF($A13="","",VLOOKUP($A13,기본데이타!$A$8:$BV$103,COLUMN(기본데이타!U$8),0))</f>
        <v/>
      </c>
      <c r="S13" s="168" t="str">
        <f>IF($A13="","",VLOOKUP($A13,기본데이타!$A$8:$BV$103,COLUMN(기본데이타!V$8),0))</f>
        <v/>
      </c>
      <c r="T13" s="168" t="str">
        <f>IF($A13="","",VLOOKUP($A13,기본데이타!$A$8:$BV$103,COLUMN(기본데이타!W$8),0))</f>
        <v/>
      </c>
      <c r="U13" s="168" t="str">
        <f>IF($A13="","",VLOOKUP($A13,기본데이타!$A$8:$BV$103,COLUMN(기본데이타!X$8),0))</f>
        <v/>
      </c>
      <c r="V13" s="168" t="str">
        <f>IF($A13="","",VLOOKUP($A13,기본데이타!$A$8:$BV$103,COLUMN(기본데이타!Y$8),0))</f>
        <v/>
      </c>
      <c r="W13" s="168" t="str">
        <f>IF($A13="","",VLOOKUP($A13,기본데이타!$A$8:$BV$103,COLUMN(기본데이타!Z$8),0))</f>
        <v/>
      </c>
      <c r="X13" s="168" t="str">
        <f>IF($A13="","",VLOOKUP($A13,기본데이타!$A$8:$BV$103,COLUMN(기본데이타!AA$8),0))</f>
        <v/>
      </c>
      <c r="Y13" s="168" t="str">
        <f>IF($A13="","",VLOOKUP($A13,기본데이타!$A$8:$BV$103,COLUMN(기본데이타!AB$8),0))</f>
        <v/>
      </c>
      <c r="Z13" s="167" t="str">
        <f>IF($A13="","",VLOOKUP($A13,기본데이타!$A$8:$BV$103,COLUMN(기본데이타!AC$8),0))</f>
        <v/>
      </c>
      <c r="AA13" s="1393" t="str">
        <f>IF($A13="","",VLOOKUP($A13,기본데이타!$A$8:$BV$103,COLUMN(기본데이타!AD$8),0))</f>
        <v/>
      </c>
      <c r="AB13" s="1394" t="str">
        <f>IF($A13="","",VLOOKUP($A13,기본데이타!$A$8:$BV$103,COLUMN(기본데이타!AE$8),0))</f>
        <v/>
      </c>
      <c r="AC13" s="1393" t="str">
        <f>IF($A13="","",VLOOKUP($A13,기본데이타!$A$8:$BV$103,COLUMN(기본데이타!AF$8),0))</f>
        <v/>
      </c>
      <c r="AD13" s="1394" t="str">
        <f>IF($A13="","",VLOOKUP($A13,기본데이타!$A$8:$BV$103,COLUMN(기본데이타!AG$8),0))</f>
        <v/>
      </c>
      <c r="AE13" s="1393" t="str">
        <f>IF($A13="","",VLOOKUP($A13,기본데이타!$A$8:$BV$103,COLUMN(기본데이타!AH$8),0))</f>
        <v/>
      </c>
      <c r="AF13" s="1394" t="str">
        <f>IF($A13="","",VLOOKUP($A13,기본데이타!$A$8:$BV$103,COLUMN(기본데이타!AI$8),0))</f>
        <v/>
      </c>
      <c r="AG13" s="169" t="str">
        <f>IF($A13="","",VLOOKUP($A13,기본데이타!$A$8:$BV$103,COLUMN(기본데이타!AJ$8),0))</f>
        <v/>
      </c>
      <c r="AH13" s="368" t="str">
        <f>IF($A13="","",VLOOKUP($A13,기본데이타!$A$8:$BV$103,COLUMN(기본데이타!AK$8),0))</f>
        <v/>
      </c>
      <c r="AI13" s="368" t="str">
        <f>IF($A13="","",VLOOKUP($A13,기본데이타!$A$8:$BV$103,COLUMN(기본데이타!AL$8),0))</f>
        <v/>
      </c>
      <c r="AJ13" s="368" t="str">
        <f>IF($A13="","",VLOOKUP($A13,기본데이타!$A$8:$BV$103,COLUMN(기본데이타!AM$8),0))</f>
        <v/>
      </c>
      <c r="AK13" s="368" t="str">
        <f>IF($A13="","",VLOOKUP($A13,기본데이타!$A$8:$BV$103,COLUMN(기본데이타!AN$8),0))</f>
        <v/>
      </c>
      <c r="AL13" s="368" t="str">
        <f>IF($A13="","",VLOOKUP($A13,기본데이타!$A$8:$BV$103,COLUMN(기본데이타!AO$8),0))</f>
        <v/>
      </c>
      <c r="AM13" s="368" t="str">
        <f>IF($A13="","",VLOOKUP($A13,기본데이타!$A$8:$BV$103,COLUMN(기본데이타!AP$8),0))</f>
        <v/>
      </c>
      <c r="AN13" s="368" t="str">
        <f>IF($A13="","",VLOOKUP($A13,기본데이타!$A$8:$BV$103,COLUMN(기본데이타!AQ$8),0))</f>
        <v/>
      </c>
      <c r="AO13" s="368" t="str">
        <f>IF($A13="","",VLOOKUP($A13,기본데이타!$A$8:$BV$103,COLUMN(기본데이타!AR$8),0))</f>
        <v/>
      </c>
      <c r="AP13" s="1399" t="str">
        <f>IF($A13="","",VLOOKUP($A13,기본데이타!$A$8:$BV$103,COLUMN(기본데이타!AS$8),0))</f>
        <v/>
      </c>
      <c r="AQ13" s="1399" t="str">
        <f>IF($A13="","",VLOOKUP($A13,기본데이타!$A$8:$BV$103,COLUMN(기본데이타!AT$8),0))</f>
        <v/>
      </c>
      <c r="AR13" s="1399" t="str">
        <f>IF($A13="","",VLOOKUP($A13,기본데이타!$A$8:$BV$103,COLUMN(기본데이타!AU$8),0))</f>
        <v/>
      </c>
      <c r="AS13" s="368" t="str">
        <f>IF($A13="","",VLOOKUP($A13,기본데이타!$A$8:$BV$103,COLUMN(기본데이타!AV$8),0))</f>
        <v/>
      </c>
      <c r="AT13" s="168" t="str">
        <f>IF($A13="","",VLOOKUP($A13,기본데이타!$A$8:$BV$103,COLUMN(기본데이타!AW$8),0))</f>
        <v/>
      </c>
      <c r="AU13" s="168" t="str">
        <f>IF($A13="","",VLOOKUP($A13,기본데이타!$A$8:$BV$103,COLUMN(기본데이타!AX$8),0))</f>
        <v/>
      </c>
      <c r="AV13" s="168" t="str">
        <f>IF($A13="","",VLOOKUP($A13,기본데이타!$A$8:$BV$103,COLUMN(기본데이타!AY$8),0))</f>
        <v/>
      </c>
      <c r="AW13" s="168" t="str">
        <f t="shared" si="7"/>
        <v/>
      </c>
      <c r="AX13" s="136" t="str">
        <f>IF($A13="","",VLOOKUP($A13,기본데이타!$A$8:$BV$103,COLUMN(기본데이타!BA$8),0))</f>
        <v/>
      </c>
      <c r="AY13" s="136" t="str">
        <f>IF($A13="","",VLOOKUP($A13,기본데이타!$A$8:$BV$103,COLUMN(기본데이타!BB$8),0))</f>
        <v/>
      </c>
      <c r="AZ13" s="136" t="str">
        <f>IF($A13="","",VLOOKUP($A13,기본데이타!$A$8:$BV$103,COLUMN(기본데이타!BC$8),0))</f>
        <v/>
      </c>
      <c r="BA13" s="136" t="str">
        <f>IF($A13="","",VLOOKUP($A13,기본데이타!$A$8:$BV$103,COLUMN(기본데이타!BD$8),0))</f>
        <v/>
      </c>
      <c r="BB13" s="136" t="str">
        <f>IF($A13="","",VLOOKUP($A13,기본데이타!$A$8:$BV$103,COLUMN(기본데이타!BE$8),0))</f>
        <v/>
      </c>
      <c r="BC13" s="136" t="str">
        <f>IF($A13="","",VLOOKUP($A13,기본데이타!$A$8:$BV$103,COLUMN(기본데이타!BF$8),0))</f>
        <v/>
      </c>
      <c r="BD13" s="136" t="str">
        <f>IF($A13="","",VLOOKUP($A13,기본데이타!$A$8:$BV$103,COLUMN(기본데이타!BG$8),0))</f>
        <v/>
      </c>
      <c r="BE13" s="136" t="str">
        <f>IF($A13="","",VLOOKUP($A13,기본데이타!$A$8:$BV$103,COLUMN(기본데이타!BH$8),0))</f>
        <v/>
      </c>
      <c r="BF13" s="136" t="str">
        <f>IF($A13="","",VLOOKUP($A13,기본데이타!$A$8:$BV$103,COLUMN(기본데이타!BI$8),0))</f>
        <v/>
      </c>
      <c r="BG13" s="136" t="str">
        <f>IF($A13="","",VLOOKUP($A13,기본데이타!$A$8:$BV$103,COLUMN(기본데이타!BJ$8),0))</f>
        <v/>
      </c>
      <c r="BH13" s="136" t="str">
        <f>IF($A13="","",VLOOKUP($A13,기본데이타!$A$8:$BV$103,COLUMN(기본데이타!BK$8),0))</f>
        <v/>
      </c>
      <c r="BI13" s="136" t="str">
        <f>IF($A13="","",VLOOKUP($A13,기본데이타!$A$8:$BV$103,COLUMN(기본데이타!BL$8),0))</f>
        <v/>
      </c>
      <c r="BJ13" s="136" t="str">
        <f>IF($A13="","",VLOOKUP($A13,기본데이타!$A$8:$BV$103,COLUMN(기본데이타!BM$8),0))</f>
        <v/>
      </c>
      <c r="BK13" s="136" t="str">
        <f>IF($A13="","",VLOOKUP($A13,기본데이타!$A$8:$BV$103,COLUMN(기본데이타!BN$8),0))</f>
        <v/>
      </c>
      <c r="BL13" s="136" t="str">
        <f>IF($A13="","",VLOOKUP($A13,기본데이타!$A$8:$BV$103,COLUMN(기본데이타!BO$8),0))</f>
        <v/>
      </c>
      <c r="BM13" s="136" t="str">
        <f>IF($A13="","",VLOOKUP($A13,기본데이타!$A$8:$BV$103,COLUMN(기본데이타!BP$8),0))</f>
        <v/>
      </c>
      <c r="BN13" s="136" t="str">
        <f>IF($A13="","",VLOOKUP($A13,기본데이타!$A$8:$BV$103,COLUMN(기본데이타!BQ$8),0))</f>
        <v/>
      </c>
      <c r="BO13" s="136" t="str">
        <f>IF($A13="","",VLOOKUP($A13,기본데이타!$A$8:$BV$103,COLUMN(기본데이타!BR$8),0))</f>
        <v/>
      </c>
      <c r="BP13" s="136" t="str">
        <f>IF($A13="","",VLOOKUP($A13,기본데이타!$A$8:$BV$103,COLUMN(기본데이타!BS$8),0))</f>
        <v/>
      </c>
      <c r="BQ13" s="136" t="str">
        <f>IF($A13="","",VLOOKUP($A13,기본데이타!$A$8:$BV$103,COLUMN(기본데이타!BT$8),0))</f>
        <v/>
      </c>
      <c r="BR13" s="136" t="str">
        <f>IF($A13="","",VLOOKUP($A13,기본데이타!$A$8:$BV$103,COLUMN(기본데이타!BU$8),0))</f>
        <v/>
      </c>
      <c r="BS13" s="136" t="str">
        <f>IF($A13="","",VLOOKUP($A13,기본데이타!$A$8:$BV$103,COLUMN(기본데이타!BV$8),0))</f>
        <v/>
      </c>
      <c r="BT13" s="801">
        <f t="shared" si="8"/>
        <v>0</v>
      </c>
      <c r="BU13" s="242"/>
    </row>
    <row r="14" spans="1:74" s="7" customFormat="1" ht="73.5" customHeight="1">
      <c r="A14" s="171"/>
      <c r="B14" s="163"/>
      <c r="C14" s="164" t="str">
        <f>IF($A14="","",VLOOKUP($A14,기본데이타!$A$8:$BV$103,COLUMN(기본데이타!F$8),0))</f>
        <v/>
      </c>
      <c r="D14" s="165" t="str">
        <f>IF($A14="","",VLOOKUP($A14,기본데이타!$A$8:$BV$103,COLUMN(기본데이타!G$8),0))</f>
        <v/>
      </c>
      <c r="E14" s="166" t="str">
        <f>IF($A14="","",VLOOKUP($A14,기본데이타!$A$8:$BV$103,COLUMN(기본데이타!H$8),0))</f>
        <v/>
      </c>
      <c r="F14" s="166" t="str">
        <f>IF($A14="","",VLOOKUP($A14,기본데이타!$A$8:$BV$103,COLUMN(기본데이타!I$8),0))</f>
        <v/>
      </c>
      <c r="G14" s="166" t="str">
        <f>IF($A14="","",VLOOKUP($A14,기본데이타!$A$8:$BV$103,COLUMN(기본데이타!J$8),0))</f>
        <v/>
      </c>
      <c r="H14" s="167" t="str">
        <f>IF($A14="","",VLOOKUP($A14,기본데이타!$A$8:$BV$103,COLUMN(기본데이타!K$8),0))</f>
        <v/>
      </c>
      <c r="I14" s="167" t="str">
        <f>IF($A14="","",VLOOKUP($A14,기본데이타!$A$8:$BV$103,COLUMN(기본데이타!L$8),0))</f>
        <v/>
      </c>
      <c r="J14" s="167" t="str">
        <f>IF($A14="","",VLOOKUP($A14,기본데이타!$A$8:$BV$103,COLUMN(기본데이타!M$8),0))</f>
        <v/>
      </c>
      <c r="K14" s="168" t="str">
        <f>IF($A14="","",VLOOKUP($A14,기본데이타!$A$8:$BV$103,COLUMN(기본데이타!N$8),0))</f>
        <v/>
      </c>
      <c r="L14" s="167" t="str">
        <f>IF($A14="","",VLOOKUP($A14,기본데이타!$A$8:$BV$103,COLUMN(기본데이타!O$8),0))</f>
        <v/>
      </c>
      <c r="M14" s="168" t="str">
        <f>IF($A14="","",VLOOKUP($A14,기본데이타!$A$8:$BV$103,COLUMN(기본데이타!P$8),0))</f>
        <v/>
      </c>
      <c r="N14" s="168" t="str">
        <f>IF($A14="","",VLOOKUP($A14,기본데이타!$A$8:$BV$103,COLUMN(기본데이타!Q$8),0))</f>
        <v/>
      </c>
      <c r="O14" s="168" t="str">
        <f>IF($A14="","",VLOOKUP($A14,기본데이타!$A$8:$BV$103,COLUMN(기본데이타!R$8),0))</f>
        <v/>
      </c>
      <c r="P14" s="168" t="str">
        <f>IF($A14="","",VLOOKUP($A14,기본데이타!$A$8:$BV$103,COLUMN(기본데이타!S$8),0))</f>
        <v/>
      </c>
      <c r="Q14" s="168" t="str">
        <f>IF($A14="","",VLOOKUP($A14,기본데이타!$A$8:$BV$103,COLUMN(기본데이타!T$8),0))</f>
        <v/>
      </c>
      <c r="R14" s="168" t="str">
        <f>IF($A14="","",VLOOKUP($A14,기본데이타!$A$8:$BV$103,COLUMN(기본데이타!U$8),0))</f>
        <v/>
      </c>
      <c r="S14" s="168" t="str">
        <f>IF($A14="","",VLOOKUP($A14,기본데이타!$A$8:$BV$103,COLUMN(기본데이타!V$8),0))</f>
        <v/>
      </c>
      <c r="T14" s="168" t="str">
        <f>IF($A14="","",VLOOKUP($A14,기본데이타!$A$8:$BV$103,COLUMN(기본데이타!W$8),0))</f>
        <v/>
      </c>
      <c r="U14" s="168" t="str">
        <f>IF($A14="","",VLOOKUP($A14,기본데이타!$A$8:$BV$103,COLUMN(기본데이타!X$8),0))</f>
        <v/>
      </c>
      <c r="V14" s="168" t="str">
        <f>IF($A14="","",VLOOKUP($A14,기본데이타!$A$8:$BV$103,COLUMN(기본데이타!Y$8),0))</f>
        <v/>
      </c>
      <c r="W14" s="168" t="str">
        <f>IF($A14="","",VLOOKUP($A14,기본데이타!$A$8:$BV$103,COLUMN(기본데이타!Z$8),0))</f>
        <v/>
      </c>
      <c r="X14" s="168" t="str">
        <f>IF($A14="","",VLOOKUP($A14,기본데이타!$A$8:$BV$103,COLUMN(기본데이타!AA$8),0))</f>
        <v/>
      </c>
      <c r="Y14" s="168" t="str">
        <f>IF($A14="","",VLOOKUP($A14,기본데이타!$A$8:$BV$103,COLUMN(기본데이타!AB$8),0))</f>
        <v/>
      </c>
      <c r="Z14" s="167" t="str">
        <f>IF($A14="","",VLOOKUP($A14,기본데이타!$A$8:$BV$103,COLUMN(기본데이타!AC$8),0))</f>
        <v/>
      </c>
      <c r="AA14" s="1393" t="str">
        <f>IF($A14="","",VLOOKUP($A14,기본데이타!$A$8:$BV$103,COLUMN(기본데이타!AD$8),0))</f>
        <v/>
      </c>
      <c r="AB14" s="1394" t="str">
        <f>IF($A14="","",VLOOKUP($A14,기본데이타!$A$8:$BV$103,COLUMN(기본데이타!AE$8),0))</f>
        <v/>
      </c>
      <c r="AC14" s="1393" t="str">
        <f>IF($A14="","",VLOOKUP($A14,기본데이타!$A$8:$BV$103,COLUMN(기본데이타!AF$8),0))</f>
        <v/>
      </c>
      <c r="AD14" s="1394" t="str">
        <f>IF($A14="","",VLOOKUP($A14,기본데이타!$A$8:$BV$103,COLUMN(기본데이타!AG$8),0))</f>
        <v/>
      </c>
      <c r="AE14" s="1393" t="str">
        <f>IF($A14="","",VLOOKUP($A14,기본데이타!$A$8:$BV$103,COLUMN(기본데이타!AH$8),0))</f>
        <v/>
      </c>
      <c r="AF14" s="1394" t="str">
        <f>IF($A14="","",VLOOKUP($A14,기본데이타!$A$8:$BV$103,COLUMN(기본데이타!AI$8),0))</f>
        <v/>
      </c>
      <c r="AG14" s="169" t="str">
        <f>IF($A14="","",VLOOKUP($A14,기본데이타!$A$8:$BV$103,COLUMN(기본데이타!AJ$8),0))</f>
        <v/>
      </c>
      <c r="AH14" s="368" t="str">
        <f>IF($A14="","",VLOOKUP($A14,기본데이타!$A$8:$BV$103,COLUMN(기본데이타!AK$8),0))</f>
        <v/>
      </c>
      <c r="AI14" s="368" t="str">
        <f>IF($A14="","",VLOOKUP($A14,기본데이타!$A$8:$BV$103,COLUMN(기본데이타!AL$8),0))</f>
        <v/>
      </c>
      <c r="AJ14" s="368" t="str">
        <f>IF($A14="","",VLOOKUP($A14,기본데이타!$A$8:$BV$103,COLUMN(기본데이타!AM$8),0))</f>
        <v/>
      </c>
      <c r="AK14" s="368" t="str">
        <f>IF($A14="","",VLOOKUP($A14,기본데이타!$A$8:$BV$103,COLUMN(기본데이타!AN$8),0))</f>
        <v/>
      </c>
      <c r="AL14" s="368" t="str">
        <f>IF($A14="","",VLOOKUP($A14,기본데이타!$A$8:$BV$103,COLUMN(기본데이타!AO$8),0))</f>
        <v/>
      </c>
      <c r="AM14" s="368" t="str">
        <f>IF($A14="","",VLOOKUP($A14,기본데이타!$A$8:$BV$103,COLUMN(기본데이타!AP$8),0))</f>
        <v/>
      </c>
      <c r="AN14" s="368" t="str">
        <f>IF($A14="","",VLOOKUP($A14,기본데이타!$A$8:$BV$103,COLUMN(기본데이타!AQ$8),0))</f>
        <v/>
      </c>
      <c r="AO14" s="368" t="str">
        <f>IF($A14="","",VLOOKUP($A14,기본데이타!$A$8:$BV$103,COLUMN(기본데이타!AR$8),0))</f>
        <v/>
      </c>
      <c r="AP14" s="1399" t="str">
        <f>IF($A14="","",VLOOKUP($A14,기본데이타!$A$8:$BV$103,COLUMN(기본데이타!AS$8),0))</f>
        <v/>
      </c>
      <c r="AQ14" s="1399" t="str">
        <f>IF($A14="","",VLOOKUP($A14,기본데이타!$A$8:$BV$103,COLUMN(기본데이타!AT$8),0))</f>
        <v/>
      </c>
      <c r="AR14" s="1399" t="str">
        <f>IF($A14="","",VLOOKUP($A14,기본데이타!$A$8:$BV$103,COLUMN(기본데이타!AU$8),0))</f>
        <v/>
      </c>
      <c r="AS14" s="368" t="str">
        <f>IF($A14="","",VLOOKUP($A14,기본데이타!$A$8:$BV$103,COLUMN(기본데이타!AV$8),0))</f>
        <v/>
      </c>
      <c r="AT14" s="168" t="str">
        <f>IF($A14="","",VLOOKUP($A14,기본데이타!$A$8:$BV$103,COLUMN(기본데이타!AW$8),0))</f>
        <v/>
      </c>
      <c r="AU14" s="168" t="str">
        <f>IF($A14="","",VLOOKUP($A14,기본데이타!$A$8:$BV$103,COLUMN(기본데이타!AX$8),0))</f>
        <v/>
      </c>
      <c r="AV14" s="168" t="str">
        <f>IF($A14="","",VLOOKUP($A14,기본데이타!$A$8:$BV$103,COLUMN(기본데이타!AY$8),0))</f>
        <v/>
      </c>
      <c r="AW14" s="168" t="str">
        <f t="shared" si="7"/>
        <v/>
      </c>
      <c r="AX14" s="136" t="str">
        <f>IF($A14="","",VLOOKUP($A14,기본데이타!$A$8:$BV$103,COLUMN(기본데이타!BA$8),0))</f>
        <v/>
      </c>
      <c r="AY14" s="136" t="str">
        <f>IF($A14="","",VLOOKUP($A14,기본데이타!$A$8:$BV$103,COLUMN(기본데이타!BB$8),0))</f>
        <v/>
      </c>
      <c r="AZ14" s="136" t="str">
        <f>IF($A14="","",VLOOKUP($A14,기본데이타!$A$8:$BV$103,COLUMN(기본데이타!BC$8),0))</f>
        <v/>
      </c>
      <c r="BA14" s="136" t="str">
        <f>IF($A14="","",VLOOKUP($A14,기본데이타!$A$8:$BV$103,COLUMN(기본데이타!BD$8),0))</f>
        <v/>
      </c>
      <c r="BB14" s="136" t="str">
        <f>IF($A14="","",VLOOKUP($A14,기본데이타!$A$8:$BV$103,COLUMN(기본데이타!BE$8),0))</f>
        <v/>
      </c>
      <c r="BC14" s="136" t="str">
        <f>IF($A14="","",VLOOKUP($A14,기본데이타!$A$8:$BV$103,COLUMN(기본데이타!BF$8),0))</f>
        <v/>
      </c>
      <c r="BD14" s="136" t="str">
        <f>IF($A14="","",VLOOKUP($A14,기본데이타!$A$8:$BV$103,COLUMN(기본데이타!BG$8),0))</f>
        <v/>
      </c>
      <c r="BE14" s="136" t="str">
        <f>IF($A14="","",VLOOKUP($A14,기본데이타!$A$8:$BV$103,COLUMN(기본데이타!BH$8),0))</f>
        <v/>
      </c>
      <c r="BF14" s="136" t="str">
        <f>IF($A14="","",VLOOKUP($A14,기본데이타!$A$8:$BV$103,COLUMN(기본데이타!BI$8),0))</f>
        <v/>
      </c>
      <c r="BG14" s="136" t="str">
        <f>IF($A14="","",VLOOKUP($A14,기본데이타!$A$8:$BV$103,COLUMN(기본데이타!BJ$8),0))</f>
        <v/>
      </c>
      <c r="BH14" s="136" t="str">
        <f>IF($A14="","",VLOOKUP($A14,기본데이타!$A$8:$BV$103,COLUMN(기본데이타!BK$8),0))</f>
        <v/>
      </c>
      <c r="BI14" s="136" t="str">
        <f>IF($A14="","",VLOOKUP($A14,기본데이타!$A$8:$BV$103,COLUMN(기본데이타!BL$8),0))</f>
        <v/>
      </c>
      <c r="BJ14" s="136" t="str">
        <f>IF($A14="","",VLOOKUP($A14,기본데이타!$A$8:$BV$103,COLUMN(기본데이타!BM$8),0))</f>
        <v/>
      </c>
      <c r="BK14" s="136" t="str">
        <f>IF($A14="","",VLOOKUP($A14,기본데이타!$A$8:$BV$103,COLUMN(기본데이타!BN$8),0))</f>
        <v/>
      </c>
      <c r="BL14" s="136" t="str">
        <f>IF($A14="","",VLOOKUP($A14,기본데이타!$A$8:$BV$103,COLUMN(기본데이타!BO$8),0))</f>
        <v/>
      </c>
      <c r="BM14" s="136" t="str">
        <f>IF($A14="","",VLOOKUP($A14,기본데이타!$A$8:$BV$103,COLUMN(기본데이타!BP$8),0))</f>
        <v/>
      </c>
      <c r="BN14" s="136" t="str">
        <f>IF($A14="","",VLOOKUP($A14,기본데이타!$A$8:$BV$103,COLUMN(기본데이타!BQ$8),0))</f>
        <v/>
      </c>
      <c r="BO14" s="136" t="str">
        <f>IF($A14="","",VLOOKUP($A14,기본데이타!$A$8:$BV$103,COLUMN(기본데이타!BR$8),0))</f>
        <v/>
      </c>
      <c r="BP14" s="136" t="str">
        <f>IF($A14="","",VLOOKUP($A14,기본데이타!$A$8:$BV$103,COLUMN(기본데이타!BS$8),0))</f>
        <v/>
      </c>
      <c r="BQ14" s="136" t="str">
        <f>IF($A14="","",VLOOKUP($A14,기본데이타!$A$8:$BV$103,COLUMN(기본데이타!BT$8),0))</f>
        <v/>
      </c>
      <c r="BR14" s="136" t="str">
        <f>IF($A14="","",VLOOKUP($A14,기본데이타!$A$8:$BV$103,COLUMN(기본데이타!BU$8),0))</f>
        <v/>
      </c>
      <c r="BS14" s="136" t="str">
        <f>IF($A14="","",VLOOKUP($A14,기본데이타!$A$8:$BV$103,COLUMN(기본데이타!BV$8),0))</f>
        <v/>
      </c>
      <c r="BT14" s="801">
        <f t="shared" si="8"/>
        <v>0</v>
      </c>
      <c r="BU14" s="242"/>
    </row>
    <row r="15" spans="1:74" s="7" customFormat="1" ht="73.5" customHeight="1">
      <c r="A15" s="171"/>
      <c r="B15" s="163"/>
      <c r="C15" s="164" t="str">
        <f>IF($A15="","",VLOOKUP($A15,기본데이타!$A$8:$BV$103,COLUMN(기본데이타!F$8),0))</f>
        <v/>
      </c>
      <c r="D15" s="165" t="str">
        <f>IF($A15="","",VLOOKUP($A15,기본데이타!$A$8:$BV$103,COLUMN(기본데이타!G$8),0))</f>
        <v/>
      </c>
      <c r="E15" s="166" t="str">
        <f>IF($A15="","",VLOOKUP($A15,기본데이타!$A$8:$BV$103,COLUMN(기본데이타!H$8),0))</f>
        <v/>
      </c>
      <c r="F15" s="166" t="str">
        <f>IF($A15="","",VLOOKUP($A15,기본데이타!$A$8:$BV$103,COLUMN(기본데이타!I$8),0))</f>
        <v/>
      </c>
      <c r="G15" s="166" t="str">
        <f>IF($A15="","",VLOOKUP($A15,기본데이타!$A$8:$BV$103,COLUMN(기본데이타!J$8),0))</f>
        <v/>
      </c>
      <c r="H15" s="167" t="str">
        <f>IF($A15="","",VLOOKUP($A15,기본데이타!$A$8:$BV$103,COLUMN(기본데이타!K$8),0))</f>
        <v/>
      </c>
      <c r="I15" s="167" t="str">
        <f>IF($A15="","",VLOOKUP($A15,기본데이타!$A$8:$BV$103,COLUMN(기본데이타!L$8),0))</f>
        <v/>
      </c>
      <c r="J15" s="167" t="str">
        <f>IF($A15="","",VLOOKUP($A15,기본데이타!$A$8:$BV$103,COLUMN(기본데이타!M$8),0))</f>
        <v/>
      </c>
      <c r="K15" s="168" t="str">
        <f>IF($A15="","",VLOOKUP($A15,기본데이타!$A$8:$BV$103,COLUMN(기본데이타!N$8),0))</f>
        <v/>
      </c>
      <c r="L15" s="167" t="str">
        <f>IF($A15="","",VLOOKUP($A15,기본데이타!$A$8:$BV$103,COLUMN(기본데이타!O$8),0))</f>
        <v/>
      </c>
      <c r="M15" s="168" t="str">
        <f>IF($A15="","",VLOOKUP($A15,기본데이타!$A$8:$BV$103,COLUMN(기본데이타!P$8),0))</f>
        <v/>
      </c>
      <c r="N15" s="168" t="str">
        <f>IF($A15="","",VLOOKUP($A15,기본데이타!$A$8:$BV$103,COLUMN(기본데이타!Q$8),0))</f>
        <v/>
      </c>
      <c r="O15" s="168" t="str">
        <f>IF($A15="","",VLOOKUP($A15,기본데이타!$A$8:$BV$103,COLUMN(기본데이타!R$8),0))</f>
        <v/>
      </c>
      <c r="P15" s="168" t="str">
        <f>IF($A15="","",VLOOKUP($A15,기본데이타!$A$8:$BV$103,COLUMN(기본데이타!S$8),0))</f>
        <v/>
      </c>
      <c r="Q15" s="168" t="str">
        <f>IF($A15="","",VLOOKUP($A15,기본데이타!$A$8:$BV$103,COLUMN(기본데이타!T$8),0))</f>
        <v/>
      </c>
      <c r="R15" s="168" t="str">
        <f>IF($A15="","",VLOOKUP($A15,기본데이타!$A$8:$BV$103,COLUMN(기본데이타!U$8),0))</f>
        <v/>
      </c>
      <c r="S15" s="168" t="str">
        <f>IF($A15="","",VLOOKUP($A15,기본데이타!$A$8:$BV$103,COLUMN(기본데이타!V$8),0))</f>
        <v/>
      </c>
      <c r="T15" s="168" t="str">
        <f>IF($A15="","",VLOOKUP($A15,기본데이타!$A$8:$BV$103,COLUMN(기본데이타!W$8),0))</f>
        <v/>
      </c>
      <c r="U15" s="168" t="str">
        <f>IF($A15="","",VLOOKUP($A15,기본데이타!$A$8:$BV$103,COLUMN(기본데이타!X$8),0))</f>
        <v/>
      </c>
      <c r="V15" s="168" t="str">
        <f>IF($A15="","",VLOOKUP($A15,기본데이타!$A$8:$BV$103,COLUMN(기본데이타!Y$8),0))</f>
        <v/>
      </c>
      <c r="W15" s="168" t="str">
        <f>IF($A15="","",VLOOKUP($A15,기본데이타!$A$8:$BV$103,COLUMN(기본데이타!Z$8),0))</f>
        <v/>
      </c>
      <c r="X15" s="168" t="str">
        <f>IF($A15="","",VLOOKUP($A15,기본데이타!$A$8:$BV$103,COLUMN(기본데이타!AA$8),0))</f>
        <v/>
      </c>
      <c r="Y15" s="168" t="str">
        <f>IF($A15="","",VLOOKUP($A15,기본데이타!$A$8:$BV$103,COLUMN(기본데이타!AB$8),0))</f>
        <v/>
      </c>
      <c r="Z15" s="167" t="str">
        <f>IF($A15="","",VLOOKUP($A15,기본데이타!$A$8:$BV$103,COLUMN(기본데이타!AC$8),0))</f>
        <v/>
      </c>
      <c r="AA15" s="1393" t="str">
        <f>IF($A15="","",VLOOKUP($A15,기본데이타!$A$8:$BV$103,COLUMN(기본데이타!AD$8),0))</f>
        <v/>
      </c>
      <c r="AB15" s="1394" t="str">
        <f>IF($A15="","",VLOOKUP($A15,기본데이타!$A$8:$BV$103,COLUMN(기본데이타!AE$8),0))</f>
        <v/>
      </c>
      <c r="AC15" s="1393" t="str">
        <f>IF($A15="","",VLOOKUP($A15,기본데이타!$A$8:$BV$103,COLUMN(기본데이타!AF$8),0))</f>
        <v/>
      </c>
      <c r="AD15" s="1394" t="str">
        <f>IF($A15="","",VLOOKUP($A15,기본데이타!$A$8:$BV$103,COLUMN(기본데이타!AG$8),0))</f>
        <v/>
      </c>
      <c r="AE15" s="1393" t="str">
        <f>IF($A15="","",VLOOKUP($A15,기본데이타!$A$8:$BV$103,COLUMN(기본데이타!AH$8),0))</f>
        <v/>
      </c>
      <c r="AF15" s="1394" t="str">
        <f>IF($A15="","",VLOOKUP($A15,기본데이타!$A$8:$BV$103,COLUMN(기본데이타!AI$8),0))</f>
        <v/>
      </c>
      <c r="AG15" s="169" t="str">
        <f>IF($A15="","",VLOOKUP($A15,기본데이타!$A$8:$BV$103,COLUMN(기본데이타!AJ$8),0))</f>
        <v/>
      </c>
      <c r="AH15" s="368" t="str">
        <f>IF($A15="","",VLOOKUP($A15,기본데이타!$A$8:$BV$103,COLUMN(기본데이타!AK$8),0))</f>
        <v/>
      </c>
      <c r="AI15" s="368" t="str">
        <f>IF($A15="","",VLOOKUP($A15,기본데이타!$A$8:$BV$103,COLUMN(기본데이타!AL$8),0))</f>
        <v/>
      </c>
      <c r="AJ15" s="368" t="str">
        <f>IF($A15="","",VLOOKUP($A15,기본데이타!$A$8:$BV$103,COLUMN(기본데이타!AM$8),0))</f>
        <v/>
      </c>
      <c r="AK15" s="368" t="str">
        <f>IF($A15="","",VLOOKUP($A15,기본데이타!$A$8:$BV$103,COLUMN(기본데이타!AN$8),0))</f>
        <v/>
      </c>
      <c r="AL15" s="368" t="str">
        <f>IF($A15="","",VLOOKUP($A15,기본데이타!$A$8:$BV$103,COLUMN(기본데이타!AO$8),0))</f>
        <v/>
      </c>
      <c r="AM15" s="368" t="str">
        <f>IF($A15="","",VLOOKUP($A15,기본데이타!$A$8:$BV$103,COLUMN(기본데이타!AP$8),0))</f>
        <v/>
      </c>
      <c r="AN15" s="368" t="str">
        <f>IF($A15="","",VLOOKUP($A15,기본데이타!$A$8:$BV$103,COLUMN(기본데이타!AQ$8),0))</f>
        <v/>
      </c>
      <c r="AO15" s="368" t="str">
        <f>IF($A15="","",VLOOKUP($A15,기본데이타!$A$8:$BV$103,COLUMN(기본데이타!AR$8),0))</f>
        <v/>
      </c>
      <c r="AP15" s="1399" t="str">
        <f>IF($A15="","",VLOOKUP($A15,기본데이타!$A$8:$BV$103,COLUMN(기본데이타!AS$8),0))</f>
        <v/>
      </c>
      <c r="AQ15" s="1399" t="str">
        <f>IF($A15="","",VLOOKUP($A15,기본데이타!$A$8:$BV$103,COLUMN(기본데이타!AT$8),0))</f>
        <v/>
      </c>
      <c r="AR15" s="1399" t="str">
        <f>IF($A15="","",VLOOKUP($A15,기본데이타!$A$8:$BV$103,COLUMN(기본데이타!AU$8),0))</f>
        <v/>
      </c>
      <c r="AS15" s="368" t="str">
        <f>IF($A15="","",VLOOKUP($A15,기본데이타!$A$8:$BV$103,COLUMN(기본데이타!AV$8),0))</f>
        <v/>
      </c>
      <c r="AT15" s="168" t="str">
        <f>IF($A15="","",VLOOKUP($A15,기본데이타!$A$8:$BV$103,COLUMN(기본데이타!AW$8),0))</f>
        <v/>
      </c>
      <c r="AU15" s="168" t="str">
        <f>IF($A15="","",VLOOKUP($A15,기본데이타!$A$8:$BV$103,COLUMN(기본데이타!AX$8),0))</f>
        <v/>
      </c>
      <c r="AV15" s="168" t="str">
        <f>IF($A15="","",VLOOKUP($A15,기본데이타!$A$8:$BV$103,COLUMN(기본데이타!AY$8),0))</f>
        <v/>
      </c>
      <c r="AW15" s="168" t="str">
        <f t="shared" si="7"/>
        <v/>
      </c>
      <c r="AX15" s="136" t="str">
        <f>IF($A15="","",VLOOKUP($A15,기본데이타!$A$8:$BV$103,COLUMN(기본데이타!BA$8),0))</f>
        <v/>
      </c>
      <c r="AY15" s="136" t="str">
        <f>IF($A15="","",VLOOKUP($A15,기본데이타!$A$8:$BV$103,COLUMN(기본데이타!BB$8),0))</f>
        <v/>
      </c>
      <c r="AZ15" s="136" t="str">
        <f>IF($A15="","",VLOOKUP($A15,기본데이타!$A$8:$BV$103,COLUMN(기본데이타!BC$8),0))</f>
        <v/>
      </c>
      <c r="BA15" s="136" t="str">
        <f>IF($A15="","",VLOOKUP($A15,기본데이타!$A$8:$BV$103,COLUMN(기본데이타!BD$8),0))</f>
        <v/>
      </c>
      <c r="BB15" s="136" t="str">
        <f>IF($A15="","",VLOOKUP($A15,기본데이타!$A$8:$BV$103,COLUMN(기본데이타!BE$8),0))</f>
        <v/>
      </c>
      <c r="BC15" s="136" t="str">
        <f>IF($A15="","",VLOOKUP($A15,기본데이타!$A$8:$BV$103,COLUMN(기본데이타!BF$8),0))</f>
        <v/>
      </c>
      <c r="BD15" s="136" t="str">
        <f>IF($A15="","",VLOOKUP($A15,기본데이타!$A$8:$BV$103,COLUMN(기본데이타!BG$8),0))</f>
        <v/>
      </c>
      <c r="BE15" s="136" t="str">
        <f>IF($A15="","",VLOOKUP($A15,기본데이타!$A$8:$BV$103,COLUMN(기본데이타!BH$8),0))</f>
        <v/>
      </c>
      <c r="BF15" s="136" t="str">
        <f>IF($A15="","",VLOOKUP($A15,기본데이타!$A$8:$BV$103,COLUMN(기본데이타!BI$8),0))</f>
        <v/>
      </c>
      <c r="BG15" s="136" t="str">
        <f>IF($A15="","",VLOOKUP($A15,기본데이타!$A$8:$BV$103,COLUMN(기본데이타!BJ$8),0))</f>
        <v/>
      </c>
      <c r="BH15" s="136" t="str">
        <f>IF($A15="","",VLOOKUP($A15,기본데이타!$A$8:$BV$103,COLUMN(기본데이타!BK$8),0))</f>
        <v/>
      </c>
      <c r="BI15" s="136" t="str">
        <f>IF($A15="","",VLOOKUP($A15,기본데이타!$A$8:$BV$103,COLUMN(기본데이타!BL$8),0))</f>
        <v/>
      </c>
      <c r="BJ15" s="136" t="str">
        <f>IF($A15="","",VLOOKUP($A15,기본데이타!$A$8:$BV$103,COLUMN(기본데이타!BM$8),0))</f>
        <v/>
      </c>
      <c r="BK15" s="136" t="str">
        <f>IF($A15="","",VLOOKUP($A15,기본데이타!$A$8:$BV$103,COLUMN(기본데이타!BN$8),0))</f>
        <v/>
      </c>
      <c r="BL15" s="136" t="str">
        <f>IF($A15="","",VLOOKUP($A15,기본데이타!$A$8:$BV$103,COLUMN(기본데이타!BO$8),0))</f>
        <v/>
      </c>
      <c r="BM15" s="136" t="str">
        <f>IF($A15="","",VLOOKUP($A15,기본데이타!$A$8:$BV$103,COLUMN(기본데이타!BP$8),0))</f>
        <v/>
      </c>
      <c r="BN15" s="136" t="str">
        <f>IF($A15="","",VLOOKUP($A15,기본데이타!$A$8:$BV$103,COLUMN(기본데이타!BQ$8),0))</f>
        <v/>
      </c>
      <c r="BO15" s="136" t="str">
        <f>IF($A15="","",VLOOKUP($A15,기본데이타!$A$8:$BV$103,COLUMN(기본데이타!BR$8),0))</f>
        <v/>
      </c>
      <c r="BP15" s="136" t="str">
        <f>IF($A15="","",VLOOKUP($A15,기본데이타!$A$8:$BV$103,COLUMN(기본데이타!BS$8),0))</f>
        <v/>
      </c>
      <c r="BQ15" s="136" t="str">
        <f>IF($A15="","",VLOOKUP($A15,기본데이타!$A$8:$BV$103,COLUMN(기본데이타!BT$8),0))</f>
        <v/>
      </c>
      <c r="BR15" s="136" t="str">
        <f>IF($A15="","",VLOOKUP($A15,기본데이타!$A$8:$BV$103,COLUMN(기본데이타!BU$8),0))</f>
        <v/>
      </c>
      <c r="BS15" s="136" t="str">
        <f>IF($A15="","",VLOOKUP($A15,기본데이타!$A$8:$BV$103,COLUMN(기본데이타!BV$8),0))</f>
        <v/>
      </c>
      <c r="BT15" s="801">
        <f t="shared" si="8"/>
        <v>0</v>
      </c>
      <c r="BU15" s="242"/>
    </row>
    <row r="16" spans="1:74" s="7" customFormat="1" ht="73.5" customHeight="1">
      <c r="A16" s="171"/>
      <c r="B16" s="163"/>
      <c r="C16" s="164" t="str">
        <f>IF($A16="","",VLOOKUP($A16,기본데이타!$A$8:$BV$103,COLUMN(기본데이타!F$8),0))</f>
        <v/>
      </c>
      <c r="D16" s="165" t="str">
        <f>IF($A16="","",VLOOKUP($A16,기본데이타!$A$8:$BV$103,COLUMN(기본데이타!G$8),0))</f>
        <v/>
      </c>
      <c r="E16" s="166" t="str">
        <f>IF($A16="","",VLOOKUP($A16,기본데이타!$A$8:$BV$103,COLUMN(기본데이타!H$8),0))</f>
        <v/>
      </c>
      <c r="F16" s="166" t="str">
        <f>IF($A16="","",VLOOKUP($A16,기본데이타!$A$8:$BV$103,COLUMN(기본데이타!I$8),0))</f>
        <v/>
      </c>
      <c r="G16" s="166" t="str">
        <f>IF($A16="","",VLOOKUP($A16,기본데이타!$A$8:$BV$103,COLUMN(기본데이타!J$8),0))</f>
        <v/>
      </c>
      <c r="H16" s="167" t="str">
        <f>IF($A16="","",VLOOKUP($A16,기본데이타!$A$8:$BV$103,COLUMN(기본데이타!K$8),0))</f>
        <v/>
      </c>
      <c r="I16" s="167" t="str">
        <f>IF($A16="","",VLOOKUP($A16,기본데이타!$A$8:$BV$103,COLUMN(기본데이타!L$8),0))</f>
        <v/>
      </c>
      <c r="J16" s="167" t="str">
        <f>IF($A16="","",VLOOKUP($A16,기본데이타!$A$8:$BV$103,COLUMN(기본데이타!M$8),0))</f>
        <v/>
      </c>
      <c r="K16" s="168" t="str">
        <f>IF($A16="","",VLOOKUP($A16,기본데이타!$A$8:$BV$103,COLUMN(기본데이타!N$8),0))</f>
        <v/>
      </c>
      <c r="L16" s="167" t="str">
        <f>IF($A16="","",VLOOKUP($A16,기본데이타!$A$8:$BV$103,COLUMN(기본데이타!O$8),0))</f>
        <v/>
      </c>
      <c r="M16" s="168" t="str">
        <f>IF($A16="","",VLOOKUP($A16,기본데이타!$A$8:$BV$103,COLUMN(기본데이타!P$8),0))</f>
        <v/>
      </c>
      <c r="N16" s="168" t="str">
        <f>IF($A16="","",VLOOKUP($A16,기본데이타!$A$8:$BV$103,COLUMN(기본데이타!Q$8),0))</f>
        <v/>
      </c>
      <c r="O16" s="168" t="str">
        <f>IF($A16="","",VLOOKUP($A16,기본데이타!$A$8:$BV$103,COLUMN(기본데이타!R$8),0))</f>
        <v/>
      </c>
      <c r="P16" s="168" t="str">
        <f>IF($A16="","",VLOOKUP($A16,기본데이타!$A$8:$BV$103,COLUMN(기본데이타!S$8),0))</f>
        <v/>
      </c>
      <c r="Q16" s="168" t="str">
        <f>IF($A16="","",VLOOKUP($A16,기본데이타!$A$8:$BV$103,COLUMN(기본데이타!T$8),0))</f>
        <v/>
      </c>
      <c r="R16" s="168" t="str">
        <f>IF($A16="","",VLOOKUP($A16,기본데이타!$A$8:$BV$103,COLUMN(기본데이타!U$8),0))</f>
        <v/>
      </c>
      <c r="S16" s="168" t="str">
        <f>IF($A16="","",VLOOKUP($A16,기본데이타!$A$8:$BV$103,COLUMN(기본데이타!V$8),0))</f>
        <v/>
      </c>
      <c r="T16" s="168" t="str">
        <f>IF($A16="","",VLOOKUP($A16,기본데이타!$A$8:$BV$103,COLUMN(기본데이타!W$8),0))</f>
        <v/>
      </c>
      <c r="U16" s="168" t="str">
        <f>IF($A16="","",VLOOKUP($A16,기본데이타!$A$8:$BV$103,COLUMN(기본데이타!X$8),0))</f>
        <v/>
      </c>
      <c r="V16" s="168" t="str">
        <f>IF($A16="","",VLOOKUP($A16,기본데이타!$A$8:$BV$103,COLUMN(기본데이타!Y$8),0))</f>
        <v/>
      </c>
      <c r="W16" s="168" t="str">
        <f>IF($A16="","",VLOOKUP($A16,기본데이타!$A$8:$BV$103,COLUMN(기본데이타!Z$8),0))</f>
        <v/>
      </c>
      <c r="X16" s="168" t="str">
        <f>IF($A16="","",VLOOKUP($A16,기본데이타!$A$8:$BV$103,COLUMN(기본데이타!AA$8),0))</f>
        <v/>
      </c>
      <c r="Y16" s="168" t="str">
        <f>IF($A16="","",VLOOKUP($A16,기본데이타!$A$8:$BV$103,COLUMN(기본데이타!AB$8),0))</f>
        <v/>
      </c>
      <c r="Z16" s="167" t="str">
        <f>IF($A16="","",VLOOKUP($A16,기본데이타!$A$8:$BV$103,COLUMN(기본데이타!AC$8),0))</f>
        <v/>
      </c>
      <c r="AA16" s="1393" t="str">
        <f>IF($A16="","",VLOOKUP($A16,기본데이타!$A$8:$BV$103,COLUMN(기본데이타!AD$8),0))</f>
        <v/>
      </c>
      <c r="AB16" s="1394" t="str">
        <f>IF($A16="","",VLOOKUP($A16,기본데이타!$A$8:$BV$103,COLUMN(기본데이타!AE$8),0))</f>
        <v/>
      </c>
      <c r="AC16" s="1393" t="str">
        <f>IF($A16="","",VLOOKUP($A16,기본데이타!$A$8:$BV$103,COLUMN(기본데이타!AF$8),0))</f>
        <v/>
      </c>
      <c r="AD16" s="1394" t="str">
        <f>IF($A16="","",VLOOKUP($A16,기본데이타!$A$8:$BV$103,COLUMN(기본데이타!AG$8),0))</f>
        <v/>
      </c>
      <c r="AE16" s="1393" t="str">
        <f>IF($A16="","",VLOOKUP($A16,기본데이타!$A$8:$BV$103,COLUMN(기본데이타!AH$8),0))</f>
        <v/>
      </c>
      <c r="AF16" s="1394" t="str">
        <f>IF($A16="","",VLOOKUP($A16,기본데이타!$A$8:$BV$103,COLUMN(기본데이타!AI$8),0))</f>
        <v/>
      </c>
      <c r="AG16" s="169" t="str">
        <f>IF($A16="","",VLOOKUP($A16,기본데이타!$A$8:$BV$103,COLUMN(기본데이타!AJ$8),0))</f>
        <v/>
      </c>
      <c r="AH16" s="368" t="str">
        <f>IF($A16="","",VLOOKUP($A16,기본데이타!$A$8:$BV$103,COLUMN(기본데이타!AK$8),0))</f>
        <v/>
      </c>
      <c r="AI16" s="368" t="str">
        <f>IF($A16="","",VLOOKUP($A16,기본데이타!$A$8:$BV$103,COLUMN(기본데이타!AL$8),0))</f>
        <v/>
      </c>
      <c r="AJ16" s="368" t="str">
        <f>IF($A16="","",VLOOKUP($A16,기본데이타!$A$8:$BV$103,COLUMN(기본데이타!AM$8),0))</f>
        <v/>
      </c>
      <c r="AK16" s="368" t="str">
        <f>IF($A16="","",VLOOKUP($A16,기본데이타!$A$8:$BV$103,COLUMN(기본데이타!AN$8),0))</f>
        <v/>
      </c>
      <c r="AL16" s="368" t="str">
        <f>IF($A16="","",VLOOKUP($A16,기본데이타!$A$8:$BV$103,COLUMN(기본데이타!AO$8),0))</f>
        <v/>
      </c>
      <c r="AM16" s="368" t="str">
        <f>IF($A16="","",VLOOKUP($A16,기본데이타!$A$8:$BV$103,COLUMN(기본데이타!AP$8),0))</f>
        <v/>
      </c>
      <c r="AN16" s="368" t="str">
        <f>IF($A16="","",VLOOKUP($A16,기본데이타!$A$8:$BV$103,COLUMN(기본데이타!AQ$8),0))</f>
        <v/>
      </c>
      <c r="AO16" s="368" t="str">
        <f>IF($A16="","",VLOOKUP($A16,기본데이타!$A$8:$BV$103,COLUMN(기본데이타!AR$8),0))</f>
        <v/>
      </c>
      <c r="AP16" s="1399" t="str">
        <f>IF($A16="","",VLOOKUP($A16,기본데이타!$A$8:$BV$103,COLUMN(기본데이타!AS$8),0))</f>
        <v/>
      </c>
      <c r="AQ16" s="1399" t="str">
        <f>IF($A16="","",VLOOKUP($A16,기본데이타!$A$8:$BV$103,COLUMN(기본데이타!AT$8),0))</f>
        <v/>
      </c>
      <c r="AR16" s="1399" t="str">
        <f>IF($A16="","",VLOOKUP($A16,기본데이타!$A$8:$BV$103,COLUMN(기본데이타!AU$8),0))</f>
        <v/>
      </c>
      <c r="AS16" s="368" t="str">
        <f>IF($A16="","",VLOOKUP($A16,기본데이타!$A$8:$BV$103,COLUMN(기본데이타!AV$8),0))</f>
        <v/>
      </c>
      <c r="AT16" s="168" t="str">
        <f>IF($A16="","",VLOOKUP($A16,기본데이타!$A$8:$BV$103,COLUMN(기본데이타!AW$8),0))</f>
        <v/>
      </c>
      <c r="AU16" s="168" t="str">
        <f>IF($A16="","",VLOOKUP($A16,기본데이타!$A$8:$BV$103,COLUMN(기본데이타!AX$8),0))</f>
        <v/>
      </c>
      <c r="AV16" s="168" t="str">
        <f>IF($A16="","",VLOOKUP($A16,기본데이타!$A$8:$BV$103,COLUMN(기본데이타!AY$8),0))</f>
        <v/>
      </c>
      <c r="AW16" s="168" t="str">
        <f t="shared" si="7"/>
        <v/>
      </c>
      <c r="AX16" s="136" t="str">
        <f>IF($A16="","",VLOOKUP($A16,기본데이타!$A$8:$BV$103,COLUMN(기본데이타!BA$8),0))</f>
        <v/>
      </c>
      <c r="AY16" s="136" t="str">
        <f>IF($A16="","",VLOOKUP($A16,기본데이타!$A$8:$BV$103,COLUMN(기본데이타!BB$8),0))</f>
        <v/>
      </c>
      <c r="AZ16" s="136" t="str">
        <f>IF($A16="","",VLOOKUP($A16,기본데이타!$A$8:$BV$103,COLUMN(기본데이타!BC$8),0))</f>
        <v/>
      </c>
      <c r="BA16" s="136" t="str">
        <f>IF($A16="","",VLOOKUP($A16,기본데이타!$A$8:$BV$103,COLUMN(기본데이타!BD$8),0))</f>
        <v/>
      </c>
      <c r="BB16" s="136" t="str">
        <f>IF($A16="","",VLOOKUP($A16,기본데이타!$A$8:$BV$103,COLUMN(기본데이타!BE$8),0))</f>
        <v/>
      </c>
      <c r="BC16" s="136" t="str">
        <f>IF($A16="","",VLOOKUP($A16,기본데이타!$A$8:$BV$103,COLUMN(기본데이타!BF$8),0))</f>
        <v/>
      </c>
      <c r="BD16" s="136" t="str">
        <f>IF($A16="","",VLOOKUP($A16,기본데이타!$A$8:$BV$103,COLUMN(기본데이타!BG$8),0))</f>
        <v/>
      </c>
      <c r="BE16" s="136" t="str">
        <f>IF($A16="","",VLOOKUP($A16,기본데이타!$A$8:$BV$103,COLUMN(기본데이타!BH$8),0))</f>
        <v/>
      </c>
      <c r="BF16" s="136" t="str">
        <f>IF($A16="","",VLOOKUP($A16,기본데이타!$A$8:$BV$103,COLUMN(기본데이타!BI$8),0))</f>
        <v/>
      </c>
      <c r="BG16" s="136" t="str">
        <f>IF($A16="","",VLOOKUP($A16,기본데이타!$A$8:$BV$103,COLUMN(기본데이타!BJ$8),0))</f>
        <v/>
      </c>
      <c r="BH16" s="136" t="str">
        <f>IF($A16="","",VLOOKUP($A16,기본데이타!$A$8:$BV$103,COLUMN(기본데이타!BK$8),0))</f>
        <v/>
      </c>
      <c r="BI16" s="136" t="str">
        <f>IF($A16="","",VLOOKUP($A16,기본데이타!$A$8:$BV$103,COLUMN(기본데이타!BL$8),0))</f>
        <v/>
      </c>
      <c r="BJ16" s="136" t="str">
        <f>IF($A16="","",VLOOKUP($A16,기본데이타!$A$8:$BV$103,COLUMN(기본데이타!BM$8),0))</f>
        <v/>
      </c>
      <c r="BK16" s="136" t="str">
        <f>IF($A16="","",VLOOKUP($A16,기본데이타!$A$8:$BV$103,COLUMN(기본데이타!BN$8),0))</f>
        <v/>
      </c>
      <c r="BL16" s="136" t="str">
        <f>IF($A16="","",VLOOKUP($A16,기본데이타!$A$8:$BV$103,COLUMN(기본데이타!BO$8),0))</f>
        <v/>
      </c>
      <c r="BM16" s="136" t="str">
        <f>IF($A16="","",VLOOKUP($A16,기본데이타!$A$8:$BV$103,COLUMN(기본데이타!BP$8),0))</f>
        <v/>
      </c>
      <c r="BN16" s="136" t="str">
        <f>IF($A16="","",VLOOKUP($A16,기본데이타!$A$8:$BV$103,COLUMN(기본데이타!BQ$8),0))</f>
        <v/>
      </c>
      <c r="BO16" s="136" t="str">
        <f>IF($A16="","",VLOOKUP($A16,기본데이타!$A$8:$BV$103,COLUMN(기본데이타!BR$8),0))</f>
        <v/>
      </c>
      <c r="BP16" s="136" t="str">
        <f>IF($A16="","",VLOOKUP($A16,기본데이타!$A$8:$BV$103,COLUMN(기본데이타!BS$8),0))</f>
        <v/>
      </c>
      <c r="BQ16" s="136" t="str">
        <f>IF($A16="","",VLOOKUP($A16,기본데이타!$A$8:$BV$103,COLUMN(기본데이타!BT$8),0))</f>
        <v/>
      </c>
      <c r="BR16" s="136" t="str">
        <f>IF($A16="","",VLOOKUP($A16,기본데이타!$A$8:$BV$103,COLUMN(기본데이타!BU$8),0))</f>
        <v/>
      </c>
      <c r="BS16" s="136" t="str">
        <f>IF($A16="","",VLOOKUP($A16,기본데이타!$A$8:$BV$103,COLUMN(기본데이타!BV$8),0))</f>
        <v/>
      </c>
      <c r="BT16" s="801">
        <f t="shared" si="8"/>
        <v>0</v>
      </c>
      <c r="BU16" s="242"/>
    </row>
    <row r="17" spans="1:73" s="7" customFormat="1" ht="73.5" customHeight="1">
      <c r="A17" s="171"/>
      <c r="B17" s="163"/>
      <c r="C17" s="164" t="str">
        <f>IF($A17="","",VLOOKUP($A17,기본데이타!$A$8:$BV$103,COLUMN(기본데이타!F$8),0))</f>
        <v/>
      </c>
      <c r="D17" s="165" t="str">
        <f>IF($A17="","",VLOOKUP($A17,기본데이타!$A$8:$BV$103,COLUMN(기본데이타!G$8),0))</f>
        <v/>
      </c>
      <c r="E17" s="166" t="str">
        <f>IF($A17="","",VLOOKUP($A17,기본데이타!$A$8:$BV$103,COLUMN(기본데이타!H$8),0))</f>
        <v/>
      </c>
      <c r="F17" s="166" t="str">
        <f>IF($A17="","",VLOOKUP($A17,기본데이타!$A$8:$BV$103,COLUMN(기본데이타!I$8),0))</f>
        <v/>
      </c>
      <c r="G17" s="166" t="str">
        <f>IF($A17="","",VLOOKUP($A17,기본데이타!$A$8:$BV$103,COLUMN(기본데이타!J$8),0))</f>
        <v/>
      </c>
      <c r="H17" s="167" t="str">
        <f>IF($A17="","",VLOOKUP($A17,기본데이타!$A$8:$BV$103,COLUMN(기본데이타!K$8),0))</f>
        <v/>
      </c>
      <c r="I17" s="167" t="str">
        <f>IF($A17="","",VLOOKUP($A17,기본데이타!$A$8:$BV$103,COLUMN(기본데이타!L$8),0))</f>
        <v/>
      </c>
      <c r="J17" s="167" t="str">
        <f>IF($A17="","",VLOOKUP($A17,기본데이타!$A$8:$BV$103,COLUMN(기본데이타!M$8),0))</f>
        <v/>
      </c>
      <c r="K17" s="168" t="str">
        <f>IF($A17="","",VLOOKUP($A17,기본데이타!$A$8:$BV$103,COLUMN(기본데이타!N$8),0))</f>
        <v/>
      </c>
      <c r="L17" s="167" t="str">
        <f>IF($A17="","",VLOOKUP($A17,기본데이타!$A$8:$BV$103,COLUMN(기본데이타!O$8),0))</f>
        <v/>
      </c>
      <c r="M17" s="168" t="str">
        <f>IF($A17="","",VLOOKUP($A17,기본데이타!$A$8:$BV$103,COLUMN(기본데이타!P$8),0))</f>
        <v/>
      </c>
      <c r="N17" s="168" t="str">
        <f>IF($A17="","",VLOOKUP($A17,기본데이타!$A$8:$BV$103,COLUMN(기본데이타!Q$8),0))</f>
        <v/>
      </c>
      <c r="O17" s="168" t="str">
        <f>IF($A17="","",VLOOKUP($A17,기본데이타!$A$8:$BV$103,COLUMN(기본데이타!R$8),0))</f>
        <v/>
      </c>
      <c r="P17" s="168" t="str">
        <f>IF($A17="","",VLOOKUP($A17,기본데이타!$A$8:$BV$103,COLUMN(기본데이타!S$8),0))</f>
        <v/>
      </c>
      <c r="Q17" s="168" t="str">
        <f>IF($A17="","",VLOOKUP($A17,기본데이타!$A$8:$BV$103,COLUMN(기본데이타!T$8),0))</f>
        <v/>
      </c>
      <c r="R17" s="168" t="str">
        <f>IF($A17="","",VLOOKUP($A17,기본데이타!$A$8:$BV$103,COLUMN(기본데이타!U$8),0))</f>
        <v/>
      </c>
      <c r="S17" s="168" t="str">
        <f>IF($A17="","",VLOOKUP($A17,기본데이타!$A$8:$BV$103,COLUMN(기본데이타!V$8),0))</f>
        <v/>
      </c>
      <c r="T17" s="168" t="str">
        <f>IF($A17="","",VLOOKUP($A17,기본데이타!$A$8:$BV$103,COLUMN(기본데이타!W$8),0))</f>
        <v/>
      </c>
      <c r="U17" s="168" t="str">
        <f>IF($A17="","",VLOOKUP($A17,기본데이타!$A$8:$BV$103,COLUMN(기본데이타!X$8),0))</f>
        <v/>
      </c>
      <c r="V17" s="168" t="str">
        <f>IF($A17="","",VLOOKUP($A17,기본데이타!$A$8:$BV$103,COLUMN(기본데이타!Y$8),0))</f>
        <v/>
      </c>
      <c r="W17" s="168" t="str">
        <f>IF($A17="","",VLOOKUP($A17,기본데이타!$A$8:$BV$103,COLUMN(기본데이타!Z$8),0))</f>
        <v/>
      </c>
      <c r="X17" s="168" t="str">
        <f>IF($A17="","",VLOOKUP($A17,기본데이타!$A$8:$BV$103,COLUMN(기본데이타!AA$8),0))</f>
        <v/>
      </c>
      <c r="Y17" s="168" t="str">
        <f>IF($A17="","",VLOOKUP($A17,기본데이타!$A$8:$BV$103,COLUMN(기본데이타!AB$8),0))</f>
        <v/>
      </c>
      <c r="Z17" s="167" t="str">
        <f>IF($A17="","",VLOOKUP($A17,기본데이타!$A$8:$BV$103,COLUMN(기본데이타!AC$8),0))</f>
        <v/>
      </c>
      <c r="AA17" s="1393" t="str">
        <f>IF($A17="","",VLOOKUP($A17,기본데이타!$A$8:$BV$103,COLUMN(기본데이타!AD$8),0))</f>
        <v/>
      </c>
      <c r="AB17" s="1394" t="str">
        <f>IF($A17="","",VLOOKUP($A17,기본데이타!$A$8:$BV$103,COLUMN(기본데이타!AE$8),0))</f>
        <v/>
      </c>
      <c r="AC17" s="1393" t="str">
        <f>IF($A17="","",VLOOKUP($A17,기본데이타!$A$8:$BV$103,COLUMN(기본데이타!AF$8),0))</f>
        <v/>
      </c>
      <c r="AD17" s="1394" t="str">
        <f>IF($A17="","",VLOOKUP($A17,기본데이타!$A$8:$BV$103,COLUMN(기본데이타!AG$8),0))</f>
        <v/>
      </c>
      <c r="AE17" s="1393" t="str">
        <f>IF($A17="","",VLOOKUP($A17,기본데이타!$A$8:$BV$103,COLUMN(기본데이타!AH$8),0))</f>
        <v/>
      </c>
      <c r="AF17" s="1394" t="str">
        <f>IF($A17="","",VLOOKUP($A17,기본데이타!$A$8:$BV$103,COLUMN(기본데이타!AI$8),0))</f>
        <v/>
      </c>
      <c r="AG17" s="169" t="str">
        <f>IF($A17="","",VLOOKUP($A17,기본데이타!$A$8:$BV$103,COLUMN(기본데이타!AJ$8),0))</f>
        <v/>
      </c>
      <c r="AH17" s="368" t="str">
        <f>IF($A17="","",VLOOKUP($A17,기본데이타!$A$8:$BV$103,COLUMN(기본데이타!AK$8),0))</f>
        <v/>
      </c>
      <c r="AI17" s="368" t="str">
        <f>IF($A17="","",VLOOKUP($A17,기본데이타!$A$8:$BV$103,COLUMN(기본데이타!AL$8),0))</f>
        <v/>
      </c>
      <c r="AJ17" s="368" t="str">
        <f>IF($A17="","",VLOOKUP($A17,기본데이타!$A$8:$BV$103,COLUMN(기본데이타!AM$8),0))</f>
        <v/>
      </c>
      <c r="AK17" s="368" t="str">
        <f>IF($A17="","",VLOOKUP($A17,기본데이타!$A$8:$BV$103,COLUMN(기본데이타!AN$8),0))</f>
        <v/>
      </c>
      <c r="AL17" s="368" t="str">
        <f>IF($A17="","",VLOOKUP($A17,기본데이타!$A$8:$BV$103,COLUMN(기본데이타!AO$8),0))</f>
        <v/>
      </c>
      <c r="AM17" s="368" t="str">
        <f>IF($A17="","",VLOOKUP($A17,기본데이타!$A$8:$BV$103,COLUMN(기본데이타!AP$8),0))</f>
        <v/>
      </c>
      <c r="AN17" s="368" t="str">
        <f>IF($A17="","",VLOOKUP($A17,기본데이타!$A$8:$BV$103,COLUMN(기본데이타!AQ$8),0))</f>
        <v/>
      </c>
      <c r="AO17" s="368" t="str">
        <f>IF($A17="","",VLOOKUP($A17,기본데이타!$A$8:$BV$103,COLUMN(기본데이타!AR$8),0))</f>
        <v/>
      </c>
      <c r="AP17" s="1399" t="str">
        <f>IF($A17="","",VLOOKUP($A17,기본데이타!$A$8:$BV$103,COLUMN(기본데이타!AS$8),0))</f>
        <v/>
      </c>
      <c r="AQ17" s="1399" t="str">
        <f>IF($A17="","",VLOOKUP($A17,기본데이타!$A$8:$BV$103,COLUMN(기본데이타!AT$8),0))</f>
        <v/>
      </c>
      <c r="AR17" s="1399" t="str">
        <f>IF($A17="","",VLOOKUP($A17,기본데이타!$A$8:$BV$103,COLUMN(기본데이타!AU$8),0))</f>
        <v/>
      </c>
      <c r="AS17" s="368" t="str">
        <f>IF($A17="","",VLOOKUP($A17,기본데이타!$A$8:$BV$103,COLUMN(기본데이타!AV$8),0))</f>
        <v/>
      </c>
      <c r="AT17" s="168" t="str">
        <f>IF($A17="","",VLOOKUP($A17,기본데이타!$A$8:$BV$103,COLUMN(기본데이타!AW$8),0))</f>
        <v/>
      </c>
      <c r="AU17" s="168" t="str">
        <f>IF($A17="","",VLOOKUP($A17,기본데이타!$A$8:$BV$103,COLUMN(기본데이타!AX$8),0))</f>
        <v/>
      </c>
      <c r="AV17" s="168" t="str">
        <f>IF($A17="","",VLOOKUP($A17,기본데이타!$A$8:$BV$103,COLUMN(기본데이타!AY$8),0))</f>
        <v/>
      </c>
      <c r="AW17" s="168" t="str">
        <f t="shared" si="7"/>
        <v/>
      </c>
      <c r="AX17" s="136" t="str">
        <f>IF($A17="","",VLOOKUP($A17,기본데이타!$A$8:$BV$103,COLUMN(기본데이타!BA$8),0))</f>
        <v/>
      </c>
      <c r="AY17" s="136" t="str">
        <f>IF($A17="","",VLOOKUP($A17,기본데이타!$A$8:$BV$103,COLUMN(기본데이타!BB$8),0))</f>
        <v/>
      </c>
      <c r="AZ17" s="136" t="str">
        <f>IF($A17="","",VLOOKUP($A17,기본데이타!$A$8:$BV$103,COLUMN(기본데이타!BC$8),0))</f>
        <v/>
      </c>
      <c r="BA17" s="136" t="str">
        <f>IF($A17="","",VLOOKUP($A17,기본데이타!$A$8:$BV$103,COLUMN(기본데이타!BD$8),0))</f>
        <v/>
      </c>
      <c r="BB17" s="136" t="str">
        <f>IF($A17="","",VLOOKUP($A17,기본데이타!$A$8:$BV$103,COLUMN(기본데이타!BE$8),0))</f>
        <v/>
      </c>
      <c r="BC17" s="136" t="str">
        <f>IF($A17="","",VLOOKUP($A17,기본데이타!$A$8:$BV$103,COLUMN(기본데이타!BF$8),0))</f>
        <v/>
      </c>
      <c r="BD17" s="136" t="str">
        <f>IF($A17="","",VLOOKUP($A17,기본데이타!$A$8:$BV$103,COLUMN(기본데이타!BG$8),0))</f>
        <v/>
      </c>
      <c r="BE17" s="136" t="str">
        <f>IF($A17="","",VLOOKUP($A17,기본데이타!$A$8:$BV$103,COLUMN(기본데이타!BH$8),0))</f>
        <v/>
      </c>
      <c r="BF17" s="136" t="str">
        <f>IF($A17="","",VLOOKUP($A17,기본데이타!$A$8:$BV$103,COLUMN(기본데이타!BI$8),0))</f>
        <v/>
      </c>
      <c r="BG17" s="136" t="str">
        <f>IF($A17="","",VLOOKUP($A17,기본데이타!$A$8:$BV$103,COLUMN(기본데이타!BJ$8),0))</f>
        <v/>
      </c>
      <c r="BH17" s="136" t="str">
        <f>IF($A17="","",VLOOKUP($A17,기본데이타!$A$8:$BV$103,COLUMN(기본데이타!BK$8),0))</f>
        <v/>
      </c>
      <c r="BI17" s="136" t="str">
        <f>IF($A17="","",VLOOKUP($A17,기본데이타!$A$8:$BV$103,COLUMN(기본데이타!BL$8),0))</f>
        <v/>
      </c>
      <c r="BJ17" s="136" t="str">
        <f>IF($A17="","",VLOOKUP($A17,기본데이타!$A$8:$BV$103,COLUMN(기본데이타!BM$8),0))</f>
        <v/>
      </c>
      <c r="BK17" s="136" t="str">
        <f>IF($A17="","",VLOOKUP($A17,기본데이타!$A$8:$BV$103,COLUMN(기본데이타!BN$8),0))</f>
        <v/>
      </c>
      <c r="BL17" s="136" t="str">
        <f>IF($A17="","",VLOOKUP($A17,기본데이타!$A$8:$BV$103,COLUMN(기본데이타!BO$8),0))</f>
        <v/>
      </c>
      <c r="BM17" s="136" t="str">
        <f>IF($A17="","",VLOOKUP($A17,기본데이타!$A$8:$BV$103,COLUMN(기본데이타!BP$8),0))</f>
        <v/>
      </c>
      <c r="BN17" s="136" t="str">
        <f>IF($A17="","",VLOOKUP($A17,기본데이타!$A$8:$BV$103,COLUMN(기본데이타!BQ$8),0))</f>
        <v/>
      </c>
      <c r="BO17" s="136" t="str">
        <f>IF($A17="","",VLOOKUP($A17,기본데이타!$A$8:$BV$103,COLUMN(기본데이타!BR$8),0))</f>
        <v/>
      </c>
      <c r="BP17" s="136" t="str">
        <f>IF($A17="","",VLOOKUP($A17,기본데이타!$A$8:$BV$103,COLUMN(기본데이타!BS$8),0))</f>
        <v/>
      </c>
      <c r="BQ17" s="136" t="str">
        <f>IF($A17="","",VLOOKUP($A17,기본데이타!$A$8:$BV$103,COLUMN(기본데이타!BT$8),0))</f>
        <v/>
      </c>
      <c r="BR17" s="136" t="str">
        <f>IF($A17="","",VLOOKUP($A17,기본데이타!$A$8:$BV$103,COLUMN(기본데이타!BU$8),0))</f>
        <v/>
      </c>
      <c r="BS17" s="136" t="str">
        <f>IF($A17="","",VLOOKUP($A17,기본데이타!$A$8:$BV$103,COLUMN(기본데이타!BV$8),0))</f>
        <v/>
      </c>
      <c r="BT17" s="801">
        <f t="shared" si="8"/>
        <v>0</v>
      </c>
      <c r="BU17" s="242"/>
    </row>
    <row r="18" spans="1:73" s="7" customFormat="1" ht="73.5" customHeight="1">
      <c r="A18" s="171"/>
      <c r="B18" s="163"/>
      <c r="C18" s="164" t="str">
        <f>IF($A18="","",VLOOKUP($A18,기본데이타!$A$8:$BV$103,COLUMN(기본데이타!F$8),0))</f>
        <v/>
      </c>
      <c r="D18" s="165" t="str">
        <f>IF($A18="","",VLOOKUP($A18,기본데이타!$A$8:$BV$103,COLUMN(기본데이타!G$8),0))</f>
        <v/>
      </c>
      <c r="E18" s="166" t="str">
        <f>IF($A18="","",VLOOKUP($A18,기본데이타!$A$8:$BV$103,COLUMN(기본데이타!H$8),0))</f>
        <v/>
      </c>
      <c r="F18" s="166" t="str">
        <f>IF($A18="","",VLOOKUP($A18,기본데이타!$A$8:$BV$103,COLUMN(기본데이타!I$8),0))</f>
        <v/>
      </c>
      <c r="G18" s="166" t="str">
        <f>IF($A18="","",VLOOKUP($A18,기본데이타!$A$8:$BV$103,COLUMN(기본데이타!J$8),0))</f>
        <v/>
      </c>
      <c r="H18" s="167" t="str">
        <f>IF($A18="","",VLOOKUP($A18,기본데이타!$A$8:$BV$103,COLUMN(기본데이타!K$8),0))</f>
        <v/>
      </c>
      <c r="I18" s="167" t="str">
        <f>IF($A18="","",VLOOKUP($A18,기본데이타!$A$8:$BV$103,COLUMN(기본데이타!L$8),0))</f>
        <v/>
      </c>
      <c r="J18" s="167" t="str">
        <f>IF($A18="","",VLOOKUP($A18,기본데이타!$A$8:$BV$103,COLUMN(기본데이타!M$8),0))</f>
        <v/>
      </c>
      <c r="K18" s="168" t="str">
        <f>IF($A18="","",VLOOKUP($A18,기본데이타!$A$8:$BV$103,COLUMN(기본데이타!N$8),0))</f>
        <v/>
      </c>
      <c r="L18" s="167" t="str">
        <f>IF($A18="","",VLOOKUP($A18,기본데이타!$A$8:$BV$103,COLUMN(기본데이타!O$8),0))</f>
        <v/>
      </c>
      <c r="M18" s="168" t="str">
        <f>IF($A18="","",VLOOKUP($A18,기본데이타!$A$8:$BV$103,COLUMN(기본데이타!P$8),0))</f>
        <v/>
      </c>
      <c r="N18" s="168" t="str">
        <f>IF($A18="","",VLOOKUP($A18,기본데이타!$A$8:$BV$103,COLUMN(기본데이타!Q$8),0))</f>
        <v/>
      </c>
      <c r="O18" s="168" t="str">
        <f>IF($A18="","",VLOOKUP($A18,기본데이타!$A$8:$BV$103,COLUMN(기본데이타!R$8),0))</f>
        <v/>
      </c>
      <c r="P18" s="168" t="str">
        <f>IF($A18="","",VLOOKUP($A18,기본데이타!$A$8:$BV$103,COLUMN(기본데이타!S$8),0))</f>
        <v/>
      </c>
      <c r="Q18" s="168" t="str">
        <f>IF($A18="","",VLOOKUP($A18,기본데이타!$A$8:$BV$103,COLUMN(기본데이타!T$8),0))</f>
        <v/>
      </c>
      <c r="R18" s="168" t="str">
        <f>IF($A18="","",VLOOKUP($A18,기본데이타!$A$8:$BV$103,COLUMN(기본데이타!U$8),0))</f>
        <v/>
      </c>
      <c r="S18" s="168" t="str">
        <f>IF($A18="","",VLOOKUP($A18,기본데이타!$A$8:$BV$103,COLUMN(기본데이타!V$8),0))</f>
        <v/>
      </c>
      <c r="T18" s="168" t="str">
        <f>IF($A18="","",VLOOKUP($A18,기본데이타!$A$8:$BV$103,COLUMN(기본데이타!W$8),0))</f>
        <v/>
      </c>
      <c r="U18" s="168" t="str">
        <f>IF($A18="","",VLOOKUP($A18,기본데이타!$A$8:$BV$103,COLUMN(기본데이타!X$8),0))</f>
        <v/>
      </c>
      <c r="V18" s="168" t="str">
        <f>IF($A18="","",VLOOKUP($A18,기본데이타!$A$8:$BV$103,COLUMN(기본데이타!Y$8),0))</f>
        <v/>
      </c>
      <c r="W18" s="168" t="str">
        <f>IF($A18="","",VLOOKUP($A18,기본데이타!$A$8:$BV$103,COLUMN(기본데이타!Z$8),0))</f>
        <v/>
      </c>
      <c r="X18" s="168" t="str">
        <f>IF($A18="","",VLOOKUP($A18,기본데이타!$A$8:$BV$103,COLUMN(기본데이타!AA$8),0))</f>
        <v/>
      </c>
      <c r="Y18" s="168" t="str">
        <f>IF($A18="","",VLOOKUP($A18,기본데이타!$A$8:$BV$103,COLUMN(기본데이타!AB$8),0))</f>
        <v/>
      </c>
      <c r="Z18" s="167" t="str">
        <f>IF($A18="","",VLOOKUP($A18,기본데이타!$A$8:$BV$103,COLUMN(기본데이타!AC$8),0))</f>
        <v/>
      </c>
      <c r="AA18" s="1393" t="str">
        <f>IF($A18="","",VLOOKUP($A18,기본데이타!$A$8:$BV$103,COLUMN(기본데이타!AD$8),0))</f>
        <v/>
      </c>
      <c r="AB18" s="1394" t="str">
        <f>IF($A18="","",VLOOKUP($A18,기본데이타!$A$8:$BV$103,COLUMN(기본데이타!AE$8),0))</f>
        <v/>
      </c>
      <c r="AC18" s="1393" t="str">
        <f>IF($A18="","",VLOOKUP($A18,기본데이타!$A$8:$BV$103,COLUMN(기본데이타!AF$8),0))</f>
        <v/>
      </c>
      <c r="AD18" s="1394" t="str">
        <f>IF($A18="","",VLOOKUP($A18,기본데이타!$A$8:$BV$103,COLUMN(기본데이타!AG$8),0))</f>
        <v/>
      </c>
      <c r="AE18" s="1393" t="str">
        <f>IF($A18="","",VLOOKUP($A18,기본데이타!$A$8:$BV$103,COLUMN(기본데이타!AH$8),0))</f>
        <v/>
      </c>
      <c r="AF18" s="1394" t="str">
        <f>IF($A18="","",VLOOKUP($A18,기본데이타!$A$8:$BV$103,COLUMN(기본데이타!AI$8),0))</f>
        <v/>
      </c>
      <c r="AG18" s="169" t="str">
        <f>IF($A18="","",VLOOKUP($A18,기본데이타!$A$8:$BV$103,COLUMN(기본데이타!AJ$8),0))</f>
        <v/>
      </c>
      <c r="AH18" s="368" t="str">
        <f>IF($A18="","",VLOOKUP($A18,기본데이타!$A$8:$BV$103,COLUMN(기본데이타!AK$8),0))</f>
        <v/>
      </c>
      <c r="AI18" s="368" t="str">
        <f>IF($A18="","",VLOOKUP($A18,기본데이타!$A$8:$BV$103,COLUMN(기본데이타!AL$8),0))</f>
        <v/>
      </c>
      <c r="AJ18" s="368" t="str">
        <f>IF($A18="","",VLOOKUP($A18,기본데이타!$A$8:$BV$103,COLUMN(기본데이타!AM$8),0))</f>
        <v/>
      </c>
      <c r="AK18" s="368" t="str">
        <f>IF($A18="","",VLOOKUP($A18,기본데이타!$A$8:$BV$103,COLUMN(기본데이타!AN$8),0))</f>
        <v/>
      </c>
      <c r="AL18" s="368" t="str">
        <f>IF($A18="","",VLOOKUP($A18,기본데이타!$A$8:$BV$103,COLUMN(기본데이타!AO$8),0))</f>
        <v/>
      </c>
      <c r="AM18" s="368" t="str">
        <f>IF($A18="","",VLOOKUP($A18,기본데이타!$A$8:$BV$103,COLUMN(기본데이타!AP$8),0))</f>
        <v/>
      </c>
      <c r="AN18" s="368" t="str">
        <f>IF($A18="","",VLOOKUP($A18,기본데이타!$A$8:$BV$103,COLUMN(기본데이타!AQ$8),0))</f>
        <v/>
      </c>
      <c r="AO18" s="368" t="str">
        <f>IF($A18="","",VLOOKUP($A18,기본데이타!$A$8:$BV$103,COLUMN(기본데이타!AR$8),0))</f>
        <v/>
      </c>
      <c r="AP18" s="1399" t="str">
        <f>IF($A18="","",VLOOKUP($A18,기본데이타!$A$8:$BV$103,COLUMN(기본데이타!AS$8),0))</f>
        <v/>
      </c>
      <c r="AQ18" s="1399" t="str">
        <f>IF($A18="","",VLOOKUP($A18,기본데이타!$A$8:$BV$103,COLUMN(기본데이타!AT$8),0))</f>
        <v/>
      </c>
      <c r="AR18" s="1399" t="str">
        <f>IF($A18="","",VLOOKUP($A18,기본데이타!$A$8:$BV$103,COLUMN(기본데이타!AU$8),0))</f>
        <v/>
      </c>
      <c r="AS18" s="368" t="str">
        <f>IF($A18="","",VLOOKUP($A18,기본데이타!$A$8:$BV$103,COLUMN(기본데이타!AV$8),0))</f>
        <v/>
      </c>
      <c r="AT18" s="168" t="str">
        <f>IF($A18="","",VLOOKUP($A18,기본데이타!$A$8:$BV$103,COLUMN(기본데이타!AW$8),0))</f>
        <v/>
      </c>
      <c r="AU18" s="168" t="str">
        <f>IF($A18="","",VLOOKUP($A18,기본데이타!$A$8:$BV$103,COLUMN(기본데이타!AX$8),0))</f>
        <v/>
      </c>
      <c r="AV18" s="168" t="str">
        <f>IF($A18="","",VLOOKUP($A18,기본데이타!$A$8:$BV$103,COLUMN(기본데이타!AY$8),0))</f>
        <v/>
      </c>
      <c r="AW18" s="168" t="str">
        <f t="shared" si="7"/>
        <v/>
      </c>
      <c r="AX18" s="136" t="str">
        <f>IF($A18="","",VLOOKUP($A18,기본데이타!$A$8:$BV$103,COLUMN(기본데이타!BA$8),0))</f>
        <v/>
      </c>
      <c r="AY18" s="136" t="str">
        <f>IF($A18="","",VLOOKUP($A18,기본데이타!$A$8:$BV$103,COLUMN(기본데이타!BB$8),0))</f>
        <v/>
      </c>
      <c r="AZ18" s="136" t="str">
        <f>IF($A18="","",VLOOKUP($A18,기본데이타!$A$8:$BV$103,COLUMN(기본데이타!BC$8),0))</f>
        <v/>
      </c>
      <c r="BA18" s="136" t="str">
        <f>IF($A18="","",VLOOKUP($A18,기본데이타!$A$8:$BV$103,COLUMN(기본데이타!BD$8),0))</f>
        <v/>
      </c>
      <c r="BB18" s="136" t="str">
        <f>IF($A18="","",VLOOKUP($A18,기본데이타!$A$8:$BV$103,COLUMN(기본데이타!BE$8),0))</f>
        <v/>
      </c>
      <c r="BC18" s="136" t="str">
        <f>IF($A18="","",VLOOKUP($A18,기본데이타!$A$8:$BV$103,COLUMN(기본데이타!BF$8),0))</f>
        <v/>
      </c>
      <c r="BD18" s="136" t="str">
        <f>IF($A18="","",VLOOKUP($A18,기본데이타!$A$8:$BV$103,COLUMN(기본데이타!BG$8),0))</f>
        <v/>
      </c>
      <c r="BE18" s="136" t="str">
        <f>IF($A18="","",VLOOKUP($A18,기본데이타!$A$8:$BV$103,COLUMN(기본데이타!BH$8),0))</f>
        <v/>
      </c>
      <c r="BF18" s="136" t="str">
        <f>IF($A18="","",VLOOKUP($A18,기본데이타!$A$8:$BV$103,COLUMN(기본데이타!BI$8),0))</f>
        <v/>
      </c>
      <c r="BG18" s="136" t="str">
        <f>IF($A18="","",VLOOKUP($A18,기본데이타!$A$8:$BV$103,COLUMN(기본데이타!BJ$8),0))</f>
        <v/>
      </c>
      <c r="BH18" s="136" t="str">
        <f>IF($A18="","",VLOOKUP($A18,기본데이타!$A$8:$BV$103,COLUMN(기본데이타!BK$8),0))</f>
        <v/>
      </c>
      <c r="BI18" s="136" t="str">
        <f>IF($A18="","",VLOOKUP($A18,기본데이타!$A$8:$BV$103,COLUMN(기본데이타!BL$8),0))</f>
        <v/>
      </c>
      <c r="BJ18" s="136" t="str">
        <f>IF($A18="","",VLOOKUP($A18,기본데이타!$A$8:$BV$103,COLUMN(기본데이타!BM$8),0))</f>
        <v/>
      </c>
      <c r="BK18" s="136" t="str">
        <f>IF($A18="","",VLOOKUP($A18,기본데이타!$A$8:$BV$103,COLUMN(기본데이타!BN$8),0))</f>
        <v/>
      </c>
      <c r="BL18" s="136" t="str">
        <f>IF($A18="","",VLOOKUP($A18,기본데이타!$A$8:$BV$103,COLUMN(기본데이타!BO$8),0))</f>
        <v/>
      </c>
      <c r="BM18" s="136" t="str">
        <f>IF($A18="","",VLOOKUP($A18,기본데이타!$A$8:$BV$103,COLUMN(기본데이타!BP$8),0))</f>
        <v/>
      </c>
      <c r="BN18" s="136" t="str">
        <f>IF($A18="","",VLOOKUP($A18,기본데이타!$A$8:$BV$103,COLUMN(기본데이타!BQ$8),0))</f>
        <v/>
      </c>
      <c r="BO18" s="136" t="str">
        <f>IF($A18="","",VLOOKUP($A18,기본데이타!$A$8:$BV$103,COLUMN(기본데이타!BR$8),0))</f>
        <v/>
      </c>
      <c r="BP18" s="136" t="str">
        <f>IF($A18="","",VLOOKUP($A18,기본데이타!$A$8:$BV$103,COLUMN(기본데이타!BS$8),0))</f>
        <v/>
      </c>
      <c r="BQ18" s="136" t="str">
        <f>IF($A18="","",VLOOKUP($A18,기본데이타!$A$8:$BV$103,COLUMN(기본데이타!BT$8),0))</f>
        <v/>
      </c>
      <c r="BR18" s="136" t="str">
        <f>IF($A18="","",VLOOKUP($A18,기본데이타!$A$8:$BV$103,COLUMN(기본데이타!BU$8),0))</f>
        <v/>
      </c>
      <c r="BS18" s="136" t="str">
        <f>IF($A18="","",VLOOKUP($A18,기본데이타!$A$8:$BV$103,COLUMN(기본데이타!BV$8),0))</f>
        <v/>
      </c>
      <c r="BT18" s="801">
        <f t="shared" si="8"/>
        <v>0</v>
      </c>
      <c r="BU18" s="242"/>
    </row>
    <row r="19" spans="1:73" s="7" customFormat="1" ht="73.5" customHeight="1">
      <c r="A19" s="171"/>
      <c r="B19" s="163"/>
      <c r="C19" s="164" t="str">
        <f>IF($A19="","",VLOOKUP($A19,기본데이타!$A$8:$BV$103,COLUMN(기본데이타!F$8),0))</f>
        <v/>
      </c>
      <c r="D19" s="165" t="str">
        <f>IF($A19="","",VLOOKUP($A19,기본데이타!$A$8:$BV$103,COLUMN(기본데이타!G$8),0))</f>
        <v/>
      </c>
      <c r="E19" s="166" t="str">
        <f>IF($A19="","",VLOOKUP($A19,기본데이타!$A$8:$BV$103,COLUMN(기본데이타!H$8),0))</f>
        <v/>
      </c>
      <c r="F19" s="166" t="str">
        <f>IF($A19="","",VLOOKUP($A19,기본데이타!$A$8:$BV$103,COLUMN(기본데이타!I$8),0))</f>
        <v/>
      </c>
      <c r="G19" s="166" t="str">
        <f>IF($A19="","",VLOOKUP($A19,기본데이타!$A$8:$BV$103,COLUMN(기본데이타!J$8),0))</f>
        <v/>
      </c>
      <c r="H19" s="167" t="str">
        <f>IF($A19="","",VLOOKUP($A19,기본데이타!$A$8:$BV$103,COLUMN(기본데이타!K$8),0))</f>
        <v/>
      </c>
      <c r="I19" s="167" t="str">
        <f>IF($A19="","",VLOOKUP($A19,기본데이타!$A$8:$BV$103,COLUMN(기본데이타!L$8),0))</f>
        <v/>
      </c>
      <c r="J19" s="167" t="str">
        <f>IF($A19="","",VLOOKUP($A19,기본데이타!$A$8:$BV$103,COLUMN(기본데이타!M$8),0))</f>
        <v/>
      </c>
      <c r="K19" s="168" t="str">
        <f>IF($A19="","",VLOOKUP($A19,기본데이타!$A$8:$BV$103,COLUMN(기본데이타!N$8),0))</f>
        <v/>
      </c>
      <c r="L19" s="167" t="str">
        <f>IF($A19="","",VLOOKUP($A19,기본데이타!$A$8:$BV$103,COLUMN(기본데이타!O$8),0))</f>
        <v/>
      </c>
      <c r="M19" s="168" t="str">
        <f>IF($A19="","",VLOOKUP($A19,기본데이타!$A$8:$BV$103,COLUMN(기본데이타!P$8),0))</f>
        <v/>
      </c>
      <c r="N19" s="168" t="str">
        <f>IF($A19="","",VLOOKUP($A19,기본데이타!$A$8:$BV$103,COLUMN(기본데이타!Q$8),0))</f>
        <v/>
      </c>
      <c r="O19" s="168" t="str">
        <f>IF($A19="","",VLOOKUP($A19,기본데이타!$A$8:$BV$103,COLUMN(기본데이타!R$8),0))</f>
        <v/>
      </c>
      <c r="P19" s="168" t="str">
        <f>IF($A19="","",VLOOKUP($A19,기본데이타!$A$8:$BV$103,COLUMN(기본데이타!S$8),0))</f>
        <v/>
      </c>
      <c r="Q19" s="168" t="str">
        <f>IF($A19="","",VLOOKUP($A19,기본데이타!$A$8:$BV$103,COLUMN(기본데이타!T$8),0))</f>
        <v/>
      </c>
      <c r="R19" s="168" t="str">
        <f>IF($A19="","",VLOOKUP($A19,기본데이타!$A$8:$BV$103,COLUMN(기본데이타!U$8),0))</f>
        <v/>
      </c>
      <c r="S19" s="168" t="str">
        <f>IF($A19="","",VLOOKUP($A19,기본데이타!$A$8:$BV$103,COLUMN(기본데이타!V$8),0))</f>
        <v/>
      </c>
      <c r="T19" s="168" t="str">
        <f>IF($A19="","",VLOOKUP($A19,기본데이타!$A$8:$BV$103,COLUMN(기본데이타!W$8),0))</f>
        <v/>
      </c>
      <c r="U19" s="168" t="str">
        <f>IF($A19="","",VLOOKUP($A19,기본데이타!$A$8:$BV$103,COLUMN(기본데이타!X$8),0))</f>
        <v/>
      </c>
      <c r="V19" s="168" t="str">
        <f>IF($A19="","",VLOOKUP($A19,기본데이타!$A$8:$BV$103,COLUMN(기본데이타!Y$8),0))</f>
        <v/>
      </c>
      <c r="W19" s="168" t="str">
        <f>IF($A19="","",VLOOKUP($A19,기본데이타!$A$8:$BV$103,COLUMN(기본데이타!Z$8),0))</f>
        <v/>
      </c>
      <c r="X19" s="168" t="str">
        <f>IF($A19="","",VLOOKUP($A19,기본데이타!$A$8:$BV$103,COLUMN(기본데이타!AA$8),0))</f>
        <v/>
      </c>
      <c r="Y19" s="168" t="str">
        <f>IF($A19="","",VLOOKUP($A19,기본데이타!$A$8:$BV$103,COLUMN(기본데이타!AB$8),0))</f>
        <v/>
      </c>
      <c r="Z19" s="167" t="str">
        <f>IF($A19="","",VLOOKUP($A19,기본데이타!$A$8:$BV$103,COLUMN(기본데이타!AC$8),0))</f>
        <v/>
      </c>
      <c r="AA19" s="1393" t="str">
        <f>IF($A19="","",VLOOKUP($A19,기본데이타!$A$8:$BV$103,COLUMN(기본데이타!AD$8),0))</f>
        <v/>
      </c>
      <c r="AB19" s="1394" t="str">
        <f>IF($A19="","",VLOOKUP($A19,기본데이타!$A$8:$BV$103,COLUMN(기본데이타!AE$8),0))</f>
        <v/>
      </c>
      <c r="AC19" s="1393" t="str">
        <f>IF($A19="","",VLOOKUP($A19,기본데이타!$A$8:$BV$103,COLUMN(기본데이타!AF$8),0))</f>
        <v/>
      </c>
      <c r="AD19" s="1394" t="str">
        <f>IF($A19="","",VLOOKUP($A19,기본데이타!$A$8:$BV$103,COLUMN(기본데이타!AG$8),0))</f>
        <v/>
      </c>
      <c r="AE19" s="1393" t="str">
        <f>IF($A19="","",VLOOKUP($A19,기본데이타!$A$8:$BV$103,COLUMN(기본데이타!AH$8),0))</f>
        <v/>
      </c>
      <c r="AF19" s="1394" t="str">
        <f>IF($A19="","",VLOOKUP($A19,기본데이타!$A$8:$BV$103,COLUMN(기본데이타!AI$8),0))</f>
        <v/>
      </c>
      <c r="AG19" s="169" t="str">
        <f>IF($A19="","",VLOOKUP($A19,기본데이타!$A$8:$BV$103,COLUMN(기본데이타!AJ$8),0))</f>
        <v/>
      </c>
      <c r="AH19" s="368" t="str">
        <f>IF($A19="","",VLOOKUP($A19,기본데이타!$A$8:$BV$103,COLUMN(기본데이타!AK$8),0))</f>
        <v/>
      </c>
      <c r="AI19" s="368" t="str">
        <f>IF($A19="","",VLOOKUP($A19,기본데이타!$A$8:$BV$103,COLUMN(기본데이타!AL$8),0))</f>
        <v/>
      </c>
      <c r="AJ19" s="368" t="str">
        <f>IF($A19="","",VLOOKUP($A19,기본데이타!$A$8:$BV$103,COLUMN(기본데이타!AM$8),0))</f>
        <v/>
      </c>
      <c r="AK19" s="368" t="str">
        <f>IF($A19="","",VLOOKUP($A19,기본데이타!$A$8:$BV$103,COLUMN(기본데이타!AN$8),0))</f>
        <v/>
      </c>
      <c r="AL19" s="368" t="str">
        <f>IF($A19="","",VLOOKUP($A19,기본데이타!$A$8:$BV$103,COLUMN(기본데이타!AO$8),0))</f>
        <v/>
      </c>
      <c r="AM19" s="368" t="str">
        <f>IF($A19="","",VLOOKUP($A19,기본데이타!$A$8:$BV$103,COLUMN(기본데이타!AP$8),0))</f>
        <v/>
      </c>
      <c r="AN19" s="368" t="str">
        <f>IF($A19="","",VLOOKUP($A19,기본데이타!$A$8:$BV$103,COLUMN(기본데이타!AQ$8),0))</f>
        <v/>
      </c>
      <c r="AO19" s="368" t="str">
        <f>IF($A19="","",VLOOKUP($A19,기본데이타!$A$8:$BV$103,COLUMN(기본데이타!AR$8),0))</f>
        <v/>
      </c>
      <c r="AP19" s="1399" t="str">
        <f>IF($A19="","",VLOOKUP($A19,기본데이타!$A$8:$BV$103,COLUMN(기본데이타!AS$8),0))</f>
        <v/>
      </c>
      <c r="AQ19" s="1399" t="str">
        <f>IF($A19="","",VLOOKUP($A19,기본데이타!$A$8:$BV$103,COLUMN(기본데이타!AT$8),0))</f>
        <v/>
      </c>
      <c r="AR19" s="1399" t="str">
        <f>IF($A19="","",VLOOKUP($A19,기본데이타!$A$8:$BV$103,COLUMN(기본데이타!AU$8),0))</f>
        <v/>
      </c>
      <c r="AS19" s="368" t="str">
        <f>IF($A19="","",VLOOKUP($A19,기본데이타!$A$8:$BV$103,COLUMN(기본데이타!AV$8),0))</f>
        <v/>
      </c>
      <c r="AT19" s="10" t="str">
        <f>IF($A19="","",VLOOKUP($A19,기본데이타!$A$8:$BV$103,COLUMN(기본데이타!AW$8),0))</f>
        <v/>
      </c>
      <c r="AU19" s="10" t="str">
        <f>IF($A19="","",VLOOKUP($A19,기본데이타!$A$8:$BV$103,COLUMN(기본데이타!AX$8),0))</f>
        <v/>
      </c>
      <c r="AV19" s="10" t="str">
        <f>IF($A19="","",VLOOKUP($A19,기본데이타!$A$8:$BV$103,COLUMN(기본데이타!AY$8),0))</f>
        <v/>
      </c>
      <c r="AW19" s="10" t="str">
        <f t="shared" si="7"/>
        <v/>
      </c>
      <c r="AX19" s="136" t="str">
        <f>IF($A19="","",VLOOKUP($A19,기본데이타!$A$8:$BV$103,COLUMN(기본데이타!BA$8),0))</f>
        <v/>
      </c>
      <c r="AY19" s="136" t="str">
        <f>IF($A19="","",VLOOKUP($A19,기본데이타!$A$8:$BV$103,COLUMN(기본데이타!BB$8),0))</f>
        <v/>
      </c>
      <c r="AZ19" s="136" t="str">
        <f>IF($A19="","",VLOOKUP($A19,기본데이타!$A$8:$BV$103,COLUMN(기본데이타!BC$8),0))</f>
        <v/>
      </c>
      <c r="BA19" s="136" t="str">
        <f>IF($A19="","",VLOOKUP($A19,기본데이타!$A$8:$BV$103,COLUMN(기본데이타!BD$8),0))</f>
        <v/>
      </c>
      <c r="BB19" s="136" t="str">
        <f>IF($A19="","",VLOOKUP($A19,기본데이타!$A$8:$BV$103,COLUMN(기본데이타!BE$8),0))</f>
        <v/>
      </c>
      <c r="BC19" s="136" t="str">
        <f>IF($A19="","",VLOOKUP($A19,기본데이타!$A$8:$BV$103,COLUMN(기본데이타!BF$8),0))</f>
        <v/>
      </c>
      <c r="BD19" s="136" t="str">
        <f>IF($A19="","",VLOOKUP($A19,기본데이타!$A$8:$BV$103,COLUMN(기본데이타!BG$8),0))</f>
        <v/>
      </c>
      <c r="BE19" s="136" t="str">
        <f>IF($A19="","",VLOOKUP($A19,기본데이타!$A$8:$BV$103,COLUMN(기본데이타!BH$8),0))</f>
        <v/>
      </c>
      <c r="BF19" s="136" t="str">
        <f>IF($A19="","",VLOOKUP($A19,기본데이타!$A$8:$BV$103,COLUMN(기본데이타!BI$8),0))</f>
        <v/>
      </c>
      <c r="BG19" s="136" t="str">
        <f>IF($A19="","",VLOOKUP($A19,기본데이타!$A$8:$BV$103,COLUMN(기본데이타!BJ$8),0))</f>
        <v/>
      </c>
      <c r="BH19" s="136" t="str">
        <f>IF($A19="","",VLOOKUP($A19,기본데이타!$A$8:$BV$103,COLUMN(기본데이타!BK$8),0))</f>
        <v/>
      </c>
      <c r="BI19" s="136" t="str">
        <f>IF($A19="","",VLOOKUP($A19,기본데이타!$A$8:$BV$103,COLUMN(기본데이타!BL$8),0))</f>
        <v/>
      </c>
      <c r="BJ19" s="136" t="str">
        <f>IF($A19="","",VLOOKUP($A19,기본데이타!$A$8:$BV$103,COLUMN(기본데이타!BM$8),0))</f>
        <v/>
      </c>
      <c r="BK19" s="136" t="str">
        <f>IF($A19="","",VLOOKUP($A19,기본데이타!$A$8:$BV$103,COLUMN(기본데이타!BN$8),0))</f>
        <v/>
      </c>
      <c r="BL19" s="136" t="str">
        <f>IF($A19="","",VLOOKUP($A19,기본데이타!$A$8:$BV$103,COLUMN(기본데이타!BO$8),0))</f>
        <v/>
      </c>
      <c r="BM19" s="136" t="str">
        <f>IF($A19="","",VLOOKUP($A19,기본데이타!$A$8:$BV$103,COLUMN(기본데이타!BP$8),0))</f>
        <v/>
      </c>
      <c r="BN19" s="136" t="str">
        <f>IF($A19="","",VLOOKUP($A19,기본데이타!$A$8:$BV$103,COLUMN(기본데이타!BQ$8),0))</f>
        <v/>
      </c>
      <c r="BO19" s="136" t="str">
        <f>IF($A19="","",VLOOKUP($A19,기본데이타!$A$8:$BV$103,COLUMN(기본데이타!BR$8),0))</f>
        <v/>
      </c>
      <c r="BP19" s="136" t="str">
        <f>IF($A19="","",VLOOKUP($A19,기본데이타!$A$8:$BV$103,COLUMN(기본데이타!BS$8),0))</f>
        <v/>
      </c>
      <c r="BQ19" s="136" t="str">
        <f>IF($A19="","",VLOOKUP($A19,기본데이타!$A$8:$BV$103,COLUMN(기본데이타!BT$8),0))</f>
        <v/>
      </c>
      <c r="BR19" s="136" t="str">
        <f>IF($A19="","",VLOOKUP($A19,기본데이타!$A$8:$BV$103,COLUMN(기본데이타!BU$8),0))</f>
        <v/>
      </c>
      <c r="BS19" s="136" t="str">
        <f>IF($A19="","",VLOOKUP($A19,기본데이타!$A$8:$BV$103,COLUMN(기본데이타!BV$8),0))</f>
        <v/>
      </c>
      <c r="BT19" s="801">
        <f t="shared" si="8"/>
        <v>0</v>
      </c>
      <c r="BU19" s="242"/>
    </row>
    <row r="20" spans="1:73" s="7" customFormat="1" ht="73.5" customHeight="1">
      <c r="A20" s="171"/>
      <c r="B20" s="163"/>
      <c r="C20" s="164" t="str">
        <f>IF($A20="","",VLOOKUP($A20,기본데이타!$A$8:$BV$103,COLUMN(기본데이타!F$8),0))</f>
        <v/>
      </c>
      <c r="D20" s="165" t="str">
        <f>IF($A20="","",VLOOKUP($A20,기본데이타!$A$8:$BV$103,COLUMN(기본데이타!G$8),0))</f>
        <v/>
      </c>
      <c r="E20" s="166" t="str">
        <f>IF($A20="","",VLOOKUP($A20,기본데이타!$A$8:$BV$103,COLUMN(기본데이타!H$8),0))</f>
        <v/>
      </c>
      <c r="F20" s="166" t="str">
        <f>IF($A20="","",VLOOKUP($A20,기본데이타!$A$8:$BV$103,COLUMN(기본데이타!I$8),0))</f>
        <v/>
      </c>
      <c r="G20" s="166" t="str">
        <f>IF($A20="","",VLOOKUP($A20,기본데이타!$A$8:$BV$103,COLUMN(기본데이타!J$8),0))</f>
        <v/>
      </c>
      <c r="H20" s="167" t="str">
        <f>IF($A20="","",VLOOKUP($A20,기본데이타!$A$8:$BV$103,COLUMN(기본데이타!K$8),0))</f>
        <v/>
      </c>
      <c r="I20" s="167" t="str">
        <f>IF($A20="","",VLOOKUP($A20,기본데이타!$A$8:$BV$103,COLUMN(기본데이타!L$8),0))</f>
        <v/>
      </c>
      <c r="J20" s="167" t="str">
        <f>IF($A20="","",VLOOKUP($A20,기본데이타!$A$8:$BV$103,COLUMN(기본데이타!M$8),0))</f>
        <v/>
      </c>
      <c r="K20" s="168" t="str">
        <f>IF($A20="","",VLOOKUP($A20,기본데이타!$A$8:$BV$103,COLUMN(기본데이타!N$8),0))</f>
        <v/>
      </c>
      <c r="L20" s="167" t="str">
        <f>IF($A20="","",VLOOKUP($A20,기본데이타!$A$8:$BV$103,COLUMN(기본데이타!O$8),0))</f>
        <v/>
      </c>
      <c r="M20" s="168" t="str">
        <f>IF($A20="","",VLOOKUP($A20,기본데이타!$A$8:$BV$103,COLUMN(기본데이타!P$8),0))</f>
        <v/>
      </c>
      <c r="N20" s="168" t="str">
        <f>IF($A20="","",VLOOKUP($A20,기본데이타!$A$8:$BV$103,COLUMN(기본데이타!Q$8),0))</f>
        <v/>
      </c>
      <c r="O20" s="168" t="str">
        <f>IF($A20="","",VLOOKUP($A20,기본데이타!$A$8:$BV$103,COLUMN(기본데이타!R$8),0))</f>
        <v/>
      </c>
      <c r="P20" s="168" t="str">
        <f>IF($A20="","",VLOOKUP($A20,기본데이타!$A$8:$BV$103,COLUMN(기본데이타!S$8),0))</f>
        <v/>
      </c>
      <c r="Q20" s="168" t="str">
        <f>IF($A20="","",VLOOKUP($A20,기본데이타!$A$8:$BV$103,COLUMN(기본데이타!T$8),0))</f>
        <v/>
      </c>
      <c r="R20" s="168" t="str">
        <f>IF($A20="","",VLOOKUP($A20,기본데이타!$A$8:$BV$103,COLUMN(기본데이타!U$8),0))</f>
        <v/>
      </c>
      <c r="S20" s="168" t="str">
        <f>IF($A20="","",VLOOKUP($A20,기본데이타!$A$8:$BV$103,COLUMN(기본데이타!V$8),0))</f>
        <v/>
      </c>
      <c r="T20" s="168" t="str">
        <f>IF($A20="","",VLOOKUP($A20,기본데이타!$A$8:$BV$103,COLUMN(기본데이타!W$8),0))</f>
        <v/>
      </c>
      <c r="U20" s="168" t="str">
        <f>IF($A20="","",VLOOKUP($A20,기본데이타!$A$8:$BV$103,COLUMN(기본데이타!X$8),0))</f>
        <v/>
      </c>
      <c r="V20" s="168" t="str">
        <f>IF($A20="","",VLOOKUP($A20,기본데이타!$A$8:$BV$103,COLUMN(기본데이타!Y$8),0))</f>
        <v/>
      </c>
      <c r="W20" s="168" t="str">
        <f>IF($A20="","",VLOOKUP($A20,기본데이타!$A$8:$BV$103,COLUMN(기본데이타!Z$8),0))</f>
        <v/>
      </c>
      <c r="X20" s="168" t="str">
        <f>IF($A20="","",VLOOKUP($A20,기본데이타!$A$8:$BV$103,COLUMN(기본데이타!AA$8),0))</f>
        <v/>
      </c>
      <c r="Y20" s="168" t="str">
        <f>IF($A20="","",VLOOKUP($A20,기본데이타!$A$8:$BV$103,COLUMN(기본데이타!AB$8),0))</f>
        <v/>
      </c>
      <c r="Z20" s="167" t="str">
        <f>IF($A20="","",VLOOKUP($A20,기본데이타!$A$8:$BV$103,COLUMN(기본데이타!AC$8),0))</f>
        <v/>
      </c>
      <c r="AA20" s="1393" t="str">
        <f>IF($A20="","",VLOOKUP($A20,기본데이타!$A$8:$BV$103,COLUMN(기본데이타!AD$8),0))</f>
        <v/>
      </c>
      <c r="AB20" s="1394" t="str">
        <f>IF($A20="","",VLOOKUP($A20,기본데이타!$A$8:$BV$103,COLUMN(기본데이타!AE$8),0))</f>
        <v/>
      </c>
      <c r="AC20" s="1393" t="str">
        <f>IF($A20="","",VLOOKUP($A20,기본데이타!$A$8:$BV$103,COLUMN(기본데이타!AF$8),0))</f>
        <v/>
      </c>
      <c r="AD20" s="1394" t="str">
        <f>IF($A20="","",VLOOKUP($A20,기본데이타!$A$8:$BV$103,COLUMN(기본데이타!AG$8),0))</f>
        <v/>
      </c>
      <c r="AE20" s="1393" t="str">
        <f>IF($A20="","",VLOOKUP($A20,기본데이타!$A$8:$BV$103,COLUMN(기본데이타!AH$8),0))</f>
        <v/>
      </c>
      <c r="AF20" s="1394" t="str">
        <f>IF($A20="","",VLOOKUP($A20,기본데이타!$A$8:$BV$103,COLUMN(기본데이타!AI$8),0))</f>
        <v/>
      </c>
      <c r="AG20" s="169" t="str">
        <f>IF($A20="","",VLOOKUP($A20,기본데이타!$A$8:$BV$103,COLUMN(기본데이타!AJ$8),0))</f>
        <v/>
      </c>
      <c r="AH20" s="368" t="str">
        <f>IF($A20="","",VLOOKUP($A20,기본데이타!$A$8:$BV$103,COLUMN(기본데이타!AK$8),0))</f>
        <v/>
      </c>
      <c r="AI20" s="368" t="str">
        <f>IF($A20="","",VLOOKUP($A20,기본데이타!$A$8:$BV$103,COLUMN(기본데이타!AL$8),0))</f>
        <v/>
      </c>
      <c r="AJ20" s="368" t="str">
        <f>IF($A20="","",VLOOKUP($A20,기본데이타!$A$8:$BV$103,COLUMN(기본데이타!AM$8),0))</f>
        <v/>
      </c>
      <c r="AK20" s="368" t="str">
        <f>IF($A20="","",VLOOKUP($A20,기본데이타!$A$8:$BV$103,COLUMN(기본데이타!AN$8),0))</f>
        <v/>
      </c>
      <c r="AL20" s="368" t="str">
        <f>IF($A20="","",VLOOKUP($A20,기본데이타!$A$8:$BV$103,COLUMN(기본데이타!AO$8),0))</f>
        <v/>
      </c>
      <c r="AM20" s="368" t="str">
        <f>IF($A20="","",VLOOKUP($A20,기본데이타!$A$8:$BV$103,COLUMN(기본데이타!AP$8),0))</f>
        <v/>
      </c>
      <c r="AN20" s="368" t="str">
        <f>IF($A20="","",VLOOKUP($A20,기본데이타!$A$8:$BV$103,COLUMN(기본데이타!AQ$8),0))</f>
        <v/>
      </c>
      <c r="AO20" s="368" t="str">
        <f>IF($A20="","",VLOOKUP($A20,기본데이타!$A$8:$BV$103,COLUMN(기본데이타!AR$8),0))</f>
        <v/>
      </c>
      <c r="AP20" s="1399" t="str">
        <f>IF($A20="","",VLOOKUP($A20,기본데이타!$A$8:$BV$103,COLUMN(기본데이타!AS$8),0))</f>
        <v/>
      </c>
      <c r="AQ20" s="1399" t="str">
        <f>IF($A20="","",VLOOKUP($A20,기본데이타!$A$8:$BV$103,COLUMN(기본데이타!AT$8),0))</f>
        <v/>
      </c>
      <c r="AR20" s="1399" t="str">
        <f>IF($A20="","",VLOOKUP($A20,기본데이타!$A$8:$BV$103,COLUMN(기본데이타!AU$8),0))</f>
        <v/>
      </c>
      <c r="AS20" s="368" t="str">
        <f>IF($A20="","",VLOOKUP($A20,기본데이타!$A$8:$BV$103,COLUMN(기본데이타!AV$8),0))</f>
        <v/>
      </c>
      <c r="AT20" s="10" t="str">
        <f>IF($A20="","",VLOOKUP($A20,기본데이타!$A$8:$BV$103,COLUMN(기본데이타!AW$8),0))</f>
        <v/>
      </c>
      <c r="AU20" s="10" t="str">
        <f>IF($A20="","",VLOOKUP($A20,기본데이타!$A$8:$BV$103,COLUMN(기본데이타!AX$8),0))</f>
        <v/>
      </c>
      <c r="AV20" s="10" t="str">
        <f>IF($A20="","",VLOOKUP($A20,기본데이타!$A$8:$BV$103,COLUMN(기본데이타!AY$8),0))</f>
        <v/>
      </c>
      <c r="AW20" s="10" t="str">
        <f t="shared" si="7"/>
        <v/>
      </c>
      <c r="AX20" s="136" t="str">
        <f>IF($A20="","",VLOOKUP($A20,기본데이타!$A$8:$BV$103,COLUMN(기본데이타!BA$8),0))</f>
        <v/>
      </c>
      <c r="AY20" s="136" t="str">
        <f>IF($A20="","",VLOOKUP($A20,기본데이타!$A$8:$BV$103,COLUMN(기본데이타!BB$8),0))</f>
        <v/>
      </c>
      <c r="AZ20" s="136" t="str">
        <f>IF($A20="","",VLOOKUP($A20,기본데이타!$A$8:$BV$103,COLUMN(기본데이타!BC$8),0))</f>
        <v/>
      </c>
      <c r="BA20" s="136" t="str">
        <f>IF($A20="","",VLOOKUP($A20,기본데이타!$A$8:$BV$103,COLUMN(기본데이타!BD$8),0))</f>
        <v/>
      </c>
      <c r="BB20" s="136" t="str">
        <f>IF($A20="","",VLOOKUP($A20,기본데이타!$A$8:$BV$103,COLUMN(기본데이타!BE$8),0))</f>
        <v/>
      </c>
      <c r="BC20" s="136" t="str">
        <f>IF($A20="","",VLOOKUP($A20,기본데이타!$A$8:$BV$103,COLUMN(기본데이타!BF$8),0))</f>
        <v/>
      </c>
      <c r="BD20" s="136" t="str">
        <f>IF($A20="","",VLOOKUP($A20,기본데이타!$A$8:$BV$103,COLUMN(기본데이타!BG$8),0))</f>
        <v/>
      </c>
      <c r="BE20" s="136" t="str">
        <f>IF($A20="","",VLOOKUP($A20,기본데이타!$A$8:$BV$103,COLUMN(기본데이타!BH$8),0))</f>
        <v/>
      </c>
      <c r="BF20" s="136" t="str">
        <f>IF($A20="","",VLOOKUP($A20,기본데이타!$A$8:$BV$103,COLUMN(기본데이타!BI$8),0))</f>
        <v/>
      </c>
      <c r="BG20" s="136" t="str">
        <f>IF($A20="","",VLOOKUP($A20,기본데이타!$A$8:$BV$103,COLUMN(기본데이타!BJ$8),0))</f>
        <v/>
      </c>
      <c r="BH20" s="136" t="str">
        <f>IF($A20="","",VLOOKUP($A20,기본데이타!$A$8:$BV$103,COLUMN(기본데이타!BK$8),0))</f>
        <v/>
      </c>
      <c r="BI20" s="136" t="str">
        <f>IF($A20="","",VLOOKUP($A20,기본데이타!$A$8:$BV$103,COLUMN(기본데이타!BL$8),0))</f>
        <v/>
      </c>
      <c r="BJ20" s="136" t="str">
        <f>IF($A20="","",VLOOKUP($A20,기본데이타!$A$8:$BV$103,COLUMN(기본데이타!BM$8),0))</f>
        <v/>
      </c>
      <c r="BK20" s="136" t="str">
        <f>IF($A20="","",VLOOKUP($A20,기본데이타!$A$8:$BV$103,COLUMN(기본데이타!BN$8),0))</f>
        <v/>
      </c>
      <c r="BL20" s="136" t="str">
        <f>IF($A20="","",VLOOKUP($A20,기본데이타!$A$8:$BV$103,COLUMN(기본데이타!BO$8),0))</f>
        <v/>
      </c>
      <c r="BM20" s="136" t="str">
        <f>IF($A20="","",VLOOKUP($A20,기본데이타!$A$8:$BV$103,COLUMN(기본데이타!BP$8),0))</f>
        <v/>
      </c>
      <c r="BN20" s="136" t="str">
        <f>IF($A20="","",VLOOKUP($A20,기본데이타!$A$8:$BV$103,COLUMN(기본데이타!BQ$8),0))</f>
        <v/>
      </c>
      <c r="BO20" s="136" t="str">
        <f>IF($A20="","",VLOOKUP($A20,기본데이타!$A$8:$BV$103,COLUMN(기본데이타!BR$8),0))</f>
        <v/>
      </c>
      <c r="BP20" s="136" t="str">
        <f>IF($A20="","",VLOOKUP($A20,기본데이타!$A$8:$BV$103,COLUMN(기본데이타!BS$8),0))</f>
        <v/>
      </c>
      <c r="BQ20" s="136" t="str">
        <f>IF($A20="","",VLOOKUP($A20,기본데이타!$A$8:$BV$103,COLUMN(기본데이타!BT$8),0))</f>
        <v/>
      </c>
      <c r="BR20" s="136" t="str">
        <f>IF($A20="","",VLOOKUP($A20,기본데이타!$A$8:$BV$103,COLUMN(기본데이타!BU$8),0))</f>
        <v/>
      </c>
      <c r="BS20" s="136" t="str">
        <f>IF($A20="","",VLOOKUP($A20,기본데이타!$A$8:$BV$103,COLUMN(기본데이타!BV$8),0))</f>
        <v/>
      </c>
      <c r="BT20" s="801">
        <f t="shared" si="8"/>
        <v>0</v>
      </c>
      <c r="BU20" s="242"/>
    </row>
    <row r="21" spans="1:73" s="7" customFormat="1" ht="73.5" customHeight="1">
      <c r="A21" s="171"/>
      <c r="B21" s="163"/>
      <c r="C21" s="164" t="str">
        <f>IF($A21="","",VLOOKUP($A21,기본데이타!$A$8:$BV$103,COLUMN(기본데이타!F$8),0))</f>
        <v/>
      </c>
      <c r="D21" s="165" t="str">
        <f>IF($A21="","",VLOOKUP($A21,기본데이타!$A$8:$BV$103,COLUMN(기본데이타!G$8),0))</f>
        <v/>
      </c>
      <c r="E21" s="166" t="str">
        <f>IF($A21="","",VLOOKUP($A21,기본데이타!$A$8:$BV$103,COLUMN(기본데이타!H$8),0))</f>
        <v/>
      </c>
      <c r="F21" s="166" t="str">
        <f>IF($A21="","",VLOOKUP($A21,기본데이타!$A$8:$BV$103,COLUMN(기본데이타!I$8),0))</f>
        <v/>
      </c>
      <c r="G21" s="166" t="str">
        <f>IF($A21="","",VLOOKUP($A21,기본데이타!$A$8:$BV$103,COLUMN(기본데이타!J$8),0))</f>
        <v/>
      </c>
      <c r="H21" s="167" t="str">
        <f>IF($A21="","",VLOOKUP($A21,기본데이타!$A$8:$BV$103,COLUMN(기본데이타!K$8),0))</f>
        <v/>
      </c>
      <c r="I21" s="167" t="str">
        <f>IF($A21="","",VLOOKUP($A21,기본데이타!$A$8:$BV$103,COLUMN(기본데이타!L$8),0))</f>
        <v/>
      </c>
      <c r="J21" s="167" t="str">
        <f>IF($A21="","",VLOOKUP($A21,기본데이타!$A$8:$BV$103,COLUMN(기본데이타!M$8),0))</f>
        <v/>
      </c>
      <c r="K21" s="168" t="str">
        <f>IF($A21="","",VLOOKUP($A21,기본데이타!$A$8:$BV$103,COLUMN(기본데이타!N$8),0))</f>
        <v/>
      </c>
      <c r="L21" s="167" t="str">
        <f>IF($A21="","",VLOOKUP($A21,기본데이타!$A$8:$BV$103,COLUMN(기본데이타!O$8),0))</f>
        <v/>
      </c>
      <c r="M21" s="168" t="str">
        <f>IF($A21="","",VLOOKUP($A21,기본데이타!$A$8:$BV$103,COLUMN(기본데이타!P$8),0))</f>
        <v/>
      </c>
      <c r="N21" s="168" t="str">
        <f>IF($A21="","",VLOOKUP($A21,기본데이타!$A$8:$BV$103,COLUMN(기본데이타!Q$8),0))</f>
        <v/>
      </c>
      <c r="O21" s="168" t="str">
        <f>IF($A21="","",VLOOKUP($A21,기본데이타!$A$8:$BV$103,COLUMN(기본데이타!R$8),0))</f>
        <v/>
      </c>
      <c r="P21" s="168" t="str">
        <f>IF($A21="","",VLOOKUP($A21,기본데이타!$A$8:$BV$103,COLUMN(기본데이타!S$8),0))</f>
        <v/>
      </c>
      <c r="Q21" s="168" t="str">
        <f>IF($A21="","",VLOOKUP($A21,기본데이타!$A$8:$BV$103,COLUMN(기본데이타!T$8),0))</f>
        <v/>
      </c>
      <c r="R21" s="168" t="str">
        <f>IF($A21="","",VLOOKUP($A21,기본데이타!$A$8:$BV$103,COLUMN(기본데이타!U$8),0))</f>
        <v/>
      </c>
      <c r="S21" s="168" t="str">
        <f>IF($A21="","",VLOOKUP($A21,기본데이타!$A$8:$BV$103,COLUMN(기본데이타!V$8),0))</f>
        <v/>
      </c>
      <c r="T21" s="168" t="str">
        <f>IF($A21="","",VLOOKUP($A21,기본데이타!$A$8:$BV$103,COLUMN(기본데이타!W$8),0))</f>
        <v/>
      </c>
      <c r="U21" s="168" t="str">
        <f>IF($A21="","",VLOOKUP($A21,기본데이타!$A$8:$BV$103,COLUMN(기본데이타!X$8),0))</f>
        <v/>
      </c>
      <c r="V21" s="168" t="str">
        <f>IF($A21="","",VLOOKUP($A21,기본데이타!$A$8:$BV$103,COLUMN(기본데이타!Y$8),0))</f>
        <v/>
      </c>
      <c r="W21" s="168" t="str">
        <f>IF($A21="","",VLOOKUP($A21,기본데이타!$A$8:$BV$103,COLUMN(기본데이타!Z$8),0))</f>
        <v/>
      </c>
      <c r="X21" s="168" t="str">
        <f>IF($A21="","",VLOOKUP($A21,기본데이타!$A$8:$BV$103,COLUMN(기본데이타!AA$8),0))</f>
        <v/>
      </c>
      <c r="Y21" s="168" t="str">
        <f>IF($A21="","",VLOOKUP($A21,기본데이타!$A$8:$BV$103,COLUMN(기본데이타!AB$8),0))</f>
        <v/>
      </c>
      <c r="Z21" s="167" t="str">
        <f>IF($A21="","",VLOOKUP($A21,기본데이타!$A$8:$BV$103,COLUMN(기본데이타!AC$8),0))</f>
        <v/>
      </c>
      <c r="AA21" s="1393" t="str">
        <f>IF($A21="","",VLOOKUP($A21,기본데이타!$A$8:$BV$103,COLUMN(기본데이타!AD$8),0))</f>
        <v/>
      </c>
      <c r="AB21" s="1394" t="str">
        <f>IF($A21="","",VLOOKUP($A21,기본데이타!$A$8:$BV$103,COLUMN(기본데이타!AE$8),0))</f>
        <v/>
      </c>
      <c r="AC21" s="1393" t="str">
        <f>IF($A21="","",VLOOKUP($A21,기본데이타!$A$8:$BV$103,COLUMN(기본데이타!AF$8),0))</f>
        <v/>
      </c>
      <c r="AD21" s="1394" t="str">
        <f>IF($A21="","",VLOOKUP($A21,기본데이타!$A$8:$BV$103,COLUMN(기본데이타!AG$8),0))</f>
        <v/>
      </c>
      <c r="AE21" s="1393" t="str">
        <f>IF($A21="","",VLOOKUP($A21,기본데이타!$A$8:$BV$103,COLUMN(기본데이타!AH$8),0))</f>
        <v/>
      </c>
      <c r="AF21" s="1394" t="str">
        <f>IF($A21="","",VLOOKUP($A21,기본데이타!$A$8:$BV$103,COLUMN(기본데이타!AI$8),0))</f>
        <v/>
      </c>
      <c r="AG21" s="169" t="str">
        <f>IF($A21="","",VLOOKUP($A21,기본데이타!$A$8:$BV$103,COLUMN(기본데이타!AJ$8),0))</f>
        <v/>
      </c>
      <c r="AH21" s="368" t="str">
        <f>IF($A21="","",VLOOKUP($A21,기본데이타!$A$8:$BV$103,COLUMN(기본데이타!AK$8),0))</f>
        <v/>
      </c>
      <c r="AI21" s="368" t="str">
        <f>IF($A21="","",VLOOKUP($A21,기본데이타!$A$8:$BV$103,COLUMN(기본데이타!AL$8),0))</f>
        <v/>
      </c>
      <c r="AJ21" s="368" t="str">
        <f>IF($A21="","",VLOOKUP($A21,기본데이타!$A$8:$BV$103,COLUMN(기본데이타!AM$8),0))</f>
        <v/>
      </c>
      <c r="AK21" s="368" t="str">
        <f>IF($A21="","",VLOOKUP($A21,기본데이타!$A$8:$BV$103,COLUMN(기본데이타!AN$8),0))</f>
        <v/>
      </c>
      <c r="AL21" s="368" t="str">
        <f>IF($A21="","",VLOOKUP($A21,기본데이타!$A$8:$BV$103,COLUMN(기본데이타!AO$8),0))</f>
        <v/>
      </c>
      <c r="AM21" s="368" t="str">
        <f>IF($A21="","",VLOOKUP($A21,기본데이타!$A$8:$BV$103,COLUMN(기본데이타!AP$8),0))</f>
        <v/>
      </c>
      <c r="AN21" s="368" t="str">
        <f>IF($A21="","",VLOOKUP($A21,기본데이타!$A$8:$BV$103,COLUMN(기본데이타!AQ$8),0))</f>
        <v/>
      </c>
      <c r="AO21" s="368" t="str">
        <f>IF($A21="","",VLOOKUP($A21,기본데이타!$A$8:$BV$103,COLUMN(기본데이타!AR$8),0))</f>
        <v/>
      </c>
      <c r="AP21" s="1399" t="str">
        <f>IF($A21="","",VLOOKUP($A21,기본데이타!$A$8:$BV$103,COLUMN(기본데이타!AS$8),0))</f>
        <v/>
      </c>
      <c r="AQ21" s="1399" t="str">
        <f>IF($A21="","",VLOOKUP($A21,기본데이타!$A$8:$BV$103,COLUMN(기본데이타!AT$8),0))</f>
        <v/>
      </c>
      <c r="AR21" s="1399" t="str">
        <f>IF($A21="","",VLOOKUP($A21,기본데이타!$A$8:$BV$103,COLUMN(기본데이타!AU$8),0))</f>
        <v/>
      </c>
      <c r="AS21" s="368" t="str">
        <f>IF($A21="","",VLOOKUP($A21,기본데이타!$A$8:$BV$103,COLUMN(기본데이타!AV$8),0))</f>
        <v/>
      </c>
      <c r="AT21" s="10" t="str">
        <f>IF($A21="","",VLOOKUP($A21,기본데이타!$A$8:$BV$103,COLUMN(기본데이타!AW$8),0))</f>
        <v/>
      </c>
      <c r="AU21" s="10" t="str">
        <f>IF($A21="","",VLOOKUP($A21,기본데이타!$A$8:$BV$103,COLUMN(기본데이타!AX$8),0))</f>
        <v/>
      </c>
      <c r="AV21" s="10" t="str">
        <f>IF($A21="","",VLOOKUP($A21,기본데이타!$A$8:$BV$103,COLUMN(기본데이타!AY$8),0))</f>
        <v/>
      </c>
      <c r="AW21" s="10" t="str">
        <f t="shared" si="7"/>
        <v/>
      </c>
      <c r="AX21" s="136" t="str">
        <f>IF($A21="","",VLOOKUP($A21,기본데이타!$A$8:$BV$103,COLUMN(기본데이타!BA$8),0))</f>
        <v/>
      </c>
      <c r="AY21" s="136" t="str">
        <f>IF($A21="","",VLOOKUP($A21,기본데이타!$A$8:$BV$103,COLUMN(기본데이타!BB$8),0))</f>
        <v/>
      </c>
      <c r="AZ21" s="136" t="str">
        <f>IF($A21="","",VLOOKUP($A21,기본데이타!$A$8:$BV$103,COLUMN(기본데이타!BC$8),0))</f>
        <v/>
      </c>
      <c r="BA21" s="136" t="str">
        <f>IF($A21="","",VLOOKUP($A21,기본데이타!$A$8:$BV$103,COLUMN(기본데이타!BD$8),0))</f>
        <v/>
      </c>
      <c r="BB21" s="136" t="str">
        <f>IF($A21="","",VLOOKUP($A21,기본데이타!$A$8:$BV$103,COLUMN(기본데이타!BE$8),0))</f>
        <v/>
      </c>
      <c r="BC21" s="136" t="str">
        <f>IF($A21="","",VLOOKUP($A21,기본데이타!$A$8:$BV$103,COLUMN(기본데이타!BF$8),0))</f>
        <v/>
      </c>
      <c r="BD21" s="136" t="str">
        <f>IF($A21="","",VLOOKUP($A21,기본데이타!$A$8:$BV$103,COLUMN(기본데이타!BG$8),0))</f>
        <v/>
      </c>
      <c r="BE21" s="136" t="str">
        <f>IF($A21="","",VLOOKUP($A21,기본데이타!$A$8:$BV$103,COLUMN(기본데이타!BH$8),0))</f>
        <v/>
      </c>
      <c r="BF21" s="136" t="str">
        <f>IF($A21="","",VLOOKUP($A21,기본데이타!$A$8:$BV$103,COLUMN(기본데이타!BI$8),0))</f>
        <v/>
      </c>
      <c r="BG21" s="136" t="str">
        <f>IF($A21="","",VLOOKUP($A21,기본데이타!$A$8:$BV$103,COLUMN(기본데이타!BJ$8),0))</f>
        <v/>
      </c>
      <c r="BH21" s="136" t="str">
        <f>IF($A21="","",VLOOKUP($A21,기본데이타!$A$8:$BV$103,COLUMN(기본데이타!BK$8),0))</f>
        <v/>
      </c>
      <c r="BI21" s="136" t="str">
        <f>IF($A21="","",VLOOKUP($A21,기본데이타!$A$8:$BV$103,COLUMN(기본데이타!BL$8),0))</f>
        <v/>
      </c>
      <c r="BJ21" s="136" t="str">
        <f>IF($A21="","",VLOOKUP($A21,기본데이타!$A$8:$BV$103,COLUMN(기본데이타!BM$8),0))</f>
        <v/>
      </c>
      <c r="BK21" s="136" t="str">
        <f>IF($A21="","",VLOOKUP($A21,기본데이타!$A$8:$BV$103,COLUMN(기본데이타!BN$8),0))</f>
        <v/>
      </c>
      <c r="BL21" s="136" t="str">
        <f>IF($A21="","",VLOOKUP($A21,기본데이타!$A$8:$BV$103,COLUMN(기본데이타!BO$8),0))</f>
        <v/>
      </c>
      <c r="BM21" s="136" t="str">
        <f>IF($A21="","",VLOOKUP($A21,기본데이타!$A$8:$BV$103,COLUMN(기본데이타!BP$8),0))</f>
        <v/>
      </c>
      <c r="BN21" s="136" t="str">
        <f>IF($A21="","",VLOOKUP($A21,기본데이타!$A$8:$BV$103,COLUMN(기본데이타!BQ$8),0))</f>
        <v/>
      </c>
      <c r="BO21" s="136" t="str">
        <f>IF($A21="","",VLOOKUP($A21,기본데이타!$A$8:$BV$103,COLUMN(기본데이타!BR$8),0))</f>
        <v/>
      </c>
      <c r="BP21" s="136" t="str">
        <f>IF($A21="","",VLOOKUP($A21,기본데이타!$A$8:$BV$103,COLUMN(기본데이타!BS$8),0))</f>
        <v/>
      </c>
      <c r="BQ21" s="136" t="str">
        <f>IF($A21="","",VLOOKUP($A21,기본데이타!$A$8:$BV$103,COLUMN(기본데이타!BT$8),0))</f>
        <v/>
      </c>
      <c r="BR21" s="136" t="str">
        <f>IF($A21="","",VLOOKUP($A21,기본데이타!$A$8:$BV$103,COLUMN(기본데이타!BU$8),0))</f>
        <v/>
      </c>
      <c r="BS21" s="136" t="str">
        <f>IF($A21="","",VLOOKUP($A21,기본데이타!$A$8:$BV$103,COLUMN(기본데이타!BV$8),0))</f>
        <v/>
      </c>
      <c r="BT21" s="801">
        <f t="shared" si="8"/>
        <v>0</v>
      </c>
      <c r="BU21" s="242"/>
    </row>
    <row r="22" spans="1:73" s="7" customFormat="1" ht="73.5" customHeight="1">
      <c r="A22" s="171"/>
      <c r="B22" s="163"/>
      <c r="C22" s="164" t="str">
        <f>IF($A22="","",VLOOKUP($A22,기본데이타!$A$8:$BV$103,COLUMN(기본데이타!F$8),0))</f>
        <v/>
      </c>
      <c r="D22" s="165" t="str">
        <f>IF($A22="","",VLOOKUP($A22,기본데이타!$A$8:$BV$103,COLUMN(기본데이타!G$8),0))</f>
        <v/>
      </c>
      <c r="E22" s="166" t="str">
        <f>IF($A22="","",VLOOKUP($A22,기본데이타!$A$8:$BV$103,COLUMN(기본데이타!H$8),0))</f>
        <v/>
      </c>
      <c r="F22" s="166" t="str">
        <f>IF($A22="","",VLOOKUP($A22,기본데이타!$A$8:$BV$103,COLUMN(기본데이타!I$8),0))</f>
        <v/>
      </c>
      <c r="G22" s="166" t="str">
        <f>IF($A22="","",VLOOKUP($A22,기본데이타!$A$8:$BV$103,COLUMN(기본데이타!J$8),0))</f>
        <v/>
      </c>
      <c r="H22" s="167" t="str">
        <f>IF($A22="","",VLOOKUP($A22,기본데이타!$A$8:$BV$103,COLUMN(기본데이타!K$8),0))</f>
        <v/>
      </c>
      <c r="I22" s="167" t="str">
        <f>IF($A22="","",VLOOKUP($A22,기본데이타!$A$8:$BV$103,COLUMN(기본데이타!L$8),0))</f>
        <v/>
      </c>
      <c r="J22" s="167" t="str">
        <f>IF($A22="","",VLOOKUP($A22,기본데이타!$A$8:$BV$103,COLUMN(기본데이타!M$8),0))</f>
        <v/>
      </c>
      <c r="K22" s="168" t="str">
        <f>IF($A22="","",VLOOKUP($A22,기본데이타!$A$8:$BV$103,COLUMN(기본데이타!N$8),0))</f>
        <v/>
      </c>
      <c r="L22" s="167" t="str">
        <f>IF($A22="","",VLOOKUP($A22,기본데이타!$A$8:$BV$103,COLUMN(기본데이타!O$8),0))</f>
        <v/>
      </c>
      <c r="M22" s="168" t="str">
        <f>IF($A22="","",VLOOKUP($A22,기본데이타!$A$8:$BV$103,COLUMN(기본데이타!P$8),0))</f>
        <v/>
      </c>
      <c r="N22" s="168" t="str">
        <f>IF($A22="","",VLOOKUP($A22,기본데이타!$A$8:$BV$103,COLUMN(기본데이타!Q$8),0))</f>
        <v/>
      </c>
      <c r="O22" s="168" t="str">
        <f>IF($A22="","",VLOOKUP($A22,기본데이타!$A$8:$BV$103,COLUMN(기본데이타!R$8),0))</f>
        <v/>
      </c>
      <c r="P22" s="168" t="str">
        <f>IF($A22="","",VLOOKUP($A22,기본데이타!$A$8:$BV$103,COLUMN(기본데이타!S$8),0))</f>
        <v/>
      </c>
      <c r="Q22" s="168" t="str">
        <f>IF($A22="","",VLOOKUP($A22,기본데이타!$A$8:$BV$103,COLUMN(기본데이타!T$8),0))</f>
        <v/>
      </c>
      <c r="R22" s="168" t="str">
        <f>IF($A22="","",VLOOKUP($A22,기본데이타!$A$8:$BV$103,COLUMN(기본데이타!U$8),0))</f>
        <v/>
      </c>
      <c r="S22" s="168" t="str">
        <f>IF($A22="","",VLOOKUP($A22,기본데이타!$A$8:$BV$103,COLUMN(기본데이타!V$8),0))</f>
        <v/>
      </c>
      <c r="T22" s="168" t="str">
        <f>IF($A22="","",VLOOKUP($A22,기본데이타!$A$8:$BV$103,COLUMN(기본데이타!W$8),0))</f>
        <v/>
      </c>
      <c r="U22" s="168" t="str">
        <f>IF($A22="","",VLOOKUP($A22,기본데이타!$A$8:$BV$103,COLUMN(기본데이타!X$8),0))</f>
        <v/>
      </c>
      <c r="V22" s="168" t="str">
        <f>IF($A22="","",VLOOKUP($A22,기본데이타!$A$8:$BV$103,COLUMN(기본데이타!Y$8),0))</f>
        <v/>
      </c>
      <c r="W22" s="168" t="str">
        <f>IF($A22="","",VLOOKUP($A22,기본데이타!$A$8:$BV$103,COLUMN(기본데이타!Z$8),0))</f>
        <v/>
      </c>
      <c r="X22" s="168" t="str">
        <f>IF($A22="","",VLOOKUP($A22,기본데이타!$A$8:$BV$103,COLUMN(기본데이타!AA$8),0))</f>
        <v/>
      </c>
      <c r="Y22" s="168" t="str">
        <f>IF($A22="","",VLOOKUP($A22,기본데이타!$A$8:$BV$103,COLUMN(기본데이타!AB$8),0))</f>
        <v/>
      </c>
      <c r="Z22" s="167" t="str">
        <f>IF($A22="","",VLOOKUP($A22,기본데이타!$A$8:$BV$103,COLUMN(기본데이타!AC$8),0))</f>
        <v/>
      </c>
      <c r="AA22" s="1393" t="str">
        <f>IF($A22="","",VLOOKUP($A22,기본데이타!$A$8:$BV$103,COLUMN(기본데이타!AD$8),0))</f>
        <v/>
      </c>
      <c r="AB22" s="1394" t="str">
        <f>IF($A22="","",VLOOKUP($A22,기본데이타!$A$8:$BV$103,COLUMN(기본데이타!AE$8),0))</f>
        <v/>
      </c>
      <c r="AC22" s="1393" t="str">
        <f>IF($A22="","",VLOOKUP($A22,기본데이타!$A$8:$BV$103,COLUMN(기본데이타!AF$8),0))</f>
        <v/>
      </c>
      <c r="AD22" s="1394" t="str">
        <f>IF($A22="","",VLOOKUP($A22,기본데이타!$A$8:$BV$103,COLUMN(기본데이타!AG$8),0))</f>
        <v/>
      </c>
      <c r="AE22" s="1393" t="str">
        <f>IF($A22="","",VLOOKUP($A22,기본데이타!$A$8:$BV$103,COLUMN(기본데이타!AH$8),0))</f>
        <v/>
      </c>
      <c r="AF22" s="1394" t="str">
        <f>IF($A22="","",VLOOKUP($A22,기본데이타!$A$8:$BV$103,COLUMN(기본데이타!AI$8),0))</f>
        <v/>
      </c>
      <c r="AG22" s="169" t="str">
        <f>IF($A22="","",VLOOKUP($A22,기본데이타!$A$8:$BV$103,COLUMN(기본데이타!AJ$8),0))</f>
        <v/>
      </c>
      <c r="AH22" s="368" t="str">
        <f>IF($A22="","",VLOOKUP($A22,기본데이타!$A$8:$BV$103,COLUMN(기본데이타!AK$8),0))</f>
        <v/>
      </c>
      <c r="AI22" s="368" t="str">
        <f>IF($A22="","",VLOOKUP($A22,기본데이타!$A$8:$BV$103,COLUMN(기본데이타!AL$8),0))</f>
        <v/>
      </c>
      <c r="AJ22" s="368" t="str">
        <f>IF($A22="","",VLOOKUP($A22,기본데이타!$A$8:$BV$103,COLUMN(기본데이타!AM$8),0))</f>
        <v/>
      </c>
      <c r="AK22" s="368" t="str">
        <f>IF($A22="","",VLOOKUP($A22,기본데이타!$A$8:$BV$103,COLUMN(기본데이타!AN$8),0))</f>
        <v/>
      </c>
      <c r="AL22" s="368" t="str">
        <f>IF($A22="","",VLOOKUP($A22,기본데이타!$A$8:$BV$103,COLUMN(기본데이타!AO$8),0))</f>
        <v/>
      </c>
      <c r="AM22" s="368" t="str">
        <f>IF($A22="","",VLOOKUP($A22,기본데이타!$A$8:$BV$103,COLUMN(기본데이타!AP$8),0))</f>
        <v/>
      </c>
      <c r="AN22" s="368" t="str">
        <f>IF($A22="","",VLOOKUP($A22,기본데이타!$A$8:$BV$103,COLUMN(기본데이타!AQ$8),0))</f>
        <v/>
      </c>
      <c r="AO22" s="368" t="str">
        <f>IF($A22="","",VLOOKUP($A22,기본데이타!$A$8:$BV$103,COLUMN(기본데이타!AR$8),0))</f>
        <v/>
      </c>
      <c r="AP22" s="1399" t="str">
        <f>IF($A22="","",VLOOKUP($A22,기본데이타!$A$8:$BV$103,COLUMN(기본데이타!AS$8),0))</f>
        <v/>
      </c>
      <c r="AQ22" s="1399" t="str">
        <f>IF($A22="","",VLOOKUP($A22,기본데이타!$A$8:$BV$103,COLUMN(기본데이타!AT$8),0))</f>
        <v/>
      </c>
      <c r="AR22" s="1399" t="str">
        <f>IF($A22="","",VLOOKUP($A22,기본데이타!$A$8:$BV$103,COLUMN(기본데이타!AU$8),0))</f>
        <v/>
      </c>
      <c r="AS22" s="368" t="str">
        <f>IF($A22="","",VLOOKUP($A22,기본데이타!$A$8:$BV$103,COLUMN(기본데이타!AV$8),0))</f>
        <v/>
      </c>
      <c r="AT22" s="10" t="str">
        <f>IF($A22="","",VLOOKUP($A22,기본데이타!$A$8:$BV$103,COLUMN(기본데이타!AW$8),0))</f>
        <v/>
      </c>
      <c r="AU22" s="10" t="str">
        <f>IF($A22="","",VLOOKUP($A22,기본데이타!$A$8:$BV$103,COLUMN(기본데이타!AX$8),0))</f>
        <v/>
      </c>
      <c r="AV22" s="10" t="str">
        <f>IF($A22="","",VLOOKUP($A22,기본데이타!$A$8:$BV$103,COLUMN(기본데이타!AY$8),0))</f>
        <v/>
      </c>
      <c r="AW22" s="10" t="str">
        <f t="shared" si="7"/>
        <v/>
      </c>
      <c r="AX22" s="136" t="str">
        <f>IF($A22="","",VLOOKUP($A22,기본데이타!$A$8:$BV$103,COLUMN(기본데이타!BA$8),0))</f>
        <v/>
      </c>
      <c r="AY22" s="136" t="str">
        <f>IF($A22="","",VLOOKUP($A22,기본데이타!$A$8:$BV$103,COLUMN(기본데이타!BB$8),0))</f>
        <v/>
      </c>
      <c r="AZ22" s="136" t="str">
        <f>IF($A22="","",VLOOKUP($A22,기본데이타!$A$8:$BV$103,COLUMN(기본데이타!BC$8),0))</f>
        <v/>
      </c>
      <c r="BA22" s="136" t="str">
        <f>IF($A22="","",VLOOKUP($A22,기본데이타!$A$8:$BV$103,COLUMN(기본데이타!BD$8),0))</f>
        <v/>
      </c>
      <c r="BB22" s="136" t="str">
        <f>IF($A22="","",VLOOKUP($A22,기본데이타!$A$8:$BV$103,COLUMN(기본데이타!BE$8),0))</f>
        <v/>
      </c>
      <c r="BC22" s="136" t="str">
        <f>IF($A22="","",VLOOKUP($A22,기본데이타!$A$8:$BV$103,COLUMN(기본데이타!BF$8),0))</f>
        <v/>
      </c>
      <c r="BD22" s="136" t="str">
        <f>IF($A22="","",VLOOKUP($A22,기본데이타!$A$8:$BV$103,COLUMN(기본데이타!BG$8),0))</f>
        <v/>
      </c>
      <c r="BE22" s="136" t="str">
        <f>IF($A22="","",VLOOKUP($A22,기본데이타!$A$8:$BV$103,COLUMN(기본데이타!BH$8),0))</f>
        <v/>
      </c>
      <c r="BF22" s="136" t="str">
        <f>IF($A22="","",VLOOKUP($A22,기본데이타!$A$8:$BV$103,COLUMN(기본데이타!BI$8),0))</f>
        <v/>
      </c>
      <c r="BG22" s="136" t="str">
        <f>IF($A22="","",VLOOKUP($A22,기본데이타!$A$8:$BV$103,COLUMN(기본데이타!BJ$8),0))</f>
        <v/>
      </c>
      <c r="BH22" s="136" t="str">
        <f>IF($A22="","",VLOOKUP($A22,기본데이타!$A$8:$BV$103,COLUMN(기본데이타!BK$8),0))</f>
        <v/>
      </c>
      <c r="BI22" s="136" t="str">
        <f>IF($A22="","",VLOOKUP($A22,기본데이타!$A$8:$BV$103,COLUMN(기본데이타!BL$8),0))</f>
        <v/>
      </c>
      <c r="BJ22" s="136" t="str">
        <f>IF($A22="","",VLOOKUP($A22,기본데이타!$A$8:$BV$103,COLUMN(기본데이타!BM$8),0))</f>
        <v/>
      </c>
      <c r="BK22" s="136" t="str">
        <f>IF($A22="","",VLOOKUP($A22,기본데이타!$A$8:$BV$103,COLUMN(기본데이타!BN$8),0))</f>
        <v/>
      </c>
      <c r="BL22" s="136" t="str">
        <f>IF($A22="","",VLOOKUP($A22,기본데이타!$A$8:$BV$103,COLUMN(기본데이타!BO$8),0))</f>
        <v/>
      </c>
      <c r="BM22" s="136" t="str">
        <f>IF($A22="","",VLOOKUP($A22,기본데이타!$A$8:$BV$103,COLUMN(기본데이타!BP$8),0))</f>
        <v/>
      </c>
      <c r="BN22" s="136" t="str">
        <f>IF($A22="","",VLOOKUP($A22,기본데이타!$A$8:$BV$103,COLUMN(기본데이타!BQ$8),0))</f>
        <v/>
      </c>
      <c r="BO22" s="136" t="str">
        <f>IF($A22="","",VLOOKUP($A22,기본데이타!$A$8:$BV$103,COLUMN(기본데이타!BR$8),0))</f>
        <v/>
      </c>
      <c r="BP22" s="136" t="str">
        <f>IF($A22="","",VLOOKUP($A22,기본데이타!$A$8:$BV$103,COLUMN(기본데이타!BS$8),0))</f>
        <v/>
      </c>
      <c r="BQ22" s="136" t="str">
        <f>IF($A22="","",VLOOKUP($A22,기본데이타!$A$8:$BV$103,COLUMN(기본데이타!BT$8),0))</f>
        <v/>
      </c>
      <c r="BR22" s="136" t="str">
        <f>IF($A22="","",VLOOKUP($A22,기본데이타!$A$8:$BV$103,COLUMN(기본데이타!BU$8),0))</f>
        <v/>
      </c>
      <c r="BS22" s="136" t="str">
        <f>IF($A22="","",VLOOKUP($A22,기본데이타!$A$8:$BV$103,COLUMN(기본데이타!BV$8),0))</f>
        <v/>
      </c>
      <c r="BT22" s="801">
        <f t="shared" si="8"/>
        <v>0</v>
      </c>
      <c r="BU22" s="242"/>
    </row>
    <row r="23" spans="1:73" s="7" customFormat="1" ht="73.5" customHeight="1">
      <c r="A23" s="171"/>
      <c r="B23" s="163"/>
      <c r="C23" s="164" t="str">
        <f>IF($A23="","",VLOOKUP($A23,기본데이타!$A$8:$BV$103,COLUMN(기본데이타!F$8),0))</f>
        <v/>
      </c>
      <c r="D23" s="165" t="str">
        <f>IF($A23="","",VLOOKUP($A23,기본데이타!$A$8:$BV$103,COLUMN(기본데이타!G$8),0))</f>
        <v/>
      </c>
      <c r="E23" s="166" t="str">
        <f>IF($A23="","",VLOOKUP($A23,기본데이타!$A$8:$BV$103,COLUMN(기본데이타!H$8),0))</f>
        <v/>
      </c>
      <c r="F23" s="166" t="str">
        <f>IF($A23="","",VLOOKUP($A23,기본데이타!$A$8:$BV$103,COLUMN(기본데이타!I$8),0))</f>
        <v/>
      </c>
      <c r="G23" s="166" t="str">
        <f>IF($A23="","",VLOOKUP($A23,기본데이타!$A$8:$BV$103,COLUMN(기본데이타!J$8),0))</f>
        <v/>
      </c>
      <c r="H23" s="167" t="str">
        <f>IF($A23="","",VLOOKUP($A23,기본데이타!$A$8:$BV$103,COLUMN(기본데이타!K$8),0))</f>
        <v/>
      </c>
      <c r="I23" s="167" t="str">
        <f>IF($A23="","",VLOOKUP($A23,기본데이타!$A$8:$BV$103,COLUMN(기본데이타!L$8),0))</f>
        <v/>
      </c>
      <c r="J23" s="167" t="str">
        <f>IF($A23="","",VLOOKUP($A23,기본데이타!$A$8:$BV$103,COLUMN(기본데이타!M$8),0))</f>
        <v/>
      </c>
      <c r="K23" s="168" t="str">
        <f>IF($A23="","",VLOOKUP($A23,기본데이타!$A$8:$BV$103,COLUMN(기본데이타!N$8),0))</f>
        <v/>
      </c>
      <c r="L23" s="167" t="str">
        <f>IF($A23="","",VLOOKUP($A23,기본데이타!$A$8:$BV$103,COLUMN(기본데이타!O$8),0))</f>
        <v/>
      </c>
      <c r="M23" s="168" t="str">
        <f>IF($A23="","",VLOOKUP($A23,기본데이타!$A$8:$BV$103,COLUMN(기본데이타!P$8),0))</f>
        <v/>
      </c>
      <c r="N23" s="168" t="str">
        <f>IF($A23="","",VLOOKUP($A23,기본데이타!$A$8:$BV$103,COLUMN(기본데이타!Q$8),0))</f>
        <v/>
      </c>
      <c r="O23" s="168" t="str">
        <f>IF($A23="","",VLOOKUP($A23,기본데이타!$A$8:$BV$103,COLUMN(기본데이타!R$8),0))</f>
        <v/>
      </c>
      <c r="P23" s="168" t="str">
        <f>IF($A23="","",VLOOKUP($A23,기본데이타!$A$8:$BV$103,COLUMN(기본데이타!S$8),0))</f>
        <v/>
      </c>
      <c r="Q23" s="168" t="str">
        <f>IF($A23="","",VLOOKUP($A23,기본데이타!$A$8:$BV$103,COLUMN(기본데이타!T$8),0))</f>
        <v/>
      </c>
      <c r="R23" s="168" t="str">
        <f>IF($A23="","",VLOOKUP($A23,기본데이타!$A$8:$BV$103,COLUMN(기본데이타!U$8),0))</f>
        <v/>
      </c>
      <c r="S23" s="168" t="str">
        <f>IF($A23="","",VLOOKUP($A23,기본데이타!$A$8:$BV$103,COLUMN(기본데이타!V$8),0))</f>
        <v/>
      </c>
      <c r="T23" s="168" t="str">
        <f>IF($A23="","",VLOOKUP($A23,기본데이타!$A$8:$BV$103,COLUMN(기본데이타!W$8),0))</f>
        <v/>
      </c>
      <c r="U23" s="168" t="str">
        <f>IF($A23="","",VLOOKUP($A23,기본데이타!$A$8:$BV$103,COLUMN(기본데이타!X$8),0))</f>
        <v/>
      </c>
      <c r="V23" s="168" t="str">
        <f>IF($A23="","",VLOOKUP($A23,기본데이타!$A$8:$BV$103,COLUMN(기본데이타!Y$8),0))</f>
        <v/>
      </c>
      <c r="W23" s="168" t="str">
        <f>IF($A23="","",VLOOKUP($A23,기본데이타!$A$8:$BV$103,COLUMN(기본데이타!Z$8),0))</f>
        <v/>
      </c>
      <c r="X23" s="168" t="str">
        <f>IF($A23="","",VLOOKUP($A23,기본데이타!$A$8:$BV$103,COLUMN(기본데이타!AA$8),0))</f>
        <v/>
      </c>
      <c r="Y23" s="168" t="str">
        <f>IF($A23="","",VLOOKUP($A23,기본데이타!$A$8:$BV$103,COLUMN(기본데이타!AB$8),0))</f>
        <v/>
      </c>
      <c r="Z23" s="167" t="str">
        <f>IF($A23="","",VLOOKUP($A23,기본데이타!$A$8:$BV$103,COLUMN(기본데이타!AC$8),0))</f>
        <v/>
      </c>
      <c r="AA23" s="1393" t="str">
        <f>IF($A23="","",VLOOKUP($A23,기본데이타!$A$8:$BV$103,COLUMN(기본데이타!AD$8),0))</f>
        <v/>
      </c>
      <c r="AB23" s="1394" t="str">
        <f>IF($A23="","",VLOOKUP($A23,기본데이타!$A$8:$BV$103,COLUMN(기본데이타!AE$8),0))</f>
        <v/>
      </c>
      <c r="AC23" s="1393" t="str">
        <f>IF($A23="","",VLOOKUP($A23,기본데이타!$A$8:$BV$103,COLUMN(기본데이타!AF$8),0))</f>
        <v/>
      </c>
      <c r="AD23" s="1394" t="str">
        <f>IF($A23="","",VLOOKUP($A23,기본데이타!$A$8:$BV$103,COLUMN(기본데이타!AG$8),0))</f>
        <v/>
      </c>
      <c r="AE23" s="1393" t="str">
        <f>IF($A23="","",VLOOKUP($A23,기본데이타!$A$8:$BV$103,COLUMN(기본데이타!AH$8),0))</f>
        <v/>
      </c>
      <c r="AF23" s="1394" t="str">
        <f>IF($A23="","",VLOOKUP($A23,기본데이타!$A$8:$BV$103,COLUMN(기본데이타!AI$8),0))</f>
        <v/>
      </c>
      <c r="AG23" s="169" t="str">
        <f>IF($A23="","",VLOOKUP($A23,기본데이타!$A$8:$BV$103,COLUMN(기본데이타!AJ$8),0))</f>
        <v/>
      </c>
      <c r="AH23" s="368" t="str">
        <f>IF($A23="","",VLOOKUP($A23,기본데이타!$A$8:$BV$103,COLUMN(기본데이타!AK$8),0))</f>
        <v/>
      </c>
      <c r="AI23" s="368" t="str">
        <f>IF($A23="","",VLOOKUP($A23,기본데이타!$A$8:$BV$103,COLUMN(기본데이타!AL$8),0))</f>
        <v/>
      </c>
      <c r="AJ23" s="368" t="str">
        <f>IF($A23="","",VLOOKUP($A23,기본데이타!$A$8:$BV$103,COLUMN(기본데이타!AM$8),0))</f>
        <v/>
      </c>
      <c r="AK23" s="368" t="str">
        <f>IF($A23="","",VLOOKUP($A23,기본데이타!$A$8:$BV$103,COLUMN(기본데이타!AN$8),0))</f>
        <v/>
      </c>
      <c r="AL23" s="368" t="str">
        <f>IF($A23="","",VLOOKUP($A23,기본데이타!$A$8:$BV$103,COLUMN(기본데이타!AO$8),0))</f>
        <v/>
      </c>
      <c r="AM23" s="368" t="str">
        <f>IF($A23="","",VLOOKUP($A23,기본데이타!$A$8:$BV$103,COLUMN(기본데이타!AP$8),0))</f>
        <v/>
      </c>
      <c r="AN23" s="368" t="str">
        <f>IF($A23="","",VLOOKUP($A23,기본데이타!$A$8:$BV$103,COLUMN(기본데이타!AQ$8),0))</f>
        <v/>
      </c>
      <c r="AO23" s="368" t="str">
        <f>IF($A23="","",VLOOKUP($A23,기본데이타!$A$8:$BV$103,COLUMN(기본데이타!AR$8),0))</f>
        <v/>
      </c>
      <c r="AP23" s="1399" t="str">
        <f>IF($A23="","",VLOOKUP($A23,기본데이타!$A$8:$BV$103,COLUMN(기본데이타!AS$8),0))</f>
        <v/>
      </c>
      <c r="AQ23" s="1399" t="str">
        <f>IF($A23="","",VLOOKUP($A23,기본데이타!$A$8:$BV$103,COLUMN(기본데이타!AT$8),0))</f>
        <v/>
      </c>
      <c r="AR23" s="1399" t="str">
        <f>IF($A23="","",VLOOKUP($A23,기본데이타!$A$8:$BV$103,COLUMN(기본데이타!AU$8),0))</f>
        <v/>
      </c>
      <c r="AS23" s="368" t="str">
        <f>IF($A23="","",VLOOKUP($A23,기본데이타!$A$8:$BV$103,COLUMN(기본데이타!AV$8),0))</f>
        <v/>
      </c>
      <c r="AT23" s="16" t="str">
        <f>IF($A23="","",VLOOKUP($A23,기본데이타!$A$8:$BV$103,COLUMN(기본데이타!AW$8),0))</f>
        <v/>
      </c>
      <c r="AU23" s="16" t="str">
        <f>IF($A23="","",VLOOKUP($A23,기본데이타!$A$8:$BV$103,COLUMN(기본데이타!AX$8),0))</f>
        <v/>
      </c>
      <c r="AV23" s="16" t="str">
        <f>IF($A23="","",VLOOKUP($A23,기본데이타!$A$8:$BV$103,COLUMN(기본데이타!AY$8),0))</f>
        <v/>
      </c>
      <c r="AW23" s="16" t="str">
        <f t="shared" si="7"/>
        <v/>
      </c>
      <c r="AX23" s="136" t="str">
        <f>IF($A23="","",VLOOKUP($A23,기본데이타!$A$8:$BV$103,COLUMN(기본데이타!BA$8),0))</f>
        <v/>
      </c>
      <c r="AY23" s="136" t="str">
        <f>IF($A23="","",VLOOKUP($A23,기본데이타!$A$8:$BV$103,COLUMN(기본데이타!BB$8),0))</f>
        <v/>
      </c>
      <c r="AZ23" s="136" t="str">
        <f>IF($A23="","",VLOOKUP($A23,기본데이타!$A$8:$BV$103,COLUMN(기본데이타!BC$8),0))</f>
        <v/>
      </c>
      <c r="BA23" s="136" t="str">
        <f>IF($A23="","",VLOOKUP($A23,기본데이타!$A$8:$BV$103,COLUMN(기본데이타!BD$8),0))</f>
        <v/>
      </c>
      <c r="BB23" s="136" t="str">
        <f>IF($A23="","",VLOOKUP($A23,기본데이타!$A$8:$BV$103,COLUMN(기본데이타!BE$8),0))</f>
        <v/>
      </c>
      <c r="BC23" s="136" t="str">
        <f>IF($A23="","",VLOOKUP($A23,기본데이타!$A$8:$BV$103,COLUMN(기본데이타!BF$8),0))</f>
        <v/>
      </c>
      <c r="BD23" s="136" t="str">
        <f>IF($A23="","",VLOOKUP($A23,기본데이타!$A$8:$BV$103,COLUMN(기본데이타!BG$8),0))</f>
        <v/>
      </c>
      <c r="BE23" s="136" t="str">
        <f>IF($A23="","",VLOOKUP($A23,기본데이타!$A$8:$BV$103,COLUMN(기본데이타!BH$8),0))</f>
        <v/>
      </c>
      <c r="BF23" s="136" t="str">
        <f>IF($A23="","",VLOOKUP($A23,기본데이타!$A$8:$BV$103,COLUMN(기본데이타!BI$8),0))</f>
        <v/>
      </c>
      <c r="BG23" s="136" t="str">
        <f>IF($A23="","",VLOOKUP($A23,기본데이타!$A$8:$BV$103,COLUMN(기본데이타!BJ$8),0))</f>
        <v/>
      </c>
      <c r="BH23" s="136" t="str">
        <f>IF($A23="","",VLOOKUP($A23,기본데이타!$A$8:$BV$103,COLUMN(기본데이타!BK$8),0))</f>
        <v/>
      </c>
      <c r="BI23" s="136" t="str">
        <f>IF($A23="","",VLOOKUP($A23,기본데이타!$A$8:$BV$103,COLUMN(기본데이타!BL$8),0))</f>
        <v/>
      </c>
      <c r="BJ23" s="136" t="str">
        <f>IF($A23="","",VLOOKUP($A23,기본데이타!$A$8:$BV$103,COLUMN(기본데이타!BM$8),0))</f>
        <v/>
      </c>
      <c r="BK23" s="136" t="str">
        <f>IF($A23="","",VLOOKUP($A23,기본데이타!$A$8:$BV$103,COLUMN(기본데이타!BN$8),0))</f>
        <v/>
      </c>
      <c r="BL23" s="136" t="str">
        <f>IF($A23="","",VLOOKUP($A23,기본데이타!$A$8:$BV$103,COLUMN(기본데이타!BO$8),0))</f>
        <v/>
      </c>
      <c r="BM23" s="136" t="str">
        <f>IF($A23="","",VLOOKUP($A23,기본데이타!$A$8:$BV$103,COLUMN(기본데이타!BP$8),0))</f>
        <v/>
      </c>
      <c r="BN23" s="136" t="str">
        <f>IF($A23="","",VLOOKUP($A23,기본데이타!$A$8:$BV$103,COLUMN(기본데이타!BQ$8),0))</f>
        <v/>
      </c>
      <c r="BO23" s="136" t="str">
        <f>IF($A23="","",VLOOKUP($A23,기본데이타!$A$8:$BV$103,COLUMN(기본데이타!BR$8),0))</f>
        <v/>
      </c>
      <c r="BP23" s="136" t="str">
        <f>IF($A23="","",VLOOKUP($A23,기본데이타!$A$8:$BV$103,COLUMN(기본데이타!BS$8),0))</f>
        <v/>
      </c>
      <c r="BQ23" s="136" t="str">
        <f>IF($A23="","",VLOOKUP($A23,기본데이타!$A$8:$BV$103,COLUMN(기본데이타!BT$8),0))</f>
        <v/>
      </c>
      <c r="BR23" s="136" t="str">
        <f>IF($A23="","",VLOOKUP($A23,기본데이타!$A$8:$BV$103,COLUMN(기본데이타!BU$8),0))</f>
        <v/>
      </c>
      <c r="BS23" s="136" t="str">
        <f>IF($A23="","",VLOOKUP($A23,기본데이타!$A$8:$BV$103,COLUMN(기본데이타!BV$8),0))</f>
        <v/>
      </c>
      <c r="BT23" s="801">
        <f t="shared" si="8"/>
        <v>0</v>
      </c>
      <c r="BU23" s="242"/>
    </row>
    <row r="24" spans="1:73" s="7" customFormat="1" ht="73.5" customHeight="1">
      <c r="A24" s="171"/>
      <c r="B24" s="163"/>
      <c r="C24" s="164" t="str">
        <f>IF($A24="","",VLOOKUP($A24,기본데이타!$A$8:$BV$103,COLUMN(기본데이타!F$8),0))</f>
        <v/>
      </c>
      <c r="D24" s="165" t="str">
        <f>IF($A24="","",VLOOKUP($A24,기본데이타!$A$8:$BV$103,COLUMN(기본데이타!G$8),0))</f>
        <v/>
      </c>
      <c r="E24" s="166" t="str">
        <f>IF($A24="","",VLOOKUP($A24,기본데이타!$A$8:$BV$103,COLUMN(기본데이타!H$8),0))</f>
        <v/>
      </c>
      <c r="F24" s="166" t="str">
        <f>IF($A24="","",VLOOKUP($A24,기본데이타!$A$8:$BV$103,COLUMN(기본데이타!I$8),0))</f>
        <v/>
      </c>
      <c r="G24" s="166" t="str">
        <f>IF($A24="","",VLOOKUP($A24,기본데이타!$A$8:$BV$103,COLUMN(기본데이타!J$8),0))</f>
        <v/>
      </c>
      <c r="H24" s="167" t="str">
        <f>IF($A24="","",VLOOKUP($A24,기본데이타!$A$8:$BV$103,COLUMN(기본데이타!K$8),0))</f>
        <v/>
      </c>
      <c r="I24" s="167" t="str">
        <f>IF($A24="","",VLOOKUP($A24,기본데이타!$A$8:$BV$103,COLUMN(기본데이타!L$8),0))</f>
        <v/>
      </c>
      <c r="J24" s="167" t="str">
        <f>IF($A24="","",VLOOKUP($A24,기본데이타!$A$8:$BV$103,COLUMN(기본데이타!M$8),0))</f>
        <v/>
      </c>
      <c r="K24" s="168" t="str">
        <f>IF($A24="","",VLOOKUP($A24,기본데이타!$A$8:$BV$103,COLUMN(기본데이타!N$8),0))</f>
        <v/>
      </c>
      <c r="L24" s="167" t="str">
        <f>IF($A24="","",VLOOKUP($A24,기본데이타!$A$8:$BV$103,COLUMN(기본데이타!O$8),0))</f>
        <v/>
      </c>
      <c r="M24" s="168" t="str">
        <f>IF($A24="","",VLOOKUP($A24,기본데이타!$A$8:$BV$103,COLUMN(기본데이타!P$8),0))</f>
        <v/>
      </c>
      <c r="N24" s="168" t="str">
        <f>IF($A24="","",VLOOKUP($A24,기본데이타!$A$8:$BV$103,COLUMN(기본데이타!Q$8),0))</f>
        <v/>
      </c>
      <c r="O24" s="168" t="str">
        <f>IF($A24="","",VLOOKUP($A24,기본데이타!$A$8:$BV$103,COLUMN(기본데이타!R$8),0))</f>
        <v/>
      </c>
      <c r="P24" s="168" t="str">
        <f>IF($A24="","",VLOOKUP($A24,기본데이타!$A$8:$BV$103,COLUMN(기본데이타!S$8),0))</f>
        <v/>
      </c>
      <c r="Q24" s="168" t="str">
        <f>IF($A24="","",VLOOKUP($A24,기본데이타!$A$8:$BV$103,COLUMN(기본데이타!T$8),0))</f>
        <v/>
      </c>
      <c r="R24" s="168" t="str">
        <f>IF($A24="","",VLOOKUP($A24,기본데이타!$A$8:$BV$103,COLUMN(기본데이타!U$8),0))</f>
        <v/>
      </c>
      <c r="S24" s="168" t="str">
        <f>IF($A24="","",VLOOKUP($A24,기본데이타!$A$8:$BV$103,COLUMN(기본데이타!V$8),0))</f>
        <v/>
      </c>
      <c r="T24" s="168" t="str">
        <f>IF($A24="","",VLOOKUP($A24,기본데이타!$A$8:$BV$103,COLUMN(기본데이타!W$8),0))</f>
        <v/>
      </c>
      <c r="U24" s="168" t="str">
        <f>IF($A24="","",VLOOKUP($A24,기본데이타!$A$8:$BV$103,COLUMN(기본데이타!X$8),0))</f>
        <v/>
      </c>
      <c r="V24" s="168" t="str">
        <f>IF($A24="","",VLOOKUP($A24,기본데이타!$A$8:$BV$103,COLUMN(기본데이타!Y$8),0))</f>
        <v/>
      </c>
      <c r="W24" s="168" t="str">
        <f>IF($A24="","",VLOOKUP($A24,기본데이타!$A$8:$BV$103,COLUMN(기본데이타!Z$8),0))</f>
        <v/>
      </c>
      <c r="X24" s="168" t="str">
        <f>IF($A24="","",VLOOKUP($A24,기본데이타!$A$8:$BV$103,COLUMN(기본데이타!AA$8),0))</f>
        <v/>
      </c>
      <c r="Y24" s="168" t="str">
        <f>IF($A24="","",VLOOKUP($A24,기본데이타!$A$8:$BV$103,COLUMN(기본데이타!AB$8),0))</f>
        <v/>
      </c>
      <c r="Z24" s="167" t="str">
        <f>IF($A24="","",VLOOKUP($A24,기본데이타!$A$8:$BV$103,COLUMN(기본데이타!AC$8),0))</f>
        <v/>
      </c>
      <c r="AA24" s="1393" t="str">
        <f>IF($A24="","",VLOOKUP($A24,기본데이타!$A$8:$BV$103,COLUMN(기본데이타!AD$8),0))</f>
        <v/>
      </c>
      <c r="AB24" s="1394" t="str">
        <f>IF($A24="","",VLOOKUP($A24,기본데이타!$A$8:$BV$103,COLUMN(기본데이타!AE$8),0))</f>
        <v/>
      </c>
      <c r="AC24" s="1393" t="str">
        <f>IF($A24="","",VLOOKUP($A24,기본데이타!$A$8:$BV$103,COLUMN(기본데이타!AF$8),0))</f>
        <v/>
      </c>
      <c r="AD24" s="1394" t="str">
        <f>IF($A24="","",VLOOKUP($A24,기본데이타!$A$8:$BV$103,COLUMN(기본데이타!AG$8),0))</f>
        <v/>
      </c>
      <c r="AE24" s="1393" t="str">
        <f>IF($A24="","",VLOOKUP($A24,기본데이타!$A$8:$BV$103,COLUMN(기본데이타!AH$8),0))</f>
        <v/>
      </c>
      <c r="AF24" s="1394" t="str">
        <f>IF($A24="","",VLOOKUP($A24,기본데이타!$A$8:$BV$103,COLUMN(기본데이타!AI$8),0))</f>
        <v/>
      </c>
      <c r="AG24" s="169" t="str">
        <f>IF($A24="","",VLOOKUP($A24,기본데이타!$A$8:$BV$103,COLUMN(기본데이타!AJ$8),0))</f>
        <v/>
      </c>
      <c r="AH24" s="368" t="str">
        <f>IF($A24="","",VLOOKUP($A24,기본데이타!$A$8:$BV$103,COLUMN(기본데이타!AK$8),0))</f>
        <v/>
      </c>
      <c r="AI24" s="368" t="str">
        <f>IF($A24="","",VLOOKUP($A24,기본데이타!$A$8:$BV$103,COLUMN(기본데이타!AL$8),0))</f>
        <v/>
      </c>
      <c r="AJ24" s="368" t="str">
        <f>IF($A24="","",VLOOKUP($A24,기본데이타!$A$8:$BV$103,COLUMN(기본데이타!AM$8),0))</f>
        <v/>
      </c>
      <c r="AK24" s="368" t="str">
        <f>IF($A24="","",VLOOKUP($A24,기본데이타!$A$8:$BV$103,COLUMN(기본데이타!AN$8),0))</f>
        <v/>
      </c>
      <c r="AL24" s="368" t="str">
        <f>IF($A24="","",VLOOKUP($A24,기본데이타!$A$8:$BV$103,COLUMN(기본데이타!AO$8),0))</f>
        <v/>
      </c>
      <c r="AM24" s="368" t="str">
        <f>IF($A24="","",VLOOKUP($A24,기본데이타!$A$8:$BV$103,COLUMN(기본데이타!AP$8),0))</f>
        <v/>
      </c>
      <c r="AN24" s="368" t="str">
        <f>IF($A24="","",VLOOKUP($A24,기본데이타!$A$8:$BV$103,COLUMN(기본데이타!AQ$8),0))</f>
        <v/>
      </c>
      <c r="AO24" s="368" t="str">
        <f>IF($A24="","",VLOOKUP($A24,기본데이타!$A$8:$BV$103,COLUMN(기본데이타!AR$8),0))</f>
        <v/>
      </c>
      <c r="AP24" s="1399" t="str">
        <f>IF($A24="","",VLOOKUP($A24,기본데이타!$A$8:$BV$103,COLUMN(기본데이타!AS$8),0))</f>
        <v/>
      </c>
      <c r="AQ24" s="1399" t="str">
        <f>IF($A24="","",VLOOKUP($A24,기본데이타!$A$8:$BV$103,COLUMN(기본데이타!AT$8),0))</f>
        <v/>
      </c>
      <c r="AR24" s="1399" t="str">
        <f>IF($A24="","",VLOOKUP($A24,기본데이타!$A$8:$BV$103,COLUMN(기본데이타!AU$8),0))</f>
        <v/>
      </c>
      <c r="AS24" s="368" t="str">
        <f>IF($A24="","",VLOOKUP($A24,기본데이타!$A$8:$BV$103,COLUMN(기본데이타!AV$8),0))</f>
        <v/>
      </c>
      <c r="AT24" s="16" t="str">
        <f>IF($A24="","",VLOOKUP($A24,기본데이타!$A$8:$BV$103,COLUMN(기본데이타!AW$8),0))</f>
        <v/>
      </c>
      <c r="AU24" s="16" t="str">
        <f>IF($A24="","",VLOOKUP($A24,기본데이타!$A$8:$BV$103,COLUMN(기본데이타!AX$8),0))</f>
        <v/>
      </c>
      <c r="AV24" s="16" t="str">
        <f>IF($A24="","",VLOOKUP($A24,기본데이타!$A$8:$BV$103,COLUMN(기본데이타!AY$8),0))</f>
        <v/>
      </c>
      <c r="AW24" s="16" t="str">
        <f t="shared" si="7"/>
        <v/>
      </c>
      <c r="AX24" s="136" t="str">
        <f>IF($A24="","",VLOOKUP($A24,기본데이타!$A$8:$BV$103,COLUMN(기본데이타!BA$8),0))</f>
        <v/>
      </c>
      <c r="AY24" s="136" t="str">
        <f>IF($A24="","",VLOOKUP($A24,기본데이타!$A$8:$BV$103,COLUMN(기본데이타!BB$8),0))</f>
        <v/>
      </c>
      <c r="AZ24" s="136" t="str">
        <f>IF($A24="","",VLOOKUP($A24,기본데이타!$A$8:$BV$103,COLUMN(기본데이타!BC$8),0))</f>
        <v/>
      </c>
      <c r="BA24" s="136" t="str">
        <f>IF($A24="","",VLOOKUP($A24,기본데이타!$A$8:$BV$103,COLUMN(기본데이타!BD$8),0))</f>
        <v/>
      </c>
      <c r="BB24" s="136" t="str">
        <f>IF($A24="","",VLOOKUP($A24,기본데이타!$A$8:$BV$103,COLUMN(기본데이타!BE$8),0))</f>
        <v/>
      </c>
      <c r="BC24" s="136" t="str">
        <f>IF($A24="","",VLOOKUP($A24,기본데이타!$A$8:$BV$103,COLUMN(기본데이타!BF$8),0))</f>
        <v/>
      </c>
      <c r="BD24" s="136" t="str">
        <f>IF($A24="","",VLOOKUP($A24,기본데이타!$A$8:$BV$103,COLUMN(기본데이타!BG$8),0))</f>
        <v/>
      </c>
      <c r="BE24" s="136" t="str">
        <f>IF($A24="","",VLOOKUP($A24,기본데이타!$A$8:$BV$103,COLUMN(기본데이타!BH$8),0))</f>
        <v/>
      </c>
      <c r="BF24" s="136" t="str">
        <f>IF($A24="","",VLOOKUP($A24,기본데이타!$A$8:$BV$103,COLUMN(기본데이타!BI$8),0))</f>
        <v/>
      </c>
      <c r="BG24" s="136" t="str">
        <f>IF($A24="","",VLOOKUP($A24,기본데이타!$A$8:$BV$103,COLUMN(기본데이타!BJ$8),0))</f>
        <v/>
      </c>
      <c r="BH24" s="136" t="str">
        <f>IF($A24="","",VLOOKUP($A24,기본데이타!$A$8:$BV$103,COLUMN(기본데이타!BK$8),0))</f>
        <v/>
      </c>
      <c r="BI24" s="136" t="str">
        <f>IF($A24="","",VLOOKUP($A24,기본데이타!$A$8:$BV$103,COLUMN(기본데이타!BL$8),0))</f>
        <v/>
      </c>
      <c r="BJ24" s="136" t="str">
        <f>IF($A24="","",VLOOKUP($A24,기본데이타!$A$8:$BV$103,COLUMN(기본데이타!BM$8),0))</f>
        <v/>
      </c>
      <c r="BK24" s="136" t="str">
        <f>IF($A24="","",VLOOKUP($A24,기본데이타!$A$8:$BV$103,COLUMN(기본데이타!BN$8),0))</f>
        <v/>
      </c>
      <c r="BL24" s="136" t="str">
        <f>IF($A24="","",VLOOKUP($A24,기본데이타!$A$8:$BV$103,COLUMN(기본데이타!BO$8),0))</f>
        <v/>
      </c>
      <c r="BM24" s="136" t="str">
        <f>IF($A24="","",VLOOKUP($A24,기본데이타!$A$8:$BV$103,COLUMN(기본데이타!BP$8),0))</f>
        <v/>
      </c>
      <c r="BN24" s="136" t="str">
        <f>IF($A24="","",VLOOKUP($A24,기본데이타!$A$8:$BV$103,COLUMN(기본데이타!BQ$8),0))</f>
        <v/>
      </c>
      <c r="BO24" s="136" t="str">
        <f>IF($A24="","",VLOOKUP($A24,기본데이타!$A$8:$BV$103,COLUMN(기본데이타!BR$8),0))</f>
        <v/>
      </c>
      <c r="BP24" s="136" t="str">
        <f>IF($A24="","",VLOOKUP($A24,기본데이타!$A$8:$BV$103,COLUMN(기본데이타!BS$8),0))</f>
        <v/>
      </c>
      <c r="BQ24" s="136" t="str">
        <f>IF($A24="","",VLOOKUP($A24,기본데이타!$A$8:$BV$103,COLUMN(기본데이타!BT$8),0))</f>
        <v/>
      </c>
      <c r="BR24" s="136" t="str">
        <f>IF($A24="","",VLOOKUP($A24,기본데이타!$A$8:$BV$103,COLUMN(기본데이타!BU$8),0))</f>
        <v/>
      </c>
      <c r="BS24" s="136" t="str">
        <f>IF($A24="","",VLOOKUP($A24,기본데이타!$A$8:$BV$103,COLUMN(기본데이타!BV$8),0))</f>
        <v/>
      </c>
      <c r="BT24" s="801">
        <f t="shared" si="8"/>
        <v>0</v>
      </c>
      <c r="BU24" s="242"/>
    </row>
    <row r="25" spans="1:73" s="7" customFormat="1" ht="73.5" customHeight="1">
      <c r="A25" s="171"/>
      <c r="B25" s="163"/>
      <c r="C25" s="164" t="str">
        <f>IF($A25="","",VLOOKUP($A25,기본데이타!$A$8:$BV$103,COLUMN(기본데이타!F$8),0))</f>
        <v/>
      </c>
      <c r="D25" s="165" t="str">
        <f>IF($A25="","",VLOOKUP($A25,기본데이타!$A$8:$BV$103,COLUMN(기본데이타!G$8),0))</f>
        <v/>
      </c>
      <c r="E25" s="166" t="str">
        <f>IF($A25="","",VLOOKUP($A25,기본데이타!$A$8:$BV$103,COLUMN(기본데이타!H$8),0))</f>
        <v/>
      </c>
      <c r="F25" s="166" t="str">
        <f>IF($A25="","",VLOOKUP($A25,기본데이타!$A$8:$BV$103,COLUMN(기본데이타!I$8),0))</f>
        <v/>
      </c>
      <c r="G25" s="166" t="str">
        <f>IF($A25="","",VLOOKUP($A25,기본데이타!$A$8:$BV$103,COLUMN(기본데이타!J$8),0))</f>
        <v/>
      </c>
      <c r="H25" s="167" t="str">
        <f>IF($A25="","",VLOOKUP($A25,기본데이타!$A$8:$BV$103,COLUMN(기본데이타!K$8),0))</f>
        <v/>
      </c>
      <c r="I25" s="167" t="str">
        <f>IF($A25="","",VLOOKUP($A25,기본데이타!$A$8:$BV$103,COLUMN(기본데이타!L$8),0))</f>
        <v/>
      </c>
      <c r="J25" s="167" t="str">
        <f>IF($A25="","",VLOOKUP($A25,기본데이타!$A$8:$BV$103,COLUMN(기본데이타!M$8),0))</f>
        <v/>
      </c>
      <c r="K25" s="168" t="str">
        <f>IF($A25="","",VLOOKUP($A25,기본데이타!$A$8:$BV$103,COLUMN(기본데이타!N$8),0))</f>
        <v/>
      </c>
      <c r="L25" s="167" t="str">
        <f>IF($A25="","",VLOOKUP($A25,기본데이타!$A$8:$BV$103,COLUMN(기본데이타!O$8),0))</f>
        <v/>
      </c>
      <c r="M25" s="168" t="str">
        <f>IF($A25="","",VLOOKUP($A25,기본데이타!$A$8:$BV$103,COLUMN(기본데이타!P$8),0))</f>
        <v/>
      </c>
      <c r="N25" s="168" t="str">
        <f>IF($A25="","",VLOOKUP($A25,기본데이타!$A$8:$BV$103,COLUMN(기본데이타!Q$8),0))</f>
        <v/>
      </c>
      <c r="O25" s="168" t="str">
        <f>IF($A25="","",VLOOKUP($A25,기본데이타!$A$8:$BV$103,COLUMN(기본데이타!R$8),0))</f>
        <v/>
      </c>
      <c r="P25" s="168" t="str">
        <f>IF($A25="","",VLOOKUP($A25,기본데이타!$A$8:$BV$103,COLUMN(기본데이타!S$8),0))</f>
        <v/>
      </c>
      <c r="Q25" s="168" t="str">
        <f>IF($A25="","",VLOOKUP($A25,기본데이타!$A$8:$BV$103,COLUMN(기본데이타!T$8),0))</f>
        <v/>
      </c>
      <c r="R25" s="168" t="str">
        <f>IF($A25="","",VLOOKUP($A25,기본데이타!$A$8:$BV$103,COLUMN(기본데이타!U$8),0))</f>
        <v/>
      </c>
      <c r="S25" s="168" t="str">
        <f>IF($A25="","",VLOOKUP($A25,기본데이타!$A$8:$BV$103,COLUMN(기본데이타!V$8),0))</f>
        <v/>
      </c>
      <c r="T25" s="168" t="str">
        <f>IF($A25="","",VLOOKUP($A25,기본데이타!$A$8:$BV$103,COLUMN(기본데이타!W$8),0))</f>
        <v/>
      </c>
      <c r="U25" s="168" t="str">
        <f>IF($A25="","",VLOOKUP($A25,기본데이타!$A$8:$BV$103,COLUMN(기본데이타!X$8),0))</f>
        <v/>
      </c>
      <c r="V25" s="168" t="str">
        <f>IF($A25="","",VLOOKUP($A25,기본데이타!$A$8:$BV$103,COLUMN(기본데이타!Y$8),0))</f>
        <v/>
      </c>
      <c r="W25" s="168" t="str">
        <f>IF($A25="","",VLOOKUP($A25,기본데이타!$A$8:$BV$103,COLUMN(기본데이타!Z$8),0))</f>
        <v/>
      </c>
      <c r="X25" s="168" t="str">
        <f>IF($A25="","",VLOOKUP($A25,기본데이타!$A$8:$BV$103,COLUMN(기본데이타!AA$8),0))</f>
        <v/>
      </c>
      <c r="Y25" s="168" t="str">
        <f>IF($A25="","",VLOOKUP($A25,기본데이타!$A$8:$BV$103,COLUMN(기본데이타!AB$8),0))</f>
        <v/>
      </c>
      <c r="Z25" s="167" t="str">
        <f>IF($A25="","",VLOOKUP($A25,기본데이타!$A$8:$BV$103,COLUMN(기본데이타!AC$8),0))</f>
        <v/>
      </c>
      <c r="AA25" s="1393" t="str">
        <f>IF($A25="","",VLOOKUP($A25,기본데이타!$A$8:$BV$103,COLUMN(기본데이타!AD$8),0))</f>
        <v/>
      </c>
      <c r="AB25" s="1394" t="str">
        <f>IF($A25="","",VLOOKUP($A25,기본데이타!$A$8:$BV$103,COLUMN(기본데이타!AE$8),0))</f>
        <v/>
      </c>
      <c r="AC25" s="1393" t="str">
        <f>IF($A25="","",VLOOKUP($A25,기본데이타!$A$8:$BV$103,COLUMN(기본데이타!AF$8),0))</f>
        <v/>
      </c>
      <c r="AD25" s="1394" t="str">
        <f>IF($A25="","",VLOOKUP($A25,기본데이타!$A$8:$BV$103,COLUMN(기본데이타!AG$8),0))</f>
        <v/>
      </c>
      <c r="AE25" s="1393" t="str">
        <f>IF($A25="","",VLOOKUP($A25,기본데이타!$A$8:$BV$103,COLUMN(기본데이타!AH$8),0))</f>
        <v/>
      </c>
      <c r="AF25" s="1394" t="str">
        <f>IF($A25="","",VLOOKUP($A25,기본데이타!$A$8:$BV$103,COLUMN(기본데이타!AI$8),0))</f>
        <v/>
      </c>
      <c r="AG25" s="169" t="str">
        <f>IF($A25="","",VLOOKUP($A25,기본데이타!$A$8:$BV$103,COLUMN(기본데이타!AJ$8),0))</f>
        <v/>
      </c>
      <c r="AH25" s="368" t="str">
        <f>IF($A25="","",VLOOKUP($A25,기본데이타!$A$8:$BV$103,COLUMN(기본데이타!AK$8),0))</f>
        <v/>
      </c>
      <c r="AI25" s="368" t="str">
        <f>IF($A25="","",VLOOKUP($A25,기본데이타!$A$8:$BV$103,COLUMN(기본데이타!AL$8),0))</f>
        <v/>
      </c>
      <c r="AJ25" s="368" t="str">
        <f>IF($A25="","",VLOOKUP($A25,기본데이타!$A$8:$BV$103,COLUMN(기본데이타!AM$8),0))</f>
        <v/>
      </c>
      <c r="AK25" s="368" t="str">
        <f>IF($A25="","",VLOOKUP($A25,기본데이타!$A$8:$BV$103,COLUMN(기본데이타!AN$8),0))</f>
        <v/>
      </c>
      <c r="AL25" s="368" t="str">
        <f>IF($A25="","",VLOOKUP($A25,기본데이타!$A$8:$BV$103,COLUMN(기본데이타!AO$8),0))</f>
        <v/>
      </c>
      <c r="AM25" s="368" t="str">
        <f>IF($A25="","",VLOOKUP($A25,기본데이타!$A$8:$BV$103,COLUMN(기본데이타!AP$8),0))</f>
        <v/>
      </c>
      <c r="AN25" s="368" t="str">
        <f>IF($A25="","",VLOOKUP($A25,기본데이타!$A$8:$BV$103,COLUMN(기본데이타!AQ$8),0))</f>
        <v/>
      </c>
      <c r="AO25" s="368" t="str">
        <f>IF($A25="","",VLOOKUP($A25,기본데이타!$A$8:$BV$103,COLUMN(기본데이타!AR$8),0))</f>
        <v/>
      </c>
      <c r="AP25" s="1399" t="str">
        <f>IF($A25="","",VLOOKUP($A25,기본데이타!$A$8:$BV$103,COLUMN(기본데이타!AS$8),0))</f>
        <v/>
      </c>
      <c r="AQ25" s="1399" t="str">
        <f>IF($A25="","",VLOOKUP($A25,기본데이타!$A$8:$BV$103,COLUMN(기본데이타!AT$8),0))</f>
        <v/>
      </c>
      <c r="AR25" s="1399" t="str">
        <f>IF($A25="","",VLOOKUP($A25,기본데이타!$A$8:$BV$103,COLUMN(기본데이타!AU$8),0))</f>
        <v/>
      </c>
      <c r="AS25" s="368" t="str">
        <f>IF($A25="","",VLOOKUP($A25,기본데이타!$A$8:$BV$103,COLUMN(기본데이타!AV$8),0))</f>
        <v/>
      </c>
      <c r="AT25" s="16" t="str">
        <f>IF($A25="","",VLOOKUP($A25,기본데이타!$A$8:$BV$103,COLUMN(기본데이타!AW$8),0))</f>
        <v/>
      </c>
      <c r="AU25" s="16" t="str">
        <f>IF($A25="","",VLOOKUP($A25,기본데이타!$A$8:$BV$103,COLUMN(기본데이타!AX$8),0))</f>
        <v/>
      </c>
      <c r="AV25" s="16" t="str">
        <f>IF($A25="","",VLOOKUP($A25,기본데이타!$A$8:$BV$103,COLUMN(기본데이타!AY$8),0))</f>
        <v/>
      </c>
      <c r="AW25" s="16" t="str">
        <f t="shared" si="7"/>
        <v/>
      </c>
      <c r="AX25" s="136" t="str">
        <f>IF($A25="","",VLOOKUP($A25,기본데이타!$A$8:$BV$103,COLUMN(기본데이타!BA$8),0))</f>
        <v/>
      </c>
      <c r="AY25" s="136" t="str">
        <f>IF($A25="","",VLOOKUP($A25,기본데이타!$A$8:$BV$103,COLUMN(기본데이타!BB$8),0))</f>
        <v/>
      </c>
      <c r="AZ25" s="136" t="str">
        <f>IF($A25="","",VLOOKUP($A25,기본데이타!$A$8:$BV$103,COLUMN(기본데이타!BC$8),0))</f>
        <v/>
      </c>
      <c r="BA25" s="136" t="str">
        <f>IF($A25="","",VLOOKUP($A25,기본데이타!$A$8:$BV$103,COLUMN(기본데이타!BD$8),0))</f>
        <v/>
      </c>
      <c r="BB25" s="136" t="str">
        <f>IF($A25="","",VLOOKUP($A25,기본데이타!$A$8:$BV$103,COLUMN(기본데이타!BE$8),0))</f>
        <v/>
      </c>
      <c r="BC25" s="136" t="str">
        <f>IF($A25="","",VLOOKUP($A25,기본데이타!$A$8:$BV$103,COLUMN(기본데이타!BF$8),0))</f>
        <v/>
      </c>
      <c r="BD25" s="136" t="str">
        <f>IF($A25="","",VLOOKUP($A25,기본데이타!$A$8:$BV$103,COLUMN(기본데이타!BG$8),0))</f>
        <v/>
      </c>
      <c r="BE25" s="136" t="str">
        <f>IF($A25="","",VLOOKUP($A25,기본데이타!$A$8:$BV$103,COLUMN(기본데이타!BH$8),0))</f>
        <v/>
      </c>
      <c r="BF25" s="136" t="str">
        <f>IF($A25="","",VLOOKUP($A25,기본데이타!$A$8:$BV$103,COLUMN(기본데이타!BI$8),0))</f>
        <v/>
      </c>
      <c r="BG25" s="136" t="str">
        <f>IF($A25="","",VLOOKUP($A25,기본데이타!$A$8:$BV$103,COLUMN(기본데이타!BJ$8),0))</f>
        <v/>
      </c>
      <c r="BH25" s="136" t="str">
        <f>IF($A25="","",VLOOKUP($A25,기본데이타!$A$8:$BV$103,COLUMN(기본데이타!BK$8),0))</f>
        <v/>
      </c>
      <c r="BI25" s="136" t="str">
        <f>IF($A25="","",VLOOKUP($A25,기본데이타!$A$8:$BV$103,COLUMN(기본데이타!BL$8),0))</f>
        <v/>
      </c>
      <c r="BJ25" s="136" t="str">
        <f>IF($A25="","",VLOOKUP($A25,기본데이타!$A$8:$BV$103,COLUMN(기본데이타!BM$8),0))</f>
        <v/>
      </c>
      <c r="BK25" s="136" t="str">
        <f>IF($A25="","",VLOOKUP($A25,기본데이타!$A$8:$BV$103,COLUMN(기본데이타!BN$8),0))</f>
        <v/>
      </c>
      <c r="BL25" s="136" t="str">
        <f>IF($A25="","",VLOOKUP($A25,기본데이타!$A$8:$BV$103,COLUMN(기본데이타!BO$8),0))</f>
        <v/>
      </c>
      <c r="BM25" s="136" t="str">
        <f>IF($A25="","",VLOOKUP($A25,기본데이타!$A$8:$BV$103,COLUMN(기본데이타!BP$8),0))</f>
        <v/>
      </c>
      <c r="BN25" s="136" t="str">
        <f>IF($A25="","",VLOOKUP($A25,기본데이타!$A$8:$BV$103,COLUMN(기본데이타!BQ$8),0))</f>
        <v/>
      </c>
      <c r="BO25" s="136" t="str">
        <f>IF($A25="","",VLOOKUP($A25,기본데이타!$A$8:$BV$103,COLUMN(기본데이타!BR$8),0))</f>
        <v/>
      </c>
      <c r="BP25" s="136" t="str">
        <f>IF($A25="","",VLOOKUP($A25,기본데이타!$A$8:$BV$103,COLUMN(기본데이타!BS$8),0))</f>
        <v/>
      </c>
      <c r="BQ25" s="136" t="str">
        <f>IF($A25="","",VLOOKUP($A25,기본데이타!$A$8:$BV$103,COLUMN(기본데이타!BT$8),0))</f>
        <v/>
      </c>
      <c r="BR25" s="136" t="str">
        <f>IF($A25="","",VLOOKUP($A25,기본데이타!$A$8:$BV$103,COLUMN(기본데이타!BU$8),0))</f>
        <v/>
      </c>
      <c r="BS25" s="136" t="str">
        <f>IF($A25="","",VLOOKUP($A25,기본데이타!$A$8:$BV$103,COLUMN(기본데이타!BV$8),0))</f>
        <v/>
      </c>
      <c r="BT25" s="801">
        <f t="shared" si="8"/>
        <v>0</v>
      </c>
      <c r="BU25" s="242"/>
    </row>
    <row r="26" spans="1:73" s="7" customFormat="1" ht="73.5" customHeight="1">
      <c r="A26" s="171"/>
      <c r="B26" s="163"/>
      <c r="C26" s="164" t="str">
        <f>IF($A26="","",VLOOKUP($A26,기본데이타!$A$8:$BV$103,COLUMN(기본데이타!F$8),0))</f>
        <v/>
      </c>
      <c r="D26" s="165" t="str">
        <f>IF($A26="","",VLOOKUP($A26,기본데이타!$A$8:$BV$103,COLUMN(기본데이타!G$8),0))</f>
        <v/>
      </c>
      <c r="E26" s="166" t="str">
        <f>IF($A26="","",VLOOKUP($A26,기본데이타!$A$8:$BV$103,COLUMN(기본데이타!H$8),0))</f>
        <v/>
      </c>
      <c r="F26" s="166" t="str">
        <f>IF($A26="","",VLOOKUP($A26,기본데이타!$A$8:$BV$103,COLUMN(기본데이타!I$8),0))</f>
        <v/>
      </c>
      <c r="G26" s="166" t="str">
        <f>IF($A26="","",VLOOKUP($A26,기본데이타!$A$8:$BV$103,COLUMN(기본데이타!J$8),0))</f>
        <v/>
      </c>
      <c r="H26" s="167" t="str">
        <f>IF($A26="","",VLOOKUP($A26,기본데이타!$A$8:$BV$103,COLUMN(기본데이타!K$8),0))</f>
        <v/>
      </c>
      <c r="I26" s="167" t="str">
        <f>IF($A26="","",VLOOKUP($A26,기본데이타!$A$8:$BV$103,COLUMN(기본데이타!L$8),0))</f>
        <v/>
      </c>
      <c r="J26" s="167" t="str">
        <f>IF($A26="","",VLOOKUP($A26,기본데이타!$A$8:$BV$103,COLUMN(기본데이타!M$8),0))</f>
        <v/>
      </c>
      <c r="K26" s="168" t="str">
        <f>IF($A26="","",VLOOKUP($A26,기본데이타!$A$8:$BV$103,COLUMN(기본데이타!N$8),0))</f>
        <v/>
      </c>
      <c r="L26" s="167" t="str">
        <f>IF($A26="","",VLOOKUP($A26,기본데이타!$A$8:$BV$103,COLUMN(기본데이타!O$8),0))</f>
        <v/>
      </c>
      <c r="M26" s="168" t="str">
        <f>IF($A26="","",VLOOKUP($A26,기본데이타!$A$8:$BV$103,COLUMN(기본데이타!P$8),0))</f>
        <v/>
      </c>
      <c r="N26" s="168" t="str">
        <f>IF($A26="","",VLOOKUP($A26,기본데이타!$A$8:$BV$103,COLUMN(기본데이타!Q$8),0))</f>
        <v/>
      </c>
      <c r="O26" s="168" t="str">
        <f>IF($A26="","",VLOOKUP($A26,기본데이타!$A$8:$BV$103,COLUMN(기본데이타!R$8),0))</f>
        <v/>
      </c>
      <c r="P26" s="168" t="str">
        <f>IF($A26="","",VLOOKUP($A26,기본데이타!$A$8:$BV$103,COLUMN(기본데이타!S$8),0))</f>
        <v/>
      </c>
      <c r="Q26" s="168" t="str">
        <f>IF($A26="","",VLOOKUP($A26,기본데이타!$A$8:$BV$103,COLUMN(기본데이타!T$8),0))</f>
        <v/>
      </c>
      <c r="R26" s="168" t="str">
        <f>IF($A26="","",VLOOKUP($A26,기본데이타!$A$8:$BV$103,COLUMN(기본데이타!U$8),0))</f>
        <v/>
      </c>
      <c r="S26" s="168" t="str">
        <f>IF($A26="","",VLOOKUP($A26,기본데이타!$A$8:$BV$103,COLUMN(기본데이타!V$8),0))</f>
        <v/>
      </c>
      <c r="T26" s="168" t="str">
        <f>IF($A26="","",VLOOKUP($A26,기본데이타!$A$8:$BV$103,COLUMN(기본데이타!W$8),0))</f>
        <v/>
      </c>
      <c r="U26" s="168" t="str">
        <f>IF($A26="","",VLOOKUP($A26,기본데이타!$A$8:$BV$103,COLUMN(기본데이타!X$8),0))</f>
        <v/>
      </c>
      <c r="V26" s="168" t="str">
        <f>IF($A26="","",VLOOKUP($A26,기본데이타!$A$8:$BV$103,COLUMN(기본데이타!Y$8),0))</f>
        <v/>
      </c>
      <c r="W26" s="168" t="str">
        <f>IF($A26="","",VLOOKUP($A26,기본데이타!$A$8:$BV$103,COLUMN(기본데이타!Z$8),0))</f>
        <v/>
      </c>
      <c r="X26" s="168" t="str">
        <f>IF($A26="","",VLOOKUP($A26,기본데이타!$A$8:$BV$103,COLUMN(기본데이타!AA$8),0))</f>
        <v/>
      </c>
      <c r="Y26" s="168" t="str">
        <f>IF($A26="","",VLOOKUP($A26,기본데이타!$A$8:$BV$103,COLUMN(기본데이타!AB$8),0))</f>
        <v/>
      </c>
      <c r="Z26" s="167" t="str">
        <f>IF($A26="","",VLOOKUP($A26,기본데이타!$A$8:$BV$103,COLUMN(기본데이타!AC$8),0))</f>
        <v/>
      </c>
      <c r="AA26" s="1393" t="str">
        <f>IF($A26="","",VLOOKUP($A26,기본데이타!$A$8:$BV$103,COLUMN(기본데이타!AD$8),0))</f>
        <v/>
      </c>
      <c r="AB26" s="1394" t="str">
        <f>IF($A26="","",VLOOKUP($A26,기본데이타!$A$8:$BV$103,COLUMN(기본데이타!AE$8),0))</f>
        <v/>
      </c>
      <c r="AC26" s="1393" t="str">
        <f>IF($A26="","",VLOOKUP($A26,기본데이타!$A$8:$BV$103,COLUMN(기본데이타!AF$8),0))</f>
        <v/>
      </c>
      <c r="AD26" s="1394" t="str">
        <f>IF($A26="","",VLOOKUP($A26,기본데이타!$A$8:$BV$103,COLUMN(기본데이타!AG$8),0))</f>
        <v/>
      </c>
      <c r="AE26" s="1393" t="str">
        <f>IF($A26="","",VLOOKUP($A26,기본데이타!$A$8:$BV$103,COLUMN(기본데이타!AH$8),0))</f>
        <v/>
      </c>
      <c r="AF26" s="1394" t="str">
        <f>IF($A26="","",VLOOKUP($A26,기본데이타!$A$8:$BV$103,COLUMN(기본데이타!AI$8),0))</f>
        <v/>
      </c>
      <c r="AG26" s="169" t="str">
        <f>IF($A26="","",VLOOKUP($A26,기본데이타!$A$8:$BV$103,COLUMN(기본데이타!AJ$8),0))</f>
        <v/>
      </c>
      <c r="AH26" s="368" t="str">
        <f>IF($A26="","",VLOOKUP($A26,기본데이타!$A$8:$BV$103,COLUMN(기본데이타!AK$8),0))</f>
        <v/>
      </c>
      <c r="AI26" s="368" t="str">
        <f>IF($A26="","",VLOOKUP($A26,기본데이타!$A$8:$BV$103,COLUMN(기본데이타!AL$8),0))</f>
        <v/>
      </c>
      <c r="AJ26" s="368" t="str">
        <f>IF($A26="","",VLOOKUP($A26,기본데이타!$A$8:$BV$103,COLUMN(기본데이타!AM$8),0))</f>
        <v/>
      </c>
      <c r="AK26" s="368" t="str">
        <f>IF($A26="","",VLOOKUP($A26,기본데이타!$A$8:$BV$103,COLUMN(기본데이타!AN$8),0))</f>
        <v/>
      </c>
      <c r="AL26" s="368" t="str">
        <f>IF($A26="","",VLOOKUP($A26,기본데이타!$A$8:$BV$103,COLUMN(기본데이타!AO$8),0))</f>
        <v/>
      </c>
      <c r="AM26" s="368" t="str">
        <f>IF($A26="","",VLOOKUP($A26,기본데이타!$A$8:$BV$103,COLUMN(기본데이타!AP$8),0))</f>
        <v/>
      </c>
      <c r="AN26" s="368" t="str">
        <f>IF($A26="","",VLOOKUP($A26,기본데이타!$A$8:$BV$103,COLUMN(기본데이타!AQ$8),0))</f>
        <v/>
      </c>
      <c r="AO26" s="368" t="str">
        <f>IF($A26="","",VLOOKUP($A26,기본데이타!$A$8:$BV$103,COLUMN(기본데이타!AR$8),0))</f>
        <v/>
      </c>
      <c r="AP26" s="1399" t="str">
        <f>IF($A26="","",VLOOKUP($A26,기본데이타!$A$8:$BV$103,COLUMN(기본데이타!AS$8),0))</f>
        <v/>
      </c>
      <c r="AQ26" s="1399" t="str">
        <f>IF($A26="","",VLOOKUP($A26,기본데이타!$A$8:$BV$103,COLUMN(기본데이타!AT$8),0))</f>
        <v/>
      </c>
      <c r="AR26" s="1399" t="str">
        <f>IF($A26="","",VLOOKUP($A26,기본데이타!$A$8:$BV$103,COLUMN(기본데이타!AU$8),0))</f>
        <v/>
      </c>
      <c r="AS26" s="368" t="str">
        <f>IF($A26="","",VLOOKUP($A26,기본데이타!$A$8:$BV$103,COLUMN(기본데이타!AV$8),0))</f>
        <v/>
      </c>
      <c r="AT26" s="16" t="str">
        <f>IF($A26="","",VLOOKUP($A26,기본데이타!$A$8:$BV$103,COLUMN(기본데이타!AW$8),0))</f>
        <v/>
      </c>
      <c r="AU26" s="16" t="str">
        <f>IF($A26="","",VLOOKUP($A26,기본데이타!$A$8:$BV$103,COLUMN(기본데이타!AX$8),0))</f>
        <v/>
      </c>
      <c r="AV26" s="16" t="str">
        <f>IF($A26="","",VLOOKUP($A26,기본데이타!$A$8:$BV$103,COLUMN(기본데이타!AY$8),0))</f>
        <v/>
      </c>
      <c r="AW26" s="16" t="str">
        <f t="shared" si="7"/>
        <v/>
      </c>
      <c r="AX26" s="136" t="str">
        <f>IF($A26="","",VLOOKUP($A26,기본데이타!$A$8:$BV$103,COLUMN(기본데이타!BA$8),0))</f>
        <v/>
      </c>
      <c r="AY26" s="136" t="str">
        <f>IF($A26="","",VLOOKUP($A26,기본데이타!$A$8:$BV$103,COLUMN(기본데이타!BB$8),0))</f>
        <v/>
      </c>
      <c r="AZ26" s="136" t="str">
        <f>IF($A26="","",VLOOKUP($A26,기본데이타!$A$8:$BV$103,COLUMN(기본데이타!BC$8),0))</f>
        <v/>
      </c>
      <c r="BA26" s="136" t="str">
        <f>IF($A26="","",VLOOKUP($A26,기본데이타!$A$8:$BV$103,COLUMN(기본데이타!BD$8),0))</f>
        <v/>
      </c>
      <c r="BB26" s="136" t="str">
        <f>IF($A26="","",VLOOKUP($A26,기본데이타!$A$8:$BV$103,COLUMN(기본데이타!BE$8),0))</f>
        <v/>
      </c>
      <c r="BC26" s="136" t="str">
        <f>IF($A26="","",VLOOKUP($A26,기본데이타!$A$8:$BV$103,COLUMN(기본데이타!BF$8),0))</f>
        <v/>
      </c>
      <c r="BD26" s="136" t="str">
        <f>IF($A26="","",VLOOKUP($A26,기본데이타!$A$8:$BV$103,COLUMN(기본데이타!BG$8),0))</f>
        <v/>
      </c>
      <c r="BE26" s="136" t="str">
        <f>IF($A26="","",VLOOKUP($A26,기본데이타!$A$8:$BV$103,COLUMN(기본데이타!BH$8),0))</f>
        <v/>
      </c>
      <c r="BF26" s="136" t="str">
        <f>IF($A26="","",VLOOKUP($A26,기본데이타!$A$8:$BV$103,COLUMN(기본데이타!BI$8),0))</f>
        <v/>
      </c>
      <c r="BG26" s="136" t="str">
        <f>IF($A26="","",VLOOKUP($A26,기본데이타!$A$8:$BV$103,COLUMN(기본데이타!BJ$8),0))</f>
        <v/>
      </c>
      <c r="BH26" s="136" t="str">
        <f>IF($A26="","",VLOOKUP($A26,기본데이타!$A$8:$BV$103,COLUMN(기본데이타!BK$8),0))</f>
        <v/>
      </c>
      <c r="BI26" s="136" t="str">
        <f>IF($A26="","",VLOOKUP($A26,기본데이타!$A$8:$BV$103,COLUMN(기본데이타!BL$8),0))</f>
        <v/>
      </c>
      <c r="BJ26" s="136" t="str">
        <f>IF($A26="","",VLOOKUP($A26,기본데이타!$A$8:$BV$103,COLUMN(기본데이타!BM$8),0))</f>
        <v/>
      </c>
      <c r="BK26" s="136" t="str">
        <f>IF($A26="","",VLOOKUP($A26,기본데이타!$A$8:$BV$103,COLUMN(기본데이타!BN$8),0))</f>
        <v/>
      </c>
      <c r="BL26" s="136" t="str">
        <f>IF($A26="","",VLOOKUP($A26,기본데이타!$A$8:$BV$103,COLUMN(기본데이타!BO$8),0))</f>
        <v/>
      </c>
      <c r="BM26" s="136" t="str">
        <f>IF($A26="","",VLOOKUP($A26,기본데이타!$A$8:$BV$103,COLUMN(기본데이타!BP$8),0))</f>
        <v/>
      </c>
      <c r="BN26" s="136" t="str">
        <f>IF($A26="","",VLOOKUP($A26,기본데이타!$A$8:$BV$103,COLUMN(기본데이타!BQ$8),0))</f>
        <v/>
      </c>
      <c r="BO26" s="136" t="str">
        <f>IF($A26="","",VLOOKUP($A26,기본데이타!$A$8:$BV$103,COLUMN(기본데이타!BR$8),0))</f>
        <v/>
      </c>
      <c r="BP26" s="136" t="str">
        <f>IF($A26="","",VLOOKUP($A26,기본데이타!$A$8:$BV$103,COLUMN(기본데이타!BS$8),0))</f>
        <v/>
      </c>
      <c r="BQ26" s="136" t="str">
        <f>IF($A26="","",VLOOKUP($A26,기본데이타!$A$8:$BV$103,COLUMN(기본데이타!BT$8),0))</f>
        <v/>
      </c>
      <c r="BR26" s="136" t="str">
        <f>IF($A26="","",VLOOKUP($A26,기본데이타!$A$8:$BV$103,COLUMN(기본데이타!BU$8),0))</f>
        <v/>
      </c>
      <c r="BS26" s="136" t="str">
        <f>IF($A26="","",VLOOKUP($A26,기본데이타!$A$8:$BV$103,COLUMN(기본데이타!BV$8),0))</f>
        <v/>
      </c>
      <c r="BT26" s="801">
        <f t="shared" si="8"/>
        <v>0</v>
      </c>
      <c r="BU26" s="242"/>
    </row>
    <row r="27" spans="1:73" s="7" customFormat="1" ht="73.5" customHeight="1">
      <c r="A27" s="171"/>
      <c r="B27" s="163"/>
      <c r="C27" s="164" t="str">
        <f>IF($A27="","",VLOOKUP($A27,기본데이타!$A$8:$BV$103,COLUMN(기본데이타!F$8),0))</f>
        <v/>
      </c>
      <c r="D27" s="165" t="str">
        <f>IF($A27="","",VLOOKUP($A27,기본데이타!$A$8:$BV$103,COLUMN(기본데이타!G$8),0))</f>
        <v/>
      </c>
      <c r="E27" s="166" t="str">
        <f>IF($A27="","",VLOOKUP($A27,기본데이타!$A$8:$BV$103,COLUMN(기본데이타!H$8),0))</f>
        <v/>
      </c>
      <c r="F27" s="166" t="str">
        <f>IF($A27="","",VLOOKUP($A27,기본데이타!$A$8:$BV$103,COLUMN(기본데이타!I$8),0))</f>
        <v/>
      </c>
      <c r="G27" s="166" t="str">
        <f>IF($A27="","",VLOOKUP($A27,기본데이타!$A$8:$BV$103,COLUMN(기본데이타!J$8),0))</f>
        <v/>
      </c>
      <c r="H27" s="167" t="str">
        <f>IF($A27="","",VLOOKUP($A27,기본데이타!$A$8:$BV$103,COLUMN(기본데이타!K$8),0))</f>
        <v/>
      </c>
      <c r="I27" s="167" t="str">
        <f>IF($A27="","",VLOOKUP($A27,기본데이타!$A$8:$BV$103,COLUMN(기본데이타!L$8),0))</f>
        <v/>
      </c>
      <c r="J27" s="167" t="str">
        <f>IF($A27="","",VLOOKUP($A27,기본데이타!$A$8:$BV$103,COLUMN(기본데이타!M$8),0))</f>
        <v/>
      </c>
      <c r="K27" s="168" t="str">
        <f>IF($A27="","",VLOOKUP($A27,기본데이타!$A$8:$BV$103,COLUMN(기본데이타!N$8),0))</f>
        <v/>
      </c>
      <c r="L27" s="167" t="str">
        <f>IF($A27="","",VLOOKUP($A27,기본데이타!$A$8:$BV$103,COLUMN(기본데이타!O$8),0))</f>
        <v/>
      </c>
      <c r="M27" s="168" t="str">
        <f>IF($A27="","",VLOOKUP($A27,기본데이타!$A$8:$BV$103,COLUMN(기본데이타!P$8),0))</f>
        <v/>
      </c>
      <c r="N27" s="168" t="str">
        <f>IF($A27="","",VLOOKUP($A27,기본데이타!$A$8:$BV$103,COLUMN(기본데이타!Q$8),0))</f>
        <v/>
      </c>
      <c r="O27" s="168" t="str">
        <f>IF($A27="","",VLOOKUP($A27,기본데이타!$A$8:$BV$103,COLUMN(기본데이타!R$8),0))</f>
        <v/>
      </c>
      <c r="P27" s="168" t="str">
        <f>IF($A27="","",VLOOKUP($A27,기본데이타!$A$8:$BV$103,COLUMN(기본데이타!S$8),0))</f>
        <v/>
      </c>
      <c r="Q27" s="168" t="str">
        <f>IF($A27="","",VLOOKUP($A27,기본데이타!$A$8:$BV$103,COLUMN(기본데이타!T$8),0))</f>
        <v/>
      </c>
      <c r="R27" s="168" t="str">
        <f>IF($A27="","",VLOOKUP($A27,기본데이타!$A$8:$BV$103,COLUMN(기본데이타!U$8),0))</f>
        <v/>
      </c>
      <c r="S27" s="168" t="str">
        <f>IF($A27="","",VLOOKUP($A27,기본데이타!$A$8:$BV$103,COLUMN(기본데이타!V$8),0))</f>
        <v/>
      </c>
      <c r="T27" s="168" t="str">
        <f>IF($A27="","",VLOOKUP($A27,기본데이타!$A$8:$BV$103,COLUMN(기본데이타!W$8),0))</f>
        <v/>
      </c>
      <c r="U27" s="168" t="str">
        <f>IF($A27="","",VLOOKUP($A27,기본데이타!$A$8:$BV$103,COLUMN(기본데이타!X$8),0))</f>
        <v/>
      </c>
      <c r="V27" s="168" t="str">
        <f>IF($A27="","",VLOOKUP($A27,기본데이타!$A$8:$BV$103,COLUMN(기본데이타!Y$8),0))</f>
        <v/>
      </c>
      <c r="W27" s="168" t="str">
        <f>IF($A27="","",VLOOKUP($A27,기본데이타!$A$8:$BV$103,COLUMN(기본데이타!Z$8),0))</f>
        <v/>
      </c>
      <c r="X27" s="168" t="str">
        <f>IF($A27="","",VLOOKUP($A27,기본데이타!$A$8:$BV$103,COLUMN(기본데이타!AA$8),0))</f>
        <v/>
      </c>
      <c r="Y27" s="168" t="str">
        <f>IF($A27="","",VLOOKUP($A27,기본데이타!$A$8:$BV$103,COLUMN(기본데이타!AB$8),0))</f>
        <v/>
      </c>
      <c r="Z27" s="167" t="str">
        <f>IF($A27="","",VLOOKUP($A27,기본데이타!$A$8:$BV$103,COLUMN(기본데이타!AC$8),0))</f>
        <v/>
      </c>
      <c r="AA27" s="1393" t="str">
        <f>IF($A27="","",VLOOKUP($A27,기본데이타!$A$8:$BV$103,COLUMN(기본데이타!AD$8),0))</f>
        <v/>
      </c>
      <c r="AB27" s="1394" t="str">
        <f>IF($A27="","",VLOOKUP($A27,기본데이타!$A$8:$BV$103,COLUMN(기본데이타!AE$8),0))</f>
        <v/>
      </c>
      <c r="AC27" s="1393" t="str">
        <f>IF($A27="","",VLOOKUP($A27,기본데이타!$A$8:$BV$103,COLUMN(기본데이타!AF$8),0))</f>
        <v/>
      </c>
      <c r="AD27" s="1394" t="str">
        <f>IF($A27="","",VLOOKUP($A27,기본데이타!$A$8:$BV$103,COLUMN(기본데이타!AG$8),0))</f>
        <v/>
      </c>
      <c r="AE27" s="1393" t="str">
        <f>IF($A27="","",VLOOKUP($A27,기본데이타!$A$8:$BV$103,COLUMN(기본데이타!AH$8),0))</f>
        <v/>
      </c>
      <c r="AF27" s="1394" t="str">
        <f>IF($A27="","",VLOOKUP($A27,기본데이타!$A$8:$BV$103,COLUMN(기본데이타!AI$8),0))</f>
        <v/>
      </c>
      <c r="AG27" s="169" t="str">
        <f>IF($A27="","",VLOOKUP($A27,기본데이타!$A$8:$BV$103,COLUMN(기본데이타!AJ$8),0))</f>
        <v/>
      </c>
      <c r="AH27" s="368" t="str">
        <f>IF($A27="","",VLOOKUP($A27,기본데이타!$A$8:$BV$103,COLUMN(기본데이타!AK$8),0))</f>
        <v/>
      </c>
      <c r="AI27" s="368" t="str">
        <f>IF($A27="","",VLOOKUP($A27,기본데이타!$A$8:$BV$103,COLUMN(기본데이타!AL$8),0))</f>
        <v/>
      </c>
      <c r="AJ27" s="368" t="str">
        <f>IF($A27="","",VLOOKUP($A27,기본데이타!$A$8:$BV$103,COLUMN(기본데이타!AM$8),0))</f>
        <v/>
      </c>
      <c r="AK27" s="368" t="str">
        <f>IF($A27="","",VLOOKUP($A27,기본데이타!$A$8:$BV$103,COLUMN(기본데이타!AN$8),0))</f>
        <v/>
      </c>
      <c r="AL27" s="368" t="str">
        <f>IF($A27="","",VLOOKUP($A27,기본데이타!$A$8:$BV$103,COLUMN(기본데이타!AO$8),0))</f>
        <v/>
      </c>
      <c r="AM27" s="368" t="str">
        <f>IF($A27="","",VLOOKUP($A27,기본데이타!$A$8:$BV$103,COLUMN(기본데이타!AP$8),0))</f>
        <v/>
      </c>
      <c r="AN27" s="368" t="str">
        <f>IF($A27="","",VLOOKUP($A27,기본데이타!$A$8:$BV$103,COLUMN(기본데이타!AQ$8),0))</f>
        <v/>
      </c>
      <c r="AO27" s="368" t="str">
        <f>IF($A27="","",VLOOKUP($A27,기본데이타!$A$8:$BV$103,COLUMN(기본데이타!AR$8),0))</f>
        <v/>
      </c>
      <c r="AP27" s="1399" t="str">
        <f>IF($A27="","",VLOOKUP($A27,기본데이타!$A$8:$BV$103,COLUMN(기본데이타!AS$8),0))</f>
        <v/>
      </c>
      <c r="AQ27" s="1399" t="str">
        <f>IF($A27="","",VLOOKUP($A27,기본데이타!$A$8:$BV$103,COLUMN(기본데이타!AT$8),0))</f>
        <v/>
      </c>
      <c r="AR27" s="1399" t="str">
        <f>IF($A27="","",VLOOKUP($A27,기본데이타!$A$8:$BV$103,COLUMN(기본데이타!AU$8),0))</f>
        <v/>
      </c>
      <c r="AS27" s="368" t="str">
        <f>IF($A27="","",VLOOKUP($A27,기본데이타!$A$8:$BV$103,COLUMN(기본데이타!AV$8),0))</f>
        <v/>
      </c>
      <c r="AT27" s="16" t="str">
        <f>IF($A27="","",VLOOKUP($A27,기본데이타!$A$8:$BV$103,COLUMN(기본데이타!AW$8),0))</f>
        <v/>
      </c>
      <c r="AU27" s="16" t="str">
        <f>IF($A27="","",VLOOKUP($A27,기본데이타!$A$8:$BV$103,COLUMN(기본데이타!AX$8),0))</f>
        <v/>
      </c>
      <c r="AV27" s="16" t="str">
        <f>IF($A27="","",VLOOKUP($A27,기본데이타!$A$8:$BV$103,COLUMN(기본데이타!AY$8),0))</f>
        <v/>
      </c>
      <c r="AW27" s="16" t="str">
        <f t="shared" si="7"/>
        <v/>
      </c>
      <c r="AX27" s="136" t="str">
        <f>IF($A27="","",VLOOKUP($A27,기본데이타!$A$8:$BV$103,COLUMN(기본데이타!BA$8),0))</f>
        <v/>
      </c>
      <c r="AY27" s="136" t="str">
        <f>IF($A27="","",VLOOKUP($A27,기본데이타!$A$8:$BV$103,COLUMN(기본데이타!BB$8),0))</f>
        <v/>
      </c>
      <c r="AZ27" s="136" t="str">
        <f>IF($A27="","",VLOOKUP($A27,기본데이타!$A$8:$BV$103,COLUMN(기본데이타!BC$8),0))</f>
        <v/>
      </c>
      <c r="BA27" s="136" t="str">
        <f>IF($A27="","",VLOOKUP($A27,기본데이타!$A$8:$BV$103,COLUMN(기본데이타!BD$8),0))</f>
        <v/>
      </c>
      <c r="BB27" s="136" t="str">
        <f>IF($A27="","",VLOOKUP($A27,기본데이타!$A$8:$BV$103,COLUMN(기본데이타!BE$8),0))</f>
        <v/>
      </c>
      <c r="BC27" s="136" t="str">
        <f>IF($A27="","",VLOOKUP($A27,기본데이타!$A$8:$BV$103,COLUMN(기본데이타!BF$8),0))</f>
        <v/>
      </c>
      <c r="BD27" s="136" t="str">
        <f>IF($A27="","",VLOOKUP($A27,기본데이타!$A$8:$BV$103,COLUMN(기본데이타!BG$8),0))</f>
        <v/>
      </c>
      <c r="BE27" s="136" t="str">
        <f>IF($A27="","",VLOOKUP($A27,기본데이타!$A$8:$BV$103,COLUMN(기본데이타!BH$8),0))</f>
        <v/>
      </c>
      <c r="BF27" s="136" t="str">
        <f>IF($A27="","",VLOOKUP($A27,기본데이타!$A$8:$BV$103,COLUMN(기본데이타!BI$8),0))</f>
        <v/>
      </c>
      <c r="BG27" s="136" t="str">
        <f>IF($A27="","",VLOOKUP($A27,기본데이타!$A$8:$BV$103,COLUMN(기본데이타!BJ$8),0))</f>
        <v/>
      </c>
      <c r="BH27" s="136" t="str">
        <f>IF($A27="","",VLOOKUP($A27,기본데이타!$A$8:$BV$103,COLUMN(기본데이타!BK$8),0))</f>
        <v/>
      </c>
      <c r="BI27" s="136" t="str">
        <f>IF($A27="","",VLOOKUP($A27,기본데이타!$A$8:$BV$103,COLUMN(기본데이타!BL$8),0))</f>
        <v/>
      </c>
      <c r="BJ27" s="136" t="str">
        <f>IF($A27="","",VLOOKUP($A27,기본데이타!$A$8:$BV$103,COLUMN(기본데이타!BM$8),0))</f>
        <v/>
      </c>
      <c r="BK27" s="136" t="str">
        <f>IF($A27="","",VLOOKUP($A27,기본데이타!$A$8:$BV$103,COLUMN(기본데이타!BN$8),0))</f>
        <v/>
      </c>
      <c r="BL27" s="136" t="str">
        <f>IF($A27="","",VLOOKUP($A27,기본데이타!$A$8:$BV$103,COLUMN(기본데이타!BO$8),0))</f>
        <v/>
      </c>
      <c r="BM27" s="136" t="str">
        <f>IF($A27="","",VLOOKUP($A27,기본데이타!$A$8:$BV$103,COLUMN(기본데이타!BP$8),0))</f>
        <v/>
      </c>
      <c r="BN27" s="136" t="str">
        <f>IF($A27="","",VLOOKUP($A27,기본데이타!$A$8:$BV$103,COLUMN(기본데이타!BQ$8),0))</f>
        <v/>
      </c>
      <c r="BO27" s="136" t="str">
        <f>IF($A27="","",VLOOKUP($A27,기본데이타!$A$8:$BV$103,COLUMN(기본데이타!BR$8),0))</f>
        <v/>
      </c>
      <c r="BP27" s="136" t="str">
        <f>IF($A27="","",VLOOKUP($A27,기본데이타!$A$8:$BV$103,COLUMN(기본데이타!BS$8),0))</f>
        <v/>
      </c>
      <c r="BQ27" s="136" t="str">
        <f>IF($A27="","",VLOOKUP($A27,기본데이타!$A$8:$BV$103,COLUMN(기본데이타!BT$8),0))</f>
        <v/>
      </c>
      <c r="BR27" s="136" t="str">
        <f>IF($A27="","",VLOOKUP($A27,기본데이타!$A$8:$BV$103,COLUMN(기본데이타!BU$8),0))</f>
        <v/>
      </c>
      <c r="BS27" s="136" t="str">
        <f>IF($A27="","",VLOOKUP($A27,기본데이타!$A$8:$BV$103,COLUMN(기본데이타!BV$8),0))</f>
        <v/>
      </c>
      <c r="BT27" s="801">
        <f t="shared" si="8"/>
        <v>0</v>
      </c>
      <c r="BU27" s="242"/>
    </row>
    <row r="28" spans="1:73" s="7" customFormat="1" ht="73.5" customHeight="1">
      <c r="A28" s="171"/>
      <c r="B28" s="163"/>
      <c r="C28" s="164" t="str">
        <f>IF($A28="","",VLOOKUP($A28,기본데이타!$A$8:$BV$103,COLUMN(기본데이타!F$8),0))</f>
        <v/>
      </c>
      <c r="D28" s="165" t="str">
        <f>IF($A28="","",VLOOKUP($A28,기본데이타!$A$8:$BV$103,COLUMN(기본데이타!G$8),0))</f>
        <v/>
      </c>
      <c r="E28" s="166" t="str">
        <f>IF($A28="","",VLOOKUP($A28,기본데이타!$A$8:$BV$103,COLUMN(기본데이타!H$8),0))</f>
        <v/>
      </c>
      <c r="F28" s="166" t="str">
        <f>IF($A28="","",VLOOKUP($A28,기본데이타!$A$8:$BV$103,COLUMN(기본데이타!I$8),0))</f>
        <v/>
      </c>
      <c r="G28" s="166" t="str">
        <f>IF($A28="","",VLOOKUP($A28,기본데이타!$A$8:$BV$103,COLUMN(기본데이타!J$8),0))</f>
        <v/>
      </c>
      <c r="H28" s="167" t="str">
        <f>IF($A28="","",VLOOKUP($A28,기본데이타!$A$8:$BV$103,COLUMN(기본데이타!K$8),0))</f>
        <v/>
      </c>
      <c r="I28" s="167" t="str">
        <f>IF($A28="","",VLOOKUP($A28,기본데이타!$A$8:$BV$103,COLUMN(기본데이타!L$8),0))</f>
        <v/>
      </c>
      <c r="J28" s="167" t="str">
        <f>IF($A28="","",VLOOKUP($A28,기본데이타!$A$8:$BV$103,COLUMN(기본데이타!M$8),0))</f>
        <v/>
      </c>
      <c r="K28" s="168" t="str">
        <f>IF($A28="","",VLOOKUP($A28,기본데이타!$A$8:$BV$103,COLUMN(기본데이타!N$8),0))</f>
        <v/>
      </c>
      <c r="L28" s="167" t="str">
        <f>IF($A28="","",VLOOKUP($A28,기본데이타!$A$8:$BV$103,COLUMN(기본데이타!O$8),0))</f>
        <v/>
      </c>
      <c r="M28" s="168" t="str">
        <f>IF($A28="","",VLOOKUP($A28,기본데이타!$A$8:$BV$103,COLUMN(기본데이타!P$8),0))</f>
        <v/>
      </c>
      <c r="N28" s="168" t="str">
        <f>IF($A28="","",VLOOKUP($A28,기본데이타!$A$8:$BV$103,COLUMN(기본데이타!Q$8),0))</f>
        <v/>
      </c>
      <c r="O28" s="168" t="str">
        <f>IF($A28="","",VLOOKUP($A28,기본데이타!$A$8:$BV$103,COLUMN(기본데이타!R$8),0))</f>
        <v/>
      </c>
      <c r="P28" s="168" t="str">
        <f>IF($A28="","",VLOOKUP($A28,기본데이타!$A$8:$BV$103,COLUMN(기본데이타!S$8),0))</f>
        <v/>
      </c>
      <c r="Q28" s="168" t="str">
        <f>IF($A28="","",VLOOKUP($A28,기본데이타!$A$8:$BV$103,COLUMN(기본데이타!T$8),0))</f>
        <v/>
      </c>
      <c r="R28" s="168" t="str">
        <f>IF($A28="","",VLOOKUP($A28,기본데이타!$A$8:$BV$103,COLUMN(기본데이타!U$8),0))</f>
        <v/>
      </c>
      <c r="S28" s="168" t="str">
        <f>IF($A28="","",VLOOKUP($A28,기본데이타!$A$8:$BV$103,COLUMN(기본데이타!V$8),0))</f>
        <v/>
      </c>
      <c r="T28" s="168" t="str">
        <f>IF($A28="","",VLOOKUP($A28,기본데이타!$A$8:$BV$103,COLUMN(기본데이타!W$8),0))</f>
        <v/>
      </c>
      <c r="U28" s="168" t="str">
        <f>IF($A28="","",VLOOKUP($A28,기본데이타!$A$8:$BV$103,COLUMN(기본데이타!X$8),0))</f>
        <v/>
      </c>
      <c r="V28" s="168" t="str">
        <f>IF($A28="","",VLOOKUP($A28,기본데이타!$A$8:$BV$103,COLUMN(기본데이타!Y$8),0))</f>
        <v/>
      </c>
      <c r="W28" s="168" t="str">
        <f>IF($A28="","",VLOOKUP($A28,기본데이타!$A$8:$BV$103,COLUMN(기본데이타!Z$8),0))</f>
        <v/>
      </c>
      <c r="X28" s="168" t="str">
        <f>IF($A28="","",VLOOKUP($A28,기본데이타!$A$8:$BV$103,COLUMN(기본데이타!AA$8),0))</f>
        <v/>
      </c>
      <c r="Y28" s="168" t="str">
        <f>IF($A28="","",VLOOKUP($A28,기본데이타!$A$8:$BV$103,COLUMN(기본데이타!AB$8),0))</f>
        <v/>
      </c>
      <c r="Z28" s="167" t="str">
        <f>IF($A28="","",VLOOKUP($A28,기본데이타!$A$8:$BV$103,COLUMN(기본데이타!AC$8),0))</f>
        <v/>
      </c>
      <c r="AA28" s="1393" t="str">
        <f>IF($A28="","",VLOOKUP($A28,기본데이타!$A$8:$BV$103,COLUMN(기본데이타!AD$8),0))</f>
        <v/>
      </c>
      <c r="AB28" s="1394" t="str">
        <f>IF($A28="","",VLOOKUP($A28,기본데이타!$A$8:$BV$103,COLUMN(기본데이타!AE$8),0))</f>
        <v/>
      </c>
      <c r="AC28" s="1393" t="str">
        <f>IF($A28="","",VLOOKUP($A28,기본데이타!$A$8:$BV$103,COLUMN(기본데이타!AF$8),0))</f>
        <v/>
      </c>
      <c r="AD28" s="1394" t="str">
        <f>IF($A28="","",VLOOKUP($A28,기본데이타!$A$8:$BV$103,COLUMN(기본데이타!AG$8),0))</f>
        <v/>
      </c>
      <c r="AE28" s="1393" t="str">
        <f>IF($A28="","",VLOOKUP($A28,기본데이타!$A$8:$BV$103,COLUMN(기본데이타!AH$8),0))</f>
        <v/>
      </c>
      <c r="AF28" s="1394" t="str">
        <f>IF($A28="","",VLOOKUP($A28,기본데이타!$A$8:$BV$103,COLUMN(기본데이타!AI$8),0))</f>
        <v/>
      </c>
      <c r="AG28" s="169" t="str">
        <f>IF($A28="","",VLOOKUP($A28,기본데이타!$A$8:$BV$103,COLUMN(기본데이타!AJ$8),0))</f>
        <v/>
      </c>
      <c r="AH28" s="368" t="str">
        <f>IF($A28="","",VLOOKUP($A28,기본데이타!$A$8:$BV$103,COLUMN(기본데이타!AK$8),0))</f>
        <v/>
      </c>
      <c r="AI28" s="368" t="str">
        <f>IF($A28="","",VLOOKUP($A28,기본데이타!$A$8:$BV$103,COLUMN(기본데이타!AL$8),0))</f>
        <v/>
      </c>
      <c r="AJ28" s="368" t="str">
        <f>IF($A28="","",VLOOKUP($A28,기본데이타!$A$8:$BV$103,COLUMN(기본데이타!AM$8),0))</f>
        <v/>
      </c>
      <c r="AK28" s="368" t="str">
        <f>IF($A28="","",VLOOKUP($A28,기본데이타!$A$8:$BV$103,COLUMN(기본데이타!AN$8),0))</f>
        <v/>
      </c>
      <c r="AL28" s="368" t="str">
        <f>IF($A28="","",VLOOKUP($A28,기본데이타!$A$8:$BV$103,COLUMN(기본데이타!AO$8),0))</f>
        <v/>
      </c>
      <c r="AM28" s="368" t="str">
        <f>IF($A28="","",VLOOKUP($A28,기본데이타!$A$8:$BV$103,COLUMN(기본데이타!AP$8),0))</f>
        <v/>
      </c>
      <c r="AN28" s="368" t="str">
        <f>IF($A28="","",VLOOKUP($A28,기본데이타!$A$8:$BV$103,COLUMN(기본데이타!AQ$8),0))</f>
        <v/>
      </c>
      <c r="AO28" s="368" t="str">
        <f>IF($A28="","",VLOOKUP($A28,기본데이타!$A$8:$BV$103,COLUMN(기본데이타!AR$8),0))</f>
        <v/>
      </c>
      <c r="AP28" s="1399" t="str">
        <f>IF($A28="","",VLOOKUP($A28,기본데이타!$A$8:$BV$103,COLUMN(기본데이타!AS$8),0))</f>
        <v/>
      </c>
      <c r="AQ28" s="1399" t="str">
        <f>IF($A28="","",VLOOKUP($A28,기본데이타!$A$8:$BV$103,COLUMN(기본데이타!AT$8),0))</f>
        <v/>
      </c>
      <c r="AR28" s="1399" t="str">
        <f>IF($A28="","",VLOOKUP($A28,기본데이타!$A$8:$BV$103,COLUMN(기본데이타!AU$8),0))</f>
        <v/>
      </c>
      <c r="AS28" s="368" t="str">
        <f>IF($A28="","",VLOOKUP($A28,기본데이타!$A$8:$BV$103,COLUMN(기본데이타!AV$8),0))</f>
        <v/>
      </c>
      <c r="AT28" s="16" t="str">
        <f>IF($A28="","",VLOOKUP($A28,기본데이타!$A$8:$BV$103,COLUMN(기본데이타!AW$8),0))</f>
        <v/>
      </c>
      <c r="AU28" s="16" t="str">
        <f>IF($A28="","",VLOOKUP($A28,기본데이타!$A$8:$BV$103,COLUMN(기본데이타!AX$8),0))</f>
        <v/>
      </c>
      <c r="AV28" s="16" t="str">
        <f>IF($A28="","",VLOOKUP($A28,기본데이타!$A$8:$BV$103,COLUMN(기본데이타!AY$8),0))</f>
        <v/>
      </c>
      <c r="AW28" s="16" t="str">
        <f t="shared" si="7"/>
        <v/>
      </c>
      <c r="AX28" s="136" t="str">
        <f>IF($A28="","",VLOOKUP($A28,기본데이타!$A$8:$BV$103,COLUMN(기본데이타!BA$8),0))</f>
        <v/>
      </c>
      <c r="AY28" s="136" t="str">
        <f>IF($A28="","",VLOOKUP($A28,기본데이타!$A$8:$BV$103,COLUMN(기본데이타!BB$8),0))</f>
        <v/>
      </c>
      <c r="AZ28" s="136" t="str">
        <f>IF($A28="","",VLOOKUP($A28,기본데이타!$A$8:$BV$103,COLUMN(기본데이타!BC$8),0))</f>
        <v/>
      </c>
      <c r="BA28" s="136" t="str">
        <f>IF($A28="","",VLOOKUP($A28,기본데이타!$A$8:$BV$103,COLUMN(기본데이타!BD$8),0))</f>
        <v/>
      </c>
      <c r="BB28" s="136" t="str">
        <f>IF($A28="","",VLOOKUP($A28,기본데이타!$A$8:$BV$103,COLUMN(기본데이타!BE$8),0))</f>
        <v/>
      </c>
      <c r="BC28" s="136" t="str">
        <f>IF($A28="","",VLOOKUP($A28,기본데이타!$A$8:$BV$103,COLUMN(기본데이타!BF$8),0))</f>
        <v/>
      </c>
      <c r="BD28" s="136" t="str">
        <f>IF($A28="","",VLOOKUP($A28,기본데이타!$A$8:$BV$103,COLUMN(기본데이타!BG$8),0))</f>
        <v/>
      </c>
      <c r="BE28" s="136" t="str">
        <f>IF($A28="","",VLOOKUP($A28,기본데이타!$A$8:$BV$103,COLUMN(기본데이타!BH$8),0))</f>
        <v/>
      </c>
      <c r="BF28" s="136" t="str">
        <f>IF($A28="","",VLOOKUP($A28,기본데이타!$A$8:$BV$103,COLUMN(기본데이타!BI$8),0))</f>
        <v/>
      </c>
      <c r="BG28" s="136" t="str">
        <f>IF($A28="","",VLOOKUP($A28,기본데이타!$A$8:$BV$103,COLUMN(기본데이타!BJ$8),0))</f>
        <v/>
      </c>
      <c r="BH28" s="136" t="str">
        <f>IF($A28="","",VLOOKUP($A28,기본데이타!$A$8:$BV$103,COLUMN(기본데이타!BK$8),0))</f>
        <v/>
      </c>
      <c r="BI28" s="136" t="str">
        <f>IF($A28="","",VLOOKUP($A28,기본데이타!$A$8:$BV$103,COLUMN(기본데이타!BL$8),0))</f>
        <v/>
      </c>
      <c r="BJ28" s="136" t="str">
        <f>IF($A28="","",VLOOKUP($A28,기본데이타!$A$8:$BV$103,COLUMN(기본데이타!BM$8),0))</f>
        <v/>
      </c>
      <c r="BK28" s="136" t="str">
        <f>IF($A28="","",VLOOKUP($A28,기본데이타!$A$8:$BV$103,COLUMN(기본데이타!BN$8),0))</f>
        <v/>
      </c>
      <c r="BL28" s="136" t="str">
        <f>IF($A28="","",VLOOKUP($A28,기본데이타!$A$8:$BV$103,COLUMN(기본데이타!BO$8),0))</f>
        <v/>
      </c>
      <c r="BM28" s="136" t="str">
        <f>IF($A28="","",VLOOKUP($A28,기본데이타!$A$8:$BV$103,COLUMN(기본데이타!BP$8),0))</f>
        <v/>
      </c>
      <c r="BN28" s="136" t="str">
        <f>IF($A28="","",VLOOKUP($A28,기본데이타!$A$8:$BV$103,COLUMN(기본데이타!BQ$8),0))</f>
        <v/>
      </c>
      <c r="BO28" s="136" t="str">
        <f>IF($A28="","",VLOOKUP($A28,기본데이타!$A$8:$BV$103,COLUMN(기본데이타!BR$8),0))</f>
        <v/>
      </c>
      <c r="BP28" s="136" t="str">
        <f>IF($A28="","",VLOOKUP($A28,기본데이타!$A$8:$BV$103,COLUMN(기본데이타!BS$8),0))</f>
        <v/>
      </c>
      <c r="BQ28" s="136" t="str">
        <f>IF($A28="","",VLOOKUP($A28,기본데이타!$A$8:$BV$103,COLUMN(기본데이타!BT$8),0))</f>
        <v/>
      </c>
      <c r="BR28" s="136" t="str">
        <f>IF($A28="","",VLOOKUP($A28,기본데이타!$A$8:$BV$103,COLUMN(기본데이타!BU$8),0))</f>
        <v/>
      </c>
      <c r="BS28" s="136" t="str">
        <f>IF($A28="","",VLOOKUP($A28,기본데이타!$A$8:$BV$103,COLUMN(기본데이타!BV$8),0))</f>
        <v/>
      </c>
      <c r="BT28" s="801">
        <f t="shared" si="8"/>
        <v>0</v>
      </c>
      <c r="BU28" s="242"/>
    </row>
    <row r="29" spans="1:73" s="7" customFormat="1" ht="73.5" customHeight="1">
      <c r="A29" s="171"/>
      <c r="B29" s="163"/>
      <c r="C29" s="164" t="str">
        <f>IF($A29="","",VLOOKUP($A29,기본데이타!$A$8:$BV$103,COLUMN(기본데이타!F$8),0))</f>
        <v/>
      </c>
      <c r="D29" s="165" t="str">
        <f>IF($A29="","",VLOOKUP($A29,기본데이타!$A$8:$BV$103,COLUMN(기본데이타!G$8),0))</f>
        <v/>
      </c>
      <c r="E29" s="166" t="str">
        <f>IF($A29="","",VLOOKUP($A29,기본데이타!$A$8:$BV$103,COLUMN(기본데이타!H$8),0))</f>
        <v/>
      </c>
      <c r="F29" s="166" t="str">
        <f>IF($A29="","",VLOOKUP($A29,기본데이타!$A$8:$BV$103,COLUMN(기본데이타!I$8),0))</f>
        <v/>
      </c>
      <c r="G29" s="166" t="str">
        <f>IF($A29="","",VLOOKUP($A29,기본데이타!$A$8:$BV$103,COLUMN(기본데이타!J$8),0))</f>
        <v/>
      </c>
      <c r="H29" s="167" t="str">
        <f>IF($A29="","",VLOOKUP($A29,기본데이타!$A$8:$BV$103,COLUMN(기본데이타!K$8),0))</f>
        <v/>
      </c>
      <c r="I29" s="167" t="str">
        <f>IF($A29="","",VLOOKUP($A29,기본데이타!$A$8:$BV$103,COLUMN(기본데이타!L$8),0))</f>
        <v/>
      </c>
      <c r="J29" s="167" t="str">
        <f>IF($A29="","",VLOOKUP($A29,기본데이타!$A$8:$BV$103,COLUMN(기본데이타!M$8),0))</f>
        <v/>
      </c>
      <c r="K29" s="168" t="str">
        <f>IF($A29="","",VLOOKUP($A29,기본데이타!$A$8:$BV$103,COLUMN(기본데이타!N$8),0))</f>
        <v/>
      </c>
      <c r="L29" s="167" t="str">
        <f>IF($A29="","",VLOOKUP($A29,기본데이타!$A$8:$BV$103,COLUMN(기본데이타!O$8),0))</f>
        <v/>
      </c>
      <c r="M29" s="168" t="str">
        <f>IF($A29="","",VLOOKUP($A29,기본데이타!$A$8:$BV$103,COLUMN(기본데이타!P$8),0))</f>
        <v/>
      </c>
      <c r="N29" s="168" t="str">
        <f>IF($A29="","",VLOOKUP($A29,기본데이타!$A$8:$BV$103,COLUMN(기본데이타!Q$8),0))</f>
        <v/>
      </c>
      <c r="O29" s="168" t="str">
        <f>IF($A29="","",VLOOKUP($A29,기본데이타!$A$8:$BV$103,COLUMN(기본데이타!R$8),0))</f>
        <v/>
      </c>
      <c r="P29" s="168" t="str">
        <f>IF($A29="","",VLOOKUP($A29,기본데이타!$A$8:$BV$103,COLUMN(기본데이타!S$8),0))</f>
        <v/>
      </c>
      <c r="Q29" s="168" t="str">
        <f>IF($A29="","",VLOOKUP($A29,기본데이타!$A$8:$BV$103,COLUMN(기본데이타!T$8),0))</f>
        <v/>
      </c>
      <c r="R29" s="168" t="str">
        <f>IF($A29="","",VLOOKUP($A29,기본데이타!$A$8:$BV$103,COLUMN(기본데이타!U$8),0))</f>
        <v/>
      </c>
      <c r="S29" s="168" t="str">
        <f>IF($A29="","",VLOOKUP($A29,기본데이타!$A$8:$BV$103,COLUMN(기본데이타!V$8),0))</f>
        <v/>
      </c>
      <c r="T29" s="168" t="str">
        <f>IF($A29="","",VLOOKUP($A29,기본데이타!$A$8:$BV$103,COLUMN(기본데이타!W$8),0))</f>
        <v/>
      </c>
      <c r="U29" s="168" t="str">
        <f>IF($A29="","",VLOOKUP($A29,기본데이타!$A$8:$BV$103,COLUMN(기본데이타!X$8),0))</f>
        <v/>
      </c>
      <c r="V29" s="168" t="str">
        <f>IF($A29="","",VLOOKUP($A29,기본데이타!$A$8:$BV$103,COLUMN(기본데이타!Y$8),0))</f>
        <v/>
      </c>
      <c r="W29" s="168" t="str">
        <f>IF($A29="","",VLOOKUP($A29,기본데이타!$A$8:$BV$103,COLUMN(기본데이타!Z$8),0))</f>
        <v/>
      </c>
      <c r="X29" s="168" t="str">
        <f>IF($A29="","",VLOOKUP($A29,기본데이타!$A$8:$BV$103,COLUMN(기본데이타!AA$8),0))</f>
        <v/>
      </c>
      <c r="Y29" s="168" t="str">
        <f>IF($A29="","",VLOOKUP($A29,기본데이타!$A$8:$BV$103,COLUMN(기본데이타!AB$8),0))</f>
        <v/>
      </c>
      <c r="Z29" s="167" t="str">
        <f>IF($A29="","",VLOOKUP($A29,기본데이타!$A$8:$BV$103,COLUMN(기본데이타!AC$8),0))</f>
        <v/>
      </c>
      <c r="AA29" s="1393" t="str">
        <f>IF($A29="","",VLOOKUP($A29,기본데이타!$A$8:$BV$103,COLUMN(기본데이타!AD$8),0))</f>
        <v/>
      </c>
      <c r="AB29" s="1394" t="str">
        <f>IF($A29="","",VLOOKUP($A29,기본데이타!$A$8:$BV$103,COLUMN(기본데이타!AE$8),0))</f>
        <v/>
      </c>
      <c r="AC29" s="1393" t="str">
        <f>IF($A29="","",VLOOKUP($A29,기본데이타!$A$8:$BV$103,COLUMN(기본데이타!AF$8),0))</f>
        <v/>
      </c>
      <c r="AD29" s="1394" t="str">
        <f>IF($A29="","",VLOOKUP($A29,기본데이타!$A$8:$BV$103,COLUMN(기본데이타!AG$8),0))</f>
        <v/>
      </c>
      <c r="AE29" s="1393" t="str">
        <f>IF($A29="","",VLOOKUP($A29,기본데이타!$A$8:$BV$103,COLUMN(기본데이타!AH$8),0))</f>
        <v/>
      </c>
      <c r="AF29" s="1394" t="str">
        <f>IF($A29="","",VLOOKUP($A29,기본데이타!$A$8:$BV$103,COLUMN(기본데이타!AI$8),0))</f>
        <v/>
      </c>
      <c r="AG29" s="169" t="str">
        <f>IF($A29="","",VLOOKUP($A29,기본데이타!$A$8:$BV$103,COLUMN(기본데이타!AJ$8),0))</f>
        <v/>
      </c>
      <c r="AH29" s="364" t="str">
        <f>IF($A29="","",VLOOKUP($A29,기본데이타!$A$8:$BV$103,COLUMN(기본데이타!AK$8),0))</f>
        <v/>
      </c>
      <c r="AI29" s="364" t="str">
        <f>IF($A29="","",VLOOKUP($A29,기본데이타!$A$8:$BV$103,COLUMN(기본데이타!AL$8),0))</f>
        <v/>
      </c>
      <c r="AJ29" s="364" t="str">
        <f>IF($A29="","",VLOOKUP($A29,기본데이타!$A$8:$BV$103,COLUMN(기본데이타!AM$8),0))</f>
        <v/>
      </c>
      <c r="AK29" s="364" t="str">
        <f>IF($A29="","",VLOOKUP($A29,기본데이타!$A$8:$BV$103,COLUMN(기본데이타!AN$8),0))</f>
        <v/>
      </c>
      <c r="AL29" s="364" t="str">
        <f>IF($A29="","",VLOOKUP($A29,기본데이타!$A$8:$BV$103,COLUMN(기본데이타!AO$8),0))</f>
        <v/>
      </c>
      <c r="AM29" s="364" t="str">
        <f>IF($A29="","",VLOOKUP($A29,기본데이타!$A$8:$BV$103,COLUMN(기본데이타!AP$8),0))</f>
        <v/>
      </c>
      <c r="AN29" s="364" t="str">
        <f>IF($A29="","",VLOOKUP($A29,기본데이타!$A$8:$BV$103,COLUMN(기본데이타!AQ$8),0))</f>
        <v/>
      </c>
      <c r="AO29" s="364" t="str">
        <f>IF($A29="","",VLOOKUP($A29,기본데이타!$A$8:$BV$103,COLUMN(기본데이타!AR$8),0))</f>
        <v/>
      </c>
      <c r="AP29" s="1400" t="str">
        <f>IF($A29="","",VLOOKUP($A29,기본데이타!$A$8:$BV$103,COLUMN(기본데이타!AS$8),0))</f>
        <v/>
      </c>
      <c r="AQ29" s="1400" t="str">
        <f>IF($A29="","",VLOOKUP($A29,기본데이타!$A$8:$BV$103,COLUMN(기본데이타!AT$8),0))</f>
        <v/>
      </c>
      <c r="AR29" s="1400" t="str">
        <f>IF($A29="","",VLOOKUP($A29,기본데이타!$A$8:$BV$103,COLUMN(기본데이타!AU$8),0))</f>
        <v/>
      </c>
      <c r="AS29" s="364" t="str">
        <f>IF($A29="","",VLOOKUP($A29,기본데이타!$A$8:$BV$103,COLUMN(기본데이타!AV$8),0))</f>
        <v/>
      </c>
      <c r="AT29" s="16" t="str">
        <f>IF($A29="","",VLOOKUP($A29,기본데이타!$A$8:$BV$103,COLUMN(기본데이타!AW$8),0))</f>
        <v/>
      </c>
      <c r="AU29" s="16" t="str">
        <f>IF($A29="","",VLOOKUP($A29,기본데이타!$A$8:$BV$103,COLUMN(기본데이타!AX$8),0))</f>
        <v/>
      </c>
      <c r="AV29" s="16" t="str">
        <f>IF($A29="","",VLOOKUP($A29,기본데이타!$A$8:$BV$103,COLUMN(기본데이타!AY$8),0))</f>
        <v/>
      </c>
      <c r="AW29" s="16" t="str">
        <f t="shared" si="7"/>
        <v/>
      </c>
      <c r="AX29" s="136" t="str">
        <f>IF($A29="","",VLOOKUP($A29,기본데이타!$A$8:$BV$103,COLUMN(기본데이타!BA$8),0))</f>
        <v/>
      </c>
      <c r="AY29" s="136" t="str">
        <f>IF($A29="","",VLOOKUP($A29,기본데이타!$A$8:$BV$103,COLUMN(기본데이타!BB$8),0))</f>
        <v/>
      </c>
      <c r="AZ29" s="136" t="str">
        <f>IF($A29="","",VLOOKUP($A29,기본데이타!$A$8:$BV$103,COLUMN(기본데이타!BC$8),0))</f>
        <v/>
      </c>
      <c r="BA29" s="136" t="str">
        <f>IF($A29="","",VLOOKUP($A29,기본데이타!$A$8:$BV$103,COLUMN(기본데이타!BD$8),0))</f>
        <v/>
      </c>
      <c r="BB29" s="136" t="str">
        <f>IF($A29="","",VLOOKUP($A29,기본데이타!$A$8:$BV$103,COLUMN(기본데이타!BE$8),0))</f>
        <v/>
      </c>
      <c r="BC29" s="136" t="str">
        <f>IF($A29="","",VLOOKUP($A29,기본데이타!$A$8:$BV$103,COLUMN(기본데이타!BF$8),0))</f>
        <v/>
      </c>
      <c r="BD29" s="136" t="str">
        <f>IF($A29="","",VLOOKUP($A29,기본데이타!$A$8:$BV$103,COLUMN(기본데이타!BG$8),0))</f>
        <v/>
      </c>
      <c r="BE29" s="136" t="str">
        <f>IF($A29="","",VLOOKUP($A29,기본데이타!$A$8:$BV$103,COLUMN(기본데이타!BH$8),0))</f>
        <v/>
      </c>
      <c r="BF29" s="136" t="str">
        <f>IF($A29="","",VLOOKUP($A29,기본데이타!$A$8:$BV$103,COLUMN(기본데이타!BI$8),0))</f>
        <v/>
      </c>
      <c r="BG29" s="136" t="str">
        <f>IF($A29="","",VLOOKUP($A29,기본데이타!$A$8:$BV$103,COLUMN(기본데이타!BJ$8),0))</f>
        <v/>
      </c>
      <c r="BH29" s="136" t="str">
        <f>IF($A29="","",VLOOKUP($A29,기본데이타!$A$8:$BV$103,COLUMN(기본데이타!BK$8),0))</f>
        <v/>
      </c>
      <c r="BI29" s="136" t="str">
        <f>IF($A29="","",VLOOKUP($A29,기본데이타!$A$8:$BV$103,COLUMN(기본데이타!BL$8),0))</f>
        <v/>
      </c>
      <c r="BJ29" s="136" t="str">
        <f>IF($A29="","",VLOOKUP($A29,기본데이타!$A$8:$BV$103,COLUMN(기본데이타!BM$8),0))</f>
        <v/>
      </c>
      <c r="BK29" s="136" t="str">
        <f>IF($A29="","",VLOOKUP($A29,기본데이타!$A$8:$BV$103,COLUMN(기본데이타!BN$8),0))</f>
        <v/>
      </c>
      <c r="BL29" s="136" t="str">
        <f>IF($A29="","",VLOOKUP($A29,기본데이타!$A$8:$BV$103,COLUMN(기본데이타!BO$8),0))</f>
        <v/>
      </c>
      <c r="BM29" s="136" t="str">
        <f>IF($A29="","",VLOOKUP($A29,기본데이타!$A$8:$BV$103,COLUMN(기본데이타!BP$8),0))</f>
        <v/>
      </c>
      <c r="BN29" s="136" t="str">
        <f>IF($A29="","",VLOOKUP($A29,기본데이타!$A$8:$BV$103,COLUMN(기본데이타!BQ$8),0))</f>
        <v/>
      </c>
      <c r="BO29" s="136" t="str">
        <f>IF($A29="","",VLOOKUP($A29,기본데이타!$A$8:$BV$103,COLUMN(기본데이타!BR$8),0))</f>
        <v/>
      </c>
      <c r="BP29" s="136" t="str">
        <f>IF($A29="","",VLOOKUP($A29,기본데이타!$A$8:$BV$103,COLUMN(기본데이타!BS$8),0))</f>
        <v/>
      </c>
      <c r="BQ29" s="136" t="str">
        <f>IF($A29="","",VLOOKUP($A29,기본데이타!$A$8:$BV$103,COLUMN(기본데이타!BT$8),0))</f>
        <v/>
      </c>
      <c r="BR29" s="136" t="str">
        <f>IF($A29="","",VLOOKUP($A29,기본데이타!$A$8:$BV$103,COLUMN(기본데이타!BU$8),0))</f>
        <v/>
      </c>
      <c r="BS29" s="136" t="str">
        <f>IF($A29="","",VLOOKUP($A29,기본데이타!$A$8:$BV$103,COLUMN(기본데이타!BV$8),0))</f>
        <v/>
      </c>
      <c r="BT29" s="801">
        <f t="shared" si="8"/>
        <v>0</v>
      </c>
      <c r="BU29" s="242"/>
    </row>
    <row r="30" spans="1:73" s="7" customFormat="1" ht="73.5" customHeight="1">
      <c r="A30" s="171"/>
      <c r="B30" s="163"/>
      <c r="C30" s="164" t="str">
        <f>IF($A30="","",VLOOKUP($A30,기본데이타!$A$8:$BV$103,COLUMN(기본데이타!F$8),0))</f>
        <v/>
      </c>
      <c r="D30" s="165" t="str">
        <f>IF($A30="","",VLOOKUP($A30,기본데이타!$A$8:$BV$103,COLUMN(기본데이타!G$8),0))</f>
        <v/>
      </c>
      <c r="E30" s="166" t="str">
        <f>IF($A30="","",VLOOKUP($A30,기본데이타!$A$8:$BV$103,COLUMN(기본데이타!H$8),0))</f>
        <v/>
      </c>
      <c r="F30" s="166" t="str">
        <f>IF($A30="","",VLOOKUP($A30,기본데이타!$A$8:$BV$103,COLUMN(기본데이타!I$8),0))</f>
        <v/>
      </c>
      <c r="G30" s="166" t="str">
        <f>IF($A30="","",VLOOKUP($A30,기본데이타!$A$8:$BV$103,COLUMN(기본데이타!J$8),0))</f>
        <v/>
      </c>
      <c r="H30" s="167" t="str">
        <f>IF($A30="","",VLOOKUP($A30,기본데이타!$A$8:$BV$103,COLUMN(기본데이타!K$8),0))</f>
        <v/>
      </c>
      <c r="I30" s="167" t="str">
        <f>IF($A30="","",VLOOKUP($A30,기본데이타!$A$8:$BV$103,COLUMN(기본데이타!L$8),0))</f>
        <v/>
      </c>
      <c r="J30" s="167" t="str">
        <f>IF($A30="","",VLOOKUP($A30,기본데이타!$A$8:$BV$103,COLUMN(기본데이타!M$8),0))</f>
        <v/>
      </c>
      <c r="K30" s="168" t="str">
        <f>IF($A30="","",VLOOKUP($A30,기본데이타!$A$8:$BV$103,COLUMN(기본데이타!N$8),0))</f>
        <v/>
      </c>
      <c r="L30" s="167" t="str">
        <f>IF($A30="","",VLOOKUP($A30,기본데이타!$A$8:$BV$103,COLUMN(기본데이타!O$8),0))</f>
        <v/>
      </c>
      <c r="M30" s="168" t="str">
        <f>IF($A30="","",VLOOKUP($A30,기본데이타!$A$8:$BV$103,COLUMN(기본데이타!P$8),0))</f>
        <v/>
      </c>
      <c r="N30" s="168" t="str">
        <f>IF($A30="","",VLOOKUP($A30,기본데이타!$A$8:$BV$103,COLUMN(기본데이타!Q$8),0))</f>
        <v/>
      </c>
      <c r="O30" s="168" t="str">
        <f>IF($A30="","",VLOOKUP($A30,기본데이타!$A$8:$BV$103,COLUMN(기본데이타!R$8),0))</f>
        <v/>
      </c>
      <c r="P30" s="168" t="str">
        <f>IF($A30="","",VLOOKUP($A30,기본데이타!$A$8:$BV$103,COLUMN(기본데이타!S$8),0))</f>
        <v/>
      </c>
      <c r="Q30" s="168" t="str">
        <f>IF($A30="","",VLOOKUP($A30,기본데이타!$A$8:$BV$103,COLUMN(기본데이타!T$8),0))</f>
        <v/>
      </c>
      <c r="R30" s="168" t="str">
        <f>IF($A30="","",VLOOKUP($A30,기본데이타!$A$8:$BV$103,COLUMN(기본데이타!U$8),0))</f>
        <v/>
      </c>
      <c r="S30" s="168" t="str">
        <f>IF($A30="","",VLOOKUP($A30,기본데이타!$A$8:$BV$103,COLUMN(기본데이타!V$8),0))</f>
        <v/>
      </c>
      <c r="T30" s="168" t="str">
        <f>IF($A30="","",VLOOKUP($A30,기본데이타!$A$8:$BV$103,COLUMN(기본데이타!W$8),0))</f>
        <v/>
      </c>
      <c r="U30" s="168" t="str">
        <f>IF($A30="","",VLOOKUP($A30,기본데이타!$A$8:$BV$103,COLUMN(기본데이타!X$8),0))</f>
        <v/>
      </c>
      <c r="V30" s="168" t="str">
        <f>IF($A30="","",VLOOKUP($A30,기본데이타!$A$8:$BV$103,COLUMN(기본데이타!Y$8),0))</f>
        <v/>
      </c>
      <c r="W30" s="168" t="str">
        <f>IF($A30="","",VLOOKUP($A30,기본데이타!$A$8:$BV$103,COLUMN(기본데이타!Z$8),0))</f>
        <v/>
      </c>
      <c r="X30" s="168" t="str">
        <f>IF($A30="","",VLOOKUP($A30,기본데이타!$A$8:$BV$103,COLUMN(기본데이타!AA$8),0))</f>
        <v/>
      </c>
      <c r="Y30" s="168" t="str">
        <f>IF($A30="","",VLOOKUP($A30,기본데이타!$A$8:$BV$103,COLUMN(기본데이타!AB$8),0))</f>
        <v/>
      </c>
      <c r="Z30" s="167" t="str">
        <f>IF($A30="","",VLOOKUP($A30,기본데이타!$A$8:$BV$103,COLUMN(기본데이타!AC$8),0))</f>
        <v/>
      </c>
      <c r="AA30" s="1393" t="str">
        <f>IF($A30="","",VLOOKUP($A30,기본데이타!$A$8:$BV$103,COLUMN(기본데이타!AD$8),0))</f>
        <v/>
      </c>
      <c r="AB30" s="1394" t="str">
        <f>IF($A30="","",VLOOKUP($A30,기본데이타!$A$8:$BV$103,COLUMN(기본데이타!AE$8),0))</f>
        <v/>
      </c>
      <c r="AC30" s="1393" t="str">
        <f>IF($A30="","",VLOOKUP($A30,기본데이타!$A$8:$BV$103,COLUMN(기본데이타!AF$8),0))</f>
        <v/>
      </c>
      <c r="AD30" s="1394" t="str">
        <f>IF($A30="","",VLOOKUP($A30,기본데이타!$A$8:$BV$103,COLUMN(기본데이타!AG$8),0))</f>
        <v/>
      </c>
      <c r="AE30" s="1393" t="str">
        <f>IF($A30="","",VLOOKUP($A30,기본데이타!$A$8:$BV$103,COLUMN(기본데이타!AH$8),0))</f>
        <v/>
      </c>
      <c r="AF30" s="1394" t="str">
        <f>IF($A30="","",VLOOKUP($A30,기본데이타!$A$8:$BV$103,COLUMN(기본데이타!AI$8),0))</f>
        <v/>
      </c>
      <c r="AG30" s="169" t="str">
        <f>IF($A30="","",VLOOKUP($A30,기본데이타!$A$8:$BV$103,COLUMN(기본데이타!AJ$8),0))</f>
        <v/>
      </c>
      <c r="AH30" s="364" t="str">
        <f>IF($A30="","",VLOOKUP($A30,기본데이타!$A$8:$BV$103,COLUMN(기본데이타!AK$8),0))</f>
        <v/>
      </c>
      <c r="AI30" s="364" t="str">
        <f>IF($A30="","",VLOOKUP($A30,기본데이타!$A$8:$BV$103,COLUMN(기본데이타!AL$8),0))</f>
        <v/>
      </c>
      <c r="AJ30" s="364" t="str">
        <f>IF($A30="","",VLOOKUP($A30,기본데이타!$A$8:$BV$103,COLUMN(기본데이타!AM$8),0))</f>
        <v/>
      </c>
      <c r="AK30" s="364" t="str">
        <f>IF($A30="","",VLOOKUP($A30,기본데이타!$A$8:$BV$103,COLUMN(기본데이타!AN$8),0))</f>
        <v/>
      </c>
      <c r="AL30" s="364" t="str">
        <f>IF($A30="","",VLOOKUP($A30,기본데이타!$A$8:$BV$103,COLUMN(기본데이타!AO$8),0))</f>
        <v/>
      </c>
      <c r="AM30" s="364" t="str">
        <f>IF($A30="","",VLOOKUP($A30,기본데이타!$A$8:$BV$103,COLUMN(기본데이타!AP$8),0))</f>
        <v/>
      </c>
      <c r="AN30" s="364" t="str">
        <f>IF($A30="","",VLOOKUP($A30,기본데이타!$A$8:$BV$103,COLUMN(기본데이타!AQ$8),0))</f>
        <v/>
      </c>
      <c r="AO30" s="364" t="str">
        <f>IF($A30="","",VLOOKUP($A30,기본데이타!$A$8:$BV$103,COLUMN(기본데이타!AR$8),0))</f>
        <v/>
      </c>
      <c r="AP30" s="1400" t="str">
        <f>IF($A30="","",VLOOKUP($A30,기본데이타!$A$8:$BV$103,COLUMN(기본데이타!AS$8),0))</f>
        <v/>
      </c>
      <c r="AQ30" s="1400" t="str">
        <f>IF($A30="","",VLOOKUP($A30,기본데이타!$A$8:$BV$103,COLUMN(기본데이타!AT$8),0))</f>
        <v/>
      </c>
      <c r="AR30" s="1400" t="str">
        <f>IF($A30="","",VLOOKUP($A30,기본데이타!$A$8:$BV$103,COLUMN(기본데이타!AU$8),0))</f>
        <v/>
      </c>
      <c r="AS30" s="364" t="str">
        <f>IF($A30="","",VLOOKUP($A30,기본데이타!$A$8:$BV$103,COLUMN(기본데이타!AV$8),0))</f>
        <v/>
      </c>
      <c r="AT30" s="16" t="str">
        <f>IF($A30="","",VLOOKUP($A30,기본데이타!$A$8:$BV$103,COLUMN(기본데이타!AW$8),0))</f>
        <v/>
      </c>
      <c r="AU30" s="16" t="str">
        <f>IF($A30="","",VLOOKUP($A30,기본데이타!$A$8:$BV$103,COLUMN(기본데이타!AX$8),0))</f>
        <v/>
      </c>
      <c r="AV30" s="16" t="str">
        <f>IF($A30="","",VLOOKUP($A30,기본데이타!$A$8:$BV$103,COLUMN(기본데이타!AY$8),0))</f>
        <v/>
      </c>
      <c r="AW30" s="16" t="str">
        <f t="shared" si="7"/>
        <v/>
      </c>
      <c r="AX30" s="136" t="str">
        <f>IF($A30="","",VLOOKUP($A30,기본데이타!$A$8:$BV$103,COLUMN(기본데이타!BA$8),0))</f>
        <v/>
      </c>
      <c r="AY30" s="136" t="str">
        <f>IF($A30="","",VLOOKUP($A30,기본데이타!$A$8:$BV$103,COLUMN(기본데이타!BB$8),0))</f>
        <v/>
      </c>
      <c r="AZ30" s="136" t="str">
        <f>IF($A30="","",VLOOKUP($A30,기본데이타!$A$8:$BV$103,COLUMN(기본데이타!BC$8),0))</f>
        <v/>
      </c>
      <c r="BA30" s="136" t="str">
        <f>IF($A30="","",VLOOKUP($A30,기본데이타!$A$8:$BV$103,COLUMN(기본데이타!BD$8),0))</f>
        <v/>
      </c>
      <c r="BB30" s="136" t="str">
        <f>IF($A30="","",VLOOKUP($A30,기본데이타!$A$8:$BV$103,COLUMN(기본데이타!BE$8),0))</f>
        <v/>
      </c>
      <c r="BC30" s="136" t="str">
        <f>IF($A30="","",VLOOKUP($A30,기본데이타!$A$8:$BV$103,COLUMN(기본데이타!BF$8),0))</f>
        <v/>
      </c>
      <c r="BD30" s="136" t="str">
        <f>IF($A30="","",VLOOKUP($A30,기본데이타!$A$8:$BV$103,COLUMN(기본데이타!BG$8),0))</f>
        <v/>
      </c>
      <c r="BE30" s="136" t="str">
        <f>IF($A30="","",VLOOKUP($A30,기본데이타!$A$8:$BV$103,COLUMN(기본데이타!BH$8),0))</f>
        <v/>
      </c>
      <c r="BF30" s="136" t="str">
        <f>IF($A30="","",VLOOKUP($A30,기본데이타!$A$8:$BV$103,COLUMN(기본데이타!BI$8),0))</f>
        <v/>
      </c>
      <c r="BG30" s="136" t="str">
        <f>IF($A30="","",VLOOKUP($A30,기본데이타!$A$8:$BV$103,COLUMN(기본데이타!BJ$8),0))</f>
        <v/>
      </c>
      <c r="BH30" s="136" t="str">
        <f>IF($A30="","",VLOOKUP($A30,기본데이타!$A$8:$BV$103,COLUMN(기본데이타!BK$8),0))</f>
        <v/>
      </c>
      <c r="BI30" s="136" t="str">
        <f>IF($A30="","",VLOOKUP($A30,기본데이타!$A$8:$BV$103,COLUMN(기본데이타!BL$8),0))</f>
        <v/>
      </c>
      <c r="BJ30" s="136" t="str">
        <f>IF($A30="","",VLOOKUP($A30,기본데이타!$A$8:$BV$103,COLUMN(기본데이타!BM$8),0))</f>
        <v/>
      </c>
      <c r="BK30" s="136" t="str">
        <f>IF($A30="","",VLOOKUP($A30,기본데이타!$A$8:$BV$103,COLUMN(기본데이타!BN$8),0))</f>
        <v/>
      </c>
      <c r="BL30" s="136" t="str">
        <f>IF($A30="","",VLOOKUP($A30,기본데이타!$A$8:$BV$103,COLUMN(기본데이타!BO$8),0))</f>
        <v/>
      </c>
      <c r="BM30" s="136" t="str">
        <f>IF($A30="","",VLOOKUP($A30,기본데이타!$A$8:$BV$103,COLUMN(기본데이타!BP$8),0))</f>
        <v/>
      </c>
      <c r="BN30" s="136" t="str">
        <f>IF($A30="","",VLOOKUP($A30,기본데이타!$A$8:$BV$103,COLUMN(기본데이타!BQ$8),0))</f>
        <v/>
      </c>
      <c r="BO30" s="136" t="str">
        <f>IF($A30="","",VLOOKUP($A30,기본데이타!$A$8:$BV$103,COLUMN(기본데이타!BR$8),0))</f>
        <v/>
      </c>
      <c r="BP30" s="136" t="str">
        <f>IF($A30="","",VLOOKUP($A30,기본데이타!$A$8:$BV$103,COLUMN(기본데이타!BS$8),0))</f>
        <v/>
      </c>
      <c r="BQ30" s="136" t="str">
        <f>IF($A30="","",VLOOKUP($A30,기본데이타!$A$8:$BV$103,COLUMN(기본데이타!BT$8),0))</f>
        <v/>
      </c>
      <c r="BR30" s="136" t="str">
        <f>IF($A30="","",VLOOKUP($A30,기본데이타!$A$8:$BV$103,COLUMN(기본데이타!BU$8),0))</f>
        <v/>
      </c>
      <c r="BS30" s="136" t="str">
        <f>IF($A30="","",VLOOKUP($A30,기본데이타!$A$8:$BV$103,COLUMN(기본데이타!BV$8),0))</f>
        <v/>
      </c>
      <c r="BT30" s="801">
        <f t="shared" si="8"/>
        <v>0</v>
      </c>
      <c r="BU30" s="242"/>
    </row>
    <row r="31" spans="1:73" s="7" customFormat="1" ht="73.5" customHeight="1">
      <c r="A31" s="171"/>
      <c r="B31" s="163"/>
      <c r="C31" s="164" t="str">
        <f>IF($A31="","",VLOOKUP($A31,기본데이타!$A$8:$BV$103,COLUMN(기본데이타!F$8),0))</f>
        <v/>
      </c>
      <c r="D31" s="165" t="str">
        <f>IF($A31="","",VLOOKUP($A31,기본데이타!$A$8:$BV$103,COLUMN(기본데이타!G$8),0))</f>
        <v/>
      </c>
      <c r="E31" s="166" t="str">
        <f>IF($A31="","",VLOOKUP($A31,기본데이타!$A$8:$BV$103,COLUMN(기본데이타!H$8),0))</f>
        <v/>
      </c>
      <c r="F31" s="166" t="str">
        <f>IF($A31="","",VLOOKUP($A31,기본데이타!$A$8:$BV$103,COLUMN(기본데이타!I$8),0))</f>
        <v/>
      </c>
      <c r="G31" s="166" t="str">
        <f>IF($A31="","",VLOOKUP($A31,기본데이타!$A$8:$BV$103,COLUMN(기본데이타!J$8),0))</f>
        <v/>
      </c>
      <c r="H31" s="167" t="str">
        <f>IF($A31="","",VLOOKUP($A31,기본데이타!$A$8:$BV$103,COLUMN(기본데이타!K$8),0))</f>
        <v/>
      </c>
      <c r="I31" s="167" t="str">
        <f>IF($A31="","",VLOOKUP($A31,기본데이타!$A$8:$BV$103,COLUMN(기본데이타!L$8),0))</f>
        <v/>
      </c>
      <c r="J31" s="167" t="str">
        <f>IF($A31="","",VLOOKUP($A31,기본데이타!$A$8:$BV$103,COLUMN(기본데이타!M$8),0))</f>
        <v/>
      </c>
      <c r="K31" s="168" t="str">
        <f>IF($A31="","",VLOOKUP($A31,기본데이타!$A$8:$BV$103,COLUMN(기본데이타!N$8),0))</f>
        <v/>
      </c>
      <c r="L31" s="167" t="str">
        <f>IF($A31="","",VLOOKUP($A31,기본데이타!$A$8:$BV$103,COLUMN(기본데이타!O$8),0))</f>
        <v/>
      </c>
      <c r="M31" s="168" t="str">
        <f>IF($A31="","",VLOOKUP($A31,기본데이타!$A$8:$BV$103,COLUMN(기본데이타!P$8),0))</f>
        <v/>
      </c>
      <c r="N31" s="168" t="str">
        <f>IF($A31="","",VLOOKUP($A31,기본데이타!$A$8:$BV$103,COLUMN(기본데이타!Q$8),0))</f>
        <v/>
      </c>
      <c r="O31" s="168" t="str">
        <f>IF($A31="","",VLOOKUP($A31,기본데이타!$A$8:$BV$103,COLUMN(기본데이타!R$8),0))</f>
        <v/>
      </c>
      <c r="P31" s="168" t="str">
        <f>IF($A31="","",VLOOKUP($A31,기본데이타!$A$8:$BV$103,COLUMN(기본데이타!S$8),0))</f>
        <v/>
      </c>
      <c r="Q31" s="168" t="str">
        <f>IF($A31="","",VLOOKUP($A31,기본데이타!$A$8:$BV$103,COLUMN(기본데이타!T$8),0))</f>
        <v/>
      </c>
      <c r="R31" s="168" t="str">
        <f>IF($A31="","",VLOOKUP($A31,기본데이타!$A$8:$BV$103,COLUMN(기본데이타!U$8),0))</f>
        <v/>
      </c>
      <c r="S31" s="168" t="str">
        <f>IF($A31="","",VLOOKUP($A31,기본데이타!$A$8:$BV$103,COLUMN(기본데이타!V$8),0))</f>
        <v/>
      </c>
      <c r="T31" s="168" t="str">
        <f>IF($A31="","",VLOOKUP($A31,기본데이타!$A$8:$BV$103,COLUMN(기본데이타!W$8),0))</f>
        <v/>
      </c>
      <c r="U31" s="168" t="str">
        <f>IF($A31="","",VLOOKUP($A31,기본데이타!$A$8:$BV$103,COLUMN(기본데이타!X$8),0))</f>
        <v/>
      </c>
      <c r="V31" s="168" t="str">
        <f>IF($A31="","",VLOOKUP($A31,기본데이타!$A$8:$BV$103,COLUMN(기본데이타!Y$8),0))</f>
        <v/>
      </c>
      <c r="W31" s="168" t="str">
        <f>IF($A31="","",VLOOKUP($A31,기본데이타!$A$8:$BV$103,COLUMN(기본데이타!Z$8),0))</f>
        <v/>
      </c>
      <c r="X31" s="168" t="str">
        <f>IF($A31="","",VLOOKUP($A31,기본데이타!$A$8:$BV$103,COLUMN(기본데이타!AA$8),0))</f>
        <v/>
      </c>
      <c r="Y31" s="168" t="str">
        <f>IF($A31="","",VLOOKUP($A31,기본데이타!$A$8:$BV$103,COLUMN(기본데이타!AB$8),0))</f>
        <v/>
      </c>
      <c r="Z31" s="167" t="str">
        <f>IF($A31="","",VLOOKUP($A31,기본데이타!$A$8:$BV$103,COLUMN(기본데이타!AC$8),0))</f>
        <v/>
      </c>
      <c r="AA31" s="1393" t="str">
        <f>IF($A31="","",VLOOKUP($A31,기본데이타!$A$8:$BV$103,COLUMN(기본데이타!AD$8),0))</f>
        <v/>
      </c>
      <c r="AB31" s="1394" t="str">
        <f>IF($A31="","",VLOOKUP($A31,기본데이타!$A$8:$BV$103,COLUMN(기본데이타!AE$8),0))</f>
        <v/>
      </c>
      <c r="AC31" s="1393" t="str">
        <f>IF($A31="","",VLOOKUP($A31,기본데이타!$A$8:$BV$103,COLUMN(기본데이타!AF$8),0))</f>
        <v/>
      </c>
      <c r="AD31" s="1394" t="str">
        <f>IF($A31="","",VLOOKUP($A31,기본데이타!$A$8:$BV$103,COLUMN(기본데이타!AG$8),0))</f>
        <v/>
      </c>
      <c r="AE31" s="1393" t="str">
        <f>IF($A31="","",VLOOKUP($A31,기본데이타!$A$8:$BV$103,COLUMN(기본데이타!AH$8),0))</f>
        <v/>
      </c>
      <c r="AF31" s="1394" t="str">
        <f>IF($A31="","",VLOOKUP($A31,기본데이타!$A$8:$BV$103,COLUMN(기본데이타!AI$8),0))</f>
        <v/>
      </c>
      <c r="AG31" s="169" t="str">
        <f>IF($A31="","",VLOOKUP($A31,기본데이타!$A$8:$BV$103,COLUMN(기본데이타!AJ$8),0))</f>
        <v/>
      </c>
      <c r="AH31" s="364" t="str">
        <f>IF($A31="","",VLOOKUP($A31,기본데이타!$A$8:$BV$103,COLUMN(기본데이타!AK$8),0))</f>
        <v/>
      </c>
      <c r="AI31" s="364" t="str">
        <f>IF($A31="","",VLOOKUP($A31,기본데이타!$A$8:$BV$103,COLUMN(기본데이타!AL$8),0))</f>
        <v/>
      </c>
      <c r="AJ31" s="364" t="str">
        <f>IF($A31="","",VLOOKUP($A31,기본데이타!$A$8:$BV$103,COLUMN(기본데이타!AM$8),0))</f>
        <v/>
      </c>
      <c r="AK31" s="364" t="str">
        <f>IF($A31="","",VLOOKUP($A31,기본데이타!$A$8:$BV$103,COLUMN(기본데이타!AN$8),0))</f>
        <v/>
      </c>
      <c r="AL31" s="364" t="str">
        <f>IF($A31="","",VLOOKUP($A31,기본데이타!$A$8:$BV$103,COLUMN(기본데이타!AO$8),0))</f>
        <v/>
      </c>
      <c r="AM31" s="364" t="str">
        <f>IF($A31="","",VLOOKUP($A31,기본데이타!$A$8:$BV$103,COLUMN(기본데이타!AP$8),0))</f>
        <v/>
      </c>
      <c r="AN31" s="364" t="str">
        <f>IF($A31="","",VLOOKUP($A31,기본데이타!$A$8:$BV$103,COLUMN(기본데이타!AQ$8),0))</f>
        <v/>
      </c>
      <c r="AO31" s="364" t="str">
        <f>IF($A31="","",VLOOKUP($A31,기본데이타!$A$8:$BV$103,COLUMN(기본데이타!AR$8),0))</f>
        <v/>
      </c>
      <c r="AP31" s="1400" t="str">
        <f>IF($A31="","",VLOOKUP($A31,기본데이타!$A$8:$BV$103,COLUMN(기본데이타!AS$8),0))</f>
        <v/>
      </c>
      <c r="AQ31" s="1400" t="str">
        <f>IF($A31="","",VLOOKUP($A31,기본데이타!$A$8:$BV$103,COLUMN(기본데이타!AT$8),0))</f>
        <v/>
      </c>
      <c r="AR31" s="1400" t="str">
        <f>IF($A31="","",VLOOKUP($A31,기본데이타!$A$8:$BV$103,COLUMN(기본데이타!AU$8),0))</f>
        <v/>
      </c>
      <c r="AS31" s="364" t="str">
        <f>IF($A31="","",VLOOKUP($A31,기본데이타!$A$8:$BV$103,COLUMN(기본데이타!AV$8),0))</f>
        <v/>
      </c>
      <c r="AT31" s="16" t="str">
        <f>IF($A31="","",VLOOKUP($A31,기본데이타!$A$8:$BV$103,COLUMN(기본데이타!AW$8),0))</f>
        <v/>
      </c>
      <c r="AU31" s="16" t="str">
        <f>IF($A31="","",VLOOKUP($A31,기본데이타!$A$8:$BV$103,COLUMN(기본데이타!AX$8),0))</f>
        <v/>
      </c>
      <c r="AV31" s="16" t="str">
        <f>IF($A31="","",VLOOKUP($A31,기본데이타!$A$8:$BV$103,COLUMN(기본데이타!AY$8),0))</f>
        <v/>
      </c>
      <c r="AW31" s="16" t="str">
        <f t="shared" si="7"/>
        <v/>
      </c>
      <c r="AX31" s="136" t="str">
        <f>IF($A31="","",VLOOKUP($A31,기본데이타!$A$8:$BV$103,COLUMN(기본데이타!BA$8),0))</f>
        <v/>
      </c>
      <c r="AY31" s="136" t="str">
        <f>IF($A31="","",VLOOKUP($A31,기본데이타!$A$8:$BV$103,COLUMN(기본데이타!BB$8),0))</f>
        <v/>
      </c>
      <c r="AZ31" s="136" t="str">
        <f>IF($A31="","",VLOOKUP($A31,기본데이타!$A$8:$BV$103,COLUMN(기본데이타!BC$8),0))</f>
        <v/>
      </c>
      <c r="BA31" s="136" t="str">
        <f>IF($A31="","",VLOOKUP($A31,기본데이타!$A$8:$BV$103,COLUMN(기본데이타!BD$8),0))</f>
        <v/>
      </c>
      <c r="BB31" s="136" t="str">
        <f>IF($A31="","",VLOOKUP($A31,기본데이타!$A$8:$BV$103,COLUMN(기본데이타!BE$8),0))</f>
        <v/>
      </c>
      <c r="BC31" s="136" t="str">
        <f>IF($A31="","",VLOOKUP($A31,기본데이타!$A$8:$BV$103,COLUMN(기본데이타!BF$8),0))</f>
        <v/>
      </c>
      <c r="BD31" s="136" t="str">
        <f>IF($A31="","",VLOOKUP($A31,기본데이타!$A$8:$BV$103,COLUMN(기본데이타!BG$8),0))</f>
        <v/>
      </c>
      <c r="BE31" s="136" t="str">
        <f>IF($A31="","",VLOOKUP($A31,기본데이타!$A$8:$BV$103,COLUMN(기본데이타!BH$8),0))</f>
        <v/>
      </c>
      <c r="BF31" s="136" t="str">
        <f>IF($A31="","",VLOOKUP($A31,기본데이타!$A$8:$BV$103,COLUMN(기본데이타!BI$8),0))</f>
        <v/>
      </c>
      <c r="BG31" s="136" t="str">
        <f>IF($A31="","",VLOOKUP($A31,기본데이타!$A$8:$BV$103,COLUMN(기본데이타!BJ$8),0))</f>
        <v/>
      </c>
      <c r="BH31" s="136" t="str">
        <f>IF($A31="","",VLOOKUP($A31,기본데이타!$A$8:$BV$103,COLUMN(기본데이타!BK$8),0))</f>
        <v/>
      </c>
      <c r="BI31" s="136" t="str">
        <f>IF($A31="","",VLOOKUP($A31,기본데이타!$A$8:$BV$103,COLUMN(기본데이타!BL$8),0))</f>
        <v/>
      </c>
      <c r="BJ31" s="136" t="str">
        <f>IF($A31="","",VLOOKUP($A31,기본데이타!$A$8:$BV$103,COLUMN(기본데이타!BM$8),0))</f>
        <v/>
      </c>
      <c r="BK31" s="136" t="str">
        <f>IF($A31="","",VLOOKUP($A31,기본데이타!$A$8:$BV$103,COLUMN(기본데이타!BN$8),0))</f>
        <v/>
      </c>
      <c r="BL31" s="136" t="str">
        <f>IF($A31="","",VLOOKUP($A31,기본데이타!$A$8:$BV$103,COLUMN(기본데이타!BO$8),0))</f>
        <v/>
      </c>
      <c r="BM31" s="136" t="str">
        <f>IF($A31="","",VLOOKUP($A31,기본데이타!$A$8:$BV$103,COLUMN(기본데이타!BP$8),0))</f>
        <v/>
      </c>
      <c r="BN31" s="136" t="str">
        <f>IF($A31="","",VLOOKUP($A31,기본데이타!$A$8:$BV$103,COLUMN(기본데이타!BQ$8),0))</f>
        <v/>
      </c>
      <c r="BO31" s="136" t="str">
        <f>IF($A31="","",VLOOKUP($A31,기본데이타!$A$8:$BV$103,COLUMN(기본데이타!BR$8),0))</f>
        <v/>
      </c>
      <c r="BP31" s="136" t="str">
        <f>IF($A31="","",VLOOKUP($A31,기본데이타!$A$8:$BV$103,COLUMN(기본데이타!BS$8),0))</f>
        <v/>
      </c>
      <c r="BQ31" s="136" t="str">
        <f>IF($A31="","",VLOOKUP($A31,기본데이타!$A$8:$BV$103,COLUMN(기본데이타!BT$8),0))</f>
        <v/>
      </c>
      <c r="BR31" s="136" t="str">
        <f>IF($A31="","",VLOOKUP($A31,기본데이타!$A$8:$BV$103,COLUMN(기본데이타!BU$8),0))</f>
        <v/>
      </c>
      <c r="BS31" s="136" t="str">
        <f>IF($A31="","",VLOOKUP($A31,기본데이타!$A$8:$BV$103,COLUMN(기본데이타!BV$8),0))</f>
        <v/>
      </c>
      <c r="BT31" s="801">
        <f t="shared" si="8"/>
        <v>0</v>
      </c>
      <c r="BU31" s="242"/>
    </row>
    <row r="32" spans="1:73" s="7" customFormat="1" ht="73.5" customHeight="1">
      <c r="A32" s="171"/>
      <c r="B32" s="163"/>
      <c r="C32" s="164" t="str">
        <f>IF($A32="","",VLOOKUP($A32,기본데이타!$A$8:$BV$103,COLUMN(기본데이타!F$8),0))</f>
        <v/>
      </c>
      <c r="D32" s="165" t="str">
        <f>IF($A32="","",VLOOKUP($A32,기본데이타!$A$8:$BV$103,COLUMN(기본데이타!G$8),0))</f>
        <v/>
      </c>
      <c r="E32" s="166" t="str">
        <f>IF($A32="","",VLOOKUP($A32,기본데이타!$A$8:$BV$103,COLUMN(기본데이타!H$8),0))</f>
        <v/>
      </c>
      <c r="F32" s="166" t="str">
        <f>IF($A32="","",VLOOKUP($A32,기본데이타!$A$8:$BV$103,COLUMN(기본데이타!I$8),0))</f>
        <v/>
      </c>
      <c r="G32" s="166" t="str">
        <f>IF($A32="","",VLOOKUP($A32,기본데이타!$A$8:$BV$103,COLUMN(기본데이타!J$8),0))</f>
        <v/>
      </c>
      <c r="H32" s="167" t="str">
        <f>IF($A32="","",VLOOKUP($A32,기본데이타!$A$8:$BV$103,COLUMN(기본데이타!K$8),0))</f>
        <v/>
      </c>
      <c r="I32" s="167" t="str">
        <f>IF($A32="","",VLOOKUP($A32,기본데이타!$A$8:$BV$103,COLUMN(기본데이타!L$8),0))</f>
        <v/>
      </c>
      <c r="J32" s="167" t="str">
        <f>IF($A32="","",VLOOKUP($A32,기본데이타!$A$8:$BV$103,COLUMN(기본데이타!M$8),0))</f>
        <v/>
      </c>
      <c r="K32" s="168" t="str">
        <f>IF($A32="","",VLOOKUP($A32,기본데이타!$A$8:$BV$103,COLUMN(기본데이타!N$8),0))</f>
        <v/>
      </c>
      <c r="L32" s="167" t="str">
        <f>IF($A32="","",VLOOKUP($A32,기본데이타!$A$8:$BV$103,COLUMN(기본데이타!O$8),0))</f>
        <v/>
      </c>
      <c r="M32" s="168" t="str">
        <f>IF($A32="","",VLOOKUP($A32,기본데이타!$A$8:$BV$103,COLUMN(기본데이타!P$8),0))</f>
        <v/>
      </c>
      <c r="N32" s="168" t="str">
        <f>IF($A32="","",VLOOKUP($A32,기본데이타!$A$8:$BV$103,COLUMN(기본데이타!Q$8),0))</f>
        <v/>
      </c>
      <c r="O32" s="168" t="str">
        <f>IF($A32="","",VLOOKUP($A32,기본데이타!$A$8:$BV$103,COLUMN(기본데이타!R$8),0))</f>
        <v/>
      </c>
      <c r="P32" s="168" t="str">
        <f>IF($A32="","",VLOOKUP($A32,기본데이타!$A$8:$BV$103,COLUMN(기본데이타!S$8),0))</f>
        <v/>
      </c>
      <c r="Q32" s="168" t="str">
        <f>IF($A32="","",VLOOKUP($A32,기본데이타!$A$8:$BV$103,COLUMN(기본데이타!T$8),0))</f>
        <v/>
      </c>
      <c r="R32" s="168" t="str">
        <f>IF($A32="","",VLOOKUP($A32,기본데이타!$A$8:$BV$103,COLUMN(기본데이타!U$8),0))</f>
        <v/>
      </c>
      <c r="S32" s="168" t="str">
        <f>IF($A32="","",VLOOKUP($A32,기본데이타!$A$8:$BV$103,COLUMN(기본데이타!V$8),0))</f>
        <v/>
      </c>
      <c r="T32" s="168" t="str">
        <f>IF($A32="","",VLOOKUP($A32,기본데이타!$A$8:$BV$103,COLUMN(기본데이타!W$8),0))</f>
        <v/>
      </c>
      <c r="U32" s="168" t="str">
        <f>IF($A32="","",VLOOKUP($A32,기본데이타!$A$8:$BV$103,COLUMN(기본데이타!X$8),0))</f>
        <v/>
      </c>
      <c r="V32" s="168" t="str">
        <f>IF($A32="","",VLOOKUP($A32,기본데이타!$A$8:$BV$103,COLUMN(기본데이타!Y$8),0))</f>
        <v/>
      </c>
      <c r="W32" s="168" t="str">
        <f>IF($A32="","",VLOOKUP($A32,기본데이타!$A$8:$BV$103,COLUMN(기본데이타!Z$8),0))</f>
        <v/>
      </c>
      <c r="X32" s="168" t="str">
        <f>IF($A32="","",VLOOKUP($A32,기본데이타!$A$8:$BV$103,COLUMN(기본데이타!AA$8),0))</f>
        <v/>
      </c>
      <c r="Y32" s="168" t="str">
        <f>IF($A32="","",VLOOKUP($A32,기본데이타!$A$8:$BV$103,COLUMN(기본데이타!AB$8),0))</f>
        <v/>
      </c>
      <c r="Z32" s="167" t="str">
        <f>IF($A32="","",VLOOKUP($A32,기본데이타!$A$8:$BV$103,COLUMN(기본데이타!AC$8),0))</f>
        <v/>
      </c>
      <c r="AA32" s="1393" t="str">
        <f>IF($A32="","",VLOOKUP($A32,기본데이타!$A$8:$BV$103,COLUMN(기본데이타!AD$8),0))</f>
        <v/>
      </c>
      <c r="AB32" s="1394" t="str">
        <f>IF($A32="","",VLOOKUP($A32,기본데이타!$A$8:$BV$103,COLUMN(기본데이타!AE$8),0))</f>
        <v/>
      </c>
      <c r="AC32" s="1393" t="str">
        <f>IF($A32="","",VLOOKUP($A32,기본데이타!$A$8:$BV$103,COLUMN(기본데이타!AF$8),0))</f>
        <v/>
      </c>
      <c r="AD32" s="1394" t="str">
        <f>IF($A32="","",VLOOKUP($A32,기본데이타!$A$8:$BV$103,COLUMN(기본데이타!AG$8),0))</f>
        <v/>
      </c>
      <c r="AE32" s="1393" t="str">
        <f>IF($A32="","",VLOOKUP($A32,기본데이타!$A$8:$BV$103,COLUMN(기본데이타!AH$8),0))</f>
        <v/>
      </c>
      <c r="AF32" s="1394" t="str">
        <f>IF($A32="","",VLOOKUP($A32,기본데이타!$A$8:$BV$103,COLUMN(기본데이타!AI$8),0))</f>
        <v/>
      </c>
      <c r="AG32" s="169" t="str">
        <f>IF($A32="","",VLOOKUP($A32,기본데이타!$A$8:$BV$103,COLUMN(기본데이타!AJ$8),0))</f>
        <v/>
      </c>
      <c r="AH32" s="364" t="str">
        <f>IF($A32="","",VLOOKUP($A32,기본데이타!$A$8:$BV$103,COLUMN(기본데이타!AK$8),0))</f>
        <v/>
      </c>
      <c r="AI32" s="364" t="str">
        <f>IF($A32="","",VLOOKUP($A32,기본데이타!$A$8:$BV$103,COLUMN(기본데이타!AL$8),0))</f>
        <v/>
      </c>
      <c r="AJ32" s="364" t="str">
        <f>IF($A32="","",VLOOKUP($A32,기본데이타!$A$8:$BV$103,COLUMN(기본데이타!AM$8),0))</f>
        <v/>
      </c>
      <c r="AK32" s="364" t="str">
        <f>IF($A32="","",VLOOKUP($A32,기본데이타!$A$8:$BV$103,COLUMN(기본데이타!AN$8),0))</f>
        <v/>
      </c>
      <c r="AL32" s="364" t="str">
        <f>IF($A32="","",VLOOKUP($A32,기본데이타!$A$8:$BV$103,COLUMN(기본데이타!AO$8),0))</f>
        <v/>
      </c>
      <c r="AM32" s="364" t="str">
        <f>IF($A32="","",VLOOKUP($A32,기본데이타!$A$8:$BV$103,COLUMN(기본데이타!AP$8),0))</f>
        <v/>
      </c>
      <c r="AN32" s="364" t="str">
        <f>IF($A32="","",VLOOKUP($A32,기본데이타!$A$8:$BV$103,COLUMN(기본데이타!AQ$8),0))</f>
        <v/>
      </c>
      <c r="AO32" s="364" t="str">
        <f>IF($A32="","",VLOOKUP($A32,기본데이타!$A$8:$BV$103,COLUMN(기본데이타!AR$8),0))</f>
        <v/>
      </c>
      <c r="AP32" s="1400" t="str">
        <f>IF($A32="","",VLOOKUP($A32,기본데이타!$A$8:$BV$103,COLUMN(기본데이타!AS$8),0))</f>
        <v/>
      </c>
      <c r="AQ32" s="1400" t="str">
        <f>IF($A32="","",VLOOKUP($A32,기본데이타!$A$8:$BV$103,COLUMN(기본데이타!AT$8),0))</f>
        <v/>
      </c>
      <c r="AR32" s="1400" t="str">
        <f>IF($A32="","",VLOOKUP($A32,기본데이타!$A$8:$BV$103,COLUMN(기본데이타!AU$8),0))</f>
        <v/>
      </c>
      <c r="AS32" s="364" t="str">
        <f>IF($A32="","",VLOOKUP($A32,기본데이타!$A$8:$BV$103,COLUMN(기본데이타!AV$8),0))</f>
        <v/>
      </c>
      <c r="AT32" s="358" t="str">
        <f>IF($A32="","",VLOOKUP($A32,기본데이타!$A$8:$BV$103,COLUMN(기본데이타!AW$8),0))</f>
        <v/>
      </c>
      <c r="AU32" s="358" t="str">
        <f>IF($A32="","",VLOOKUP($A32,기본데이타!$A$8:$BV$103,COLUMN(기본데이타!AX$8),0))</f>
        <v/>
      </c>
      <c r="AV32" s="358" t="str">
        <f>IF($A32="","",VLOOKUP($A32,기본데이타!$A$8:$BV$103,COLUMN(기본데이타!AY$8),0))</f>
        <v/>
      </c>
      <c r="AW32" s="358" t="str">
        <f t="shared" si="7"/>
        <v/>
      </c>
      <c r="AX32" s="136" t="str">
        <f>IF($A32="","",VLOOKUP($A32,기본데이타!$A$8:$BV$103,COLUMN(기본데이타!BA$8),0))</f>
        <v/>
      </c>
      <c r="AY32" s="136" t="str">
        <f>IF($A32="","",VLOOKUP($A32,기본데이타!$A$8:$BV$103,COLUMN(기본데이타!BB$8),0))</f>
        <v/>
      </c>
      <c r="AZ32" s="136" t="str">
        <f>IF($A32="","",VLOOKUP($A32,기본데이타!$A$8:$BV$103,COLUMN(기본데이타!BC$8),0))</f>
        <v/>
      </c>
      <c r="BA32" s="136" t="str">
        <f>IF($A32="","",VLOOKUP($A32,기본데이타!$A$8:$BV$103,COLUMN(기본데이타!BD$8),0))</f>
        <v/>
      </c>
      <c r="BB32" s="136" t="str">
        <f>IF($A32="","",VLOOKUP($A32,기본데이타!$A$8:$BV$103,COLUMN(기본데이타!BE$8),0))</f>
        <v/>
      </c>
      <c r="BC32" s="136" t="str">
        <f>IF($A32="","",VLOOKUP($A32,기본데이타!$A$8:$BV$103,COLUMN(기본데이타!BF$8),0))</f>
        <v/>
      </c>
      <c r="BD32" s="136" t="str">
        <f>IF($A32="","",VLOOKUP($A32,기본데이타!$A$8:$BV$103,COLUMN(기본데이타!BG$8),0))</f>
        <v/>
      </c>
      <c r="BE32" s="136" t="str">
        <f>IF($A32="","",VLOOKUP($A32,기본데이타!$A$8:$BV$103,COLUMN(기본데이타!BH$8),0))</f>
        <v/>
      </c>
      <c r="BF32" s="136" t="str">
        <f>IF($A32="","",VLOOKUP($A32,기본데이타!$A$8:$BV$103,COLUMN(기본데이타!BI$8),0))</f>
        <v/>
      </c>
      <c r="BG32" s="136" t="str">
        <f>IF($A32="","",VLOOKUP($A32,기본데이타!$A$8:$BV$103,COLUMN(기본데이타!BJ$8),0))</f>
        <v/>
      </c>
      <c r="BH32" s="136" t="str">
        <f>IF($A32="","",VLOOKUP($A32,기본데이타!$A$8:$BV$103,COLUMN(기본데이타!BK$8),0))</f>
        <v/>
      </c>
      <c r="BI32" s="136" t="str">
        <f>IF($A32="","",VLOOKUP($A32,기본데이타!$A$8:$BV$103,COLUMN(기본데이타!BL$8),0))</f>
        <v/>
      </c>
      <c r="BJ32" s="136" t="str">
        <f>IF($A32="","",VLOOKUP($A32,기본데이타!$A$8:$BV$103,COLUMN(기본데이타!BM$8),0))</f>
        <v/>
      </c>
      <c r="BK32" s="136" t="str">
        <f>IF($A32="","",VLOOKUP($A32,기본데이타!$A$8:$BV$103,COLUMN(기본데이타!BN$8),0))</f>
        <v/>
      </c>
      <c r="BL32" s="136" t="str">
        <f>IF($A32="","",VLOOKUP($A32,기본데이타!$A$8:$BV$103,COLUMN(기본데이타!BO$8),0))</f>
        <v/>
      </c>
      <c r="BM32" s="136" t="str">
        <f>IF($A32="","",VLOOKUP($A32,기본데이타!$A$8:$BV$103,COLUMN(기본데이타!BP$8),0))</f>
        <v/>
      </c>
      <c r="BN32" s="136" t="str">
        <f>IF($A32="","",VLOOKUP($A32,기본데이타!$A$8:$BV$103,COLUMN(기본데이타!BQ$8),0))</f>
        <v/>
      </c>
      <c r="BO32" s="136" t="str">
        <f>IF($A32="","",VLOOKUP($A32,기본데이타!$A$8:$BV$103,COLUMN(기본데이타!BR$8),0))</f>
        <v/>
      </c>
      <c r="BP32" s="136" t="str">
        <f>IF($A32="","",VLOOKUP($A32,기본데이타!$A$8:$BV$103,COLUMN(기본데이타!BS$8),0))</f>
        <v/>
      </c>
      <c r="BQ32" s="136" t="str">
        <f>IF($A32="","",VLOOKUP($A32,기본데이타!$A$8:$BV$103,COLUMN(기본데이타!BT$8),0))</f>
        <v/>
      </c>
      <c r="BR32" s="136" t="str">
        <f>IF($A32="","",VLOOKUP($A32,기본데이타!$A$8:$BV$103,COLUMN(기본데이타!BU$8),0))</f>
        <v/>
      </c>
      <c r="BS32" s="136" t="str">
        <f>IF($A32="","",VLOOKUP($A32,기본데이타!$A$8:$BV$103,COLUMN(기본데이타!BV$8),0))</f>
        <v/>
      </c>
      <c r="BT32" s="801">
        <f t="shared" si="8"/>
        <v>0</v>
      </c>
      <c r="BU32" s="242"/>
    </row>
    <row r="33" spans="1:73" s="7" customFormat="1" ht="73.5" customHeight="1" thickBot="1">
      <c r="A33" s="172"/>
      <c r="B33" s="19"/>
      <c r="C33" s="519" t="str">
        <f>IF($A33="","",VLOOKUP($A33,기본데이타!$A$8:$BV$103,COLUMN(기본데이타!F$8),0))</f>
        <v/>
      </c>
      <c r="D33" s="20" t="str">
        <f>IF($A33="","",VLOOKUP($A33,기본데이타!$A$8:$BV$103,COLUMN(기본데이타!G$8),0))</f>
        <v/>
      </c>
      <c r="E33" s="21" t="str">
        <f>IF($A33="","",VLOOKUP($A33,기본데이타!$A$8:$BV$103,COLUMN(기본데이타!H$8),0))</f>
        <v/>
      </c>
      <c r="F33" s="21" t="str">
        <f>IF($A33="","",VLOOKUP($A33,기본데이타!$A$8:$BV$103,COLUMN(기본데이타!I$8),0))</f>
        <v/>
      </c>
      <c r="G33" s="21" t="str">
        <f>IF($A33="","",VLOOKUP($A33,기본데이타!$A$8:$BV$103,COLUMN(기본데이타!J$8),0))</f>
        <v/>
      </c>
      <c r="H33" s="22" t="str">
        <f>IF($A33="","",VLOOKUP($A33,기본데이타!$A$8:$BV$103,COLUMN(기본데이타!K$8),0))</f>
        <v/>
      </c>
      <c r="I33" s="22" t="str">
        <f>IF($A33="","",VLOOKUP($A33,기본데이타!$A$8:$BV$103,COLUMN(기본데이타!L$8),0))</f>
        <v/>
      </c>
      <c r="J33" s="22" t="str">
        <f>IF($A33="","",VLOOKUP($A33,기본데이타!$A$8:$BV$103,COLUMN(기본데이타!M$8),0))</f>
        <v/>
      </c>
      <c r="K33" s="23" t="str">
        <f>IF($A33="","",VLOOKUP($A33,기본데이타!$A$8:$BV$103,COLUMN(기본데이타!N$8),0))</f>
        <v/>
      </c>
      <c r="L33" s="22" t="str">
        <f>IF($A33="","",VLOOKUP($A33,기본데이타!$A$8:$BV$103,COLUMN(기본데이타!O$8),0))</f>
        <v/>
      </c>
      <c r="M33" s="23" t="str">
        <f>IF($A33="","",VLOOKUP($A33,기본데이타!$A$8:$BV$103,COLUMN(기본데이타!P$8),0))</f>
        <v/>
      </c>
      <c r="N33" s="23" t="str">
        <f>IF($A33="","",VLOOKUP($A33,기본데이타!$A$8:$BV$103,COLUMN(기본데이타!Q$8),0))</f>
        <v/>
      </c>
      <c r="O33" s="23" t="str">
        <f>IF($A33="","",VLOOKUP($A33,기본데이타!$A$8:$BV$103,COLUMN(기본데이타!R$8),0))</f>
        <v/>
      </c>
      <c r="P33" s="23" t="str">
        <f>IF($A33="","",VLOOKUP($A33,기본데이타!$A$8:$BV$103,COLUMN(기본데이타!S$8),0))</f>
        <v/>
      </c>
      <c r="Q33" s="23" t="str">
        <f>IF($A33="","",VLOOKUP($A33,기본데이타!$A$8:$BV$103,COLUMN(기본데이타!T$8),0))</f>
        <v/>
      </c>
      <c r="R33" s="23" t="str">
        <f>IF($A33="","",VLOOKUP($A33,기본데이타!$A$8:$BV$103,COLUMN(기본데이타!U$8),0))</f>
        <v/>
      </c>
      <c r="S33" s="23" t="str">
        <f>IF($A33="","",VLOOKUP($A33,기본데이타!$A$8:$BV$103,COLUMN(기본데이타!V$8),0))</f>
        <v/>
      </c>
      <c r="T33" s="23" t="str">
        <f>IF($A33="","",VLOOKUP($A33,기본데이타!$A$8:$BV$103,COLUMN(기본데이타!W$8),0))</f>
        <v/>
      </c>
      <c r="U33" s="23" t="str">
        <f>IF($A33="","",VLOOKUP($A33,기본데이타!$A$8:$BV$103,COLUMN(기본데이타!X$8),0))</f>
        <v/>
      </c>
      <c r="V33" s="986" t="str">
        <f>IF($A33="","",VLOOKUP($A33,기본데이타!$A$8:$BV$103,COLUMN(기본데이타!Y$8),0))</f>
        <v/>
      </c>
      <c r="W33" s="986" t="str">
        <f>IF($A33="","",VLOOKUP($A33,기본데이타!$A$8:$BV$103,COLUMN(기본데이타!Z$8),0))</f>
        <v/>
      </c>
      <c r="X33" s="986" t="str">
        <f>IF($A33="","",VLOOKUP($A33,기본데이타!$A$8:$BV$103,COLUMN(기본데이타!AA$8),0))</f>
        <v/>
      </c>
      <c r="Y33" s="23" t="str">
        <f>IF($A33="","",VLOOKUP($A33,기본데이타!$A$8:$BV$103,COLUMN(기본데이타!AB$8),0))</f>
        <v/>
      </c>
      <c r="Z33" s="22" t="str">
        <f>IF($A33="","",VLOOKUP($A33,기본데이타!$A$8:$BV$103,COLUMN(기본데이타!AC$8),0))</f>
        <v/>
      </c>
      <c r="AA33" s="1395" t="str">
        <f>IF($A33="","",VLOOKUP($A33,기본데이타!$A$8:$BV$103,COLUMN(기본데이타!AD$8),0))</f>
        <v/>
      </c>
      <c r="AB33" s="1396" t="str">
        <f>IF($A33="","",VLOOKUP($A33,기본데이타!$A$8:$BV$103,COLUMN(기본데이타!AE$8),0))</f>
        <v/>
      </c>
      <c r="AC33" s="1395" t="str">
        <f>IF($A33="","",VLOOKUP($A33,기본데이타!$A$8:$BV$103,COLUMN(기본데이타!AF$8),0))</f>
        <v/>
      </c>
      <c r="AD33" s="1396" t="str">
        <f>IF($A33="","",VLOOKUP($A33,기본데이타!$A$8:$BV$103,COLUMN(기본데이타!AG$8),0))</f>
        <v/>
      </c>
      <c r="AE33" s="1395" t="str">
        <f>IF($A33="","",VLOOKUP($A33,기본데이타!$A$8:$BV$103,COLUMN(기본데이타!AH$8),0))</f>
        <v/>
      </c>
      <c r="AF33" s="1396" t="str">
        <f>IF($A33="","",VLOOKUP($A33,기본데이타!$A$8:$BV$103,COLUMN(기본데이타!AI$8),0))</f>
        <v/>
      </c>
      <c r="AG33" s="24" t="str">
        <f>IF($A33="","",VLOOKUP($A33,기본데이타!$A$8:$BV$103,COLUMN(기본데이타!AJ$8),0))</f>
        <v/>
      </c>
      <c r="AH33" s="365" t="str">
        <f>IF($A33="","",VLOOKUP($A33,기본데이타!$A$8:$BV$103,COLUMN(기본데이타!AK$8),0))</f>
        <v/>
      </c>
      <c r="AI33" s="365" t="str">
        <f>IF($A33="","",VLOOKUP($A33,기본데이타!$A$8:$BV$103,COLUMN(기본데이타!AL$8),0))</f>
        <v/>
      </c>
      <c r="AJ33" s="365" t="str">
        <f>IF($A33="","",VLOOKUP($A33,기본데이타!$A$8:$BV$103,COLUMN(기본데이타!AM$8),0))</f>
        <v/>
      </c>
      <c r="AK33" s="365" t="str">
        <f>IF($A33="","",VLOOKUP($A33,기본데이타!$A$8:$BV$103,COLUMN(기본데이타!AN$8),0))</f>
        <v/>
      </c>
      <c r="AL33" s="365" t="str">
        <f>IF($A33="","",VLOOKUP($A33,기본데이타!$A$8:$BV$103,COLUMN(기본데이타!AO$8),0))</f>
        <v/>
      </c>
      <c r="AM33" s="365" t="str">
        <f>IF($A33="","",VLOOKUP($A33,기본데이타!$A$8:$BV$103,COLUMN(기본데이타!AP$8),0))</f>
        <v/>
      </c>
      <c r="AN33" s="365" t="str">
        <f>IF($A33="","",VLOOKUP($A33,기본데이타!$A$8:$BV$103,COLUMN(기본데이타!AQ$8),0))</f>
        <v/>
      </c>
      <c r="AO33" s="365" t="str">
        <f>IF($A33="","",VLOOKUP($A33,기본데이타!$A$8:$BV$103,COLUMN(기본데이타!AR$8),0))</f>
        <v/>
      </c>
      <c r="AP33" s="1401" t="str">
        <f>IF($A33="","",VLOOKUP($A33,기본데이타!$A$8:$BV$103,COLUMN(기본데이타!AS$8),0))</f>
        <v/>
      </c>
      <c r="AQ33" s="1401" t="str">
        <f>IF($A33="","",VLOOKUP($A33,기본데이타!$A$8:$BV$103,COLUMN(기본데이타!AT$8),0))</f>
        <v/>
      </c>
      <c r="AR33" s="1401" t="str">
        <f>IF($A33="","",VLOOKUP($A33,기본데이타!$A$8:$BV$103,COLUMN(기본데이타!AU$8),0))</f>
        <v/>
      </c>
      <c r="AS33" s="365" t="str">
        <f>IF($A33="","",VLOOKUP($A33,기본데이타!$A$8:$BV$103,COLUMN(기본데이타!AV$8),0))</f>
        <v/>
      </c>
      <c r="AT33" s="359" t="str">
        <f>IF($A33="","",VLOOKUP($A33,기본데이타!$A$8:$BV$103,COLUMN(기본데이타!AW$8),0))</f>
        <v/>
      </c>
      <c r="AU33" s="359" t="str">
        <f>IF($A33="","",VLOOKUP($A33,기본데이타!$A$8:$BV$103,COLUMN(기본데이타!AX$8),0))</f>
        <v/>
      </c>
      <c r="AV33" s="359" t="str">
        <f>IF($A33="","",VLOOKUP($A33,기본데이타!$A$8:$BV$103,COLUMN(기본데이타!AY$8),0))</f>
        <v/>
      </c>
      <c r="AW33" s="359" t="str">
        <f t="shared" si="7"/>
        <v/>
      </c>
      <c r="AX33" s="1346" t="str">
        <f>IF($A33="","",VLOOKUP($A33,기본데이타!$A$8:$BV$103,COLUMN(기본데이타!BA$8),0))</f>
        <v/>
      </c>
      <c r="AY33" s="1346" t="str">
        <f>IF($A33="","",VLOOKUP($A33,기본데이타!$A$8:$BV$103,COLUMN(기본데이타!BB$8),0))</f>
        <v/>
      </c>
      <c r="AZ33" s="1346" t="str">
        <f>IF($A33="","",VLOOKUP($A33,기본데이타!$A$8:$BV$103,COLUMN(기본데이타!BC$8),0))</f>
        <v/>
      </c>
      <c r="BA33" s="1346" t="str">
        <f>IF($A33="","",VLOOKUP($A33,기본데이타!$A$8:$BV$103,COLUMN(기본데이타!BD$8),0))</f>
        <v/>
      </c>
      <c r="BB33" s="1346" t="str">
        <f>IF($A33="","",VLOOKUP($A33,기본데이타!$A$8:$BV$103,COLUMN(기본데이타!BE$8),0))</f>
        <v/>
      </c>
      <c r="BC33" s="1346" t="str">
        <f>IF($A33="","",VLOOKUP($A33,기본데이타!$A$8:$BV$103,COLUMN(기본데이타!BF$8),0))</f>
        <v/>
      </c>
      <c r="BD33" s="1346" t="str">
        <f>IF($A33="","",VLOOKUP($A33,기본데이타!$A$8:$BV$103,COLUMN(기본데이타!BG$8),0))</f>
        <v/>
      </c>
      <c r="BE33" s="1346" t="str">
        <f>IF($A33="","",VLOOKUP($A33,기본데이타!$A$8:$BV$103,COLUMN(기본데이타!BH$8),0))</f>
        <v/>
      </c>
      <c r="BF33" s="1346" t="str">
        <f>IF($A33="","",VLOOKUP($A33,기본데이타!$A$8:$BV$103,COLUMN(기본데이타!BI$8),0))</f>
        <v/>
      </c>
      <c r="BG33" s="1346" t="str">
        <f>IF($A33="","",VLOOKUP($A33,기본데이타!$A$8:$BV$103,COLUMN(기본데이타!BJ$8),0))</f>
        <v/>
      </c>
      <c r="BH33" s="1346" t="str">
        <f>IF($A33="","",VLOOKUP($A33,기본데이타!$A$8:$BV$103,COLUMN(기본데이타!BK$8),0))</f>
        <v/>
      </c>
      <c r="BI33" s="1346" t="str">
        <f>IF($A33="","",VLOOKUP($A33,기본데이타!$A$8:$BV$103,COLUMN(기본데이타!BL$8),0))</f>
        <v/>
      </c>
      <c r="BJ33" s="1346" t="str">
        <f>IF($A33="","",VLOOKUP($A33,기본데이타!$A$8:$BV$103,COLUMN(기본데이타!BM$8),0))</f>
        <v/>
      </c>
      <c r="BK33" s="1346" t="str">
        <f>IF($A33="","",VLOOKUP($A33,기본데이타!$A$8:$BV$103,COLUMN(기본데이타!BN$8),0))</f>
        <v/>
      </c>
      <c r="BL33" s="1346" t="str">
        <f>IF($A33="","",VLOOKUP($A33,기본데이타!$A$8:$BV$103,COLUMN(기본데이타!BO$8),0))</f>
        <v/>
      </c>
      <c r="BM33" s="1346" t="str">
        <f>IF($A33="","",VLOOKUP($A33,기본데이타!$A$8:$BV$103,COLUMN(기본데이타!BP$8),0))</f>
        <v/>
      </c>
      <c r="BN33" s="1346" t="str">
        <f>IF($A33="","",VLOOKUP($A33,기본데이타!$A$8:$BV$103,COLUMN(기본데이타!BQ$8),0))</f>
        <v/>
      </c>
      <c r="BO33" s="1346" t="str">
        <f>IF($A33="","",VLOOKUP($A33,기본데이타!$A$8:$BV$103,COLUMN(기본데이타!BR$8),0))</f>
        <v/>
      </c>
      <c r="BP33" s="1346" t="str">
        <f>IF($A33="","",VLOOKUP($A33,기본데이타!$A$8:$BV$103,COLUMN(기본데이타!BS$8),0))</f>
        <v/>
      </c>
      <c r="BQ33" s="1346" t="str">
        <f>IF($A33="","",VLOOKUP($A33,기본데이타!$A$8:$BV$103,COLUMN(기본데이타!BT$8),0))</f>
        <v/>
      </c>
      <c r="BR33" s="1346" t="str">
        <f>IF($A33="","",VLOOKUP($A33,기본데이타!$A$8:$BV$103,COLUMN(기본데이타!BU$8),0))</f>
        <v/>
      </c>
      <c r="BS33" s="1346" t="str">
        <f>IF($A33="","",VLOOKUP($A33,기본데이타!$A$8:$BV$103,COLUMN(기본데이타!BV$8),0))</f>
        <v/>
      </c>
      <c r="BT33" s="1347">
        <f t="shared" si="8"/>
        <v>0</v>
      </c>
      <c r="BU33" s="241"/>
    </row>
    <row r="34" spans="1:73">
      <c r="AT34" s="355" t="str">
        <f>IF($A34="","",VLOOKUP($A34,기본데이타!$A$10:$BV$103,COLUMN(기본데이타!AW$8),0))</f>
        <v/>
      </c>
      <c r="AU34" s="355" t="str">
        <f>IF($A34="","",VLOOKUP($A34,기본데이타!$A$10:$BV$103,COLUMN(기본데이타!AX$8),0))</f>
        <v/>
      </c>
      <c r="AV34" s="355" t="str">
        <f>IF($A34="","",VLOOKUP($A34,기본데이타!$A$10:$BV$103,COLUMN(기본데이타!AY$8),0))</f>
        <v/>
      </c>
      <c r="AW34" s="355" t="str">
        <f t="shared" si="7"/>
        <v/>
      </c>
    </row>
    <row r="35" spans="1:73">
      <c r="AT35" s="10" t="str">
        <f>IF($A35="","",VLOOKUP($A35,기본데이타!$A$10:$BV$103,COLUMN(기본데이타!AW$8),0))</f>
        <v/>
      </c>
      <c r="AU35" s="10" t="str">
        <f>IF($A35="","",VLOOKUP($A35,기본데이타!$A$10:$BV$103,COLUMN(기본데이타!AX$8),0))</f>
        <v/>
      </c>
      <c r="AV35" s="10" t="str">
        <f>IF($A35="","",VLOOKUP($A35,기본데이타!$A$10:$BV$103,COLUMN(기본데이타!AY$8),0))</f>
        <v/>
      </c>
      <c r="AW35" s="10" t="str">
        <f t="shared" si="7"/>
        <v/>
      </c>
    </row>
    <row r="36" spans="1:73">
      <c r="AT36" s="10" t="str">
        <f>IF($A36="","",VLOOKUP($A36,기본데이타!$A$10:$BV$103,COLUMN(기본데이타!AW$8),0))</f>
        <v/>
      </c>
      <c r="AU36" s="10" t="str">
        <f>IF($A36="","",VLOOKUP($A36,기본데이타!$A$10:$BV$103,COLUMN(기본데이타!AX$8),0))</f>
        <v/>
      </c>
      <c r="AV36" s="10" t="str">
        <f>IF($A36="","",VLOOKUP($A36,기본데이타!$A$10:$BV$103,COLUMN(기본데이타!AY$8),0))</f>
        <v/>
      </c>
      <c r="AW36" s="10" t="str">
        <f t="shared" si="7"/>
        <v/>
      </c>
    </row>
    <row r="37" spans="1:73">
      <c r="AT37" s="10" t="str">
        <f>IF($A37="","",VLOOKUP($A37,기본데이타!$A$10:$BV$103,COLUMN(기본데이타!AW$8),0))</f>
        <v/>
      </c>
      <c r="AU37" s="10" t="str">
        <f>IF($A37="","",VLOOKUP($A37,기본데이타!$A$10:$BV$103,COLUMN(기본데이타!AX$8),0))</f>
        <v/>
      </c>
      <c r="AV37" s="10" t="str">
        <f>IF($A37="","",VLOOKUP($A37,기본데이타!$A$10:$BV$103,COLUMN(기본데이타!AY$8),0))</f>
        <v/>
      </c>
      <c r="AW37" s="10" t="str">
        <f t="shared" si="7"/>
        <v/>
      </c>
    </row>
    <row r="38" spans="1:73">
      <c r="AT38" s="10" t="str">
        <f>IF($A38="","",VLOOKUP($A38,기본데이타!$A$10:$BV$103,COLUMN(기본데이타!AW$8),0))</f>
        <v/>
      </c>
      <c r="AU38" s="10" t="str">
        <f>IF($A38="","",VLOOKUP($A38,기본데이타!$A$10:$BV$103,COLUMN(기본데이타!AX$8),0))</f>
        <v/>
      </c>
      <c r="AV38" s="10" t="str">
        <f>IF($A38="","",VLOOKUP($A38,기본데이타!$A$10:$BV$103,COLUMN(기본데이타!AY$8),0))</f>
        <v/>
      </c>
      <c r="AW38" s="10" t="str">
        <f t="shared" si="7"/>
        <v/>
      </c>
    </row>
    <row r="39" spans="1:73">
      <c r="AT39" s="10" t="str">
        <f>IF($A39="","",VLOOKUP($A39,기본데이타!$A$10:$BV$103,COLUMN(기본데이타!AW$8),0))</f>
        <v/>
      </c>
      <c r="AU39" s="10" t="str">
        <f>IF($A39="","",VLOOKUP($A39,기본데이타!$A$10:$BV$103,COLUMN(기본데이타!AX$8),0))</f>
        <v/>
      </c>
      <c r="AV39" s="10" t="str">
        <f>IF($A39="","",VLOOKUP($A39,기본데이타!$A$10:$BV$103,COLUMN(기본데이타!AY$8),0))</f>
        <v/>
      </c>
      <c r="AW39" s="10" t="str">
        <f t="shared" si="7"/>
        <v/>
      </c>
    </row>
    <row r="40" spans="1:73">
      <c r="AT40" s="10" t="str">
        <f>IF($A40="","",VLOOKUP($A40,기본데이타!$A$10:$BV$103,COLUMN(기본데이타!AW$8),0))</f>
        <v/>
      </c>
      <c r="AU40" s="10" t="str">
        <f>IF($A40="","",VLOOKUP($A40,기본데이타!$A$10:$BV$103,COLUMN(기본데이타!AX$8),0))</f>
        <v/>
      </c>
      <c r="AV40" s="10" t="str">
        <f>IF($A40="","",VLOOKUP($A40,기본데이타!$A$10:$BV$103,COLUMN(기본데이타!AY$8),0))</f>
        <v/>
      </c>
      <c r="AW40" s="10" t="str">
        <f t="shared" si="7"/>
        <v/>
      </c>
    </row>
    <row r="41" spans="1:73">
      <c r="AT41" s="10" t="str">
        <f>IF($A41="","",VLOOKUP($A41,기본데이타!$A$10:$BV$103,COLUMN(기본데이타!AW$8),0))</f>
        <v/>
      </c>
      <c r="AU41" s="10" t="str">
        <f>IF($A41="","",VLOOKUP($A41,기본데이타!$A$10:$BV$103,COLUMN(기본데이타!AX$8),0))</f>
        <v/>
      </c>
      <c r="AV41" s="10" t="str">
        <f>IF($A41="","",VLOOKUP($A41,기본데이타!$A$10:$BV$103,COLUMN(기본데이타!AY$8),0))</f>
        <v/>
      </c>
      <c r="AW41" s="10" t="str">
        <f t="shared" si="7"/>
        <v/>
      </c>
    </row>
    <row r="42" spans="1:73">
      <c r="AT42" s="10" t="str">
        <f>IF($A42="","",VLOOKUP($A42,기본데이타!$A$10:$BV$103,COLUMN(기본데이타!AW$8),0))</f>
        <v/>
      </c>
      <c r="AU42" s="10" t="str">
        <f>IF($A42="","",VLOOKUP($A42,기본데이타!$A$10:$BV$103,COLUMN(기본데이타!AX$8),0))</f>
        <v/>
      </c>
      <c r="AV42" s="10" t="str">
        <f>IF($A42="","",VLOOKUP($A42,기본데이타!$A$10:$BV$103,COLUMN(기본데이타!AY$8),0))</f>
        <v/>
      </c>
      <c r="AW42" s="10" t="str">
        <f t="shared" si="7"/>
        <v/>
      </c>
    </row>
    <row r="43" spans="1:73">
      <c r="AT43" s="10" t="str">
        <f>IF($A43="","",VLOOKUP($A43,기본데이타!$A$10:$BV$103,COLUMN(기본데이타!AW$8),0))</f>
        <v/>
      </c>
      <c r="AU43" s="10" t="str">
        <f>IF($A43="","",VLOOKUP($A43,기본데이타!$A$10:$BV$103,COLUMN(기본데이타!AX$8),0))</f>
        <v/>
      </c>
      <c r="AV43" s="10" t="str">
        <f>IF($A43="","",VLOOKUP($A43,기본데이타!$A$10:$BV$103,COLUMN(기본데이타!AY$8),0))</f>
        <v/>
      </c>
      <c r="AW43" s="10" t="str">
        <f t="shared" si="7"/>
        <v/>
      </c>
    </row>
    <row r="44" spans="1:73">
      <c r="AT44" s="10" t="str">
        <f>IF($A44="","",VLOOKUP($A44,기본데이타!$A$10:$BV$103,COLUMN(기본데이타!AW$8),0))</f>
        <v/>
      </c>
      <c r="AU44" s="10" t="str">
        <f>IF($A44="","",VLOOKUP($A44,기본데이타!$A$10:$BV$103,COLUMN(기본데이타!AX$8),0))</f>
        <v/>
      </c>
      <c r="AV44" s="10" t="str">
        <f>IF($A44="","",VLOOKUP($A44,기본데이타!$A$10:$BV$103,COLUMN(기본데이타!AY$8),0))</f>
        <v/>
      </c>
      <c r="AW44" s="10" t="str">
        <f t="shared" si="7"/>
        <v/>
      </c>
    </row>
    <row r="45" spans="1:73">
      <c r="AT45" s="10" t="str">
        <f>IF($A45="","",VLOOKUP($A45,기본데이타!$A$10:$BV$103,COLUMN(기본데이타!AW$8),0))</f>
        <v/>
      </c>
      <c r="AU45" s="10" t="str">
        <f>IF($A45="","",VLOOKUP($A45,기본데이타!$A$10:$BV$103,COLUMN(기본데이타!AX$8),0))</f>
        <v/>
      </c>
      <c r="AV45" s="10" t="str">
        <f>IF($A45="","",VLOOKUP($A45,기본데이타!$A$10:$BV$103,COLUMN(기본데이타!AY$8),0))</f>
        <v/>
      </c>
      <c r="AW45" s="10" t="str">
        <f t="shared" si="7"/>
        <v/>
      </c>
    </row>
    <row r="46" spans="1:73">
      <c r="AT46" s="10" t="str">
        <f>IF($A46="","",VLOOKUP($A46,기본데이타!$A$10:$BV$103,COLUMN(기본데이타!AW$8),0))</f>
        <v/>
      </c>
      <c r="AU46" s="10" t="str">
        <f>IF($A46="","",VLOOKUP($A46,기본데이타!$A$10:$BV$103,COLUMN(기본데이타!AX$8),0))</f>
        <v/>
      </c>
      <c r="AV46" s="10" t="str">
        <f>IF($A46="","",VLOOKUP($A46,기본데이타!$A$10:$BV$103,COLUMN(기본데이타!AY$8),0))</f>
        <v/>
      </c>
      <c r="AW46" s="10" t="str">
        <f t="shared" si="7"/>
        <v/>
      </c>
    </row>
    <row r="47" spans="1:73">
      <c r="AT47" s="10" t="str">
        <f>IF($A47="","",VLOOKUP($A47,기본데이타!$A$10:$BV$103,COLUMN(기본데이타!AW$8),0))</f>
        <v/>
      </c>
      <c r="AU47" s="10" t="str">
        <f>IF($A47="","",VLOOKUP($A47,기본데이타!$A$10:$BV$103,COLUMN(기본데이타!AX$8),0))</f>
        <v/>
      </c>
      <c r="AV47" s="10" t="str">
        <f>IF($A47="","",VLOOKUP($A47,기본데이타!$A$10:$BV$103,COLUMN(기본데이타!AY$8),0))</f>
        <v/>
      </c>
      <c r="AW47" s="10" t="str">
        <f t="shared" si="7"/>
        <v/>
      </c>
    </row>
    <row r="48" spans="1:73">
      <c r="AT48" s="10" t="str">
        <f>IF($A48="","",VLOOKUP($A48,기본데이타!$A$10:$BV$103,COLUMN(기본데이타!AW$8),0))</f>
        <v/>
      </c>
      <c r="AU48" s="10" t="str">
        <f>IF($A48="","",VLOOKUP($A48,기본데이타!$A$10:$BV$103,COLUMN(기본데이타!AX$8),0))</f>
        <v/>
      </c>
      <c r="AV48" s="10" t="str">
        <f>IF($A48="","",VLOOKUP($A48,기본데이타!$A$10:$BV$103,COLUMN(기본데이타!AY$8),0))</f>
        <v/>
      </c>
      <c r="AW48" s="10" t="str">
        <f t="shared" si="7"/>
        <v/>
      </c>
    </row>
    <row r="49" spans="46:49">
      <c r="AT49" s="10" t="str">
        <f>IF($A49="","",VLOOKUP($A49,기본데이타!$A$10:$BV$103,COLUMN(기본데이타!AW$8),0))</f>
        <v/>
      </c>
      <c r="AU49" s="10" t="str">
        <f>IF($A49="","",VLOOKUP($A49,기본데이타!$A$10:$BV$103,COLUMN(기본데이타!AX$8),0))</f>
        <v/>
      </c>
      <c r="AV49" s="10" t="str">
        <f>IF($A49="","",VLOOKUP($A49,기본데이타!$A$10:$BV$103,COLUMN(기본데이타!AY$8),0))</f>
        <v/>
      </c>
      <c r="AW49" s="10" t="str">
        <f t="shared" si="7"/>
        <v/>
      </c>
    </row>
    <row r="50" spans="46:49">
      <c r="AT50" s="10" t="str">
        <f>IF($A50="","",VLOOKUP($A50,기본데이타!$A$10:$BV$103,COLUMN(기본데이타!AW$8),0))</f>
        <v/>
      </c>
      <c r="AU50" s="10" t="str">
        <f>IF($A50="","",VLOOKUP($A50,기본데이타!$A$10:$BV$103,COLUMN(기본데이타!AX$8),0))</f>
        <v/>
      </c>
      <c r="AV50" s="10" t="str">
        <f>IF($A50="","",VLOOKUP($A50,기본데이타!$A$10:$BV$103,COLUMN(기본데이타!AY$8),0))</f>
        <v/>
      </c>
      <c r="AW50" s="10" t="str">
        <f t="shared" si="7"/>
        <v/>
      </c>
    </row>
    <row r="51" spans="46:49">
      <c r="AT51" s="10" t="str">
        <f>IF($A51="","",VLOOKUP($A51,기본데이타!$A$10:$BV$103,COLUMN(기본데이타!AW$8),0))</f>
        <v/>
      </c>
      <c r="AU51" s="10" t="str">
        <f>IF($A51="","",VLOOKUP($A51,기본데이타!$A$10:$BV$103,COLUMN(기본데이타!AX$8),0))</f>
        <v/>
      </c>
      <c r="AV51" s="10" t="str">
        <f>IF($A51="","",VLOOKUP($A51,기본데이타!$A$10:$BV$103,COLUMN(기본데이타!AY$8),0))</f>
        <v/>
      </c>
      <c r="AW51" s="10" t="str">
        <f t="shared" si="7"/>
        <v/>
      </c>
    </row>
    <row r="52" spans="46:49">
      <c r="AT52" s="10" t="str">
        <f>IF($A52="","",VLOOKUP($A52,기본데이타!$A$10:$BV$103,COLUMN(기본데이타!AW$8),0))</f>
        <v/>
      </c>
      <c r="AU52" s="10" t="str">
        <f>IF($A52="","",VLOOKUP($A52,기본데이타!$A$10:$BV$103,COLUMN(기본데이타!AX$8),0))</f>
        <v/>
      </c>
      <c r="AV52" s="10" t="str">
        <f>IF($A52="","",VLOOKUP($A52,기본데이타!$A$10:$BV$103,COLUMN(기본데이타!AY$8),0))</f>
        <v/>
      </c>
      <c r="AW52" s="10" t="str">
        <f t="shared" si="7"/>
        <v/>
      </c>
    </row>
    <row r="53" spans="46:49">
      <c r="AT53" s="10" t="str">
        <f>IF($A53="","",VLOOKUP($A53,기본데이타!$A$10:$BV$103,COLUMN(기본데이타!AW$8),0))</f>
        <v/>
      </c>
      <c r="AU53" s="10" t="str">
        <f>IF($A53="","",VLOOKUP($A53,기본데이타!$A$10:$BV$103,COLUMN(기본데이타!AX$8),0))</f>
        <v/>
      </c>
      <c r="AV53" s="10" t="str">
        <f>IF($A53="","",VLOOKUP($A53,기본데이타!$A$10:$BV$103,COLUMN(기본데이타!AY$8),0))</f>
        <v/>
      </c>
      <c r="AW53" s="10" t="str">
        <f t="shared" si="7"/>
        <v/>
      </c>
    </row>
    <row r="54" spans="46:49">
      <c r="AT54" s="10" t="str">
        <f>IF($A54="","",VLOOKUP($A54,기본데이타!$A$10:$BV$103,COLUMN(기본데이타!AW$8),0))</f>
        <v/>
      </c>
      <c r="AU54" s="10" t="str">
        <f>IF($A54="","",VLOOKUP($A54,기본데이타!$A$10:$BV$103,COLUMN(기본데이타!AX$8),0))</f>
        <v/>
      </c>
      <c r="AV54" s="10" t="str">
        <f>IF($A54="","",VLOOKUP($A54,기본데이타!$A$10:$BV$103,COLUMN(기본데이타!AY$8),0))</f>
        <v/>
      </c>
      <c r="AW54" s="10" t="str">
        <f t="shared" si="7"/>
        <v/>
      </c>
    </row>
    <row r="55" spans="46:49">
      <c r="AT55" s="10"/>
      <c r="AU55" s="10"/>
      <c r="AV55" s="10"/>
      <c r="AW55" s="10" t="str">
        <f t="shared" si="7"/>
        <v/>
      </c>
    </row>
    <row r="56" spans="46:49">
      <c r="AT56" s="10"/>
      <c r="AU56" s="10"/>
      <c r="AV56" s="10"/>
      <c r="AW56" s="10" t="str">
        <f t="shared" si="7"/>
        <v/>
      </c>
    </row>
    <row r="57" spans="46:49">
      <c r="AT57" s="10"/>
      <c r="AU57" s="10"/>
      <c r="AV57" s="10"/>
      <c r="AW57" s="10" t="str">
        <f t="shared" si="7"/>
        <v/>
      </c>
    </row>
    <row r="58" spans="46:49">
      <c r="AT58" s="10"/>
      <c r="AU58" s="10"/>
      <c r="AV58" s="10"/>
      <c r="AW58" s="10" t="str">
        <f t="shared" si="7"/>
        <v/>
      </c>
    </row>
    <row r="59" spans="46:49">
      <c r="AT59" s="10"/>
      <c r="AU59" s="10"/>
      <c r="AV59" s="10"/>
      <c r="AW59" s="10" t="str">
        <f t="shared" si="7"/>
        <v/>
      </c>
    </row>
    <row r="60" spans="46:49">
      <c r="AT60" s="10"/>
      <c r="AU60" s="10"/>
      <c r="AV60" s="10"/>
      <c r="AW60" s="10" t="str">
        <f t="shared" si="7"/>
        <v/>
      </c>
    </row>
    <row r="61" spans="46:49">
      <c r="AT61" s="10"/>
      <c r="AU61" s="10"/>
      <c r="AV61" s="10"/>
      <c r="AW61" s="10" t="str">
        <f t="shared" si="7"/>
        <v/>
      </c>
    </row>
    <row r="62" spans="46:49">
      <c r="AT62" s="10"/>
      <c r="AU62" s="10"/>
      <c r="AV62" s="10"/>
      <c r="AW62" s="10" t="str">
        <f t="shared" si="7"/>
        <v/>
      </c>
    </row>
    <row r="63" spans="46:49">
      <c r="AT63" s="10"/>
      <c r="AU63" s="10"/>
      <c r="AV63" s="10"/>
      <c r="AW63" s="10" t="str">
        <f t="shared" si="7"/>
        <v/>
      </c>
    </row>
    <row r="64" spans="46:49">
      <c r="AT64" s="10"/>
      <c r="AU64" s="10"/>
      <c r="AV64" s="10"/>
      <c r="AW64" s="10" t="str">
        <f t="shared" si="7"/>
        <v/>
      </c>
    </row>
    <row r="65" spans="46:49">
      <c r="AT65" s="10"/>
      <c r="AU65" s="10"/>
      <c r="AV65" s="10"/>
      <c r="AW65" s="10" t="str">
        <f t="shared" si="7"/>
        <v/>
      </c>
    </row>
    <row r="66" spans="46:49">
      <c r="AW66" s="2" t="str">
        <f t="shared" si="7"/>
        <v/>
      </c>
    </row>
  </sheetData>
  <mergeCells count="14">
    <mergeCell ref="BS4:BS6"/>
    <mergeCell ref="BT4:BT6"/>
    <mergeCell ref="AH5:AJ5"/>
    <mergeCell ref="BK5:BK6"/>
    <mergeCell ref="BO4:BR4"/>
    <mergeCell ref="C4:C6"/>
    <mergeCell ref="Y4:Z5"/>
    <mergeCell ref="AS4:AS6"/>
    <mergeCell ref="AT4:AW5"/>
    <mergeCell ref="AX4:AX6"/>
    <mergeCell ref="AA4:AB5"/>
    <mergeCell ref="AC4:AD5"/>
    <mergeCell ref="AE4:AF5"/>
    <mergeCell ref="AK5:AR5"/>
  </mergeCells>
  <phoneticPr fontId="43" type="noConversion"/>
  <printOptions horizontalCentered="1" gridLinesSet="0"/>
  <pageMargins left="0.33" right="0.34" top="0.98425196850393704" bottom="0.39370078740157483" header="0.59055118110236227" footer="0.19685039370078741"/>
  <pageSetup paperSize="8" scale="33" orientation="landscape" horizontalDpi="4294967292" r:id="rId1"/>
  <headerFooter alignWithMargins="0"/>
  <ignoredErrors>
    <ignoredError sqref="C9" unlockedFormula="1"/>
  </ignoredError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5:M8"/>
  <sheetViews>
    <sheetView workbookViewId="0">
      <selection activeCell="I6" sqref="I6"/>
    </sheetView>
  </sheetViews>
  <sheetFormatPr defaultRowHeight="13.5"/>
  <cols>
    <col min="3" max="3" width="11" customWidth="1"/>
    <col min="4" max="13" width="10.88671875" customWidth="1"/>
  </cols>
  <sheetData>
    <row r="5" spans="3:13" ht="21" customHeight="1">
      <c r="C5" s="1650" t="s">
        <v>478</v>
      </c>
      <c r="D5" s="1645" t="s">
        <v>375</v>
      </c>
      <c r="E5" s="1645" t="s">
        <v>376</v>
      </c>
      <c r="F5" s="1645" t="s">
        <v>377</v>
      </c>
      <c r="G5" s="1645" t="s">
        <v>473</v>
      </c>
      <c r="H5" s="1645" t="s">
        <v>378</v>
      </c>
      <c r="I5" s="1645" t="s">
        <v>515</v>
      </c>
      <c r="J5" s="1645" t="s">
        <v>480</v>
      </c>
      <c r="K5" s="1645" t="s">
        <v>479</v>
      </c>
      <c r="L5" s="1645" t="s">
        <v>469</v>
      </c>
      <c r="M5" s="1645" t="s">
        <v>379</v>
      </c>
    </row>
    <row r="6" spans="3:13" ht="54" customHeight="1">
      <c r="C6" s="1646" t="s">
        <v>483</v>
      </c>
      <c r="D6" s="1646" t="s">
        <v>380</v>
      </c>
      <c r="E6" s="1646" t="s">
        <v>380</v>
      </c>
      <c r="F6" s="1646" t="s">
        <v>380</v>
      </c>
      <c r="G6" s="1647"/>
      <c r="H6" s="1648"/>
      <c r="I6" s="1857"/>
      <c r="J6" s="2149" t="s">
        <v>380</v>
      </c>
      <c r="K6" s="2149"/>
      <c r="L6" s="2149"/>
      <c r="M6" s="2147" t="s">
        <v>380</v>
      </c>
    </row>
    <row r="7" spans="3:13" ht="54" customHeight="1">
      <c r="C7" s="1649" t="s">
        <v>481</v>
      </c>
      <c r="D7" s="1649"/>
      <c r="E7" s="1649"/>
      <c r="F7" s="1649"/>
      <c r="G7" s="1649"/>
      <c r="H7" s="1649"/>
      <c r="I7" s="1856"/>
      <c r="J7" s="2150"/>
      <c r="K7" s="2150"/>
      <c r="L7" s="2150"/>
      <c r="M7" s="2148"/>
    </row>
    <row r="8" spans="3:13" ht="52.5" customHeight="1">
      <c r="C8" s="1651" t="s">
        <v>381</v>
      </c>
      <c r="D8" s="2146" t="s">
        <v>380</v>
      </c>
      <c r="E8" s="2146"/>
      <c r="F8" s="2146"/>
      <c r="G8" s="2146"/>
      <c r="H8" s="2146"/>
      <c r="I8" s="2146"/>
      <c r="J8" s="2146"/>
      <c r="K8" s="2146"/>
      <c r="L8" s="2146"/>
      <c r="M8" s="2146"/>
    </row>
  </sheetData>
  <mergeCells count="5">
    <mergeCell ref="D8:M8"/>
    <mergeCell ref="M6:M7"/>
    <mergeCell ref="L6:L7"/>
    <mergeCell ref="J6:J7"/>
    <mergeCell ref="K6:K7"/>
  </mergeCells>
  <phoneticPr fontId="43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">
    <tabColor theme="7" tint="0.59999389629810485"/>
  </sheetPr>
  <dimension ref="A1:I40"/>
  <sheetViews>
    <sheetView workbookViewId="0">
      <selection activeCell="B2" sqref="B2"/>
    </sheetView>
  </sheetViews>
  <sheetFormatPr defaultRowHeight="13.5"/>
  <cols>
    <col min="1" max="1" width="9.109375" customWidth="1"/>
    <col min="2" max="2" width="13.77734375" customWidth="1"/>
    <col min="3" max="3" width="14.77734375" customWidth="1"/>
    <col min="4" max="4" width="14.6640625" customWidth="1"/>
    <col min="5" max="5" width="13.6640625" customWidth="1"/>
    <col min="6" max="6" width="17.6640625" customWidth="1"/>
    <col min="7" max="7" width="15.21875" customWidth="1"/>
    <col min="9" max="9" width="16.5546875" bestFit="1" customWidth="1"/>
  </cols>
  <sheetData>
    <row r="1" spans="1:9" ht="18.75" customHeight="1">
      <c r="A1" s="847" t="s">
        <v>291</v>
      </c>
      <c r="B1" s="847" t="s">
        <v>288</v>
      </c>
      <c r="C1" s="853">
        <f>신규투자계획서!D22</f>
        <v>8</v>
      </c>
      <c r="D1" s="854">
        <f>품의서!E25</f>
        <v>9</v>
      </c>
      <c r="E1" s="847" t="s">
        <v>292</v>
      </c>
      <c r="F1" s="847" t="s">
        <v>290</v>
      </c>
      <c r="G1" s="847" t="s">
        <v>289</v>
      </c>
    </row>
    <row r="2" spans="1:9" ht="18.75" customHeight="1">
      <c r="A2" s="847" t="s">
        <v>287</v>
      </c>
      <c r="B2" s="837">
        <f>투자현황!J16</f>
        <v>3427016688.527513</v>
      </c>
      <c r="C2" s="837">
        <f>투자현황!N16</f>
        <v>1160449000</v>
      </c>
      <c r="D2" s="837">
        <f>신규투자계획서!F10+신규투자계획서!F16</f>
        <v>33889000</v>
      </c>
      <c r="E2" s="837">
        <f>투자현황!T16</f>
        <v>0</v>
      </c>
      <c r="F2" s="837">
        <f>투자현황!Z16</f>
        <v>1194338000</v>
      </c>
      <c r="G2" s="837">
        <f>투자현황!AB16</f>
        <v>2232678688.527513</v>
      </c>
      <c r="I2" s="552">
        <f>C2+D2-E2</f>
        <v>1194338000</v>
      </c>
    </row>
    <row r="3" spans="1:9" ht="18.75" hidden="1" customHeight="1">
      <c r="A3" s="847" t="s">
        <v>286</v>
      </c>
      <c r="B3" s="837">
        <f>투자현황!J17</f>
        <v>0</v>
      </c>
      <c r="C3" s="837">
        <f>투자현황!N17</f>
        <v>0</v>
      </c>
      <c r="D3" s="837">
        <f>신규투자계획서!G61</f>
        <v>0</v>
      </c>
      <c r="E3" s="837">
        <f>투자현황!T17</f>
        <v>0</v>
      </c>
      <c r="F3" s="837">
        <f>투자현황!Z17</f>
        <v>0</v>
      </c>
      <c r="G3" s="837">
        <f>투자현황!AB17</f>
        <v>0</v>
      </c>
      <c r="I3" s="552"/>
    </row>
    <row r="4" spans="1:9" ht="18.75" customHeight="1">
      <c r="A4" s="1187" t="s">
        <v>334</v>
      </c>
      <c r="B4" s="837">
        <f>투자현황!J18</f>
        <v>1695844011.6687703</v>
      </c>
      <c r="C4" s="837">
        <f>투자현황!N18</f>
        <v>704740000</v>
      </c>
      <c r="D4" s="837">
        <f>신규투자계획서!G60</f>
        <v>35554000</v>
      </c>
      <c r="E4" s="837">
        <f>투자현황!T18</f>
        <v>0</v>
      </c>
      <c r="F4" s="837">
        <f>투자현황!Z18</f>
        <v>740294000</v>
      </c>
      <c r="G4" s="837">
        <f>투자현황!AB18</f>
        <v>955550011.66877031</v>
      </c>
      <c r="I4" s="552"/>
    </row>
    <row r="5" spans="1:9" ht="18.75" customHeight="1">
      <c r="A5" s="847" t="s">
        <v>195</v>
      </c>
      <c r="B5" s="849">
        <f t="shared" ref="B5:G5" si="0">SUM(B2:B4)</f>
        <v>5122860700.1962833</v>
      </c>
      <c r="C5" s="848">
        <f t="shared" si="0"/>
        <v>1865189000</v>
      </c>
      <c r="D5" s="848">
        <f t="shared" si="0"/>
        <v>69443000</v>
      </c>
      <c r="E5" s="848">
        <f t="shared" si="0"/>
        <v>0</v>
      </c>
      <c r="F5" s="849">
        <f t="shared" si="0"/>
        <v>1934632000</v>
      </c>
      <c r="G5" s="848">
        <f t="shared" si="0"/>
        <v>3188228700.1962833</v>
      </c>
      <c r="I5" s="552"/>
    </row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</sheetData>
  <phoneticPr fontId="43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">
    <tabColor rgb="FFFFFF00"/>
  </sheetPr>
  <dimension ref="B1:O9"/>
  <sheetViews>
    <sheetView workbookViewId="0">
      <selection activeCell="P14" sqref="P14"/>
    </sheetView>
  </sheetViews>
  <sheetFormatPr defaultRowHeight="30" customHeight="1"/>
  <cols>
    <col min="1" max="1" width="8.88671875" style="105"/>
    <col min="2" max="2" width="3.88671875" style="105" customWidth="1"/>
    <col min="3" max="3" width="12.109375" style="105" customWidth="1"/>
    <col min="4" max="7" width="7.77734375" style="105" customWidth="1"/>
    <col min="8" max="8" width="1.21875" style="105" customWidth="1"/>
    <col min="9" max="9" width="4" style="105" customWidth="1"/>
    <col min="10" max="10" width="2.77734375" style="105" customWidth="1"/>
    <col min="11" max="11" width="1.21875" style="105" customWidth="1"/>
    <col min="12" max="12" width="4" style="105" customWidth="1"/>
    <col min="13" max="13" width="2.77734375" style="105" customWidth="1"/>
    <col min="14" max="14" width="7.77734375" style="105" customWidth="1"/>
    <col min="15" max="15" width="8.33203125" style="105" customWidth="1"/>
    <col min="16" max="16384" width="8.88671875" style="105"/>
  </cols>
  <sheetData>
    <row r="1" spans="2:15" ht="57.75" customHeight="1"/>
    <row r="3" spans="2:15" ht="35.1" customHeight="1">
      <c r="B3" s="2161" t="s">
        <v>216</v>
      </c>
      <c r="C3" s="2162"/>
      <c r="D3" s="539" t="s">
        <v>222</v>
      </c>
      <c r="E3" s="539" t="s">
        <v>360</v>
      </c>
      <c r="F3" s="539" t="s">
        <v>223</v>
      </c>
      <c r="G3" s="539" t="s">
        <v>374</v>
      </c>
      <c r="H3" s="2165" t="s">
        <v>361</v>
      </c>
      <c r="I3" s="2166"/>
      <c r="J3" s="2162"/>
      <c r="K3" s="2165" t="s">
        <v>224</v>
      </c>
      <c r="L3" s="2166"/>
      <c r="M3" s="2162"/>
      <c r="N3" s="1285" t="s">
        <v>225</v>
      </c>
      <c r="O3" s="752" t="s">
        <v>226</v>
      </c>
    </row>
    <row r="4" spans="2:15" ht="50.1" customHeight="1">
      <c r="B4" s="540" t="s">
        <v>217</v>
      </c>
      <c r="C4" s="1345" t="s">
        <v>372</v>
      </c>
      <c r="D4" s="537"/>
      <c r="E4" s="537"/>
      <c r="F4" s="537"/>
      <c r="G4" s="537"/>
      <c r="H4" s="2171"/>
      <c r="I4" s="2172"/>
      <c r="J4" s="2173"/>
      <c r="K4" s="2163"/>
      <c r="L4" s="2167"/>
      <c r="M4" s="2168"/>
      <c r="N4" s="2163"/>
      <c r="O4" s="2151"/>
    </row>
    <row r="5" spans="2:15" ht="50.1" customHeight="1">
      <c r="B5" s="541" t="s">
        <v>218</v>
      </c>
      <c r="C5" s="538" t="s">
        <v>373</v>
      </c>
      <c r="D5" s="1275"/>
      <c r="E5" s="1275"/>
      <c r="F5" s="1275"/>
      <c r="G5" s="1275"/>
      <c r="H5" s="2174"/>
      <c r="I5" s="2175"/>
      <c r="J5" s="2176"/>
      <c r="K5" s="2164"/>
      <c r="L5" s="2169"/>
      <c r="M5" s="2170"/>
      <c r="N5" s="2164"/>
      <c r="O5" s="2152"/>
    </row>
    <row r="6" spans="2:15" ht="3" customHeight="1">
      <c r="B6" s="748"/>
      <c r="C6" s="749"/>
      <c r="D6" s="2153"/>
      <c r="E6" s="2154"/>
      <c r="F6" s="2154"/>
      <c r="G6" s="2154"/>
      <c r="H6" s="2154"/>
      <c r="I6" s="2154"/>
      <c r="J6" s="2154"/>
      <c r="K6" s="2154"/>
      <c r="L6" s="2154"/>
      <c r="M6" s="2154"/>
      <c r="N6" s="2154"/>
      <c r="O6" s="2155"/>
    </row>
    <row r="7" spans="2:15" ht="18" customHeight="1">
      <c r="B7" s="2159" t="s">
        <v>242</v>
      </c>
      <c r="C7" s="2160"/>
      <c r="D7" s="2153"/>
      <c r="E7" s="2154"/>
      <c r="F7" s="2154"/>
      <c r="G7" s="2154"/>
      <c r="H7" s="2154"/>
      <c r="I7" s="2154"/>
      <c r="J7" s="2154"/>
      <c r="K7" s="2154"/>
      <c r="L7" s="2154"/>
      <c r="M7" s="2154"/>
      <c r="N7" s="2154"/>
      <c r="O7" s="2155"/>
    </row>
    <row r="8" spans="2:15" ht="36" customHeight="1">
      <c r="B8" s="2159"/>
      <c r="C8" s="2160"/>
      <c r="D8" s="2153"/>
      <c r="E8" s="2154"/>
      <c r="F8" s="2154"/>
      <c r="G8" s="2154"/>
      <c r="H8" s="2154"/>
      <c r="I8" s="2154"/>
      <c r="J8" s="2154"/>
      <c r="K8" s="2154"/>
      <c r="L8" s="2154"/>
      <c r="M8" s="2154"/>
      <c r="N8" s="2154"/>
      <c r="O8" s="2155"/>
    </row>
    <row r="9" spans="2:15" ht="3" customHeight="1">
      <c r="B9" s="750"/>
      <c r="C9" s="751"/>
      <c r="D9" s="2156"/>
      <c r="E9" s="2157"/>
      <c r="F9" s="2157"/>
      <c r="G9" s="2157"/>
      <c r="H9" s="2157"/>
      <c r="I9" s="2157"/>
      <c r="J9" s="2157"/>
      <c r="K9" s="2157"/>
      <c r="L9" s="2157"/>
      <c r="M9" s="2157"/>
      <c r="N9" s="2157"/>
      <c r="O9" s="2158"/>
    </row>
  </sheetData>
  <mergeCells count="10">
    <mergeCell ref="O4:O5"/>
    <mergeCell ref="D6:O9"/>
    <mergeCell ref="B7:C8"/>
    <mergeCell ref="B3:C3"/>
    <mergeCell ref="N4:N5"/>
    <mergeCell ref="K3:M3"/>
    <mergeCell ref="K4:M5"/>
    <mergeCell ref="H3:J3"/>
    <mergeCell ref="H4:J4"/>
    <mergeCell ref="H5:J5"/>
  </mergeCells>
  <phoneticPr fontId="43" type="noConversion"/>
  <pageMargins left="0.75" right="0.75" top="1" bottom="1" header="0.5" footer="0.5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T45"/>
  <sheetViews>
    <sheetView showGridLines="0" showZeros="0" zoomScale="90" zoomScaleNormal="90" zoomScaleSheetLayoutView="85" workbookViewId="0">
      <pane xSplit="2" ySplit="9" topLeftCell="P10" activePane="bottomRight" state="frozen"/>
      <selection activeCell="BS1" sqref="BS1"/>
      <selection pane="topRight" activeCell="BS1" sqref="BS1"/>
      <selection pane="bottomLeft" activeCell="BS1" sqref="BS1"/>
      <selection pane="bottomRight" activeCell="P15" sqref="P15"/>
    </sheetView>
  </sheetViews>
  <sheetFormatPr defaultRowHeight="13.5"/>
  <cols>
    <col min="1" max="1" width="4.6640625" style="857" customWidth="1"/>
    <col min="2" max="2" width="7.5546875" style="857" customWidth="1"/>
    <col min="3" max="3" width="8.77734375" style="857" hidden="1" customWidth="1"/>
    <col min="4" max="4" width="11.77734375" style="857" hidden="1" customWidth="1"/>
    <col min="5" max="5" width="6.77734375" style="857" hidden="1" customWidth="1"/>
    <col min="6" max="7" width="8.109375" style="857" bestFit="1" customWidth="1"/>
    <col min="8" max="8" width="11.44140625" style="857" bestFit="1" customWidth="1"/>
    <col min="9" max="9" width="6.88671875" style="857" bestFit="1" customWidth="1"/>
    <col min="10" max="10" width="10.44140625" style="857" hidden="1" customWidth="1"/>
    <col min="11" max="11" width="5.5546875" style="857" bestFit="1" customWidth="1"/>
    <col min="12" max="12" width="8" style="857" bestFit="1" customWidth="1"/>
    <col min="13" max="13" width="10.88671875" style="857" customWidth="1"/>
    <col min="14" max="14" width="5.109375" style="857" bestFit="1" customWidth="1"/>
    <col min="15" max="15" width="8" style="857" bestFit="1" customWidth="1"/>
    <col min="16" max="16" width="8.5546875" style="857" customWidth="1"/>
    <col min="17" max="17" width="7" style="857" bestFit="1" customWidth="1"/>
    <col min="18" max="18" width="8" style="857" bestFit="1" customWidth="1"/>
    <col min="19" max="19" width="11.44140625" style="857" bestFit="1" customWidth="1"/>
    <col min="20" max="20" width="5.109375" style="857" bestFit="1" customWidth="1"/>
    <col min="21" max="21" width="8" style="857" bestFit="1" customWidth="1"/>
    <col min="22" max="22" width="10.44140625" style="857" bestFit="1" customWidth="1"/>
    <col min="23" max="23" width="5.109375" style="857" bestFit="1" customWidth="1"/>
    <col min="24" max="24" width="8" style="857" bestFit="1" customWidth="1"/>
    <col min="25" max="25" width="9" style="857" bestFit="1" customWidth="1"/>
    <col min="26" max="27" width="8.109375" style="857" hidden="1" customWidth="1"/>
    <col min="28" max="28" width="11.44140625" style="857" hidden="1" customWidth="1"/>
    <col min="29" max="30" width="8.109375" style="857" bestFit="1" customWidth="1"/>
    <col min="31" max="31" width="11.44140625" style="857" bestFit="1" customWidth="1"/>
    <col min="32" max="32" width="6.88671875" style="325" bestFit="1" customWidth="1"/>
    <col min="33" max="33" width="11.109375" style="857" hidden="1" customWidth="1"/>
    <col min="34" max="34" width="11" style="857" hidden="1" customWidth="1"/>
    <col min="35" max="35" width="10.88671875" style="857" hidden="1" customWidth="1"/>
    <col min="36" max="36" width="11.21875" style="857" hidden="1" customWidth="1"/>
    <col min="37" max="37" width="11.21875" style="859" hidden="1" customWidth="1"/>
    <col min="38" max="38" width="13.44140625" style="857" hidden="1" customWidth="1"/>
    <col min="39" max="39" width="10.21875" style="857" bestFit="1" customWidth="1"/>
    <col min="40" max="40" width="9.5546875" style="325" customWidth="1"/>
    <col min="41" max="41" width="13.33203125" style="858" bestFit="1" customWidth="1"/>
    <col min="42" max="42" width="12.77734375" style="325" bestFit="1" customWidth="1"/>
    <col min="43" max="43" width="17.33203125" style="325" bestFit="1" customWidth="1"/>
    <col min="44" max="44" width="8.88671875" style="857"/>
    <col min="45" max="45" width="13.6640625" style="857" bestFit="1" customWidth="1"/>
    <col min="46" max="46" width="14.21875" style="857" bestFit="1" customWidth="1"/>
    <col min="47" max="16384" width="8.88671875" style="857"/>
  </cols>
  <sheetData>
    <row r="1" spans="1:45" ht="18" customHeight="1">
      <c r="A1" s="855"/>
      <c r="B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G1" s="333"/>
      <c r="AH1" s="333"/>
      <c r="AI1" s="333"/>
      <c r="AJ1" s="333"/>
      <c r="AK1" s="856"/>
    </row>
    <row r="2" spans="1:45" ht="18" customHeight="1">
      <c r="A2" s="855"/>
      <c r="B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G2" s="333"/>
      <c r="AH2" s="333"/>
      <c r="AI2" s="333"/>
      <c r="AJ2" s="333"/>
      <c r="AK2" s="856"/>
      <c r="AP2" s="927"/>
    </row>
    <row r="3" spans="1:45" ht="18" customHeight="1">
      <c r="A3" s="855"/>
      <c r="B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G3" s="333"/>
      <c r="AH3" s="333"/>
      <c r="AI3" s="333"/>
      <c r="AJ3" s="333"/>
      <c r="AK3" s="856"/>
      <c r="AN3" s="325">
        <v>5835892274</v>
      </c>
      <c r="AO3" s="858">
        <v>3666566000</v>
      </c>
    </row>
    <row r="4" spans="1:45" ht="18" customHeight="1">
      <c r="A4" s="855"/>
      <c r="B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G4" s="333"/>
      <c r="AH4" s="333"/>
      <c r="AI4" s="333"/>
      <c r="AJ4" s="333"/>
      <c r="AK4" s="856"/>
      <c r="AN4" s="1281">
        <f>AN3-AP22+V15-Y15</f>
        <v>4421847848</v>
      </c>
      <c r="AO4" s="858">
        <f>AO3+AP22+V18-Y18</f>
        <v>4661171978</v>
      </c>
    </row>
    <row r="5" spans="1:45" ht="18" customHeight="1">
      <c r="A5" s="855"/>
      <c r="B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G5" s="333"/>
      <c r="AH5" s="333"/>
      <c r="AI5" s="333"/>
      <c r="AJ5" s="333"/>
      <c r="AK5" s="856"/>
    </row>
    <row r="6" spans="1:45" ht="24.95" customHeight="1" thickBot="1">
      <c r="S6" s="1073"/>
      <c r="V6" s="1082"/>
      <c r="AG6" s="857">
        <v>0</v>
      </c>
      <c r="AL6" s="860" t="s">
        <v>182</v>
      </c>
      <c r="AM6" s="857">
        <v>-1</v>
      </c>
    </row>
    <row r="7" spans="1:45" ht="24.95" customHeight="1" thickBot="1">
      <c r="A7" s="1937" t="s">
        <v>183</v>
      </c>
      <c r="B7" s="1938"/>
      <c r="C7" s="1322"/>
      <c r="D7" s="1322"/>
      <c r="E7" s="1322"/>
      <c r="F7" s="2187" t="s">
        <v>390</v>
      </c>
      <c r="G7" s="2188"/>
      <c r="H7" s="2188"/>
      <c r="I7" s="2188"/>
      <c r="J7" s="1938"/>
      <c r="K7" s="2193" t="s">
        <v>369</v>
      </c>
      <c r="L7" s="2194"/>
      <c r="M7" s="2194"/>
      <c r="N7" s="2194"/>
      <c r="O7" s="2194"/>
      <c r="P7" s="2195"/>
      <c r="Q7" s="2199" t="s">
        <v>391</v>
      </c>
      <c r="R7" s="2187"/>
      <c r="S7" s="2200"/>
      <c r="T7" s="2193" t="s">
        <v>392</v>
      </c>
      <c r="U7" s="2194"/>
      <c r="V7" s="2194"/>
      <c r="W7" s="2194"/>
      <c r="X7" s="2194"/>
      <c r="Y7" s="2195"/>
      <c r="Z7" s="1322"/>
      <c r="AA7" s="1322"/>
      <c r="AB7" s="1322"/>
      <c r="AC7" s="2187" t="s">
        <v>370</v>
      </c>
      <c r="AD7" s="2187"/>
      <c r="AE7" s="2187"/>
      <c r="AF7" s="2200"/>
      <c r="AG7" s="1941" t="s">
        <v>184</v>
      </c>
      <c r="AH7" s="1322"/>
      <c r="AI7" s="1322"/>
      <c r="AJ7" s="1322"/>
      <c r="AK7" s="1323"/>
      <c r="AL7" s="2177" t="s">
        <v>186</v>
      </c>
    </row>
    <row r="8" spans="1:45" ht="35.1" customHeight="1" thickTop="1">
      <c r="A8" s="2191"/>
      <c r="B8" s="2192"/>
      <c r="C8" s="1130" t="s">
        <v>358</v>
      </c>
      <c r="D8" s="1118"/>
      <c r="E8" s="1118"/>
      <c r="F8" s="2189"/>
      <c r="G8" s="2189"/>
      <c r="H8" s="2189"/>
      <c r="I8" s="2189"/>
      <c r="J8" s="2190"/>
      <c r="K8" s="2182" t="s">
        <v>366</v>
      </c>
      <c r="L8" s="2183"/>
      <c r="M8" s="2184"/>
      <c r="N8" s="2185" t="s">
        <v>368</v>
      </c>
      <c r="O8" s="2185"/>
      <c r="P8" s="2186"/>
      <c r="Q8" s="2201"/>
      <c r="R8" s="2185"/>
      <c r="S8" s="2186"/>
      <c r="T8" s="1324" t="str">
        <f>"신청 내역("&amp;품의서!E25&amp;"차)"</f>
        <v>신청 내역(9차)</v>
      </c>
      <c r="U8" s="1325"/>
      <c r="V8" s="1326"/>
      <c r="W8" s="1324" t="str">
        <f>"취소 내역("&amp;품의서!E25&amp;"차)"</f>
        <v>취소 내역(9차)</v>
      </c>
      <c r="X8" s="1325"/>
      <c r="Y8" s="1328"/>
      <c r="Z8" s="1327" t="s">
        <v>325</v>
      </c>
      <c r="AA8" s="863"/>
      <c r="AB8" s="863"/>
      <c r="AC8" s="2185"/>
      <c r="AD8" s="2185"/>
      <c r="AE8" s="2185"/>
      <c r="AF8" s="2186"/>
      <c r="AG8" s="2202"/>
      <c r="AH8" s="866" t="s">
        <v>185</v>
      </c>
      <c r="AI8" s="866"/>
      <c r="AJ8" s="866"/>
      <c r="AK8" s="1943" t="s">
        <v>185</v>
      </c>
      <c r="AL8" s="2178"/>
    </row>
    <row r="9" spans="1:45" ht="35.1" customHeight="1" thickBot="1">
      <c r="A9" s="1939"/>
      <c r="B9" s="1940"/>
      <c r="C9" s="867" t="s">
        <v>188</v>
      </c>
      <c r="D9" s="868" t="s">
        <v>127</v>
      </c>
      <c r="E9" s="869" t="s">
        <v>189</v>
      </c>
      <c r="F9" s="1317" t="s">
        <v>4</v>
      </c>
      <c r="G9" s="1318" t="s">
        <v>128</v>
      </c>
      <c r="H9" s="871" t="s">
        <v>127</v>
      </c>
      <c r="I9" s="871" t="s">
        <v>364</v>
      </c>
      <c r="J9" s="1330" t="s">
        <v>365</v>
      </c>
      <c r="K9" s="1301" t="s">
        <v>367</v>
      </c>
      <c r="L9" s="1320" t="s">
        <v>128</v>
      </c>
      <c r="M9" s="1329" t="s">
        <v>127</v>
      </c>
      <c r="N9" s="1319" t="s">
        <v>367</v>
      </c>
      <c r="O9" s="1320" t="s">
        <v>128</v>
      </c>
      <c r="P9" s="1319" t="s">
        <v>127</v>
      </c>
      <c r="Q9" s="870" t="s">
        <v>187</v>
      </c>
      <c r="R9" s="871" t="s">
        <v>128</v>
      </c>
      <c r="S9" s="871" t="s">
        <v>127</v>
      </c>
      <c r="T9" s="870" t="s">
        <v>187</v>
      </c>
      <c r="U9" s="871" t="s">
        <v>128</v>
      </c>
      <c r="V9" s="869" t="s">
        <v>190</v>
      </c>
      <c r="W9" s="870" t="s">
        <v>187</v>
      </c>
      <c r="X9" s="871" t="s">
        <v>128</v>
      </c>
      <c r="Y9" s="871" t="s">
        <v>127</v>
      </c>
      <c r="Z9" s="870" t="s">
        <v>187</v>
      </c>
      <c r="AA9" s="871" t="s">
        <v>128</v>
      </c>
      <c r="AB9" s="871" t="s">
        <v>127</v>
      </c>
      <c r="AC9" s="870" t="s">
        <v>187</v>
      </c>
      <c r="AD9" s="871" t="s">
        <v>128</v>
      </c>
      <c r="AE9" s="871" t="s">
        <v>127</v>
      </c>
      <c r="AF9" s="872" t="s">
        <v>189</v>
      </c>
      <c r="AG9" s="1942"/>
      <c r="AH9" s="1286" t="s">
        <v>131</v>
      </c>
      <c r="AI9" s="873" t="s">
        <v>132</v>
      </c>
      <c r="AJ9" s="873" t="s">
        <v>133</v>
      </c>
      <c r="AK9" s="1944"/>
      <c r="AL9" s="2179"/>
      <c r="AO9" s="858" t="s">
        <v>187</v>
      </c>
      <c r="AP9" s="325" t="s">
        <v>191</v>
      </c>
      <c r="AQ9" s="325" t="s">
        <v>190</v>
      </c>
    </row>
    <row r="10" spans="1:45" ht="35.1" customHeight="1">
      <c r="A10" s="2196" t="s">
        <v>192</v>
      </c>
      <c r="B10" s="1132" t="s">
        <v>193</v>
      </c>
      <c r="C10" s="874">
        <v>18747</v>
      </c>
      <c r="D10" s="875">
        <v>3797041095</v>
      </c>
      <c r="E10" s="876">
        <f t="shared" ref="E10:E15" si="0">D10/$D$28</f>
        <v>0.10172533090251924</v>
      </c>
      <c r="F10" s="1122">
        <v>1069</v>
      </c>
      <c r="G10" s="1290">
        <v>3789</v>
      </c>
      <c r="H10" s="875">
        <v>1205364000</v>
      </c>
      <c r="I10" s="876">
        <v>4.3668877854565906E-2</v>
      </c>
      <c r="J10" s="875">
        <v>811181842</v>
      </c>
      <c r="K10" s="875"/>
      <c r="L10" s="878"/>
      <c r="M10" s="1307"/>
      <c r="N10" s="875"/>
      <c r="O10" s="878"/>
      <c r="P10" s="1307"/>
      <c r="Q10" s="877">
        <f>F10+K10</f>
        <v>1069</v>
      </c>
      <c r="R10" s="1202">
        <f t="shared" ref="R10:S10" si="1">G10+L10</f>
        <v>3789</v>
      </c>
      <c r="S10" s="875">
        <f t="shared" si="1"/>
        <v>1205364000</v>
      </c>
      <c r="T10" s="877">
        <f t="shared" ref="T10:V15" si="2">AO10</f>
        <v>0</v>
      </c>
      <c r="U10" s="1202">
        <f t="shared" si="2"/>
        <v>0</v>
      </c>
      <c r="V10" s="875">
        <f t="shared" si="2"/>
        <v>0</v>
      </c>
      <c r="W10" s="877"/>
      <c r="X10" s="878"/>
      <c r="Y10" s="875">
        <v>42426225</v>
      </c>
      <c r="Z10" s="877">
        <f t="shared" ref="Z10:AB15" si="3">Q10+T10</f>
        <v>1069</v>
      </c>
      <c r="AA10" s="878">
        <f t="shared" si="3"/>
        <v>3789</v>
      </c>
      <c r="AB10" s="875">
        <f t="shared" si="3"/>
        <v>1205364000</v>
      </c>
      <c r="AC10" s="1203">
        <f t="shared" ref="AC10:AC15" si="4">Q10+T10-W10-N10</f>
        <v>1069</v>
      </c>
      <c r="AD10" s="878">
        <f t="shared" ref="AD10:AD15" si="5">R10+U10-X10-O10</f>
        <v>3789</v>
      </c>
      <c r="AE10" s="875">
        <f>S10+V10-Y10-P10</f>
        <v>1162937775</v>
      </c>
      <c r="AF10" s="879">
        <f t="shared" ref="AF10:AF18" si="6">AE10/$AE$28</f>
        <v>4.3185199908048373E-2</v>
      </c>
      <c r="AG10" s="883">
        <f t="shared" ref="AG10:AG15" si="7">H10-AE10</f>
        <v>42426225</v>
      </c>
      <c r="AH10" s="884"/>
      <c r="AI10" s="884"/>
      <c r="AJ10" s="884"/>
      <c r="AK10" s="883"/>
      <c r="AL10" s="1277" t="s">
        <v>362</v>
      </c>
      <c r="AN10" s="885" t="s">
        <v>210</v>
      </c>
      <c r="AO10" s="885"/>
      <c r="AP10" s="886">
        <f>용도별분석!E9</f>
        <v>0</v>
      </c>
      <c r="AQ10" s="887">
        <f>용도별분석!H9</f>
        <v>0</v>
      </c>
      <c r="AS10" s="1072"/>
    </row>
    <row r="11" spans="1:45" ht="35.1" customHeight="1">
      <c r="A11" s="2197"/>
      <c r="B11" s="1133" t="s">
        <v>194</v>
      </c>
      <c r="C11" s="888">
        <v>2634</v>
      </c>
      <c r="D11" s="882">
        <v>1621241677</v>
      </c>
      <c r="E11" s="889">
        <f t="shared" si="0"/>
        <v>4.3434174647978156E-2</v>
      </c>
      <c r="F11" s="1123">
        <v>5657</v>
      </c>
      <c r="G11" s="1291">
        <v>1033</v>
      </c>
      <c r="H11" s="882">
        <v>757685000</v>
      </c>
      <c r="I11" s="889">
        <v>2.745000988683648E-2</v>
      </c>
      <c r="J11" s="882">
        <v>-174664000</v>
      </c>
      <c r="K11" s="882"/>
      <c r="L11" s="890"/>
      <c r="M11" s="1308"/>
      <c r="N11" s="882"/>
      <c r="O11" s="890"/>
      <c r="P11" s="1308"/>
      <c r="Q11" s="880">
        <f t="shared" ref="Q11:Q15" si="8">F11+K11</f>
        <v>5657</v>
      </c>
      <c r="R11" s="881">
        <f t="shared" ref="R11:R15" si="9">G11+L11</f>
        <v>1033</v>
      </c>
      <c r="S11" s="882">
        <f t="shared" ref="S11:S15" si="10">H11+M11</f>
        <v>757685000</v>
      </c>
      <c r="T11" s="880">
        <f t="shared" si="2"/>
        <v>450</v>
      </c>
      <c r="U11" s="881">
        <f t="shared" si="2"/>
        <v>8</v>
      </c>
      <c r="V11" s="882">
        <f t="shared" si="2"/>
        <v>33889000</v>
      </c>
      <c r="W11" s="880"/>
      <c r="X11" s="890"/>
      <c r="Y11" s="882">
        <v>21167573</v>
      </c>
      <c r="Z11" s="880">
        <f t="shared" si="3"/>
        <v>6107</v>
      </c>
      <c r="AA11" s="890">
        <f t="shared" si="3"/>
        <v>1041</v>
      </c>
      <c r="AB11" s="882">
        <f t="shared" si="3"/>
        <v>791574000</v>
      </c>
      <c r="AC11" s="880">
        <f t="shared" si="4"/>
        <v>6107</v>
      </c>
      <c r="AD11" s="890">
        <f t="shared" si="5"/>
        <v>1041</v>
      </c>
      <c r="AE11" s="882">
        <f t="shared" ref="AE11:AE13" si="11">S11+V11-Y11-P11</f>
        <v>770406427</v>
      </c>
      <c r="AF11" s="891">
        <f t="shared" si="6"/>
        <v>2.8608715165727831E-2</v>
      </c>
      <c r="AG11" s="892">
        <f t="shared" si="7"/>
        <v>-12721427</v>
      </c>
      <c r="AH11" s="893"/>
      <c r="AI11" s="893"/>
      <c r="AJ11" s="893"/>
      <c r="AK11" s="892"/>
      <c r="AL11" s="939"/>
      <c r="AN11" s="894" t="s">
        <v>196</v>
      </c>
      <c r="AO11" s="894">
        <f>용도별분석!AH11</f>
        <v>450</v>
      </c>
      <c r="AP11" s="894">
        <f>용도별분석!E11</f>
        <v>8</v>
      </c>
      <c r="AQ11" s="895">
        <f>용도별분석!H11</f>
        <v>33889000</v>
      </c>
      <c r="AS11" s="1072"/>
    </row>
    <row r="12" spans="1:45" ht="35.1" customHeight="1">
      <c r="A12" s="2197"/>
      <c r="B12" s="1134" t="s">
        <v>209</v>
      </c>
      <c r="C12" s="896">
        <v>755</v>
      </c>
      <c r="D12" s="882">
        <v>445558696</v>
      </c>
      <c r="E12" s="897">
        <f t="shared" si="0"/>
        <v>1.193682255553649E-2</v>
      </c>
      <c r="F12" s="1124">
        <v>13</v>
      </c>
      <c r="G12" s="1292">
        <v>2174</v>
      </c>
      <c r="H12" s="882">
        <v>1445878000</v>
      </c>
      <c r="I12" s="897">
        <v>5.2382408778264521E-2</v>
      </c>
      <c r="J12" s="882">
        <v>470731000</v>
      </c>
      <c r="K12" s="902"/>
      <c r="L12" s="1199"/>
      <c r="M12" s="1194"/>
      <c r="N12" s="902"/>
      <c r="O12" s="1199"/>
      <c r="P12" s="1194"/>
      <c r="Q12" s="900">
        <f t="shared" si="8"/>
        <v>13</v>
      </c>
      <c r="R12" s="901">
        <f t="shared" si="9"/>
        <v>2174</v>
      </c>
      <c r="S12" s="902">
        <f t="shared" si="10"/>
        <v>1445878000</v>
      </c>
      <c r="T12" s="900">
        <f t="shared" si="2"/>
        <v>0</v>
      </c>
      <c r="U12" s="901">
        <f t="shared" si="2"/>
        <v>0</v>
      </c>
      <c r="V12" s="902">
        <f t="shared" si="2"/>
        <v>0</v>
      </c>
      <c r="W12" s="898"/>
      <c r="X12" s="899"/>
      <c r="Y12" s="882">
        <v>87603511</v>
      </c>
      <c r="Z12" s="898">
        <f t="shared" si="3"/>
        <v>13</v>
      </c>
      <c r="AA12" s="899">
        <f t="shared" si="3"/>
        <v>2174</v>
      </c>
      <c r="AB12" s="882">
        <f t="shared" si="3"/>
        <v>1445878000</v>
      </c>
      <c r="AC12" s="898">
        <f t="shared" si="4"/>
        <v>13</v>
      </c>
      <c r="AD12" s="899">
        <f t="shared" si="5"/>
        <v>2174</v>
      </c>
      <c r="AE12" s="882">
        <f t="shared" si="11"/>
        <v>1358274489</v>
      </c>
      <c r="AF12" s="891">
        <f t="shared" si="6"/>
        <v>5.0438945744510924E-2</v>
      </c>
      <c r="AG12" s="903">
        <f t="shared" si="7"/>
        <v>87603511</v>
      </c>
      <c r="AH12" s="904"/>
      <c r="AI12" s="904"/>
      <c r="AJ12" s="904"/>
      <c r="AK12" s="892"/>
      <c r="AL12" s="1149"/>
      <c r="AN12" s="894" t="s">
        <v>125</v>
      </c>
      <c r="AO12" s="894">
        <f>용도별분석!AH14</f>
        <v>0</v>
      </c>
      <c r="AP12" s="905">
        <f>용도별분석!E14</f>
        <v>0</v>
      </c>
      <c r="AQ12" s="895">
        <f>용도별분석!H14</f>
        <v>0</v>
      </c>
      <c r="AS12" s="1072"/>
    </row>
    <row r="13" spans="1:45" ht="35.1" customHeight="1">
      <c r="A13" s="2197"/>
      <c r="B13" s="1134" t="s">
        <v>293</v>
      </c>
      <c r="C13" s="896">
        <v>2061</v>
      </c>
      <c r="D13" s="882">
        <v>1537810872</v>
      </c>
      <c r="E13" s="897">
        <f t="shared" si="0"/>
        <v>4.1199006254024138E-2</v>
      </c>
      <c r="F13" s="1124">
        <v>37</v>
      </c>
      <c r="G13" s="1292">
        <v>7177</v>
      </c>
      <c r="H13" s="882">
        <v>3613194000</v>
      </c>
      <c r="I13" s="897">
        <v>0.13090164253358355</v>
      </c>
      <c r="J13" s="882">
        <v>442944938</v>
      </c>
      <c r="K13" s="902"/>
      <c r="L13" s="1199"/>
      <c r="M13" s="1194"/>
      <c r="N13" s="902"/>
      <c r="O13" s="1199"/>
      <c r="P13" s="1194"/>
      <c r="Q13" s="900">
        <f t="shared" si="8"/>
        <v>37</v>
      </c>
      <c r="R13" s="901">
        <f t="shared" si="9"/>
        <v>7177</v>
      </c>
      <c r="S13" s="902">
        <f t="shared" si="10"/>
        <v>3613194000</v>
      </c>
      <c r="T13" s="900">
        <f t="shared" si="2"/>
        <v>0</v>
      </c>
      <c r="U13" s="901">
        <f t="shared" si="2"/>
        <v>0</v>
      </c>
      <c r="V13" s="902">
        <f t="shared" si="2"/>
        <v>0</v>
      </c>
      <c r="W13" s="898"/>
      <c r="X13" s="899"/>
      <c r="Y13" s="882">
        <v>2440492</v>
      </c>
      <c r="Z13" s="898">
        <f t="shared" si="3"/>
        <v>37</v>
      </c>
      <c r="AA13" s="899">
        <f t="shared" si="3"/>
        <v>7177</v>
      </c>
      <c r="AB13" s="882">
        <f t="shared" si="3"/>
        <v>3613194000</v>
      </c>
      <c r="AC13" s="898">
        <f t="shared" si="4"/>
        <v>37</v>
      </c>
      <c r="AD13" s="899">
        <f t="shared" si="5"/>
        <v>7177</v>
      </c>
      <c r="AE13" s="882">
        <f t="shared" si="11"/>
        <v>3610753508</v>
      </c>
      <c r="AF13" s="891">
        <f t="shared" si="6"/>
        <v>0.1340837965828971</v>
      </c>
      <c r="AG13" s="903">
        <f t="shared" si="7"/>
        <v>2440492</v>
      </c>
      <c r="AH13" s="904"/>
      <c r="AI13" s="904"/>
      <c r="AJ13" s="904"/>
      <c r="AK13" s="892"/>
      <c r="AL13" s="1149"/>
      <c r="AN13" s="894" t="s">
        <v>126</v>
      </c>
      <c r="AO13" s="894">
        <f>용도별분석!AH17</f>
        <v>0</v>
      </c>
      <c r="AP13" s="905">
        <f>용도별분석!E17</f>
        <v>0</v>
      </c>
      <c r="AQ13" s="895">
        <f>용도별분석!H17</f>
        <v>0</v>
      </c>
      <c r="AS13" s="1072"/>
    </row>
    <row r="14" spans="1:45" ht="35.1" customHeight="1">
      <c r="A14" s="2197"/>
      <c r="B14" s="1135" t="s">
        <v>294</v>
      </c>
      <c r="C14" s="888">
        <v>238</v>
      </c>
      <c r="D14" s="882">
        <v>179595518</v>
      </c>
      <c r="E14" s="897">
        <f t="shared" si="0"/>
        <v>4.8114869025823251E-3</v>
      </c>
      <c r="F14" s="1123">
        <v>106</v>
      </c>
      <c r="G14" s="1291">
        <v>492</v>
      </c>
      <c r="H14" s="882">
        <v>619394000</v>
      </c>
      <c r="I14" s="897">
        <v>2.2439894446699082E-2</v>
      </c>
      <c r="J14" s="882">
        <v>305094000</v>
      </c>
      <c r="K14" s="902"/>
      <c r="L14" s="1199"/>
      <c r="M14" s="1308"/>
      <c r="N14" s="902"/>
      <c r="O14" s="1199"/>
      <c r="P14" s="1308"/>
      <c r="Q14" s="898">
        <f t="shared" si="8"/>
        <v>106</v>
      </c>
      <c r="R14" s="901">
        <f t="shared" si="9"/>
        <v>492</v>
      </c>
      <c r="S14" s="902">
        <f t="shared" si="10"/>
        <v>619394000</v>
      </c>
      <c r="T14" s="898">
        <f t="shared" si="2"/>
        <v>0</v>
      </c>
      <c r="U14" s="901">
        <f t="shared" si="2"/>
        <v>0</v>
      </c>
      <c r="V14" s="902">
        <f t="shared" si="2"/>
        <v>0</v>
      </c>
      <c r="W14" s="898"/>
      <c r="X14" s="899"/>
      <c r="Y14" s="882">
        <v>19263171</v>
      </c>
      <c r="Z14" s="898">
        <f t="shared" si="3"/>
        <v>106</v>
      </c>
      <c r="AA14" s="899">
        <f t="shared" si="3"/>
        <v>492</v>
      </c>
      <c r="AB14" s="882">
        <f t="shared" si="3"/>
        <v>619394000</v>
      </c>
      <c r="AC14" s="898">
        <f t="shared" si="4"/>
        <v>106</v>
      </c>
      <c r="AD14" s="899">
        <f t="shared" si="5"/>
        <v>492</v>
      </c>
      <c r="AE14" s="882">
        <f>S14+V14-Y14-P14</f>
        <v>600130829</v>
      </c>
      <c r="AF14" s="891">
        <f t="shared" si="6"/>
        <v>2.2285603218407619E-2</v>
      </c>
      <c r="AG14" s="903">
        <f t="shared" si="7"/>
        <v>19263171</v>
      </c>
      <c r="AH14" s="904"/>
      <c r="AI14" s="904"/>
      <c r="AJ14" s="904"/>
      <c r="AK14" s="892"/>
      <c r="AL14" s="1149">
        <f>AE15-투자현황!Z15</f>
        <v>5029910848</v>
      </c>
      <c r="AN14" s="894" t="s">
        <v>108</v>
      </c>
      <c r="AO14" s="894">
        <f>용도별분석!AH29</f>
        <v>0</v>
      </c>
      <c r="AP14" s="905">
        <f>용도별분석!E29</f>
        <v>0</v>
      </c>
      <c r="AQ14" s="895">
        <f>용도별분석!H29</f>
        <v>0</v>
      </c>
      <c r="AS14" s="1072"/>
    </row>
    <row r="15" spans="1:45" ht="35.1" customHeight="1">
      <c r="A15" s="2197"/>
      <c r="B15" s="1135" t="s">
        <v>295</v>
      </c>
      <c r="C15" s="888">
        <v>28039</v>
      </c>
      <c r="D15" s="882">
        <v>9742299336</v>
      </c>
      <c r="E15" s="897">
        <f t="shared" si="0"/>
        <v>0.26100287010614864</v>
      </c>
      <c r="F15" s="1123">
        <v>2825</v>
      </c>
      <c r="G15" s="1291">
        <v>11843</v>
      </c>
      <c r="H15" s="882">
        <v>5454640000</v>
      </c>
      <c r="I15" s="897">
        <v>0.19761500086333203</v>
      </c>
      <c r="J15" s="882">
        <v>-504138094</v>
      </c>
      <c r="K15" s="1303">
        <f>-231+81</f>
        <v>-150</v>
      </c>
      <c r="L15" s="1303">
        <f>-837+561</f>
        <v>-276</v>
      </c>
      <c r="M15" s="1308">
        <f>-422075000+311147000</f>
        <v>-110928000</v>
      </c>
      <c r="N15" s="1303"/>
      <c r="O15" s="1303"/>
      <c r="P15" s="1308"/>
      <c r="Q15" s="898">
        <f t="shared" si="8"/>
        <v>2675</v>
      </c>
      <c r="R15" s="901">
        <f t="shared" si="9"/>
        <v>11567</v>
      </c>
      <c r="S15" s="902">
        <f t="shared" si="10"/>
        <v>5343712000</v>
      </c>
      <c r="T15" s="898">
        <f t="shared" si="2"/>
        <v>0</v>
      </c>
      <c r="U15" s="901">
        <f t="shared" si="2"/>
        <v>0</v>
      </c>
      <c r="V15" s="902">
        <f t="shared" si="2"/>
        <v>0</v>
      </c>
      <c r="W15" s="898"/>
      <c r="X15" s="899"/>
      <c r="Y15" s="882">
        <v>313801152</v>
      </c>
      <c r="Z15" s="898">
        <f t="shared" si="3"/>
        <v>2675</v>
      </c>
      <c r="AA15" s="899">
        <f t="shared" si="3"/>
        <v>11567</v>
      </c>
      <c r="AB15" s="882">
        <f t="shared" si="3"/>
        <v>5343712000</v>
      </c>
      <c r="AC15" s="898">
        <f t="shared" si="4"/>
        <v>2675</v>
      </c>
      <c r="AD15" s="899">
        <f t="shared" si="5"/>
        <v>11567</v>
      </c>
      <c r="AE15" s="882">
        <f>S15+V15-Y15-P15</f>
        <v>5029910848</v>
      </c>
      <c r="AF15" s="891">
        <f t="shared" si="6"/>
        <v>0.18678360111790257</v>
      </c>
      <c r="AG15" s="903">
        <f t="shared" si="7"/>
        <v>424729152</v>
      </c>
      <c r="AH15" s="904"/>
      <c r="AI15" s="904"/>
      <c r="AJ15" s="904"/>
      <c r="AK15" s="906"/>
      <c r="AL15" s="1288" t="s">
        <v>363</v>
      </c>
      <c r="AN15" s="894" t="s">
        <v>197</v>
      </c>
      <c r="AO15" s="894">
        <f>용도별분석!AH32</f>
        <v>0</v>
      </c>
      <c r="AP15" s="905">
        <f>용도별분석!E32</f>
        <v>0</v>
      </c>
      <c r="AQ15" s="895">
        <f>용도별분석!H32</f>
        <v>0</v>
      </c>
      <c r="AS15" s="1072"/>
    </row>
    <row r="16" spans="1:45" ht="35.1" customHeight="1">
      <c r="A16" s="2198"/>
      <c r="B16" s="1136" t="s">
        <v>296</v>
      </c>
      <c r="C16" s="907">
        <f>SUM(C10:C15)</f>
        <v>52474</v>
      </c>
      <c r="D16" s="908">
        <f>SUM(D10:D15)</f>
        <v>17323547194</v>
      </c>
      <c r="E16" s="909">
        <f>SUM(E10:E15)</f>
        <v>0.46410969136878899</v>
      </c>
      <c r="F16" s="1125">
        <v>9707</v>
      </c>
      <c r="G16" s="1293">
        <v>26508</v>
      </c>
      <c r="H16" s="908">
        <v>13096155000</v>
      </c>
      <c r="I16" s="909">
        <v>0.47445783436328159</v>
      </c>
      <c r="J16" s="908">
        <v>1351149686</v>
      </c>
      <c r="K16" s="1311">
        <f t="shared" ref="K16:Q16" si="12">SUM(K10:K15)</f>
        <v>-150</v>
      </c>
      <c r="L16" s="1311">
        <f t="shared" si="12"/>
        <v>-276</v>
      </c>
      <c r="M16" s="1309">
        <f t="shared" si="12"/>
        <v>-110928000</v>
      </c>
      <c r="N16" s="1311">
        <f t="shared" si="12"/>
        <v>0</v>
      </c>
      <c r="O16" s="1311">
        <f t="shared" si="12"/>
        <v>0</v>
      </c>
      <c r="P16" s="1309">
        <f t="shared" si="12"/>
        <v>0</v>
      </c>
      <c r="Q16" s="910">
        <f t="shared" si="12"/>
        <v>9557</v>
      </c>
      <c r="R16" s="911">
        <f t="shared" ref="R16:S16" si="13">SUM(R10:R15)</f>
        <v>26232</v>
      </c>
      <c r="S16" s="912">
        <f t="shared" si="13"/>
        <v>12985227000</v>
      </c>
      <c r="T16" s="910">
        <f t="shared" ref="T16:AE16" si="14">SUM(T10:T15)</f>
        <v>450</v>
      </c>
      <c r="U16" s="911">
        <f t="shared" si="14"/>
        <v>8</v>
      </c>
      <c r="V16" s="912">
        <f t="shared" si="14"/>
        <v>33889000</v>
      </c>
      <c r="W16" s="914">
        <f>SUM(W10:W15)</f>
        <v>0</v>
      </c>
      <c r="X16" s="915">
        <f>SUM(X10:X15)</f>
        <v>0</v>
      </c>
      <c r="Y16" s="908">
        <f>SUM(Y10:Y15)</f>
        <v>486702124</v>
      </c>
      <c r="Z16" s="914">
        <f t="shared" si="14"/>
        <v>10007</v>
      </c>
      <c r="AA16" s="915">
        <f t="shared" si="14"/>
        <v>26240</v>
      </c>
      <c r="AB16" s="908">
        <f t="shared" si="14"/>
        <v>13019116000</v>
      </c>
      <c r="AC16" s="914">
        <f t="shared" si="14"/>
        <v>10007</v>
      </c>
      <c r="AD16" s="915">
        <f t="shared" si="14"/>
        <v>26240</v>
      </c>
      <c r="AE16" s="908">
        <f t="shared" si="14"/>
        <v>12532413876</v>
      </c>
      <c r="AF16" s="913">
        <f t="shared" si="6"/>
        <v>0.46538586173749441</v>
      </c>
      <c r="AG16" s="1232">
        <f>SUM(AG10:AG15)</f>
        <v>563741124</v>
      </c>
      <c r="AH16" s="916"/>
      <c r="AI16" s="916"/>
      <c r="AJ16" s="916"/>
      <c r="AK16" s="917"/>
      <c r="AL16" s="1150"/>
      <c r="AN16" s="918" t="s">
        <v>297</v>
      </c>
      <c r="AO16" s="918">
        <f>SUM(AO10:AO15)</f>
        <v>450</v>
      </c>
      <c r="AP16" s="919">
        <f>SUM(AP10:AP15)</f>
        <v>8</v>
      </c>
      <c r="AQ16" s="920">
        <f>SUM(AQ10:AQ15)</f>
        <v>33889000</v>
      </c>
      <c r="AS16" s="1072"/>
    </row>
    <row r="17" spans="1:46" ht="35.1" customHeight="1">
      <c r="A17" s="1191" t="s">
        <v>286</v>
      </c>
      <c r="B17" s="1192"/>
      <c r="C17" s="1193">
        <v>7787</v>
      </c>
      <c r="D17" s="1194">
        <v>2689263159</v>
      </c>
      <c r="E17" s="1195">
        <f>D17/$D$28</f>
        <v>7.2047201462598132E-2</v>
      </c>
      <c r="F17" s="1196">
        <v>0</v>
      </c>
      <c r="G17" s="1193">
        <v>4719</v>
      </c>
      <c r="H17" s="1194">
        <v>2075051000</v>
      </c>
      <c r="I17" s="1195">
        <v>7.5176584551218409E-2</v>
      </c>
      <c r="J17" s="902">
        <v>327281820</v>
      </c>
      <c r="K17" s="902"/>
      <c r="L17" s="1304"/>
      <c r="M17" s="1194"/>
      <c r="N17" s="902"/>
      <c r="O17" s="1304"/>
      <c r="P17" s="1194"/>
      <c r="Q17" s="1196">
        <f>F17+K17</f>
        <v>0</v>
      </c>
      <c r="R17" s="1197">
        <f t="shared" ref="R17:S17" si="15">G17+L17</f>
        <v>4719</v>
      </c>
      <c r="S17" s="902">
        <f t="shared" si="15"/>
        <v>2075051000</v>
      </c>
      <c r="T17" s="1196"/>
      <c r="U17" s="1197">
        <f>신규투자계획서!F61</f>
        <v>0</v>
      </c>
      <c r="V17" s="902">
        <f>신규투자계획서!G61</f>
        <v>0</v>
      </c>
      <c r="W17" s="1196"/>
      <c r="X17" s="1198"/>
      <c r="Y17" s="1194">
        <v>114825916</v>
      </c>
      <c r="Z17" s="1196">
        <f t="shared" ref="Z17:AB18" si="16">Q17+T17</f>
        <v>0</v>
      </c>
      <c r="AA17" s="1198">
        <f t="shared" si="16"/>
        <v>4719</v>
      </c>
      <c r="AB17" s="1194">
        <f t="shared" si="16"/>
        <v>2075051000</v>
      </c>
      <c r="AC17" s="1196">
        <f>Q17+T17-W17-N17</f>
        <v>0</v>
      </c>
      <c r="AD17" s="1199">
        <f t="shared" ref="AD17:AD18" si="17">R17+U17-X17-O17</f>
        <v>4719</v>
      </c>
      <c r="AE17" s="902">
        <f>S17+V17-Y17-P17</f>
        <v>1960225084</v>
      </c>
      <c r="AF17" s="1200">
        <f t="shared" si="6"/>
        <v>7.2792125199743318E-2</v>
      </c>
      <c r="AG17" s="903">
        <f>H17-AE17</f>
        <v>114825916</v>
      </c>
      <c r="AH17" s="904"/>
      <c r="AI17" s="904"/>
      <c r="AJ17" s="904"/>
      <c r="AK17" s="903"/>
      <c r="AL17" s="1201">
        <f>AE18-투자현황!Z18</f>
        <v>4404819704</v>
      </c>
      <c r="AN17" s="922">
        <f>AD16-AD10+X16</f>
        <v>22451</v>
      </c>
      <c r="AO17" s="921"/>
      <c r="AP17" s="922"/>
      <c r="AQ17" s="921"/>
      <c r="AS17" s="1072"/>
    </row>
    <row r="18" spans="1:46" ht="35.1" customHeight="1">
      <c r="A18" s="1188" t="s">
        <v>330</v>
      </c>
      <c r="B18" s="1178"/>
      <c r="C18" s="1179">
        <v>8765</v>
      </c>
      <c r="D18" s="1189">
        <v>3357962923</v>
      </c>
      <c r="E18" s="1195">
        <f>D18/$D$28</f>
        <v>8.9962126022385264E-2</v>
      </c>
      <c r="F18" s="1181">
        <v>0</v>
      </c>
      <c r="G18" s="1179">
        <v>11165</v>
      </c>
      <c r="H18" s="1189">
        <v>5139823000</v>
      </c>
      <c r="I18" s="1180">
        <v>0.18620956224102303</v>
      </c>
      <c r="J18" s="947">
        <v>1581310720</v>
      </c>
      <c r="K18" s="1321"/>
      <c r="L18" s="1305">
        <f>-561+837</f>
        <v>276</v>
      </c>
      <c r="M18" s="1189">
        <f>-311147000+422075000</f>
        <v>110928000</v>
      </c>
      <c r="N18" s="1321"/>
      <c r="O18" s="1305"/>
      <c r="P18" s="1189"/>
      <c r="Q18" s="1181">
        <f>F18+K18</f>
        <v>0</v>
      </c>
      <c r="R18" s="1182">
        <f t="shared" ref="R18" si="18">G18+L18</f>
        <v>11441</v>
      </c>
      <c r="S18" s="947">
        <f t="shared" ref="S18" si="19">H18+M18</f>
        <v>5250751000</v>
      </c>
      <c r="T18" s="1181"/>
      <c r="U18" s="1182">
        <f>신규투자계획서!F60</f>
        <v>51</v>
      </c>
      <c r="V18" s="947">
        <f>신규투자계획서!G60</f>
        <v>35554000</v>
      </c>
      <c r="W18" s="1181"/>
      <c r="X18" s="1183"/>
      <c r="Y18" s="1189">
        <v>141191296</v>
      </c>
      <c r="Z18" s="1181">
        <f t="shared" si="16"/>
        <v>0</v>
      </c>
      <c r="AA18" s="1183">
        <f t="shared" si="16"/>
        <v>11492</v>
      </c>
      <c r="AB18" s="1189">
        <f t="shared" si="16"/>
        <v>5286305000</v>
      </c>
      <c r="AC18" s="1289">
        <v>0</v>
      </c>
      <c r="AD18" s="1184">
        <f t="shared" si="17"/>
        <v>11492</v>
      </c>
      <c r="AE18" s="947">
        <f>S18+V18-Y18-P18</f>
        <v>5145113704</v>
      </c>
      <c r="AF18" s="1185">
        <f t="shared" si="6"/>
        <v>0.19106161020255727</v>
      </c>
      <c r="AG18" s="948">
        <f>H18-AE18</f>
        <v>-5290704</v>
      </c>
      <c r="AH18" s="949"/>
      <c r="AI18" s="949"/>
      <c r="AJ18" s="949"/>
      <c r="AK18" s="948"/>
      <c r="AL18" s="1186"/>
      <c r="AN18" s="1281">
        <f>AE16-AE10+Y16</f>
        <v>11856178225</v>
      </c>
      <c r="AP18" s="927"/>
      <c r="AQ18" s="858"/>
      <c r="AS18" s="1072"/>
    </row>
    <row r="19" spans="1:46" ht="35.1" customHeight="1" thickBot="1">
      <c r="A19" s="1065" t="s">
        <v>195</v>
      </c>
      <c r="B19" s="1137"/>
      <c r="C19" s="1131">
        <f>SUM(C16:C18)</f>
        <v>69026</v>
      </c>
      <c r="D19" s="1119">
        <f>SUM(D16:D18)</f>
        <v>23370773276</v>
      </c>
      <c r="E19" s="1121">
        <f>SUM(E16+SUM(E17:E18))</f>
        <v>0.62611901885377241</v>
      </c>
      <c r="F19" s="923">
        <f>SUM(F16:F18)</f>
        <v>9707</v>
      </c>
      <c r="G19" s="1294">
        <f t="shared" ref="G19:H19" si="20">SUM(G16:G18)</f>
        <v>42392</v>
      </c>
      <c r="H19" s="1066">
        <f t="shared" si="20"/>
        <v>20311029000</v>
      </c>
      <c r="I19" s="1067">
        <v>0.51135582413446301</v>
      </c>
      <c r="J19" s="1302">
        <v>3259742226</v>
      </c>
      <c r="K19" s="1316"/>
      <c r="L19" s="1306">
        <f>SUM(L16:L18)</f>
        <v>0</v>
      </c>
      <c r="M19" s="1310">
        <f>SUM(M16:M18)</f>
        <v>0</v>
      </c>
      <c r="N19" s="1316"/>
      <c r="O19" s="1306">
        <f>SUM(O16:O18)</f>
        <v>0</v>
      </c>
      <c r="P19" s="1310">
        <f>SUM(P16:P18)</f>
        <v>0</v>
      </c>
      <c r="Q19" s="1143">
        <f>SUM(Q16:Q18)</f>
        <v>9557</v>
      </c>
      <c r="R19" s="1144">
        <f t="shared" ref="R19:S19" si="21">SUM(R16:R18)</f>
        <v>42392</v>
      </c>
      <c r="S19" s="1066">
        <f t="shared" si="21"/>
        <v>20311029000</v>
      </c>
      <c r="T19" s="1143">
        <f t="shared" ref="T19:Y19" si="22">SUM(T16:T18)</f>
        <v>450</v>
      </c>
      <c r="U19" s="1144">
        <f t="shared" si="22"/>
        <v>59</v>
      </c>
      <c r="V19" s="1066">
        <f t="shared" si="22"/>
        <v>69443000</v>
      </c>
      <c r="W19" s="923">
        <f t="shared" si="22"/>
        <v>0</v>
      </c>
      <c r="X19" s="1068">
        <f t="shared" si="22"/>
        <v>0</v>
      </c>
      <c r="Y19" s="1066">
        <f t="shared" si="22"/>
        <v>742719336</v>
      </c>
      <c r="Z19" s="923">
        <f t="shared" ref="Z19:AG19" si="23">SUM(Z16:Z18)</f>
        <v>10007</v>
      </c>
      <c r="AA19" s="924">
        <f t="shared" si="23"/>
        <v>42451</v>
      </c>
      <c r="AB19" s="1066">
        <f t="shared" si="23"/>
        <v>20380472000</v>
      </c>
      <c r="AC19" s="923">
        <f t="shared" si="23"/>
        <v>10007</v>
      </c>
      <c r="AD19" s="924">
        <f t="shared" si="23"/>
        <v>42451</v>
      </c>
      <c r="AE19" s="1066">
        <f t="shared" si="23"/>
        <v>19637752664</v>
      </c>
      <c r="AF19" s="1069">
        <f t="shared" si="23"/>
        <v>0.72923959713979503</v>
      </c>
      <c r="AG19" s="1070">
        <f t="shared" si="23"/>
        <v>673276336</v>
      </c>
      <c r="AH19" s="1070" t="e">
        <f>AH16+#REF!+AH17</f>
        <v>#REF!</v>
      </c>
      <c r="AI19" s="1070" t="e">
        <f>AI16+#REF!+AI17</f>
        <v>#REF!</v>
      </c>
      <c r="AJ19" s="1070" t="e">
        <f>AJ16+#REF!+AJ17</f>
        <v>#REF!</v>
      </c>
      <c r="AK19" s="1070" t="e">
        <f>AK16+#REF!+AK17</f>
        <v>#REF!</v>
      </c>
      <c r="AL19" s="1071">
        <f>AL16+AL17</f>
        <v>4404819704</v>
      </c>
      <c r="AN19" s="925" t="s">
        <v>297</v>
      </c>
      <c r="AO19" s="925">
        <f>AO16</f>
        <v>450</v>
      </c>
      <c r="AP19" s="926">
        <f>AP16</f>
        <v>8</v>
      </c>
      <c r="AQ19" s="1114">
        <f>AQ16</f>
        <v>33889000</v>
      </c>
      <c r="AS19" s="1072"/>
    </row>
    <row r="20" spans="1:46" ht="35.1" customHeight="1" thickTop="1">
      <c r="A20" s="1933" t="s">
        <v>298</v>
      </c>
      <c r="B20" s="1139" t="s">
        <v>178</v>
      </c>
      <c r="C20" s="1247">
        <v>6534.1</v>
      </c>
      <c r="D20" s="1248">
        <v>3332044224</v>
      </c>
      <c r="E20" s="1249">
        <f t="shared" ref="E20:E26" si="24">D20/$D$28</f>
        <v>8.9267746328731246E-2</v>
      </c>
      <c r="F20" s="1127"/>
      <c r="G20" s="1295">
        <v>1163</v>
      </c>
      <c r="H20" s="929">
        <v>656241000</v>
      </c>
      <c r="I20" s="930">
        <v>2.3774816629796629E-2</v>
      </c>
      <c r="J20" s="929">
        <v>1607091600</v>
      </c>
      <c r="K20" s="929"/>
      <c r="L20" s="1312"/>
      <c r="M20" s="1312"/>
      <c r="N20" s="929"/>
      <c r="O20" s="1312"/>
      <c r="P20" s="1312"/>
      <c r="Q20" s="931">
        <f t="shared" ref="Q20:Q26" si="25">F20+K20</f>
        <v>0</v>
      </c>
      <c r="R20" s="934">
        <f t="shared" ref="R20:R26" si="26">G20+L20</f>
        <v>1163</v>
      </c>
      <c r="S20" s="929">
        <f t="shared" ref="S20:S26" si="27">H20+M20</f>
        <v>656241000</v>
      </c>
      <c r="T20" s="931"/>
      <c r="U20" s="934"/>
      <c r="V20" s="929"/>
      <c r="W20" s="931"/>
      <c r="X20" s="932"/>
      <c r="Y20" s="929"/>
      <c r="Z20" s="931">
        <f t="shared" ref="Z20:AB22" si="28">Q20+T20</f>
        <v>0</v>
      </c>
      <c r="AA20" s="932">
        <f t="shared" si="28"/>
        <v>1163</v>
      </c>
      <c r="AB20" s="929">
        <f t="shared" si="28"/>
        <v>656241000</v>
      </c>
      <c r="AC20" s="931"/>
      <c r="AD20" s="932">
        <f t="shared" ref="AD20:AE22" si="29">R20+U20-X20</f>
        <v>1163</v>
      </c>
      <c r="AE20" s="929">
        <f t="shared" si="29"/>
        <v>656241000</v>
      </c>
      <c r="AF20" s="933">
        <f t="shared" ref="AF20:AF26" si="30">AE20/$AE$28</f>
        <v>2.4369230565975529E-2</v>
      </c>
      <c r="AG20" s="935">
        <f t="shared" ref="AG20:AG26" si="31">H20-AE20</f>
        <v>0</v>
      </c>
      <c r="AH20" s="936"/>
      <c r="AI20" s="936"/>
      <c r="AJ20" s="936"/>
      <c r="AK20" s="935">
        <f>SUM(AH20:AJ20)</f>
        <v>0</v>
      </c>
      <c r="AL20" s="937"/>
      <c r="AN20" s="858"/>
      <c r="AQ20" s="938"/>
      <c r="AS20" s="1072"/>
    </row>
    <row r="21" spans="1:46" ht="35.1" customHeight="1">
      <c r="A21" s="1932"/>
      <c r="B21" s="1133" t="s">
        <v>179</v>
      </c>
      <c r="C21" s="1250">
        <v>6274</v>
      </c>
      <c r="D21" s="1251">
        <v>3817930000</v>
      </c>
      <c r="E21" s="1252">
        <f t="shared" si="24"/>
        <v>0.10228495897083655</v>
      </c>
      <c r="F21" s="1123"/>
      <c r="G21" s="1291">
        <v>2308</v>
      </c>
      <c r="H21" s="882">
        <v>1871054000</v>
      </c>
      <c r="I21" s="889">
        <v>6.7786020310293779E-2</v>
      </c>
      <c r="J21" s="882">
        <v>-1505197220</v>
      </c>
      <c r="K21" s="882"/>
      <c r="L21" s="1308"/>
      <c r="M21" s="1308"/>
      <c r="N21" s="882"/>
      <c r="O21" s="1308"/>
      <c r="P21" s="1308"/>
      <c r="Q21" s="880">
        <f t="shared" si="25"/>
        <v>0</v>
      </c>
      <c r="R21" s="881">
        <f t="shared" si="26"/>
        <v>2308</v>
      </c>
      <c r="S21" s="882">
        <f t="shared" si="27"/>
        <v>1871054000</v>
      </c>
      <c r="T21" s="880"/>
      <c r="U21" s="881"/>
      <c r="V21" s="882"/>
      <c r="W21" s="880"/>
      <c r="X21" s="890"/>
      <c r="Y21" s="882"/>
      <c r="Z21" s="880">
        <f t="shared" si="28"/>
        <v>0</v>
      </c>
      <c r="AA21" s="890">
        <f t="shared" si="28"/>
        <v>2308</v>
      </c>
      <c r="AB21" s="882">
        <f t="shared" si="28"/>
        <v>1871054000</v>
      </c>
      <c r="AC21" s="880"/>
      <c r="AD21" s="890">
        <f t="shared" si="29"/>
        <v>2308</v>
      </c>
      <c r="AE21" s="882">
        <f t="shared" si="29"/>
        <v>1871054000</v>
      </c>
      <c r="AF21" s="891">
        <f t="shared" si="30"/>
        <v>6.9480794902163662E-2</v>
      </c>
      <c r="AG21" s="892">
        <f t="shared" si="31"/>
        <v>0</v>
      </c>
      <c r="AH21" s="893"/>
      <c r="AI21" s="893"/>
      <c r="AJ21" s="893"/>
      <c r="AK21" s="892">
        <f>SUM(AH21:AJ21)</f>
        <v>0</v>
      </c>
      <c r="AL21" s="939"/>
      <c r="AN21" s="858"/>
      <c r="AP21" s="858"/>
      <c r="AQ21" s="938"/>
      <c r="AS21" s="1072"/>
    </row>
    <row r="22" spans="1:46" ht="35.1" customHeight="1">
      <c r="A22" s="1932"/>
      <c r="B22" s="1134" t="s">
        <v>180</v>
      </c>
      <c r="C22" s="1253">
        <v>319</v>
      </c>
      <c r="D22" s="1251">
        <v>232246000</v>
      </c>
      <c r="E22" s="1254">
        <f t="shared" si="24"/>
        <v>6.2220293669975361E-3</v>
      </c>
      <c r="F22" s="1124"/>
      <c r="G22" s="1292">
        <v>87</v>
      </c>
      <c r="H22" s="882">
        <v>83929000</v>
      </c>
      <c r="I22" s="897">
        <v>3.0406460201697263E-3</v>
      </c>
      <c r="J22" s="882">
        <v>405821238</v>
      </c>
      <c r="K22" s="902"/>
      <c r="L22" s="1194"/>
      <c r="M22" s="1194"/>
      <c r="N22" s="902"/>
      <c r="O22" s="1194"/>
      <c r="P22" s="1194"/>
      <c r="Q22" s="940">
        <f t="shared" si="25"/>
        <v>0</v>
      </c>
      <c r="R22" s="941">
        <f t="shared" si="26"/>
        <v>87</v>
      </c>
      <c r="S22" s="902">
        <f t="shared" si="27"/>
        <v>83929000</v>
      </c>
      <c r="T22" s="940"/>
      <c r="U22" s="941"/>
      <c r="V22" s="902"/>
      <c r="W22" s="880"/>
      <c r="X22" s="890"/>
      <c r="Y22" s="882"/>
      <c r="Z22" s="880">
        <f t="shared" si="28"/>
        <v>0</v>
      </c>
      <c r="AA22" s="890">
        <f t="shared" si="28"/>
        <v>87</v>
      </c>
      <c r="AB22" s="882">
        <f t="shared" si="28"/>
        <v>83929000</v>
      </c>
      <c r="AC22" s="880"/>
      <c r="AD22" s="890">
        <f t="shared" si="29"/>
        <v>87</v>
      </c>
      <c r="AE22" s="882">
        <f t="shared" si="29"/>
        <v>83929000</v>
      </c>
      <c r="AF22" s="891">
        <f t="shared" si="30"/>
        <v>3.1166677366573567E-3</v>
      </c>
      <c r="AG22" s="903">
        <f t="shared" si="31"/>
        <v>0</v>
      </c>
      <c r="AH22" s="904"/>
      <c r="AI22" s="904"/>
      <c r="AJ22" s="904"/>
      <c r="AK22" s="892">
        <f>SUM(AH22:AJ22)</f>
        <v>0</v>
      </c>
      <c r="AL22" s="939"/>
      <c r="AN22" s="858">
        <f>AD16-AD10+X16</f>
        <v>22451</v>
      </c>
      <c r="AO22" s="858">
        <f>AE16-AE10+Y16-Y10</f>
        <v>11813752000</v>
      </c>
      <c r="AP22" s="927">
        <v>1100243274</v>
      </c>
      <c r="AQ22" s="938"/>
      <c r="AS22" s="1072"/>
    </row>
    <row r="23" spans="1:46" ht="35.1" customHeight="1">
      <c r="A23" s="1932"/>
      <c r="B23" s="1134" t="s">
        <v>299</v>
      </c>
      <c r="C23" s="1255">
        <v>0</v>
      </c>
      <c r="D23" s="1251">
        <v>876728000</v>
      </c>
      <c r="E23" s="1254">
        <f t="shared" si="24"/>
        <v>2.3488143446470624E-2</v>
      </c>
      <c r="F23" s="1128"/>
      <c r="G23" s="1296">
        <v>0</v>
      </c>
      <c r="H23" s="882">
        <v>88090000</v>
      </c>
      <c r="I23" s="897">
        <v>3.1913940106131512E-3</v>
      </c>
      <c r="J23" s="882">
        <v>277119687</v>
      </c>
      <c r="K23" s="902"/>
      <c r="L23" s="1194"/>
      <c r="M23" s="1194"/>
      <c r="N23" s="902"/>
      <c r="O23" s="1194"/>
      <c r="P23" s="1194"/>
      <c r="Q23" s="940">
        <f t="shared" si="25"/>
        <v>0</v>
      </c>
      <c r="R23" s="1115">
        <f t="shared" si="26"/>
        <v>0</v>
      </c>
      <c r="S23" s="902">
        <f t="shared" si="27"/>
        <v>88090000</v>
      </c>
      <c r="T23" s="940"/>
      <c r="U23" s="1115"/>
      <c r="V23" s="902"/>
      <c r="W23" s="880"/>
      <c r="X23" s="890"/>
      <c r="Y23" s="882"/>
      <c r="Z23" s="880">
        <f>Q23+T23</f>
        <v>0</v>
      </c>
      <c r="AA23" s="1064"/>
      <c r="AB23" s="882">
        <f>S23+V23</f>
        <v>88090000</v>
      </c>
      <c r="AC23" s="880"/>
      <c r="AD23" s="890">
        <f>R23+U23</f>
        <v>0</v>
      </c>
      <c r="AE23" s="882">
        <f>S23+V23-Y23</f>
        <v>88090000</v>
      </c>
      <c r="AF23" s="891">
        <f t="shared" si="30"/>
        <v>3.2711847028100722E-3</v>
      </c>
      <c r="AG23" s="903">
        <f t="shared" si="31"/>
        <v>0</v>
      </c>
      <c r="AH23" s="904"/>
      <c r="AI23" s="904"/>
      <c r="AJ23" s="904"/>
      <c r="AK23" s="892">
        <f>SUM(AH23:AJ23)</f>
        <v>0</v>
      </c>
      <c r="AL23" s="939"/>
      <c r="AN23" s="858"/>
      <c r="AO23" s="858">
        <v>36709000004</v>
      </c>
      <c r="AP23" s="927"/>
      <c r="AQ23" s="938"/>
      <c r="AS23" s="1072"/>
    </row>
    <row r="24" spans="1:46" ht="35.1" customHeight="1">
      <c r="A24" s="1932"/>
      <c r="B24" s="1140" t="s">
        <v>181</v>
      </c>
      <c r="C24" s="1255" t="s">
        <v>321</v>
      </c>
      <c r="D24" s="1256">
        <v>5696685416.666667</v>
      </c>
      <c r="E24" s="1257">
        <f t="shared" si="24"/>
        <v>0.15261810303319154</v>
      </c>
      <c r="F24" s="1128"/>
      <c r="G24" s="1297"/>
      <c r="H24" s="943">
        <v>4592015000</v>
      </c>
      <c r="I24" s="944">
        <v>0.16636314187360371</v>
      </c>
      <c r="J24" s="943">
        <v>4720578899</v>
      </c>
      <c r="K24" s="943"/>
      <c r="L24" s="1313"/>
      <c r="M24" s="1313"/>
      <c r="N24" s="943"/>
      <c r="O24" s="1313"/>
      <c r="P24" s="1313"/>
      <c r="Q24" s="946">
        <f t="shared" si="25"/>
        <v>0</v>
      </c>
      <c r="R24" s="1244">
        <f t="shared" si="26"/>
        <v>0</v>
      </c>
      <c r="S24" s="882">
        <f t="shared" si="27"/>
        <v>4592015000</v>
      </c>
      <c r="T24" s="880"/>
      <c r="U24" s="1245"/>
      <c r="V24" s="882"/>
      <c r="W24" s="880"/>
      <c r="X24" s="890"/>
      <c r="Y24" s="1246"/>
      <c r="Z24" s="946"/>
      <c r="AA24" s="1083"/>
      <c r="AB24" s="943">
        <f>S24+V24</f>
        <v>4592015000</v>
      </c>
      <c r="AC24" s="946"/>
      <c r="AD24" s="942"/>
      <c r="AE24" s="943">
        <f>S24+V24-Y24</f>
        <v>4592015000</v>
      </c>
      <c r="AF24" s="945">
        <f t="shared" si="30"/>
        <v>0.1705225249525984</v>
      </c>
      <c r="AG24" s="892">
        <f t="shared" si="31"/>
        <v>0</v>
      </c>
      <c r="AH24" s="949"/>
      <c r="AI24" s="949"/>
      <c r="AJ24" s="949"/>
      <c r="AK24" s="906">
        <f>SUM(AH24:AJ24)</f>
        <v>0</v>
      </c>
      <c r="AL24" s="950"/>
      <c r="AN24" s="858"/>
      <c r="AO24" s="1287">
        <f>AO22+AP22</f>
        <v>12913995274</v>
      </c>
      <c r="AP24" s="927"/>
      <c r="AQ24" s="938"/>
      <c r="AS24" s="1072"/>
    </row>
    <row r="25" spans="1:46" ht="35.1" customHeight="1">
      <c r="A25" s="1932"/>
      <c r="B25" s="1240" t="s">
        <v>357</v>
      </c>
      <c r="C25" s="1258"/>
      <c r="D25" s="1256"/>
      <c r="E25" s="1257"/>
      <c r="F25" s="1238"/>
      <c r="G25" s="1297"/>
      <c r="H25" s="943">
        <v>0</v>
      </c>
      <c r="I25" s="944">
        <v>0</v>
      </c>
      <c r="J25" s="943">
        <v>291122000</v>
      </c>
      <c r="K25" s="943"/>
      <c r="L25" s="1313"/>
      <c r="M25" s="1313"/>
      <c r="N25" s="943"/>
      <c r="O25" s="1313"/>
      <c r="P25" s="1313"/>
      <c r="Q25" s="946">
        <f t="shared" si="25"/>
        <v>0</v>
      </c>
      <c r="R25" s="1087">
        <f t="shared" si="26"/>
        <v>0</v>
      </c>
      <c r="S25" s="947">
        <f t="shared" si="27"/>
        <v>0</v>
      </c>
      <c r="T25" s="1242"/>
      <c r="U25" s="1087"/>
      <c r="V25" s="947"/>
      <c r="W25" s="1242"/>
      <c r="X25" s="1243"/>
      <c r="Y25" s="947"/>
      <c r="Z25" s="946"/>
      <c r="AA25" s="1083"/>
      <c r="AB25" s="943">
        <f>S25+V25</f>
        <v>0</v>
      </c>
      <c r="AC25" s="946"/>
      <c r="AD25" s="1239"/>
      <c r="AE25" s="943">
        <f>S25+V25-Y25</f>
        <v>0</v>
      </c>
      <c r="AF25" s="945">
        <f t="shared" si="30"/>
        <v>0</v>
      </c>
      <c r="AG25" s="948">
        <f t="shared" si="31"/>
        <v>0</v>
      </c>
      <c r="AH25" s="949"/>
      <c r="AI25" s="949"/>
      <c r="AJ25" s="949"/>
      <c r="AK25" s="906"/>
      <c r="AL25" s="950"/>
      <c r="AN25" s="858"/>
      <c r="AO25" s="858">
        <f>AO22-AO24</f>
        <v>-1100243274</v>
      </c>
      <c r="AP25" s="927"/>
      <c r="AQ25" s="938"/>
      <c r="AS25" s="1072"/>
    </row>
    <row r="26" spans="1:46" ht="35.1" customHeight="1">
      <c r="A26" s="1934"/>
      <c r="B26" s="1141" t="s">
        <v>318</v>
      </c>
      <c r="C26" s="1259"/>
      <c r="D26" s="1260"/>
      <c r="E26" s="1261">
        <f t="shared" si="24"/>
        <v>0</v>
      </c>
      <c r="F26" s="1241"/>
      <c r="G26" s="1298"/>
      <c r="H26" s="951">
        <v>0</v>
      </c>
      <c r="I26" s="952">
        <v>0</v>
      </c>
      <c r="J26" s="908">
        <v>250000000</v>
      </c>
      <c r="K26" s="908"/>
      <c r="L26" s="951"/>
      <c r="M26" s="951"/>
      <c r="N26" s="908"/>
      <c r="O26" s="951"/>
      <c r="P26" s="951"/>
      <c r="Q26" s="953">
        <f t="shared" si="25"/>
        <v>0</v>
      </c>
      <c r="R26" s="956">
        <f t="shared" si="26"/>
        <v>0</v>
      </c>
      <c r="S26" s="908">
        <f t="shared" si="27"/>
        <v>0</v>
      </c>
      <c r="T26" s="953"/>
      <c r="U26" s="956"/>
      <c r="V26" s="908"/>
      <c r="W26" s="953"/>
      <c r="X26" s="954"/>
      <c r="Y26" s="951"/>
      <c r="Z26" s="953"/>
      <c r="AA26" s="954"/>
      <c r="AB26" s="951">
        <f>S26+V26</f>
        <v>0</v>
      </c>
      <c r="AC26" s="953"/>
      <c r="AD26" s="954"/>
      <c r="AE26" s="951">
        <f>S26+V26-Y26</f>
        <v>0</v>
      </c>
      <c r="AF26" s="955">
        <f t="shared" si="30"/>
        <v>0</v>
      </c>
      <c r="AG26" s="917">
        <f t="shared" si="31"/>
        <v>0</v>
      </c>
      <c r="AH26" s="957"/>
      <c r="AI26" s="957"/>
      <c r="AJ26" s="957"/>
      <c r="AK26" s="917"/>
      <c r="AL26" s="958"/>
      <c r="AP26" s="927"/>
      <c r="AQ26" s="858"/>
      <c r="AS26" s="1072"/>
    </row>
    <row r="27" spans="1:46" ht="35.1" customHeight="1" thickBot="1">
      <c r="A27" s="2180" t="s">
        <v>296</v>
      </c>
      <c r="B27" s="2181"/>
      <c r="C27" s="959">
        <f>SUM(C20:C22)</f>
        <v>13127.1</v>
      </c>
      <c r="D27" s="960">
        <f>SUM(D20:D26)</f>
        <v>13955633640.666668</v>
      </c>
      <c r="E27" s="961">
        <f>SUM(E20:E26)</f>
        <v>0.37388098114622748</v>
      </c>
      <c r="F27" s="1129">
        <v>0</v>
      </c>
      <c r="G27" s="1299">
        <f>SUM(G20:G22)</f>
        <v>3558</v>
      </c>
      <c r="H27" s="960">
        <f>SUM(H20:H26)</f>
        <v>7291329000</v>
      </c>
      <c r="I27" s="961">
        <f>SUM(I20:I26)</f>
        <v>0.26415601884447698</v>
      </c>
      <c r="J27" s="960">
        <v>6046536204</v>
      </c>
      <c r="K27" s="1315"/>
      <c r="L27" s="1310"/>
      <c r="M27" s="1310"/>
      <c r="N27" s="1315"/>
      <c r="O27" s="1310"/>
      <c r="P27" s="1310"/>
      <c r="Q27" s="962">
        <v>0</v>
      </c>
      <c r="R27" s="965">
        <f>SUM(R20:R22)</f>
        <v>3558</v>
      </c>
      <c r="S27" s="960">
        <f>SUM(S20:S26)</f>
        <v>7291329000</v>
      </c>
      <c r="T27" s="962">
        <f>SUM(T20:T24)</f>
        <v>0</v>
      </c>
      <c r="U27" s="965">
        <f>SUM(U20:U24)</f>
        <v>0</v>
      </c>
      <c r="V27" s="960">
        <f>SUM(V20:V26)</f>
        <v>0</v>
      </c>
      <c r="W27" s="962">
        <f>SUM(W20:W24)</f>
        <v>0</v>
      </c>
      <c r="X27" s="963">
        <f>SUM(X20:X24)</f>
        <v>0</v>
      </c>
      <c r="Y27" s="960">
        <f>SUM(Y20:Y26)</f>
        <v>0</v>
      </c>
      <c r="Z27" s="962">
        <f>SUM(Z20:Z24)</f>
        <v>0</v>
      </c>
      <c r="AA27" s="963">
        <f>SUM(AA20:AA22)</f>
        <v>3558</v>
      </c>
      <c r="AB27" s="960">
        <f>SUM(AB20:AB26)</f>
        <v>7291329000</v>
      </c>
      <c r="AC27" s="962">
        <f>SUM(AC20:AC24)</f>
        <v>0</v>
      </c>
      <c r="AD27" s="963">
        <f>SUM(AD20:AD22)</f>
        <v>3558</v>
      </c>
      <c r="AE27" s="960">
        <f>SUM(AE20:AE26)</f>
        <v>7291329000</v>
      </c>
      <c r="AF27" s="964">
        <f>SUM(AF20:AF26)</f>
        <v>0.27076040286020503</v>
      </c>
      <c r="AG27" s="966">
        <f>SUM(AG20:AG26)</f>
        <v>0</v>
      </c>
      <c r="AH27" s="967" t="e">
        <f>SUM(AH17:AH22)</f>
        <v>#REF!</v>
      </c>
      <c r="AI27" s="967" t="e">
        <f>SUM(AI17:AI22)</f>
        <v>#REF!</v>
      </c>
      <c r="AJ27" s="967" t="e">
        <f>SUM(AJ17:AJ22)</f>
        <v>#REF!</v>
      </c>
      <c r="AK27" s="966" t="e">
        <f>SUM(AK17:AK22)</f>
        <v>#REF!</v>
      </c>
      <c r="AL27" s="968">
        <f>SUM(AL20:AL23)</f>
        <v>0</v>
      </c>
      <c r="AN27" s="858"/>
      <c r="AP27" s="927"/>
      <c r="AQ27" s="928"/>
      <c r="AS27" s="1072"/>
    </row>
    <row r="28" spans="1:46" ht="35.1" customHeight="1" thickTop="1" thickBot="1">
      <c r="A28" s="969" t="s">
        <v>300</v>
      </c>
      <c r="B28" s="1142"/>
      <c r="C28" s="1138">
        <f>C19+C27</f>
        <v>82153.100000000006</v>
      </c>
      <c r="D28" s="1120">
        <f>SUM(D19,D27)</f>
        <v>37326406916.666672</v>
      </c>
      <c r="E28" s="1126">
        <f>SUM(E19,E27)</f>
        <v>0.99999999999999989</v>
      </c>
      <c r="F28" s="972">
        <f>F27+F19</f>
        <v>9707</v>
      </c>
      <c r="G28" s="1300">
        <f t="shared" ref="G28:H28" si="32">G27+G19</f>
        <v>45950</v>
      </c>
      <c r="H28" s="970">
        <f t="shared" si="32"/>
        <v>27602358000</v>
      </c>
      <c r="I28" s="971">
        <v>1</v>
      </c>
      <c r="J28" s="970">
        <v>9306278430</v>
      </c>
      <c r="K28" s="970"/>
      <c r="L28" s="1314"/>
      <c r="M28" s="1314"/>
      <c r="N28" s="970"/>
      <c r="O28" s="1314"/>
      <c r="P28" s="1314"/>
      <c r="Q28" s="1145">
        <f>Q27+Q19</f>
        <v>9557</v>
      </c>
      <c r="R28" s="1146">
        <f t="shared" ref="R28" si="33">R27+R19</f>
        <v>45950</v>
      </c>
      <c r="S28" s="970">
        <f t="shared" ref="S28" si="34">S27+S19</f>
        <v>27602358000</v>
      </c>
      <c r="T28" s="1145">
        <f t="shared" ref="T28:AF28" si="35">SUM(T19,T27)</f>
        <v>450</v>
      </c>
      <c r="U28" s="1146">
        <f t="shared" si="35"/>
        <v>59</v>
      </c>
      <c r="V28" s="970">
        <f t="shared" si="35"/>
        <v>69443000</v>
      </c>
      <c r="W28" s="972">
        <f t="shared" si="35"/>
        <v>0</v>
      </c>
      <c r="X28" s="975">
        <f t="shared" si="35"/>
        <v>0</v>
      </c>
      <c r="Y28" s="970">
        <f t="shared" si="35"/>
        <v>742719336</v>
      </c>
      <c r="Z28" s="972">
        <f t="shared" si="35"/>
        <v>10007</v>
      </c>
      <c r="AA28" s="973">
        <f t="shared" si="35"/>
        <v>46009</v>
      </c>
      <c r="AB28" s="970">
        <f t="shared" si="35"/>
        <v>27671801000</v>
      </c>
      <c r="AC28" s="972">
        <f t="shared" si="35"/>
        <v>10007</v>
      </c>
      <c r="AD28" s="973">
        <f>SUM(AD19,AD27)</f>
        <v>46009</v>
      </c>
      <c r="AE28" s="970">
        <f t="shared" si="35"/>
        <v>26929081664</v>
      </c>
      <c r="AF28" s="974">
        <f t="shared" si="35"/>
        <v>1</v>
      </c>
      <c r="AG28" s="976">
        <f>ROUND(SUM(AG19,AG27),0)</f>
        <v>673276336</v>
      </c>
      <c r="AH28" s="977" t="e">
        <f>SUM(AH22+SUM(AH23:AH27))</f>
        <v>#REF!</v>
      </c>
      <c r="AI28" s="977" t="e">
        <f>SUM(AI22+SUM(AI23:AI27))</f>
        <v>#REF!</v>
      </c>
      <c r="AJ28" s="977" t="e">
        <f>SUM(AJ22+SUM(AJ23:AJ27))</f>
        <v>#REF!</v>
      </c>
      <c r="AK28" s="977" t="e">
        <f>SUM(AK22+SUM(AK23:AK27))</f>
        <v>#REF!</v>
      </c>
      <c r="AL28" s="978">
        <f>AL19+AL27</f>
        <v>4404819704</v>
      </c>
      <c r="AP28" s="927"/>
      <c r="AQ28" s="1152"/>
      <c r="AS28" s="1072"/>
      <c r="AT28" s="1072"/>
    </row>
    <row r="29" spans="1:46" ht="15" customHeight="1">
      <c r="B29" s="325"/>
      <c r="AQ29" s="1152"/>
    </row>
    <row r="30" spans="1:46" ht="20.100000000000001" customHeight="1">
      <c r="B30" s="325"/>
      <c r="H30" s="1072"/>
      <c r="S30" s="1073"/>
      <c r="AD30" s="1213"/>
      <c r="AE30" s="1221"/>
      <c r="AG30" s="1073">
        <f>ROUND((H28-S28-V28+Y28),0)</f>
        <v>673276336</v>
      </c>
    </row>
    <row r="31" spans="1:46" ht="20.100000000000001" customHeight="1">
      <c r="S31" s="1073"/>
      <c r="AG31" s="1073">
        <f>AG28-AG30</f>
        <v>0</v>
      </c>
    </row>
    <row r="32" spans="1:46" ht="20.100000000000001" customHeight="1">
      <c r="H32" s="1081"/>
      <c r="I32" s="1080"/>
      <c r="J32" s="1080"/>
      <c r="K32" s="1080"/>
      <c r="L32" s="1080"/>
      <c r="M32" s="1080"/>
      <c r="N32" s="1080"/>
      <c r="O32" s="1080"/>
      <c r="P32" s="1080"/>
      <c r="R32" s="1079"/>
      <c r="S32" s="1078"/>
      <c r="V32" s="1081"/>
      <c r="Y32" s="1073"/>
    </row>
    <row r="33" spans="6:31" ht="20.100000000000001" customHeight="1">
      <c r="H33" s="1081"/>
      <c r="I33" s="1080"/>
      <c r="J33" s="1080"/>
      <c r="K33" s="1080"/>
      <c r="L33" s="1080"/>
      <c r="M33" s="1080"/>
      <c r="N33" s="1080"/>
      <c r="O33" s="1080"/>
      <c r="P33" s="1080"/>
      <c r="S33" s="1078"/>
      <c r="V33" s="1078"/>
      <c r="Y33" s="1073"/>
      <c r="AE33" s="1073"/>
    </row>
    <row r="34" spans="6:31" ht="20.100000000000001" customHeight="1">
      <c r="H34" s="1081"/>
      <c r="I34" s="1079"/>
      <c r="J34" s="1079"/>
      <c r="K34" s="1079"/>
      <c r="L34" s="1079"/>
      <c r="M34" s="1079"/>
      <c r="N34" s="1079"/>
      <c r="O34" s="1079"/>
      <c r="P34" s="1079"/>
      <c r="S34" s="1078"/>
      <c r="V34" s="1078"/>
      <c r="Y34" s="1228"/>
    </row>
    <row r="35" spans="6:31" ht="20.100000000000001" customHeight="1">
      <c r="S35" s="1074"/>
    </row>
    <row r="36" spans="6:31" ht="20.100000000000001" customHeight="1"/>
    <row r="37" spans="6:31" ht="20.100000000000001" customHeight="1">
      <c r="H37" s="1081"/>
    </row>
    <row r="38" spans="6:31" ht="20.100000000000001" customHeight="1">
      <c r="F38" s="859"/>
      <c r="G38" s="859"/>
      <c r="H38" s="1078"/>
    </row>
    <row r="39" spans="6:31" ht="20.100000000000001" customHeight="1">
      <c r="F39" s="859"/>
      <c r="G39" s="859"/>
      <c r="H39" s="1078"/>
    </row>
    <row r="40" spans="6:31" ht="20.100000000000001" customHeight="1">
      <c r="F40" s="859"/>
      <c r="G40" s="859"/>
      <c r="H40" s="1078"/>
    </row>
    <row r="41" spans="6:31" ht="20.100000000000001" customHeight="1">
      <c r="F41" s="1078"/>
      <c r="G41" s="1078"/>
      <c r="H41" s="1078"/>
    </row>
    <row r="42" spans="6:31" ht="20.100000000000001" customHeight="1"/>
    <row r="45" spans="6:31">
      <c r="H45" s="1072"/>
    </row>
  </sheetData>
  <mergeCells count="14">
    <mergeCell ref="AL7:AL9"/>
    <mergeCell ref="A27:B27"/>
    <mergeCell ref="K8:M8"/>
    <mergeCell ref="N8:P8"/>
    <mergeCell ref="F7:J8"/>
    <mergeCell ref="A7:B9"/>
    <mergeCell ref="K7:P7"/>
    <mergeCell ref="AK8:AK9"/>
    <mergeCell ref="A10:A16"/>
    <mergeCell ref="A20:A26"/>
    <mergeCell ref="Q7:S8"/>
    <mergeCell ref="T7:Y7"/>
    <mergeCell ref="AC7:AF8"/>
    <mergeCell ref="AG7:AG9"/>
  </mergeCells>
  <phoneticPr fontId="43" type="noConversion"/>
  <conditionalFormatting sqref="AG28">
    <cfRule type="cellIs" dxfId="1" priority="1" stopIfTrue="1" operator="lessThan">
      <formula>$AG$30</formula>
    </cfRule>
    <cfRule type="cellIs" dxfId="0" priority="2" stopIfTrue="1" operator="greaterThan">
      <formula>$AG$30</formula>
    </cfRule>
  </conditionalFormatting>
  <printOptions horizontalCentered="1"/>
  <pageMargins left="0" right="0" top="0.31496062992125984" bottom="0" header="0.51181102362204722" footer="0.51181102362204722"/>
  <pageSetup paperSize="9" scale="63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28</vt:i4>
      </vt:variant>
    </vt:vector>
  </HeadingPairs>
  <TitlesOfParts>
    <vt:vector size="53" baseType="lpstr">
      <vt:lpstr>이월분</vt:lpstr>
      <vt:lpstr>취소분</vt:lpstr>
      <vt:lpstr>요약보고</vt:lpstr>
      <vt:lpstr>투자현황</vt:lpstr>
      <vt:lpstr>신규투자계획서</vt:lpstr>
      <vt:lpstr>품의서</vt:lpstr>
      <vt:lpstr>용도별분석</vt:lpstr>
      <vt:lpstr>총괄경제</vt:lpstr>
      <vt:lpstr>구간요약</vt:lpstr>
      <vt:lpstr>기본데이타</vt:lpstr>
      <vt:lpstr>공공택지</vt:lpstr>
      <vt:lpstr>공동주택</vt:lpstr>
      <vt:lpstr>산업용</vt:lpstr>
      <vt:lpstr>업무용</vt:lpstr>
      <vt:lpstr>연료전지</vt:lpstr>
      <vt:lpstr>열병합</vt:lpstr>
      <vt:lpstr>열전용설비</vt:lpstr>
      <vt:lpstr>영업용</vt:lpstr>
      <vt:lpstr>주택용</vt:lpstr>
      <vt:lpstr>투자보수율가산</vt:lpstr>
      <vt:lpstr>투자재원</vt:lpstr>
      <vt:lpstr>Sheet2</vt:lpstr>
      <vt:lpstr>카메라</vt:lpstr>
      <vt:lpstr>Sheet1</vt:lpstr>
      <vt:lpstr>투자한도 및 누계변경시 작성</vt:lpstr>
      <vt:lpstr>구간요약!Print_Area</vt:lpstr>
      <vt:lpstr>기본데이타!Print_Area</vt:lpstr>
      <vt:lpstr>신규투자계획서!Print_Area</vt:lpstr>
      <vt:lpstr>요약보고!Print_Area</vt:lpstr>
      <vt:lpstr>용도별분석!Print_Area</vt:lpstr>
      <vt:lpstr>총괄경제!Print_Area</vt:lpstr>
      <vt:lpstr>취소분!Print_Area</vt:lpstr>
      <vt:lpstr>'투자한도 및 누계변경시 작성'!Print_Area</vt:lpstr>
      <vt:lpstr>투자현황!Print_Area</vt:lpstr>
      <vt:lpstr>품의서!Print_Area</vt:lpstr>
      <vt:lpstr>공공택지!Print_Titles</vt:lpstr>
      <vt:lpstr>공동주택!Print_Titles</vt:lpstr>
      <vt:lpstr>구간요약!Print_Titles</vt:lpstr>
      <vt:lpstr>기본데이타!Print_Titles</vt:lpstr>
      <vt:lpstr>산업용!Print_Titles</vt:lpstr>
      <vt:lpstr>신규투자계획서!Print_Titles</vt:lpstr>
      <vt:lpstr>업무용!Print_Titles</vt:lpstr>
      <vt:lpstr>연료전지!Print_Titles</vt:lpstr>
      <vt:lpstr>열병합!Print_Titles</vt:lpstr>
      <vt:lpstr>열전용설비!Print_Titles</vt:lpstr>
      <vt:lpstr>영업용!Print_Titles</vt:lpstr>
      <vt:lpstr>용도별분석!Print_Titles</vt:lpstr>
      <vt:lpstr>주택용!Print_Titles</vt:lpstr>
      <vt:lpstr>총괄경제!Print_Titles</vt:lpstr>
      <vt:lpstr>취소분!Print_Titles</vt:lpstr>
      <vt:lpstr>투자보수율가산!Print_Titles</vt:lpstr>
      <vt:lpstr>투자재원!Print_Titles</vt:lpstr>
      <vt:lpstr>기본</vt:lpstr>
    </vt:vector>
  </TitlesOfParts>
  <Company>본부 재무실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2026-05-26T04:20:40Z</cp:lastPrinted>
  <dcterms:created xsi:type="dcterms:W3CDTF">2005-04-04T06:10:52Z</dcterms:created>
  <dcterms:modified xsi:type="dcterms:W3CDTF">2026-05-26T04:42:37Z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1459778295</vt:i4>
  </property>
  <property fmtid="{D5CDD505-2E9C-101B-9397-08002B2CF9AE}" pid="3" name="_EmailSubject">
    <vt:lpwstr>경제성 분석 TOOL 수정부분 </vt:lpwstr>
  </property>
  <property fmtid="{D5CDD505-2E9C-101B-9397-08002B2CF9AE}" pid="4" name="_AuthorEmail">
    <vt:lpwstr>thanks@daesung.com</vt:lpwstr>
  </property>
  <property fmtid="{D5CDD505-2E9C-101B-9397-08002B2CF9AE}" pid="5" name="_AuthorEmailDisplayName">
    <vt:lpwstr>류 지호</vt:lpwstr>
  </property>
  <property fmtid="{D5CDD505-2E9C-101B-9397-08002B2CF9AE}" pid="6" name="_ReviewingToolsShownOnce">
    <vt:lpwstr/>
  </property>
  <property fmtid="{D5CDD505-2E9C-101B-9397-08002B2CF9AE}" pid="7" name="WorkbookGuid">
    <vt:lpwstr>afd61ace-41b1-4a53-8cf5-ff5081ac5df0</vt:lpwstr>
  </property>
</Properties>
</file>