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본부투자_결재 대시보드\"/>
    </mc:Choice>
  </mc:AlternateContent>
  <xr:revisionPtr revIDLastSave="0" documentId="13_ncr:1_{A4BD3DA1-3CC3-4678-AE33-CF2408E16446}" xr6:coauthVersionLast="47" xr6:coauthVersionMax="47" xr10:uidLastSave="{00000000-0000-0000-0000-000000000000}"/>
  <bookViews>
    <workbookView xWindow="-28920" yWindow="585" windowWidth="29040" windowHeight="15720" tabRatio="706" xr2:uid="{52DB04C7-9C9F-49E4-9549-92AEDDAE85FD}"/>
  </bookViews>
  <sheets>
    <sheet name="raw(2)" sheetId="3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4" i="3" l="1"/>
  <c r="BQ25" i="3"/>
  <c r="F23" i="3"/>
  <c r="F22" i="3"/>
  <c r="F21" i="3"/>
  <c r="F20" i="3"/>
  <c r="F19" i="3"/>
  <c r="F24" i="3" s="1"/>
  <c r="F18" i="3"/>
  <c r="F25" i="3" s="1"/>
  <c r="BP23" i="3" l="1"/>
  <c r="BP22" i="3"/>
  <c r="BP21" i="3"/>
  <c r="BP20" i="3"/>
  <c r="BP24" i="3" s="1"/>
  <c r="BP19" i="3"/>
  <c r="BP18" i="3"/>
  <c r="H25" i="3"/>
  <c r="G25" i="3"/>
  <c r="G24" i="3"/>
  <c r="G23" i="3"/>
  <c r="G18" i="3"/>
  <c r="BP25" i="3" l="1"/>
  <c r="G22" i="3" l="1"/>
  <c r="G21" i="3"/>
  <c r="G20" i="3"/>
  <c r="G19" i="3"/>
  <c r="H24" i="3" l="1"/>
</calcChain>
</file>

<file path=xl/sharedStrings.xml><?xml version="1.0" encoding="utf-8"?>
<sst xmlns="http://schemas.openxmlformats.org/spreadsheetml/2006/main" count="381" uniqueCount="147">
  <si>
    <t xml:space="preserve">  구간명</t>
  </si>
  <si>
    <t xml:space="preserve">  분석시행번호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</si>
  <si>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</si>
  <si>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</si>
  <si>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</si>
  <si>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</si>
  <si>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</si>
  <si>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</si>
  <si>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</si>
  <si>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</si>
  <si>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</si>
  <si>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</si>
  <si>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</si>
  <si>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</si>
  <si>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</si>
  <si>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</si>
  <si>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</si>
  <si>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</si>
  <si>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</si>
  <si>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</si>
  <si>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</si>
  <si>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</si>
  <si>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</si>
  <si>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</si>
  <si>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</si>
  <si>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</si>
  <si>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</si>
  <si>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</si>
  <si>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</si>
  <si>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</si>
  <si>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</si>
  <si>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</si>
  <si>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</si>
  <si>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</si>
  <si>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</si>
  <si>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</si>
  <si>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</si>
  <si>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</si>
  <si>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</si>
  <si>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</si>
  <si>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</si>
  <si>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</si>
  <si>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</si>
  <si>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</si>
  <si>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</si>
  <si>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</si>
  <si>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</si>
  <si>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</si>
  <si>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</si>
  <si>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</si>
  <si>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</si>
  <si>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</si>
  <si>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</si>
  <si>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</si>
  <si>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</si>
  <si>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</si>
  <si>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</si>
  <si>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</si>
  <si>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</si>
  <si>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</si>
  <si>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</si>
  <si>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</si>
  <si>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</si>
  <si>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</si>
  <si>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</si>
  <si>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</si>
  <si>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</si>
  <si>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</si>
  <si>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</si>
  <si>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</si>
  <si>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</si>
  <si>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복현지구주거환경개선사업 인입</t>
  </si>
  <si>
    <t>2025-2A00067</t>
  </si>
  <si>
    <t>수요조사후분석</t>
  </si>
  <si>
    <t>기본설계후</t>
  </si>
  <si>
    <t>사일동주거복합(사일동더샵) 인입</t>
  </si>
  <si>
    <t>2025-2A00072</t>
  </si>
  <si>
    <t>한도초과</t>
  </si>
  <si>
    <t>임당동 경산지식산업센터2</t>
  </si>
  <si>
    <t>2026-2A00001</t>
  </si>
  <si>
    <t>두류동 108-14번지(K구간)</t>
  </si>
  <si>
    <t>진천동 79-9번지(K구간)</t>
  </si>
  <si>
    <t>대명동 73-4번지(K구간)</t>
  </si>
  <si>
    <t>입석동 931-31번지(K구간)</t>
  </si>
  <si>
    <t>내당동 302-4번지(K구간)</t>
  </si>
  <si>
    <t>현풍읍 중리 123번지(K구간)</t>
  </si>
  <si>
    <t>비산동 698-55번지 (K구간)</t>
  </si>
  <si>
    <t>원효로 24-2번지(K구간)</t>
  </si>
  <si>
    <t>노원동 대구그린스타트업타운 인입2</t>
  </si>
  <si>
    <t>2026-2C00011</t>
  </si>
  <si>
    <t>칠성동2가 302-301번지 (K구간)</t>
  </si>
  <si>
    <t>산격동 1195-111번지(L구간)</t>
  </si>
  <si>
    <t>남산동 2267-2번지(K구간)</t>
  </si>
  <si>
    <t>월성주공5단지 개별난방 전환</t>
  </si>
  <si>
    <t>2026-2A00008</t>
  </si>
  <si>
    <t>가창면 용계리 45-2번지(K구간)</t>
  </si>
  <si>
    <t>사정동 191-1번지R</t>
  </si>
  <si>
    <t>2026-2A00010</t>
  </si>
  <si>
    <t>압량읍 부적리 278-4번지R</t>
  </si>
  <si>
    <t>2026-2A00013</t>
  </si>
  <si>
    <t>중방동 438-22번지R</t>
  </si>
  <si>
    <t>대평동 424-1번지R</t>
  </si>
  <si>
    <t>방촌동 974-10번지R</t>
  </si>
  <si>
    <t>2026-2A00006</t>
  </si>
  <si>
    <t>신기동 41-2번지R</t>
  </si>
  <si>
    <t>인교동 164-4번지R</t>
  </si>
  <si>
    <t>2026-2A00020</t>
  </si>
  <si>
    <t>송현동 1970-20번지</t>
  </si>
  <si>
    <t>내당동 417-13번지R</t>
  </si>
  <si>
    <t>2026-2A00017</t>
  </si>
  <si>
    <t>신천동 194-15번지R</t>
  </si>
  <si>
    <t>2026-2A00007</t>
  </si>
  <si>
    <t>비산동 409-29번지R</t>
  </si>
  <si>
    <t>2026-2A00019</t>
  </si>
  <si>
    <t>율하동 율하스마트산단 연료전지</t>
  </si>
  <si>
    <t>2026-2A00030</t>
  </si>
  <si>
    <t>어반폴트레마리스 인입</t>
  </si>
  <si>
    <t>2026-2A00031</t>
  </si>
  <si>
    <t>이곡동 1000-346번지 R</t>
  </si>
  <si>
    <t>2026-2A00011</t>
  </si>
  <si>
    <t>용도</t>
    <phoneticPr fontId="18" type="noConversion"/>
  </si>
  <si>
    <t>구청</t>
    <phoneticPr fontId="18" type="noConversion"/>
  </si>
  <si>
    <t>공동주택</t>
    <phoneticPr fontId="18" type="noConversion"/>
  </si>
  <si>
    <t>달서구</t>
    <phoneticPr fontId="18" type="noConversion"/>
  </si>
  <si>
    <t>ROE</t>
    <phoneticPr fontId="18" type="noConversion"/>
  </si>
  <si>
    <t>북구</t>
    <phoneticPr fontId="18" type="noConversion"/>
  </si>
  <si>
    <t>영업용</t>
    <phoneticPr fontId="18" type="noConversion"/>
  </si>
  <si>
    <t>연료전지</t>
    <phoneticPr fontId="18" type="noConversion"/>
  </si>
  <si>
    <t>동구</t>
    <phoneticPr fontId="18" type="noConversion"/>
  </si>
  <si>
    <t>서구</t>
    <phoneticPr fontId="18" type="noConversion"/>
  </si>
  <si>
    <t>경산시</t>
    <phoneticPr fontId="18" type="noConversion"/>
  </si>
  <si>
    <t>중구</t>
    <phoneticPr fontId="18" type="noConversion"/>
  </si>
  <si>
    <t>월성주공5단지개별난방전환</t>
  </si>
  <si>
    <t>사정동191-1번지R</t>
  </si>
  <si>
    <t>압량읍부적리278-4번지R</t>
  </si>
  <si>
    <t>방촌동974-10번지R</t>
  </si>
  <si>
    <t>인교동164-4번지R</t>
  </si>
  <si>
    <t>내당동417-13번지R</t>
  </si>
  <si>
    <t>신천동194-15번지R</t>
  </si>
  <si>
    <t>비산동409-29번지R</t>
  </si>
  <si>
    <t>율하동율하스마트산단연료전지</t>
  </si>
  <si>
    <t>어반폴트레마리스인입</t>
  </si>
  <si>
    <t>이곡동1000-346번지R</t>
  </si>
  <si>
    <t>ROE제외</t>
    <phoneticPr fontId="18" type="noConversion"/>
  </si>
  <si>
    <t>이천동대구연호공공택지</t>
    <phoneticPr fontId="18" type="noConversion"/>
  </si>
  <si>
    <t>공공택지</t>
    <phoneticPr fontId="18" type="noConversion"/>
  </si>
  <si>
    <t>수성구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</si>
</sst>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3" fontId="0" fillId="35" borderId="0" xfId="0" applyNumberFormat="1" applyFill="1">
      <alignment vertical="center"/>
    </xf>
    <xf numFmtId="3" fontId="0" fillId="36" borderId="0" xfId="0" applyNumberFormat="1" applyFill="1">
      <alignment vertical="center"/>
    </xf>
    <xf numFmtId="0" fontId="0" fillId="36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5F29-049A-4FDF-9343-654B280D5A5A}">
  <dimension ref="A1:BS25"/>
  <sheetViews>
    <sheetView tabSelected="1" topLeftCell="AV1" workbookViewId="0">
      <selection activeCell="BE21" sqref="BE21:BQ21"/>
    </sheetView>
  </sheetViews>
  <sheetFormatPr defaultRowHeight="16.5" x14ac:dyDescent="0.3"/>
  <cols>
    <col min="1" max="1" width="10.375" customWidth="1"/>
    <col min="3" max="3" width="24.625" customWidth="1"/>
    <col min="7" max="7" width="14.25" customWidth="1"/>
    <col min="46" max="49" width="11.75" customWidth="1"/>
    <col min="52" max="52" width="12.375" customWidth="1"/>
    <col min="68" max="68" width="22.625" customWidth="1"/>
  </cols>
  <sheetData>
    <row r="1" spans="1:71" x14ac:dyDescent="0.3">
      <c r="C1" t="s">
        <v>0</v>
      </c>
      <c r="D1" t="s">
        <v>2</v>
      </c>
      <c r="E1" t="s">
        <v>3</v>
      </c>
      <c r="F1" t="s">
        <v>4</v>
      </c>
      <c r="H1" t="s">
        <v>5</v>
      </c>
      <c r="P1" t="s">
        <v>6</v>
      </c>
      <c r="Y1" t="s">
        <v>7</v>
      </c>
      <c r="AA1" t="s">
        <v>8</v>
      </c>
      <c r="AC1" t="s">
        <v>9</v>
      </c>
      <c r="AE1" t="s">
        <v>10</v>
      </c>
      <c r="AG1" t="s">
        <v>11</v>
      </c>
      <c r="AH1" t="s">
        <v>12</v>
      </c>
      <c r="AS1" t="s">
        <v>13</v>
      </c>
      <c r="AT1" t="s">
        <v>14</v>
      </c>
      <c r="AX1" t="s">
        <v>15</v>
      </c>
      <c r="AY1" t="s">
        <v>16</v>
      </c>
      <c r="BL1" t="s">
        <v>17</v>
      </c>
      <c r="BM1" t="s">
        <v>18</v>
      </c>
      <c r="BN1" t="s">
        <v>19</v>
      </c>
      <c r="BO1" t="s">
        <v>20</v>
      </c>
    </row>
    <row r="2" spans="1:71" x14ac:dyDescent="0.3">
      <c r="F2" t="s">
        <v>21</v>
      </c>
      <c r="G2" t="s">
        <v>22</v>
      </c>
      <c r="H2" t="s">
        <v>23</v>
      </c>
      <c r="J2" t="s">
        <v>24</v>
      </c>
      <c r="L2" t="s">
        <v>25</v>
      </c>
      <c r="N2" t="s">
        <v>26</v>
      </c>
      <c r="P2" t="s">
        <v>27</v>
      </c>
      <c r="R2" t="s">
        <v>28</v>
      </c>
      <c r="T2" t="s">
        <v>29</v>
      </c>
      <c r="V2" t="s">
        <v>30</v>
      </c>
      <c r="AH2" t="s">
        <v>31</v>
      </c>
      <c r="AK2" t="s">
        <v>32</v>
      </c>
      <c r="AY2" t="s">
        <v>33</v>
      </c>
      <c r="BB2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O2" t="s">
        <v>40</v>
      </c>
      <c r="BP2" t="s">
        <v>41</v>
      </c>
      <c r="BQ2" t="s">
        <v>42</v>
      </c>
      <c r="BR2" t="s">
        <v>43</v>
      </c>
      <c r="BS2" t="s">
        <v>44</v>
      </c>
    </row>
    <row r="4" spans="1:71" x14ac:dyDescent="0.3">
      <c r="A4" t="s">
        <v>120</v>
      </c>
      <c r="B4" t="s">
        <v>121</v>
      </c>
      <c r="H4" t="s">
        <v>45</v>
      </c>
      <c r="I4" t="s">
        <v>46</v>
      </c>
      <c r="J4" t="s">
        <v>45</v>
      </c>
      <c r="K4" t="s">
        <v>46</v>
      </c>
      <c r="L4" t="s">
        <v>45</v>
      </c>
      <c r="M4" t="s">
        <v>46</v>
      </c>
      <c r="N4" t="s">
        <v>47</v>
      </c>
      <c r="O4" t="s">
        <v>48</v>
      </c>
      <c r="P4" t="s">
        <v>47</v>
      </c>
      <c r="Q4" t="s">
        <v>48</v>
      </c>
      <c r="R4" t="s">
        <v>47</v>
      </c>
      <c r="S4" t="s">
        <v>48</v>
      </c>
      <c r="T4" t="s">
        <v>47</v>
      </c>
      <c r="U4" t="s">
        <v>49</v>
      </c>
      <c r="V4" t="s">
        <v>47</v>
      </c>
      <c r="W4" t="s">
        <v>49</v>
      </c>
      <c r="X4" t="s">
        <v>50</v>
      </c>
      <c r="Y4" t="s">
        <v>47</v>
      </c>
      <c r="Z4" t="s">
        <v>48</v>
      </c>
      <c r="AA4" t="s">
        <v>47</v>
      </c>
      <c r="AB4" t="s">
        <v>48</v>
      </c>
      <c r="AC4" t="s">
        <v>47</v>
      </c>
      <c r="AD4" t="s">
        <v>48</v>
      </c>
      <c r="AE4" t="s">
        <v>47</v>
      </c>
      <c r="AF4" t="s">
        <v>48</v>
      </c>
      <c r="AH4" t="s">
        <v>45</v>
      </c>
      <c r="AI4" t="s">
        <v>46</v>
      </c>
      <c r="AJ4" t="s">
        <v>51</v>
      </c>
      <c r="AK4" t="s">
        <v>52</v>
      </c>
      <c r="AL4" t="s">
        <v>53</v>
      </c>
      <c r="AM4" t="s">
        <v>29</v>
      </c>
      <c r="AN4" t="s">
        <v>54</v>
      </c>
      <c r="AO4" t="s">
        <v>55</v>
      </c>
      <c r="AP4" t="s">
        <v>56</v>
      </c>
      <c r="AQ4" t="s">
        <v>57</v>
      </c>
      <c r="AR4" t="s">
        <v>58</v>
      </c>
      <c r="AT4" t="s">
        <v>59</v>
      </c>
      <c r="AU4" t="s">
        <v>60</v>
      </c>
      <c r="AV4" t="s">
        <v>61</v>
      </c>
      <c r="AW4" t="s">
        <v>62</v>
      </c>
      <c r="AY4" t="s">
        <v>63</v>
      </c>
      <c r="AZ4" t="s">
        <v>64</v>
      </c>
      <c r="BA4" t="s">
        <v>65</v>
      </c>
      <c r="BB4" t="s">
        <v>66</v>
      </c>
      <c r="BC4" t="s">
        <v>67</v>
      </c>
      <c r="BD4" t="s">
        <v>68</v>
      </c>
      <c r="BE4" t="s">
        <v>69</v>
      </c>
      <c r="BF4" t="s">
        <v>70</v>
      </c>
    </row>
    <row r="5" spans="1:71" x14ac:dyDescent="0.3">
      <c r="A5" t="s">
        <v>122</v>
      </c>
      <c r="B5" t="s">
        <v>123</v>
      </c>
      <c r="C5" s="3" t="s">
        <v>132</v>
      </c>
      <c r="D5" t="s">
        <v>94</v>
      </c>
      <c r="E5" t="s">
        <v>74</v>
      </c>
      <c r="F5">
        <v>25</v>
      </c>
      <c r="G5" s="1">
        <v>63179000</v>
      </c>
      <c r="H5">
        <v>0</v>
      </c>
      <c r="I5" s="1">
        <v>1740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1">
        <v>1740</v>
      </c>
      <c r="AH5">
        <v>0</v>
      </c>
      <c r="AI5" s="1">
        <v>6960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s="1">
        <v>6960</v>
      </c>
      <c r="AT5" s="6">
        <v>158200800</v>
      </c>
      <c r="AU5" s="7">
        <v>0</v>
      </c>
      <c r="AV5" s="7">
        <v>0</v>
      </c>
      <c r="AW5" s="6">
        <v>158200800</v>
      </c>
      <c r="AX5" s="1">
        <v>-158200800</v>
      </c>
      <c r="AY5">
        <v>0</v>
      </c>
      <c r="AZ5" s="1">
        <v>45560160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1">
        <v>45560160</v>
      </c>
      <c r="BL5" s="1">
        <v>1076864497</v>
      </c>
      <c r="BM5" s="1">
        <v>949906555</v>
      </c>
      <c r="BN5" s="1">
        <v>126957942</v>
      </c>
      <c r="BO5">
        <v>1</v>
      </c>
      <c r="BP5" s="1">
        <v>1363230703</v>
      </c>
      <c r="BQ5">
        <v>166.66</v>
      </c>
      <c r="BR5" s="2">
        <v>6960</v>
      </c>
      <c r="BS5">
        <v>0</v>
      </c>
    </row>
    <row r="6" spans="1:71" x14ac:dyDescent="0.3">
      <c r="A6" t="s">
        <v>127</v>
      </c>
      <c r="B6" t="s">
        <v>128</v>
      </c>
      <c r="C6" s="3" t="s">
        <v>140</v>
      </c>
      <c r="D6" t="s">
        <v>115</v>
      </c>
      <c r="E6" t="s">
        <v>74</v>
      </c>
      <c r="F6">
        <v>470</v>
      </c>
      <c r="G6" s="1">
        <v>474456000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 s="1">
        <v>43621788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1">
        <v>1567</v>
      </c>
      <c r="AQ6">
        <v>0</v>
      </c>
      <c r="AR6">
        <v>0</v>
      </c>
      <c r="AS6" s="1">
        <v>1567</v>
      </c>
      <c r="AT6" s="6">
        <v>35617910</v>
      </c>
      <c r="AU6" s="7">
        <v>0</v>
      </c>
      <c r="AV6" s="7">
        <v>0</v>
      </c>
      <c r="AW6" s="6">
        <v>35617910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s="1">
        <v>523461466</v>
      </c>
      <c r="BI6">
        <v>0</v>
      </c>
      <c r="BJ6">
        <v>0</v>
      </c>
      <c r="BK6" s="1">
        <v>523461466</v>
      </c>
      <c r="BL6" s="1">
        <v>8240173359</v>
      </c>
      <c r="BM6" s="1">
        <v>7761467848</v>
      </c>
      <c r="BN6" s="1">
        <v>478705511</v>
      </c>
      <c r="BO6">
        <v>2</v>
      </c>
      <c r="BP6" s="1">
        <v>4558036087</v>
      </c>
      <c r="BQ6">
        <v>84.05</v>
      </c>
      <c r="BR6">
        <v>83.4</v>
      </c>
      <c r="BS6">
        <v>0</v>
      </c>
    </row>
    <row r="7" spans="1:71" x14ac:dyDescent="0.3">
      <c r="A7" t="s">
        <v>126</v>
      </c>
      <c r="B7" t="s">
        <v>125</v>
      </c>
      <c r="C7" s="3" t="s">
        <v>141</v>
      </c>
      <c r="D7" t="s">
        <v>117</v>
      </c>
      <c r="E7" t="s">
        <v>74</v>
      </c>
      <c r="F7">
        <v>35</v>
      </c>
      <c r="G7" s="1">
        <v>61362000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 s="1">
        <v>132941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78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78</v>
      </c>
      <c r="AT7" s="6">
        <v>1772940</v>
      </c>
      <c r="AU7" s="7">
        <v>0</v>
      </c>
      <c r="AV7" s="7">
        <v>0</v>
      </c>
      <c r="AW7" s="6">
        <v>1772940</v>
      </c>
      <c r="AX7">
        <v>0</v>
      </c>
      <c r="AY7">
        <v>0</v>
      </c>
      <c r="AZ7">
        <v>0</v>
      </c>
      <c r="BA7">
        <v>0</v>
      </c>
      <c r="BB7" s="1">
        <v>1595293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s="1">
        <v>1595293</v>
      </c>
      <c r="BL7" s="1">
        <v>36347315</v>
      </c>
      <c r="BM7" s="1">
        <v>30454781</v>
      </c>
      <c r="BN7" s="1">
        <v>5892534</v>
      </c>
      <c r="BO7">
        <v>30</v>
      </c>
      <c r="BP7" s="1">
        <v>632006</v>
      </c>
      <c r="BQ7">
        <v>6.25</v>
      </c>
      <c r="BR7">
        <v>55.7</v>
      </c>
      <c r="BS7">
        <v>0</v>
      </c>
    </row>
    <row r="8" spans="1:71" x14ac:dyDescent="0.3">
      <c r="A8" t="s">
        <v>124</v>
      </c>
      <c r="B8" t="s">
        <v>130</v>
      </c>
      <c r="C8" s="3" t="s">
        <v>133</v>
      </c>
      <c r="D8" t="s">
        <v>97</v>
      </c>
      <c r="E8" t="s">
        <v>74</v>
      </c>
      <c r="F8">
        <v>151</v>
      </c>
      <c r="G8" s="1">
        <v>71533000</v>
      </c>
      <c r="H8">
        <v>0</v>
      </c>
      <c r="I8">
        <v>0</v>
      </c>
      <c r="J8">
        <v>0</v>
      </c>
      <c r="K8">
        <v>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17</v>
      </c>
      <c r="AH8">
        <v>0</v>
      </c>
      <c r="AI8">
        <v>70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70</v>
      </c>
      <c r="AT8" s="1">
        <v>1591100</v>
      </c>
      <c r="AU8">
        <v>0</v>
      </c>
      <c r="AV8" s="1">
        <v>11255230</v>
      </c>
      <c r="AW8" s="1">
        <v>12846330</v>
      </c>
      <c r="AX8">
        <v>0</v>
      </c>
      <c r="AY8">
        <v>0</v>
      </c>
      <c r="AZ8" s="1">
        <v>473892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s="1">
        <v>473892</v>
      </c>
      <c r="BL8" s="1">
        <v>11200946</v>
      </c>
      <c r="BM8" s="1">
        <v>9880402</v>
      </c>
      <c r="BN8" s="1">
        <v>1320544</v>
      </c>
      <c r="BO8">
        <v>31</v>
      </c>
      <c r="BP8" s="1">
        <v>-71627930</v>
      </c>
      <c r="BQ8">
        <v>-999.99</v>
      </c>
      <c r="BR8">
        <v>11.6</v>
      </c>
      <c r="BS8">
        <v>0</v>
      </c>
    </row>
    <row r="9" spans="1:71" x14ac:dyDescent="0.3">
      <c r="A9" t="s">
        <v>124</v>
      </c>
      <c r="B9" t="s">
        <v>130</v>
      </c>
      <c r="C9" s="3" t="s">
        <v>134</v>
      </c>
      <c r="D9" t="s">
        <v>99</v>
      </c>
      <c r="E9" t="s">
        <v>74</v>
      </c>
      <c r="F9">
        <v>63</v>
      </c>
      <c r="G9" s="1">
        <v>45289000</v>
      </c>
      <c r="H9">
        <v>0</v>
      </c>
      <c r="I9">
        <v>0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</v>
      </c>
      <c r="AH9">
        <v>0</v>
      </c>
      <c r="AI9">
        <v>38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38</v>
      </c>
      <c r="AT9" s="1">
        <v>863740</v>
      </c>
      <c r="AU9">
        <v>0</v>
      </c>
      <c r="AV9" s="1">
        <v>4054828</v>
      </c>
      <c r="AW9" s="1">
        <v>4918568</v>
      </c>
      <c r="AX9">
        <v>0</v>
      </c>
      <c r="AY9">
        <v>0</v>
      </c>
      <c r="AZ9" s="1">
        <v>250884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s="1">
        <v>250884</v>
      </c>
      <c r="BL9" s="1">
        <v>5929917</v>
      </c>
      <c r="BM9" s="1">
        <v>5230804</v>
      </c>
      <c r="BN9" s="1">
        <v>699113</v>
      </c>
      <c r="BO9">
        <v>31</v>
      </c>
      <c r="BP9" s="1">
        <v>-42577482</v>
      </c>
      <c r="BQ9">
        <v>-999.99</v>
      </c>
      <c r="BR9">
        <v>15.1</v>
      </c>
      <c r="BS9">
        <v>0</v>
      </c>
    </row>
    <row r="10" spans="1:71" x14ac:dyDescent="0.3">
      <c r="A10" t="s">
        <v>124</v>
      </c>
      <c r="B10" t="s">
        <v>128</v>
      </c>
      <c r="C10" s="3" t="s">
        <v>135</v>
      </c>
      <c r="D10" t="s">
        <v>103</v>
      </c>
      <c r="E10" t="s">
        <v>74</v>
      </c>
      <c r="F10">
        <v>34</v>
      </c>
      <c r="G10" s="1">
        <v>23706000</v>
      </c>
      <c r="H10">
        <v>0</v>
      </c>
      <c r="I10">
        <v>0</v>
      </c>
      <c r="J10">
        <v>0</v>
      </c>
      <c r="K10">
        <v>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</v>
      </c>
      <c r="AH10">
        <v>0</v>
      </c>
      <c r="AI10">
        <v>24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24</v>
      </c>
      <c r="AT10" s="1">
        <v>545520</v>
      </c>
      <c r="AU10">
        <v>0</v>
      </c>
      <c r="AV10" s="1">
        <v>4622496</v>
      </c>
      <c r="AW10" s="1">
        <v>5168016</v>
      </c>
      <c r="AX10">
        <v>0</v>
      </c>
      <c r="AY10">
        <v>0</v>
      </c>
      <c r="AZ10" s="1">
        <v>167256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s="1">
        <v>167256</v>
      </c>
      <c r="BL10" s="1">
        <v>3953275</v>
      </c>
      <c r="BM10" s="1">
        <v>3487201</v>
      </c>
      <c r="BN10" s="1">
        <v>466074</v>
      </c>
      <c r="BO10">
        <v>31</v>
      </c>
      <c r="BP10" s="1">
        <v>-18808701</v>
      </c>
      <c r="BQ10">
        <v>-999.99</v>
      </c>
      <c r="BR10">
        <v>10.199999999999999</v>
      </c>
      <c r="BS10">
        <v>0</v>
      </c>
    </row>
    <row r="11" spans="1:71" x14ac:dyDescent="0.3">
      <c r="A11" t="s">
        <v>124</v>
      </c>
      <c r="B11" t="s">
        <v>131</v>
      </c>
      <c r="C11" s="3" t="s">
        <v>136</v>
      </c>
      <c r="D11" t="s">
        <v>106</v>
      </c>
      <c r="E11" t="s">
        <v>74</v>
      </c>
      <c r="F11">
        <v>64</v>
      </c>
      <c r="G11" s="1">
        <v>36484000</v>
      </c>
      <c r="H11">
        <v>0</v>
      </c>
      <c r="I11">
        <v>0</v>
      </c>
      <c r="J11">
        <v>0</v>
      </c>
      <c r="K11">
        <v>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21</v>
      </c>
      <c r="AH11">
        <v>0</v>
      </c>
      <c r="AI11">
        <v>84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84</v>
      </c>
      <c r="AT11" s="1">
        <v>1909320</v>
      </c>
      <c r="AU11">
        <v>0</v>
      </c>
      <c r="AV11" s="1">
        <v>344820</v>
      </c>
      <c r="AW11" s="1">
        <v>2254140</v>
      </c>
      <c r="AX11">
        <v>0</v>
      </c>
      <c r="AY11">
        <v>0</v>
      </c>
      <c r="AZ11" s="1">
        <v>585396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s="1">
        <v>585396</v>
      </c>
      <c r="BL11" s="1">
        <v>13836474</v>
      </c>
      <c r="BM11" s="1">
        <v>12205211</v>
      </c>
      <c r="BN11" s="1">
        <v>1631263</v>
      </c>
      <c r="BO11">
        <v>31</v>
      </c>
      <c r="BP11" s="1">
        <v>-27110648</v>
      </c>
      <c r="BQ11">
        <v>-4.42</v>
      </c>
      <c r="BR11">
        <v>32.799999999999997</v>
      </c>
      <c r="BS11">
        <v>0</v>
      </c>
    </row>
    <row r="12" spans="1:71" x14ac:dyDescent="0.3">
      <c r="A12" t="s">
        <v>124</v>
      </c>
      <c r="B12" t="s">
        <v>129</v>
      </c>
      <c r="C12" s="3" t="s">
        <v>137</v>
      </c>
      <c r="D12" t="s">
        <v>109</v>
      </c>
      <c r="E12" t="s">
        <v>74</v>
      </c>
      <c r="F12">
        <v>150</v>
      </c>
      <c r="G12" s="1">
        <v>65466000</v>
      </c>
      <c r="H12">
        <v>0</v>
      </c>
      <c r="I12">
        <v>0</v>
      </c>
      <c r="J12">
        <v>0</v>
      </c>
      <c r="K12">
        <v>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</v>
      </c>
      <c r="AH12">
        <v>0</v>
      </c>
      <c r="AI12">
        <v>48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48</v>
      </c>
      <c r="AT12" s="1">
        <v>1091040</v>
      </c>
      <c r="AU12">
        <v>0</v>
      </c>
      <c r="AV12" s="1">
        <v>13031952</v>
      </c>
      <c r="AW12" s="1">
        <v>14122992</v>
      </c>
      <c r="AX12">
        <v>0</v>
      </c>
      <c r="AY12">
        <v>0</v>
      </c>
      <c r="AZ12" s="1">
        <v>306636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s="1">
        <v>306636</v>
      </c>
      <c r="BL12" s="1">
        <v>7247673</v>
      </c>
      <c r="BM12" s="1">
        <v>6393204</v>
      </c>
      <c r="BN12" s="1">
        <v>854469</v>
      </c>
      <c r="BO12">
        <v>31</v>
      </c>
      <c r="BP12" s="1">
        <v>-69872148</v>
      </c>
      <c r="BQ12">
        <v>-999.99</v>
      </c>
      <c r="BR12">
        <v>8</v>
      </c>
      <c r="BS12">
        <v>0</v>
      </c>
    </row>
    <row r="13" spans="1:71" x14ac:dyDescent="0.3">
      <c r="A13" t="s">
        <v>124</v>
      </c>
      <c r="B13" t="s">
        <v>128</v>
      </c>
      <c r="C13" s="3" t="s">
        <v>138</v>
      </c>
      <c r="D13" t="s">
        <v>111</v>
      </c>
      <c r="E13" t="s">
        <v>74</v>
      </c>
      <c r="F13">
        <v>90</v>
      </c>
      <c r="G13" s="1">
        <v>49331000</v>
      </c>
      <c r="H13">
        <v>0</v>
      </c>
      <c r="I13">
        <v>0</v>
      </c>
      <c r="J13">
        <v>0</v>
      </c>
      <c r="K13">
        <v>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16</v>
      </c>
      <c r="AH13">
        <v>0</v>
      </c>
      <c r="AI13">
        <v>64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64</v>
      </c>
      <c r="AT13" s="1">
        <v>1454720</v>
      </c>
      <c r="AU13">
        <v>0</v>
      </c>
      <c r="AV13" s="1">
        <v>4844864</v>
      </c>
      <c r="AW13" s="1">
        <v>6299584</v>
      </c>
      <c r="AX13">
        <v>0</v>
      </c>
      <c r="AY13">
        <v>0</v>
      </c>
      <c r="AZ13" s="1">
        <v>446016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s="1">
        <v>446016</v>
      </c>
      <c r="BL13" s="1">
        <v>10542070</v>
      </c>
      <c r="BM13" s="1">
        <v>9299206</v>
      </c>
      <c r="BN13" s="1">
        <v>1242864</v>
      </c>
      <c r="BO13">
        <v>31</v>
      </c>
      <c r="BP13" s="1">
        <v>-44978947</v>
      </c>
      <c r="BQ13">
        <v>-999.99</v>
      </c>
      <c r="BR13">
        <v>17.8</v>
      </c>
      <c r="BS13">
        <v>0</v>
      </c>
    </row>
    <row r="14" spans="1:71" x14ac:dyDescent="0.3">
      <c r="A14" t="s">
        <v>124</v>
      </c>
      <c r="B14" t="s">
        <v>129</v>
      </c>
      <c r="C14" s="3" t="s">
        <v>139</v>
      </c>
      <c r="D14" t="s">
        <v>113</v>
      </c>
      <c r="E14" t="s">
        <v>74</v>
      </c>
      <c r="F14">
        <v>54</v>
      </c>
      <c r="G14" s="1">
        <v>38837000</v>
      </c>
      <c r="H14">
        <v>0</v>
      </c>
      <c r="I14">
        <v>0</v>
      </c>
      <c r="J14">
        <v>0</v>
      </c>
      <c r="K14">
        <v>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18</v>
      </c>
      <c r="AH14">
        <v>0</v>
      </c>
      <c r="AI14">
        <v>72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72</v>
      </c>
      <c r="AT14" s="1">
        <v>1636560</v>
      </c>
      <c r="AU14">
        <v>0</v>
      </c>
      <c r="AV14" s="1">
        <v>2533752</v>
      </c>
      <c r="AW14" s="1">
        <v>4170312</v>
      </c>
      <c r="AX14">
        <v>0</v>
      </c>
      <c r="AY14">
        <v>0</v>
      </c>
      <c r="AZ14" s="1">
        <v>501768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s="1">
        <v>501768</v>
      </c>
      <c r="BL14" s="1">
        <v>11859830</v>
      </c>
      <c r="BM14" s="1">
        <v>10461607</v>
      </c>
      <c r="BN14" s="1">
        <v>1398223</v>
      </c>
      <c r="BO14">
        <v>31</v>
      </c>
      <c r="BP14" s="1">
        <v>-27615314</v>
      </c>
      <c r="BQ14">
        <v>-4.53</v>
      </c>
      <c r="BR14">
        <v>24</v>
      </c>
      <c r="BS14">
        <v>0</v>
      </c>
    </row>
    <row r="15" spans="1:71" x14ac:dyDescent="0.3">
      <c r="A15" t="s">
        <v>124</v>
      </c>
      <c r="B15" t="s">
        <v>123</v>
      </c>
      <c r="C15" s="3" t="s">
        <v>142</v>
      </c>
      <c r="D15" t="s">
        <v>119</v>
      </c>
      <c r="E15" t="s">
        <v>74</v>
      </c>
      <c r="F15">
        <v>50</v>
      </c>
      <c r="G15" s="1">
        <v>43611000</v>
      </c>
      <c r="H15">
        <v>0</v>
      </c>
      <c r="I15">
        <v>0</v>
      </c>
      <c r="J15">
        <v>0</v>
      </c>
      <c r="K15">
        <v>10</v>
      </c>
      <c r="L15">
        <v>0</v>
      </c>
      <c r="M15">
        <v>0</v>
      </c>
      <c r="N15">
        <v>0</v>
      </c>
      <c r="O15">
        <v>0</v>
      </c>
      <c r="P15">
        <v>1</v>
      </c>
      <c r="Q15" s="1">
        <v>16306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11</v>
      </c>
      <c r="AH15">
        <v>0</v>
      </c>
      <c r="AI15">
        <v>40</v>
      </c>
      <c r="AJ15">
        <v>0</v>
      </c>
      <c r="AK15">
        <v>10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50</v>
      </c>
      <c r="AT15" s="1">
        <v>1136500</v>
      </c>
      <c r="AU15">
        <v>0</v>
      </c>
      <c r="AV15" s="1">
        <v>1231400</v>
      </c>
      <c r="AW15" s="1">
        <v>2367900</v>
      </c>
      <c r="AX15">
        <v>0</v>
      </c>
      <c r="AY15">
        <v>0</v>
      </c>
      <c r="AZ15" s="1">
        <v>278760</v>
      </c>
      <c r="BA15">
        <v>0</v>
      </c>
      <c r="BB15" s="1">
        <v>195681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s="1">
        <v>474441</v>
      </c>
      <c r="BL15" s="1">
        <v>11047211</v>
      </c>
      <c r="BM15" s="1">
        <v>9547632</v>
      </c>
      <c r="BN15" s="1">
        <v>1499579</v>
      </c>
      <c r="BO15">
        <v>31</v>
      </c>
      <c r="BP15" s="1">
        <v>-32177653</v>
      </c>
      <c r="BQ15">
        <v>-4.13</v>
      </c>
      <c r="BR15">
        <v>25</v>
      </c>
      <c r="BS15">
        <v>0</v>
      </c>
    </row>
    <row r="16" spans="1:71" x14ac:dyDescent="0.3">
      <c r="A16" t="s">
        <v>145</v>
      </c>
      <c r="B16" t="s">
        <v>146</v>
      </c>
      <c r="C16" s="4" t="s">
        <v>144</v>
      </c>
      <c r="F16">
        <v>172</v>
      </c>
      <c r="G16" s="1">
        <v>153713000</v>
      </c>
      <c r="I16">
        <v>2542</v>
      </c>
      <c r="Q16" s="1"/>
      <c r="AG16">
        <v>2542</v>
      </c>
      <c r="AI16">
        <v>10168</v>
      </c>
      <c r="AS16">
        <v>10168</v>
      </c>
      <c r="AT16" s="6">
        <v>231118640</v>
      </c>
      <c r="AU16" s="7"/>
      <c r="AV16" s="6"/>
      <c r="AW16" s="6">
        <v>231118640</v>
      </c>
      <c r="AZ16" s="1">
        <v>66559728</v>
      </c>
      <c r="BB16" s="1"/>
      <c r="BK16" s="1">
        <v>66559728</v>
      </c>
      <c r="BL16" s="1">
        <v>1573212386</v>
      </c>
      <c r="BM16" s="1">
        <v>1387737048</v>
      </c>
      <c r="BN16" s="1">
        <v>185475338</v>
      </c>
      <c r="BO16">
        <v>4</v>
      </c>
      <c r="BP16" s="1">
        <v>1740264041.9472842</v>
      </c>
      <c r="BQ16">
        <v>52.056018389181993</v>
      </c>
      <c r="BR16">
        <v>1477.9069767441861</v>
      </c>
    </row>
    <row r="17" spans="3:69" x14ac:dyDescent="0.3">
      <c r="C17" s="4"/>
      <c r="G17" s="1"/>
      <c r="Q17" s="1"/>
      <c r="AT17" s="1"/>
      <c r="AV17" s="1"/>
      <c r="AW17" s="1"/>
      <c r="AZ17" s="1"/>
      <c r="BB17" s="1"/>
      <c r="BK17" s="1"/>
      <c r="BL17" s="1"/>
      <c r="BM17" s="1"/>
      <c r="BN17" s="1"/>
      <c r="BP17" s="1"/>
    </row>
    <row r="18" spans="3:69" x14ac:dyDescent="0.3">
      <c r="F18" s="1">
        <f>SUM(F5:F16)</f>
        <v>1358</v>
      </c>
      <c r="G18" s="1">
        <f>SUM(G5:G16)</f>
        <v>1126967000</v>
      </c>
      <c r="BP18" s="1">
        <f>SUM(BP5:BP16)</f>
        <v>7327394014.9472847</v>
      </c>
    </row>
    <row r="19" spans="3:69" x14ac:dyDescent="0.3">
      <c r="E19" t="s">
        <v>122</v>
      </c>
      <c r="F19" s="1">
        <f t="shared" ref="F19:G21" si="0">F5</f>
        <v>25</v>
      </c>
      <c r="G19" s="1">
        <f t="shared" si="0"/>
        <v>63179000</v>
      </c>
      <c r="BO19" t="s">
        <v>122</v>
      </c>
      <c r="BP19" s="1">
        <f>BP5</f>
        <v>1363230703</v>
      </c>
    </row>
    <row r="20" spans="3:69" x14ac:dyDescent="0.3">
      <c r="E20" t="s">
        <v>127</v>
      </c>
      <c r="F20" s="1">
        <f t="shared" si="0"/>
        <v>470</v>
      </c>
      <c r="G20" s="1">
        <f t="shared" si="0"/>
        <v>474456000</v>
      </c>
      <c r="BO20" t="s">
        <v>127</v>
      </c>
      <c r="BP20" s="1">
        <f>BP6</f>
        <v>4558036087</v>
      </c>
    </row>
    <row r="21" spans="3:69" x14ac:dyDescent="0.3">
      <c r="E21" t="s">
        <v>126</v>
      </c>
      <c r="F21" s="1">
        <f t="shared" si="0"/>
        <v>35</v>
      </c>
      <c r="G21" s="1">
        <f t="shared" si="0"/>
        <v>61362000</v>
      </c>
      <c r="BO21" t="s">
        <v>126</v>
      </c>
      <c r="BP21" s="1">
        <f>BP7</f>
        <v>632006</v>
      </c>
    </row>
    <row r="22" spans="3:69" x14ac:dyDescent="0.3">
      <c r="E22" t="s">
        <v>124</v>
      </c>
      <c r="F22" s="1">
        <f>SUM(F8:F15)</f>
        <v>656</v>
      </c>
      <c r="G22" s="1">
        <f>SUM(G8:G15)</f>
        <v>374257000</v>
      </c>
      <c r="BO22" t="s">
        <v>124</v>
      </c>
      <c r="BP22" s="1">
        <f>SUM(BP8:BP15)</f>
        <v>-334768823</v>
      </c>
    </row>
    <row r="23" spans="3:69" x14ac:dyDescent="0.3">
      <c r="E23" t="s">
        <v>145</v>
      </c>
      <c r="F23" s="1">
        <f>F16</f>
        <v>172</v>
      </c>
      <c r="G23" s="1">
        <f>G16</f>
        <v>153713000</v>
      </c>
      <c r="BO23" t="s">
        <v>145</v>
      </c>
      <c r="BP23" s="1">
        <f>BP16</f>
        <v>1740264041.9472842</v>
      </c>
    </row>
    <row r="24" spans="3:69" x14ac:dyDescent="0.3">
      <c r="F24" s="1">
        <f>SUM(F19:F23)</f>
        <v>1358</v>
      </c>
      <c r="G24" s="1">
        <f>SUM(G19:G23)</f>
        <v>1126967000</v>
      </c>
      <c r="H24" t="b">
        <f>G24=G18</f>
        <v>1</v>
      </c>
      <c r="BP24" s="1">
        <f>SUM(BP19:BP23)</f>
        <v>7327394014.9472847</v>
      </c>
      <c r="BQ24" t="b">
        <f>BP24=BP18</f>
        <v>1</v>
      </c>
    </row>
    <row r="25" spans="3:69" x14ac:dyDescent="0.3">
      <c r="E25" t="s">
        <v>143</v>
      </c>
      <c r="F25" s="5">
        <f>F18-F22</f>
        <v>702</v>
      </c>
      <c r="G25" s="5">
        <f>G18-G22</f>
        <v>752710000</v>
      </c>
      <c r="H25" t="b">
        <f>(G18-G22)=G25</f>
        <v>1</v>
      </c>
      <c r="BO25" t="s">
        <v>143</v>
      </c>
      <c r="BP25" s="5">
        <f>BP18-BP22</f>
        <v>7662162837.9472847</v>
      </c>
      <c r="BQ25" t="b">
        <f>(BP18-BP22)=BP25</f>
        <v>1</v>
      </c>
    </row>
  </sheetData>
  <sortState xmlns:xlrd2="http://schemas.microsoft.com/office/spreadsheetml/2017/richdata2" ref="A6:BS15">
    <sortCondition ref="A8:A15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5EEF-E10F-4080-90BF-7FF1731DF794}">
  <dimension ref="A1:BR50"/>
  <sheetViews>
    <sheetView workbookViewId="0"/>
  </sheetViews>
  <sheetFormatPr defaultRowHeight="16.5" x14ac:dyDescent="0.3"/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O1" t="s">
        <v>6</v>
      </c>
      <c r="X1" t="s">
        <v>7</v>
      </c>
      <c r="Z1" t="s">
        <v>8</v>
      </c>
      <c r="AB1" t="s">
        <v>9</v>
      </c>
      <c r="AD1" t="s">
        <v>10</v>
      </c>
      <c r="AF1" t="s">
        <v>11</v>
      </c>
      <c r="AG1" t="s">
        <v>12</v>
      </c>
      <c r="AR1" t="s">
        <v>13</v>
      </c>
      <c r="AS1" t="s">
        <v>14</v>
      </c>
      <c r="AW1" t="s">
        <v>15</v>
      </c>
      <c r="AX1" t="s">
        <v>16</v>
      </c>
      <c r="BK1" t="s">
        <v>17</v>
      </c>
      <c r="BL1" t="s">
        <v>18</v>
      </c>
      <c r="BM1" t="s">
        <v>19</v>
      </c>
      <c r="BN1" t="s">
        <v>20</v>
      </c>
    </row>
    <row r="2" spans="1:70" x14ac:dyDescent="0.3">
      <c r="E2" t="s">
        <v>21</v>
      </c>
      <c r="F2" t="s">
        <v>22</v>
      </c>
      <c r="G2" t="s">
        <v>23</v>
      </c>
      <c r="I2" t="s">
        <v>24</v>
      </c>
      <c r="K2" t="s">
        <v>25</v>
      </c>
      <c r="M2" t="s">
        <v>26</v>
      </c>
      <c r="O2" t="s">
        <v>27</v>
      </c>
      <c r="Q2" t="s">
        <v>28</v>
      </c>
      <c r="S2" t="s">
        <v>29</v>
      </c>
      <c r="U2" t="s">
        <v>30</v>
      </c>
      <c r="AG2" t="s">
        <v>31</v>
      </c>
      <c r="AJ2" t="s">
        <v>32</v>
      </c>
      <c r="AX2" t="s">
        <v>33</v>
      </c>
      <c r="BA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</row>
    <row r="4" spans="1:70" x14ac:dyDescent="0.3">
      <c r="G4" t="s">
        <v>45</v>
      </c>
      <c r="H4" t="s">
        <v>46</v>
      </c>
      <c r="I4" t="s">
        <v>45</v>
      </c>
      <c r="J4" t="s">
        <v>46</v>
      </c>
      <c r="K4" t="s">
        <v>45</v>
      </c>
      <c r="L4" t="s">
        <v>46</v>
      </c>
      <c r="M4" t="s">
        <v>47</v>
      </c>
      <c r="N4" t="s">
        <v>48</v>
      </c>
      <c r="O4" t="s">
        <v>47</v>
      </c>
      <c r="P4" t="s">
        <v>48</v>
      </c>
      <c r="Q4" t="s">
        <v>47</v>
      </c>
      <c r="R4" t="s">
        <v>48</v>
      </c>
      <c r="S4" t="s">
        <v>47</v>
      </c>
      <c r="T4" t="s">
        <v>49</v>
      </c>
      <c r="U4" t="s">
        <v>47</v>
      </c>
      <c r="V4" t="s">
        <v>49</v>
      </c>
      <c r="W4" t="s">
        <v>50</v>
      </c>
      <c r="X4" t="s">
        <v>47</v>
      </c>
      <c r="Y4" t="s">
        <v>48</v>
      </c>
      <c r="Z4" t="s">
        <v>47</v>
      </c>
      <c r="AA4" t="s">
        <v>48</v>
      </c>
      <c r="AB4" t="s">
        <v>47</v>
      </c>
      <c r="AC4" t="s">
        <v>48</v>
      </c>
      <c r="AD4" t="s">
        <v>47</v>
      </c>
      <c r="AE4" t="s">
        <v>48</v>
      </c>
      <c r="AG4" t="s">
        <v>45</v>
      </c>
      <c r="AH4" t="s">
        <v>46</v>
      </c>
      <c r="AI4" t="s">
        <v>51</v>
      </c>
      <c r="AJ4" t="s">
        <v>52</v>
      </c>
      <c r="AK4" t="s">
        <v>53</v>
      </c>
      <c r="AL4" t="s">
        <v>29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S4" t="s">
        <v>59</v>
      </c>
      <c r="AT4" t="s">
        <v>60</v>
      </c>
      <c r="AU4" t="s">
        <v>61</v>
      </c>
      <c r="AV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70" x14ac:dyDescent="0.3">
      <c r="A5" t="s">
        <v>71</v>
      </c>
      <c r="B5">
        <v>10011491</v>
      </c>
      <c r="C5" t="s">
        <v>72</v>
      </c>
      <c r="D5" t="s">
        <v>73</v>
      </c>
      <c r="E5">
        <v>143</v>
      </c>
      <c r="F5" s="1">
        <v>51077655</v>
      </c>
      <c r="G5">
        <v>0</v>
      </c>
      <c r="H5">
        <v>278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278</v>
      </c>
      <c r="AG5">
        <v>0</v>
      </c>
      <c r="AH5" s="1">
        <v>1112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1">
        <v>1112</v>
      </c>
      <c r="AS5" s="1">
        <v>25275760</v>
      </c>
      <c r="AT5">
        <v>0</v>
      </c>
      <c r="AU5">
        <v>0</v>
      </c>
      <c r="AV5" s="1">
        <v>25275760</v>
      </c>
      <c r="AW5">
        <v>0</v>
      </c>
      <c r="AX5">
        <v>0</v>
      </c>
      <c r="AY5" s="1">
        <v>7279152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">
        <v>7279152</v>
      </c>
      <c r="BK5" s="1">
        <v>172050764</v>
      </c>
      <c r="BL5" s="1">
        <v>151766679</v>
      </c>
      <c r="BM5" s="1">
        <v>20284085</v>
      </c>
      <c r="BN5">
        <v>2</v>
      </c>
      <c r="BO5" s="1">
        <v>181144385</v>
      </c>
      <c r="BP5">
        <v>57.77</v>
      </c>
      <c r="BQ5">
        <v>179.4</v>
      </c>
      <c r="BR5">
        <v>0</v>
      </c>
    </row>
    <row r="6" spans="1:70" x14ac:dyDescent="0.3">
      <c r="A6" t="s">
        <v>71</v>
      </c>
      <c r="B6">
        <v>10011491</v>
      </c>
      <c r="C6" t="s">
        <v>72</v>
      </c>
      <c r="D6" t="s">
        <v>74</v>
      </c>
      <c r="E6">
        <v>142</v>
      </c>
      <c r="F6" s="1">
        <v>132410000</v>
      </c>
      <c r="G6">
        <v>0</v>
      </c>
      <c r="H6">
        <v>278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278</v>
      </c>
      <c r="AG6">
        <v>0</v>
      </c>
      <c r="AH6" s="1">
        <v>1112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1">
        <v>1112</v>
      </c>
      <c r="AS6" s="1">
        <v>25275760</v>
      </c>
      <c r="AT6">
        <v>0</v>
      </c>
      <c r="AU6">
        <v>0</v>
      </c>
      <c r="AV6" s="1">
        <v>25275760</v>
      </c>
      <c r="AW6">
        <v>0</v>
      </c>
      <c r="AX6">
        <v>0</v>
      </c>
      <c r="AY6" s="1">
        <v>7279152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1">
        <v>7279152</v>
      </c>
      <c r="BK6" s="1">
        <v>172050764</v>
      </c>
      <c r="BL6" s="1">
        <v>151766679</v>
      </c>
      <c r="BM6" s="1">
        <v>20284085</v>
      </c>
      <c r="BN6">
        <v>10</v>
      </c>
      <c r="BO6" s="1">
        <v>101085840</v>
      </c>
      <c r="BP6">
        <v>14.07</v>
      </c>
      <c r="BQ6">
        <v>179.4</v>
      </c>
      <c r="BR6">
        <v>0</v>
      </c>
    </row>
    <row r="7" spans="1:70" x14ac:dyDescent="0.3">
      <c r="A7" t="s">
        <v>75</v>
      </c>
      <c r="B7">
        <v>10011492</v>
      </c>
      <c r="C7" t="s">
        <v>76</v>
      </c>
      <c r="D7" t="s">
        <v>73</v>
      </c>
      <c r="E7">
        <v>49</v>
      </c>
      <c r="F7" s="1">
        <v>25085599</v>
      </c>
      <c r="G7">
        <v>0</v>
      </c>
      <c r="H7">
        <v>355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355</v>
      </c>
      <c r="AG7">
        <v>0</v>
      </c>
      <c r="AH7" s="1">
        <v>1420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1">
        <v>1420</v>
      </c>
      <c r="AS7" s="1">
        <v>32276600</v>
      </c>
      <c r="AT7">
        <v>0</v>
      </c>
      <c r="AU7">
        <v>0</v>
      </c>
      <c r="AV7" s="1">
        <v>32276600</v>
      </c>
      <c r="AW7">
        <v>0</v>
      </c>
      <c r="AX7">
        <v>0</v>
      </c>
      <c r="AY7" s="1">
        <v>9295320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1">
        <v>9295320</v>
      </c>
      <c r="BK7" s="1">
        <v>219705113</v>
      </c>
      <c r="BL7" s="1">
        <v>193802774</v>
      </c>
      <c r="BM7" s="1">
        <v>25902339</v>
      </c>
      <c r="BN7">
        <v>1</v>
      </c>
      <c r="BO7" s="1">
        <v>293116931</v>
      </c>
      <c r="BP7" t="s">
        <v>77</v>
      </c>
      <c r="BQ7">
        <v>724.5</v>
      </c>
      <c r="BR7">
        <v>0</v>
      </c>
    </row>
    <row r="8" spans="1:70" x14ac:dyDescent="0.3">
      <c r="A8" t="s">
        <v>75</v>
      </c>
      <c r="B8">
        <v>10011492</v>
      </c>
      <c r="C8" t="s">
        <v>76</v>
      </c>
      <c r="D8" t="s">
        <v>74</v>
      </c>
      <c r="E8">
        <v>49</v>
      </c>
      <c r="F8" s="1">
        <v>67366000</v>
      </c>
      <c r="G8">
        <v>0</v>
      </c>
      <c r="H8">
        <v>355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355</v>
      </c>
      <c r="AG8">
        <v>0</v>
      </c>
      <c r="AH8" s="1">
        <v>1420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1">
        <v>1420</v>
      </c>
      <c r="AS8" s="1">
        <v>32276600</v>
      </c>
      <c r="AT8">
        <v>0</v>
      </c>
      <c r="AU8">
        <v>0</v>
      </c>
      <c r="AV8" s="1">
        <v>32276600</v>
      </c>
      <c r="AW8">
        <v>0</v>
      </c>
      <c r="AX8">
        <v>0</v>
      </c>
      <c r="AY8" s="1">
        <v>9295320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">
        <v>9295320</v>
      </c>
      <c r="BK8" s="1">
        <v>219705113</v>
      </c>
      <c r="BL8" s="1">
        <v>193802774</v>
      </c>
      <c r="BM8" s="1">
        <v>25902339</v>
      </c>
      <c r="BN8">
        <v>2</v>
      </c>
      <c r="BO8" s="1">
        <v>251218082</v>
      </c>
      <c r="BP8">
        <v>60.23</v>
      </c>
      <c r="BQ8">
        <v>724.5</v>
      </c>
      <c r="BR8">
        <v>0</v>
      </c>
    </row>
    <row r="9" spans="1:70" x14ac:dyDescent="0.3">
      <c r="A9" t="s">
        <v>78</v>
      </c>
      <c r="B9">
        <v>10011493</v>
      </c>
      <c r="C9" t="s">
        <v>79</v>
      </c>
      <c r="D9" t="s">
        <v>73</v>
      </c>
      <c r="E9">
        <v>150</v>
      </c>
      <c r="F9" s="1">
        <v>90000000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</v>
      </c>
      <c r="P9" s="1">
        <v>150370</v>
      </c>
      <c r="Q9">
        <v>0</v>
      </c>
      <c r="R9">
        <v>0</v>
      </c>
      <c r="S9">
        <v>0</v>
      </c>
      <c r="T9">
        <v>0</v>
      </c>
      <c r="U9">
        <v>1</v>
      </c>
      <c r="V9" s="1">
        <v>56716</v>
      </c>
      <c r="W9" s="1">
        <v>70895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  <c r="AG9">
        <v>0</v>
      </c>
      <c r="AH9">
        <v>0</v>
      </c>
      <c r="AI9">
        <v>0</v>
      </c>
      <c r="AJ9">
        <v>111</v>
      </c>
      <c r="AK9">
        <v>0</v>
      </c>
      <c r="AL9">
        <v>0</v>
      </c>
      <c r="AM9">
        <v>92</v>
      </c>
      <c r="AN9">
        <v>0</v>
      </c>
      <c r="AO9">
        <v>0</v>
      </c>
      <c r="AP9">
        <v>0</v>
      </c>
      <c r="AQ9">
        <v>0</v>
      </c>
      <c r="AR9">
        <v>203</v>
      </c>
      <c r="AS9" s="1">
        <v>4614190</v>
      </c>
      <c r="AT9">
        <v>0</v>
      </c>
      <c r="AU9">
        <v>0</v>
      </c>
      <c r="AV9" s="1">
        <v>4614190</v>
      </c>
      <c r="AW9">
        <v>0</v>
      </c>
      <c r="AX9">
        <v>0</v>
      </c>
      <c r="AY9">
        <v>0</v>
      </c>
      <c r="AZ9">
        <v>0</v>
      </c>
      <c r="BA9" s="1">
        <v>1804443</v>
      </c>
      <c r="BB9">
        <v>0</v>
      </c>
      <c r="BC9">
        <v>0</v>
      </c>
      <c r="BD9" s="1">
        <v>680595</v>
      </c>
      <c r="BE9" s="1">
        <v>850744</v>
      </c>
      <c r="BF9">
        <v>0</v>
      </c>
      <c r="BG9">
        <v>0</v>
      </c>
      <c r="BH9">
        <v>0</v>
      </c>
      <c r="BI9">
        <v>0</v>
      </c>
      <c r="BJ9" s="1">
        <v>3335782</v>
      </c>
      <c r="BK9" s="1">
        <v>64118462</v>
      </c>
      <c r="BL9" s="1">
        <v>53494550</v>
      </c>
      <c r="BM9" s="1">
        <v>10623912</v>
      </c>
      <c r="BN9">
        <v>29</v>
      </c>
      <c r="BO9" s="1">
        <v>1282236</v>
      </c>
      <c r="BP9">
        <v>6.29</v>
      </c>
      <c r="BQ9">
        <v>36</v>
      </c>
      <c r="BR9">
        <v>0</v>
      </c>
    </row>
    <row r="10" spans="1:70" x14ac:dyDescent="0.3">
      <c r="A10" t="s">
        <v>78</v>
      </c>
      <c r="B10">
        <v>10011493</v>
      </c>
      <c r="C10" t="s">
        <v>79</v>
      </c>
      <c r="D10" t="s">
        <v>74</v>
      </c>
      <c r="E10">
        <v>141</v>
      </c>
      <c r="F10" s="1">
        <v>90497000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</v>
      </c>
      <c r="P10" s="1">
        <v>150370</v>
      </c>
      <c r="Q10">
        <v>0</v>
      </c>
      <c r="R10">
        <v>0</v>
      </c>
      <c r="S10">
        <v>0</v>
      </c>
      <c r="T10">
        <v>0</v>
      </c>
      <c r="U10">
        <v>1</v>
      </c>
      <c r="V10" s="1">
        <v>56716</v>
      </c>
      <c r="W10" s="1">
        <v>70895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</v>
      </c>
      <c r="AG10">
        <v>0</v>
      </c>
      <c r="AH10">
        <v>0</v>
      </c>
      <c r="AI10">
        <v>0</v>
      </c>
      <c r="AJ10">
        <v>111</v>
      </c>
      <c r="AK10">
        <v>0</v>
      </c>
      <c r="AL10">
        <v>0</v>
      </c>
      <c r="AM10">
        <v>92</v>
      </c>
      <c r="AN10">
        <v>0</v>
      </c>
      <c r="AO10">
        <v>0</v>
      </c>
      <c r="AP10">
        <v>0</v>
      </c>
      <c r="AQ10">
        <v>0</v>
      </c>
      <c r="AR10">
        <v>203</v>
      </c>
      <c r="AS10" s="1">
        <v>4614190</v>
      </c>
      <c r="AT10">
        <v>0</v>
      </c>
      <c r="AU10">
        <v>0</v>
      </c>
      <c r="AV10" s="1">
        <v>4614190</v>
      </c>
      <c r="AW10">
        <v>0</v>
      </c>
      <c r="AX10">
        <v>0</v>
      </c>
      <c r="AY10">
        <v>0</v>
      </c>
      <c r="AZ10">
        <v>0</v>
      </c>
      <c r="BA10" s="1">
        <v>1804443</v>
      </c>
      <c r="BB10">
        <v>0</v>
      </c>
      <c r="BC10">
        <v>0</v>
      </c>
      <c r="BD10" s="1">
        <v>680595</v>
      </c>
      <c r="BE10" s="1">
        <v>850744</v>
      </c>
      <c r="BF10">
        <v>0</v>
      </c>
      <c r="BG10">
        <v>0</v>
      </c>
      <c r="BH10">
        <v>0</v>
      </c>
      <c r="BI10">
        <v>0</v>
      </c>
      <c r="BJ10" s="1">
        <v>3335782</v>
      </c>
      <c r="BK10" s="1">
        <v>67290842</v>
      </c>
      <c r="BL10" s="1">
        <v>56121029</v>
      </c>
      <c r="BM10" s="1">
        <v>11169813</v>
      </c>
      <c r="BN10">
        <v>24</v>
      </c>
      <c r="BO10" s="1">
        <v>8284991</v>
      </c>
      <c r="BP10">
        <v>7.04</v>
      </c>
      <c r="BQ10">
        <v>36</v>
      </c>
      <c r="BR10">
        <v>0</v>
      </c>
    </row>
    <row r="11" spans="1:70" x14ac:dyDescent="0.3">
      <c r="A11" t="s">
        <v>80</v>
      </c>
      <c r="B11">
        <v>10011494</v>
      </c>
      <c r="D11" t="s">
        <v>73</v>
      </c>
      <c r="F11" s="1">
        <v>5852000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</v>
      </c>
      <c r="AS11" s="1">
        <v>90920</v>
      </c>
      <c r="AT11">
        <v>0</v>
      </c>
      <c r="AU11" s="1">
        <v>1233396</v>
      </c>
      <c r="AV11" s="1">
        <v>1324316</v>
      </c>
      <c r="AW11">
        <v>0</v>
      </c>
      <c r="AX11">
        <v>0</v>
      </c>
      <c r="AY11" s="1">
        <v>27876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">
        <v>27876</v>
      </c>
      <c r="BK11" s="1">
        <v>658879</v>
      </c>
      <c r="BL11" s="1">
        <v>581200</v>
      </c>
      <c r="BM11" s="1">
        <v>77679</v>
      </c>
      <c r="BN11">
        <v>1</v>
      </c>
      <c r="BO11" s="1">
        <v>2205867</v>
      </c>
      <c r="BP11">
        <v>-4.75</v>
      </c>
      <c r="BQ11">
        <v>7.1</v>
      </c>
      <c r="BR11">
        <v>0</v>
      </c>
    </row>
    <row r="12" spans="1:70" x14ac:dyDescent="0.3">
      <c r="A12" t="s">
        <v>81</v>
      </c>
      <c r="B12">
        <v>10011495</v>
      </c>
      <c r="D12" t="s">
        <v>73</v>
      </c>
      <c r="F12" s="1">
        <v>8360000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</v>
      </c>
      <c r="AS12" s="1">
        <v>90920</v>
      </c>
      <c r="AT12">
        <v>0</v>
      </c>
      <c r="AU12" s="1">
        <v>1900088</v>
      </c>
      <c r="AV12" s="1">
        <v>1991008</v>
      </c>
      <c r="AW12">
        <v>0</v>
      </c>
      <c r="AX12">
        <v>0</v>
      </c>
      <c r="AY12" s="1">
        <v>27876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1">
        <v>27876</v>
      </c>
      <c r="BK12" s="1">
        <v>658879</v>
      </c>
      <c r="BL12" s="1">
        <v>581200</v>
      </c>
      <c r="BM12" s="1">
        <v>77679</v>
      </c>
      <c r="BN12">
        <v>1</v>
      </c>
      <c r="BO12" s="1">
        <v>2872559</v>
      </c>
      <c r="BP12">
        <v>-6.39</v>
      </c>
      <c r="BQ12">
        <v>5</v>
      </c>
      <c r="BR12">
        <v>0</v>
      </c>
    </row>
    <row r="13" spans="1:70" x14ac:dyDescent="0.3">
      <c r="A13" t="s">
        <v>82</v>
      </c>
      <c r="B13">
        <v>10011496</v>
      </c>
      <c r="D13" t="s">
        <v>73</v>
      </c>
      <c r="E13">
        <v>13</v>
      </c>
      <c r="F13" s="1">
        <v>5011617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8</v>
      </c>
      <c r="AS13" s="1">
        <v>181840</v>
      </c>
      <c r="AT13">
        <v>0</v>
      </c>
      <c r="AU13" s="1">
        <v>800064</v>
      </c>
      <c r="AV13" s="1">
        <v>981904</v>
      </c>
      <c r="AW13">
        <v>0</v>
      </c>
      <c r="AX13">
        <v>0</v>
      </c>
      <c r="AY13" s="1">
        <v>55752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1">
        <v>55752</v>
      </c>
      <c r="BK13" s="1">
        <v>1317759</v>
      </c>
      <c r="BL13" s="1">
        <v>1162401</v>
      </c>
      <c r="BM13" s="1">
        <v>155358</v>
      </c>
      <c r="BN13">
        <v>31</v>
      </c>
      <c r="BO13" s="1">
        <v>-4791472</v>
      </c>
      <c r="BP13">
        <v>-999.99</v>
      </c>
      <c r="BQ13">
        <v>15.4</v>
      </c>
      <c r="BR13">
        <v>0</v>
      </c>
    </row>
    <row r="14" spans="1:70" x14ac:dyDescent="0.3">
      <c r="A14" t="s">
        <v>83</v>
      </c>
      <c r="B14">
        <v>10011497</v>
      </c>
      <c r="D14" t="s">
        <v>73</v>
      </c>
      <c r="F14" s="1">
        <v>2926000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</v>
      </c>
      <c r="AS14" s="1">
        <v>90920</v>
      </c>
      <c r="AT14">
        <v>0</v>
      </c>
      <c r="AU14" s="1">
        <v>455592</v>
      </c>
      <c r="AV14" s="1">
        <v>546512</v>
      </c>
      <c r="AW14">
        <v>0</v>
      </c>
      <c r="AX14">
        <v>0</v>
      </c>
      <c r="AY14" s="1">
        <v>29972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1">
        <v>29972</v>
      </c>
      <c r="BK14" s="1">
        <v>708421</v>
      </c>
      <c r="BL14" s="1">
        <v>624901</v>
      </c>
      <c r="BM14" s="1">
        <v>83520</v>
      </c>
      <c r="BN14">
        <v>1</v>
      </c>
      <c r="BO14" s="1">
        <v>944137</v>
      </c>
      <c r="BP14">
        <v>-0.81</v>
      </c>
      <c r="BQ14">
        <v>14.3</v>
      </c>
      <c r="BR14">
        <v>0</v>
      </c>
    </row>
    <row r="15" spans="1:70" x14ac:dyDescent="0.3">
      <c r="A15" t="s">
        <v>84</v>
      </c>
      <c r="B15">
        <v>10011499</v>
      </c>
      <c r="D15" t="s">
        <v>73</v>
      </c>
      <c r="F15" s="1">
        <v>5434000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</v>
      </c>
      <c r="AG15">
        <v>0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14</v>
      </c>
      <c r="AS15" s="1">
        <v>318220</v>
      </c>
      <c r="AT15">
        <v>0</v>
      </c>
      <c r="AU15" s="1">
        <v>432390</v>
      </c>
      <c r="AV15" s="1">
        <v>750610</v>
      </c>
      <c r="AW15">
        <v>0</v>
      </c>
      <c r="AX15">
        <v>0</v>
      </c>
      <c r="AY15" s="1">
        <v>83628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1">
        <v>83628</v>
      </c>
      <c r="BK15" s="1">
        <v>1976639</v>
      </c>
      <c r="BL15" s="1">
        <v>1743601</v>
      </c>
      <c r="BM15" s="1">
        <v>233038</v>
      </c>
      <c r="BN15">
        <v>1</v>
      </c>
      <c r="BO15" s="1">
        <v>3358511</v>
      </c>
      <c r="BP15">
        <v>1.41</v>
      </c>
      <c r="BQ15">
        <v>26.9</v>
      </c>
      <c r="BR15">
        <v>0</v>
      </c>
    </row>
    <row r="16" spans="1:70" x14ac:dyDescent="0.3">
      <c r="A16" t="s">
        <v>85</v>
      </c>
      <c r="B16">
        <v>10011501</v>
      </c>
      <c r="D16" t="s">
        <v>73</v>
      </c>
      <c r="F16" s="1">
        <v>11286000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8</v>
      </c>
      <c r="AS16" s="1">
        <v>181840</v>
      </c>
      <c r="AT16">
        <v>0</v>
      </c>
      <c r="AU16" s="1">
        <v>2355672</v>
      </c>
      <c r="AV16" s="1">
        <v>2537512</v>
      </c>
      <c r="AW16">
        <v>0</v>
      </c>
      <c r="AX16">
        <v>0</v>
      </c>
      <c r="AY16" s="1">
        <v>55752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1">
        <v>55752</v>
      </c>
      <c r="BK16" s="1">
        <v>1317758</v>
      </c>
      <c r="BL16" s="1">
        <v>1162400</v>
      </c>
      <c r="BM16" s="1">
        <v>155358</v>
      </c>
      <c r="BN16">
        <v>1</v>
      </c>
      <c r="BO16" s="1">
        <v>4276108</v>
      </c>
      <c r="BP16">
        <v>-4.6500000000000004</v>
      </c>
      <c r="BQ16">
        <v>7.4</v>
      </c>
      <c r="BR16">
        <v>0</v>
      </c>
    </row>
    <row r="17" spans="1:70" x14ac:dyDescent="0.3">
      <c r="A17" t="s">
        <v>86</v>
      </c>
      <c r="B17">
        <v>10011502</v>
      </c>
      <c r="D17" t="s">
        <v>73</v>
      </c>
      <c r="F17" s="1">
        <v>4180000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8</v>
      </c>
      <c r="AS17" s="1">
        <v>181840</v>
      </c>
      <c r="AT17">
        <v>0</v>
      </c>
      <c r="AU17" s="1">
        <v>466720</v>
      </c>
      <c r="AV17" s="1">
        <v>648560</v>
      </c>
      <c r="AW17">
        <v>0</v>
      </c>
      <c r="AX17">
        <v>0</v>
      </c>
      <c r="AY17" s="1">
        <v>55752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1">
        <v>55752</v>
      </c>
      <c r="BK17" s="1">
        <v>1317759</v>
      </c>
      <c r="BL17" s="1">
        <v>1162401</v>
      </c>
      <c r="BM17" s="1">
        <v>155358</v>
      </c>
      <c r="BN17">
        <v>1</v>
      </c>
      <c r="BO17" s="1">
        <v>2387156</v>
      </c>
      <c r="BP17">
        <v>0.56999999999999995</v>
      </c>
      <c r="BQ17">
        <v>20</v>
      </c>
      <c r="BR17">
        <v>0</v>
      </c>
    </row>
    <row r="18" spans="1:70" x14ac:dyDescent="0.3">
      <c r="A18" t="s">
        <v>87</v>
      </c>
      <c r="B18">
        <v>10011503</v>
      </c>
      <c r="D18" t="s">
        <v>73</v>
      </c>
      <c r="F18" s="1">
        <v>6688000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</v>
      </c>
      <c r="AS18" s="1">
        <v>90920</v>
      </c>
      <c r="AT18">
        <v>0</v>
      </c>
      <c r="AU18" s="1">
        <v>1455624</v>
      </c>
      <c r="AV18" s="1">
        <v>1546544</v>
      </c>
      <c r="AW18">
        <v>0</v>
      </c>
      <c r="AX18">
        <v>0</v>
      </c>
      <c r="AY18" s="1">
        <v>27876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s="1">
        <v>27876</v>
      </c>
      <c r="BK18" s="1">
        <v>658879</v>
      </c>
      <c r="BL18" s="1">
        <v>581200</v>
      </c>
      <c r="BM18" s="1">
        <v>77679</v>
      </c>
      <c r="BN18">
        <v>1</v>
      </c>
      <c r="BO18" s="1">
        <v>2415835</v>
      </c>
      <c r="BP18">
        <v>-5.44</v>
      </c>
      <c r="BQ18">
        <v>6.3</v>
      </c>
      <c r="BR18">
        <v>0</v>
      </c>
    </row>
    <row r="19" spans="1:70" x14ac:dyDescent="0.3">
      <c r="A19" t="s">
        <v>88</v>
      </c>
      <c r="B19">
        <v>10011504</v>
      </c>
      <c r="C19" t="s">
        <v>89</v>
      </c>
      <c r="D19" t="s">
        <v>73</v>
      </c>
      <c r="E19">
        <v>7</v>
      </c>
      <c r="F19" s="1">
        <v>20000000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 s="1">
        <v>39600</v>
      </c>
      <c r="W19" s="1">
        <v>49501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80</v>
      </c>
      <c r="AN19">
        <v>0</v>
      </c>
      <c r="AO19">
        <v>0</v>
      </c>
      <c r="AP19">
        <v>0</v>
      </c>
      <c r="AQ19">
        <v>0</v>
      </c>
      <c r="AR19">
        <v>80</v>
      </c>
      <c r="AS19" s="1">
        <v>1818400</v>
      </c>
      <c r="AT19">
        <v>0</v>
      </c>
      <c r="AU19">
        <v>0</v>
      </c>
      <c r="AV19" s="1">
        <v>1818400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s="1">
        <v>475211</v>
      </c>
      <c r="BE19" s="1">
        <v>594014</v>
      </c>
      <c r="BF19">
        <v>0</v>
      </c>
      <c r="BG19">
        <v>0</v>
      </c>
      <c r="BH19">
        <v>0</v>
      </c>
      <c r="BI19">
        <v>0</v>
      </c>
      <c r="BJ19" s="1">
        <v>1069225</v>
      </c>
      <c r="BK19" s="1">
        <v>18278399</v>
      </c>
      <c r="BL19" s="1">
        <v>15133058</v>
      </c>
      <c r="BM19" s="1">
        <v>3145341</v>
      </c>
      <c r="BN19">
        <v>11</v>
      </c>
      <c r="BO19" s="1">
        <v>15294591</v>
      </c>
      <c r="BP19">
        <v>13.27</v>
      </c>
      <c r="BQ19">
        <v>285.7</v>
      </c>
      <c r="BR19">
        <v>0</v>
      </c>
    </row>
    <row r="20" spans="1:70" x14ac:dyDescent="0.3">
      <c r="A20" t="s">
        <v>88</v>
      </c>
      <c r="B20">
        <v>10011504</v>
      </c>
      <c r="C20" t="s">
        <v>89</v>
      </c>
      <c r="D20" t="s">
        <v>74</v>
      </c>
      <c r="E20">
        <v>7</v>
      </c>
      <c r="F20" s="1">
        <v>19077000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 s="1">
        <v>39600</v>
      </c>
      <c r="W20" s="1">
        <v>49501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80</v>
      </c>
      <c r="AN20">
        <v>0</v>
      </c>
      <c r="AO20">
        <v>0</v>
      </c>
      <c r="AP20">
        <v>0</v>
      </c>
      <c r="AQ20">
        <v>0</v>
      </c>
      <c r="AR20">
        <v>80</v>
      </c>
      <c r="AS20" s="1">
        <v>1818400</v>
      </c>
      <c r="AT20">
        <v>0</v>
      </c>
      <c r="AU20">
        <v>0</v>
      </c>
      <c r="AV20" s="1">
        <v>1818400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1">
        <v>475211</v>
      </c>
      <c r="BE20" s="1">
        <v>594014</v>
      </c>
      <c r="BF20">
        <v>0</v>
      </c>
      <c r="BG20">
        <v>0</v>
      </c>
      <c r="BH20">
        <v>0</v>
      </c>
      <c r="BI20">
        <v>0</v>
      </c>
      <c r="BJ20" s="1">
        <v>1069225</v>
      </c>
      <c r="BK20" s="1">
        <v>18278399</v>
      </c>
      <c r="BL20" s="1">
        <v>15133058</v>
      </c>
      <c r="BM20" s="1">
        <v>3145341</v>
      </c>
      <c r="BN20">
        <v>10</v>
      </c>
      <c r="BO20" s="1">
        <v>16125898</v>
      </c>
      <c r="BP20">
        <v>14</v>
      </c>
      <c r="BQ20">
        <v>285.7</v>
      </c>
      <c r="BR20">
        <v>0</v>
      </c>
    </row>
    <row r="21" spans="1:70" x14ac:dyDescent="0.3">
      <c r="A21" t="s">
        <v>90</v>
      </c>
      <c r="B21">
        <v>10011505</v>
      </c>
      <c r="D21" t="s">
        <v>73</v>
      </c>
      <c r="F21" s="1">
        <v>4598000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8</v>
      </c>
      <c r="AS21" s="1">
        <v>181840</v>
      </c>
      <c r="AT21">
        <v>0</v>
      </c>
      <c r="AU21" s="1">
        <v>577832</v>
      </c>
      <c r="AV21" s="1">
        <v>759672</v>
      </c>
      <c r="AW21">
        <v>0</v>
      </c>
      <c r="AX21">
        <v>0</v>
      </c>
      <c r="AY21" s="1">
        <v>55752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1">
        <v>55752</v>
      </c>
      <c r="BK21" s="1">
        <v>1317759</v>
      </c>
      <c r="BL21" s="1">
        <v>1162401</v>
      </c>
      <c r="BM21" s="1">
        <v>155358</v>
      </c>
      <c r="BN21">
        <v>1</v>
      </c>
      <c r="BO21" s="1">
        <v>2498268</v>
      </c>
      <c r="BP21">
        <v>0.02</v>
      </c>
      <c r="BQ21">
        <v>18.2</v>
      </c>
      <c r="BR21">
        <v>0</v>
      </c>
    </row>
    <row r="22" spans="1:70" x14ac:dyDescent="0.3">
      <c r="A22" t="s">
        <v>91</v>
      </c>
      <c r="B22">
        <v>10011506</v>
      </c>
      <c r="D22" t="s">
        <v>73</v>
      </c>
      <c r="F22" s="1">
        <v>11286000</v>
      </c>
      <c r="G22">
        <v>0</v>
      </c>
      <c r="H22">
        <v>0</v>
      </c>
      <c r="I22">
        <v>0</v>
      </c>
      <c r="J22">
        <v>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9</v>
      </c>
      <c r="AG22">
        <v>0</v>
      </c>
      <c r="AH22">
        <v>36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36</v>
      </c>
      <c r="AS22" s="1">
        <v>818280</v>
      </c>
      <c r="AT22">
        <v>0</v>
      </c>
      <c r="AU22" s="1">
        <v>100152</v>
      </c>
      <c r="AV22" s="1">
        <v>918432</v>
      </c>
      <c r="AW22">
        <v>0</v>
      </c>
      <c r="AX22">
        <v>0</v>
      </c>
      <c r="AY22" s="1">
        <v>250884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1">
        <v>250884</v>
      </c>
      <c r="BK22" s="1">
        <v>5929916</v>
      </c>
      <c r="BL22" s="1">
        <v>5230804</v>
      </c>
      <c r="BM22" s="1">
        <v>699112</v>
      </c>
      <c r="BN22">
        <v>1</v>
      </c>
      <c r="BO22" s="1">
        <v>8742135</v>
      </c>
      <c r="BP22">
        <v>3.69</v>
      </c>
      <c r="BQ22">
        <v>33.299999999999997</v>
      </c>
      <c r="BR22">
        <v>0</v>
      </c>
    </row>
    <row r="23" spans="1:70" x14ac:dyDescent="0.3">
      <c r="A23" t="s">
        <v>92</v>
      </c>
      <c r="B23">
        <v>10011507</v>
      </c>
      <c r="D23" t="s">
        <v>73</v>
      </c>
      <c r="F23" s="1">
        <v>9614000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10</v>
      </c>
      <c r="AS23" s="1">
        <v>227300</v>
      </c>
      <c r="AT23">
        <v>0</v>
      </c>
      <c r="AU23" s="1">
        <v>2097050</v>
      </c>
      <c r="AV23" s="1">
        <v>2324350</v>
      </c>
      <c r="AW23">
        <v>0</v>
      </c>
      <c r="AX23">
        <v>0</v>
      </c>
      <c r="AY23" s="1">
        <v>27876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s="1">
        <v>27876</v>
      </c>
      <c r="BK23" s="1">
        <v>658879</v>
      </c>
      <c r="BL23" s="1">
        <v>581200</v>
      </c>
      <c r="BM23" s="1">
        <v>77679</v>
      </c>
      <c r="BN23">
        <v>1</v>
      </c>
      <c r="BO23" s="1">
        <v>3193641</v>
      </c>
      <c r="BP23">
        <v>-7.08</v>
      </c>
      <c r="BQ23">
        <v>10.9</v>
      </c>
      <c r="BR23">
        <v>0</v>
      </c>
    </row>
    <row r="24" spans="1:70" x14ac:dyDescent="0.3">
      <c r="A24" t="s">
        <v>93</v>
      </c>
      <c r="B24">
        <v>10011509</v>
      </c>
      <c r="C24" t="s">
        <v>94</v>
      </c>
      <c r="D24" t="s">
        <v>73</v>
      </c>
      <c r="E24">
        <v>25</v>
      </c>
      <c r="F24" s="1">
        <v>17975160</v>
      </c>
      <c r="G24">
        <v>0</v>
      </c>
      <c r="H24" s="1">
        <v>1740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1">
        <v>1740</v>
      </c>
      <c r="AG24">
        <v>0</v>
      </c>
      <c r="AH24" s="1">
        <v>6960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1">
        <v>6960</v>
      </c>
      <c r="AS24" s="1">
        <v>158200800</v>
      </c>
      <c r="AT24">
        <v>0</v>
      </c>
      <c r="AU24">
        <v>0</v>
      </c>
      <c r="AV24" s="1">
        <v>158200800</v>
      </c>
      <c r="AW24" s="1">
        <v>-158200800</v>
      </c>
      <c r="AX24">
        <v>0</v>
      </c>
      <c r="AY24" s="1">
        <v>45560160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1">
        <v>45560160</v>
      </c>
      <c r="BK24" s="1">
        <v>1076864497</v>
      </c>
      <c r="BL24" s="1">
        <v>949906555</v>
      </c>
      <c r="BM24" s="1">
        <v>126957942</v>
      </c>
      <c r="BN24">
        <v>1</v>
      </c>
      <c r="BO24" s="1">
        <v>1562144687</v>
      </c>
      <c r="BP24" t="s">
        <v>77</v>
      </c>
      <c r="BQ24" s="2">
        <v>6960</v>
      </c>
      <c r="BR24">
        <v>0</v>
      </c>
    </row>
    <row r="25" spans="1:70" x14ac:dyDescent="0.3">
      <c r="A25" t="s">
        <v>93</v>
      </c>
      <c r="B25">
        <v>10011509</v>
      </c>
      <c r="C25" t="s">
        <v>94</v>
      </c>
      <c r="D25" t="s">
        <v>74</v>
      </c>
      <c r="E25">
        <v>25</v>
      </c>
      <c r="F25" s="1">
        <v>63179000</v>
      </c>
      <c r="G25">
        <v>0</v>
      </c>
      <c r="H25" s="1">
        <v>1740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1">
        <v>1740</v>
      </c>
      <c r="AG25">
        <v>0</v>
      </c>
      <c r="AH25" s="1">
        <v>6960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1">
        <v>6960</v>
      </c>
      <c r="AS25" s="1">
        <v>158200800</v>
      </c>
      <c r="AT25">
        <v>0</v>
      </c>
      <c r="AU25">
        <v>0</v>
      </c>
      <c r="AV25" s="1">
        <v>158200800</v>
      </c>
      <c r="AW25" s="1">
        <v>-158200800</v>
      </c>
      <c r="AX25">
        <v>0</v>
      </c>
      <c r="AY25" s="1">
        <v>45560160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s="1">
        <v>45560160</v>
      </c>
      <c r="BK25" s="1">
        <v>1076864497</v>
      </c>
      <c r="BL25" s="1">
        <v>949906555</v>
      </c>
      <c r="BM25" s="1">
        <v>126957942</v>
      </c>
      <c r="BN25">
        <v>1</v>
      </c>
      <c r="BO25" s="1">
        <v>1363230703</v>
      </c>
      <c r="BP25">
        <v>166.66</v>
      </c>
      <c r="BQ25" s="2">
        <v>6960</v>
      </c>
      <c r="BR25">
        <v>0</v>
      </c>
    </row>
    <row r="26" spans="1:70" x14ac:dyDescent="0.3">
      <c r="A26" t="s">
        <v>95</v>
      </c>
      <c r="B26">
        <v>10011510</v>
      </c>
      <c r="D26" t="s">
        <v>73</v>
      </c>
      <c r="F26" s="1">
        <v>3762000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</v>
      </c>
      <c r="AS26" s="1">
        <v>90920</v>
      </c>
      <c r="AT26">
        <v>0</v>
      </c>
      <c r="AU26" s="1">
        <v>677820</v>
      </c>
      <c r="AV26" s="1">
        <v>768740</v>
      </c>
      <c r="AW26">
        <v>0</v>
      </c>
      <c r="AX26">
        <v>0</v>
      </c>
      <c r="AY26" s="1">
        <v>27876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s="1">
        <v>27876</v>
      </c>
      <c r="BK26" s="1">
        <v>658879</v>
      </c>
      <c r="BL26" s="1">
        <v>581200</v>
      </c>
      <c r="BM26" s="1">
        <v>77679</v>
      </c>
      <c r="BN26">
        <v>1</v>
      </c>
      <c r="BO26" s="1">
        <v>1638031</v>
      </c>
      <c r="BP26">
        <v>-2.64</v>
      </c>
      <c r="BQ26">
        <v>11.1</v>
      </c>
      <c r="BR26">
        <v>0</v>
      </c>
    </row>
    <row r="27" spans="1:70" x14ac:dyDescent="0.3">
      <c r="A27" t="s">
        <v>96</v>
      </c>
      <c r="B27">
        <v>10011512</v>
      </c>
      <c r="C27" t="s">
        <v>97</v>
      </c>
      <c r="D27" t="s">
        <v>73</v>
      </c>
      <c r="E27">
        <v>151</v>
      </c>
      <c r="F27" s="1">
        <v>46749598</v>
      </c>
      <c r="G27">
        <v>0</v>
      </c>
      <c r="H27">
        <v>0</v>
      </c>
      <c r="I27">
        <v>0</v>
      </c>
      <c r="J27">
        <v>17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17</v>
      </c>
      <c r="AG27">
        <v>0</v>
      </c>
      <c r="AH27">
        <v>70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70</v>
      </c>
      <c r="AS27" s="1">
        <v>1591100</v>
      </c>
      <c r="AT27">
        <v>0</v>
      </c>
      <c r="AU27" s="1">
        <v>11255230</v>
      </c>
      <c r="AV27" s="1">
        <v>12846330</v>
      </c>
      <c r="AW27">
        <v>0</v>
      </c>
      <c r="AX27">
        <v>0</v>
      </c>
      <c r="AY27" s="1">
        <v>473892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1">
        <v>473892</v>
      </c>
      <c r="BK27" s="1">
        <v>11200946</v>
      </c>
      <c r="BL27" s="1">
        <v>9880402</v>
      </c>
      <c r="BM27" s="1">
        <v>1320544</v>
      </c>
      <c r="BN27">
        <v>31</v>
      </c>
      <c r="BO27" s="1">
        <v>-49306563</v>
      </c>
      <c r="BP27">
        <v>-999.99</v>
      </c>
      <c r="BQ27">
        <v>11.6</v>
      </c>
      <c r="BR27">
        <v>0</v>
      </c>
    </row>
    <row r="28" spans="1:70" x14ac:dyDescent="0.3">
      <c r="A28" t="s">
        <v>96</v>
      </c>
      <c r="B28">
        <v>10011512</v>
      </c>
      <c r="C28" t="s">
        <v>97</v>
      </c>
      <c r="D28" t="s">
        <v>74</v>
      </c>
      <c r="E28">
        <v>151</v>
      </c>
      <c r="F28" s="1">
        <v>71533000</v>
      </c>
      <c r="G28">
        <v>0</v>
      </c>
      <c r="H28">
        <v>0</v>
      </c>
      <c r="I28">
        <v>0</v>
      </c>
      <c r="J28">
        <v>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17</v>
      </c>
      <c r="AG28">
        <v>0</v>
      </c>
      <c r="AH28">
        <v>70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70</v>
      </c>
      <c r="AS28" s="1">
        <v>1591100</v>
      </c>
      <c r="AT28">
        <v>0</v>
      </c>
      <c r="AU28" s="1">
        <v>11255230</v>
      </c>
      <c r="AV28" s="1">
        <v>12846330</v>
      </c>
      <c r="AW28">
        <v>0</v>
      </c>
      <c r="AX28">
        <v>0</v>
      </c>
      <c r="AY28" s="1">
        <v>473892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1">
        <v>473892</v>
      </c>
      <c r="BK28" s="1">
        <v>11200946</v>
      </c>
      <c r="BL28" s="1">
        <v>9880402</v>
      </c>
      <c r="BM28" s="1">
        <v>1320544</v>
      </c>
      <c r="BN28">
        <v>31</v>
      </c>
      <c r="BO28" s="1">
        <v>-71627930</v>
      </c>
      <c r="BP28">
        <v>-999.99</v>
      </c>
      <c r="BQ28">
        <v>11.6</v>
      </c>
      <c r="BR28">
        <v>0</v>
      </c>
    </row>
    <row r="29" spans="1:70" x14ac:dyDescent="0.3">
      <c r="A29" t="s">
        <v>98</v>
      </c>
      <c r="B29">
        <v>10011513</v>
      </c>
      <c r="C29" t="s">
        <v>99</v>
      </c>
      <c r="D29" t="s">
        <v>73</v>
      </c>
      <c r="E29">
        <v>63</v>
      </c>
      <c r="F29" s="1">
        <v>19166742</v>
      </c>
      <c r="G29">
        <v>0</v>
      </c>
      <c r="H29">
        <v>0</v>
      </c>
      <c r="I29">
        <v>0</v>
      </c>
      <c r="J29">
        <v>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9</v>
      </c>
      <c r="AG29">
        <v>0</v>
      </c>
      <c r="AH29">
        <v>38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38</v>
      </c>
      <c r="AS29" s="1">
        <v>863740</v>
      </c>
      <c r="AT29">
        <v>0</v>
      </c>
      <c r="AU29" s="1">
        <v>4054828</v>
      </c>
      <c r="AV29" s="1">
        <v>4918568</v>
      </c>
      <c r="AW29">
        <v>0</v>
      </c>
      <c r="AX29">
        <v>0</v>
      </c>
      <c r="AY29" s="1">
        <v>250884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s="1">
        <v>250884</v>
      </c>
      <c r="BK29" s="1">
        <v>5929917</v>
      </c>
      <c r="BL29" s="1">
        <v>5230804</v>
      </c>
      <c r="BM29" s="1">
        <v>699113</v>
      </c>
      <c r="BN29">
        <v>31</v>
      </c>
      <c r="BO29" s="1">
        <v>-19050282</v>
      </c>
      <c r="BP29">
        <v>-999.99</v>
      </c>
      <c r="BQ29">
        <v>15.1</v>
      </c>
      <c r="BR29">
        <v>0</v>
      </c>
    </row>
    <row r="30" spans="1:70" x14ac:dyDescent="0.3">
      <c r="A30" t="s">
        <v>98</v>
      </c>
      <c r="B30">
        <v>10011513</v>
      </c>
      <c r="C30" t="s">
        <v>99</v>
      </c>
      <c r="D30" t="s">
        <v>74</v>
      </c>
      <c r="E30">
        <v>63</v>
      </c>
      <c r="F30" s="1">
        <v>45289000</v>
      </c>
      <c r="G30">
        <v>0</v>
      </c>
      <c r="H30">
        <v>0</v>
      </c>
      <c r="I30">
        <v>0</v>
      </c>
      <c r="J30">
        <v>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9</v>
      </c>
      <c r="AG30">
        <v>0</v>
      </c>
      <c r="AH30">
        <v>38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38</v>
      </c>
      <c r="AS30" s="1">
        <v>863740</v>
      </c>
      <c r="AT30">
        <v>0</v>
      </c>
      <c r="AU30" s="1">
        <v>4054828</v>
      </c>
      <c r="AV30" s="1">
        <v>4918568</v>
      </c>
      <c r="AW30">
        <v>0</v>
      </c>
      <c r="AX30">
        <v>0</v>
      </c>
      <c r="AY30" s="1">
        <v>250884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s="1">
        <v>250884</v>
      </c>
      <c r="BK30" s="1">
        <v>5929917</v>
      </c>
      <c r="BL30" s="1">
        <v>5230804</v>
      </c>
      <c r="BM30" s="1">
        <v>699113</v>
      </c>
      <c r="BN30">
        <v>31</v>
      </c>
      <c r="BO30" s="1">
        <v>-42577482</v>
      </c>
      <c r="BP30">
        <v>-999.99</v>
      </c>
      <c r="BQ30">
        <v>15.1</v>
      </c>
      <c r="BR30">
        <v>0</v>
      </c>
    </row>
    <row r="31" spans="1:70" x14ac:dyDescent="0.3">
      <c r="A31" t="s">
        <v>100</v>
      </c>
      <c r="B31">
        <v>10011514</v>
      </c>
      <c r="D31" t="s">
        <v>73</v>
      </c>
      <c r="E31">
        <v>101</v>
      </c>
      <c r="F31" s="1">
        <v>33128946</v>
      </c>
      <c r="G31">
        <v>0</v>
      </c>
      <c r="H31">
        <v>0</v>
      </c>
      <c r="I31">
        <v>0</v>
      </c>
      <c r="J31">
        <v>19</v>
      </c>
      <c r="K31">
        <v>0</v>
      </c>
      <c r="L31">
        <v>0</v>
      </c>
      <c r="M31">
        <v>0</v>
      </c>
      <c r="N31">
        <v>0</v>
      </c>
      <c r="O31">
        <v>1</v>
      </c>
      <c r="P31" s="1">
        <v>23157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20</v>
      </c>
      <c r="AG31">
        <v>0</v>
      </c>
      <c r="AH31">
        <v>76</v>
      </c>
      <c r="AI31">
        <v>0</v>
      </c>
      <c r="AJ31">
        <v>16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92</v>
      </c>
      <c r="AS31" s="1">
        <v>2091160</v>
      </c>
      <c r="AT31">
        <v>0</v>
      </c>
      <c r="AU31" s="1">
        <v>3337024</v>
      </c>
      <c r="AV31" s="1">
        <v>5428184</v>
      </c>
      <c r="AW31">
        <v>0</v>
      </c>
      <c r="AX31">
        <v>0</v>
      </c>
      <c r="AY31" s="1">
        <v>529644</v>
      </c>
      <c r="AZ31">
        <v>0</v>
      </c>
      <c r="BA31" s="1">
        <v>277885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s="1">
        <v>807529</v>
      </c>
      <c r="BK31" s="1">
        <v>18850072</v>
      </c>
      <c r="BL31" s="1">
        <v>16347743</v>
      </c>
      <c r="BM31" s="1">
        <v>2502329</v>
      </c>
      <c r="BN31">
        <v>31</v>
      </c>
      <c r="BO31" s="1">
        <v>-20406854</v>
      </c>
      <c r="BP31">
        <v>-3.18</v>
      </c>
      <c r="BQ31">
        <v>22.8</v>
      </c>
      <c r="BR31">
        <v>0</v>
      </c>
    </row>
    <row r="32" spans="1:70" x14ac:dyDescent="0.3">
      <c r="A32" t="s">
        <v>101</v>
      </c>
      <c r="B32">
        <v>10011515</v>
      </c>
      <c r="D32" t="s">
        <v>73</v>
      </c>
      <c r="E32">
        <v>98</v>
      </c>
      <c r="F32" s="1">
        <v>55847456</v>
      </c>
      <c r="G32">
        <v>0</v>
      </c>
      <c r="H32">
        <v>0</v>
      </c>
      <c r="I32">
        <v>0</v>
      </c>
      <c r="J32">
        <v>11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11</v>
      </c>
      <c r="AG32">
        <v>0</v>
      </c>
      <c r="AH32">
        <v>44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44</v>
      </c>
      <c r="AS32" s="1">
        <v>1000120</v>
      </c>
      <c r="AT32">
        <v>0</v>
      </c>
      <c r="AU32" s="1">
        <v>7344920</v>
      </c>
      <c r="AV32" s="1">
        <v>8345040</v>
      </c>
      <c r="AW32">
        <v>0</v>
      </c>
      <c r="AX32">
        <v>0</v>
      </c>
      <c r="AY32" s="1">
        <v>306636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s="1">
        <v>306636</v>
      </c>
      <c r="BK32" s="1">
        <v>7247674</v>
      </c>
      <c r="BL32" s="1">
        <v>6393203</v>
      </c>
      <c r="BM32" s="1">
        <v>854471</v>
      </c>
      <c r="BN32">
        <v>31</v>
      </c>
      <c r="BO32" s="1">
        <v>-54994132</v>
      </c>
      <c r="BP32">
        <v>-999.99</v>
      </c>
      <c r="BQ32">
        <v>11.2</v>
      </c>
      <c r="BR32">
        <v>0</v>
      </c>
    </row>
    <row r="33" spans="1:70" x14ac:dyDescent="0.3">
      <c r="A33" t="s">
        <v>102</v>
      </c>
      <c r="B33">
        <v>10011516</v>
      </c>
      <c r="C33" t="s">
        <v>103</v>
      </c>
      <c r="D33" t="s">
        <v>73</v>
      </c>
      <c r="E33">
        <v>34</v>
      </c>
      <c r="F33" s="1">
        <v>23111906</v>
      </c>
      <c r="G33">
        <v>0</v>
      </c>
      <c r="H33">
        <v>0</v>
      </c>
      <c r="I33">
        <v>0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</v>
      </c>
      <c r="AG33">
        <v>0</v>
      </c>
      <c r="AH33">
        <v>24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24</v>
      </c>
      <c r="AS33" s="1">
        <v>545520</v>
      </c>
      <c r="AT33">
        <v>0</v>
      </c>
      <c r="AU33" s="1">
        <v>4622496</v>
      </c>
      <c r="AV33" s="1">
        <v>5168016</v>
      </c>
      <c r="AW33">
        <v>0</v>
      </c>
      <c r="AX33">
        <v>0</v>
      </c>
      <c r="AY33" s="1">
        <v>167256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s="1">
        <v>167256</v>
      </c>
      <c r="BK33" s="1">
        <v>3953275</v>
      </c>
      <c r="BL33" s="1">
        <v>3487201</v>
      </c>
      <c r="BM33" s="1">
        <v>466074</v>
      </c>
      <c r="BN33">
        <v>31</v>
      </c>
      <c r="BO33" s="1">
        <v>-8861747</v>
      </c>
      <c r="BP33">
        <v>-999.99</v>
      </c>
      <c r="BQ33">
        <v>10.199999999999999</v>
      </c>
      <c r="BR33">
        <v>0</v>
      </c>
    </row>
    <row r="34" spans="1:70" x14ac:dyDescent="0.3">
      <c r="A34" t="s">
        <v>102</v>
      </c>
      <c r="B34">
        <v>10011516</v>
      </c>
      <c r="C34" t="s">
        <v>103</v>
      </c>
      <c r="D34" t="s">
        <v>74</v>
      </c>
      <c r="E34">
        <v>34</v>
      </c>
      <c r="F34" s="1">
        <v>23706000</v>
      </c>
      <c r="G34">
        <v>0</v>
      </c>
      <c r="H34">
        <v>0</v>
      </c>
      <c r="I34">
        <v>0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6</v>
      </c>
      <c r="AG34">
        <v>0</v>
      </c>
      <c r="AH34">
        <v>24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24</v>
      </c>
      <c r="AS34" s="1">
        <v>545520</v>
      </c>
      <c r="AT34">
        <v>0</v>
      </c>
      <c r="AU34" s="1">
        <v>4622496</v>
      </c>
      <c r="AV34" s="1">
        <v>5168016</v>
      </c>
      <c r="AW34">
        <v>0</v>
      </c>
      <c r="AX34">
        <v>0</v>
      </c>
      <c r="AY34" s="1">
        <v>167256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s="1">
        <v>167256</v>
      </c>
      <c r="BK34" s="1">
        <v>3953275</v>
      </c>
      <c r="BL34" s="1">
        <v>3487201</v>
      </c>
      <c r="BM34" s="1">
        <v>466074</v>
      </c>
      <c r="BN34">
        <v>31</v>
      </c>
      <c r="BO34" s="1">
        <v>-18808701</v>
      </c>
      <c r="BP34">
        <v>-999.99</v>
      </c>
      <c r="BQ34">
        <v>10.199999999999999</v>
      </c>
      <c r="BR34">
        <v>0</v>
      </c>
    </row>
    <row r="35" spans="1:70" x14ac:dyDescent="0.3">
      <c r="A35" t="s">
        <v>104</v>
      </c>
      <c r="B35">
        <v>10011518</v>
      </c>
      <c r="D35" t="s">
        <v>73</v>
      </c>
      <c r="E35">
        <v>179</v>
      </c>
      <c r="F35" s="1">
        <v>51423718</v>
      </c>
      <c r="G35">
        <v>0</v>
      </c>
      <c r="H35">
        <v>0</v>
      </c>
      <c r="I35">
        <v>0</v>
      </c>
      <c r="J35">
        <v>28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28</v>
      </c>
      <c r="AG35">
        <v>0</v>
      </c>
      <c r="AH35">
        <v>112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112</v>
      </c>
      <c r="AS35" s="1">
        <v>2545760</v>
      </c>
      <c r="AT35">
        <v>0</v>
      </c>
      <c r="AU35" s="1">
        <v>10867584</v>
      </c>
      <c r="AV35" s="1">
        <v>13413344</v>
      </c>
      <c r="AW35">
        <v>0</v>
      </c>
      <c r="AX35">
        <v>0</v>
      </c>
      <c r="AY35" s="1">
        <v>780528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1">
        <v>780528</v>
      </c>
      <c r="BK35" s="1">
        <v>18448625</v>
      </c>
      <c r="BL35" s="1">
        <v>16273610</v>
      </c>
      <c r="BM35" s="1">
        <v>2175015</v>
      </c>
      <c r="BN35">
        <v>31</v>
      </c>
      <c r="BO35" s="1">
        <v>-49844753</v>
      </c>
      <c r="BP35">
        <v>-999.99</v>
      </c>
      <c r="BQ35">
        <v>15.6</v>
      </c>
      <c r="BR35">
        <v>0</v>
      </c>
    </row>
    <row r="36" spans="1:70" x14ac:dyDescent="0.3">
      <c r="A36" t="s">
        <v>105</v>
      </c>
      <c r="B36">
        <v>10011519</v>
      </c>
      <c r="C36" t="s">
        <v>106</v>
      </c>
      <c r="D36" t="s">
        <v>73</v>
      </c>
      <c r="E36">
        <v>64</v>
      </c>
      <c r="F36" s="1">
        <v>19470976</v>
      </c>
      <c r="G36">
        <v>0</v>
      </c>
      <c r="H36">
        <v>0</v>
      </c>
      <c r="I36">
        <v>0</v>
      </c>
      <c r="J36">
        <v>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21</v>
      </c>
      <c r="AG36">
        <v>0</v>
      </c>
      <c r="AH36">
        <v>84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84</v>
      </c>
      <c r="AS36" s="1">
        <v>1909320</v>
      </c>
      <c r="AT36">
        <v>0</v>
      </c>
      <c r="AU36" s="1">
        <v>344820</v>
      </c>
      <c r="AV36" s="1">
        <v>2254140</v>
      </c>
      <c r="AW36">
        <v>0</v>
      </c>
      <c r="AX36">
        <v>0</v>
      </c>
      <c r="AY36" s="1">
        <v>585396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s="1">
        <v>585396</v>
      </c>
      <c r="BK36" s="1">
        <v>13836474</v>
      </c>
      <c r="BL36" s="1">
        <v>12205211</v>
      </c>
      <c r="BM36" s="1">
        <v>1631263</v>
      </c>
      <c r="BN36">
        <v>31</v>
      </c>
      <c r="BO36" s="1">
        <v>-11787734</v>
      </c>
      <c r="BP36">
        <v>-2.1800000000000002</v>
      </c>
      <c r="BQ36">
        <v>32.799999999999997</v>
      </c>
      <c r="BR36">
        <v>0</v>
      </c>
    </row>
    <row r="37" spans="1:70" x14ac:dyDescent="0.3">
      <c r="A37" t="s">
        <v>105</v>
      </c>
      <c r="B37">
        <v>10011519</v>
      </c>
      <c r="C37" t="s">
        <v>106</v>
      </c>
      <c r="D37" t="s">
        <v>74</v>
      </c>
      <c r="E37">
        <v>64</v>
      </c>
      <c r="F37" s="1">
        <v>36484000</v>
      </c>
      <c r="G37">
        <v>0</v>
      </c>
      <c r="H37">
        <v>0</v>
      </c>
      <c r="I37">
        <v>0</v>
      </c>
      <c r="J37">
        <v>21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21</v>
      </c>
      <c r="AG37">
        <v>0</v>
      </c>
      <c r="AH37">
        <v>84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84</v>
      </c>
      <c r="AS37" s="1">
        <v>1909320</v>
      </c>
      <c r="AT37">
        <v>0</v>
      </c>
      <c r="AU37" s="1">
        <v>344820</v>
      </c>
      <c r="AV37" s="1">
        <v>2254140</v>
      </c>
      <c r="AW37">
        <v>0</v>
      </c>
      <c r="AX37">
        <v>0</v>
      </c>
      <c r="AY37" s="1">
        <v>585396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s="1">
        <v>585396</v>
      </c>
      <c r="BK37" s="1">
        <v>13836474</v>
      </c>
      <c r="BL37" s="1">
        <v>12205211</v>
      </c>
      <c r="BM37" s="1">
        <v>1631263</v>
      </c>
      <c r="BN37">
        <v>31</v>
      </c>
      <c r="BO37" s="1">
        <v>-27110648</v>
      </c>
      <c r="BP37">
        <v>-4.42</v>
      </c>
      <c r="BQ37">
        <v>32.799999999999997</v>
      </c>
      <c r="BR37">
        <v>0</v>
      </c>
    </row>
    <row r="38" spans="1:70" x14ac:dyDescent="0.3">
      <c r="A38" t="s">
        <v>107</v>
      </c>
      <c r="B38">
        <v>10011521</v>
      </c>
      <c r="D38" t="s">
        <v>73</v>
      </c>
      <c r="E38">
        <v>38</v>
      </c>
      <c r="F38" s="1">
        <v>14412450</v>
      </c>
      <c r="G38">
        <v>0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</v>
      </c>
      <c r="AG38">
        <v>0</v>
      </c>
      <c r="AH38">
        <v>14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14</v>
      </c>
      <c r="AS38" s="1">
        <v>318220</v>
      </c>
      <c r="AT38">
        <v>0</v>
      </c>
      <c r="AU38" s="1">
        <v>3210270</v>
      </c>
      <c r="AV38" s="1">
        <v>3528490</v>
      </c>
      <c r="AW38">
        <v>0</v>
      </c>
      <c r="AX38">
        <v>0</v>
      </c>
      <c r="AY38" s="1">
        <v>83628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1">
        <v>83628</v>
      </c>
      <c r="BK38" s="1">
        <v>1976638</v>
      </c>
      <c r="BL38" s="1">
        <v>1743601</v>
      </c>
      <c r="BM38" s="1">
        <v>233037</v>
      </c>
      <c r="BN38">
        <v>31</v>
      </c>
      <c r="BO38" s="1">
        <v>-15608356</v>
      </c>
      <c r="BP38">
        <v>-999.99</v>
      </c>
      <c r="BQ38">
        <v>9.1999999999999993</v>
      </c>
      <c r="BR38">
        <v>0</v>
      </c>
    </row>
    <row r="39" spans="1:70" x14ac:dyDescent="0.3">
      <c r="A39" t="s">
        <v>108</v>
      </c>
      <c r="B39">
        <v>10011522</v>
      </c>
      <c r="C39" t="s">
        <v>109</v>
      </c>
      <c r="D39" t="s">
        <v>73</v>
      </c>
      <c r="E39">
        <v>150</v>
      </c>
      <c r="F39" s="1">
        <v>41167800</v>
      </c>
      <c r="G39">
        <v>0</v>
      </c>
      <c r="H39">
        <v>0</v>
      </c>
      <c r="I39">
        <v>0</v>
      </c>
      <c r="J39">
        <v>11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11</v>
      </c>
      <c r="AG39">
        <v>0</v>
      </c>
      <c r="AH39">
        <v>48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48</v>
      </c>
      <c r="AS39" s="1">
        <v>1091040</v>
      </c>
      <c r="AT39">
        <v>0</v>
      </c>
      <c r="AU39" s="1">
        <v>13031952</v>
      </c>
      <c r="AV39" s="1">
        <v>14122992</v>
      </c>
      <c r="AW39">
        <v>0</v>
      </c>
      <c r="AX39">
        <v>0</v>
      </c>
      <c r="AY39" s="1">
        <v>306636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s="1">
        <v>306636</v>
      </c>
      <c r="BK39" s="1">
        <v>7247673</v>
      </c>
      <c r="BL39" s="1">
        <v>6393204</v>
      </c>
      <c r="BM39" s="1">
        <v>854469</v>
      </c>
      <c r="BN39">
        <v>31</v>
      </c>
      <c r="BO39" s="1">
        <v>-47987792</v>
      </c>
      <c r="BP39">
        <v>-999.99</v>
      </c>
      <c r="BQ39">
        <v>8</v>
      </c>
      <c r="BR39">
        <v>0</v>
      </c>
    </row>
    <row r="40" spans="1:70" x14ac:dyDescent="0.3">
      <c r="A40" t="s">
        <v>108</v>
      </c>
      <c r="B40">
        <v>10011522</v>
      </c>
      <c r="C40" t="s">
        <v>109</v>
      </c>
      <c r="D40" t="s">
        <v>74</v>
      </c>
      <c r="E40">
        <v>150</v>
      </c>
      <c r="F40" s="1">
        <v>65466000</v>
      </c>
      <c r="G40">
        <v>0</v>
      </c>
      <c r="H40">
        <v>0</v>
      </c>
      <c r="I40">
        <v>0</v>
      </c>
      <c r="J40">
        <v>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11</v>
      </c>
      <c r="AG40">
        <v>0</v>
      </c>
      <c r="AH40">
        <v>48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48</v>
      </c>
      <c r="AS40" s="1">
        <v>1091040</v>
      </c>
      <c r="AT40">
        <v>0</v>
      </c>
      <c r="AU40" s="1">
        <v>13031952</v>
      </c>
      <c r="AV40" s="1">
        <v>14122992</v>
      </c>
      <c r="AW40">
        <v>0</v>
      </c>
      <c r="AX40">
        <v>0</v>
      </c>
      <c r="AY40" s="1">
        <v>306636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s="1">
        <v>306636</v>
      </c>
      <c r="BK40" s="1">
        <v>7247673</v>
      </c>
      <c r="BL40" s="1">
        <v>6393204</v>
      </c>
      <c r="BM40" s="1">
        <v>854469</v>
      </c>
      <c r="BN40">
        <v>31</v>
      </c>
      <c r="BO40" s="1">
        <v>-69872148</v>
      </c>
      <c r="BP40">
        <v>-999.99</v>
      </c>
      <c r="BQ40">
        <v>8</v>
      </c>
      <c r="BR40">
        <v>0</v>
      </c>
    </row>
    <row r="41" spans="1:70" x14ac:dyDescent="0.3">
      <c r="A41" t="s">
        <v>110</v>
      </c>
      <c r="B41">
        <v>10011526</v>
      </c>
      <c r="C41" t="s">
        <v>111</v>
      </c>
      <c r="D41" t="s">
        <v>73</v>
      </c>
      <c r="E41">
        <v>90</v>
      </c>
      <c r="F41" s="1">
        <v>27381060</v>
      </c>
      <c r="G41">
        <v>0</v>
      </c>
      <c r="H41">
        <v>0</v>
      </c>
      <c r="I41">
        <v>0</v>
      </c>
      <c r="J41">
        <v>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16</v>
      </c>
      <c r="AG41">
        <v>0</v>
      </c>
      <c r="AH41">
        <v>64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64</v>
      </c>
      <c r="AS41" s="1">
        <v>1454720</v>
      </c>
      <c r="AT41">
        <v>0</v>
      </c>
      <c r="AU41" s="1">
        <v>4844864</v>
      </c>
      <c r="AV41" s="1">
        <v>6299584</v>
      </c>
      <c r="AW41">
        <v>0</v>
      </c>
      <c r="AX41">
        <v>0</v>
      </c>
      <c r="AY41" s="1">
        <v>446016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s="1">
        <v>446016</v>
      </c>
      <c r="BK41" s="1">
        <v>10542070</v>
      </c>
      <c r="BL41" s="1">
        <v>9299206</v>
      </c>
      <c r="BM41" s="1">
        <v>1242864</v>
      </c>
      <c r="BN41">
        <v>31</v>
      </c>
      <c r="BO41" s="1">
        <v>-30721709</v>
      </c>
      <c r="BP41">
        <v>-999.99</v>
      </c>
      <c r="BQ41">
        <v>17.8</v>
      </c>
      <c r="BR41">
        <v>0</v>
      </c>
    </row>
    <row r="42" spans="1:70" x14ac:dyDescent="0.3">
      <c r="A42" t="s">
        <v>110</v>
      </c>
      <c r="B42">
        <v>10011526</v>
      </c>
      <c r="C42" t="s">
        <v>111</v>
      </c>
      <c r="D42" t="s">
        <v>74</v>
      </c>
      <c r="E42">
        <v>90</v>
      </c>
      <c r="F42" s="1">
        <v>49331000</v>
      </c>
      <c r="G42">
        <v>0</v>
      </c>
      <c r="H42">
        <v>0</v>
      </c>
      <c r="I42">
        <v>0</v>
      </c>
      <c r="J42">
        <v>16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16</v>
      </c>
      <c r="AG42">
        <v>0</v>
      </c>
      <c r="AH42">
        <v>64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64</v>
      </c>
      <c r="AS42" s="1">
        <v>1454720</v>
      </c>
      <c r="AT42">
        <v>0</v>
      </c>
      <c r="AU42" s="1">
        <v>4844864</v>
      </c>
      <c r="AV42" s="1">
        <v>6299584</v>
      </c>
      <c r="AW42">
        <v>0</v>
      </c>
      <c r="AX42">
        <v>0</v>
      </c>
      <c r="AY42" s="1">
        <v>446016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 s="1">
        <v>446016</v>
      </c>
      <c r="BK42" s="1">
        <v>10542070</v>
      </c>
      <c r="BL42" s="1">
        <v>9299206</v>
      </c>
      <c r="BM42" s="1">
        <v>1242864</v>
      </c>
      <c r="BN42">
        <v>31</v>
      </c>
      <c r="BO42" s="1">
        <v>-44978947</v>
      </c>
      <c r="BP42">
        <v>-999.99</v>
      </c>
      <c r="BQ42">
        <v>17.8</v>
      </c>
      <c r="BR42">
        <v>0</v>
      </c>
    </row>
    <row r="43" spans="1:70" x14ac:dyDescent="0.3">
      <c r="A43" t="s">
        <v>112</v>
      </c>
      <c r="B43">
        <v>10011527</v>
      </c>
      <c r="C43" t="s">
        <v>113</v>
      </c>
      <c r="D43" t="s">
        <v>73</v>
      </c>
      <c r="E43">
        <v>54</v>
      </c>
      <c r="F43" s="1">
        <v>25206636</v>
      </c>
      <c r="G43">
        <v>0</v>
      </c>
      <c r="H43">
        <v>0</v>
      </c>
      <c r="I43">
        <v>0</v>
      </c>
      <c r="J43">
        <v>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18</v>
      </c>
      <c r="AG43">
        <v>0</v>
      </c>
      <c r="AH43">
        <v>72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72</v>
      </c>
      <c r="AS43" s="1">
        <v>1636560</v>
      </c>
      <c r="AT43">
        <v>0</v>
      </c>
      <c r="AU43" s="1">
        <v>2533752</v>
      </c>
      <c r="AV43" s="1">
        <v>4170312</v>
      </c>
      <c r="AW43">
        <v>0</v>
      </c>
      <c r="AX43">
        <v>0</v>
      </c>
      <c r="AY43" s="1">
        <v>501768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s="1">
        <v>501768</v>
      </c>
      <c r="BK43" s="1">
        <v>11859830</v>
      </c>
      <c r="BL43" s="1">
        <v>10461607</v>
      </c>
      <c r="BM43" s="1">
        <v>1398223</v>
      </c>
      <c r="BN43">
        <v>31</v>
      </c>
      <c r="BO43" s="1">
        <v>-7433057</v>
      </c>
      <c r="BP43">
        <v>-3.91</v>
      </c>
      <c r="BQ43">
        <v>24</v>
      </c>
      <c r="BR43">
        <v>0</v>
      </c>
    </row>
    <row r="44" spans="1:70" x14ac:dyDescent="0.3">
      <c r="A44" t="s">
        <v>112</v>
      </c>
      <c r="B44">
        <v>10011527</v>
      </c>
      <c r="C44" t="s">
        <v>113</v>
      </c>
      <c r="D44" t="s">
        <v>74</v>
      </c>
      <c r="E44">
        <v>54</v>
      </c>
      <c r="F44" s="1">
        <v>38837000</v>
      </c>
      <c r="G44">
        <v>0</v>
      </c>
      <c r="H44">
        <v>0</v>
      </c>
      <c r="I44">
        <v>0</v>
      </c>
      <c r="J44">
        <v>18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18</v>
      </c>
      <c r="AG44">
        <v>0</v>
      </c>
      <c r="AH44">
        <v>72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72</v>
      </c>
      <c r="AS44" s="1">
        <v>1636560</v>
      </c>
      <c r="AT44">
        <v>0</v>
      </c>
      <c r="AU44" s="1">
        <v>2533752</v>
      </c>
      <c r="AV44" s="1">
        <v>4170312</v>
      </c>
      <c r="AW44">
        <v>0</v>
      </c>
      <c r="AX44">
        <v>0</v>
      </c>
      <c r="AY44" s="1">
        <v>501768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s="1">
        <v>501768</v>
      </c>
      <c r="BK44" s="1">
        <v>11859830</v>
      </c>
      <c r="BL44" s="1">
        <v>10461607</v>
      </c>
      <c r="BM44" s="1">
        <v>1398223</v>
      </c>
      <c r="BN44">
        <v>31</v>
      </c>
      <c r="BO44" s="1">
        <v>-27615314</v>
      </c>
      <c r="BP44">
        <v>-4.53</v>
      </c>
      <c r="BQ44">
        <v>24</v>
      </c>
      <c r="BR44">
        <v>0</v>
      </c>
    </row>
    <row r="45" spans="1:70" x14ac:dyDescent="0.3">
      <c r="A45" t="s">
        <v>114</v>
      </c>
      <c r="B45">
        <v>10011529</v>
      </c>
      <c r="C45" t="s">
        <v>115</v>
      </c>
      <c r="D45" t="s">
        <v>73</v>
      </c>
      <c r="E45">
        <v>470</v>
      </c>
      <c r="F45" s="1">
        <v>175301070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 s="1">
        <v>43621788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s="1">
        <v>1567</v>
      </c>
      <c r="AP45">
        <v>0</v>
      </c>
      <c r="AQ45">
        <v>0</v>
      </c>
      <c r="AR45" s="1">
        <v>1567</v>
      </c>
      <c r="AS45" s="1">
        <v>35617910</v>
      </c>
      <c r="AT45">
        <v>0</v>
      </c>
      <c r="AU45">
        <v>0</v>
      </c>
      <c r="AV45" s="1">
        <v>35617910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s="1">
        <v>523461466</v>
      </c>
      <c r="BH45">
        <v>0</v>
      </c>
      <c r="BI45">
        <v>0</v>
      </c>
      <c r="BJ45" s="1">
        <v>523461466</v>
      </c>
      <c r="BK45" s="1">
        <v>8240173359</v>
      </c>
      <c r="BL45" s="1">
        <v>7761467848</v>
      </c>
      <c r="BM45" s="1">
        <v>478705511</v>
      </c>
      <c r="BN45">
        <v>1</v>
      </c>
      <c r="BO45" s="1">
        <v>4827472241</v>
      </c>
      <c r="BP45">
        <v>262.5</v>
      </c>
      <c r="BQ45">
        <v>83.4</v>
      </c>
      <c r="BR45">
        <v>0</v>
      </c>
    </row>
    <row r="46" spans="1:70" x14ac:dyDescent="0.3">
      <c r="A46" t="s">
        <v>114</v>
      </c>
      <c r="B46">
        <v>10011529</v>
      </c>
      <c r="C46" t="s">
        <v>115</v>
      </c>
      <c r="D46" t="s">
        <v>74</v>
      </c>
      <c r="E46">
        <v>470</v>
      </c>
      <c r="F46" s="1">
        <v>474456000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 s="1">
        <v>43621788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s="1">
        <v>1567</v>
      </c>
      <c r="AP46">
        <v>0</v>
      </c>
      <c r="AQ46">
        <v>0</v>
      </c>
      <c r="AR46" s="1">
        <v>1567</v>
      </c>
      <c r="AS46" s="1">
        <v>35617910</v>
      </c>
      <c r="AT46">
        <v>0</v>
      </c>
      <c r="AU46">
        <v>0</v>
      </c>
      <c r="AV46" s="1">
        <v>35617910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s="1">
        <v>523461466</v>
      </c>
      <c r="BH46">
        <v>0</v>
      </c>
      <c r="BI46">
        <v>0</v>
      </c>
      <c r="BJ46" s="1">
        <v>523461466</v>
      </c>
      <c r="BK46" s="1">
        <v>8240173359</v>
      </c>
      <c r="BL46" s="1">
        <v>7761467848</v>
      </c>
      <c r="BM46" s="1">
        <v>478705511</v>
      </c>
      <c r="BN46">
        <v>2</v>
      </c>
      <c r="BO46" s="1">
        <v>4558036087</v>
      </c>
      <c r="BP46">
        <v>84.05</v>
      </c>
      <c r="BQ46">
        <v>83.4</v>
      </c>
      <c r="BR46">
        <v>0</v>
      </c>
    </row>
    <row r="47" spans="1:70" x14ac:dyDescent="0.3">
      <c r="A47" t="s">
        <v>116</v>
      </c>
      <c r="B47">
        <v>10011530</v>
      </c>
      <c r="C47" t="s">
        <v>117</v>
      </c>
      <c r="D47" t="s">
        <v>73</v>
      </c>
      <c r="E47">
        <v>35</v>
      </c>
      <c r="F47" s="1">
        <v>15809005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s="1">
        <v>132941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78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78</v>
      </c>
      <c r="AS47" s="1">
        <v>1772940</v>
      </c>
      <c r="AT47">
        <v>0</v>
      </c>
      <c r="AU47">
        <v>0</v>
      </c>
      <c r="AV47" s="1">
        <v>1772940</v>
      </c>
      <c r="AW47">
        <v>0</v>
      </c>
      <c r="AX47">
        <v>0</v>
      </c>
      <c r="AY47">
        <v>0</v>
      </c>
      <c r="AZ47">
        <v>0</v>
      </c>
      <c r="BA47" s="1">
        <v>1595293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s="1">
        <v>1595293</v>
      </c>
      <c r="BK47" s="1">
        <v>43889490</v>
      </c>
      <c r="BL47" s="1">
        <v>36774238</v>
      </c>
      <c r="BM47" s="1">
        <v>7115252</v>
      </c>
      <c r="BN47">
        <v>4</v>
      </c>
      <c r="BO47" s="1">
        <v>54579410</v>
      </c>
      <c r="BP47">
        <v>36.08</v>
      </c>
      <c r="BQ47">
        <v>55.7</v>
      </c>
      <c r="BR47">
        <v>0</v>
      </c>
    </row>
    <row r="48" spans="1:70" x14ac:dyDescent="0.3">
      <c r="A48" t="s">
        <v>116</v>
      </c>
      <c r="B48">
        <v>10011530</v>
      </c>
      <c r="C48" t="s">
        <v>117</v>
      </c>
      <c r="D48" t="s">
        <v>74</v>
      </c>
      <c r="E48">
        <v>35</v>
      </c>
      <c r="F48" s="1">
        <v>61362000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 s="1">
        <v>132941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78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78</v>
      </c>
      <c r="AS48" s="1">
        <v>1772940</v>
      </c>
      <c r="AT48">
        <v>0</v>
      </c>
      <c r="AU48">
        <v>0</v>
      </c>
      <c r="AV48" s="1">
        <v>1772940</v>
      </c>
      <c r="AW48">
        <v>0</v>
      </c>
      <c r="AX48">
        <v>0</v>
      </c>
      <c r="AY48">
        <v>0</v>
      </c>
      <c r="AZ48">
        <v>0</v>
      </c>
      <c r="BA48" s="1">
        <v>1595293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s="1">
        <v>1595293</v>
      </c>
      <c r="BK48" s="1">
        <v>36347315</v>
      </c>
      <c r="BL48" s="1">
        <v>30454781</v>
      </c>
      <c r="BM48" s="1">
        <v>5892534</v>
      </c>
      <c r="BN48">
        <v>30</v>
      </c>
      <c r="BO48" s="1">
        <v>632006</v>
      </c>
      <c r="BP48">
        <v>6.25</v>
      </c>
      <c r="BQ48">
        <v>55.7</v>
      </c>
      <c r="BR48">
        <v>0</v>
      </c>
    </row>
    <row r="49" spans="1:70" x14ac:dyDescent="0.3">
      <c r="A49" t="s">
        <v>118</v>
      </c>
      <c r="B49">
        <v>10011531</v>
      </c>
      <c r="C49" t="s">
        <v>119</v>
      </c>
      <c r="D49" t="s">
        <v>73</v>
      </c>
      <c r="E49">
        <v>50</v>
      </c>
      <c r="F49" s="1">
        <v>43611000</v>
      </c>
      <c r="G49">
        <v>0</v>
      </c>
      <c r="H49">
        <v>0</v>
      </c>
      <c r="I49">
        <v>0</v>
      </c>
      <c r="J49">
        <v>10</v>
      </c>
      <c r="K49">
        <v>0</v>
      </c>
      <c r="L49">
        <v>0</v>
      </c>
      <c r="M49">
        <v>0</v>
      </c>
      <c r="N49">
        <v>0</v>
      </c>
      <c r="O49">
        <v>1</v>
      </c>
      <c r="P49" s="1">
        <v>16306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11</v>
      </c>
      <c r="AG49">
        <v>0</v>
      </c>
      <c r="AH49">
        <v>40</v>
      </c>
      <c r="AI49">
        <v>0</v>
      </c>
      <c r="AJ49">
        <v>10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50</v>
      </c>
      <c r="AS49" s="1">
        <v>1136500</v>
      </c>
      <c r="AT49">
        <v>0</v>
      </c>
      <c r="AU49" s="1">
        <v>1231400</v>
      </c>
      <c r="AV49" s="1">
        <v>2367900</v>
      </c>
      <c r="AW49">
        <v>0</v>
      </c>
      <c r="AX49">
        <v>0</v>
      </c>
      <c r="AY49" s="1">
        <v>278760</v>
      </c>
      <c r="AZ49">
        <v>0</v>
      </c>
      <c r="BA49" s="1">
        <v>195681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s="1">
        <v>474441</v>
      </c>
      <c r="BK49" s="1">
        <v>11047211</v>
      </c>
      <c r="BL49" s="1">
        <v>9547632</v>
      </c>
      <c r="BM49" s="1">
        <v>1499579</v>
      </c>
      <c r="BN49">
        <v>31</v>
      </c>
      <c r="BO49" s="1">
        <v>-32177653</v>
      </c>
      <c r="BP49">
        <v>-4.13</v>
      </c>
      <c r="BQ49">
        <v>25</v>
      </c>
      <c r="BR49">
        <v>0</v>
      </c>
    </row>
    <row r="50" spans="1:70" x14ac:dyDescent="0.3">
      <c r="A50" t="s">
        <v>118</v>
      </c>
      <c r="B50">
        <v>10011531</v>
      </c>
      <c r="C50" t="s">
        <v>119</v>
      </c>
      <c r="D50" t="s">
        <v>74</v>
      </c>
      <c r="E50">
        <v>50</v>
      </c>
      <c r="F50" s="1">
        <v>43611000</v>
      </c>
      <c r="G50">
        <v>0</v>
      </c>
      <c r="H50">
        <v>0</v>
      </c>
      <c r="I50">
        <v>0</v>
      </c>
      <c r="J50">
        <v>10</v>
      </c>
      <c r="K50">
        <v>0</v>
      </c>
      <c r="L50">
        <v>0</v>
      </c>
      <c r="M50">
        <v>0</v>
      </c>
      <c r="N50">
        <v>0</v>
      </c>
      <c r="O50">
        <v>1</v>
      </c>
      <c r="P50" s="1">
        <v>16306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11</v>
      </c>
      <c r="AG50">
        <v>0</v>
      </c>
      <c r="AH50">
        <v>40</v>
      </c>
      <c r="AI50">
        <v>0</v>
      </c>
      <c r="AJ50">
        <v>10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50</v>
      </c>
      <c r="AS50" s="1">
        <v>1136500</v>
      </c>
      <c r="AT50">
        <v>0</v>
      </c>
      <c r="AU50" s="1">
        <v>1231400</v>
      </c>
      <c r="AV50" s="1">
        <v>2367900</v>
      </c>
      <c r="AW50">
        <v>0</v>
      </c>
      <c r="AX50">
        <v>0</v>
      </c>
      <c r="AY50" s="1">
        <v>278760</v>
      </c>
      <c r="AZ50">
        <v>0</v>
      </c>
      <c r="BA50" s="1">
        <v>195681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 s="1">
        <v>474441</v>
      </c>
      <c r="BK50" s="1">
        <v>11047211</v>
      </c>
      <c r="BL50" s="1">
        <v>9547632</v>
      </c>
      <c r="BM50" s="1">
        <v>1499579</v>
      </c>
      <c r="BN50">
        <v>31</v>
      </c>
      <c r="BO50" s="1">
        <v>-32177653</v>
      </c>
      <c r="BP50">
        <v>-4.13</v>
      </c>
      <c r="BQ50">
        <v>25</v>
      </c>
      <c r="BR5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raw(2)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2026-04-20T02:01:07Z</dcterms:created>
  <dcterms:modified xsi:type="dcterms:W3CDTF">2026-04-22T04:42:44Z</dcterms:modified>
</cp:coreProperties>
</file>