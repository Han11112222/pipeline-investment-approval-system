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user\Desktop\0. 마케팅기획팀\2026\5.배관투자\2026년_1차\"/>
    </mc:Choice>
  </mc:AlternateContent>
  <xr:revisionPtr revIDLastSave="0" documentId="13_ncr:1_{8AA21786-B0F8-46C4-8946-E32B0E3E096D}" xr6:coauthVersionLast="47" xr6:coauthVersionMax="47" xr10:uidLastSave="{00000000-0000-0000-0000-000000000000}"/>
  <bookViews>
    <workbookView xWindow="-28920" yWindow="585" windowWidth="29040" windowHeight="15720" xr2:uid="{09D68BF6-4BE0-4A67-B270-AEC0B6C9E845}"/>
  </bookViews>
  <sheets>
    <sheet name="raw (2)" sheetId="2" r:id="rId1"/>
    <sheet name="raw" sheetId="1" r:id="rId2"/>
  </sheets>
  <definedNames>
    <definedName name="_xlnm._FilterDatabase" localSheetId="0" hidden="1">'raw (2)'!$A$4:$BS$4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Q7" i="2" l="1"/>
  <c r="BP7" i="2"/>
  <c r="G7" i="2"/>
  <c r="F7" i="2"/>
</calcChain>
</file>

<file path=xl/sharedStrings.xml><?xml version="1.0" encoding="utf-8"?>
<sst xmlns="http://schemas.openxmlformats.org/spreadsheetml/2006/main" count="210" uniqueCount="84">
  <si>
    <t xml:space="preserve">  구간명</t>
  </si>
  <si>
    <t xml:space="preserve">  관리번호</t>
  </si>
  <si>
    <t xml:space="preserve">  분석단계</t>
  </si>
  <si>
    <t>투자내역</t>
  </si>
  <si>
    <t>가    정    용  [ (전,월) ]</t>
  </si>
  <si>
    <t>일    반    용  [ MJ / (전,월) ]</t>
  </si>
  <si>
    <t>산  업  용 [ MJ / (전,월) ]</t>
  </si>
  <si>
    <t>연 료 전 지 [ MJ / (전,월) ]</t>
  </si>
  <si>
    <t>열  병  합 [ MJ / (전,월) ]</t>
  </si>
  <si>
    <t>열전용설비 [ MJ / (전,월) ]</t>
  </si>
  <si>
    <t>수 요  전 수 계</t>
  </si>
  <si>
    <t>용도별 표준가스 소비량 합계</t>
  </si>
  <si>
    <t xml:space="preserve">  계</t>
  </si>
  <si>
    <t xml:space="preserve"> 시설분담금</t>
  </si>
  <si>
    <t>기타이익 (수요가부담   공사비 등)</t>
  </si>
  <si>
    <t>연    간        판    매    량 [ MJ / 년 ]</t>
  </si>
  <si>
    <t>연    간 판 매 액 [원 / 년]</t>
  </si>
  <si>
    <t>연    간 판매원가 [원 / 년]</t>
  </si>
  <si>
    <t>연    간 판매수익 [원 / 년]</t>
  </si>
  <si>
    <t>경제성분석</t>
  </si>
  <si>
    <t xml:space="preserve">길이  (m) </t>
  </si>
  <si>
    <t xml:space="preserve">배관투자금액  (원) </t>
  </si>
  <si>
    <t>공동주택전수</t>
  </si>
  <si>
    <t>단독주택전수</t>
  </si>
  <si>
    <t>원룸전수</t>
  </si>
  <si>
    <t>중앙난방(중집)</t>
  </si>
  <si>
    <t>일반용(영업1)</t>
  </si>
  <si>
    <t>일반용(영업2)</t>
  </si>
  <si>
    <t>업무난방</t>
  </si>
  <si>
    <t>냉난방</t>
  </si>
  <si>
    <t>주  택  용</t>
  </si>
  <si>
    <t>주  택  용  외</t>
  </si>
  <si>
    <t>가정용</t>
  </si>
  <si>
    <t>일반용</t>
  </si>
  <si>
    <t xml:space="preserve"> 산업용(MJ)</t>
  </si>
  <si>
    <t xml:space="preserve"> 연료전지(MJ)</t>
  </si>
  <si>
    <t xml:space="preserve"> 열병합(MJ)</t>
  </si>
  <si>
    <t xml:space="preserve"> 열전용설비(MJ)</t>
  </si>
  <si>
    <t xml:space="preserve"> 계 (MJ)</t>
  </si>
  <si>
    <t>회 수 년 수</t>
  </si>
  <si>
    <t>NPV (원)</t>
  </si>
  <si>
    <t>IRR (%)</t>
  </si>
  <si>
    <t>100m 환산 세대수</t>
  </si>
  <si>
    <t>주택용 인입관비 배분액</t>
  </si>
  <si>
    <t>취사</t>
  </si>
  <si>
    <t>난방</t>
  </si>
  <si>
    <t>전수</t>
  </si>
  <si>
    <t>판매열량(MJ)</t>
  </si>
  <si>
    <t>난방판매(MJ)</t>
  </si>
  <si>
    <t>냉방판매(MJ)</t>
  </si>
  <si>
    <t>중앙</t>
  </si>
  <si>
    <t>일반용1</t>
  </si>
  <si>
    <t>일반용2</t>
  </si>
  <si>
    <t>냉난방용</t>
  </si>
  <si>
    <t>산업용</t>
  </si>
  <si>
    <t>연료전지</t>
  </si>
  <si>
    <t>열병합</t>
  </si>
  <si>
    <t>열전용설비</t>
  </si>
  <si>
    <t>일반</t>
  </si>
  <si>
    <t>취사전용</t>
  </si>
  <si>
    <t>수요가부담금</t>
  </si>
  <si>
    <t>총시설분담금</t>
  </si>
  <si>
    <t>취사용(MJ)</t>
  </si>
  <si>
    <t>개별난방용(MJ)</t>
  </si>
  <si>
    <t>중앙난방용(MJ)</t>
  </si>
  <si>
    <t>일반용(영업1)(MJ)</t>
  </si>
  <si>
    <t>일반용(영업2)(MJ)</t>
  </si>
  <si>
    <t>업무난방용(MJ)</t>
  </si>
  <si>
    <t>냉방용난방(MJ)</t>
  </si>
  <si>
    <t>냉방용냉방(MJ)</t>
  </si>
  <si>
    <t>임당동 경산지식산업센터</t>
  </si>
  <si>
    <t>수요조사후분석</t>
  </si>
  <si>
    <t>진천동 79-9번지(K구간)</t>
  </si>
  <si>
    <t>복현지구주거환경개선사업 인입</t>
  </si>
  <si>
    <t>2025-2A00067</t>
  </si>
  <si>
    <t>기본설계후</t>
  </si>
  <si>
    <t>사일동주거복합(사일동더샵) 인입</t>
  </si>
  <si>
    <t>2025-2A00072</t>
  </si>
  <si>
    <t>한도초과</t>
  </si>
  <si>
    <t>용도</t>
  </si>
  <si>
    <t>구청</t>
  </si>
  <si>
    <t>공동주택</t>
    <phoneticPr fontId="18" type="noConversion"/>
  </si>
  <si>
    <t>중구</t>
    <phoneticPr fontId="18" type="noConversion"/>
  </si>
  <si>
    <t>사일동주거복합(사일동더샵)인입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</si>
</sst>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2">
    <xf numFmtId="0" fontId="0" fillId="0" borderId="0" xfId="0">
      <alignment vertical="center"/>
    </xf>
    <xf numFmtId="3" fontId="0" fillId="0" borderId="0" xfId="0" applyNumberFormat="1">
      <alignment vertical="center"/>
    </xf>
  </cellXfs>
  <cellStyles count="44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 2" xfId="43" xr:uid="{A6BD40FE-7C4F-49FE-B897-0A14FCC3476C}"/>
    <cellStyle name="쉼표 [0] 3" xfId="42" xr:uid="{3C636C92-F959-4FD5-9A9F-B15D5155EAA6}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9168E-4ECC-4CAD-A576-8BD45D1FADF3}">
  <dimension ref="A1:BS7"/>
  <sheetViews>
    <sheetView tabSelected="1" workbookViewId="0">
      <selection activeCell="P17" sqref="P17"/>
    </sheetView>
  </sheetViews>
  <sheetFormatPr defaultRowHeight="16.5" x14ac:dyDescent="0.3"/>
  <cols>
    <col min="3" max="3" width="14" customWidth="1"/>
    <col min="7" max="7" width="14.625" customWidth="1"/>
    <col min="68" max="69" width="11.5" customWidth="1"/>
  </cols>
  <sheetData>
    <row r="1" spans="1:71" x14ac:dyDescent="0.3">
      <c r="C1" t="s">
        <v>0</v>
      </c>
      <c r="D1" t="s">
        <v>1</v>
      </c>
      <c r="E1" t="s">
        <v>2</v>
      </c>
      <c r="F1" t="s">
        <v>3</v>
      </c>
      <c r="H1" t="s">
        <v>4</v>
      </c>
      <c r="P1" t="s">
        <v>5</v>
      </c>
      <c r="Y1" t="s">
        <v>6</v>
      </c>
      <c r="AA1" t="s">
        <v>7</v>
      </c>
      <c r="AC1" t="s">
        <v>8</v>
      </c>
      <c r="AE1" t="s">
        <v>9</v>
      </c>
      <c r="AG1" t="s">
        <v>10</v>
      </c>
      <c r="AH1" t="s">
        <v>11</v>
      </c>
      <c r="AS1" t="s">
        <v>12</v>
      </c>
      <c r="AT1" t="s">
        <v>13</v>
      </c>
      <c r="AX1" t="s">
        <v>14</v>
      </c>
      <c r="AY1" t="s">
        <v>15</v>
      </c>
      <c r="BL1" t="s">
        <v>16</v>
      </c>
      <c r="BM1" t="s">
        <v>17</v>
      </c>
      <c r="BN1" t="s">
        <v>18</v>
      </c>
      <c r="BO1" t="s">
        <v>19</v>
      </c>
    </row>
    <row r="2" spans="1:71" x14ac:dyDescent="0.3">
      <c r="F2" t="s">
        <v>20</v>
      </c>
      <c r="G2" t="s">
        <v>21</v>
      </c>
      <c r="H2" t="s">
        <v>22</v>
      </c>
      <c r="J2" t="s">
        <v>23</v>
      </c>
      <c r="L2" t="s">
        <v>24</v>
      </c>
      <c r="N2" t="s">
        <v>25</v>
      </c>
      <c r="P2" t="s">
        <v>26</v>
      </c>
      <c r="R2" t="s">
        <v>27</v>
      </c>
      <c r="T2" t="s">
        <v>28</v>
      </c>
      <c r="V2" t="s">
        <v>29</v>
      </c>
      <c r="AH2" t="s">
        <v>30</v>
      </c>
      <c r="AK2" t="s">
        <v>31</v>
      </c>
      <c r="AY2" t="s">
        <v>32</v>
      </c>
      <c r="BB2" t="s">
        <v>33</v>
      </c>
      <c r="BG2" t="s">
        <v>34</v>
      </c>
      <c r="BH2" t="s">
        <v>35</v>
      </c>
      <c r="BI2" t="s">
        <v>36</v>
      </c>
      <c r="BJ2" t="s">
        <v>37</v>
      </c>
      <c r="BK2" t="s">
        <v>38</v>
      </c>
      <c r="BO2" t="s">
        <v>39</v>
      </c>
      <c r="BP2" t="s">
        <v>40</v>
      </c>
      <c r="BQ2" t="s">
        <v>41</v>
      </c>
      <c r="BR2" t="s">
        <v>42</v>
      </c>
      <c r="BS2" t="s">
        <v>43</v>
      </c>
    </row>
    <row r="4" spans="1:71" x14ac:dyDescent="0.3">
      <c r="A4" t="s">
        <v>79</v>
      </c>
      <c r="B4" t="s">
        <v>80</v>
      </c>
      <c r="H4" t="s">
        <v>44</v>
      </c>
      <c r="I4" t="s">
        <v>45</v>
      </c>
      <c r="J4" t="s">
        <v>44</v>
      </c>
      <c r="K4" t="s">
        <v>45</v>
      </c>
      <c r="L4" t="s">
        <v>44</v>
      </c>
      <c r="M4" t="s">
        <v>45</v>
      </c>
      <c r="N4" t="s">
        <v>46</v>
      </c>
      <c r="O4" t="s">
        <v>47</v>
      </c>
      <c r="P4" t="s">
        <v>46</v>
      </c>
      <c r="Q4" t="s">
        <v>47</v>
      </c>
      <c r="R4" t="s">
        <v>46</v>
      </c>
      <c r="S4" t="s">
        <v>47</v>
      </c>
      <c r="T4" t="s">
        <v>46</v>
      </c>
      <c r="U4" t="s">
        <v>48</v>
      </c>
      <c r="V4" t="s">
        <v>46</v>
      </c>
      <c r="W4" t="s">
        <v>48</v>
      </c>
      <c r="X4" t="s">
        <v>49</v>
      </c>
      <c r="Y4" t="s">
        <v>46</v>
      </c>
      <c r="Z4" t="s">
        <v>47</v>
      </c>
      <c r="AA4" t="s">
        <v>46</v>
      </c>
      <c r="AB4" t="s">
        <v>47</v>
      </c>
      <c r="AC4" t="s">
        <v>46</v>
      </c>
      <c r="AD4" t="s">
        <v>47</v>
      </c>
      <c r="AE4" t="s">
        <v>46</v>
      </c>
      <c r="AF4" t="s">
        <v>47</v>
      </c>
      <c r="AH4" t="s">
        <v>44</v>
      </c>
      <c r="AI4" t="s">
        <v>45</v>
      </c>
      <c r="AJ4" t="s">
        <v>50</v>
      </c>
      <c r="AK4" t="s">
        <v>51</v>
      </c>
      <c r="AL4" t="s">
        <v>52</v>
      </c>
      <c r="AM4" t="s">
        <v>28</v>
      </c>
      <c r="AN4" t="s">
        <v>53</v>
      </c>
      <c r="AO4" t="s">
        <v>54</v>
      </c>
      <c r="AP4" t="s">
        <v>55</v>
      </c>
      <c r="AQ4" t="s">
        <v>56</v>
      </c>
      <c r="AR4" t="s">
        <v>57</v>
      </c>
      <c r="AT4" t="s">
        <v>58</v>
      </c>
      <c r="AU4" t="s">
        <v>59</v>
      </c>
      <c r="AV4" t="s">
        <v>60</v>
      </c>
      <c r="AW4" t="s">
        <v>61</v>
      </c>
      <c r="AY4" t="s">
        <v>62</v>
      </c>
      <c r="AZ4" t="s">
        <v>63</v>
      </c>
      <c r="BA4" t="s">
        <v>64</v>
      </c>
      <c r="BB4" t="s">
        <v>65</v>
      </c>
      <c r="BC4" t="s">
        <v>66</v>
      </c>
      <c r="BD4" t="s">
        <v>67</v>
      </c>
      <c r="BE4" t="s">
        <v>68</v>
      </c>
      <c r="BF4" t="s">
        <v>69</v>
      </c>
    </row>
    <row r="5" spans="1:71" x14ac:dyDescent="0.3">
      <c r="A5" t="s">
        <v>81</v>
      </c>
      <c r="B5" t="s">
        <v>82</v>
      </c>
      <c r="C5" t="s">
        <v>83</v>
      </c>
      <c r="D5" t="s">
        <v>77</v>
      </c>
      <c r="E5" t="s">
        <v>75</v>
      </c>
      <c r="F5">
        <v>49</v>
      </c>
      <c r="G5" s="1">
        <v>67366000</v>
      </c>
      <c r="H5">
        <v>0</v>
      </c>
      <c r="I5">
        <v>355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355</v>
      </c>
      <c r="AH5">
        <v>0</v>
      </c>
      <c r="AI5" s="1">
        <v>1420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 s="1">
        <v>1420</v>
      </c>
      <c r="AT5" s="1">
        <v>32276600</v>
      </c>
      <c r="AU5">
        <v>0</v>
      </c>
      <c r="AV5">
        <v>0</v>
      </c>
      <c r="AW5" s="1">
        <v>32276600</v>
      </c>
      <c r="AX5">
        <v>0</v>
      </c>
      <c r="AY5">
        <v>0</v>
      </c>
      <c r="AZ5" s="1">
        <v>9295320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 s="1">
        <v>9295320</v>
      </c>
      <c r="BL5" s="1">
        <v>219705113</v>
      </c>
      <c r="BM5" s="1">
        <v>193802774</v>
      </c>
      <c r="BN5" s="1">
        <v>25902339</v>
      </c>
      <c r="BO5">
        <v>2</v>
      </c>
      <c r="BP5" s="1">
        <v>254826759</v>
      </c>
      <c r="BQ5">
        <v>60.99</v>
      </c>
      <c r="BR5">
        <v>724.5</v>
      </c>
      <c r="BS5">
        <v>0</v>
      </c>
    </row>
    <row r="7" spans="1:71" x14ac:dyDescent="0.3">
      <c r="E7" t="s">
        <v>81</v>
      </c>
      <c r="F7">
        <f>F5</f>
        <v>49</v>
      </c>
      <c r="G7">
        <f>G5</f>
        <v>67366000</v>
      </c>
      <c r="BO7" t="s">
        <v>81</v>
      </c>
      <c r="BP7">
        <f>BP5</f>
        <v>254826759</v>
      </c>
      <c r="BQ7">
        <f>BQ5</f>
        <v>60.99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66E24-CD51-48B7-8A17-2395658E8260}">
  <dimension ref="A1:BQ10"/>
  <sheetViews>
    <sheetView workbookViewId="0"/>
  </sheetViews>
  <sheetFormatPr defaultRowHeight="16.5" x14ac:dyDescent="0.3"/>
  <sheetData>
    <row r="1" spans="1:69" x14ac:dyDescent="0.3">
      <c r="A1" t="s">
        <v>0</v>
      </c>
      <c r="B1" t="s">
        <v>1</v>
      </c>
      <c r="C1" t="s">
        <v>2</v>
      </c>
      <c r="D1" t="s">
        <v>3</v>
      </c>
      <c r="F1" t="s">
        <v>4</v>
      </c>
      <c r="N1" t="s">
        <v>5</v>
      </c>
      <c r="W1" t="s">
        <v>6</v>
      </c>
      <c r="Y1" t="s">
        <v>7</v>
      </c>
      <c r="AA1" t="s">
        <v>8</v>
      </c>
      <c r="AC1" t="s">
        <v>9</v>
      </c>
      <c r="AE1" t="s">
        <v>10</v>
      </c>
      <c r="AF1" t="s">
        <v>11</v>
      </c>
      <c r="AQ1" t="s">
        <v>12</v>
      </c>
      <c r="AR1" t="s">
        <v>13</v>
      </c>
      <c r="AV1" t="s">
        <v>14</v>
      </c>
      <c r="AW1" t="s">
        <v>15</v>
      </c>
      <c r="BJ1" t="s">
        <v>16</v>
      </c>
      <c r="BK1" t="s">
        <v>17</v>
      </c>
      <c r="BL1" t="s">
        <v>18</v>
      </c>
      <c r="BM1" t="s">
        <v>19</v>
      </c>
    </row>
    <row r="2" spans="1:69" x14ac:dyDescent="0.3">
      <c r="D2" t="s">
        <v>20</v>
      </c>
      <c r="E2" t="s">
        <v>21</v>
      </c>
      <c r="F2" t="s">
        <v>22</v>
      </c>
      <c r="H2" t="s">
        <v>23</v>
      </c>
      <c r="J2" t="s">
        <v>24</v>
      </c>
      <c r="L2" t="s">
        <v>25</v>
      </c>
      <c r="N2" t="s">
        <v>26</v>
      </c>
      <c r="P2" t="s">
        <v>27</v>
      </c>
      <c r="R2" t="s">
        <v>28</v>
      </c>
      <c r="T2" t="s">
        <v>29</v>
      </c>
      <c r="AF2" t="s">
        <v>30</v>
      </c>
      <c r="AI2" t="s">
        <v>31</v>
      </c>
      <c r="AW2" t="s">
        <v>32</v>
      </c>
      <c r="AZ2" t="s">
        <v>33</v>
      </c>
      <c r="BE2" t="s">
        <v>34</v>
      </c>
      <c r="BF2" t="s">
        <v>35</v>
      </c>
      <c r="BG2" t="s">
        <v>36</v>
      </c>
      <c r="BH2" t="s">
        <v>37</v>
      </c>
      <c r="BI2" t="s">
        <v>38</v>
      </c>
      <c r="BM2" t="s">
        <v>39</v>
      </c>
      <c r="BN2" t="s">
        <v>40</v>
      </c>
      <c r="BO2" t="s">
        <v>41</v>
      </c>
      <c r="BP2" t="s">
        <v>42</v>
      </c>
      <c r="BQ2" t="s">
        <v>43</v>
      </c>
    </row>
    <row r="4" spans="1:69" x14ac:dyDescent="0.3">
      <c r="F4" t="s">
        <v>44</v>
      </c>
      <c r="G4" t="s">
        <v>45</v>
      </c>
      <c r="H4" t="s">
        <v>44</v>
      </c>
      <c r="I4" t="s">
        <v>45</v>
      </c>
      <c r="J4" t="s">
        <v>44</v>
      </c>
      <c r="K4" t="s">
        <v>45</v>
      </c>
      <c r="L4" t="s">
        <v>46</v>
      </c>
      <c r="M4" t="s">
        <v>47</v>
      </c>
      <c r="N4" t="s">
        <v>46</v>
      </c>
      <c r="O4" t="s">
        <v>47</v>
      </c>
      <c r="P4" t="s">
        <v>46</v>
      </c>
      <c r="Q4" t="s">
        <v>47</v>
      </c>
      <c r="R4" t="s">
        <v>46</v>
      </c>
      <c r="S4" t="s">
        <v>48</v>
      </c>
      <c r="T4" t="s">
        <v>46</v>
      </c>
      <c r="U4" t="s">
        <v>48</v>
      </c>
      <c r="V4" t="s">
        <v>49</v>
      </c>
      <c r="W4" t="s">
        <v>46</v>
      </c>
      <c r="X4" t="s">
        <v>47</v>
      </c>
      <c r="Y4" t="s">
        <v>46</v>
      </c>
      <c r="Z4" t="s">
        <v>47</v>
      </c>
      <c r="AA4" t="s">
        <v>46</v>
      </c>
      <c r="AB4" t="s">
        <v>47</v>
      </c>
      <c r="AC4" t="s">
        <v>46</v>
      </c>
      <c r="AD4" t="s">
        <v>47</v>
      </c>
      <c r="AF4" t="s">
        <v>44</v>
      </c>
      <c r="AG4" t="s">
        <v>45</v>
      </c>
      <c r="AH4" t="s">
        <v>50</v>
      </c>
      <c r="AI4" t="s">
        <v>51</v>
      </c>
      <c r="AJ4" t="s">
        <v>52</v>
      </c>
      <c r="AK4" t="s">
        <v>28</v>
      </c>
      <c r="AL4" t="s">
        <v>53</v>
      </c>
      <c r="AM4" t="s">
        <v>54</v>
      </c>
      <c r="AN4" t="s">
        <v>55</v>
      </c>
      <c r="AO4" t="s">
        <v>56</v>
      </c>
      <c r="AP4" t="s">
        <v>57</v>
      </c>
      <c r="AR4" t="s">
        <v>58</v>
      </c>
      <c r="AS4" t="s">
        <v>59</v>
      </c>
      <c r="AT4" t="s">
        <v>60</v>
      </c>
      <c r="AU4" t="s">
        <v>61</v>
      </c>
      <c r="AW4" t="s">
        <v>62</v>
      </c>
      <c r="AX4" t="s">
        <v>63</v>
      </c>
      <c r="AY4" t="s">
        <v>64</v>
      </c>
      <c r="AZ4" t="s">
        <v>65</v>
      </c>
      <c r="BA4" t="s">
        <v>66</v>
      </c>
      <c r="BB4" t="s">
        <v>67</v>
      </c>
      <c r="BC4" t="s">
        <v>68</v>
      </c>
      <c r="BD4" t="s">
        <v>69</v>
      </c>
    </row>
    <row r="5" spans="1:69" x14ac:dyDescent="0.3">
      <c r="A5" t="s">
        <v>70</v>
      </c>
      <c r="C5" t="s">
        <v>71</v>
      </c>
      <c r="D5">
        <v>150</v>
      </c>
      <c r="E5" s="1">
        <v>87000000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3</v>
      </c>
      <c r="O5" s="1">
        <v>118388</v>
      </c>
      <c r="P5">
        <v>0</v>
      </c>
      <c r="Q5">
        <v>0</v>
      </c>
      <c r="R5">
        <v>1</v>
      </c>
      <c r="S5" s="1">
        <v>3594</v>
      </c>
      <c r="T5">
        <v>1</v>
      </c>
      <c r="U5" s="1">
        <v>63584</v>
      </c>
      <c r="V5" s="1">
        <v>79480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5</v>
      </c>
      <c r="AF5">
        <v>0</v>
      </c>
      <c r="AG5">
        <v>0</v>
      </c>
      <c r="AH5">
        <v>0</v>
      </c>
      <c r="AI5">
        <v>86</v>
      </c>
      <c r="AJ5">
        <v>0</v>
      </c>
      <c r="AK5">
        <v>6</v>
      </c>
      <c r="AL5">
        <v>104</v>
      </c>
      <c r="AM5">
        <v>0</v>
      </c>
      <c r="AN5">
        <v>0</v>
      </c>
      <c r="AO5">
        <v>0</v>
      </c>
      <c r="AP5">
        <v>0</v>
      </c>
      <c r="AQ5">
        <v>196</v>
      </c>
      <c r="AR5" s="1">
        <v>4455080</v>
      </c>
      <c r="AS5">
        <v>0</v>
      </c>
      <c r="AT5">
        <v>0</v>
      </c>
      <c r="AU5" s="1">
        <v>4455080</v>
      </c>
      <c r="AV5">
        <v>0</v>
      </c>
      <c r="AW5">
        <v>0</v>
      </c>
      <c r="AX5">
        <v>0</v>
      </c>
      <c r="AY5">
        <v>0</v>
      </c>
      <c r="AZ5" s="1">
        <v>1420665</v>
      </c>
      <c r="BA5">
        <v>0</v>
      </c>
      <c r="BB5" s="1">
        <v>43135</v>
      </c>
      <c r="BC5" s="1">
        <v>763010</v>
      </c>
      <c r="BD5" s="1">
        <v>953763</v>
      </c>
      <c r="BE5">
        <v>0</v>
      </c>
      <c r="BF5">
        <v>0</v>
      </c>
      <c r="BG5">
        <v>0</v>
      </c>
      <c r="BH5">
        <v>0</v>
      </c>
      <c r="BI5" s="1">
        <v>3180573</v>
      </c>
      <c r="BJ5" s="1">
        <v>62712165</v>
      </c>
      <c r="BK5" s="1">
        <v>52255097</v>
      </c>
      <c r="BL5" s="1">
        <v>10457068</v>
      </c>
      <c r="BM5">
        <v>28</v>
      </c>
      <c r="BN5" s="1">
        <v>2302219</v>
      </c>
      <c r="BO5">
        <v>6.41</v>
      </c>
      <c r="BP5">
        <v>32.700000000000003</v>
      </c>
      <c r="BQ5">
        <v>0</v>
      </c>
    </row>
    <row r="6" spans="1:69" x14ac:dyDescent="0.3">
      <c r="A6" t="s">
        <v>72</v>
      </c>
      <c r="C6" t="s">
        <v>71</v>
      </c>
      <c r="E6" s="1">
        <v>4180000</v>
      </c>
      <c r="F6">
        <v>0</v>
      </c>
      <c r="G6">
        <v>0</v>
      </c>
      <c r="H6">
        <v>0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1</v>
      </c>
      <c r="AF6">
        <v>0</v>
      </c>
      <c r="AG6">
        <v>4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4</v>
      </c>
      <c r="AR6" s="1">
        <v>90920</v>
      </c>
      <c r="AS6">
        <v>0</v>
      </c>
      <c r="AT6" s="1">
        <v>788936</v>
      </c>
      <c r="AU6" s="1">
        <v>879856</v>
      </c>
      <c r="AV6">
        <v>0</v>
      </c>
      <c r="AW6">
        <v>0</v>
      </c>
      <c r="AX6" s="1">
        <v>27876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 s="1">
        <v>27876</v>
      </c>
      <c r="BJ6" s="1">
        <v>658879</v>
      </c>
      <c r="BK6" s="1">
        <v>581200</v>
      </c>
      <c r="BL6" s="1">
        <v>77679</v>
      </c>
      <c r="BM6">
        <v>1</v>
      </c>
      <c r="BN6" s="1">
        <v>1761407</v>
      </c>
      <c r="BO6">
        <v>-3.1</v>
      </c>
      <c r="BP6">
        <v>10</v>
      </c>
      <c r="BQ6">
        <v>0</v>
      </c>
    </row>
    <row r="7" spans="1:69" x14ac:dyDescent="0.3">
      <c r="A7" t="s">
        <v>73</v>
      </c>
      <c r="B7" t="s">
        <v>74</v>
      </c>
      <c r="C7" t="s">
        <v>71</v>
      </c>
      <c r="D7">
        <v>143</v>
      </c>
      <c r="E7" s="1">
        <v>51077655</v>
      </c>
      <c r="F7">
        <v>0</v>
      </c>
      <c r="G7">
        <v>278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278</v>
      </c>
      <c r="AF7">
        <v>0</v>
      </c>
      <c r="AG7" s="1">
        <v>1112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 s="1">
        <v>1112</v>
      </c>
      <c r="AR7" s="1">
        <v>25275760</v>
      </c>
      <c r="AS7">
        <v>0</v>
      </c>
      <c r="AT7">
        <v>0</v>
      </c>
      <c r="AU7" s="1">
        <v>25275760</v>
      </c>
      <c r="AV7">
        <v>0</v>
      </c>
      <c r="AW7">
        <v>0</v>
      </c>
      <c r="AX7" s="1">
        <v>7279152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 s="1">
        <v>7279152</v>
      </c>
      <c r="BJ7" s="1">
        <v>172050764</v>
      </c>
      <c r="BK7" s="1">
        <v>151766679</v>
      </c>
      <c r="BL7" s="1">
        <v>20284085</v>
      </c>
      <c r="BM7">
        <v>2</v>
      </c>
      <c r="BN7" s="1">
        <v>181144385</v>
      </c>
      <c r="BO7">
        <v>57.77</v>
      </c>
      <c r="BP7">
        <v>195.8</v>
      </c>
      <c r="BQ7">
        <v>0</v>
      </c>
    </row>
    <row r="8" spans="1:69" x14ac:dyDescent="0.3">
      <c r="A8" t="s">
        <v>73</v>
      </c>
      <c r="B8" t="s">
        <v>74</v>
      </c>
      <c r="C8" t="s">
        <v>75</v>
      </c>
      <c r="D8">
        <v>142</v>
      </c>
      <c r="E8" s="1">
        <v>132410000</v>
      </c>
      <c r="F8">
        <v>0</v>
      </c>
      <c r="G8">
        <v>278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278</v>
      </c>
      <c r="AF8">
        <v>0</v>
      </c>
      <c r="AG8" s="1">
        <v>1112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 s="1">
        <v>1112</v>
      </c>
      <c r="AR8" s="1">
        <v>25275760</v>
      </c>
      <c r="AS8">
        <v>0</v>
      </c>
      <c r="AT8">
        <v>0</v>
      </c>
      <c r="AU8" s="1">
        <v>25275760</v>
      </c>
      <c r="AV8">
        <v>0</v>
      </c>
      <c r="AW8">
        <v>0</v>
      </c>
      <c r="AX8" s="1">
        <v>7279152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 s="1">
        <v>7279152</v>
      </c>
      <c r="BJ8" s="1">
        <v>172050764</v>
      </c>
      <c r="BK8" s="1">
        <v>151766679</v>
      </c>
      <c r="BL8" s="1">
        <v>20284085</v>
      </c>
      <c r="BM8">
        <v>10</v>
      </c>
      <c r="BN8" s="1">
        <v>103179075</v>
      </c>
      <c r="BO8">
        <v>14.22</v>
      </c>
      <c r="BP8">
        <v>195.8</v>
      </c>
      <c r="BQ8">
        <v>0</v>
      </c>
    </row>
    <row r="9" spans="1:69" x14ac:dyDescent="0.3">
      <c r="A9" t="s">
        <v>76</v>
      </c>
      <c r="B9" t="s">
        <v>77</v>
      </c>
      <c r="C9" t="s">
        <v>71</v>
      </c>
      <c r="D9">
        <v>49</v>
      </c>
      <c r="E9" s="1">
        <v>25085599</v>
      </c>
      <c r="F9">
        <v>0</v>
      </c>
      <c r="G9">
        <v>355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355</v>
      </c>
      <c r="AF9">
        <v>0</v>
      </c>
      <c r="AG9" s="1">
        <v>1420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 s="1">
        <v>1420</v>
      </c>
      <c r="AR9" s="1">
        <v>32276600</v>
      </c>
      <c r="AS9">
        <v>0</v>
      </c>
      <c r="AT9">
        <v>0</v>
      </c>
      <c r="AU9" s="1">
        <v>32276600</v>
      </c>
      <c r="AV9">
        <v>0</v>
      </c>
      <c r="AW9">
        <v>0</v>
      </c>
      <c r="AX9" s="1">
        <v>9295320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 s="1">
        <v>9295320</v>
      </c>
      <c r="BJ9" s="1">
        <v>219705113</v>
      </c>
      <c r="BK9" s="1">
        <v>193802774</v>
      </c>
      <c r="BL9" s="1">
        <v>25902339</v>
      </c>
      <c r="BM9">
        <v>1</v>
      </c>
      <c r="BN9" s="1">
        <v>293116931</v>
      </c>
      <c r="BO9" t="s">
        <v>78</v>
      </c>
      <c r="BP9">
        <v>724.5</v>
      </c>
      <c r="BQ9">
        <v>0</v>
      </c>
    </row>
    <row r="10" spans="1:69" x14ac:dyDescent="0.3">
      <c r="A10" t="s">
        <v>76</v>
      </c>
      <c r="B10" t="s">
        <v>77</v>
      </c>
      <c r="C10" t="s">
        <v>75</v>
      </c>
      <c r="D10">
        <v>49</v>
      </c>
      <c r="E10" s="1">
        <v>67366000</v>
      </c>
      <c r="F10">
        <v>0</v>
      </c>
      <c r="G10">
        <v>355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355</v>
      </c>
      <c r="AF10">
        <v>0</v>
      </c>
      <c r="AG10" s="1">
        <v>1420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 s="1">
        <v>1420</v>
      </c>
      <c r="AR10" s="1">
        <v>32276600</v>
      </c>
      <c r="AS10">
        <v>0</v>
      </c>
      <c r="AT10">
        <v>0</v>
      </c>
      <c r="AU10" s="1">
        <v>32276600</v>
      </c>
      <c r="AV10">
        <v>0</v>
      </c>
      <c r="AW10">
        <v>0</v>
      </c>
      <c r="AX10" s="1">
        <v>9295320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 s="1">
        <v>9295320</v>
      </c>
      <c r="BJ10" s="1">
        <v>219705113</v>
      </c>
      <c r="BK10" s="1">
        <v>193802774</v>
      </c>
      <c r="BL10" s="1">
        <v>25902339</v>
      </c>
      <c r="BM10">
        <v>2</v>
      </c>
      <c r="BN10" s="1">
        <v>254826759</v>
      </c>
      <c r="BO10">
        <v>60.99</v>
      </c>
      <c r="BP10">
        <v>724.5</v>
      </c>
      <c r="BQ10">
        <v>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raw (2)</vt:lpstr>
      <vt:lpstr>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최 한엽</cp:lastModifiedBy>
  <dcterms:created xsi:type="dcterms:W3CDTF">2026-01-08T23:25:13Z</dcterms:created>
  <dcterms:modified xsi:type="dcterms:W3CDTF">2026-01-08T23:27:13Z</dcterms:modified>
</cp:coreProperties>
</file>