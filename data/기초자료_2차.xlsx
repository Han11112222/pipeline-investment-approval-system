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5.배관투자\2026년_2차\"/>
    </mc:Choice>
  </mc:AlternateContent>
  <xr:revisionPtr revIDLastSave="0" documentId="13_ncr:1_{3EA43813-2175-4740-B91F-B5B97752359D}" xr6:coauthVersionLast="47" xr6:coauthVersionMax="47" xr10:uidLastSave="{00000000-0000-0000-0000-000000000000}"/>
  <bookViews>
    <workbookView xWindow="-28920" yWindow="585" windowWidth="29040" windowHeight="15720" xr2:uid="{F0866129-8FAB-4BC7-A838-5AD701D71471}"/>
  </bookViews>
  <sheets>
    <sheet name="raw (2)" sheetId="2" r:id="rId1"/>
    <sheet name="raw" sheetId="1" r:id="rId2"/>
  </sheets>
  <definedNames>
    <definedName name="_xlnm._FilterDatabase" localSheetId="1" hidden="1">raw!$A$4:$BQ$16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8" i="2" l="1"/>
  <c r="BM8" i="2"/>
  <c r="BL8" i="2"/>
  <c r="AW8" i="2"/>
  <c r="AV8" i="2"/>
  <c r="AU8" i="2"/>
  <c r="AT8" i="2"/>
  <c r="BQ8" i="2"/>
  <c r="BP8" i="2"/>
  <c r="F8" i="2"/>
  <c r="G8" i="2"/>
</calcChain>
</file>

<file path=xl/sharedStrings.xml><?xml version="1.0" encoding="utf-8"?>
<sst xmlns="http://schemas.openxmlformats.org/spreadsheetml/2006/main" count="227" uniqueCount="93">
  <si>
    <t xml:space="preserve">  구간명</t>
  </si>
  <si>
    <t xml:space="preserve">  관리번호</t>
  </si>
  <si>
    <t xml:space="preserve">  분석단계</t>
  </si>
  <si>
    <t>투자내역</t>
  </si>
  <si>
    <t>가    정    용  [ (전,월) ]</t>
  </si>
  <si>
    <t>일    반    용  [ MJ / (전,월) ]</t>
  </si>
  <si>
    <t>산  업  용 [ MJ / (전,월) ]</t>
  </si>
  <si>
    <t>연 료 전 지 [ MJ / (전,월) ]</t>
  </si>
  <si>
    <t>열  병  합 [ MJ / (전,월) ]</t>
  </si>
  <si>
    <t>열전용설비 [ MJ / (전,월) ]</t>
  </si>
  <si>
    <t>수 요  전 수 계</t>
  </si>
  <si>
    <t>용도별 표준가스 소비량 합계</t>
  </si>
  <si>
    <t xml:space="preserve">  계</t>
  </si>
  <si>
    <t xml:space="preserve"> 시설분담금</t>
  </si>
  <si>
    <t>기타이익 (수요가부담   공사비 등)</t>
  </si>
  <si>
    <t>연    간        판    매    량 [ MJ / 년 ]</t>
  </si>
  <si>
    <t>연    간 판 매 액 [원 / 년]</t>
  </si>
  <si>
    <t>연    간 판매원가 [원 / 년]</t>
  </si>
  <si>
    <t>연    간 판매수익 [원 / 년]</t>
  </si>
  <si>
    <t>경제성분석</t>
  </si>
  <si>
    <t xml:space="preserve">길이  (m) </t>
  </si>
  <si>
    <t xml:space="preserve">배관투자금액  (원) </t>
  </si>
  <si>
    <t>공동주택전수</t>
  </si>
  <si>
    <t>단독주택전수</t>
  </si>
  <si>
    <t>원룸전수</t>
  </si>
  <si>
    <t>중앙난방(중집)</t>
  </si>
  <si>
    <t>일반용(영업1)</t>
  </si>
  <si>
    <t>일반용(영업2)</t>
  </si>
  <si>
    <t>업무난방</t>
  </si>
  <si>
    <t>냉난방</t>
  </si>
  <si>
    <t>주  택  용</t>
  </si>
  <si>
    <t>주  택  용  외</t>
  </si>
  <si>
    <t>가정용</t>
  </si>
  <si>
    <t>일반용</t>
  </si>
  <si>
    <t xml:space="preserve"> 산업용(MJ)</t>
  </si>
  <si>
    <t xml:space="preserve"> 연료전지(MJ)</t>
  </si>
  <si>
    <t xml:space="preserve"> 열병합(MJ)</t>
  </si>
  <si>
    <t xml:space="preserve"> 열전용설비(MJ)</t>
  </si>
  <si>
    <t xml:space="preserve"> 계 (MJ)</t>
  </si>
  <si>
    <t>회 수 년 수</t>
  </si>
  <si>
    <t>NPV (원)</t>
  </si>
  <si>
    <t>IRR (%)</t>
  </si>
  <si>
    <t>100m 환산 세대수</t>
  </si>
  <si>
    <t>주택용 인입관비 배분액</t>
  </si>
  <si>
    <t>취사</t>
  </si>
  <si>
    <t>난방</t>
  </si>
  <si>
    <t>전수</t>
  </si>
  <si>
    <t>판매열량(MJ)</t>
  </si>
  <si>
    <t>난방판매(MJ)</t>
  </si>
  <si>
    <t>냉방판매(MJ)</t>
  </si>
  <si>
    <t>중앙</t>
  </si>
  <si>
    <t>일반용1</t>
  </si>
  <si>
    <t>일반용2</t>
  </si>
  <si>
    <t>냉난방용</t>
  </si>
  <si>
    <t>산업용</t>
  </si>
  <si>
    <t>연료전지</t>
  </si>
  <si>
    <t>열병합</t>
  </si>
  <si>
    <t>열전용설비</t>
  </si>
  <si>
    <t>일반</t>
  </si>
  <si>
    <t>취사전용</t>
  </si>
  <si>
    <t>수요가부담금</t>
  </si>
  <si>
    <t>총시설분담금</t>
  </si>
  <si>
    <t>취사용(MJ)</t>
  </si>
  <si>
    <t>개별난방용(MJ)</t>
  </si>
  <si>
    <t>중앙난방용(MJ)</t>
  </si>
  <si>
    <t>일반용(영업1)(MJ)</t>
  </si>
  <si>
    <t>일반용(영업2)(MJ)</t>
  </si>
  <si>
    <t>업무난방용(MJ)</t>
  </si>
  <si>
    <t>냉방용난방(MJ)</t>
  </si>
  <si>
    <t>냉방용냉방(MJ)</t>
  </si>
  <si>
    <t>대명동 1568-22번지(L구간)</t>
  </si>
  <si>
    <t>수요조사후분석</t>
  </si>
  <si>
    <t>만촌동 974-21번지(K)</t>
  </si>
  <si>
    <t>복현지구주거환경개선사업 인입</t>
  </si>
  <si>
    <t>2025-2A00067</t>
  </si>
  <si>
    <t>기본설계후</t>
  </si>
  <si>
    <t>사일동주거복합(사일동더샵) 인입</t>
  </si>
  <si>
    <t>2025-2A00072</t>
  </si>
  <si>
    <t>한도초과</t>
  </si>
  <si>
    <t>임당동 경산지식산업센터2</t>
  </si>
  <si>
    <t>2026-2A00001</t>
  </si>
  <si>
    <t>두류동 108-14번지(K구간)</t>
  </si>
  <si>
    <t>진천동 79-9번지(K구간)</t>
  </si>
  <si>
    <t>대명동 73-4번지(K구간)</t>
  </si>
  <si>
    <t>입석동 931-31번지(K구간)</t>
  </si>
  <si>
    <t>용도</t>
  </si>
  <si>
    <t>구청</t>
  </si>
  <si>
    <t>공동주택</t>
    <phoneticPr fontId="18" type="noConversion"/>
  </si>
  <si>
    <t>동구</t>
    <phoneticPr fontId="18" type="noConversion"/>
  </si>
  <si>
    <t>경산시</t>
    <phoneticPr fontId="18" type="noConversion"/>
  </si>
  <si>
    <t>업무용</t>
    <phoneticPr fontId="18" type="noConversion"/>
  </si>
  <si>
    <t>복현지구주거환경개선사업인입</t>
    <phoneticPr fontId="18" type="noConversion"/>
  </si>
  <si>
    <t>임당동경산지식산업센터2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</si>
</sst>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3" xr:uid="{4618E840-9B0B-46AA-8295-A0A1224AA4AF}"/>
    <cellStyle name="쉼표 [0] 3" xfId="42" xr:uid="{922E7045-DD32-4887-A8E6-9684610FDA40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7556-1C19-4726-81C5-B990AFFBFDC5}">
  <dimension ref="A1:BS10"/>
  <sheetViews>
    <sheetView tabSelected="1" topLeftCell="BC1" workbookViewId="0">
      <selection activeCell="I13" sqref="I13"/>
    </sheetView>
  </sheetViews>
  <sheetFormatPr defaultRowHeight="16.5" x14ac:dyDescent="0.3"/>
  <cols>
    <col min="3" max="3" width="16" customWidth="1"/>
    <col min="7" max="7" width="11.375" customWidth="1"/>
    <col min="64" max="66" width="11.625" customWidth="1"/>
    <col min="68" max="68" width="11.375" bestFit="1" customWidth="1"/>
    <col min="69" max="69" width="7.75" bestFit="1" customWidth="1"/>
    <col min="70" max="70" width="17.5" bestFit="1" customWidth="1"/>
    <col min="71" max="71" width="22.75" bestFit="1" customWidth="1"/>
  </cols>
  <sheetData>
    <row r="1" spans="1:71" x14ac:dyDescent="0.3">
      <c r="C1" t="s">
        <v>0</v>
      </c>
      <c r="D1" t="s">
        <v>1</v>
      </c>
      <c r="E1" t="s">
        <v>2</v>
      </c>
      <c r="F1" t="s">
        <v>3</v>
      </c>
      <c r="H1" t="s">
        <v>4</v>
      </c>
      <c r="P1" t="s">
        <v>5</v>
      </c>
      <c r="Y1" t="s">
        <v>6</v>
      </c>
      <c r="AA1" t="s">
        <v>7</v>
      </c>
      <c r="AC1" t="s">
        <v>8</v>
      </c>
      <c r="AE1" t="s">
        <v>9</v>
      </c>
      <c r="AG1" t="s">
        <v>10</v>
      </c>
      <c r="AH1" t="s">
        <v>11</v>
      </c>
      <c r="AS1" t="s">
        <v>12</v>
      </c>
      <c r="AT1" t="s">
        <v>13</v>
      </c>
      <c r="AX1" t="s">
        <v>14</v>
      </c>
      <c r="AY1" t="s">
        <v>15</v>
      </c>
      <c r="BL1" t="s">
        <v>16</v>
      </c>
      <c r="BM1" t="s">
        <v>17</v>
      </c>
      <c r="BN1" t="s">
        <v>18</v>
      </c>
      <c r="BO1" t="s">
        <v>19</v>
      </c>
    </row>
    <row r="2" spans="1:71" x14ac:dyDescent="0.3">
      <c r="F2" t="s">
        <v>20</v>
      </c>
      <c r="G2" t="s">
        <v>21</v>
      </c>
      <c r="H2" t="s">
        <v>22</v>
      </c>
      <c r="J2" t="s">
        <v>23</v>
      </c>
      <c r="L2" t="s">
        <v>24</v>
      </c>
      <c r="N2" t="s">
        <v>25</v>
      </c>
      <c r="P2" t="s">
        <v>26</v>
      </c>
      <c r="R2" t="s">
        <v>27</v>
      </c>
      <c r="T2" t="s">
        <v>28</v>
      </c>
      <c r="V2" t="s">
        <v>29</v>
      </c>
      <c r="AH2" t="s">
        <v>30</v>
      </c>
      <c r="AK2" t="s">
        <v>31</v>
      </c>
      <c r="AY2" t="s">
        <v>32</v>
      </c>
      <c r="BB2" t="s">
        <v>33</v>
      </c>
      <c r="BG2" t="s">
        <v>34</v>
      </c>
      <c r="BH2" t="s">
        <v>35</v>
      </c>
      <c r="BI2" t="s">
        <v>36</v>
      </c>
      <c r="BJ2" t="s">
        <v>37</v>
      </c>
      <c r="BK2" t="s">
        <v>38</v>
      </c>
      <c r="BO2" t="s">
        <v>39</v>
      </c>
      <c r="BP2" t="s">
        <v>40</v>
      </c>
      <c r="BQ2" t="s">
        <v>41</v>
      </c>
      <c r="BR2" t="s">
        <v>42</v>
      </c>
      <c r="BS2" t="s">
        <v>43</v>
      </c>
    </row>
    <row r="4" spans="1:71" x14ac:dyDescent="0.3">
      <c r="A4" t="s">
        <v>85</v>
      </c>
      <c r="B4" t="s">
        <v>86</v>
      </c>
      <c r="H4" t="s">
        <v>44</v>
      </c>
      <c r="I4" t="s">
        <v>45</v>
      </c>
      <c r="J4" t="s">
        <v>44</v>
      </c>
      <c r="K4" t="s">
        <v>45</v>
      </c>
      <c r="L4" t="s">
        <v>44</v>
      </c>
      <c r="M4" t="s">
        <v>45</v>
      </c>
      <c r="N4" t="s">
        <v>46</v>
      </c>
      <c r="O4" t="s">
        <v>47</v>
      </c>
      <c r="P4" t="s">
        <v>46</v>
      </c>
      <c r="Q4" t="s">
        <v>47</v>
      </c>
      <c r="R4" t="s">
        <v>46</v>
      </c>
      <c r="S4" t="s">
        <v>47</v>
      </c>
      <c r="T4" t="s">
        <v>46</v>
      </c>
      <c r="U4" t="s">
        <v>48</v>
      </c>
      <c r="V4" t="s">
        <v>46</v>
      </c>
      <c r="W4" t="s">
        <v>48</v>
      </c>
      <c r="X4" t="s">
        <v>49</v>
      </c>
      <c r="Y4" t="s">
        <v>46</v>
      </c>
      <c r="Z4" t="s">
        <v>47</v>
      </c>
      <c r="AA4" t="s">
        <v>46</v>
      </c>
      <c r="AB4" t="s">
        <v>47</v>
      </c>
      <c r="AC4" t="s">
        <v>46</v>
      </c>
      <c r="AD4" t="s">
        <v>47</v>
      </c>
      <c r="AE4" t="s">
        <v>46</v>
      </c>
      <c r="AF4" t="s">
        <v>47</v>
      </c>
      <c r="AH4" t="s">
        <v>44</v>
      </c>
      <c r="AI4" t="s">
        <v>45</v>
      </c>
      <c r="AJ4" t="s">
        <v>50</v>
      </c>
      <c r="AK4" t="s">
        <v>51</v>
      </c>
      <c r="AL4" t="s">
        <v>52</v>
      </c>
      <c r="AM4" t="s">
        <v>28</v>
      </c>
      <c r="AN4" t="s">
        <v>53</v>
      </c>
      <c r="AO4" t="s">
        <v>54</v>
      </c>
      <c r="AP4" t="s">
        <v>55</v>
      </c>
      <c r="AQ4" t="s">
        <v>56</v>
      </c>
      <c r="AR4" t="s">
        <v>57</v>
      </c>
      <c r="AT4" t="s">
        <v>58</v>
      </c>
      <c r="AU4" t="s">
        <v>59</v>
      </c>
      <c r="AV4" t="s">
        <v>60</v>
      </c>
      <c r="AW4" t="s">
        <v>61</v>
      </c>
      <c r="AY4" t="s">
        <v>62</v>
      </c>
      <c r="AZ4" t="s">
        <v>63</v>
      </c>
      <c r="BA4" t="s">
        <v>64</v>
      </c>
      <c r="BB4" t="s">
        <v>65</v>
      </c>
      <c r="BC4" t="s">
        <v>66</v>
      </c>
      <c r="BD4" t="s">
        <v>67</v>
      </c>
      <c r="BE4" t="s">
        <v>68</v>
      </c>
      <c r="BF4" t="s">
        <v>69</v>
      </c>
    </row>
    <row r="5" spans="1:71" x14ac:dyDescent="0.3">
      <c r="A5" t="s">
        <v>87</v>
      </c>
      <c r="B5" t="s">
        <v>88</v>
      </c>
      <c r="C5" t="s">
        <v>91</v>
      </c>
      <c r="D5" t="s">
        <v>74</v>
      </c>
      <c r="E5" t="s">
        <v>75</v>
      </c>
      <c r="F5">
        <v>142</v>
      </c>
      <c r="G5" s="1">
        <v>132410000</v>
      </c>
      <c r="H5">
        <v>0</v>
      </c>
      <c r="I5">
        <v>278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278</v>
      </c>
      <c r="AH5">
        <v>0</v>
      </c>
      <c r="AI5" s="1">
        <v>1112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s="1">
        <v>1112</v>
      </c>
      <c r="AT5" s="1">
        <v>25275760</v>
      </c>
      <c r="AU5">
        <v>0</v>
      </c>
      <c r="AV5">
        <v>0</v>
      </c>
      <c r="AW5" s="1">
        <v>25275760</v>
      </c>
      <c r="AX5">
        <v>0</v>
      </c>
      <c r="AY5">
        <v>0</v>
      </c>
      <c r="AZ5" s="1">
        <v>7279152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s="1">
        <v>7279152</v>
      </c>
      <c r="BL5" s="1">
        <v>172050764</v>
      </c>
      <c r="BM5" s="1">
        <v>151766679</v>
      </c>
      <c r="BN5" s="1">
        <v>20284085</v>
      </c>
      <c r="BO5">
        <v>10</v>
      </c>
      <c r="BP5" s="1">
        <v>101085840</v>
      </c>
      <c r="BQ5">
        <v>14.07</v>
      </c>
      <c r="BR5">
        <v>179.4</v>
      </c>
      <c r="BS5">
        <v>0</v>
      </c>
    </row>
    <row r="6" spans="1:71" x14ac:dyDescent="0.3">
      <c r="A6" t="s">
        <v>90</v>
      </c>
      <c r="B6" t="s">
        <v>89</v>
      </c>
      <c r="C6" t="s">
        <v>92</v>
      </c>
      <c r="D6" t="s">
        <v>80</v>
      </c>
      <c r="E6" t="s">
        <v>75</v>
      </c>
      <c r="F6">
        <v>141</v>
      </c>
      <c r="G6" s="1">
        <v>90497000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 s="1">
        <v>150370</v>
      </c>
      <c r="R6">
        <v>0</v>
      </c>
      <c r="S6">
        <v>0</v>
      </c>
      <c r="T6">
        <v>0</v>
      </c>
      <c r="U6">
        <v>0</v>
      </c>
      <c r="V6">
        <v>1</v>
      </c>
      <c r="W6" s="1">
        <v>56716</v>
      </c>
      <c r="X6" s="1">
        <v>70895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5</v>
      </c>
      <c r="AH6">
        <v>0</v>
      </c>
      <c r="AI6">
        <v>0</v>
      </c>
      <c r="AJ6">
        <v>0</v>
      </c>
      <c r="AK6">
        <v>111</v>
      </c>
      <c r="AL6">
        <v>0</v>
      </c>
      <c r="AM6">
        <v>0</v>
      </c>
      <c r="AN6">
        <v>92</v>
      </c>
      <c r="AO6">
        <v>0</v>
      </c>
      <c r="AP6">
        <v>0</v>
      </c>
      <c r="AQ6">
        <v>0</v>
      </c>
      <c r="AR6">
        <v>0</v>
      </c>
      <c r="AS6">
        <v>203</v>
      </c>
      <c r="AT6" s="1">
        <v>4614190</v>
      </c>
      <c r="AU6">
        <v>0</v>
      </c>
      <c r="AV6">
        <v>0</v>
      </c>
      <c r="AW6" s="1">
        <v>4614190</v>
      </c>
      <c r="AX6">
        <v>0</v>
      </c>
      <c r="AY6">
        <v>0</v>
      </c>
      <c r="AZ6">
        <v>0</v>
      </c>
      <c r="BA6">
        <v>0</v>
      </c>
      <c r="BB6" s="1">
        <v>1804443</v>
      </c>
      <c r="BC6">
        <v>0</v>
      </c>
      <c r="BD6">
        <v>0</v>
      </c>
      <c r="BE6" s="1">
        <v>680595</v>
      </c>
      <c r="BF6" s="1">
        <v>850744</v>
      </c>
      <c r="BG6">
        <v>0</v>
      </c>
      <c r="BH6">
        <v>0</v>
      </c>
      <c r="BI6">
        <v>0</v>
      </c>
      <c r="BJ6">
        <v>0</v>
      </c>
      <c r="BK6" s="1">
        <v>3335782</v>
      </c>
      <c r="BL6" s="1">
        <v>67290842</v>
      </c>
      <c r="BM6" s="1">
        <v>56121029</v>
      </c>
      <c r="BN6" s="1">
        <v>11169813</v>
      </c>
      <c r="BO6">
        <v>24</v>
      </c>
      <c r="BP6" s="1">
        <v>8284991</v>
      </c>
      <c r="BQ6">
        <v>7.04</v>
      </c>
      <c r="BR6">
        <v>36</v>
      </c>
      <c r="BS6">
        <v>0</v>
      </c>
    </row>
    <row r="8" spans="1:71" x14ac:dyDescent="0.3">
      <c r="F8" s="1">
        <f>SUM(F5:F6)</f>
        <v>283</v>
      </c>
      <c r="G8" s="1">
        <f>SUM(G5:G6)</f>
        <v>222907000</v>
      </c>
      <c r="AT8" s="1">
        <f>SUM(AT5:AT6)</f>
        <v>29889950</v>
      </c>
      <c r="AU8" s="1">
        <f>SUM(AU5:AU6)</f>
        <v>0</v>
      </c>
      <c r="AV8" s="1">
        <f>SUM(AV5:AV6)</f>
        <v>0</v>
      </c>
      <c r="AW8" s="1">
        <f>SUM(AW5:AW6)</f>
        <v>29889950</v>
      </c>
      <c r="AZ8" s="1"/>
      <c r="BL8" s="1">
        <f t="shared" ref="BL8:BN8" si="0">SUM(BL5:BL6)</f>
        <v>239341606</v>
      </c>
      <c r="BM8" s="1">
        <f t="shared" si="0"/>
        <v>207887708</v>
      </c>
      <c r="BN8" s="1">
        <f t="shared" si="0"/>
        <v>31453898</v>
      </c>
      <c r="BP8" s="1">
        <f>SUM(BP5:BP6)</f>
        <v>109370831</v>
      </c>
      <c r="BQ8" s="1">
        <f>SUM(BQ5:BQ6)</f>
        <v>21.11</v>
      </c>
      <c r="BR8" s="1"/>
    </row>
    <row r="10" spans="1:71" x14ac:dyDescent="0.3">
      <c r="BP10">
        <v>254826758.96994942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7CAE-58EB-48F6-99D8-3D1662D9C5FA}">
  <sheetPr filterMode="1"/>
  <dimension ref="A1:BQ16"/>
  <sheetViews>
    <sheetView workbookViewId="0">
      <selection activeCell="A8" sqref="A8:XFD12"/>
    </sheetView>
  </sheetViews>
  <sheetFormatPr defaultRowHeight="16.5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N1" t="s">
        <v>5</v>
      </c>
      <c r="W1" t="s">
        <v>6</v>
      </c>
      <c r="Y1" t="s">
        <v>7</v>
      </c>
      <c r="AA1" t="s">
        <v>8</v>
      </c>
      <c r="AC1" t="s">
        <v>9</v>
      </c>
      <c r="AE1" t="s">
        <v>10</v>
      </c>
      <c r="AF1" t="s">
        <v>11</v>
      </c>
      <c r="AQ1" t="s">
        <v>12</v>
      </c>
      <c r="AR1" t="s">
        <v>13</v>
      </c>
      <c r="AV1" t="s">
        <v>14</v>
      </c>
      <c r="AW1" t="s">
        <v>15</v>
      </c>
      <c r="BJ1" t="s">
        <v>16</v>
      </c>
      <c r="BK1" t="s">
        <v>17</v>
      </c>
      <c r="BL1" t="s">
        <v>18</v>
      </c>
      <c r="BM1" t="s">
        <v>19</v>
      </c>
    </row>
    <row r="2" spans="1:69" x14ac:dyDescent="0.3">
      <c r="D2" t="s">
        <v>20</v>
      </c>
      <c r="E2" t="s">
        <v>21</v>
      </c>
      <c r="F2" t="s">
        <v>22</v>
      </c>
      <c r="H2" t="s">
        <v>23</v>
      </c>
      <c r="J2" t="s">
        <v>24</v>
      </c>
      <c r="L2" t="s">
        <v>25</v>
      </c>
      <c r="N2" t="s">
        <v>26</v>
      </c>
      <c r="P2" t="s">
        <v>27</v>
      </c>
      <c r="R2" t="s">
        <v>28</v>
      </c>
      <c r="T2" t="s">
        <v>29</v>
      </c>
      <c r="AF2" t="s">
        <v>30</v>
      </c>
      <c r="AI2" t="s">
        <v>31</v>
      </c>
      <c r="AW2" t="s">
        <v>32</v>
      </c>
      <c r="AZ2" t="s">
        <v>33</v>
      </c>
      <c r="BE2" t="s">
        <v>34</v>
      </c>
      <c r="BF2" t="s">
        <v>35</v>
      </c>
      <c r="BG2" t="s">
        <v>36</v>
      </c>
      <c r="BH2" t="s">
        <v>37</v>
      </c>
      <c r="BI2" t="s">
        <v>38</v>
      </c>
      <c r="BM2" t="s">
        <v>39</v>
      </c>
      <c r="BN2" t="s">
        <v>40</v>
      </c>
      <c r="BO2" t="s">
        <v>41</v>
      </c>
      <c r="BP2" t="s">
        <v>42</v>
      </c>
      <c r="BQ2" t="s">
        <v>43</v>
      </c>
    </row>
    <row r="4" spans="1:69" x14ac:dyDescent="0.3">
      <c r="F4" t="s">
        <v>44</v>
      </c>
      <c r="G4" t="s">
        <v>45</v>
      </c>
      <c r="H4" t="s">
        <v>44</v>
      </c>
      <c r="I4" t="s">
        <v>45</v>
      </c>
      <c r="J4" t="s">
        <v>44</v>
      </c>
      <c r="K4" t="s">
        <v>45</v>
      </c>
      <c r="L4" t="s">
        <v>46</v>
      </c>
      <c r="M4" t="s">
        <v>47</v>
      </c>
      <c r="N4" t="s">
        <v>46</v>
      </c>
      <c r="O4" t="s">
        <v>47</v>
      </c>
      <c r="P4" t="s">
        <v>46</v>
      </c>
      <c r="Q4" t="s">
        <v>47</v>
      </c>
      <c r="R4" t="s">
        <v>46</v>
      </c>
      <c r="S4" t="s">
        <v>48</v>
      </c>
      <c r="T4" t="s">
        <v>46</v>
      </c>
      <c r="U4" t="s">
        <v>48</v>
      </c>
      <c r="V4" t="s">
        <v>49</v>
      </c>
      <c r="W4" t="s">
        <v>46</v>
      </c>
      <c r="X4" t="s">
        <v>47</v>
      </c>
      <c r="Y4" t="s">
        <v>46</v>
      </c>
      <c r="Z4" t="s">
        <v>47</v>
      </c>
      <c r="AA4" t="s">
        <v>46</v>
      </c>
      <c r="AB4" t="s">
        <v>47</v>
      </c>
      <c r="AC4" t="s">
        <v>46</v>
      </c>
      <c r="AD4" t="s">
        <v>47</v>
      </c>
      <c r="AF4" t="s">
        <v>44</v>
      </c>
      <c r="AG4" t="s">
        <v>45</v>
      </c>
      <c r="AH4" t="s">
        <v>50</v>
      </c>
      <c r="AI4" t="s">
        <v>51</v>
      </c>
      <c r="AJ4" t="s">
        <v>52</v>
      </c>
      <c r="AK4" t="s">
        <v>28</v>
      </c>
      <c r="AL4" t="s">
        <v>53</v>
      </c>
      <c r="AM4" t="s">
        <v>54</v>
      </c>
      <c r="AN4" t="s">
        <v>55</v>
      </c>
      <c r="AO4" t="s">
        <v>56</v>
      </c>
      <c r="AP4" t="s">
        <v>57</v>
      </c>
      <c r="AR4" t="s">
        <v>58</v>
      </c>
      <c r="AS4" t="s">
        <v>59</v>
      </c>
      <c r="AT4" t="s">
        <v>60</v>
      </c>
      <c r="AU4" t="s">
        <v>61</v>
      </c>
      <c r="AW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</row>
    <row r="5" spans="1:69" hidden="1" x14ac:dyDescent="0.3">
      <c r="A5" t="s">
        <v>70</v>
      </c>
      <c r="C5" t="s">
        <v>71</v>
      </c>
      <c r="E5" s="1">
        <v>15689260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</v>
      </c>
      <c r="AF5">
        <v>0</v>
      </c>
      <c r="AG5">
        <v>12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12</v>
      </c>
      <c r="AR5" s="1">
        <v>272760</v>
      </c>
      <c r="AS5">
        <v>0</v>
      </c>
      <c r="AT5" s="1">
        <v>3700188</v>
      </c>
      <c r="AU5" s="1">
        <v>3972948</v>
      </c>
      <c r="AV5">
        <v>0</v>
      </c>
      <c r="AW5">
        <v>0</v>
      </c>
      <c r="AX5" s="1">
        <v>83628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s="1">
        <v>83628</v>
      </c>
      <c r="BJ5" s="1">
        <v>1976638</v>
      </c>
      <c r="BK5" s="1">
        <v>1743601</v>
      </c>
      <c r="BL5" s="1">
        <v>233037</v>
      </c>
      <c r="BM5">
        <v>1</v>
      </c>
      <c r="BN5" s="1">
        <v>6617615</v>
      </c>
      <c r="BO5">
        <v>-3.99</v>
      </c>
      <c r="BP5">
        <v>7.1</v>
      </c>
      <c r="BQ5">
        <v>0</v>
      </c>
    </row>
    <row r="6" spans="1:69" hidden="1" x14ac:dyDescent="0.3">
      <c r="A6" t="s">
        <v>72</v>
      </c>
      <c r="C6" t="s">
        <v>71</v>
      </c>
      <c r="E6" s="1">
        <v>15466000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</v>
      </c>
      <c r="AF6">
        <v>0</v>
      </c>
      <c r="AG6">
        <v>16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16</v>
      </c>
      <c r="AR6" s="1">
        <v>363680</v>
      </c>
      <c r="AS6">
        <v>0</v>
      </c>
      <c r="AT6" s="1">
        <v>2822400</v>
      </c>
      <c r="AU6" s="1">
        <v>3186080</v>
      </c>
      <c r="AV6">
        <v>0</v>
      </c>
      <c r="AW6">
        <v>0</v>
      </c>
      <c r="AX6" s="1">
        <v>111504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s="1">
        <v>111504</v>
      </c>
      <c r="BJ6" s="1">
        <v>2635518</v>
      </c>
      <c r="BK6" s="1">
        <v>2324802</v>
      </c>
      <c r="BL6" s="1">
        <v>310716</v>
      </c>
      <c r="BM6">
        <v>1</v>
      </c>
      <c r="BN6" s="1">
        <v>6712311</v>
      </c>
      <c r="BO6">
        <v>-2.7</v>
      </c>
      <c r="BP6">
        <v>10.8</v>
      </c>
      <c r="BQ6">
        <v>0</v>
      </c>
    </row>
    <row r="7" spans="1:69" hidden="1" x14ac:dyDescent="0.3">
      <c r="A7" t="s">
        <v>73</v>
      </c>
      <c r="B7" t="s">
        <v>74</v>
      </c>
      <c r="C7" t="s">
        <v>71</v>
      </c>
      <c r="D7">
        <v>143</v>
      </c>
      <c r="E7" s="1">
        <v>51077655</v>
      </c>
      <c r="F7">
        <v>0</v>
      </c>
      <c r="G7">
        <v>278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278</v>
      </c>
      <c r="AF7">
        <v>0</v>
      </c>
      <c r="AG7" s="1">
        <v>1112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s="1">
        <v>1112</v>
      </c>
      <c r="AR7" s="1">
        <v>25275760</v>
      </c>
      <c r="AS7">
        <v>0</v>
      </c>
      <c r="AT7">
        <v>0</v>
      </c>
      <c r="AU7" s="1">
        <v>25275760</v>
      </c>
      <c r="AV7">
        <v>0</v>
      </c>
      <c r="AW7">
        <v>0</v>
      </c>
      <c r="AX7" s="1">
        <v>7279152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s="1">
        <v>7279152</v>
      </c>
      <c r="BJ7" s="1">
        <v>172050764</v>
      </c>
      <c r="BK7" s="1">
        <v>151766679</v>
      </c>
      <c r="BL7" s="1">
        <v>20284085</v>
      </c>
      <c r="BM7">
        <v>2</v>
      </c>
      <c r="BN7" s="1">
        <v>181144385</v>
      </c>
      <c r="BO7">
        <v>57.77</v>
      </c>
      <c r="BP7">
        <v>179.4</v>
      </c>
      <c r="BQ7">
        <v>0</v>
      </c>
    </row>
    <row r="8" spans="1:69" x14ac:dyDescent="0.3">
      <c r="A8" t="s">
        <v>73</v>
      </c>
      <c r="B8" t="s">
        <v>74</v>
      </c>
      <c r="C8" t="s">
        <v>75</v>
      </c>
      <c r="D8">
        <v>142</v>
      </c>
      <c r="E8" s="1">
        <v>132410000</v>
      </c>
      <c r="F8">
        <v>0</v>
      </c>
      <c r="G8">
        <v>278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278</v>
      </c>
      <c r="AF8">
        <v>0</v>
      </c>
      <c r="AG8" s="1">
        <v>1112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s="1">
        <v>1112</v>
      </c>
      <c r="AR8" s="1">
        <v>25275760</v>
      </c>
      <c r="AS8">
        <v>0</v>
      </c>
      <c r="AT8">
        <v>0</v>
      </c>
      <c r="AU8" s="1">
        <v>25275760</v>
      </c>
      <c r="AV8">
        <v>0</v>
      </c>
      <c r="AW8">
        <v>0</v>
      </c>
      <c r="AX8" s="1">
        <v>7279152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s="1">
        <v>7279152</v>
      </c>
      <c r="BJ8" s="1">
        <v>172050764</v>
      </c>
      <c r="BK8" s="1">
        <v>151766679</v>
      </c>
      <c r="BL8" s="1">
        <v>20284085</v>
      </c>
      <c r="BM8">
        <v>10</v>
      </c>
      <c r="BN8" s="1">
        <v>101085840</v>
      </c>
      <c r="BO8">
        <v>14.07</v>
      </c>
      <c r="BP8">
        <v>179.4</v>
      </c>
      <c r="BQ8">
        <v>0</v>
      </c>
    </row>
    <row r="9" spans="1:69" hidden="1" x14ac:dyDescent="0.3">
      <c r="A9" t="s">
        <v>76</v>
      </c>
      <c r="B9" t="s">
        <v>77</v>
      </c>
      <c r="C9" t="s">
        <v>71</v>
      </c>
      <c r="D9">
        <v>49</v>
      </c>
      <c r="E9" s="1">
        <v>25085599</v>
      </c>
      <c r="F9">
        <v>0</v>
      </c>
      <c r="G9">
        <v>355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355</v>
      </c>
      <c r="AF9">
        <v>0</v>
      </c>
      <c r="AG9" s="1">
        <v>1420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s="1">
        <v>1420</v>
      </c>
      <c r="AR9" s="1">
        <v>32276600</v>
      </c>
      <c r="AS9">
        <v>0</v>
      </c>
      <c r="AT9">
        <v>0</v>
      </c>
      <c r="AU9" s="1">
        <v>32276600</v>
      </c>
      <c r="AV9">
        <v>0</v>
      </c>
      <c r="AW9">
        <v>0</v>
      </c>
      <c r="AX9" s="1">
        <v>9295320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s="1">
        <v>9295320</v>
      </c>
      <c r="BJ9" s="1">
        <v>219705113</v>
      </c>
      <c r="BK9" s="1">
        <v>193802774</v>
      </c>
      <c r="BL9" s="1">
        <v>25902339</v>
      </c>
      <c r="BM9">
        <v>1</v>
      </c>
      <c r="BN9" s="1">
        <v>293116931</v>
      </c>
      <c r="BO9" t="s">
        <v>78</v>
      </c>
      <c r="BP9">
        <v>724.5</v>
      </c>
      <c r="BQ9">
        <v>0</v>
      </c>
    </row>
    <row r="10" spans="1:69" x14ac:dyDescent="0.3">
      <c r="A10" t="s">
        <v>76</v>
      </c>
      <c r="B10" t="s">
        <v>77</v>
      </c>
      <c r="C10" t="s">
        <v>75</v>
      </c>
      <c r="D10">
        <v>49</v>
      </c>
      <c r="E10" s="1">
        <v>67366000</v>
      </c>
      <c r="F10">
        <v>0</v>
      </c>
      <c r="G10">
        <v>355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355</v>
      </c>
      <c r="AF10">
        <v>0</v>
      </c>
      <c r="AG10" s="1">
        <v>1420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s="1">
        <v>1420</v>
      </c>
      <c r="AR10" s="1">
        <v>32276600</v>
      </c>
      <c r="AS10">
        <v>0</v>
      </c>
      <c r="AT10">
        <v>0</v>
      </c>
      <c r="AU10" s="1">
        <v>32276600</v>
      </c>
      <c r="AV10">
        <v>0</v>
      </c>
      <c r="AW10">
        <v>0</v>
      </c>
      <c r="AX10" s="1">
        <v>9295320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s="1">
        <v>9295320</v>
      </c>
      <c r="BJ10" s="1">
        <v>219705113</v>
      </c>
      <c r="BK10" s="1">
        <v>193802774</v>
      </c>
      <c r="BL10" s="1">
        <v>25902339</v>
      </c>
      <c r="BM10">
        <v>2</v>
      </c>
      <c r="BN10" s="1">
        <v>251218082</v>
      </c>
      <c r="BO10">
        <v>60.23</v>
      </c>
      <c r="BP10">
        <v>724.5</v>
      </c>
      <c r="BQ10">
        <v>0</v>
      </c>
    </row>
    <row r="11" spans="1:69" hidden="1" x14ac:dyDescent="0.3">
      <c r="A11" t="s">
        <v>79</v>
      </c>
      <c r="B11" t="s">
        <v>80</v>
      </c>
      <c r="C11" t="s">
        <v>71</v>
      </c>
      <c r="D11">
        <v>150</v>
      </c>
      <c r="E11" s="1">
        <v>90000000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</v>
      </c>
      <c r="O11" s="1">
        <v>150370</v>
      </c>
      <c r="P11">
        <v>0</v>
      </c>
      <c r="Q11">
        <v>0</v>
      </c>
      <c r="R11">
        <v>0</v>
      </c>
      <c r="S11">
        <v>0</v>
      </c>
      <c r="T11">
        <v>1</v>
      </c>
      <c r="U11" s="1">
        <v>56716</v>
      </c>
      <c r="V11" s="1">
        <v>70895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5</v>
      </c>
      <c r="AF11">
        <v>0</v>
      </c>
      <c r="AG11">
        <v>0</v>
      </c>
      <c r="AH11">
        <v>0</v>
      </c>
      <c r="AI11">
        <v>111</v>
      </c>
      <c r="AJ11">
        <v>0</v>
      </c>
      <c r="AK11">
        <v>0</v>
      </c>
      <c r="AL11">
        <v>92</v>
      </c>
      <c r="AM11">
        <v>0</v>
      </c>
      <c r="AN11">
        <v>0</v>
      </c>
      <c r="AO11">
        <v>0</v>
      </c>
      <c r="AP11">
        <v>0</v>
      </c>
      <c r="AQ11">
        <v>203</v>
      </c>
      <c r="AR11" s="1">
        <v>4614190</v>
      </c>
      <c r="AS11">
        <v>0</v>
      </c>
      <c r="AT11">
        <v>0</v>
      </c>
      <c r="AU11" s="1">
        <v>4614190</v>
      </c>
      <c r="AV11">
        <v>0</v>
      </c>
      <c r="AW11">
        <v>0</v>
      </c>
      <c r="AX11">
        <v>0</v>
      </c>
      <c r="AY11">
        <v>0</v>
      </c>
      <c r="AZ11" s="1">
        <v>1804443</v>
      </c>
      <c r="BA11">
        <v>0</v>
      </c>
      <c r="BB11">
        <v>0</v>
      </c>
      <c r="BC11" s="1">
        <v>680595</v>
      </c>
      <c r="BD11" s="1">
        <v>850744</v>
      </c>
      <c r="BE11">
        <v>0</v>
      </c>
      <c r="BF11">
        <v>0</v>
      </c>
      <c r="BG11">
        <v>0</v>
      </c>
      <c r="BH11">
        <v>0</v>
      </c>
      <c r="BI11" s="1">
        <v>3335782</v>
      </c>
      <c r="BJ11" s="1">
        <v>64118462</v>
      </c>
      <c r="BK11" s="1">
        <v>53494550</v>
      </c>
      <c r="BL11" s="1">
        <v>10623912</v>
      </c>
      <c r="BM11">
        <v>29</v>
      </c>
      <c r="BN11" s="1">
        <v>1282236</v>
      </c>
      <c r="BO11">
        <v>6.29</v>
      </c>
      <c r="BP11">
        <v>36</v>
      </c>
      <c r="BQ11">
        <v>0</v>
      </c>
    </row>
    <row r="12" spans="1:69" x14ac:dyDescent="0.3">
      <c r="A12" t="s">
        <v>79</v>
      </c>
      <c r="B12" t="s">
        <v>80</v>
      </c>
      <c r="C12" t="s">
        <v>75</v>
      </c>
      <c r="D12">
        <v>141</v>
      </c>
      <c r="E12" s="1">
        <v>90497000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 s="1">
        <v>150370</v>
      </c>
      <c r="P12">
        <v>0</v>
      </c>
      <c r="Q12">
        <v>0</v>
      </c>
      <c r="R12">
        <v>0</v>
      </c>
      <c r="S12">
        <v>0</v>
      </c>
      <c r="T12">
        <v>1</v>
      </c>
      <c r="U12" s="1">
        <v>56716</v>
      </c>
      <c r="V12" s="1">
        <v>70895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5</v>
      </c>
      <c r="AF12">
        <v>0</v>
      </c>
      <c r="AG12">
        <v>0</v>
      </c>
      <c r="AH12">
        <v>0</v>
      </c>
      <c r="AI12">
        <v>111</v>
      </c>
      <c r="AJ12">
        <v>0</v>
      </c>
      <c r="AK12">
        <v>0</v>
      </c>
      <c r="AL12">
        <v>92</v>
      </c>
      <c r="AM12">
        <v>0</v>
      </c>
      <c r="AN12">
        <v>0</v>
      </c>
      <c r="AO12">
        <v>0</v>
      </c>
      <c r="AP12">
        <v>0</v>
      </c>
      <c r="AQ12">
        <v>203</v>
      </c>
      <c r="AR12" s="1">
        <v>4614190</v>
      </c>
      <c r="AS12">
        <v>0</v>
      </c>
      <c r="AT12">
        <v>0</v>
      </c>
      <c r="AU12" s="1">
        <v>4614190</v>
      </c>
      <c r="AV12">
        <v>0</v>
      </c>
      <c r="AW12">
        <v>0</v>
      </c>
      <c r="AX12">
        <v>0</v>
      </c>
      <c r="AY12">
        <v>0</v>
      </c>
      <c r="AZ12" s="1">
        <v>1804443</v>
      </c>
      <c r="BA12">
        <v>0</v>
      </c>
      <c r="BB12">
        <v>0</v>
      </c>
      <c r="BC12" s="1">
        <v>680595</v>
      </c>
      <c r="BD12" s="1">
        <v>850744</v>
      </c>
      <c r="BE12">
        <v>0</v>
      </c>
      <c r="BF12">
        <v>0</v>
      </c>
      <c r="BG12">
        <v>0</v>
      </c>
      <c r="BH12">
        <v>0</v>
      </c>
      <c r="BI12" s="1">
        <v>3335782</v>
      </c>
      <c r="BJ12" s="1">
        <v>67290842</v>
      </c>
      <c r="BK12" s="1">
        <v>56121029</v>
      </c>
      <c r="BL12" s="1">
        <v>11169813</v>
      </c>
      <c r="BM12">
        <v>24</v>
      </c>
      <c r="BN12" s="1">
        <v>8284991</v>
      </c>
      <c r="BO12">
        <v>7.04</v>
      </c>
      <c r="BP12">
        <v>36</v>
      </c>
      <c r="BQ12">
        <v>0</v>
      </c>
    </row>
    <row r="13" spans="1:69" hidden="1" x14ac:dyDescent="0.3">
      <c r="A13" t="s">
        <v>81</v>
      </c>
      <c r="C13" t="s">
        <v>71</v>
      </c>
      <c r="E13" s="1">
        <v>5852000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</v>
      </c>
      <c r="AR13" s="1">
        <v>90920</v>
      </c>
      <c r="AS13">
        <v>0</v>
      </c>
      <c r="AT13" s="1">
        <v>1233396</v>
      </c>
      <c r="AU13" s="1">
        <v>1324316</v>
      </c>
      <c r="AV13">
        <v>0</v>
      </c>
      <c r="AW13">
        <v>0</v>
      </c>
      <c r="AX13" s="1">
        <v>27876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s="1">
        <v>27876</v>
      </c>
      <c r="BJ13" s="1">
        <v>658879</v>
      </c>
      <c r="BK13" s="1">
        <v>581200</v>
      </c>
      <c r="BL13" s="1">
        <v>77679</v>
      </c>
      <c r="BM13">
        <v>1</v>
      </c>
      <c r="BN13" s="1">
        <v>2205867</v>
      </c>
      <c r="BO13">
        <v>-4.75</v>
      </c>
      <c r="BP13">
        <v>7.1</v>
      </c>
      <c r="BQ13">
        <v>0</v>
      </c>
    </row>
    <row r="14" spans="1:69" hidden="1" x14ac:dyDescent="0.3">
      <c r="A14" t="s">
        <v>82</v>
      </c>
      <c r="C14" t="s">
        <v>71</v>
      </c>
      <c r="E14" s="1">
        <v>8360000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</v>
      </c>
      <c r="AR14" s="1">
        <v>90920</v>
      </c>
      <c r="AS14">
        <v>0</v>
      </c>
      <c r="AT14" s="1">
        <v>1900088</v>
      </c>
      <c r="AU14" s="1">
        <v>1991008</v>
      </c>
      <c r="AV14">
        <v>0</v>
      </c>
      <c r="AW14">
        <v>0</v>
      </c>
      <c r="AX14" s="1">
        <v>27876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s="1">
        <v>27876</v>
      </c>
      <c r="BJ14" s="1">
        <v>658879</v>
      </c>
      <c r="BK14" s="1">
        <v>581200</v>
      </c>
      <c r="BL14" s="1">
        <v>77679</v>
      </c>
      <c r="BM14">
        <v>1</v>
      </c>
      <c r="BN14" s="1">
        <v>2872559</v>
      </c>
      <c r="BO14">
        <v>-6.39</v>
      </c>
      <c r="BP14">
        <v>5</v>
      </c>
      <c r="BQ14">
        <v>0</v>
      </c>
    </row>
    <row r="15" spans="1:69" hidden="1" x14ac:dyDescent="0.3">
      <c r="A15" t="s">
        <v>83</v>
      </c>
      <c r="C15" t="s">
        <v>71</v>
      </c>
      <c r="D15">
        <v>13</v>
      </c>
      <c r="E15" s="1">
        <v>5011617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</v>
      </c>
      <c r="AR15" s="1">
        <v>181840</v>
      </c>
      <c r="AS15">
        <v>0</v>
      </c>
      <c r="AT15" s="1">
        <v>800064</v>
      </c>
      <c r="AU15" s="1">
        <v>981904</v>
      </c>
      <c r="AV15">
        <v>0</v>
      </c>
      <c r="AW15">
        <v>0</v>
      </c>
      <c r="AX15" s="1">
        <v>55752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s="1">
        <v>55752</v>
      </c>
      <c r="BJ15" s="1">
        <v>1317759</v>
      </c>
      <c r="BK15" s="1">
        <v>1162401</v>
      </c>
      <c r="BL15" s="1">
        <v>155358</v>
      </c>
      <c r="BM15">
        <v>31</v>
      </c>
      <c r="BN15" s="1">
        <v>-4791472</v>
      </c>
      <c r="BO15">
        <v>-999.99</v>
      </c>
      <c r="BP15">
        <v>15.4</v>
      </c>
      <c r="BQ15">
        <v>0</v>
      </c>
    </row>
    <row r="16" spans="1:69" hidden="1" x14ac:dyDescent="0.3">
      <c r="A16" t="s">
        <v>84</v>
      </c>
      <c r="C16" t="s">
        <v>71</v>
      </c>
      <c r="E16" s="1">
        <v>2926000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</v>
      </c>
      <c r="AR16" s="1">
        <v>90920</v>
      </c>
      <c r="AS16">
        <v>0</v>
      </c>
      <c r="AT16" s="1">
        <v>455592</v>
      </c>
      <c r="AU16" s="1">
        <v>546512</v>
      </c>
      <c r="AV16">
        <v>0</v>
      </c>
      <c r="AW16">
        <v>0</v>
      </c>
      <c r="AX16" s="1">
        <v>29972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s="1">
        <v>29972</v>
      </c>
      <c r="BJ16" s="1">
        <v>708421</v>
      </c>
      <c r="BK16" s="1">
        <v>624901</v>
      </c>
      <c r="BL16" s="1">
        <v>83520</v>
      </c>
      <c r="BM16">
        <v>1</v>
      </c>
      <c r="BN16" s="1">
        <v>944137</v>
      </c>
      <c r="BO16">
        <v>-0.81</v>
      </c>
      <c r="BP16">
        <v>14.3</v>
      </c>
      <c r="BQ16">
        <v>0</v>
      </c>
    </row>
  </sheetData>
  <autoFilter ref="A4:BQ16" xr:uid="{826F7CAE-58EB-48F6-99D8-3D1662D9C5FA}">
    <filterColumn colId="2">
      <filters>
        <filter val="기본설계후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 (2)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2026-02-04T04:28:16Z</dcterms:created>
  <dcterms:modified xsi:type="dcterms:W3CDTF">2026-02-04T05:50:40Z</dcterms:modified>
</cp:coreProperties>
</file>