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user\Desktop\0. 마케팅기획팀\2026\0. 스터디\2026\streamlit_study\본부투자_결재 대시보드\"/>
    </mc:Choice>
  </mc:AlternateContent>
  <xr:revisionPtr revIDLastSave="0" documentId="13_ncr:1_{537465C1-3866-4333-BC18-96399333E66A}" xr6:coauthVersionLast="47" xr6:coauthVersionMax="47" xr10:uidLastSave="{00000000-0000-0000-0000-000000000000}"/>
  <bookViews>
    <workbookView xWindow="-120" yWindow="-120" windowWidth="29040" windowHeight="15720" xr2:uid="{996E3CA1-A953-4D19-9CF5-F25D7DB09C41}"/>
  </bookViews>
  <sheets>
    <sheet name="2" sheetId="1" r:id="rId1"/>
    <sheet name="raw (2)" sheetId="2" r:id="rId2"/>
  </sheets>
  <definedNames>
    <definedName name="_xlnm._FilterDatabase" localSheetId="0" hidden="1">'2'!$C$4:$BR$10</definedName>
    <definedName name="_xlnm._FilterDatabase" localSheetId="1" hidden="1">'raw (2)'!$A$4:$BR$89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6" i="1" l="1"/>
  <c r="BO16" i="1"/>
  <c r="BP15" i="1"/>
  <c r="BO15" i="1"/>
  <c r="BP14" i="1"/>
  <c r="BO14" i="1"/>
  <c r="BP11" i="1"/>
  <c r="BO11" i="1"/>
  <c r="F16" i="1"/>
  <c r="E16" i="1"/>
  <c r="F15" i="1"/>
  <c r="E15" i="1"/>
  <c r="F14" i="1"/>
  <c r="E14" i="1"/>
  <c r="F11" i="1"/>
  <c r="E11" i="1"/>
  <c r="E17" i="1" l="1"/>
  <c r="E18" i="1" s="1"/>
  <c r="BO17" i="1"/>
  <c r="BO18" i="1" s="1"/>
  <c r="F17" i="1"/>
  <c r="BP17" i="1"/>
  <c r="BP18" i="1" s="1"/>
  <c r="F18" i="1"/>
</calcChain>
</file>

<file path=xl/sharedStrings.xml><?xml version="1.0" encoding="utf-8"?>
<sst xmlns="http://schemas.openxmlformats.org/spreadsheetml/2006/main" count="459" uniqueCount="176">
  <si>
    <t xml:space="preserve">  구간명</t>
  </si>
  <si>
    <t xml:space="preserve">  분석시행번호</t>
  </si>
  <si>
    <t xml:space="preserve">  관리번호</t>
  </si>
  <si>
    <t xml:space="preserve">  분석단계</t>
  </si>
  <si>
    <t>투자내역</t>
  </si>
  <si>
    <t>가    정    용  [ (전,월) ]</t>
  </si>
  <si>
    <t>일    반    용  [ MJ / (전,월) ]</t>
  </si>
  <si>
    <t>산  업  용 [ MJ / (전,월) ]</t>
  </si>
  <si>
    <t>연 료 전 지 [ MJ / (전,월) ]</t>
  </si>
  <si>
    <t>열  병  합 [ MJ / (전,월) ]</t>
  </si>
  <si>
    <t>열전용설비 [ MJ / (전,월) ]</t>
  </si>
  <si>
    <t>수 요  전 수 계</t>
  </si>
  <si>
    <t>용도별 표준가스 소비량 합계</t>
  </si>
  <si>
    <t xml:space="preserve">  계</t>
  </si>
  <si>
    <t xml:space="preserve"> 시설분담금</t>
  </si>
  <si>
    <t>기타이익 (수요가부담   공사비 등)</t>
  </si>
  <si>
    <t>연    간        판    매    량 [ MJ / 년 ]</t>
  </si>
  <si>
    <t>연    간 판 매 액 [원 / 년]</t>
  </si>
  <si>
    <t>연    간 판매원가 [원 / 년]</t>
  </si>
  <si>
    <t>연    간 판매수익 [원 / 년]</t>
  </si>
  <si>
    <t>경제성분석</t>
  </si>
  <si>
    <t xml:space="preserve">길이  (m) </t>
  </si>
  <si>
    <t xml:space="preserve">배관투자금액  (원) </t>
  </si>
  <si>
    <t>공동주택전수</t>
  </si>
  <si>
    <t>단독주택전수</t>
  </si>
  <si>
    <t>원룸전수</t>
  </si>
  <si>
    <t>중앙난방(중집)</t>
  </si>
  <si>
    <t>일반용(영업1)</t>
  </si>
  <si>
    <t>일반용(영업2)</t>
  </si>
  <si>
    <t>업무난방</t>
  </si>
  <si>
    <t>냉난방</t>
  </si>
  <si>
    <t>주  택  용</t>
  </si>
  <si>
    <t>주  택  용  외</t>
  </si>
  <si>
    <t>가정용</t>
  </si>
  <si>
    <t>일반용</t>
  </si>
  <si>
    <t xml:space="preserve"> 산업용(MJ)</t>
  </si>
  <si>
    <t xml:space="preserve"> 연료전지(MJ)</t>
  </si>
  <si>
    <t xml:space="preserve"> 열병합(MJ)</t>
  </si>
  <si>
    <t xml:space="preserve"> 열전용설비(MJ)</t>
  </si>
  <si>
    <t xml:space="preserve"> 계 (MJ)</t>
  </si>
  <si>
    <t>회 수 년 수</t>
  </si>
  <si>
    <t>NPV (원)</t>
  </si>
  <si>
    <t>IRR (%)</t>
  </si>
  <si>
    <t>100m 환산 세대수</t>
  </si>
  <si>
    <t>주택용 인입관비 배분액</t>
  </si>
  <si>
    <t>취사</t>
  </si>
  <si>
    <t>난방</t>
  </si>
  <si>
    <t>전수</t>
  </si>
  <si>
    <t>판매열량(MJ)</t>
  </si>
  <si>
    <t>난방판매(MJ)</t>
  </si>
  <si>
    <t>냉방판매(MJ)</t>
  </si>
  <si>
    <t>중앙</t>
  </si>
  <si>
    <t>일반용1</t>
  </si>
  <si>
    <t>일반용2</t>
  </si>
  <si>
    <t>냉난방용</t>
  </si>
  <si>
    <t>산업용</t>
  </si>
  <si>
    <t>연료전지</t>
  </si>
  <si>
    <t>열병합</t>
  </si>
  <si>
    <t>열전용설비</t>
  </si>
  <si>
    <t>일반</t>
  </si>
  <si>
    <t>취사전용</t>
  </si>
  <si>
    <t>수요가부담금</t>
  </si>
  <si>
    <t>총시설분담금</t>
  </si>
  <si>
    <t>취사용(MJ)</t>
  </si>
  <si>
    <t>개별난방용(MJ)</t>
  </si>
  <si>
    <t>중앙난방용(MJ)</t>
  </si>
  <si>
    <t>일반용(영업1)(MJ)</t>
  </si>
  <si>
    <t>일반용(영업2)(MJ)</t>
  </si>
  <si>
    <t>업무난방용(MJ)</t>
  </si>
  <si>
    <t>냉방용난방(MJ)</t>
  </si>
  <si>
    <t>냉방용냉방(MJ)</t>
  </si>
  <si>
    <t>칠성동2가 302-301번지 (K구간)</t>
  </si>
  <si>
    <t>수요조사후분석</t>
  </si>
  <si>
    <t>산격동 1195-111번지(L구간)</t>
  </si>
  <si>
    <t>남산동 2267-2번지(K구간)</t>
  </si>
  <si>
    <t>월성주공5단지 개별난방 전환</t>
  </si>
  <si>
    <t>2026-2A00008</t>
  </si>
  <si>
    <t>한도초과</t>
  </si>
  <si>
    <t>기본설계후</t>
  </si>
  <si>
    <t>가창면 용계리 45-2번지(K구간)</t>
  </si>
  <si>
    <t>사정동 191-1번지R</t>
  </si>
  <si>
    <t>2026-2A00010</t>
  </si>
  <si>
    <t>압량읍 부적리 278-4번지R</t>
  </si>
  <si>
    <t>2026-2A00013</t>
  </si>
  <si>
    <t>중방동 438-22번지R</t>
  </si>
  <si>
    <t>2026-2A00014</t>
  </si>
  <si>
    <t>대평동 424-1번지R</t>
  </si>
  <si>
    <t>2026-2A00015</t>
  </si>
  <si>
    <t>방촌동 974-10번지R</t>
  </si>
  <si>
    <t>2026-2A00006</t>
  </si>
  <si>
    <t>신기동 41-2번지R</t>
  </si>
  <si>
    <t>2026-2A00009</t>
  </si>
  <si>
    <t>인교동 164-4번지R</t>
  </si>
  <si>
    <t>2026-2A00020</t>
  </si>
  <si>
    <t>송현동 1970-20번지R</t>
  </si>
  <si>
    <t>2026-2A00012</t>
  </si>
  <si>
    <t>내당동 417-13번지R</t>
  </si>
  <si>
    <t>2026-2A00017</t>
  </si>
  <si>
    <t>신천동 194-15번지R</t>
  </si>
  <si>
    <t>2026-2A00007</t>
  </si>
  <si>
    <t>비산동 409-29번지R</t>
  </si>
  <si>
    <t>2026-2A00019</t>
  </si>
  <si>
    <t>율하동 율하스마트산단 연료전지</t>
  </si>
  <si>
    <t>2026-2A00030</t>
  </si>
  <si>
    <t>어반폴트레마리스 인입</t>
  </si>
  <si>
    <t>2026-2A00031</t>
  </si>
  <si>
    <t>이곡동 1000-346번지 R</t>
  </si>
  <si>
    <t>2026-2A00011</t>
  </si>
  <si>
    <t>봉덕동 1383번지(L구간)</t>
  </si>
  <si>
    <t>만촌동 994-42번지(K구간)</t>
  </si>
  <si>
    <t>학정동 두산위브더제니스센트럴시티</t>
  </si>
  <si>
    <t>2026-2A00022</t>
  </si>
  <si>
    <t>수성동3가 369번지R</t>
  </si>
  <si>
    <t>2026-2A00032</t>
  </si>
  <si>
    <t>파동 110-74번지R</t>
  </si>
  <si>
    <t>2026-2A00023</t>
  </si>
  <si>
    <t>방촌우방강촌마을A</t>
  </si>
  <si>
    <t>2026-2C00069</t>
  </si>
  <si>
    <t>방촌우방강촌마을B</t>
  </si>
  <si>
    <t>2026-2C00067</t>
  </si>
  <si>
    <t>중리동 헬스앤키즈드림센터 인입</t>
  </si>
  <si>
    <t>2026-2C00054</t>
  </si>
  <si>
    <t>수성동4가 1134-2번지(K구간)</t>
  </si>
  <si>
    <t>점촌동 134-42번지(L구간)</t>
  </si>
  <si>
    <t>진량읍 상림길 25번지(L구간)</t>
  </si>
  <si>
    <t>산격동 1434-28번지(K구간)</t>
  </si>
  <si>
    <t>대명동 486-9번지(L구간)</t>
  </si>
  <si>
    <t>대천동 대명빌딩 인입</t>
  </si>
  <si>
    <t>2026-2A00044</t>
  </si>
  <si>
    <t>현풍읍 중리 110번지 (K구간)</t>
  </si>
  <si>
    <t>복현대백맨션 개별난방전환</t>
  </si>
  <si>
    <t>2026-2C00080</t>
  </si>
  <si>
    <t>월암동 성서그린에너지 연료전지</t>
  </si>
  <si>
    <t>비산동 729-17번지R</t>
  </si>
  <si>
    <t>2026-2A00018</t>
  </si>
  <si>
    <t>다산면 평리리 54(추가)_지자체(호촌리325)</t>
  </si>
  <si>
    <t>성당동 86-4번지 (L구간)</t>
  </si>
  <si>
    <t>감삼동 석연빌딩 인입</t>
  </si>
  <si>
    <t>2026-2C00093</t>
  </si>
  <si>
    <t>화원읍 설화리 지자체 1구간</t>
  </si>
  <si>
    <t>화원읍 설화리 지자체 2구간</t>
  </si>
  <si>
    <t>이천동 584-6번지(K구간)</t>
  </si>
  <si>
    <t>본리자이 인입</t>
  </si>
  <si>
    <t>2026-2A00037</t>
  </si>
  <si>
    <t>수성동3가 212-4번지R</t>
  </si>
  <si>
    <t>2026-2A00043</t>
  </si>
  <si>
    <t>도남지구도심속전원타운(91블록) 인입</t>
  </si>
  <si>
    <t>2026-2C00083</t>
  </si>
  <si>
    <t>수성동4가 1148-4번지(L구간)</t>
  </si>
  <si>
    <t>욱수동 230-9번지(K구간)</t>
  </si>
  <si>
    <t>검사동 743-68번지(L구간)</t>
  </si>
  <si>
    <t>지묘동 537-1번지R</t>
  </si>
  <si>
    <t>2026-2A00038</t>
  </si>
  <si>
    <t>파동 110-20번지(L구간)</t>
  </si>
  <si>
    <t>신천동 372-3번지(L구간)</t>
  </si>
  <si>
    <t>고성동3가 56-2번지(K구간)</t>
  </si>
  <si>
    <t>파동 110-93번지R</t>
  </si>
  <si>
    <t>2026-2A00042</t>
  </si>
  <si>
    <t>신암동 280-4번지(L구간)</t>
  </si>
  <si>
    <t>평리동 1102-16번지(K구간)</t>
  </si>
  <si>
    <t>용도</t>
  </si>
  <si>
    <t>구청</t>
  </si>
  <si>
    <t>ROE제외</t>
  </si>
  <si>
    <t>달서구</t>
    <phoneticPr fontId="18" type="noConversion"/>
  </si>
  <si>
    <t>수성구</t>
    <phoneticPr fontId="18" type="noConversion"/>
  </si>
  <si>
    <t>동구</t>
    <phoneticPr fontId="18" type="noConversion"/>
  </si>
  <si>
    <t>ROE</t>
    <phoneticPr fontId="18" type="noConversion"/>
  </si>
  <si>
    <t>주택용</t>
    <phoneticPr fontId="18" type="noConversion"/>
  </si>
  <si>
    <t>영업용</t>
    <phoneticPr fontId="18" type="noConversion"/>
  </si>
  <si>
    <t>소계</t>
    <phoneticPr fontId="18" type="noConversion"/>
  </si>
  <si>
    <t>대천동대명빌딩인입</t>
  </si>
  <si>
    <t>감삼동석연빌딩인입</t>
  </si>
  <si>
    <t>수성동3가212-4번지R</t>
  </si>
  <si>
    <t>파동110-93번지R</t>
  </si>
  <si>
    <t>지묘동537-1번지R</t>
  </si>
  <si>
    <t>도남지구도심속전원타운(91블록)인입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</si>
</sst>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_-* #,##0.00_-;\-* #,##0.00_-;_-* &quot;-&quot;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3" fontId="0" fillId="0" borderId="0" xfId="0" applyNumberFormat="1">
      <alignment vertical="center"/>
    </xf>
    <xf numFmtId="4" fontId="0" fillId="0" borderId="0" xfId="0" applyNumberFormat="1">
      <alignment vertical="center"/>
    </xf>
    <xf numFmtId="0" fontId="0" fillId="33" borderId="0" xfId="0" applyFill="1">
      <alignment vertical="center"/>
    </xf>
    <xf numFmtId="3" fontId="0" fillId="33" borderId="0" xfId="0" applyNumberFormat="1" applyFill="1">
      <alignment vertical="center"/>
    </xf>
    <xf numFmtId="41" fontId="0" fillId="0" borderId="0" xfId="42" applyFont="1">
      <alignment vertical="center"/>
    </xf>
    <xf numFmtId="0" fontId="0" fillId="34" borderId="0" xfId="0" applyFill="1">
      <alignment vertical="center"/>
    </xf>
    <xf numFmtId="176" fontId="0" fillId="0" borderId="0" xfId="42" applyNumberFormat="1" applyFont="1">
      <alignment vertical="center"/>
    </xf>
    <xf numFmtId="41" fontId="0" fillId="0" borderId="0" xfId="43" applyFont="1">
      <alignment vertical="center"/>
    </xf>
    <xf numFmtId="41" fontId="0" fillId="34" borderId="0" xfId="42" applyFont="1" applyFill="1">
      <alignment vertical="center"/>
    </xf>
  </cellXfs>
  <cellStyles count="44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3" builtinId="6"/>
    <cellStyle name="쉼표 [0] 2" xfId="42" xr:uid="{3462D5CD-060D-4B14-A2C2-EF1EB40518B8}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C2385-3503-4C2A-9EAA-22C7344CC7D9}">
  <dimension ref="A1:BR18"/>
  <sheetViews>
    <sheetView tabSelected="1" workbookViewId="0">
      <selection activeCell="D1" sqref="D1:D1048576"/>
    </sheetView>
  </sheetViews>
  <sheetFormatPr defaultRowHeight="16.5" x14ac:dyDescent="0.3"/>
  <cols>
    <col min="3" max="3" width="28" customWidth="1"/>
    <col min="6" max="6" width="12" customWidth="1"/>
    <col min="63" max="65" width="24.25" customWidth="1"/>
    <col min="67" max="68" width="13.5" customWidth="1"/>
  </cols>
  <sheetData>
    <row r="1" spans="1:70" x14ac:dyDescent="0.3">
      <c r="C1" t="s">
        <v>0</v>
      </c>
      <c r="D1" t="s">
        <v>3</v>
      </c>
      <c r="E1" t="s">
        <v>4</v>
      </c>
      <c r="G1" t="s">
        <v>5</v>
      </c>
      <c r="O1" t="s">
        <v>6</v>
      </c>
      <c r="X1" t="s">
        <v>7</v>
      </c>
      <c r="Z1" t="s">
        <v>8</v>
      </c>
      <c r="AB1" t="s">
        <v>9</v>
      </c>
      <c r="AD1" t="s">
        <v>10</v>
      </c>
      <c r="AF1" t="s">
        <v>11</v>
      </c>
      <c r="AG1" t="s">
        <v>12</v>
      </c>
      <c r="AR1" t="s">
        <v>13</v>
      </c>
      <c r="AS1" t="s">
        <v>14</v>
      </c>
      <c r="AW1" t="s">
        <v>15</v>
      </c>
      <c r="AX1" t="s">
        <v>16</v>
      </c>
      <c r="BK1" t="s">
        <v>17</v>
      </c>
      <c r="BL1" t="s">
        <v>18</v>
      </c>
      <c r="BM1" t="s">
        <v>19</v>
      </c>
      <c r="BN1" t="s">
        <v>20</v>
      </c>
    </row>
    <row r="2" spans="1:70" x14ac:dyDescent="0.3">
      <c r="E2" t="s">
        <v>21</v>
      </c>
      <c r="F2" t="s">
        <v>22</v>
      </c>
      <c r="G2" t="s">
        <v>23</v>
      </c>
      <c r="I2" t="s">
        <v>24</v>
      </c>
      <c r="K2" t="s">
        <v>25</v>
      </c>
      <c r="M2" t="s">
        <v>26</v>
      </c>
      <c r="O2" t="s">
        <v>27</v>
      </c>
      <c r="Q2" t="s">
        <v>28</v>
      </c>
      <c r="S2" t="s">
        <v>29</v>
      </c>
      <c r="U2" t="s">
        <v>30</v>
      </c>
      <c r="AG2" t="s">
        <v>31</v>
      </c>
      <c r="AJ2" t="s">
        <v>32</v>
      </c>
      <c r="AX2" t="s">
        <v>33</v>
      </c>
      <c r="BA2" t="s">
        <v>34</v>
      </c>
      <c r="BF2" t="s">
        <v>35</v>
      </c>
      <c r="BG2" t="s">
        <v>36</v>
      </c>
      <c r="BH2" t="s">
        <v>37</v>
      </c>
      <c r="BI2" t="s">
        <v>38</v>
      </c>
      <c r="BJ2" t="s">
        <v>39</v>
      </c>
      <c r="BN2" t="s">
        <v>40</v>
      </c>
      <c r="BO2" t="s">
        <v>41</v>
      </c>
      <c r="BP2" t="s">
        <v>42</v>
      </c>
      <c r="BQ2" t="s">
        <v>43</v>
      </c>
      <c r="BR2" t="s">
        <v>44</v>
      </c>
    </row>
    <row r="4" spans="1:70" x14ac:dyDescent="0.3">
      <c r="A4" t="s">
        <v>160</v>
      </c>
      <c r="B4" t="s">
        <v>161</v>
      </c>
      <c r="G4" t="s">
        <v>45</v>
      </c>
      <c r="H4" t="s">
        <v>46</v>
      </c>
      <c r="I4" t="s">
        <v>45</v>
      </c>
      <c r="J4" t="s">
        <v>46</v>
      </c>
      <c r="K4" t="s">
        <v>45</v>
      </c>
      <c r="L4" t="s">
        <v>46</v>
      </c>
      <c r="M4" t="s">
        <v>47</v>
      </c>
      <c r="N4" t="s">
        <v>48</v>
      </c>
      <c r="O4" t="s">
        <v>47</v>
      </c>
      <c r="P4" t="s">
        <v>48</v>
      </c>
      <c r="Q4" t="s">
        <v>47</v>
      </c>
      <c r="R4" t="s">
        <v>48</v>
      </c>
      <c r="S4" t="s">
        <v>47</v>
      </c>
      <c r="T4" t="s">
        <v>49</v>
      </c>
      <c r="U4" t="s">
        <v>47</v>
      </c>
      <c r="V4" t="s">
        <v>49</v>
      </c>
      <c r="W4" t="s">
        <v>50</v>
      </c>
      <c r="X4" t="s">
        <v>47</v>
      </c>
      <c r="Y4" t="s">
        <v>48</v>
      </c>
      <c r="Z4" t="s">
        <v>47</v>
      </c>
      <c r="AA4" t="s">
        <v>48</v>
      </c>
      <c r="AB4" t="s">
        <v>47</v>
      </c>
      <c r="AC4" t="s">
        <v>48</v>
      </c>
      <c r="AD4" t="s">
        <v>47</v>
      </c>
      <c r="AE4" t="s">
        <v>48</v>
      </c>
      <c r="AG4" t="s">
        <v>45</v>
      </c>
      <c r="AH4" t="s">
        <v>46</v>
      </c>
      <c r="AI4" t="s">
        <v>51</v>
      </c>
      <c r="AJ4" t="s">
        <v>52</v>
      </c>
      <c r="AK4" t="s">
        <v>53</v>
      </c>
      <c r="AL4" t="s">
        <v>29</v>
      </c>
      <c r="AM4" t="s">
        <v>54</v>
      </c>
      <c r="AN4" t="s">
        <v>55</v>
      </c>
      <c r="AO4" t="s">
        <v>56</v>
      </c>
      <c r="AP4" t="s">
        <v>57</v>
      </c>
      <c r="AQ4" t="s">
        <v>58</v>
      </c>
      <c r="AS4" t="s">
        <v>59</v>
      </c>
      <c r="AT4" t="s">
        <v>60</v>
      </c>
      <c r="AU4" t="s">
        <v>61</v>
      </c>
      <c r="AV4" t="s">
        <v>62</v>
      </c>
      <c r="AX4" t="s">
        <v>63</v>
      </c>
      <c r="AY4" t="s">
        <v>64</v>
      </c>
      <c r="AZ4" t="s">
        <v>65</v>
      </c>
      <c r="BA4" t="s">
        <v>66</v>
      </c>
      <c r="BB4" t="s">
        <v>67</v>
      </c>
      <c r="BC4" t="s">
        <v>68</v>
      </c>
      <c r="BD4" t="s">
        <v>69</v>
      </c>
      <c r="BE4" t="s">
        <v>70</v>
      </c>
    </row>
    <row r="5" spans="1:70" s="3" customFormat="1" x14ac:dyDescent="0.3">
      <c r="A5" s="3" t="s">
        <v>168</v>
      </c>
      <c r="B5" s="3" t="s">
        <v>163</v>
      </c>
      <c r="C5" s="3" t="s">
        <v>170</v>
      </c>
      <c r="D5" s="3" t="s">
        <v>78</v>
      </c>
      <c r="E5" s="3">
        <v>37</v>
      </c>
      <c r="F5" s="4">
        <v>36069000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3</v>
      </c>
      <c r="P5" s="4">
        <v>92099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3</v>
      </c>
      <c r="AG5" s="3">
        <v>0</v>
      </c>
      <c r="AH5" s="3">
        <v>0</v>
      </c>
      <c r="AI5" s="3">
        <v>0</v>
      </c>
      <c r="AJ5" s="3">
        <v>66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66</v>
      </c>
      <c r="AS5" s="4">
        <v>1500180</v>
      </c>
      <c r="AT5" s="3">
        <v>0</v>
      </c>
      <c r="AU5" s="3">
        <v>0</v>
      </c>
      <c r="AV5" s="4">
        <v>1500180</v>
      </c>
      <c r="AW5" s="3">
        <v>0</v>
      </c>
      <c r="AX5" s="3">
        <v>0</v>
      </c>
      <c r="AY5" s="3">
        <v>0</v>
      </c>
      <c r="AZ5" s="3">
        <v>0</v>
      </c>
      <c r="BA5" s="4">
        <v>1105195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4">
        <v>1105195</v>
      </c>
      <c r="BK5" s="4">
        <v>25180873</v>
      </c>
      <c r="BL5" s="4">
        <v>21098614</v>
      </c>
      <c r="BM5" s="4">
        <v>4082259</v>
      </c>
      <c r="BN5" s="3">
        <v>24</v>
      </c>
      <c r="BO5" s="4">
        <v>3418966</v>
      </c>
      <c r="BP5" s="3">
        <v>7.07</v>
      </c>
      <c r="BQ5" s="3">
        <v>44.6</v>
      </c>
      <c r="BR5" s="3">
        <v>0</v>
      </c>
    </row>
    <row r="6" spans="1:70" s="3" customFormat="1" x14ac:dyDescent="0.3">
      <c r="A6" s="3" t="s">
        <v>168</v>
      </c>
      <c r="B6" s="3" t="s">
        <v>163</v>
      </c>
      <c r="C6" s="3" t="s">
        <v>171</v>
      </c>
      <c r="D6" s="3" t="s">
        <v>78</v>
      </c>
      <c r="E6" s="3">
        <v>4</v>
      </c>
      <c r="F6" s="4">
        <v>18891000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4</v>
      </c>
      <c r="P6" s="4">
        <v>92099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4</v>
      </c>
      <c r="AG6" s="3">
        <v>0</v>
      </c>
      <c r="AH6" s="3">
        <v>0</v>
      </c>
      <c r="AI6" s="3">
        <v>0</v>
      </c>
      <c r="AJ6" s="3">
        <v>66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66</v>
      </c>
      <c r="AS6" s="4">
        <v>1500180</v>
      </c>
      <c r="AT6" s="3">
        <v>0</v>
      </c>
      <c r="AU6" s="3">
        <v>0</v>
      </c>
      <c r="AV6" s="4">
        <v>1500180</v>
      </c>
      <c r="AW6" s="3">
        <v>0</v>
      </c>
      <c r="AX6" s="3">
        <v>0</v>
      </c>
      <c r="AY6" s="3">
        <v>0</v>
      </c>
      <c r="AZ6" s="3">
        <v>0</v>
      </c>
      <c r="BA6" s="4">
        <v>1105195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4">
        <v>1105195</v>
      </c>
      <c r="BK6" s="4">
        <v>25180873</v>
      </c>
      <c r="BL6" s="4">
        <v>21098614</v>
      </c>
      <c r="BM6" s="4">
        <v>4082259</v>
      </c>
      <c r="BN6" s="3">
        <v>7</v>
      </c>
      <c r="BO6" s="4">
        <v>26435753</v>
      </c>
      <c r="BP6" s="3">
        <v>18.489999999999998</v>
      </c>
      <c r="BQ6" s="3">
        <v>412.5</v>
      </c>
      <c r="BR6" s="3">
        <v>0</v>
      </c>
    </row>
    <row r="7" spans="1:70" s="3" customFormat="1" x14ac:dyDescent="0.3">
      <c r="A7" s="3" t="s">
        <v>167</v>
      </c>
      <c r="B7" s="3" t="s">
        <v>165</v>
      </c>
      <c r="C7" s="3" t="s">
        <v>175</v>
      </c>
      <c r="D7" s="3" t="s">
        <v>78</v>
      </c>
      <c r="E7" s="3">
        <v>16</v>
      </c>
      <c r="F7" s="4">
        <v>20205000</v>
      </c>
      <c r="G7" s="3">
        <v>0</v>
      </c>
      <c r="H7" s="3">
        <v>0</v>
      </c>
      <c r="I7" s="3">
        <v>0</v>
      </c>
      <c r="J7" s="3">
        <v>28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28</v>
      </c>
      <c r="AG7" s="3">
        <v>0</v>
      </c>
      <c r="AH7" s="3">
        <v>112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112</v>
      </c>
      <c r="AS7" s="4">
        <v>2545760</v>
      </c>
      <c r="AT7" s="3">
        <v>0</v>
      </c>
      <c r="AU7" s="3">
        <v>0</v>
      </c>
      <c r="AV7" s="4">
        <v>2545760</v>
      </c>
      <c r="AW7" s="3">
        <v>0</v>
      </c>
      <c r="AX7" s="3">
        <v>0</v>
      </c>
      <c r="AY7" s="4">
        <v>780528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4">
        <v>780528</v>
      </c>
      <c r="BK7" s="4">
        <v>18448612</v>
      </c>
      <c r="BL7" s="4">
        <v>16273600</v>
      </c>
      <c r="BM7" s="4">
        <v>2175012</v>
      </c>
      <c r="BN7" s="3">
        <v>24</v>
      </c>
      <c r="BO7" s="4">
        <v>2227026</v>
      </c>
      <c r="BP7" s="3">
        <v>8.4700000000000006</v>
      </c>
      <c r="BQ7" s="3">
        <v>6.3</v>
      </c>
      <c r="BR7" s="3">
        <v>0</v>
      </c>
    </row>
    <row r="8" spans="1:70" s="3" customFormat="1" x14ac:dyDescent="0.3">
      <c r="A8" s="3" t="s">
        <v>166</v>
      </c>
      <c r="B8" s="3" t="s">
        <v>164</v>
      </c>
      <c r="C8" s="3" t="s">
        <v>172</v>
      </c>
      <c r="D8" s="3" t="s">
        <v>78</v>
      </c>
      <c r="E8" s="3">
        <v>55</v>
      </c>
      <c r="F8" s="4">
        <v>44188000</v>
      </c>
      <c r="G8" s="3">
        <v>0</v>
      </c>
      <c r="H8" s="3">
        <v>0</v>
      </c>
      <c r="I8" s="3">
        <v>0</v>
      </c>
      <c r="J8" s="3">
        <v>21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21</v>
      </c>
      <c r="AG8" s="3">
        <v>0</v>
      </c>
      <c r="AH8" s="3">
        <v>84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84</v>
      </c>
      <c r="AS8" s="4">
        <v>1909320</v>
      </c>
      <c r="AT8" s="3">
        <v>0</v>
      </c>
      <c r="AU8" s="4">
        <v>678132</v>
      </c>
      <c r="AV8" s="4">
        <v>2587452</v>
      </c>
      <c r="AW8" s="3">
        <v>0</v>
      </c>
      <c r="AX8" s="3">
        <v>0</v>
      </c>
      <c r="AY8" s="4">
        <v>585396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4">
        <v>585396</v>
      </c>
      <c r="BK8" s="4">
        <v>13836470</v>
      </c>
      <c r="BL8" s="4">
        <v>12205208</v>
      </c>
      <c r="BM8" s="4">
        <v>1631262</v>
      </c>
      <c r="BN8" s="3">
        <v>31</v>
      </c>
      <c r="BO8" s="4">
        <v>-31640310</v>
      </c>
      <c r="BP8" s="3">
        <v>-3.69</v>
      </c>
      <c r="BQ8" s="3">
        <v>31.3</v>
      </c>
      <c r="BR8" s="3">
        <v>0</v>
      </c>
    </row>
    <row r="9" spans="1:70" s="3" customFormat="1" x14ac:dyDescent="0.3">
      <c r="A9" s="3" t="s">
        <v>166</v>
      </c>
      <c r="B9" s="3" t="s">
        <v>164</v>
      </c>
      <c r="C9" s="3" t="s">
        <v>173</v>
      </c>
      <c r="D9" s="3" t="s">
        <v>78</v>
      </c>
      <c r="E9" s="3">
        <v>90</v>
      </c>
      <c r="F9" s="4">
        <v>49380000</v>
      </c>
      <c r="G9" s="3">
        <v>0</v>
      </c>
      <c r="H9" s="3">
        <v>0</v>
      </c>
      <c r="I9" s="3">
        <v>0</v>
      </c>
      <c r="J9" s="3">
        <v>22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22</v>
      </c>
      <c r="AG9" s="3">
        <v>0</v>
      </c>
      <c r="AH9" s="3">
        <v>90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90</v>
      </c>
      <c r="AS9" s="4">
        <v>2045700</v>
      </c>
      <c r="AT9" s="3">
        <v>0</v>
      </c>
      <c r="AU9" s="4">
        <v>7977420</v>
      </c>
      <c r="AV9" s="4">
        <v>10023120</v>
      </c>
      <c r="AW9" s="3">
        <v>0</v>
      </c>
      <c r="AX9" s="3">
        <v>0</v>
      </c>
      <c r="AY9" s="4">
        <v>613272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4">
        <v>613272</v>
      </c>
      <c r="BK9" s="4">
        <v>14495343</v>
      </c>
      <c r="BL9" s="4">
        <v>12786404</v>
      </c>
      <c r="BM9" s="4">
        <v>1708939</v>
      </c>
      <c r="BN9" s="3">
        <v>31</v>
      </c>
      <c r="BO9" s="4">
        <v>-36083742</v>
      </c>
      <c r="BP9" s="3">
        <v>-8.65</v>
      </c>
      <c r="BQ9" s="3">
        <v>16.5</v>
      </c>
      <c r="BR9" s="3">
        <v>0</v>
      </c>
    </row>
    <row r="10" spans="1:70" s="3" customFormat="1" x14ac:dyDescent="0.3">
      <c r="A10" s="3" t="s">
        <v>166</v>
      </c>
      <c r="B10" s="3" t="s">
        <v>165</v>
      </c>
      <c r="C10" s="3" t="s">
        <v>174</v>
      </c>
      <c r="D10" s="3" t="s">
        <v>78</v>
      </c>
      <c r="E10" s="3">
        <v>89</v>
      </c>
      <c r="F10" s="4">
        <v>59768000</v>
      </c>
      <c r="G10" s="3">
        <v>0</v>
      </c>
      <c r="H10" s="3">
        <v>0</v>
      </c>
      <c r="I10" s="3">
        <v>0</v>
      </c>
      <c r="J10" s="3">
        <v>11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11</v>
      </c>
      <c r="AG10" s="3">
        <v>0</v>
      </c>
      <c r="AH10" s="3">
        <v>44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44</v>
      </c>
      <c r="AS10" s="4">
        <v>1000120</v>
      </c>
      <c r="AT10" s="3">
        <v>0</v>
      </c>
      <c r="AU10" s="4">
        <v>6344844</v>
      </c>
      <c r="AV10" s="4">
        <v>7344964</v>
      </c>
      <c r="AW10" s="3">
        <v>0</v>
      </c>
      <c r="AX10" s="3">
        <v>0</v>
      </c>
      <c r="AY10" s="4">
        <v>306636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4">
        <v>306636</v>
      </c>
      <c r="BK10" s="4">
        <v>7247677</v>
      </c>
      <c r="BL10" s="4">
        <v>6393205</v>
      </c>
      <c r="BM10" s="4">
        <v>854472</v>
      </c>
      <c r="BN10" s="3">
        <v>31</v>
      </c>
      <c r="BO10" s="4">
        <v>-57449568</v>
      </c>
      <c r="BP10" s="3">
        <v>-999.99</v>
      </c>
      <c r="BQ10" s="3">
        <v>12.4</v>
      </c>
      <c r="BR10" s="3">
        <v>0</v>
      </c>
    </row>
    <row r="11" spans="1:70" x14ac:dyDescent="0.3">
      <c r="D11" s="3" t="s">
        <v>169</v>
      </c>
      <c r="E11" s="8">
        <f>SUM(E5:E10)</f>
        <v>291</v>
      </c>
      <c r="F11" s="8">
        <f>SUM(F5:F10)</f>
        <v>228501000</v>
      </c>
      <c r="BN11" s="3" t="s">
        <v>169</v>
      </c>
      <c r="BO11">
        <f>SUM(BO5:BO10)</f>
        <v>-93091875</v>
      </c>
      <c r="BP11">
        <f>SUM(BP5:BP10)</f>
        <v>-978.3</v>
      </c>
    </row>
    <row r="13" spans="1:70" x14ac:dyDescent="0.3">
      <c r="D13" s="6"/>
      <c r="E13" s="5"/>
      <c r="F13" s="5"/>
      <c r="BN13" s="6"/>
      <c r="BO13" s="5"/>
      <c r="BP13" s="5"/>
    </row>
    <row r="14" spans="1:70" x14ac:dyDescent="0.3">
      <c r="D14" s="6" t="s">
        <v>167</v>
      </c>
      <c r="E14" s="9">
        <f>E7</f>
        <v>16</v>
      </c>
      <c r="F14" s="9">
        <f>F7</f>
        <v>20205000</v>
      </c>
      <c r="BN14" s="3" t="s">
        <v>167</v>
      </c>
      <c r="BO14" s="5">
        <f>BO7</f>
        <v>2227026</v>
      </c>
      <c r="BP14" s="7">
        <f>BP7</f>
        <v>8.4700000000000006</v>
      </c>
    </row>
    <row r="15" spans="1:70" x14ac:dyDescent="0.3">
      <c r="D15" s="6" t="s">
        <v>168</v>
      </c>
      <c r="E15" s="9">
        <f>SUM(E5:E6)</f>
        <v>41</v>
      </c>
      <c r="F15" s="9">
        <f>SUM(F5:F6)</f>
        <v>54960000</v>
      </c>
      <c r="BN15" s="3" t="s">
        <v>168</v>
      </c>
      <c r="BO15" s="5">
        <f>SUM(BO5:BO6)</f>
        <v>29854719</v>
      </c>
      <c r="BP15" s="5">
        <f>SUM(BP5:BP6)</f>
        <v>25.56</v>
      </c>
    </row>
    <row r="16" spans="1:70" x14ac:dyDescent="0.3">
      <c r="D16" s="6" t="s">
        <v>166</v>
      </c>
      <c r="E16" s="9">
        <f>SUM(E8:E10)</f>
        <v>234</v>
      </c>
      <c r="F16" s="9">
        <f>SUM(F8:F10)</f>
        <v>153336000</v>
      </c>
      <c r="BN16" s="3" t="s">
        <v>166</v>
      </c>
      <c r="BO16" s="5">
        <f>SUM(BO8:BO10)</f>
        <v>-125173620</v>
      </c>
      <c r="BP16" s="5">
        <f>SUM(BP8:BP10)</f>
        <v>-1012.33</v>
      </c>
    </row>
    <row r="17" spans="4:68" x14ac:dyDescent="0.3">
      <c r="D17" s="6" t="s">
        <v>162</v>
      </c>
      <c r="E17" s="9">
        <f>(E14+E15)</f>
        <v>57</v>
      </c>
      <c r="F17" s="9">
        <f>(F14+F15)</f>
        <v>75165000</v>
      </c>
      <c r="BN17" s="6" t="s">
        <v>162</v>
      </c>
      <c r="BO17" s="9">
        <f>(BO14+BO15)</f>
        <v>32081745</v>
      </c>
      <c r="BP17" s="9">
        <f>(BP14+BP15)</f>
        <v>34.03</v>
      </c>
    </row>
    <row r="18" spans="4:68" x14ac:dyDescent="0.3">
      <c r="D18" s="6"/>
      <c r="E18" s="9" t="b">
        <f>SUM(E16:E17)=E11</f>
        <v>1</v>
      </c>
      <c r="F18" s="9" t="b">
        <f>SUM(F16:F17)=F11</f>
        <v>1</v>
      </c>
      <c r="BN18" s="6"/>
      <c r="BO18" s="9" t="b">
        <f>SUM(BO16:BO17)=BO11</f>
        <v>1</v>
      </c>
      <c r="BP18" s="9" t="b">
        <f>SUM(BP16:BP17)=BP11</f>
        <v>1</v>
      </c>
    </row>
  </sheetData>
  <autoFilter ref="C4:BR10" xr:uid="{581C2385-3503-4C2A-9EAA-22C7344CC7D9}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91B46-41FD-47D6-9019-13A6856AD2B5}">
  <sheetPr filterMode="1"/>
  <dimension ref="A1:BR89"/>
  <sheetViews>
    <sheetView topLeftCell="A34" workbookViewId="0">
      <selection activeCell="A77" sqref="A77"/>
    </sheetView>
  </sheetViews>
  <sheetFormatPr defaultRowHeight="16.5" x14ac:dyDescent="0.3"/>
  <cols>
    <col min="1" max="1" width="22.5" customWidth="1"/>
    <col min="6" max="6" width="12.25" customWidth="1"/>
  </cols>
  <sheetData>
    <row r="1" spans="1:7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O1" t="s">
        <v>6</v>
      </c>
      <c r="X1" t="s">
        <v>7</v>
      </c>
      <c r="Z1" t="s">
        <v>8</v>
      </c>
      <c r="AB1" t="s">
        <v>9</v>
      </c>
      <c r="AD1" t="s">
        <v>10</v>
      </c>
      <c r="AF1" t="s">
        <v>11</v>
      </c>
      <c r="AG1" t="s">
        <v>12</v>
      </c>
      <c r="AR1" t="s">
        <v>13</v>
      </c>
      <c r="AS1" t="s">
        <v>14</v>
      </c>
      <c r="AW1" t="s">
        <v>15</v>
      </c>
      <c r="AX1" t="s">
        <v>16</v>
      </c>
      <c r="BK1" t="s">
        <v>17</v>
      </c>
      <c r="BL1" t="s">
        <v>18</v>
      </c>
      <c r="BM1" t="s">
        <v>19</v>
      </c>
      <c r="BN1" t="s">
        <v>20</v>
      </c>
    </row>
    <row r="2" spans="1:70" x14ac:dyDescent="0.3">
      <c r="E2" t="s">
        <v>21</v>
      </c>
      <c r="F2" t="s">
        <v>22</v>
      </c>
      <c r="G2" t="s">
        <v>23</v>
      </c>
      <c r="I2" t="s">
        <v>24</v>
      </c>
      <c r="K2" t="s">
        <v>25</v>
      </c>
      <c r="M2" t="s">
        <v>26</v>
      </c>
      <c r="O2" t="s">
        <v>27</v>
      </c>
      <c r="Q2" t="s">
        <v>28</v>
      </c>
      <c r="S2" t="s">
        <v>29</v>
      </c>
      <c r="U2" t="s">
        <v>30</v>
      </c>
      <c r="AG2" t="s">
        <v>31</v>
      </c>
      <c r="AJ2" t="s">
        <v>32</v>
      </c>
      <c r="AX2" t="s">
        <v>33</v>
      </c>
      <c r="BA2" t="s">
        <v>34</v>
      </c>
      <c r="BF2" t="s">
        <v>35</v>
      </c>
      <c r="BG2" t="s">
        <v>36</v>
      </c>
      <c r="BH2" t="s">
        <v>37</v>
      </c>
      <c r="BI2" t="s">
        <v>38</v>
      </c>
      <c r="BJ2" t="s">
        <v>39</v>
      </c>
      <c r="BN2" t="s">
        <v>40</v>
      </c>
      <c r="BO2" t="s">
        <v>41</v>
      </c>
      <c r="BP2" t="s">
        <v>42</v>
      </c>
      <c r="BQ2" t="s">
        <v>43</v>
      </c>
      <c r="BR2" t="s">
        <v>44</v>
      </c>
    </row>
    <row r="4" spans="1:70" x14ac:dyDescent="0.3">
      <c r="G4" t="s">
        <v>45</v>
      </c>
      <c r="H4" t="s">
        <v>46</v>
      </c>
      <c r="I4" t="s">
        <v>45</v>
      </c>
      <c r="J4" t="s">
        <v>46</v>
      </c>
      <c r="K4" t="s">
        <v>45</v>
      </c>
      <c r="L4" t="s">
        <v>46</v>
      </c>
      <c r="M4" t="s">
        <v>47</v>
      </c>
      <c r="N4" t="s">
        <v>48</v>
      </c>
      <c r="O4" t="s">
        <v>47</v>
      </c>
      <c r="P4" t="s">
        <v>48</v>
      </c>
      <c r="Q4" t="s">
        <v>47</v>
      </c>
      <c r="R4" t="s">
        <v>48</v>
      </c>
      <c r="S4" t="s">
        <v>47</v>
      </c>
      <c r="T4" t="s">
        <v>49</v>
      </c>
      <c r="U4" t="s">
        <v>47</v>
      </c>
      <c r="V4" t="s">
        <v>49</v>
      </c>
      <c r="W4" t="s">
        <v>50</v>
      </c>
      <c r="X4" t="s">
        <v>47</v>
      </c>
      <c r="Y4" t="s">
        <v>48</v>
      </c>
      <c r="Z4" t="s">
        <v>47</v>
      </c>
      <c r="AA4" t="s">
        <v>48</v>
      </c>
      <c r="AB4" t="s">
        <v>47</v>
      </c>
      <c r="AC4" t="s">
        <v>48</v>
      </c>
      <c r="AD4" t="s">
        <v>47</v>
      </c>
      <c r="AE4" t="s">
        <v>48</v>
      </c>
      <c r="AG4" t="s">
        <v>45</v>
      </c>
      <c r="AH4" t="s">
        <v>46</v>
      </c>
      <c r="AI4" t="s">
        <v>51</v>
      </c>
      <c r="AJ4" t="s">
        <v>52</v>
      </c>
      <c r="AK4" t="s">
        <v>53</v>
      </c>
      <c r="AL4" t="s">
        <v>29</v>
      </c>
      <c r="AM4" t="s">
        <v>54</v>
      </c>
      <c r="AN4" t="s">
        <v>55</v>
      </c>
      <c r="AO4" t="s">
        <v>56</v>
      </c>
      <c r="AP4" t="s">
        <v>57</v>
      </c>
      <c r="AQ4" t="s">
        <v>58</v>
      </c>
      <c r="AS4" t="s">
        <v>59</v>
      </c>
      <c r="AT4" t="s">
        <v>60</v>
      </c>
      <c r="AU4" t="s">
        <v>61</v>
      </c>
      <c r="AV4" t="s">
        <v>62</v>
      </c>
      <c r="AX4" t="s">
        <v>63</v>
      </c>
      <c r="AY4" t="s">
        <v>64</v>
      </c>
      <c r="AZ4" t="s">
        <v>65</v>
      </c>
      <c r="BA4" t="s">
        <v>66</v>
      </c>
      <c r="BB4" t="s">
        <v>67</v>
      </c>
      <c r="BC4" t="s">
        <v>68</v>
      </c>
      <c r="BD4" t="s">
        <v>69</v>
      </c>
      <c r="BE4" t="s">
        <v>70</v>
      </c>
    </row>
    <row r="5" spans="1:70" hidden="1" x14ac:dyDescent="0.3">
      <c r="A5" t="s">
        <v>71</v>
      </c>
      <c r="B5">
        <v>10011505</v>
      </c>
      <c r="D5" t="s">
        <v>72</v>
      </c>
      <c r="F5" s="1">
        <v>4598000</v>
      </c>
      <c r="G5">
        <v>0</v>
      </c>
      <c r="H5">
        <v>0</v>
      </c>
      <c r="I5">
        <v>0</v>
      </c>
      <c r="J5">
        <v>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2</v>
      </c>
      <c r="AG5">
        <v>0</v>
      </c>
      <c r="AH5">
        <v>8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8</v>
      </c>
      <c r="AS5" s="1">
        <v>181840</v>
      </c>
      <c r="AT5">
        <v>0</v>
      </c>
      <c r="AU5" s="1">
        <v>577832</v>
      </c>
      <c r="AV5" s="1">
        <v>759672</v>
      </c>
      <c r="AW5">
        <v>0</v>
      </c>
      <c r="AX5">
        <v>0</v>
      </c>
      <c r="AY5" s="1">
        <v>55752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 s="1">
        <v>55752</v>
      </c>
      <c r="BK5" s="1">
        <v>1317759</v>
      </c>
      <c r="BL5" s="1">
        <v>1162401</v>
      </c>
      <c r="BM5" s="1">
        <v>155358</v>
      </c>
      <c r="BN5">
        <v>1</v>
      </c>
      <c r="BO5" s="1">
        <v>2498268</v>
      </c>
      <c r="BP5">
        <v>0.02</v>
      </c>
      <c r="BQ5">
        <v>18.2</v>
      </c>
      <c r="BR5">
        <v>0</v>
      </c>
    </row>
    <row r="6" spans="1:70" hidden="1" x14ac:dyDescent="0.3">
      <c r="A6" t="s">
        <v>73</v>
      </c>
      <c r="B6">
        <v>10011506</v>
      </c>
      <c r="D6" t="s">
        <v>72</v>
      </c>
      <c r="F6" s="1">
        <v>11286000</v>
      </c>
      <c r="G6">
        <v>0</v>
      </c>
      <c r="H6">
        <v>0</v>
      </c>
      <c r="I6">
        <v>0</v>
      </c>
      <c r="J6">
        <v>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9</v>
      </c>
      <c r="AG6">
        <v>0</v>
      </c>
      <c r="AH6">
        <v>36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36</v>
      </c>
      <c r="AS6" s="1">
        <v>818280</v>
      </c>
      <c r="AT6">
        <v>0</v>
      </c>
      <c r="AU6" s="1">
        <v>100152</v>
      </c>
      <c r="AV6" s="1">
        <v>918432</v>
      </c>
      <c r="AW6">
        <v>0</v>
      </c>
      <c r="AX6">
        <v>0</v>
      </c>
      <c r="AY6" s="1">
        <v>250884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 s="1">
        <v>250884</v>
      </c>
      <c r="BK6" s="1">
        <v>5929916</v>
      </c>
      <c r="BL6" s="1">
        <v>5230804</v>
      </c>
      <c r="BM6" s="1">
        <v>699112</v>
      </c>
      <c r="BN6">
        <v>1</v>
      </c>
      <c r="BO6" s="1">
        <v>8742135</v>
      </c>
      <c r="BP6">
        <v>3.69</v>
      </c>
      <c r="BQ6">
        <v>33.299999999999997</v>
      </c>
      <c r="BR6">
        <v>0</v>
      </c>
    </row>
    <row r="7" spans="1:70" hidden="1" x14ac:dyDescent="0.3">
      <c r="A7" t="s">
        <v>74</v>
      </c>
      <c r="B7">
        <v>10011507</v>
      </c>
      <c r="D7" t="s">
        <v>72</v>
      </c>
      <c r="F7" s="1">
        <v>9614000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H7">
        <v>10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10</v>
      </c>
      <c r="AS7" s="1">
        <v>227300</v>
      </c>
      <c r="AT7">
        <v>0</v>
      </c>
      <c r="AU7" s="1">
        <v>2097050</v>
      </c>
      <c r="AV7" s="1">
        <v>2324350</v>
      </c>
      <c r="AW7">
        <v>0</v>
      </c>
      <c r="AX7">
        <v>0</v>
      </c>
      <c r="AY7" s="1">
        <v>27876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 s="1">
        <v>27876</v>
      </c>
      <c r="BK7" s="1">
        <v>658879</v>
      </c>
      <c r="BL7" s="1">
        <v>581200</v>
      </c>
      <c r="BM7" s="1">
        <v>77679</v>
      </c>
      <c r="BN7">
        <v>1</v>
      </c>
      <c r="BO7" s="1">
        <v>3193641</v>
      </c>
      <c r="BP7">
        <v>-7.08</v>
      </c>
      <c r="BQ7">
        <v>10.9</v>
      </c>
      <c r="BR7">
        <v>0</v>
      </c>
    </row>
    <row r="8" spans="1:70" hidden="1" x14ac:dyDescent="0.3">
      <c r="A8" t="s">
        <v>75</v>
      </c>
      <c r="B8">
        <v>10011509</v>
      </c>
      <c r="C8" t="s">
        <v>76</v>
      </c>
      <c r="D8" t="s">
        <v>72</v>
      </c>
      <c r="E8">
        <v>25</v>
      </c>
      <c r="F8" s="1">
        <v>17975160</v>
      </c>
      <c r="G8">
        <v>0</v>
      </c>
      <c r="H8" s="1">
        <v>1740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 s="1">
        <v>1740</v>
      </c>
      <c r="AG8">
        <v>0</v>
      </c>
      <c r="AH8" s="1">
        <v>6960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 s="1">
        <v>6960</v>
      </c>
      <c r="AS8" s="1">
        <v>158200800</v>
      </c>
      <c r="AT8">
        <v>0</v>
      </c>
      <c r="AU8">
        <v>0</v>
      </c>
      <c r="AV8" s="1">
        <v>158200800</v>
      </c>
      <c r="AW8" s="1">
        <v>-158200800</v>
      </c>
      <c r="AX8">
        <v>0</v>
      </c>
      <c r="AY8" s="1">
        <v>45560160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 s="1">
        <v>45560160</v>
      </c>
      <c r="BK8" s="1">
        <v>1076864497</v>
      </c>
      <c r="BL8" s="1">
        <v>949906555</v>
      </c>
      <c r="BM8" s="1">
        <v>126957942</v>
      </c>
      <c r="BN8">
        <v>1</v>
      </c>
      <c r="BO8" s="1">
        <v>1562144687</v>
      </c>
      <c r="BP8" t="s">
        <v>77</v>
      </c>
      <c r="BQ8" s="2">
        <v>6960</v>
      </c>
      <c r="BR8">
        <v>0</v>
      </c>
    </row>
    <row r="9" spans="1:70" x14ac:dyDescent="0.3">
      <c r="A9" t="s">
        <v>75</v>
      </c>
      <c r="B9">
        <v>10011509</v>
      </c>
      <c r="C9" t="s">
        <v>76</v>
      </c>
      <c r="D9" t="s">
        <v>78</v>
      </c>
      <c r="E9">
        <v>25</v>
      </c>
      <c r="F9" s="1">
        <v>63179000</v>
      </c>
      <c r="G9">
        <v>0</v>
      </c>
      <c r="H9" s="1">
        <v>1740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 s="1">
        <v>1740</v>
      </c>
      <c r="AG9">
        <v>0</v>
      </c>
      <c r="AH9" s="1">
        <v>6960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 s="1">
        <v>6960</v>
      </c>
      <c r="AS9" s="1">
        <v>158200800</v>
      </c>
      <c r="AT9">
        <v>0</v>
      </c>
      <c r="AU9">
        <v>0</v>
      </c>
      <c r="AV9" s="1">
        <v>158200800</v>
      </c>
      <c r="AW9" s="1">
        <v>-158200800</v>
      </c>
      <c r="AX9">
        <v>0</v>
      </c>
      <c r="AY9" s="1">
        <v>45560160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 s="1">
        <v>45560160</v>
      </c>
      <c r="BK9" s="1">
        <v>1076864497</v>
      </c>
      <c r="BL9" s="1">
        <v>949906555</v>
      </c>
      <c r="BM9" s="1">
        <v>126957942</v>
      </c>
      <c r="BN9">
        <v>1</v>
      </c>
      <c r="BO9" s="1">
        <v>1363230703</v>
      </c>
      <c r="BP9">
        <v>166.66</v>
      </c>
      <c r="BQ9" s="2">
        <v>6960</v>
      </c>
      <c r="BR9">
        <v>0</v>
      </c>
    </row>
    <row r="10" spans="1:70" hidden="1" x14ac:dyDescent="0.3">
      <c r="A10" t="s">
        <v>79</v>
      </c>
      <c r="B10">
        <v>10011510</v>
      </c>
      <c r="D10" t="s">
        <v>72</v>
      </c>
      <c r="F10" s="1">
        <v>3762000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4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4</v>
      </c>
      <c r="AS10" s="1">
        <v>90920</v>
      </c>
      <c r="AT10">
        <v>0</v>
      </c>
      <c r="AU10" s="1">
        <v>677820</v>
      </c>
      <c r="AV10" s="1">
        <v>768740</v>
      </c>
      <c r="AW10">
        <v>0</v>
      </c>
      <c r="AX10">
        <v>0</v>
      </c>
      <c r="AY10" s="1">
        <v>27876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 s="1">
        <v>27876</v>
      </c>
      <c r="BK10" s="1">
        <v>658879</v>
      </c>
      <c r="BL10" s="1">
        <v>581200</v>
      </c>
      <c r="BM10" s="1">
        <v>77679</v>
      </c>
      <c r="BN10">
        <v>1</v>
      </c>
      <c r="BO10" s="1">
        <v>1638031</v>
      </c>
      <c r="BP10">
        <v>-2.64</v>
      </c>
      <c r="BQ10">
        <v>11.1</v>
      </c>
      <c r="BR10">
        <v>0</v>
      </c>
    </row>
    <row r="11" spans="1:70" hidden="1" x14ac:dyDescent="0.3">
      <c r="A11" t="s">
        <v>80</v>
      </c>
      <c r="B11">
        <v>10011512</v>
      </c>
      <c r="C11" t="s">
        <v>81</v>
      </c>
      <c r="D11" t="s">
        <v>72</v>
      </c>
      <c r="E11">
        <v>151</v>
      </c>
      <c r="F11" s="1">
        <v>46749598</v>
      </c>
      <c r="G11">
        <v>0</v>
      </c>
      <c r="H11">
        <v>0</v>
      </c>
      <c r="I11">
        <v>0</v>
      </c>
      <c r="J11">
        <v>17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17</v>
      </c>
      <c r="AG11">
        <v>0</v>
      </c>
      <c r="AH11">
        <v>70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70</v>
      </c>
      <c r="AS11" s="1">
        <v>1591100</v>
      </c>
      <c r="AT11">
        <v>0</v>
      </c>
      <c r="AU11" s="1">
        <v>11255230</v>
      </c>
      <c r="AV11" s="1">
        <v>12846330</v>
      </c>
      <c r="AW11">
        <v>0</v>
      </c>
      <c r="AX11">
        <v>0</v>
      </c>
      <c r="AY11" s="1">
        <v>473892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 s="1">
        <v>473892</v>
      </c>
      <c r="BK11" s="1">
        <v>11200946</v>
      </c>
      <c r="BL11" s="1">
        <v>9880402</v>
      </c>
      <c r="BM11" s="1">
        <v>1320544</v>
      </c>
      <c r="BN11">
        <v>31</v>
      </c>
      <c r="BO11" s="1">
        <v>-49306563</v>
      </c>
      <c r="BP11">
        <v>-999.99</v>
      </c>
      <c r="BQ11">
        <v>11.6</v>
      </c>
      <c r="BR11">
        <v>0</v>
      </c>
    </row>
    <row r="12" spans="1:70" x14ac:dyDescent="0.3">
      <c r="A12" t="s">
        <v>80</v>
      </c>
      <c r="B12">
        <v>10011512</v>
      </c>
      <c r="C12" t="s">
        <v>81</v>
      </c>
      <c r="D12" t="s">
        <v>78</v>
      </c>
      <c r="E12">
        <v>151</v>
      </c>
      <c r="F12" s="1">
        <v>71533000</v>
      </c>
      <c r="G12">
        <v>0</v>
      </c>
      <c r="H12">
        <v>0</v>
      </c>
      <c r="I12">
        <v>0</v>
      </c>
      <c r="J12">
        <v>17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17</v>
      </c>
      <c r="AG12">
        <v>0</v>
      </c>
      <c r="AH12">
        <v>70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70</v>
      </c>
      <c r="AS12" s="1">
        <v>1591100</v>
      </c>
      <c r="AT12">
        <v>0</v>
      </c>
      <c r="AU12" s="1">
        <v>11255230</v>
      </c>
      <c r="AV12" s="1">
        <v>12846330</v>
      </c>
      <c r="AW12">
        <v>0</v>
      </c>
      <c r="AX12">
        <v>0</v>
      </c>
      <c r="AY12" s="1">
        <v>473892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 s="1">
        <v>473892</v>
      </c>
      <c r="BK12" s="1">
        <v>11200946</v>
      </c>
      <c r="BL12" s="1">
        <v>9880402</v>
      </c>
      <c r="BM12" s="1">
        <v>1320544</v>
      </c>
      <c r="BN12">
        <v>31</v>
      </c>
      <c r="BO12" s="1">
        <v>-71627930</v>
      </c>
      <c r="BP12">
        <v>-999.99</v>
      </c>
      <c r="BQ12">
        <v>11.6</v>
      </c>
      <c r="BR12">
        <v>0</v>
      </c>
    </row>
    <row r="13" spans="1:70" hidden="1" x14ac:dyDescent="0.3">
      <c r="A13" t="s">
        <v>82</v>
      </c>
      <c r="B13">
        <v>10011513</v>
      </c>
      <c r="C13" t="s">
        <v>83</v>
      </c>
      <c r="D13" t="s">
        <v>72</v>
      </c>
      <c r="E13">
        <v>63</v>
      </c>
      <c r="F13" s="1">
        <v>19166742</v>
      </c>
      <c r="G13">
        <v>0</v>
      </c>
      <c r="H13">
        <v>0</v>
      </c>
      <c r="I13">
        <v>0</v>
      </c>
      <c r="J13">
        <v>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9</v>
      </c>
      <c r="AG13">
        <v>0</v>
      </c>
      <c r="AH13">
        <v>38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38</v>
      </c>
      <c r="AS13" s="1">
        <v>863740</v>
      </c>
      <c r="AT13">
        <v>0</v>
      </c>
      <c r="AU13" s="1">
        <v>4054828</v>
      </c>
      <c r="AV13" s="1">
        <v>4918568</v>
      </c>
      <c r="AW13">
        <v>0</v>
      </c>
      <c r="AX13">
        <v>0</v>
      </c>
      <c r="AY13" s="1">
        <v>250884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 s="1">
        <v>250884</v>
      </c>
      <c r="BK13" s="1">
        <v>5929917</v>
      </c>
      <c r="BL13" s="1">
        <v>5230804</v>
      </c>
      <c r="BM13" s="1">
        <v>699113</v>
      </c>
      <c r="BN13">
        <v>31</v>
      </c>
      <c r="BO13" s="1">
        <v>-19050282</v>
      </c>
      <c r="BP13">
        <v>-999.99</v>
      </c>
      <c r="BQ13">
        <v>15.1</v>
      </c>
      <c r="BR13">
        <v>0</v>
      </c>
    </row>
    <row r="14" spans="1:70" x14ac:dyDescent="0.3">
      <c r="A14" t="s">
        <v>82</v>
      </c>
      <c r="B14">
        <v>10011513</v>
      </c>
      <c r="C14" t="s">
        <v>83</v>
      </c>
      <c r="D14" t="s">
        <v>78</v>
      </c>
      <c r="E14">
        <v>63</v>
      </c>
      <c r="F14" s="1">
        <v>45289000</v>
      </c>
      <c r="G14">
        <v>0</v>
      </c>
      <c r="H14">
        <v>0</v>
      </c>
      <c r="I14">
        <v>0</v>
      </c>
      <c r="J14">
        <v>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9</v>
      </c>
      <c r="AG14">
        <v>0</v>
      </c>
      <c r="AH14">
        <v>38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38</v>
      </c>
      <c r="AS14" s="1">
        <v>863740</v>
      </c>
      <c r="AT14">
        <v>0</v>
      </c>
      <c r="AU14" s="1">
        <v>4054828</v>
      </c>
      <c r="AV14" s="1">
        <v>4918568</v>
      </c>
      <c r="AW14">
        <v>0</v>
      </c>
      <c r="AX14">
        <v>0</v>
      </c>
      <c r="AY14" s="1">
        <v>250884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 s="1">
        <v>250884</v>
      </c>
      <c r="BK14" s="1">
        <v>5929917</v>
      </c>
      <c r="BL14" s="1">
        <v>5230804</v>
      </c>
      <c r="BM14" s="1">
        <v>699113</v>
      </c>
      <c r="BN14">
        <v>31</v>
      </c>
      <c r="BO14" s="1">
        <v>-42577482</v>
      </c>
      <c r="BP14">
        <v>-999.99</v>
      </c>
      <c r="BQ14">
        <v>15.1</v>
      </c>
      <c r="BR14">
        <v>0</v>
      </c>
    </row>
    <row r="15" spans="1:70" hidden="1" x14ac:dyDescent="0.3">
      <c r="A15" t="s">
        <v>84</v>
      </c>
      <c r="B15">
        <v>10011514</v>
      </c>
      <c r="C15" t="s">
        <v>85</v>
      </c>
      <c r="D15" t="s">
        <v>72</v>
      </c>
      <c r="E15">
        <v>101</v>
      </c>
      <c r="F15" s="1">
        <v>33128946</v>
      </c>
      <c r="G15">
        <v>0</v>
      </c>
      <c r="H15">
        <v>0</v>
      </c>
      <c r="I15">
        <v>0</v>
      </c>
      <c r="J15">
        <v>19</v>
      </c>
      <c r="K15">
        <v>0</v>
      </c>
      <c r="L15">
        <v>0</v>
      </c>
      <c r="M15">
        <v>0</v>
      </c>
      <c r="N15">
        <v>0</v>
      </c>
      <c r="O15">
        <v>1</v>
      </c>
      <c r="P15" s="1">
        <v>23157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20</v>
      </c>
      <c r="AG15">
        <v>0</v>
      </c>
      <c r="AH15">
        <v>76</v>
      </c>
      <c r="AI15">
        <v>0</v>
      </c>
      <c r="AJ15">
        <v>16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92</v>
      </c>
      <c r="AS15" s="1">
        <v>2091160</v>
      </c>
      <c r="AT15">
        <v>0</v>
      </c>
      <c r="AU15" s="1">
        <v>3337024</v>
      </c>
      <c r="AV15" s="1">
        <v>5428184</v>
      </c>
      <c r="AW15">
        <v>0</v>
      </c>
      <c r="AX15">
        <v>0</v>
      </c>
      <c r="AY15" s="1">
        <v>529644</v>
      </c>
      <c r="AZ15">
        <v>0</v>
      </c>
      <c r="BA15" s="1">
        <v>277885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 s="1">
        <v>807529</v>
      </c>
      <c r="BK15" s="1">
        <v>18850072</v>
      </c>
      <c r="BL15" s="1">
        <v>16347743</v>
      </c>
      <c r="BM15" s="1">
        <v>2502329</v>
      </c>
      <c r="BN15">
        <v>31</v>
      </c>
      <c r="BO15" s="1">
        <v>-20406854</v>
      </c>
      <c r="BP15">
        <v>-3.18</v>
      </c>
      <c r="BQ15">
        <v>22.8</v>
      </c>
      <c r="BR15">
        <v>0</v>
      </c>
    </row>
    <row r="16" spans="1:70" x14ac:dyDescent="0.3">
      <c r="A16" t="s">
        <v>84</v>
      </c>
      <c r="B16">
        <v>10011514</v>
      </c>
      <c r="C16" t="s">
        <v>85</v>
      </c>
      <c r="D16" t="s">
        <v>78</v>
      </c>
      <c r="E16">
        <v>101</v>
      </c>
      <c r="F16" s="1">
        <v>48672000</v>
      </c>
      <c r="G16">
        <v>0</v>
      </c>
      <c r="H16">
        <v>0</v>
      </c>
      <c r="I16">
        <v>0</v>
      </c>
      <c r="J16">
        <v>19</v>
      </c>
      <c r="K16">
        <v>0</v>
      </c>
      <c r="L16">
        <v>0</v>
      </c>
      <c r="M16">
        <v>0</v>
      </c>
      <c r="N16">
        <v>0</v>
      </c>
      <c r="O16">
        <v>1</v>
      </c>
      <c r="P16" s="1">
        <v>23157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20</v>
      </c>
      <c r="AG16">
        <v>0</v>
      </c>
      <c r="AH16">
        <v>76</v>
      </c>
      <c r="AI16">
        <v>0</v>
      </c>
      <c r="AJ16">
        <v>16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92</v>
      </c>
      <c r="AS16" s="1">
        <v>2091160</v>
      </c>
      <c r="AT16">
        <v>0</v>
      </c>
      <c r="AU16" s="1">
        <v>3337024</v>
      </c>
      <c r="AV16" s="1">
        <v>5428184</v>
      </c>
      <c r="AW16">
        <v>0</v>
      </c>
      <c r="AX16">
        <v>0</v>
      </c>
      <c r="AY16" s="1">
        <v>529644</v>
      </c>
      <c r="AZ16">
        <v>0</v>
      </c>
      <c r="BA16" s="1">
        <v>277885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 s="1">
        <v>807529</v>
      </c>
      <c r="BK16" s="1">
        <v>18850072</v>
      </c>
      <c r="BL16" s="1">
        <v>16347743</v>
      </c>
      <c r="BM16" s="1">
        <v>2502329</v>
      </c>
      <c r="BN16">
        <v>31</v>
      </c>
      <c r="BO16" s="1">
        <v>-34405818</v>
      </c>
      <c r="BP16">
        <v>-4.5</v>
      </c>
      <c r="BQ16">
        <v>22.8</v>
      </c>
      <c r="BR16">
        <v>0</v>
      </c>
    </row>
    <row r="17" spans="1:70" hidden="1" x14ac:dyDescent="0.3">
      <c r="A17" t="s">
        <v>86</v>
      </c>
      <c r="B17">
        <v>10011515</v>
      </c>
      <c r="C17" t="s">
        <v>87</v>
      </c>
      <c r="D17" t="s">
        <v>72</v>
      </c>
      <c r="E17">
        <v>98</v>
      </c>
      <c r="F17" s="1">
        <v>55847456</v>
      </c>
      <c r="G17">
        <v>0</v>
      </c>
      <c r="H17">
        <v>0</v>
      </c>
      <c r="I17">
        <v>0</v>
      </c>
      <c r="J17">
        <v>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11</v>
      </c>
      <c r="AG17">
        <v>0</v>
      </c>
      <c r="AH17">
        <v>44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44</v>
      </c>
      <c r="AS17" s="1">
        <v>1000120</v>
      </c>
      <c r="AT17">
        <v>0</v>
      </c>
      <c r="AU17" s="1">
        <v>7344920</v>
      </c>
      <c r="AV17" s="1">
        <v>8345040</v>
      </c>
      <c r="AW17">
        <v>0</v>
      </c>
      <c r="AX17">
        <v>0</v>
      </c>
      <c r="AY17" s="1">
        <v>306636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 s="1">
        <v>306636</v>
      </c>
      <c r="BK17" s="1">
        <v>7247674</v>
      </c>
      <c r="BL17" s="1">
        <v>6393203</v>
      </c>
      <c r="BM17" s="1">
        <v>854471</v>
      </c>
      <c r="BN17">
        <v>31</v>
      </c>
      <c r="BO17" s="1">
        <v>-54994132</v>
      </c>
      <c r="BP17">
        <v>-999.99</v>
      </c>
      <c r="BQ17">
        <v>11.2</v>
      </c>
      <c r="BR17">
        <v>0</v>
      </c>
    </row>
    <row r="18" spans="1:70" x14ac:dyDescent="0.3">
      <c r="A18" t="s">
        <v>86</v>
      </c>
      <c r="B18">
        <v>10011515</v>
      </c>
      <c r="C18" t="s">
        <v>87</v>
      </c>
      <c r="D18" t="s">
        <v>78</v>
      </c>
      <c r="E18">
        <v>98</v>
      </c>
      <c r="F18" s="1">
        <v>66540000</v>
      </c>
      <c r="G18">
        <v>0</v>
      </c>
      <c r="H18">
        <v>0</v>
      </c>
      <c r="I18">
        <v>0</v>
      </c>
      <c r="J18">
        <v>11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11</v>
      </c>
      <c r="AG18">
        <v>0</v>
      </c>
      <c r="AH18">
        <v>44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44</v>
      </c>
      <c r="AS18" s="1">
        <v>1000120</v>
      </c>
      <c r="AT18">
        <v>0</v>
      </c>
      <c r="AU18" s="1">
        <v>7344920</v>
      </c>
      <c r="AV18" s="1">
        <v>8345040</v>
      </c>
      <c r="AW18">
        <v>0</v>
      </c>
      <c r="AX18">
        <v>0</v>
      </c>
      <c r="AY18" s="1">
        <v>306636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 s="1">
        <v>306636</v>
      </c>
      <c r="BK18" s="1">
        <v>7247674</v>
      </c>
      <c r="BL18" s="1">
        <v>6393203</v>
      </c>
      <c r="BM18" s="1">
        <v>854471</v>
      </c>
      <c r="BN18">
        <v>31</v>
      </c>
      <c r="BO18" s="1">
        <v>-64624451</v>
      </c>
      <c r="BP18">
        <v>-999.99</v>
      </c>
      <c r="BQ18">
        <v>11.2</v>
      </c>
      <c r="BR18">
        <v>0</v>
      </c>
    </row>
    <row r="19" spans="1:70" hidden="1" x14ac:dyDescent="0.3">
      <c r="A19" t="s">
        <v>88</v>
      </c>
      <c r="B19">
        <v>10011516</v>
      </c>
      <c r="C19" t="s">
        <v>89</v>
      </c>
      <c r="D19" t="s">
        <v>72</v>
      </c>
      <c r="E19">
        <v>34</v>
      </c>
      <c r="F19" s="1">
        <v>23111906</v>
      </c>
      <c r="G19">
        <v>0</v>
      </c>
      <c r="H19">
        <v>0</v>
      </c>
      <c r="I19">
        <v>0</v>
      </c>
      <c r="J19">
        <v>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6</v>
      </c>
      <c r="AG19">
        <v>0</v>
      </c>
      <c r="AH19">
        <v>24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24</v>
      </c>
      <c r="AS19" s="1">
        <v>545520</v>
      </c>
      <c r="AT19">
        <v>0</v>
      </c>
      <c r="AU19" s="1">
        <v>4622496</v>
      </c>
      <c r="AV19" s="1">
        <v>5168016</v>
      </c>
      <c r="AW19">
        <v>0</v>
      </c>
      <c r="AX19">
        <v>0</v>
      </c>
      <c r="AY19" s="1">
        <v>167256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 s="1">
        <v>167256</v>
      </c>
      <c r="BK19" s="1">
        <v>3953275</v>
      </c>
      <c r="BL19" s="1">
        <v>3487201</v>
      </c>
      <c r="BM19" s="1">
        <v>466074</v>
      </c>
      <c r="BN19">
        <v>31</v>
      </c>
      <c r="BO19" s="1">
        <v>-8861747</v>
      </c>
      <c r="BP19">
        <v>-999.99</v>
      </c>
      <c r="BQ19">
        <v>10.199999999999999</v>
      </c>
      <c r="BR19">
        <v>0</v>
      </c>
    </row>
    <row r="20" spans="1:70" x14ac:dyDescent="0.3">
      <c r="A20" t="s">
        <v>88</v>
      </c>
      <c r="B20">
        <v>10011516</v>
      </c>
      <c r="C20" t="s">
        <v>89</v>
      </c>
      <c r="D20" t="s">
        <v>78</v>
      </c>
      <c r="E20">
        <v>34</v>
      </c>
      <c r="F20" s="1">
        <v>23706000</v>
      </c>
      <c r="G20">
        <v>0</v>
      </c>
      <c r="H20">
        <v>0</v>
      </c>
      <c r="I20">
        <v>0</v>
      </c>
      <c r="J20">
        <v>6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6</v>
      </c>
      <c r="AG20">
        <v>0</v>
      </c>
      <c r="AH20">
        <v>24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24</v>
      </c>
      <c r="AS20" s="1">
        <v>545520</v>
      </c>
      <c r="AT20">
        <v>0</v>
      </c>
      <c r="AU20" s="1">
        <v>4622496</v>
      </c>
      <c r="AV20" s="1">
        <v>5168016</v>
      </c>
      <c r="AW20">
        <v>0</v>
      </c>
      <c r="AX20">
        <v>0</v>
      </c>
      <c r="AY20" s="1">
        <v>167256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 s="1">
        <v>167256</v>
      </c>
      <c r="BK20" s="1">
        <v>3953275</v>
      </c>
      <c r="BL20" s="1">
        <v>3487201</v>
      </c>
      <c r="BM20" s="1">
        <v>466074</v>
      </c>
      <c r="BN20">
        <v>31</v>
      </c>
      <c r="BO20" s="1">
        <v>-18808701</v>
      </c>
      <c r="BP20">
        <v>-999.99</v>
      </c>
      <c r="BQ20">
        <v>10.199999999999999</v>
      </c>
      <c r="BR20">
        <v>0</v>
      </c>
    </row>
    <row r="21" spans="1:70" hidden="1" x14ac:dyDescent="0.3">
      <c r="A21" t="s">
        <v>90</v>
      </c>
      <c r="B21">
        <v>10011518</v>
      </c>
      <c r="C21" t="s">
        <v>91</v>
      </c>
      <c r="D21" t="s">
        <v>72</v>
      </c>
      <c r="E21">
        <v>179</v>
      </c>
      <c r="F21" s="1">
        <v>51423718</v>
      </c>
      <c r="G21">
        <v>0</v>
      </c>
      <c r="H21">
        <v>0</v>
      </c>
      <c r="I21">
        <v>0</v>
      </c>
      <c r="J21">
        <v>28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28</v>
      </c>
      <c r="AG21">
        <v>0</v>
      </c>
      <c r="AH21">
        <v>112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112</v>
      </c>
      <c r="AS21" s="1">
        <v>2545760</v>
      </c>
      <c r="AT21">
        <v>0</v>
      </c>
      <c r="AU21" s="1">
        <v>10867584</v>
      </c>
      <c r="AV21" s="1">
        <v>13413344</v>
      </c>
      <c r="AW21">
        <v>0</v>
      </c>
      <c r="AX21">
        <v>0</v>
      </c>
      <c r="AY21" s="1">
        <v>780528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 s="1">
        <v>780528</v>
      </c>
      <c r="BK21" s="1">
        <v>18448625</v>
      </c>
      <c r="BL21" s="1">
        <v>16273610</v>
      </c>
      <c r="BM21" s="1">
        <v>2175015</v>
      </c>
      <c r="BN21">
        <v>31</v>
      </c>
      <c r="BO21" s="1">
        <v>-49844753</v>
      </c>
      <c r="BP21">
        <v>-999.99</v>
      </c>
      <c r="BQ21">
        <v>15.6</v>
      </c>
      <c r="BR21">
        <v>0</v>
      </c>
    </row>
    <row r="22" spans="1:70" x14ac:dyDescent="0.3">
      <c r="A22" t="s">
        <v>90</v>
      </c>
      <c r="B22">
        <v>10011518</v>
      </c>
      <c r="C22" t="s">
        <v>91</v>
      </c>
      <c r="D22" t="s">
        <v>78</v>
      </c>
      <c r="E22">
        <v>179</v>
      </c>
      <c r="F22" s="1">
        <v>83659000</v>
      </c>
      <c r="G22">
        <v>0</v>
      </c>
      <c r="H22">
        <v>0</v>
      </c>
      <c r="I22">
        <v>0</v>
      </c>
      <c r="J22">
        <v>28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28</v>
      </c>
      <c r="AG22">
        <v>0</v>
      </c>
      <c r="AH22">
        <v>112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112</v>
      </c>
      <c r="AS22" s="1">
        <v>2545760</v>
      </c>
      <c r="AT22">
        <v>0</v>
      </c>
      <c r="AU22" s="1">
        <v>10867584</v>
      </c>
      <c r="AV22" s="1">
        <v>13413344</v>
      </c>
      <c r="AW22">
        <v>0</v>
      </c>
      <c r="AX22">
        <v>0</v>
      </c>
      <c r="AY22" s="1">
        <v>780528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 s="1">
        <v>780528</v>
      </c>
      <c r="BK22" s="1">
        <v>18448625</v>
      </c>
      <c r="BL22" s="1">
        <v>16273610</v>
      </c>
      <c r="BM22" s="1">
        <v>2175015</v>
      </c>
      <c r="BN22">
        <v>31</v>
      </c>
      <c r="BO22" s="1">
        <v>-78877699</v>
      </c>
      <c r="BP22">
        <v>-999.99</v>
      </c>
      <c r="BQ22">
        <v>15.6</v>
      </c>
      <c r="BR22">
        <v>0</v>
      </c>
    </row>
    <row r="23" spans="1:70" hidden="1" x14ac:dyDescent="0.3">
      <c r="A23" t="s">
        <v>92</v>
      </c>
      <c r="B23">
        <v>10011519</v>
      </c>
      <c r="C23" t="s">
        <v>93</v>
      </c>
      <c r="D23" t="s">
        <v>72</v>
      </c>
      <c r="E23">
        <v>64</v>
      </c>
      <c r="F23" s="1">
        <v>19470976</v>
      </c>
      <c r="G23">
        <v>0</v>
      </c>
      <c r="H23">
        <v>0</v>
      </c>
      <c r="I23">
        <v>0</v>
      </c>
      <c r="J23">
        <v>21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21</v>
      </c>
      <c r="AG23">
        <v>0</v>
      </c>
      <c r="AH23">
        <v>84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84</v>
      </c>
      <c r="AS23" s="1">
        <v>1909320</v>
      </c>
      <c r="AT23">
        <v>0</v>
      </c>
      <c r="AU23" s="1">
        <v>344820</v>
      </c>
      <c r="AV23" s="1">
        <v>2254140</v>
      </c>
      <c r="AW23">
        <v>0</v>
      </c>
      <c r="AX23">
        <v>0</v>
      </c>
      <c r="AY23" s="1">
        <v>585396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 s="1">
        <v>585396</v>
      </c>
      <c r="BK23" s="1">
        <v>13836474</v>
      </c>
      <c r="BL23" s="1">
        <v>12205211</v>
      </c>
      <c r="BM23" s="1">
        <v>1631263</v>
      </c>
      <c r="BN23">
        <v>31</v>
      </c>
      <c r="BO23" s="1">
        <v>-11787734</v>
      </c>
      <c r="BP23">
        <v>-2.1800000000000002</v>
      </c>
      <c r="BQ23">
        <v>32.799999999999997</v>
      </c>
      <c r="BR23">
        <v>0</v>
      </c>
    </row>
    <row r="24" spans="1:70" x14ac:dyDescent="0.3">
      <c r="A24" t="s">
        <v>92</v>
      </c>
      <c r="B24">
        <v>10011519</v>
      </c>
      <c r="C24" t="s">
        <v>93</v>
      </c>
      <c r="D24" t="s">
        <v>78</v>
      </c>
      <c r="E24">
        <v>64</v>
      </c>
      <c r="F24" s="1">
        <v>36484000</v>
      </c>
      <c r="G24">
        <v>0</v>
      </c>
      <c r="H24">
        <v>0</v>
      </c>
      <c r="I24">
        <v>0</v>
      </c>
      <c r="J24">
        <v>21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21</v>
      </c>
      <c r="AG24">
        <v>0</v>
      </c>
      <c r="AH24">
        <v>84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84</v>
      </c>
      <c r="AS24" s="1">
        <v>1909320</v>
      </c>
      <c r="AT24">
        <v>0</v>
      </c>
      <c r="AU24" s="1">
        <v>344820</v>
      </c>
      <c r="AV24" s="1">
        <v>2254140</v>
      </c>
      <c r="AW24">
        <v>0</v>
      </c>
      <c r="AX24">
        <v>0</v>
      </c>
      <c r="AY24" s="1">
        <v>585396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 s="1">
        <v>585396</v>
      </c>
      <c r="BK24" s="1">
        <v>13836474</v>
      </c>
      <c r="BL24" s="1">
        <v>12205211</v>
      </c>
      <c r="BM24" s="1">
        <v>1631263</v>
      </c>
      <c r="BN24">
        <v>31</v>
      </c>
      <c r="BO24" s="1">
        <v>-27110648</v>
      </c>
      <c r="BP24">
        <v>-4.42</v>
      </c>
      <c r="BQ24">
        <v>32.799999999999997</v>
      </c>
      <c r="BR24">
        <v>0</v>
      </c>
    </row>
    <row r="25" spans="1:70" hidden="1" x14ac:dyDescent="0.3">
      <c r="A25" t="s">
        <v>94</v>
      </c>
      <c r="B25">
        <v>10011521</v>
      </c>
      <c r="C25" t="s">
        <v>95</v>
      </c>
      <c r="D25" t="s">
        <v>72</v>
      </c>
      <c r="E25">
        <v>38</v>
      </c>
      <c r="F25" s="1">
        <v>14412450</v>
      </c>
      <c r="G25">
        <v>0</v>
      </c>
      <c r="H25">
        <v>0</v>
      </c>
      <c r="I25">
        <v>0</v>
      </c>
      <c r="J25">
        <v>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3</v>
      </c>
      <c r="AG25">
        <v>0</v>
      </c>
      <c r="AH25">
        <v>14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14</v>
      </c>
      <c r="AS25" s="1">
        <v>318220</v>
      </c>
      <c r="AT25">
        <v>0</v>
      </c>
      <c r="AU25" s="1">
        <v>3210270</v>
      </c>
      <c r="AV25" s="1">
        <v>3528490</v>
      </c>
      <c r="AW25">
        <v>0</v>
      </c>
      <c r="AX25">
        <v>0</v>
      </c>
      <c r="AY25" s="1">
        <v>83628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 s="1">
        <v>83628</v>
      </c>
      <c r="BK25" s="1">
        <v>1976638</v>
      </c>
      <c r="BL25" s="1">
        <v>1743601</v>
      </c>
      <c r="BM25" s="1">
        <v>233037</v>
      </c>
      <c r="BN25">
        <v>31</v>
      </c>
      <c r="BO25" s="1">
        <v>-15608356</v>
      </c>
      <c r="BP25">
        <v>-999.99</v>
      </c>
      <c r="BQ25">
        <v>9.1999999999999993</v>
      </c>
      <c r="BR25">
        <v>0</v>
      </c>
    </row>
    <row r="26" spans="1:70" x14ac:dyDescent="0.3">
      <c r="A26" t="s">
        <v>94</v>
      </c>
      <c r="B26">
        <v>10011521</v>
      </c>
      <c r="C26" t="s">
        <v>95</v>
      </c>
      <c r="D26" t="s">
        <v>78</v>
      </c>
      <c r="E26">
        <v>38</v>
      </c>
      <c r="F26" s="1">
        <v>31540000</v>
      </c>
      <c r="G26">
        <v>0</v>
      </c>
      <c r="H26">
        <v>0</v>
      </c>
      <c r="I26">
        <v>0</v>
      </c>
      <c r="J26">
        <v>3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3</v>
      </c>
      <c r="AG26">
        <v>0</v>
      </c>
      <c r="AH26">
        <v>14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14</v>
      </c>
      <c r="AS26" s="1">
        <v>318220</v>
      </c>
      <c r="AT26">
        <v>0</v>
      </c>
      <c r="AU26" s="1">
        <v>3210270</v>
      </c>
      <c r="AV26" s="1">
        <v>3528490</v>
      </c>
      <c r="AW26">
        <v>0</v>
      </c>
      <c r="AX26">
        <v>0</v>
      </c>
      <c r="AY26" s="1">
        <v>83628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 s="1">
        <v>83628</v>
      </c>
      <c r="BK26" s="1">
        <v>1976638</v>
      </c>
      <c r="BL26" s="1">
        <v>1743601</v>
      </c>
      <c r="BM26" s="1">
        <v>233037</v>
      </c>
      <c r="BN26">
        <v>31</v>
      </c>
      <c r="BO26" s="1">
        <v>-31034409</v>
      </c>
      <c r="BP26">
        <v>-999.99</v>
      </c>
      <c r="BQ26">
        <v>9.1999999999999993</v>
      </c>
      <c r="BR26">
        <v>0</v>
      </c>
    </row>
    <row r="27" spans="1:70" hidden="1" x14ac:dyDescent="0.3">
      <c r="A27" t="s">
        <v>96</v>
      </c>
      <c r="B27">
        <v>10011522</v>
      </c>
      <c r="C27" t="s">
        <v>97</v>
      </c>
      <c r="D27" t="s">
        <v>72</v>
      </c>
      <c r="E27">
        <v>150</v>
      </c>
      <c r="F27" s="1">
        <v>41167800</v>
      </c>
      <c r="G27">
        <v>0</v>
      </c>
      <c r="H27">
        <v>0</v>
      </c>
      <c r="I27">
        <v>0</v>
      </c>
      <c r="J27">
        <v>11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11</v>
      </c>
      <c r="AG27">
        <v>0</v>
      </c>
      <c r="AH27">
        <v>48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48</v>
      </c>
      <c r="AS27" s="1">
        <v>1091040</v>
      </c>
      <c r="AT27">
        <v>0</v>
      </c>
      <c r="AU27" s="1">
        <v>13031952</v>
      </c>
      <c r="AV27" s="1">
        <v>14122992</v>
      </c>
      <c r="AW27">
        <v>0</v>
      </c>
      <c r="AX27">
        <v>0</v>
      </c>
      <c r="AY27" s="1">
        <v>306636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 s="1">
        <v>306636</v>
      </c>
      <c r="BK27" s="1">
        <v>7247673</v>
      </c>
      <c r="BL27" s="1">
        <v>6393204</v>
      </c>
      <c r="BM27" s="1">
        <v>854469</v>
      </c>
      <c r="BN27">
        <v>31</v>
      </c>
      <c r="BO27" s="1">
        <v>-47987792</v>
      </c>
      <c r="BP27">
        <v>-999.99</v>
      </c>
      <c r="BQ27">
        <v>8</v>
      </c>
      <c r="BR27">
        <v>0</v>
      </c>
    </row>
    <row r="28" spans="1:70" x14ac:dyDescent="0.3">
      <c r="A28" t="s">
        <v>96</v>
      </c>
      <c r="B28">
        <v>10011522</v>
      </c>
      <c r="C28" t="s">
        <v>97</v>
      </c>
      <c r="D28" t="s">
        <v>78</v>
      </c>
      <c r="E28">
        <v>150</v>
      </c>
      <c r="F28" s="1">
        <v>65466000</v>
      </c>
      <c r="G28">
        <v>0</v>
      </c>
      <c r="H28">
        <v>0</v>
      </c>
      <c r="I28">
        <v>0</v>
      </c>
      <c r="J28">
        <v>11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11</v>
      </c>
      <c r="AG28">
        <v>0</v>
      </c>
      <c r="AH28">
        <v>48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48</v>
      </c>
      <c r="AS28" s="1">
        <v>1091040</v>
      </c>
      <c r="AT28">
        <v>0</v>
      </c>
      <c r="AU28" s="1">
        <v>13031952</v>
      </c>
      <c r="AV28" s="1">
        <v>14122992</v>
      </c>
      <c r="AW28">
        <v>0</v>
      </c>
      <c r="AX28">
        <v>0</v>
      </c>
      <c r="AY28" s="1">
        <v>306636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 s="1">
        <v>306636</v>
      </c>
      <c r="BK28" s="1">
        <v>7247673</v>
      </c>
      <c r="BL28" s="1">
        <v>6393204</v>
      </c>
      <c r="BM28" s="1">
        <v>854469</v>
      </c>
      <c r="BN28">
        <v>31</v>
      </c>
      <c r="BO28" s="1">
        <v>-69872148</v>
      </c>
      <c r="BP28">
        <v>-999.99</v>
      </c>
      <c r="BQ28">
        <v>8</v>
      </c>
      <c r="BR28">
        <v>0</v>
      </c>
    </row>
    <row r="29" spans="1:70" hidden="1" x14ac:dyDescent="0.3">
      <c r="A29" t="s">
        <v>98</v>
      </c>
      <c r="B29">
        <v>10011526</v>
      </c>
      <c r="C29" t="s">
        <v>99</v>
      </c>
      <c r="D29" t="s">
        <v>72</v>
      </c>
      <c r="E29">
        <v>90</v>
      </c>
      <c r="F29" s="1">
        <v>27381060</v>
      </c>
      <c r="G29">
        <v>0</v>
      </c>
      <c r="H29">
        <v>0</v>
      </c>
      <c r="I29">
        <v>0</v>
      </c>
      <c r="J29">
        <v>16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16</v>
      </c>
      <c r="AG29">
        <v>0</v>
      </c>
      <c r="AH29">
        <v>64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64</v>
      </c>
      <c r="AS29" s="1">
        <v>1454720</v>
      </c>
      <c r="AT29">
        <v>0</v>
      </c>
      <c r="AU29" s="1">
        <v>4844864</v>
      </c>
      <c r="AV29" s="1">
        <v>6299584</v>
      </c>
      <c r="AW29">
        <v>0</v>
      </c>
      <c r="AX29">
        <v>0</v>
      </c>
      <c r="AY29" s="1">
        <v>446016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 s="1">
        <v>446016</v>
      </c>
      <c r="BK29" s="1">
        <v>10542070</v>
      </c>
      <c r="BL29" s="1">
        <v>9299206</v>
      </c>
      <c r="BM29" s="1">
        <v>1242864</v>
      </c>
      <c r="BN29">
        <v>31</v>
      </c>
      <c r="BO29" s="1">
        <v>-30721709</v>
      </c>
      <c r="BP29">
        <v>-999.99</v>
      </c>
      <c r="BQ29">
        <v>17.8</v>
      </c>
      <c r="BR29">
        <v>0</v>
      </c>
    </row>
    <row r="30" spans="1:70" x14ac:dyDescent="0.3">
      <c r="A30" t="s">
        <v>98</v>
      </c>
      <c r="B30">
        <v>10011526</v>
      </c>
      <c r="C30" t="s">
        <v>99</v>
      </c>
      <c r="D30" t="s">
        <v>78</v>
      </c>
      <c r="E30">
        <v>90</v>
      </c>
      <c r="F30" s="1">
        <v>49331000</v>
      </c>
      <c r="G30">
        <v>0</v>
      </c>
      <c r="H30">
        <v>0</v>
      </c>
      <c r="I30">
        <v>0</v>
      </c>
      <c r="J30">
        <v>16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16</v>
      </c>
      <c r="AG30">
        <v>0</v>
      </c>
      <c r="AH30">
        <v>64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64</v>
      </c>
      <c r="AS30" s="1">
        <v>1454720</v>
      </c>
      <c r="AT30">
        <v>0</v>
      </c>
      <c r="AU30" s="1">
        <v>4844864</v>
      </c>
      <c r="AV30" s="1">
        <v>6299584</v>
      </c>
      <c r="AW30">
        <v>0</v>
      </c>
      <c r="AX30">
        <v>0</v>
      </c>
      <c r="AY30" s="1">
        <v>446016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 s="1">
        <v>446016</v>
      </c>
      <c r="BK30" s="1">
        <v>10542070</v>
      </c>
      <c r="BL30" s="1">
        <v>9299206</v>
      </c>
      <c r="BM30" s="1">
        <v>1242864</v>
      </c>
      <c r="BN30">
        <v>31</v>
      </c>
      <c r="BO30" s="1">
        <v>-44978947</v>
      </c>
      <c r="BP30">
        <v>-999.99</v>
      </c>
      <c r="BQ30">
        <v>17.8</v>
      </c>
      <c r="BR30">
        <v>0</v>
      </c>
    </row>
    <row r="31" spans="1:70" hidden="1" x14ac:dyDescent="0.3">
      <c r="A31" t="s">
        <v>100</v>
      </c>
      <c r="B31">
        <v>10011527</v>
      </c>
      <c r="C31" t="s">
        <v>101</v>
      </c>
      <c r="D31" t="s">
        <v>72</v>
      </c>
      <c r="E31">
        <v>54</v>
      </c>
      <c r="F31" s="1">
        <v>25206636</v>
      </c>
      <c r="G31">
        <v>0</v>
      </c>
      <c r="H31">
        <v>0</v>
      </c>
      <c r="I31">
        <v>0</v>
      </c>
      <c r="J31">
        <v>18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18</v>
      </c>
      <c r="AG31">
        <v>0</v>
      </c>
      <c r="AH31">
        <v>72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72</v>
      </c>
      <c r="AS31" s="1">
        <v>1636560</v>
      </c>
      <c r="AT31">
        <v>0</v>
      </c>
      <c r="AU31" s="1">
        <v>2533752</v>
      </c>
      <c r="AV31" s="1">
        <v>4170312</v>
      </c>
      <c r="AW31">
        <v>0</v>
      </c>
      <c r="AX31">
        <v>0</v>
      </c>
      <c r="AY31" s="1">
        <v>501768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 s="1">
        <v>501768</v>
      </c>
      <c r="BK31" s="1">
        <v>11859830</v>
      </c>
      <c r="BL31" s="1">
        <v>10461607</v>
      </c>
      <c r="BM31" s="1">
        <v>1398223</v>
      </c>
      <c r="BN31">
        <v>31</v>
      </c>
      <c r="BO31" s="1">
        <v>-7433057</v>
      </c>
      <c r="BP31">
        <v>-3.91</v>
      </c>
      <c r="BQ31">
        <v>24</v>
      </c>
      <c r="BR31">
        <v>0</v>
      </c>
    </row>
    <row r="32" spans="1:70" x14ac:dyDescent="0.3">
      <c r="A32" t="s">
        <v>100</v>
      </c>
      <c r="B32">
        <v>10011527</v>
      </c>
      <c r="C32" t="s">
        <v>101</v>
      </c>
      <c r="D32" t="s">
        <v>78</v>
      </c>
      <c r="E32">
        <v>54</v>
      </c>
      <c r="F32" s="1">
        <v>38837000</v>
      </c>
      <c r="G32">
        <v>0</v>
      </c>
      <c r="H32">
        <v>0</v>
      </c>
      <c r="I32">
        <v>0</v>
      </c>
      <c r="J32">
        <v>18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18</v>
      </c>
      <c r="AG32">
        <v>0</v>
      </c>
      <c r="AH32">
        <v>72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72</v>
      </c>
      <c r="AS32" s="1">
        <v>1636560</v>
      </c>
      <c r="AT32">
        <v>0</v>
      </c>
      <c r="AU32" s="1">
        <v>2533752</v>
      </c>
      <c r="AV32" s="1">
        <v>4170312</v>
      </c>
      <c r="AW32">
        <v>0</v>
      </c>
      <c r="AX32">
        <v>0</v>
      </c>
      <c r="AY32" s="1">
        <v>501768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 s="1">
        <v>501768</v>
      </c>
      <c r="BK32" s="1">
        <v>11859830</v>
      </c>
      <c r="BL32" s="1">
        <v>10461607</v>
      </c>
      <c r="BM32" s="1">
        <v>1398223</v>
      </c>
      <c r="BN32">
        <v>31</v>
      </c>
      <c r="BO32" s="1">
        <v>-27615314</v>
      </c>
      <c r="BP32">
        <v>-4.53</v>
      </c>
      <c r="BQ32">
        <v>24</v>
      </c>
      <c r="BR32">
        <v>0</v>
      </c>
    </row>
    <row r="33" spans="1:70" hidden="1" x14ac:dyDescent="0.3">
      <c r="A33" t="s">
        <v>102</v>
      </c>
      <c r="B33">
        <v>10011529</v>
      </c>
      <c r="C33" t="s">
        <v>103</v>
      </c>
      <c r="D33" t="s">
        <v>72</v>
      </c>
      <c r="E33">
        <v>470</v>
      </c>
      <c r="F33" s="1">
        <v>175301070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  <c r="AA33" s="1">
        <v>43621788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 s="1">
        <v>1567</v>
      </c>
      <c r="AP33">
        <v>0</v>
      </c>
      <c r="AQ33">
        <v>0</v>
      </c>
      <c r="AR33" s="1">
        <v>1567</v>
      </c>
      <c r="AS33" s="1">
        <v>35617910</v>
      </c>
      <c r="AT33">
        <v>0</v>
      </c>
      <c r="AU33">
        <v>0</v>
      </c>
      <c r="AV33" s="1">
        <v>35617910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 s="1">
        <v>523461466</v>
      </c>
      <c r="BH33">
        <v>0</v>
      </c>
      <c r="BI33">
        <v>0</v>
      </c>
      <c r="BJ33" s="1">
        <v>523461466</v>
      </c>
      <c r="BK33" s="1">
        <v>8240173359</v>
      </c>
      <c r="BL33" s="1">
        <v>7761467848</v>
      </c>
      <c r="BM33" s="1">
        <v>478705511</v>
      </c>
      <c r="BN33">
        <v>1</v>
      </c>
      <c r="BO33" s="1">
        <v>4827472241</v>
      </c>
      <c r="BP33">
        <v>262.5</v>
      </c>
      <c r="BQ33">
        <v>83.4</v>
      </c>
      <c r="BR33">
        <v>0</v>
      </c>
    </row>
    <row r="34" spans="1:70" x14ac:dyDescent="0.3">
      <c r="A34" t="s">
        <v>102</v>
      </c>
      <c r="B34">
        <v>10011529</v>
      </c>
      <c r="C34" t="s">
        <v>103</v>
      </c>
      <c r="D34" t="s">
        <v>78</v>
      </c>
      <c r="E34">
        <v>470</v>
      </c>
      <c r="F34" s="1">
        <v>474456000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  <c r="AA34" s="1">
        <v>43621788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 s="1">
        <v>1567</v>
      </c>
      <c r="AP34">
        <v>0</v>
      </c>
      <c r="AQ34">
        <v>0</v>
      </c>
      <c r="AR34" s="1">
        <v>1567</v>
      </c>
      <c r="AS34" s="1">
        <v>35617910</v>
      </c>
      <c r="AT34">
        <v>0</v>
      </c>
      <c r="AU34">
        <v>0</v>
      </c>
      <c r="AV34" s="1">
        <v>35617910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 s="1">
        <v>523461466</v>
      </c>
      <c r="BH34">
        <v>0</v>
      </c>
      <c r="BI34">
        <v>0</v>
      </c>
      <c r="BJ34" s="1">
        <v>523461466</v>
      </c>
      <c r="BK34" s="1">
        <v>8240173359</v>
      </c>
      <c r="BL34" s="1">
        <v>7761467848</v>
      </c>
      <c r="BM34" s="1">
        <v>478705511</v>
      </c>
      <c r="BN34">
        <v>2</v>
      </c>
      <c r="BO34" s="1">
        <v>4558036087</v>
      </c>
      <c r="BP34">
        <v>84.05</v>
      </c>
      <c r="BQ34">
        <v>83.4</v>
      </c>
      <c r="BR34">
        <v>0</v>
      </c>
    </row>
    <row r="35" spans="1:70" hidden="1" x14ac:dyDescent="0.3">
      <c r="A35" t="s">
        <v>104</v>
      </c>
      <c r="B35">
        <v>10011530</v>
      </c>
      <c r="C35" t="s">
        <v>105</v>
      </c>
      <c r="D35" t="s">
        <v>72</v>
      </c>
      <c r="E35">
        <v>35</v>
      </c>
      <c r="F35" s="1">
        <v>15809005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 s="1">
        <v>132941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78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78</v>
      </c>
      <c r="AS35" s="1">
        <v>1772940</v>
      </c>
      <c r="AT35">
        <v>0</v>
      </c>
      <c r="AU35">
        <v>0</v>
      </c>
      <c r="AV35" s="1">
        <v>1772940</v>
      </c>
      <c r="AW35">
        <v>0</v>
      </c>
      <c r="AX35">
        <v>0</v>
      </c>
      <c r="AY35">
        <v>0</v>
      </c>
      <c r="AZ35">
        <v>0</v>
      </c>
      <c r="BA35" s="1">
        <v>1595293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 s="1">
        <v>1595293</v>
      </c>
      <c r="BK35" s="1">
        <v>43889490</v>
      </c>
      <c r="BL35" s="1">
        <v>36774238</v>
      </c>
      <c r="BM35" s="1">
        <v>7115252</v>
      </c>
      <c r="BN35">
        <v>4</v>
      </c>
      <c r="BO35" s="1">
        <v>54579410</v>
      </c>
      <c r="BP35">
        <v>36.08</v>
      </c>
      <c r="BQ35">
        <v>55.7</v>
      </c>
      <c r="BR35">
        <v>0</v>
      </c>
    </row>
    <row r="36" spans="1:70" x14ac:dyDescent="0.3">
      <c r="A36" t="s">
        <v>104</v>
      </c>
      <c r="B36">
        <v>10011530</v>
      </c>
      <c r="C36" t="s">
        <v>105</v>
      </c>
      <c r="D36" t="s">
        <v>78</v>
      </c>
      <c r="E36">
        <v>35</v>
      </c>
      <c r="F36" s="1">
        <v>61362000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 s="1">
        <v>132941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0</v>
      </c>
      <c r="AH36">
        <v>0</v>
      </c>
      <c r="AI36">
        <v>0</v>
      </c>
      <c r="AJ36">
        <v>78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78</v>
      </c>
      <c r="AS36" s="1">
        <v>1772940</v>
      </c>
      <c r="AT36">
        <v>0</v>
      </c>
      <c r="AU36">
        <v>0</v>
      </c>
      <c r="AV36" s="1">
        <v>1772940</v>
      </c>
      <c r="AW36">
        <v>0</v>
      </c>
      <c r="AX36">
        <v>0</v>
      </c>
      <c r="AY36">
        <v>0</v>
      </c>
      <c r="AZ36">
        <v>0</v>
      </c>
      <c r="BA36" s="1">
        <v>1595293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 s="1">
        <v>1595293</v>
      </c>
      <c r="BK36" s="1">
        <v>36347315</v>
      </c>
      <c r="BL36" s="1">
        <v>30454781</v>
      </c>
      <c r="BM36" s="1">
        <v>5892534</v>
      </c>
      <c r="BN36">
        <v>30</v>
      </c>
      <c r="BO36" s="1">
        <v>632006</v>
      </c>
      <c r="BP36">
        <v>6.25</v>
      </c>
      <c r="BQ36">
        <v>55.7</v>
      </c>
      <c r="BR36">
        <v>0</v>
      </c>
    </row>
    <row r="37" spans="1:70" hidden="1" x14ac:dyDescent="0.3">
      <c r="A37" t="s">
        <v>106</v>
      </c>
      <c r="B37">
        <v>10011531</v>
      </c>
      <c r="C37" t="s">
        <v>107</v>
      </c>
      <c r="D37" t="s">
        <v>72</v>
      </c>
      <c r="E37">
        <v>50</v>
      </c>
      <c r="F37" s="1">
        <v>43611000</v>
      </c>
      <c r="G37">
        <v>0</v>
      </c>
      <c r="H37">
        <v>0</v>
      </c>
      <c r="I37">
        <v>0</v>
      </c>
      <c r="J37">
        <v>10</v>
      </c>
      <c r="K37">
        <v>0</v>
      </c>
      <c r="L37">
        <v>0</v>
      </c>
      <c r="M37">
        <v>0</v>
      </c>
      <c r="N37">
        <v>0</v>
      </c>
      <c r="O37">
        <v>1</v>
      </c>
      <c r="P37" s="1">
        <v>16306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11</v>
      </c>
      <c r="AG37">
        <v>0</v>
      </c>
      <c r="AH37">
        <v>40</v>
      </c>
      <c r="AI37">
        <v>0</v>
      </c>
      <c r="AJ37">
        <v>10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50</v>
      </c>
      <c r="AS37" s="1">
        <v>1136500</v>
      </c>
      <c r="AT37">
        <v>0</v>
      </c>
      <c r="AU37" s="1">
        <v>1231400</v>
      </c>
      <c r="AV37" s="1">
        <v>2367900</v>
      </c>
      <c r="AW37">
        <v>0</v>
      </c>
      <c r="AX37">
        <v>0</v>
      </c>
      <c r="AY37" s="1">
        <v>278760</v>
      </c>
      <c r="AZ37">
        <v>0</v>
      </c>
      <c r="BA37" s="1">
        <v>195681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 s="1">
        <v>474441</v>
      </c>
      <c r="BK37" s="1">
        <v>11047211</v>
      </c>
      <c r="BL37" s="1">
        <v>9547632</v>
      </c>
      <c r="BM37" s="1">
        <v>1499579</v>
      </c>
      <c r="BN37">
        <v>31</v>
      </c>
      <c r="BO37" s="1">
        <v>-32177653</v>
      </c>
      <c r="BP37">
        <v>-4.13</v>
      </c>
      <c r="BQ37">
        <v>25</v>
      </c>
      <c r="BR37">
        <v>0</v>
      </c>
    </row>
    <row r="38" spans="1:70" x14ac:dyDescent="0.3">
      <c r="A38" t="s">
        <v>106</v>
      </c>
      <c r="B38">
        <v>10011531</v>
      </c>
      <c r="C38" t="s">
        <v>107</v>
      </c>
      <c r="D38" t="s">
        <v>78</v>
      </c>
      <c r="E38">
        <v>50</v>
      </c>
      <c r="F38" s="1">
        <v>43611000</v>
      </c>
      <c r="G38">
        <v>0</v>
      </c>
      <c r="H38">
        <v>0</v>
      </c>
      <c r="I38">
        <v>0</v>
      </c>
      <c r="J38">
        <v>10</v>
      </c>
      <c r="K38">
        <v>0</v>
      </c>
      <c r="L38">
        <v>0</v>
      </c>
      <c r="M38">
        <v>0</v>
      </c>
      <c r="N38">
        <v>0</v>
      </c>
      <c r="O38">
        <v>1</v>
      </c>
      <c r="P38" s="1">
        <v>16306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11</v>
      </c>
      <c r="AG38">
        <v>0</v>
      </c>
      <c r="AH38">
        <v>40</v>
      </c>
      <c r="AI38">
        <v>0</v>
      </c>
      <c r="AJ38">
        <v>10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50</v>
      </c>
      <c r="AS38" s="1">
        <v>1136500</v>
      </c>
      <c r="AT38">
        <v>0</v>
      </c>
      <c r="AU38" s="1">
        <v>1231400</v>
      </c>
      <c r="AV38" s="1">
        <v>2367900</v>
      </c>
      <c r="AW38">
        <v>0</v>
      </c>
      <c r="AX38">
        <v>0</v>
      </c>
      <c r="AY38" s="1">
        <v>278760</v>
      </c>
      <c r="AZ38">
        <v>0</v>
      </c>
      <c r="BA38" s="1">
        <v>195681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 s="1">
        <v>474441</v>
      </c>
      <c r="BK38" s="1">
        <v>11047211</v>
      </c>
      <c r="BL38" s="1">
        <v>9547632</v>
      </c>
      <c r="BM38" s="1">
        <v>1499579</v>
      </c>
      <c r="BN38">
        <v>31</v>
      </c>
      <c r="BO38" s="1">
        <v>-32177653</v>
      </c>
      <c r="BP38">
        <v>-4.13</v>
      </c>
      <c r="BQ38">
        <v>25</v>
      </c>
      <c r="BR38">
        <v>0</v>
      </c>
    </row>
    <row r="39" spans="1:70" hidden="1" x14ac:dyDescent="0.3">
      <c r="A39" t="s">
        <v>108</v>
      </c>
      <c r="B39">
        <v>10011532</v>
      </c>
      <c r="D39" t="s">
        <v>72</v>
      </c>
      <c r="F39" s="1">
        <v>22990000</v>
      </c>
      <c r="G39">
        <v>0</v>
      </c>
      <c r="H39">
        <v>0</v>
      </c>
      <c r="I39">
        <v>0</v>
      </c>
      <c r="J39">
        <v>6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6</v>
      </c>
      <c r="AG39">
        <v>0</v>
      </c>
      <c r="AH39">
        <v>24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24</v>
      </c>
      <c r="AS39" s="1">
        <v>545520</v>
      </c>
      <c r="AT39">
        <v>0</v>
      </c>
      <c r="AU39" s="1">
        <v>4178040</v>
      </c>
      <c r="AV39" s="1">
        <v>4723560</v>
      </c>
      <c r="AW39">
        <v>0</v>
      </c>
      <c r="AX39">
        <v>0</v>
      </c>
      <c r="AY39" s="1">
        <v>167256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 s="1">
        <v>167256</v>
      </c>
      <c r="BK39" s="1">
        <v>3953274</v>
      </c>
      <c r="BL39" s="1">
        <v>3487200</v>
      </c>
      <c r="BM39" s="1">
        <v>466074</v>
      </c>
      <c r="BN39">
        <v>1</v>
      </c>
      <c r="BO39" s="1">
        <v>9939348</v>
      </c>
      <c r="BP39">
        <v>-2.73</v>
      </c>
      <c r="BQ39">
        <v>10.9</v>
      </c>
      <c r="BR39">
        <v>0</v>
      </c>
    </row>
    <row r="40" spans="1:70" hidden="1" x14ac:dyDescent="0.3">
      <c r="A40" t="s">
        <v>109</v>
      </c>
      <c r="B40">
        <v>10011534</v>
      </c>
      <c r="D40" t="s">
        <v>72</v>
      </c>
      <c r="F40" s="1">
        <v>11286000</v>
      </c>
      <c r="G40">
        <v>0</v>
      </c>
      <c r="H40">
        <v>0</v>
      </c>
      <c r="I40">
        <v>0</v>
      </c>
      <c r="J40">
        <v>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5</v>
      </c>
      <c r="AG40">
        <v>0</v>
      </c>
      <c r="AH40">
        <v>20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20</v>
      </c>
      <c r="AS40" s="1">
        <v>454600</v>
      </c>
      <c r="AT40">
        <v>0</v>
      </c>
      <c r="AU40" s="1">
        <v>1389020</v>
      </c>
      <c r="AV40" s="1">
        <v>1843620</v>
      </c>
      <c r="AW40">
        <v>0</v>
      </c>
      <c r="AX40">
        <v>0</v>
      </c>
      <c r="AY40" s="1">
        <v>139380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 s="1">
        <v>139380</v>
      </c>
      <c r="BK40" s="1">
        <v>3294398</v>
      </c>
      <c r="BL40" s="1">
        <v>2906002</v>
      </c>
      <c r="BM40" s="1">
        <v>388396</v>
      </c>
      <c r="BN40">
        <v>1</v>
      </c>
      <c r="BO40" s="1">
        <v>6190117</v>
      </c>
      <c r="BP40">
        <v>0.12</v>
      </c>
      <c r="BQ40">
        <v>18.5</v>
      </c>
      <c r="BR40">
        <v>0</v>
      </c>
    </row>
    <row r="41" spans="1:70" hidden="1" x14ac:dyDescent="0.3">
      <c r="A41" t="s">
        <v>110</v>
      </c>
      <c r="B41">
        <v>10011535</v>
      </c>
      <c r="C41" t="s">
        <v>111</v>
      </c>
      <c r="D41" t="s">
        <v>72</v>
      </c>
      <c r="E41">
        <v>1</v>
      </c>
      <c r="F41" s="1">
        <v>1112388</v>
      </c>
      <c r="G41">
        <v>0</v>
      </c>
      <c r="H41" s="1">
        <v>1098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 s="1">
        <v>1098</v>
      </c>
      <c r="AG41">
        <v>0</v>
      </c>
      <c r="AH41" s="1">
        <v>4898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 s="1">
        <v>4898</v>
      </c>
      <c r="AS41" s="1">
        <v>111331540</v>
      </c>
      <c r="AT41">
        <v>0</v>
      </c>
      <c r="AU41">
        <v>0</v>
      </c>
      <c r="AV41" s="1">
        <v>111331540</v>
      </c>
      <c r="AW41">
        <v>0</v>
      </c>
      <c r="AX41">
        <v>0</v>
      </c>
      <c r="AY41" s="1">
        <v>28750032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 s="1">
        <v>28750032</v>
      </c>
      <c r="BK41" s="1">
        <v>679538631</v>
      </c>
      <c r="BL41" s="1">
        <v>599423792</v>
      </c>
      <c r="BM41" s="1">
        <v>80114839</v>
      </c>
      <c r="BN41">
        <v>1</v>
      </c>
      <c r="BO41" s="1">
        <v>1009890575</v>
      </c>
      <c r="BP41" t="s">
        <v>77</v>
      </c>
      <c r="BQ41" s="2">
        <v>122450</v>
      </c>
      <c r="BR41">
        <v>0</v>
      </c>
    </row>
    <row r="42" spans="1:70" x14ac:dyDescent="0.3">
      <c r="A42" t="s">
        <v>110</v>
      </c>
      <c r="B42">
        <v>10011535</v>
      </c>
      <c r="C42" t="s">
        <v>111</v>
      </c>
      <c r="D42" t="s">
        <v>78</v>
      </c>
      <c r="E42">
        <v>1</v>
      </c>
      <c r="F42" s="1">
        <v>19743000</v>
      </c>
      <c r="G42">
        <v>0</v>
      </c>
      <c r="H42" s="1">
        <v>1098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 s="1">
        <v>1098</v>
      </c>
      <c r="AG42">
        <v>0</v>
      </c>
      <c r="AH42" s="1">
        <v>4898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 s="1">
        <v>4898</v>
      </c>
      <c r="AS42" s="1">
        <v>111331540</v>
      </c>
      <c r="AT42">
        <v>0</v>
      </c>
      <c r="AU42">
        <v>0</v>
      </c>
      <c r="AV42" s="1">
        <v>111331540</v>
      </c>
      <c r="AW42">
        <v>0</v>
      </c>
      <c r="AX42">
        <v>0</v>
      </c>
      <c r="AY42" s="1">
        <v>28750032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 s="1">
        <v>28750032</v>
      </c>
      <c r="BK42" s="1">
        <v>679538631</v>
      </c>
      <c r="BL42" s="1">
        <v>599423792</v>
      </c>
      <c r="BM42" s="1">
        <v>80114839</v>
      </c>
      <c r="BN42">
        <v>1</v>
      </c>
      <c r="BO42" s="1">
        <v>993110772</v>
      </c>
      <c r="BP42" t="s">
        <v>77</v>
      </c>
      <c r="BQ42" s="2">
        <v>122450</v>
      </c>
      <c r="BR42">
        <v>0</v>
      </c>
    </row>
    <row r="43" spans="1:70" hidden="1" x14ac:dyDescent="0.3">
      <c r="A43" t="s">
        <v>112</v>
      </c>
      <c r="B43">
        <v>10011536</v>
      </c>
      <c r="C43" t="s">
        <v>113</v>
      </c>
      <c r="D43" t="s">
        <v>72</v>
      </c>
      <c r="E43">
        <v>33</v>
      </c>
      <c r="F43" s="1">
        <v>20040075</v>
      </c>
      <c r="G43">
        <v>0</v>
      </c>
      <c r="H43">
        <v>0</v>
      </c>
      <c r="I43">
        <v>0</v>
      </c>
      <c r="J43">
        <v>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8</v>
      </c>
      <c r="AG43">
        <v>0</v>
      </c>
      <c r="AH43">
        <v>32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32</v>
      </c>
      <c r="AS43" s="1">
        <v>727360</v>
      </c>
      <c r="AT43">
        <v>0</v>
      </c>
      <c r="AU43" s="1">
        <v>3089152</v>
      </c>
      <c r="AV43" s="1">
        <v>3816512</v>
      </c>
      <c r="AW43">
        <v>0</v>
      </c>
      <c r="AX43">
        <v>0</v>
      </c>
      <c r="AY43" s="1">
        <v>223008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 s="1">
        <v>223008</v>
      </c>
      <c r="BK43" s="1">
        <v>5271034</v>
      </c>
      <c r="BL43" s="1">
        <v>4649602</v>
      </c>
      <c r="BM43" s="1">
        <v>621432</v>
      </c>
      <c r="BN43">
        <v>31</v>
      </c>
      <c r="BO43" s="1">
        <v>-8112686</v>
      </c>
      <c r="BP43">
        <v>-11.97</v>
      </c>
      <c r="BQ43">
        <v>15.7</v>
      </c>
      <c r="BR43">
        <v>0</v>
      </c>
    </row>
    <row r="44" spans="1:70" x14ac:dyDescent="0.3">
      <c r="A44" t="s">
        <v>112</v>
      </c>
      <c r="B44">
        <v>10011536</v>
      </c>
      <c r="C44" t="s">
        <v>113</v>
      </c>
      <c r="D44" t="s">
        <v>78</v>
      </c>
      <c r="E44">
        <v>33</v>
      </c>
      <c r="F44" s="1">
        <v>29189000</v>
      </c>
      <c r="G44">
        <v>0</v>
      </c>
      <c r="H44">
        <v>0</v>
      </c>
      <c r="I44">
        <v>0</v>
      </c>
      <c r="J44">
        <v>8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8</v>
      </c>
      <c r="AG44">
        <v>0</v>
      </c>
      <c r="AH44">
        <v>32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32</v>
      </c>
      <c r="AS44" s="1">
        <v>727360</v>
      </c>
      <c r="AT44">
        <v>0</v>
      </c>
      <c r="AU44" s="1">
        <v>3089152</v>
      </c>
      <c r="AV44" s="1">
        <v>3816512</v>
      </c>
      <c r="AW44">
        <v>0</v>
      </c>
      <c r="AX44">
        <v>0</v>
      </c>
      <c r="AY44" s="1">
        <v>223008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 s="1">
        <v>223008</v>
      </c>
      <c r="BK44" s="1">
        <v>5271034</v>
      </c>
      <c r="BL44" s="1">
        <v>4649602</v>
      </c>
      <c r="BM44" s="1">
        <v>621432</v>
      </c>
      <c r="BN44">
        <v>31</v>
      </c>
      <c r="BO44" s="1">
        <v>-23129282</v>
      </c>
      <c r="BP44">
        <v>-8.39</v>
      </c>
      <c r="BQ44">
        <v>15.7</v>
      </c>
      <c r="BR44">
        <v>0</v>
      </c>
    </row>
    <row r="45" spans="1:70" hidden="1" x14ac:dyDescent="0.3">
      <c r="A45" t="s">
        <v>114</v>
      </c>
      <c r="B45">
        <v>10011537</v>
      </c>
      <c r="C45" t="s">
        <v>115</v>
      </c>
      <c r="D45" t="s">
        <v>72</v>
      </c>
      <c r="E45">
        <v>120</v>
      </c>
      <c r="F45" s="1">
        <v>52553310</v>
      </c>
      <c r="G45">
        <v>0</v>
      </c>
      <c r="H45">
        <v>0</v>
      </c>
      <c r="I45">
        <v>0</v>
      </c>
      <c r="J45">
        <v>25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25</v>
      </c>
      <c r="AG45">
        <v>0</v>
      </c>
      <c r="AH45">
        <v>100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100</v>
      </c>
      <c r="AS45" s="1">
        <v>2273000</v>
      </c>
      <c r="AT45">
        <v>0</v>
      </c>
      <c r="AU45" s="1">
        <v>8945200</v>
      </c>
      <c r="AV45" s="1">
        <v>11218200</v>
      </c>
      <c r="AW45">
        <v>0</v>
      </c>
      <c r="AX45">
        <v>0</v>
      </c>
      <c r="AY45" s="1">
        <v>696900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 s="1">
        <v>696900</v>
      </c>
      <c r="BK45" s="1">
        <v>16471981</v>
      </c>
      <c r="BL45" s="1">
        <v>14530004</v>
      </c>
      <c r="BM45" s="1">
        <v>1941977</v>
      </c>
      <c r="BN45">
        <v>31</v>
      </c>
      <c r="BO45" s="1">
        <v>-29634142</v>
      </c>
      <c r="BP45">
        <v>-999.99</v>
      </c>
      <c r="BQ45">
        <v>16.3</v>
      </c>
      <c r="BR45">
        <v>0</v>
      </c>
    </row>
    <row r="46" spans="1:70" x14ac:dyDescent="0.3">
      <c r="A46" t="s">
        <v>114</v>
      </c>
      <c r="B46">
        <v>10011537</v>
      </c>
      <c r="C46" t="s">
        <v>115</v>
      </c>
      <c r="D46" t="s">
        <v>78</v>
      </c>
      <c r="E46">
        <v>120</v>
      </c>
      <c r="F46" s="1">
        <v>70883000</v>
      </c>
      <c r="G46">
        <v>0</v>
      </c>
      <c r="H46">
        <v>0</v>
      </c>
      <c r="I46">
        <v>0</v>
      </c>
      <c r="J46">
        <v>25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25</v>
      </c>
      <c r="AG46">
        <v>0</v>
      </c>
      <c r="AH46">
        <v>100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100</v>
      </c>
      <c r="AS46" s="1">
        <v>2273000</v>
      </c>
      <c r="AT46">
        <v>0</v>
      </c>
      <c r="AU46" s="1">
        <v>8945200</v>
      </c>
      <c r="AV46" s="1">
        <v>11218200</v>
      </c>
      <c r="AW46">
        <v>0</v>
      </c>
      <c r="AX46">
        <v>0</v>
      </c>
      <c r="AY46" s="1">
        <v>696900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 s="1">
        <v>696900</v>
      </c>
      <c r="BK46" s="1">
        <v>16471981</v>
      </c>
      <c r="BL46" s="1">
        <v>14530004</v>
      </c>
      <c r="BM46" s="1">
        <v>1941977</v>
      </c>
      <c r="BN46">
        <v>31</v>
      </c>
      <c r="BO46" s="1">
        <v>-58566588</v>
      </c>
      <c r="BP46">
        <v>-14.43</v>
      </c>
      <c r="BQ46">
        <v>16.3</v>
      </c>
      <c r="BR46">
        <v>0</v>
      </c>
    </row>
    <row r="47" spans="1:70" hidden="1" x14ac:dyDescent="0.3">
      <c r="A47" t="s">
        <v>116</v>
      </c>
      <c r="B47">
        <v>10011538</v>
      </c>
      <c r="C47" t="s">
        <v>117</v>
      </c>
      <c r="D47" t="s">
        <v>72</v>
      </c>
      <c r="E47">
        <v>4</v>
      </c>
      <c r="F47" s="1">
        <v>4449552</v>
      </c>
      <c r="G47">
        <v>0</v>
      </c>
      <c r="H47" s="1">
        <v>1336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 s="1">
        <v>1336</v>
      </c>
      <c r="AG47">
        <v>0</v>
      </c>
      <c r="AH47" s="1">
        <v>5344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 s="1">
        <v>5344</v>
      </c>
      <c r="AS47" s="1">
        <v>121469120</v>
      </c>
      <c r="AT47">
        <v>0</v>
      </c>
      <c r="AU47">
        <v>0</v>
      </c>
      <c r="AV47" s="1">
        <v>121469120</v>
      </c>
      <c r="AW47" s="1">
        <v>-121469120</v>
      </c>
      <c r="AX47">
        <v>0</v>
      </c>
      <c r="AY47" s="1">
        <v>34981824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 s="1">
        <v>34981824</v>
      </c>
      <c r="BK47" s="1">
        <v>826833890</v>
      </c>
      <c r="BL47" s="1">
        <v>729353539</v>
      </c>
      <c r="BM47" s="1">
        <v>97480351</v>
      </c>
      <c r="BN47">
        <v>1</v>
      </c>
      <c r="BO47" s="1">
        <v>1211367400</v>
      </c>
      <c r="BP47" t="s">
        <v>77</v>
      </c>
      <c r="BQ47" s="2">
        <v>33400</v>
      </c>
      <c r="BR47">
        <v>0</v>
      </c>
    </row>
    <row r="48" spans="1:70" x14ac:dyDescent="0.3">
      <c r="A48" t="s">
        <v>116</v>
      </c>
      <c r="B48">
        <v>10011538</v>
      </c>
      <c r="C48" t="s">
        <v>117</v>
      </c>
      <c r="D48" t="s">
        <v>78</v>
      </c>
      <c r="E48">
        <v>4</v>
      </c>
      <c r="F48" s="1">
        <v>38570000</v>
      </c>
      <c r="G48">
        <v>0</v>
      </c>
      <c r="H48" s="1">
        <v>1336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 s="1">
        <v>1336</v>
      </c>
      <c r="AG48">
        <v>0</v>
      </c>
      <c r="AH48" s="1">
        <v>5344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 s="1">
        <v>5344</v>
      </c>
      <c r="AS48" s="1">
        <v>121469120</v>
      </c>
      <c r="AT48">
        <v>0</v>
      </c>
      <c r="AU48">
        <v>0</v>
      </c>
      <c r="AV48" s="1">
        <v>121469120</v>
      </c>
      <c r="AW48" s="1">
        <v>-121469120</v>
      </c>
      <c r="AX48">
        <v>0</v>
      </c>
      <c r="AY48" s="1">
        <v>34981824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 s="1">
        <v>34981824</v>
      </c>
      <c r="BK48" s="1">
        <v>826833890</v>
      </c>
      <c r="BL48" s="1">
        <v>729353539</v>
      </c>
      <c r="BM48" s="1">
        <v>97480351</v>
      </c>
      <c r="BN48">
        <v>1</v>
      </c>
      <c r="BO48" s="1">
        <v>1059167435</v>
      </c>
      <c r="BP48">
        <v>210.09</v>
      </c>
      <c r="BQ48" s="2">
        <v>33400</v>
      </c>
      <c r="BR48">
        <v>0</v>
      </c>
    </row>
    <row r="49" spans="1:70" hidden="1" x14ac:dyDescent="0.3">
      <c r="A49" t="s">
        <v>118</v>
      </c>
      <c r="B49">
        <v>10011539</v>
      </c>
      <c r="C49" t="s">
        <v>119</v>
      </c>
      <c r="D49" t="s">
        <v>72</v>
      </c>
      <c r="E49">
        <v>7</v>
      </c>
      <c r="F49" s="1">
        <v>4662798</v>
      </c>
      <c r="G49">
        <v>0</v>
      </c>
      <c r="H49">
        <v>168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168</v>
      </c>
      <c r="AG49">
        <v>0</v>
      </c>
      <c r="AH49">
        <v>672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672</v>
      </c>
      <c r="AS49" s="1">
        <v>15274560</v>
      </c>
      <c r="AT49">
        <v>0</v>
      </c>
      <c r="AU49">
        <v>0</v>
      </c>
      <c r="AV49" s="1">
        <v>15274560</v>
      </c>
      <c r="AW49" s="1">
        <v>-15274560</v>
      </c>
      <c r="AX49">
        <v>0</v>
      </c>
      <c r="AY49" s="1">
        <v>4398912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 s="1">
        <v>4398912</v>
      </c>
      <c r="BK49" s="1">
        <v>103973123</v>
      </c>
      <c r="BL49" s="1">
        <v>91715115</v>
      </c>
      <c r="BM49" s="1">
        <v>12258008</v>
      </c>
      <c r="BN49">
        <v>1</v>
      </c>
      <c r="BO49" s="1">
        <v>147133556</v>
      </c>
      <c r="BP49" t="s">
        <v>77</v>
      </c>
      <c r="BQ49" s="2">
        <v>2400</v>
      </c>
      <c r="BR49">
        <v>0</v>
      </c>
    </row>
    <row r="50" spans="1:70" x14ac:dyDescent="0.3">
      <c r="A50" t="s">
        <v>118</v>
      </c>
      <c r="B50">
        <v>10011539</v>
      </c>
      <c r="C50" t="s">
        <v>119</v>
      </c>
      <c r="D50" t="s">
        <v>78</v>
      </c>
      <c r="E50">
        <v>7</v>
      </c>
      <c r="F50" s="1">
        <v>21375000</v>
      </c>
      <c r="G50">
        <v>0</v>
      </c>
      <c r="H50">
        <v>168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168</v>
      </c>
      <c r="AG50">
        <v>0</v>
      </c>
      <c r="AH50">
        <v>672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672</v>
      </c>
      <c r="AS50" s="1">
        <v>15274560</v>
      </c>
      <c r="AT50">
        <v>0</v>
      </c>
      <c r="AU50">
        <v>0</v>
      </c>
      <c r="AV50" s="1">
        <v>15274560</v>
      </c>
      <c r="AW50" s="1">
        <v>-15274560</v>
      </c>
      <c r="AX50">
        <v>0</v>
      </c>
      <c r="AY50" s="1">
        <v>4398912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 s="1">
        <v>4398912</v>
      </c>
      <c r="BK50" s="1">
        <v>103973123</v>
      </c>
      <c r="BL50" s="1">
        <v>91715115</v>
      </c>
      <c r="BM50" s="1">
        <v>12258008</v>
      </c>
      <c r="BN50">
        <v>3</v>
      </c>
      <c r="BO50" s="1">
        <v>116807028</v>
      </c>
      <c r="BP50">
        <v>47.72</v>
      </c>
      <c r="BQ50" s="2">
        <v>2400</v>
      </c>
      <c r="BR50">
        <v>0</v>
      </c>
    </row>
    <row r="51" spans="1:70" hidden="1" x14ac:dyDescent="0.3">
      <c r="A51" t="s">
        <v>120</v>
      </c>
      <c r="B51">
        <v>10011540</v>
      </c>
      <c r="C51" t="s">
        <v>121</v>
      </c>
      <c r="D51" t="s">
        <v>72</v>
      </c>
      <c r="E51">
        <v>7</v>
      </c>
      <c r="F51" s="1">
        <v>19000000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2</v>
      </c>
      <c r="R51" s="1">
        <v>461052</v>
      </c>
      <c r="S51">
        <v>0</v>
      </c>
      <c r="T51">
        <v>0</v>
      </c>
      <c r="U51">
        <v>1</v>
      </c>
      <c r="V51" s="1">
        <v>17765</v>
      </c>
      <c r="W51" s="1">
        <v>22206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3</v>
      </c>
      <c r="AG51">
        <v>0</v>
      </c>
      <c r="AH51">
        <v>0</v>
      </c>
      <c r="AI51">
        <v>0</v>
      </c>
      <c r="AJ51">
        <v>0</v>
      </c>
      <c r="AK51">
        <v>198</v>
      </c>
      <c r="AL51">
        <v>0</v>
      </c>
      <c r="AM51">
        <v>40</v>
      </c>
      <c r="AN51">
        <v>0</v>
      </c>
      <c r="AO51">
        <v>0</v>
      </c>
      <c r="AP51">
        <v>0</v>
      </c>
      <c r="AQ51">
        <v>0</v>
      </c>
      <c r="AR51">
        <v>238</v>
      </c>
      <c r="AS51" s="1">
        <v>5409740</v>
      </c>
      <c r="AT51">
        <v>0</v>
      </c>
      <c r="AU51">
        <v>0</v>
      </c>
      <c r="AV51" s="1">
        <v>5409740</v>
      </c>
      <c r="AW51">
        <v>0</v>
      </c>
      <c r="AX51">
        <v>0</v>
      </c>
      <c r="AY51">
        <v>0</v>
      </c>
      <c r="AZ51">
        <v>0</v>
      </c>
      <c r="BA51">
        <v>0</v>
      </c>
      <c r="BB51" s="1">
        <v>5532629</v>
      </c>
      <c r="BC51">
        <v>0</v>
      </c>
      <c r="BD51" s="1">
        <v>213181</v>
      </c>
      <c r="BE51" s="1">
        <v>266477</v>
      </c>
      <c r="BF51">
        <v>0</v>
      </c>
      <c r="BG51">
        <v>0</v>
      </c>
      <c r="BH51">
        <v>0</v>
      </c>
      <c r="BI51">
        <v>0</v>
      </c>
      <c r="BJ51" s="1">
        <v>6012287</v>
      </c>
      <c r="BK51" s="1">
        <v>134255717</v>
      </c>
      <c r="BL51" s="1">
        <v>112408836</v>
      </c>
      <c r="BM51" s="1">
        <v>21846881</v>
      </c>
      <c r="BN51">
        <v>1</v>
      </c>
      <c r="BO51" s="1">
        <v>217329318</v>
      </c>
      <c r="BP51">
        <v>125.43</v>
      </c>
      <c r="BQ51">
        <v>850</v>
      </c>
      <c r="BR51">
        <v>0</v>
      </c>
    </row>
    <row r="52" spans="1:70" x14ac:dyDescent="0.3">
      <c r="A52" t="s">
        <v>120</v>
      </c>
      <c r="B52">
        <v>10011540</v>
      </c>
      <c r="C52" t="s">
        <v>121</v>
      </c>
      <c r="D52" t="s">
        <v>78</v>
      </c>
      <c r="E52">
        <v>7</v>
      </c>
      <c r="F52" s="1">
        <v>18701000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2</v>
      </c>
      <c r="R52" s="1">
        <v>461052</v>
      </c>
      <c r="S52">
        <v>0</v>
      </c>
      <c r="T52">
        <v>0</v>
      </c>
      <c r="U52">
        <v>1</v>
      </c>
      <c r="V52" s="1">
        <v>17765</v>
      </c>
      <c r="W52" s="1">
        <v>22206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3</v>
      </c>
      <c r="AG52">
        <v>0</v>
      </c>
      <c r="AH52">
        <v>0</v>
      </c>
      <c r="AI52">
        <v>0</v>
      </c>
      <c r="AJ52">
        <v>0</v>
      </c>
      <c r="AK52">
        <v>198</v>
      </c>
      <c r="AL52">
        <v>0</v>
      </c>
      <c r="AM52">
        <v>40</v>
      </c>
      <c r="AN52">
        <v>0</v>
      </c>
      <c r="AO52">
        <v>0</v>
      </c>
      <c r="AP52">
        <v>0</v>
      </c>
      <c r="AQ52">
        <v>0</v>
      </c>
      <c r="AR52">
        <v>238</v>
      </c>
      <c r="AS52" s="1">
        <v>5409740</v>
      </c>
      <c r="AT52">
        <v>0</v>
      </c>
      <c r="AU52">
        <v>0</v>
      </c>
      <c r="AV52" s="1">
        <v>5409740</v>
      </c>
      <c r="AW52">
        <v>0</v>
      </c>
      <c r="AX52">
        <v>0</v>
      </c>
      <c r="AY52">
        <v>0</v>
      </c>
      <c r="AZ52">
        <v>0</v>
      </c>
      <c r="BA52">
        <v>0</v>
      </c>
      <c r="BB52" s="1">
        <v>5532629</v>
      </c>
      <c r="BC52">
        <v>0</v>
      </c>
      <c r="BD52" s="1">
        <v>213181</v>
      </c>
      <c r="BE52" s="1">
        <v>266477</v>
      </c>
      <c r="BF52">
        <v>0</v>
      </c>
      <c r="BG52">
        <v>0</v>
      </c>
      <c r="BH52">
        <v>0</v>
      </c>
      <c r="BI52">
        <v>0</v>
      </c>
      <c r="BJ52" s="1">
        <v>6012287</v>
      </c>
      <c r="BK52" s="1">
        <v>134255717</v>
      </c>
      <c r="BL52" s="1">
        <v>112408836</v>
      </c>
      <c r="BM52" s="1">
        <v>21846881</v>
      </c>
      <c r="BN52">
        <v>1</v>
      </c>
      <c r="BO52" s="1">
        <v>217598615</v>
      </c>
      <c r="BP52">
        <v>128.22999999999999</v>
      </c>
      <c r="BQ52">
        <v>850</v>
      </c>
      <c r="BR52">
        <v>0</v>
      </c>
    </row>
    <row r="53" spans="1:70" hidden="1" x14ac:dyDescent="0.3">
      <c r="A53" t="s">
        <v>122</v>
      </c>
      <c r="B53">
        <v>10011541</v>
      </c>
      <c r="D53" t="s">
        <v>72</v>
      </c>
      <c r="F53" s="1">
        <v>4598000</v>
      </c>
      <c r="G53">
        <v>0</v>
      </c>
      <c r="H53">
        <v>0</v>
      </c>
      <c r="I53">
        <v>0</v>
      </c>
      <c r="J53">
        <v>4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4</v>
      </c>
      <c r="AG53">
        <v>0</v>
      </c>
      <c r="AH53">
        <v>16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16</v>
      </c>
      <c r="AS53" s="1">
        <v>363680</v>
      </c>
      <c r="AT53">
        <v>0</v>
      </c>
      <c r="AU53">
        <v>0</v>
      </c>
      <c r="AV53" s="1">
        <v>363680</v>
      </c>
      <c r="AW53">
        <v>0</v>
      </c>
      <c r="AX53">
        <v>0</v>
      </c>
      <c r="AY53" s="1">
        <v>111504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 s="1">
        <v>111504</v>
      </c>
      <c r="BK53" s="1">
        <v>2635519</v>
      </c>
      <c r="BL53" s="1">
        <v>2324802</v>
      </c>
      <c r="BM53" s="1">
        <v>310717</v>
      </c>
      <c r="BN53">
        <v>2</v>
      </c>
      <c r="BO53" s="1">
        <v>3558154</v>
      </c>
      <c r="BP53">
        <v>4.57</v>
      </c>
      <c r="BQ53">
        <v>0</v>
      </c>
      <c r="BR53">
        <v>0</v>
      </c>
    </row>
    <row r="54" spans="1:70" hidden="1" x14ac:dyDescent="0.3">
      <c r="A54" t="s">
        <v>123</v>
      </c>
      <c r="B54">
        <v>10011542</v>
      </c>
      <c r="D54" t="s">
        <v>72</v>
      </c>
      <c r="F54" s="1">
        <v>19228000</v>
      </c>
      <c r="G54">
        <v>0</v>
      </c>
      <c r="H54">
        <v>0</v>
      </c>
      <c r="I54">
        <v>0</v>
      </c>
      <c r="J54">
        <v>6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6</v>
      </c>
      <c r="AG54">
        <v>0</v>
      </c>
      <c r="AH54">
        <v>24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24</v>
      </c>
      <c r="AS54" s="1">
        <v>545520</v>
      </c>
      <c r="AT54">
        <v>0</v>
      </c>
      <c r="AU54" s="1">
        <v>3178008</v>
      </c>
      <c r="AV54" s="1">
        <v>3723528</v>
      </c>
      <c r="AW54">
        <v>0</v>
      </c>
      <c r="AX54">
        <v>0</v>
      </c>
      <c r="AY54" s="1">
        <v>167256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 s="1">
        <v>167256</v>
      </c>
      <c r="BK54" s="1">
        <v>4238754</v>
      </c>
      <c r="BL54" s="1">
        <v>3739020</v>
      </c>
      <c r="BM54" s="1">
        <v>499734</v>
      </c>
      <c r="BN54">
        <v>1</v>
      </c>
      <c r="BO54" s="1">
        <v>5571457</v>
      </c>
      <c r="BP54">
        <v>-1.41</v>
      </c>
      <c r="BQ54">
        <v>13</v>
      </c>
      <c r="BR54">
        <v>0</v>
      </c>
    </row>
    <row r="55" spans="1:70" hidden="1" x14ac:dyDescent="0.3">
      <c r="A55" t="s">
        <v>124</v>
      </c>
      <c r="B55">
        <v>10011543</v>
      </c>
      <c r="D55" t="s">
        <v>72</v>
      </c>
      <c r="F55" s="1">
        <v>9196000</v>
      </c>
      <c r="G55">
        <v>0</v>
      </c>
      <c r="H55">
        <v>0</v>
      </c>
      <c r="I55">
        <v>0</v>
      </c>
      <c r="J55">
        <v>12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12</v>
      </c>
      <c r="AG55">
        <v>0</v>
      </c>
      <c r="AH55">
        <v>30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30</v>
      </c>
      <c r="AS55" s="1">
        <v>681900</v>
      </c>
      <c r="AT55">
        <v>0</v>
      </c>
      <c r="AU55">
        <v>0</v>
      </c>
      <c r="AV55" s="1">
        <v>681900</v>
      </c>
      <c r="AW55">
        <v>0</v>
      </c>
      <c r="AX55">
        <v>0</v>
      </c>
      <c r="AY55" s="1">
        <v>418929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 s="1">
        <v>418929</v>
      </c>
      <c r="BK55" s="1">
        <v>9901847</v>
      </c>
      <c r="BL55" s="1">
        <v>8734460</v>
      </c>
      <c r="BM55" s="1">
        <v>1167387</v>
      </c>
      <c r="BN55">
        <v>1</v>
      </c>
      <c r="BO55" s="1">
        <v>13599119</v>
      </c>
      <c r="BP55">
        <v>10.66</v>
      </c>
      <c r="BQ55">
        <v>34.1</v>
      </c>
      <c r="BR55">
        <v>0</v>
      </c>
    </row>
    <row r="56" spans="1:70" hidden="1" x14ac:dyDescent="0.3">
      <c r="A56" t="s">
        <v>125</v>
      </c>
      <c r="B56">
        <v>10011544</v>
      </c>
      <c r="D56" t="s">
        <v>72</v>
      </c>
      <c r="F56" s="1">
        <v>6270000</v>
      </c>
      <c r="G56">
        <v>0</v>
      </c>
      <c r="H56">
        <v>0</v>
      </c>
      <c r="I56">
        <v>0</v>
      </c>
      <c r="J56">
        <v>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2</v>
      </c>
      <c r="AG56">
        <v>0</v>
      </c>
      <c r="AH56">
        <v>8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8</v>
      </c>
      <c r="AS56" s="1">
        <v>181840</v>
      </c>
      <c r="AT56">
        <v>0</v>
      </c>
      <c r="AU56" s="1">
        <v>1022296</v>
      </c>
      <c r="AV56" s="1">
        <v>1204136</v>
      </c>
      <c r="AW56">
        <v>0</v>
      </c>
      <c r="AX56">
        <v>0</v>
      </c>
      <c r="AY56" s="1">
        <v>55752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 s="1">
        <v>55752</v>
      </c>
      <c r="BK56" s="1">
        <v>1317759</v>
      </c>
      <c r="BL56" s="1">
        <v>1162401</v>
      </c>
      <c r="BM56" s="1">
        <v>155358</v>
      </c>
      <c r="BN56">
        <v>1</v>
      </c>
      <c r="BO56" s="1">
        <v>2942732</v>
      </c>
      <c r="BP56">
        <v>-1.69</v>
      </c>
      <c r="BQ56">
        <v>13.3</v>
      </c>
      <c r="BR56">
        <v>0</v>
      </c>
    </row>
    <row r="57" spans="1:70" hidden="1" x14ac:dyDescent="0.3">
      <c r="A57" t="s">
        <v>126</v>
      </c>
      <c r="B57">
        <v>10011546</v>
      </c>
      <c r="D57" t="s">
        <v>72</v>
      </c>
      <c r="F57" s="1">
        <v>26334000</v>
      </c>
      <c r="G57">
        <v>0</v>
      </c>
      <c r="H57">
        <v>0</v>
      </c>
      <c r="I57">
        <v>0</v>
      </c>
      <c r="J57">
        <v>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8</v>
      </c>
      <c r="AG57">
        <v>0</v>
      </c>
      <c r="AH57">
        <v>32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32</v>
      </c>
      <c r="AS57" s="1">
        <v>727360</v>
      </c>
      <c r="AT57">
        <v>0</v>
      </c>
      <c r="AU57" s="1">
        <v>4422528</v>
      </c>
      <c r="AV57" s="1">
        <v>5149888</v>
      </c>
      <c r="AW57">
        <v>0</v>
      </c>
      <c r="AX57">
        <v>0</v>
      </c>
      <c r="AY57" s="1">
        <v>223008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 s="1">
        <v>223008</v>
      </c>
      <c r="BK57" s="1">
        <v>5271034</v>
      </c>
      <c r="BL57" s="1">
        <v>4649602</v>
      </c>
      <c r="BM57" s="1">
        <v>621432</v>
      </c>
      <c r="BN57">
        <v>1</v>
      </c>
      <c r="BO57" s="1">
        <v>9529329</v>
      </c>
      <c r="BP57">
        <v>-1.94</v>
      </c>
      <c r="BQ57">
        <v>12.7</v>
      </c>
      <c r="BR57">
        <v>0</v>
      </c>
    </row>
    <row r="58" spans="1:70" hidden="1" x14ac:dyDescent="0.3">
      <c r="A58" t="s">
        <v>127</v>
      </c>
      <c r="B58">
        <v>10011547</v>
      </c>
      <c r="C58" t="s">
        <v>128</v>
      </c>
      <c r="D58" t="s">
        <v>72</v>
      </c>
      <c r="E58">
        <v>37</v>
      </c>
      <c r="F58" s="1">
        <v>39000000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3</v>
      </c>
      <c r="P58" s="1">
        <v>92099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3</v>
      </c>
      <c r="AG58">
        <v>0</v>
      </c>
      <c r="AH58">
        <v>0</v>
      </c>
      <c r="AI58">
        <v>0</v>
      </c>
      <c r="AJ58">
        <v>66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66</v>
      </c>
      <c r="AS58" s="1">
        <v>1500180</v>
      </c>
      <c r="AT58">
        <v>0</v>
      </c>
      <c r="AU58">
        <v>0</v>
      </c>
      <c r="AV58" s="1">
        <v>1500180</v>
      </c>
      <c r="AW58">
        <v>0</v>
      </c>
      <c r="AX58">
        <v>0</v>
      </c>
      <c r="AY58">
        <v>0</v>
      </c>
      <c r="AZ58">
        <v>0</v>
      </c>
      <c r="BA58" s="1">
        <v>1105195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 s="1">
        <v>1105195</v>
      </c>
      <c r="BK58" s="1">
        <v>25180873</v>
      </c>
      <c r="BL58" s="1">
        <v>21098614</v>
      </c>
      <c r="BM58" s="1">
        <v>4082259</v>
      </c>
      <c r="BN58">
        <v>29</v>
      </c>
      <c r="BO58" s="1">
        <v>779139</v>
      </c>
      <c r="BP58">
        <v>6.35</v>
      </c>
      <c r="BQ58">
        <v>44.6</v>
      </c>
      <c r="BR58">
        <v>0</v>
      </c>
    </row>
    <row r="59" spans="1:70" s="3" customFormat="1" x14ac:dyDescent="0.3">
      <c r="A59" s="3" t="s">
        <v>127</v>
      </c>
      <c r="B59" s="3">
        <v>10011547</v>
      </c>
      <c r="C59" s="3" t="s">
        <v>128</v>
      </c>
      <c r="D59" s="3" t="s">
        <v>78</v>
      </c>
      <c r="E59" s="3">
        <v>37</v>
      </c>
      <c r="F59" s="4">
        <v>36069000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3</v>
      </c>
      <c r="P59" s="4">
        <v>92099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3</v>
      </c>
      <c r="AG59" s="3">
        <v>0</v>
      </c>
      <c r="AH59" s="3">
        <v>0</v>
      </c>
      <c r="AI59" s="3">
        <v>0</v>
      </c>
      <c r="AJ59" s="3">
        <v>66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66</v>
      </c>
      <c r="AS59" s="4">
        <v>1500180</v>
      </c>
      <c r="AT59" s="3">
        <v>0</v>
      </c>
      <c r="AU59" s="3">
        <v>0</v>
      </c>
      <c r="AV59" s="4">
        <v>1500180</v>
      </c>
      <c r="AW59" s="3">
        <v>0</v>
      </c>
      <c r="AX59" s="3">
        <v>0</v>
      </c>
      <c r="AY59" s="3">
        <v>0</v>
      </c>
      <c r="AZ59" s="3">
        <v>0</v>
      </c>
      <c r="BA59" s="4">
        <v>1105195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4">
        <v>1105195</v>
      </c>
      <c r="BK59" s="4">
        <v>25180873</v>
      </c>
      <c r="BL59" s="4">
        <v>21098614</v>
      </c>
      <c r="BM59" s="4">
        <v>4082259</v>
      </c>
      <c r="BN59" s="3">
        <v>24</v>
      </c>
      <c r="BO59" s="4">
        <v>3418966</v>
      </c>
      <c r="BP59" s="3">
        <v>7.07</v>
      </c>
      <c r="BQ59" s="3">
        <v>44.6</v>
      </c>
      <c r="BR59" s="3">
        <v>0</v>
      </c>
    </row>
    <row r="60" spans="1:70" hidden="1" x14ac:dyDescent="0.3">
      <c r="A60" t="s">
        <v>129</v>
      </c>
      <c r="B60">
        <v>10011548</v>
      </c>
      <c r="D60" t="s">
        <v>72</v>
      </c>
      <c r="F60" s="1">
        <v>7524000</v>
      </c>
      <c r="G60">
        <v>0</v>
      </c>
      <c r="H60">
        <v>0</v>
      </c>
      <c r="I60">
        <v>0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1</v>
      </c>
      <c r="AG60">
        <v>0</v>
      </c>
      <c r="AH60">
        <v>4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4</v>
      </c>
      <c r="AS60" s="1">
        <v>90920</v>
      </c>
      <c r="AT60">
        <v>0</v>
      </c>
      <c r="AU60" s="1">
        <v>1677856</v>
      </c>
      <c r="AV60" s="1">
        <v>1768776</v>
      </c>
      <c r="AW60">
        <v>0</v>
      </c>
      <c r="AX60">
        <v>0</v>
      </c>
      <c r="AY60" s="1">
        <v>27876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 s="1">
        <v>27876</v>
      </c>
      <c r="BK60" s="1">
        <v>658879</v>
      </c>
      <c r="BL60" s="1">
        <v>581200</v>
      </c>
      <c r="BM60" s="1">
        <v>77679</v>
      </c>
      <c r="BN60">
        <v>1</v>
      </c>
      <c r="BO60" s="1">
        <v>2638067</v>
      </c>
      <c r="BP60">
        <v>-5.98</v>
      </c>
      <c r="BQ60">
        <v>5.6</v>
      </c>
      <c r="BR60">
        <v>0</v>
      </c>
    </row>
    <row r="61" spans="1:70" hidden="1" x14ac:dyDescent="0.3">
      <c r="A61" t="s">
        <v>130</v>
      </c>
      <c r="B61">
        <v>10011549</v>
      </c>
      <c r="C61" t="s">
        <v>131</v>
      </c>
      <c r="D61" t="s">
        <v>72</v>
      </c>
      <c r="E61">
        <v>8</v>
      </c>
      <c r="F61" s="1">
        <v>8899104</v>
      </c>
      <c r="G61">
        <v>0</v>
      </c>
      <c r="H61">
        <v>450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450</v>
      </c>
      <c r="AG61">
        <v>0</v>
      </c>
      <c r="AH61" s="1">
        <v>1908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 s="1">
        <v>1908</v>
      </c>
      <c r="AS61" s="1">
        <v>43368840</v>
      </c>
      <c r="AT61">
        <v>0</v>
      </c>
      <c r="AU61">
        <v>0</v>
      </c>
      <c r="AV61" s="1">
        <v>43368840</v>
      </c>
      <c r="AW61" s="1">
        <v>-43368840</v>
      </c>
      <c r="AX61">
        <v>0</v>
      </c>
      <c r="AY61" s="1">
        <v>11782800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 s="1">
        <v>11782800</v>
      </c>
      <c r="BK61" s="1">
        <v>278499439</v>
      </c>
      <c r="BL61" s="1">
        <v>245665488</v>
      </c>
      <c r="BM61" s="1">
        <v>32833951</v>
      </c>
      <c r="BN61">
        <v>1</v>
      </c>
      <c r="BO61" s="1">
        <v>402275756</v>
      </c>
      <c r="BP61" t="s">
        <v>77</v>
      </c>
      <c r="BQ61" s="2">
        <v>5962.5</v>
      </c>
      <c r="BR61">
        <v>0</v>
      </c>
    </row>
    <row r="62" spans="1:70" x14ac:dyDescent="0.3">
      <c r="A62" t="s">
        <v>130</v>
      </c>
      <c r="B62">
        <v>10011549</v>
      </c>
      <c r="C62" t="s">
        <v>131</v>
      </c>
      <c r="D62" t="s">
        <v>78</v>
      </c>
      <c r="E62">
        <v>8</v>
      </c>
      <c r="F62" s="1">
        <v>33889000</v>
      </c>
      <c r="G62">
        <v>0</v>
      </c>
      <c r="H62">
        <v>450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450</v>
      </c>
      <c r="AG62">
        <v>0</v>
      </c>
      <c r="AH62" s="1">
        <v>1908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 s="1">
        <v>1908</v>
      </c>
      <c r="AS62" s="1">
        <v>43368840</v>
      </c>
      <c r="AT62">
        <v>0</v>
      </c>
      <c r="AU62">
        <v>0</v>
      </c>
      <c r="AV62" s="1">
        <v>43368840</v>
      </c>
      <c r="AW62" s="1">
        <v>-43368840</v>
      </c>
      <c r="AX62">
        <v>0</v>
      </c>
      <c r="AY62" s="1">
        <v>11782800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 s="1">
        <v>11782800</v>
      </c>
      <c r="BK62" s="1">
        <v>278499439</v>
      </c>
      <c r="BL62" s="1">
        <v>245665488</v>
      </c>
      <c r="BM62" s="1">
        <v>32833951</v>
      </c>
      <c r="BN62">
        <v>2</v>
      </c>
      <c r="BO62" s="1">
        <v>336399581</v>
      </c>
      <c r="BP62">
        <v>80.66</v>
      </c>
      <c r="BQ62" s="2">
        <v>5962.5</v>
      </c>
      <c r="BR62">
        <v>0</v>
      </c>
    </row>
    <row r="63" spans="1:70" hidden="1" x14ac:dyDescent="0.3">
      <c r="A63" t="s">
        <v>132</v>
      </c>
      <c r="B63">
        <v>10011551</v>
      </c>
      <c r="D63" t="s">
        <v>72</v>
      </c>
      <c r="E63">
        <v>32</v>
      </c>
      <c r="F63" s="1">
        <v>15400288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  <c r="AA63" s="1">
        <v>10178417</v>
      </c>
      <c r="AB63">
        <v>0</v>
      </c>
      <c r="AC63">
        <v>0</v>
      </c>
      <c r="AD63">
        <v>0</v>
      </c>
      <c r="AE63">
        <v>0</v>
      </c>
      <c r="AF63">
        <v>1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366</v>
      </c>
      <c r="AP63">
        <v>0</v>
      </c>
      <c r="AQ63">
        <v>0</v>
      </c>
      <c r="AR63">
        <v>366</v>
      </c>
      <c r="AS63" s="1">
        <v>8319180</v>
      </c>
      <c r="AT63">
        <v>0</v>
      </c>
      <c r="AU63">
        <v>0</v>
      </c>
      <c r="AV63" s="1">
        <v>8319180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 s="1">
        <v>122141009</v>
      </c>
      <c r="BH63">
        <v>0</v>
      </c>
      <c r="BI63">
        <v>0</v>
      </c>
      <c r="BJ63" s="1">
        <v>122141009</v>
      </c>
      <c r="BK63" s="1">
        <v>1922707121</v>
      </c>
      <c r="BL63" s="1">
        <v>1811009168</v>
      </c>
      <c r="BM63" s="1">
        <v>111697953</v>
      </c>
      <c r="BN63">
        <v>1</v>
      </c>
      <c r="BO63" s="1">
        <v>1167250472</v>
      </c>
      <c r="BP63" t="s">
        <v>77</v>
      </c>
      <c r="BQ63">
        <v>285.89999999999998</v>
      </c>
      <c r="BR63">
        <v>0</v>
      </c>
    </row>
    <row r="64" spans="1:70" hidden="1" x14ac:dyDescent="0.3">
      <c r="A64" t="s">
        <v>133</v>
      </c>
      <c r="B64">
        <v>10011552</v>
      </c>
      <c r="C64" t="s">
        <v>134</v>
      </c>
      <c r="D64" t="s">
        <v>72</v>
      </c>
      <c r="E64">
        <v>51</v>
      </c>
      <c r="F64" s="1">
        <v>20410041</v>
      </c>
      <c r="G64">
        <v>0</v>
      </c>
      <c r="H64">
        <v>0</v>
      </c>
      <c r="I64">
        <v>0</v>
      </c>
      <c r="J64">
        <v>18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18</v>
      </c>
      <c r="AG64">
        <v>0</v>
      </c>
      <c r="AH64">
        <v>72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72</v>
      </c>
      <c r="AS64" s="1">
        <v>1636560</v>
      </c>
      <c r="AT64">
        <v>0</v>
      </c>
      <c r="AU64" s="1">
        <v>89208</v>
      </c>
      <c r="AV64" s="1">
        <v>1725768</v>
      </c>
      <c r="AW64">
        <v>0</v>
      </c>
      <c r="AX64">
        <v>0</v>
      </c>
      <c r="AY64" s="1">
        <v>501768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 s="1">
        <v>501768</v>
      </c>
      <c r="BK64" s="1">
        <v>11859830</v>
      </c>
      <c r="BL64" s="1">
        <v>10461605</v>
      </c>
      <c r="BM64" s="1">
        <v>1398225</v>
      </c>
      <c r="BN64">
        <v>31</v>
      </c>
      <c r="BO64" s="1">
        <v>-12196932</v>
      </c>
      <c r="BP64">
        <v>-2.2200000000000002</v>
      </c>
      <c r="BQ64">
        <v>34</v>
      </c>
      <c r="BR64">
        <v>0</v>
      </c>
    </row>
    <row r="65" spans="1:70" x14ac:dyDescent="0.3">
      <c r="A65" t="s">
        <v>133</v>
      </c>
      <c r="B65">
        <v>10011552</v>
      </c>
      <c r="C65" t="s">
        <v>134</v>
      </c>
      <c r="D65" t="s">
        <v>78</v>
      </c>
      <c r="E65">
        <v>51</v>
      </c>
      <c r="F65" s="1">
        <v>35554000</v>
      </c>
      <c r="G65">
        <v>0</v>
      </c>
      <c r="H65">
        <v>0</v>
      </c>
      <c r="I65">
        <v>0</v>
      </c>
      <c r="J65">
        <v>18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18</v>
      </c>
      <c r="AG65">
        <v>0</v>
      </c>
      <c r="AH65">
        <v>72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72</v>
      </c>
      <c r="AS65" s="1">
        <v>1636560</v>
      </c>
      <c r="AT65">
        <v>0</v>
      </c>
      <c r="AU65" s="1">
        <v>89208</v>
      </c>
      <c r="AV65" s="1">
        <v>1725768</v>
      </c>
      <c r="AW65">
        <v>0</v>
      </c>
      <c r="AX65">
        <v>0</v>
      </c>
      <c r="AY65" s="1">
        <v>501768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 s="1">
        <v>501768</v>
      </c>
      <c r="BK65" s="1">
        <v>11859830</v>
      </c>
      <c r="BL65" s="1">
        <v>10461605</v>
      </c>
      <c r="BM65" s="1">
        <v>1398225</v>
      </c>
      <c r="BN65">
        <v>31</v>
      </c>
      <c r="BO65" s="1">
        <v>-26411074</v>
      </c>
      <c r="BP65">
        <v>-4.1500000000000004</v>
      </c>
      <c r="BQ65">
        <v>34</v>
      </c>
      <c r="BR65">
        <v>0</v>
      </c>
    </row>
    <row r="66" spans="1:70" hidden="1" x14ac:dyDescent="0.3">
      <c r="A66" t="s">
        <v>135</v>
      </c>
      <c r="B66">
        <v>10011553</v>
      </c>
      <c r="D66" t="s">
        <v>72</v>
      </c>
      <c r="E66">
        <v>103</v>
      </c>
      <c r="F66" s="1">
        <v>28268556</v>
      </c>
      <c r="G66">
        <v>0</v>
      </c>
      <c r="H66">
        <v>0</v>
      </c>
      <c r="I66">
        <v>0</v>
      </c>
      <c r="J66">
        <v>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5</v>
      </c>
      <c r="AG66">
        <v>0</v>
      </c>
      <c r="AH66">
        <v>20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20</v>
      </c>
      <c r="AS66" s="1">
        <v>454600</v>
      </c>
      <c r="AT66">
        <v>0</v>
      </c>
      <c r="AU66">
        <v>0</v>
      </c>
      <c r="AV66" s="1">
        <v>454600</v>
      </c>
      <c r="AW66" s="1">
        <v>41644556</v>
      </c>
      <c r="AX66">
        <v>0</v>
      </c>
      <c r="AY66" s="1">
        <v>147420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 s="1">
        <v>147420</v>
      </c>
      <c r="BK66" s="1">
        <v>3484430</v>
      </c>
      <c r="BL66" s="1">
        <v>3073630</v>
      </c>
      <c r="BM66" s="1">
        <v>410800</v>
      </c>
      <c r="BN66">
        <v>1</v>
      </c>
      <c r="BO66" s="1">
        <v>-2533112</v>
      </c>
      <c r="BP66" t="s">
        <v>77</v>
      </c>
      <c r="BQ66">
        <v>4.9000000000000004</v>
      </c>
      <c r="BR66">
        <v>0</v>
      </c>
    </row>
    <row r="67" spans="1:70" hidden="1" x14ac:dyDescent="0.3">
      <c r="A67" t="s">
        <v>136</v>
      </c>
      <c r="B67">
        <v>10011554</v>
      </c>
      <c r="D67" t="s">
        <v>72</v>
      </c>
      <c r="F67" s="1">
        <v>13794000</v>
      </c>
      <c r="G67">
        <v>0</v>
      </c>
      <c r="H67">
        <v>0</v>
      </c>
      <c r="I67">
        <v>0</v>
      </c>
      <c r="J67">
        <v>3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3</v>
      </c>
      <c r="AG67">
        <v>0</v>
      </c>
      <c r="AH67">
        <v>12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12</v>
      </c>
      <c r="AS67" s="1">
        <v>272760</v>
      </c>
      <c r="AT67">
        <v>0</v>
      </c>
      <c r="AU67" s="1">
        <v>2700144</v>
      </c>
      <c r="AV67" s="1">
        <v>2972904</v>
      </c>
      <c r="AW67">
        <v>0</v>
      </c>
      <c r="AX67">
        <v>0</v>
      </c>
      <c r="AY67" s="1">
        <v>83628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 s="1">
        <v>83628</v>
      </c>
      <c r="BK67" s="1">
        <v>1976638</v>
      </c>
      <c r="BL67" s="1">
        <v>1743601</v>
      </c>
      <c r="BM67" s="1">
        <v>233037</v>
      </c>
      <c r="BN67">
        <v>1</v>
      </c>
      <c r="BO67" s="1">
        <v>5580791</v>
      </c>
      <c r="BP67">
        <v>-3.65</v>
      </c>
      <c r="BQ67">
        <v>9.1</v>
      </c>
      <c r="BR67">
        <v>0</v>
      </c>
    </row>
    <row r="68" spans="1:70" hidden="1" x14ac:dyDescent="0.3">
      <c r="A68" t="s">
        <v>137</v>
      </c>
      <c r="B68">
        <v>10011555</v>
      </c>
      <c r="C68" t="s">
        <v>138</v>
      </c>
      <c r="D68" t="s">
        <v>72</v>
      </c>
      <c r="E68">
        <v>4</v>
      </c>
      <c r="F68" s="1">
        <v>25000000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4</v>
      </c>
      <c r="P68" s="1">
        <v>92099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4</v>
      </c>
      <c r="AG68">
        <v>0</v>
      </c>
      <c r="AH68">
        <v>0</v>
      </c>
      <c r="AI68">
        <v>0</v>
      </c>
      <c r="AJ68">
        <v>66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66</v>
      </c>
      <c r="AS68" s="1">
        <v>1500180</v>
      </c>
      <c r="AT68">
        <v>0</v>
      </c>
      <c r="AU68">
        <v>0</v>
      </c>
      <c r="AV68" s="1">
        <v>1500180</v>
      </c>
      <c r="AW68">
        <v>0</v>
      </c>
      <c r="AX68">
        <v>0</v>
      </c>
      <c r="AY68">
        <v>0</v>
      </c>
      <c r="AZ68">
        <v>0</v>
      </c>
      <c r="BA68" s="1">
        <v>1105195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 s="1">
        <v>1105195</v>
      </c>
      <c r="BK68" s="1">
        <v>25180873</v>
      </c>
      <c r="BL68" s="1">
        <v>21098614</v>
      </c>
      <c r="BM68" s="1">
        <v>4082259</v>
      </c>
      <c r="BN68">
        <v>10</v>
      </c>
      <c r="BO68" s="1">
        <v>20933636</v>
      </c>
      <c r="BP68">
        <v>13.66</v>
      </c>
      <c r="BQ68">
        <v>412.5</v>
      </c>
      <c r="BR68">
        <v>0</v>
      </c>
    </row>
    <row r="69" spans="1:70" s="3" customFormat="1" x14ac:dyDescent="0.3">
      <c r="A69" s="3" t="s">
        <v>137</v>
      </c>
      <c r="B69" s="3">
        <v>10011555</v>
      </c>
      <c r="C69" s="3" t="s">
        <v>138</v>
      </c>
      <c r="D69" s="3" t="s">
        <v>78</v>
      </c>
      <c r="E69" s="3">
        <v>4</v>
      </c>
      <c r="F69" s="4">
        <v>18891000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4</v>
      </c>
      <c r="P69" s="4">
        <v>92099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4</v>
      </c>
      <c r="AG69" s="3">
        <v>0</v>
      </c>
      <c r="AH69" s="3">
        <v>0</v>
      </c>
      <c r="AI69" s="3">
        <v>0</v>
      </c>
      <c r="AJ69" s="3">
        <v>66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66</v>
      </c>
      <c r="AS69" s="4">
        <v>1500180</v>
      </c>
      <c r="AT69" s="3">
        <v>0</v>
      </c>
      <c r="AU69" s="3">
        <v>0</v>
      </c>
      <c r="AV69" s="4">
        <v>1500180</v>
      </c>
      <c r="AW69" s="3">
        <v>0</v>
      </c>
      <c r="AX69" s="3">
        <v>0</v>
      </c>
      <c r="AY69" s="3">
        <v>0</v>
      </c>
      <c r="AZ69" s="3">
        <v>0</v>
      </c>
      <c r="BA69" s="4">
        <v>1105195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4">
        <v>1105195</v>
      </c>
      <c r="BK69" s="4">
        <v>25180873</v>
      </c>
      <c r="BL69" s="4">
        <v>21098614</v>
      </c>
      <c r="BM69" s="4">
        <v>4082259</v>
      </c>
      <c r="BN69" s="3">
        <v>7</v>
      </c>
      <c r="BO69" s="4">
        <v>26435753</v>
      </c>
      <c r="BP69" s="3">
        <v>18.489999999999998</v>
      </c>
      <c r="BQ69" s="3">
        <v>412.5</v>
      </c>
      <c r="BR69" s="3">
        <v>0</v>
      </c>
    </row>
    <row r="70" spans="1:70" hidden="1" x14ac:dyDescent="0.3">
      <c r="A70" t="s">
        <v>139</v>
      </c>
      <c r="B70">
        <v>10011556</v>
      </c>
      <c r="D70" t="s">
        <v>72</v>
      </c>
      <c r="E70">
        <v>366</v>
      </c>
      <c r="F70" s="1">
        <v>130584411</v>
      </c>
      <c r="G70">
        <v>0</v>
      </c>
      <c r="H70">
        <v>0</v>
      </c>
      <c r="I70">
        <v>0</v>
      </c>
      <c r="J70">
        <v>39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39</v>
      </c>
      <c r="AG70">
        <v>0</v>
      </c>
      <c r="AH70">
        <v>156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156</v>
      </c>
      <c r="AS70" s="1">
        <v>3545880</v>
      </c>
      <c r="AT70">
        <v>0</v>
      </c>
      <c r="AU70">
        <v>0</v>
      </c>
      <c r="AV70" s="1">
        <v>3545880</v>
      </c>
      <c r="AW70" s="1">
        <v>130584411</v>
      </c>
      <c r="AX70">
        <v>0</v>
      </c>
      <c r="AY70" s="1">
        <v>1087164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 s="1">
        <v>1087164</v>
      </c>
      <c r="BK70" s="1">
        <v>25696303</v>
      </c>
      <c r="BL70" s="1">
        <v>22666815</v>
      </c>
      <c r="BM70" s="1">
        <v>3029488</v>
      </c>
      <c r="BN70">
        <v>1</v>
      </c>
      <c r="BO70" s="1">
        <v>-33990561</v>
      </c>
      <c r="BP70" t="s">
        <v>77</v>
      </c>
      <c r="BQ70">
        <v>10.7</v>
      </c>
      <c r="BR70">
        <v>0</v>
      </c>
    </row>
    <row r="71" spans="1:70" hidden="1" x14ac:dyDescent="0.3">
      <c r="A71" t="s">
        <v>140</v>
      </c>
      <c r="B71">
        <v>10011557</v>
      </c>
      <c r="D71" t="s">
        <v>72</v>
      </c>
      <c r="E71">
        <v>152</v>
      </c>
      <c r="F71" s="1">
        <v>41716704</v>
      </c>
      <c r="G71">
        <v>0</v>
      </c>
      <c r="H71">
        <v>0</v>
      </c>
      <c r="I71">
        <v>0</v>
      </c>
      <c r="J71">
        <v>8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8</v>
      </c>
      <c r="AG71">
        <v>0</v>
      </c>
      <c r="AH71">
        <v>44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44</v>
      </c>
      <c r="AS71" s="1">
        <v>1000120</v>
      </c>
      <c r="AT71">
        <v>0</v>
      </c>
      <c r="AU71">
        <v>0</v>
      </c>
      <c r="AV71" s="1">
        <v>1000120</v>
      </c>
      <c r="AW71" s="1">
        <v>41716704</v>
      </c>
      <c r="AX71">
        <v>0</v>
      </c>
      <c r="AY71" s="1">
        <v>223008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 s="1">
        <v>223008</v>
      </c>
      <c r="BK71" s="1">
        <v>5271033</v>
      </c>
      <c r="BL71" s="1">
        <v>4649601</v>
      </c>
      <c r="BM71" s="1">
        <v>621432</v>
      </c>
      <c r="BN71">
        <v>31</v>
      </c>
      <c r="BO71" s="1">
        <v>-22957494</v>
      </c>
      <c r="BP71">
        <v>-999.99</v>
      </c>
      <c r="BQ71">
        <v>7.2</v>
      </c>
      <c r="BR71">
        <v>0</v>
      </c>
    </row>
    <row r="72" spans="1:70" hidden="1" x14ac:dyDescent="0.3">
      <c r="A72" t="s">
        <v>141</v>
      </c>
      <c r="B72">
        <v>10011558</v>
      </c>
      <c r="D72" t="s">
        <v>72</v>
      </c>
      <c r="F72" s="1">
        <v>7524000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</v>
      </c>
      <c r="AG72">
        <v>0</v>
      </c>
      <c r="AH72">
        <v>4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4</v>
      </c>
      <c r="AS72" s="1">
        <v>90920</v>
      </c>
      <c r="AT72">
        <v>0</v>
      </c>
      <c r="AU72" s="1">
        <v>1677856</v>
      </c>
      <c r="AV72" s="1">
        <v>1768776</v>
      </c>
      <c r="AW72">
        <v>0</v>
      </c>
      <c r="AX72">
        <v>0</v>
      </c>
      <c r="AY72" s="1">
        <v>27876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 s="1">
        <v>27876</v>
      </c>
      <c r="BK72" s="1">
        <v>658879</v>
      </c>
      <c r="BL72" s="1">
        <v>581200</v>
      </c>
      <c r="BM72" s="1">
        <v>77679</v>
      </c>
      <c r="BN72">
        <v>1</v>
      </c>
      <c r="BO72" s="1">
        <v>2638067</v>
      </c>
      <c r="BP72">
        <v>-5.98</v>
      </c>
      <c r="BQ72">
        <v>5.6</v>
      </c>
      <c r="BR72">
        <v>0</v>
      </c>
    </row>
    <row r="73" spans="1:70" hidden="1" x14ac:dyDescent="0.3">
      <c r="A73" t="s">
        <v>142</v>
      </c>
      <c r="B73">
        <v>10011559</v>
      </c>
      <c r="C73" t="s">
        <v>143</v>
      </c>
      <c r="D73" t="s">
        <v>72</v>
      </c>
      <c r="E73">
        <v>26</v>
      </c>
      <c r="F73" s="1">
        <v>13310726</v>
      </c>
      <c r="G73">
        <v>0</v>
      </c>
      <c r="H73">
        <v>438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438</v>
      </c>
      <c r="AG73">
        <v>0</v>
      </c>
      <c r="AH73" s="1">
        <v>1752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 s="1">
        <v>1752</v>
      </c>
      <c r="AS73" s="1">
        <v>39822960</v>
      </c>
      <c r="AT73">
        <v>0</v>
      </c>
      <c r="AU73">
        <v>0</v>
      </c>
      <c r="AV73" s="1">
        <v>39822960</v>
      </c>
      <c r="AW73">
        <v>0</v>
      </c>
      <c r="AX73">
        <v>0</v>
      </c>
      <c r="AY73" s="1">
        <v>11468592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 s="1">
        <v>11468592</v>
      </c>
      <c r="BK73" s="1">
        <v>271072787</v>
      </c>
      <c r="BL73" s="1">
        <v>239114408</v>
      </c>
      <c r="BM73" s="1">
        <v>31958379</v>
      </c>
      <c r="BN73">
        <v>1</v>
      </c>
      <c r="BO73" s="1">
        <v>380771332</v>
      </c>
      <c r="BP73" t="s">
        <v>77</v>
      </c>
      <c r="BQ73" s="2">
        <v>1684.6</v>
      </c>
      <c r="BR73">
        <v>0</v>
      </c>
    </row>
    <row r="74" spans="1:70" hidden="1" x14ac:dyDescent="0.3">
      <c r="A74" t="s">
        <v>144</v>
      </c>
      <c r="B74">
        <v>10011561</v>
      </c>
      <c r="C74" t="s">
        <v>145</v>
      </c>
      <c r="D74" t="s">
        <v>72</v>
      </c>
      <c r="E74">
        <v>55</v>
      </c>
      <c r="F74" s="1">
        <v>22081510</v>
      </c>
      <c r="G74">
        <v>0</v>
      </c>
      <c r="H74">
        <v>0</v>
      </c>
      <c r="I74">
        <v>0</v>
      </c>
      <c r="J74">
        <v>21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21</v>
      </c>
      <c r="AG74">
        <v>0</v>
      </c>
      <c r="AH74">
        <v>84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84</v>
      </c>
      <c r="AS74" s="1">
        <v>1909320</v>
      </c>
      <c r="AT74">
        <v>0</v>
      </c>
      <c r="AU74" s="1">
        <v>678132</v>
      </c>
      <c r="AV74" s="1">
        <v>2587452</v>
      </c>
      <c r="AW74">
        <v>0</v>
      </c>
      <c r="AX74">
        <v>0</v>
      </c>
      <c r="AY74" s="1">
        <v>585396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 s="1">
        <v>585396</v>
      </c>
      <c r="BK74" s="1">
        <v>13836470</v>
      </c>
      <c r="BL74" s="1">
        <v>12205208</v>
      </c>
      <c r="BM74" s="1">
        <v>1631262</v>
      </c>
      <c r="BN74">
        <v>31</v>
      </c>
      <c r="BO74" s="1">
        <v>-7212230</v>
      </c>
      <c r="BP74">
        <v>-1.2</v>
      </c>
      <c r="BQ74">
        <v>31.3</v>
      </c>
      <c r="BR74">
        <v>0</v>
      </c>
    </row>
    <row r="75" spans="1:70" s="3" customFormat="1" x14ac:dyDescent="0.3">
      <c r="A75" s="3" t="s">
        <v>144</v>
      </c>
      <c r="B75" s="3">
        <v>10011561</v>
      </c>
      <c r="C75" s="3" t="s">
        <v>145</v>
      </c>
      <c r="D75" s="3" t="s">
        <v>78</v>
      </c>
      <c r="E75" s="3">
        <v>55</v>
      </c>
      <c r="F75" s="4">
        <v>44188000</v>
      </c>
      <c r="G75" s="3">
        <v>0</v>
      </c>
      <c r="H75" s="3">
        <v>0</v>
      </c>
      <c r="I75" s="3">
        <v>0</v>
      </c>
      <c r="J75" s="3">
        <v>21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21</v>
      </c>
      <c r="AG75" s="3">
        <v>0</v>
      </c>
      <c r="AH75" s="3">
        <v>84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84</v>
      </c>
      <c r="AS75" s="4">
        <v>1909320</v>
      </c>
      <c r="AT75" s="3">
        <v>0</v>
      </c>
      <c r="AU75" s="4">
        <v>678132</v>
      </c>
      <c r="AV75" s="4">
        <v>2587452</v>
      </c>
      <c r="AW75" s="3">
        <v>0</v>
      </c>
      <c r="AX75" s="3">
        <v>0</v>
      </c>
      <c r="AY75" s="4">
        <v>585396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4">
        <v>585396</v>
      </c>
      <c r="BK75" s="4">
        <v>13836470</v>
      </c>
      <c r="BL75" s="4">
        <v>12205208</v>
      </c>
      <c r="BM75" s="4">
        <v>1631262</v>
      </c>
      <c r="BN75" s="3">
        <v>31</v>
      </c>
      <c r="BO75" s="4">
        <v>-31640310</v>
      </c>
      <c r="BP75" s="3">
        <v>-3.69</v>
      </c>
      <c r="BQ75" s="3">
        <v>31.3</v>
      </c>
      <c r="BR75" s="3">
        <v>0</v>
      </c>
    </row>
    <row r="76" spans="1:70" hidden="1" x14ac:dyDescent="0.3">
      <c r="A76" t="s">
        <v>146</v>
      </c>
      <c r="B76">
        <v>10011563</v>
      </c>
      <c r="C76" t="s">
        <v>147</v>
      </c>
      <c r="D76" t="s">
        <v>72</v>
      </c>
      <c r="E76">
        <v>16</v>
      </c>
      <c r="F76" s="1">
        <v>9049520</v>
      </c>
      <c r="G76">
        <v>0</v>
      </c>
      <c r="H76">
        <v>0</v>
      </c>
      <c r="I76">
        <v>0</v>
      </c>
      <c r="J76">
        <v>28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28</v>
      </c>
      <c r="AG76">
        <v>0</v>
      </c>
      <c r="AH76">
        <v>112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112</v>
      </c>
      <c r="AS76" s="1">
        <v>2545760</v>
      </c>
      <c r="AT76">
        <v>0</v>
      </c>
      <c r="AU76">
        <v>0</v>
      </c>
      <c r="AV76" s="1">
        <v>2545760</v>
      </c>
      <c r="AW76">
        <v>0</v>
      </c>
      <c r="AX76">
        <v>0</v>
      </c>
      <c r="AY76" s="1">
        <v>780528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 s="1">
        <v>780528</v>
      </c>
      <c r="BK76" s="1">
        <v>18448612</v>
      </c>
      <c r="BL76" s="1">
        <v>16273600</v>
      </c>
      <c r="BM76" s="1">
        <v>2175012</v>
      </c>
      <c r="BN76">
        <v>8</v>
      </c>
      <c r="BO76" s="1">
        <v>12274300</v>
      </c>
      <c r="BP76">
        <v>22.55</v>
      </c>
      <c r="BQ76">
        <v>6.3</v>
      </c>
      <c r="BR76">
        <v>0</v>
      </c>
    </row>
    <row r="77" spans="1:70" s="3" customFormat="1" x14ac:dyDescent="0.3">
      <c r="A77" s="3" t="s">
        <v>146</v>
      </c>
      <c r="B77" s="3">
        <v>10011563</v>
      </c>
      <c r="C77" s="3" t="s">
        <v>147</v>
      </c>
      <c r="D77" s="3" t="s">
        <v>78</v>
      </c>
      <c r="E77" s="3">
        <v>16</v>
      </c>
      <c r="F77" s="4">
        <v>20205000</v>
      </c>
      <c r="G77" s="3">
        <v>0</v>
      </c>
      <c r="H77" s="3">
        <v>0</v>
      </c>
      <c r="I77" s="3">
        <v>0</v>
      </c>
      <c r="J77" s="3">
        <v>28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28</v>
      </c>
      <c r="AG77" s="3">
        <v>0</v>
      </c>
      <c r="AH77" s="3">
        <v>112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112</v>
      </c>
      <c r="AS77" s="4">
        <v>2545760</v>
      </c>
      <c r="AT77" s="3">
        <v>0</v>
      </c>
      <c r="AU77" s="3">
        <v>0</v>
      </c>
      <c r="AV77" s="4">
        <v>2545760</v>
      </c>
      <c r="AW77" s="3">
        <v>0</v>
      </c>
      <c r="AX77" s="3">
        <v>0</v>
      </c>
      <c r="AY77" s="4">
        <v>780528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4">
        <v>780528</v>
      </c>
      <c r="BK77" s="4">
        <v>18448612</v>
      </c>
      <c r="BL77" s="4">
        <v>16273600</v>
      </c>
      <c r="BM77" s="4">
        <v>2175012</v>
      </c>
      <c r="BN77" s="3">
        <v>24</v>
      </c>
      <c r="BO77" s="4">
        <v>2227026</v>
      </c>
      <c r="BP77" s="3">
        <v>8.4700000000000006</v>
      </c>
      <c r="BQ77" s="3">
        <v>6.3</v>
      </c>
      <c r="BR77" s="3">
        <v>0</v>
      </c>
    </row>
    <row r="78" spans="1:70" hidden="1" x14ac:dyDescent="0.3">
      <c r="A78" t="s">
        <v>148</v>
      </c>
      <c r="B78">
        <v>10011564</v>
      </c>
      <c r="D78" t="s">
        <v>72</v>
      </c>
      <c r="F78" s="1">
        <v>23826000</v>
      </c>
      <c r="G78">
        <v>0</v>
      </c>
      <c r="H78">
        <v>0</v>
      </c>
      <c r="I78">
        <v>0</v>
      </c>
      <c r="J78">
        <v>16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16</v>
      </c>
      <c r="AG78">
        <v>0</v>
      </c>
      <c r="AH78">
        <v>64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64</v>
      </c>
      <c r="AS78" s="1">
        <v>1454720</v>
      </c>
      <c r="AT78">
        <v>0</v>
      </c>
      <c r="AU78" s="1">
        <v>1178112</v>
      </c>
      <c r="AV78" s="1">
        <v>2632832</v>
      </c>
      <c r="AW78">
        <v>0</v>
      </c>
      <c r="AX78">
        <v>0</v>
      </c>
      <c r="AY78" s="1">
        <v>446016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 s="1">
        <v>446016</v>
      </c>
      <c r="BK78" s="1">
        <v>10542075</v>
      </c>
      <c r="BL78" s="1">
        <v>9299208</v>
      </c>
      <c r="BM78" s="1">
        <v>1242867</v>
      </c>
      <c r="BN78">
        <v>1</v>
      </c>
      <c r="BO78" s="1">
        <v>16541642</v>
      </c>
      <c r="BP78">
        <v>2.6</v>
      </c>
      <c r="BQ78">
        <v>28.1</v>
      </c>
      <c r="BR78">
        <v>0</v>
      </c>
    </row>
    <row r="79" spans="1:70" hidden="1" x14ac:dyDescent="0.3">
      <c r="A79" t="s">
        <v>149</v>
      </c>
      <c r="B79">
        <v>10011565</v>
      </c>
      <c r="D79" t="s">
        <v>72</v>
      </c>
      <c r="F79" s="1">
        <v>12958000</v>
      </c>
      <c r="G79">
        <v>0</v>
      </c>
      <c r="H79">
        <v>0</v>
      </c>
      <c r="I79">
        <v>0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</v>
      </c>
      <c r="AG79">
        <v>0</v>
      </c>
      <c r="AH79">
        <v>10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10</v>
      </c>
      <c r="AS79" s="1">
        <v>227300</v>
      </c>
      <c r="AT79">
        <v>0</v>
      </c>
      <c r="AU79" s="1">
        <v>2985970</v>
      </c>
      <c r="AV79" s="1">
        <v>3213270</v>
      </c>
      <c r="AW79">
        <v>0</v>
      </c>
      <c r="AX79">
        <v>0</v>
      </c>
      <c r="AY79" s="1">
        <v>27876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 s="1">
        <v>27876</v>
      </c>
      <c r="BK79" s="1">
        <v>658879</v>
      </c>
      <c r="BL79" s="1">
        <v>581200</v>
      </c>
      <c r="BM79" s="1">
        <v>77679</v>
      </c>
      <c r="BN79">
        <v>1</v>
      </c>
      <c r="BO79" s="1">
        <v>4082561</v>
      </c>
      <c r="BP79">
        <v>-8.35</v>
      </c>
      <c r="BQ79">
        <v>8.1</v>
      </c>
      <c r="BR79">
        <v>0</v>
      </c>
    </row>
    <row r="80" spans="1:70" hidden="1" x14ac:dyDescent="0.3">
      <c r="A80" t="s">
        <v>150</v>
      </c>
      <c r="B80">
        <v>10011566</v>
      </c>
      <c r="D80" t="s">
        <v>72</v>
      </c>
      <c r="F80" s="1">
        <v>8778000</v>
      </c>
      <c r="G80">
        <v>0</v>
      </c>
      <c r="H80">
        <v>0</v>
      </c>
      <c r="I80">
        <v>0</v>
      </c>
      <c r="J80">
        <v>7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7</v>
      </c>
      <c r="AG80">
        <v>0</v>
      </c>
      <c r="AH80">
        <v>27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27</v>
      </c>
      <c r="AS80" s="1">
        <v>602345</v>
      </c>
      <c r="AT80">
        <v>0</v>
      </c>
      <c r="AU80" s="1">
        <v>111989</v>
      </c>
      <c r="AV80" s="1">
        <v>714334</v>
      </c>
      <c r="AW80">
        <v>0</v>
      </c>
      <c r="AX80">
        <v>0</v>
      </c>
      <c r="AY80" s="1">
        <v>195132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 s="1">
        <v>195132</v>
      </c>
      <c r="BK80" s="1">
        <v>4612157</v>
      </c>
      <c r="BL80" s="1">
        <v>4068403</v>
      </c>
      <c r="BM80" s="1">
        <v>543754</v>
      </c>
      <c r="BN80">
        <v>1</v>
      </c>
      <c r="BO80" s="1">
        <v>6799427</v>
      </c>
      <c r="BP80">
        <v>3.69</v>
      </c>
      <c r="BQ80">
        <v>31.5</v>
      </c>
      <c r="BR80">
        <v>0</v>
      </c>
    </row>
    <row r="81" spans="1:70" hidden="1" x14ac:dyDescent="0.3">
      <c r="A81" t="s">
        <v>151</v>
      </c>
      <c r="B81">
        <v>10011567</v>
      </c>
      <c r="C81" t="s">
        <v>152</v>
      </c>
      <c r="D81" t="s">
        <v>72</v>
      </c>
      <c r="E81">
        <v>89</v>
      </c>
      <c r="F81" s="1">
        <v>27076826</v>
      </c>
      <c r="G81">
        <v>0</v>
      </c>
      <c r="H81">
        <v>0</v>
      </c>
      <c r="I81">
        <v>0</v>
      </c>
      <c r="J81">
        <v>11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11</v>
      </c>
      <c r="AG81">
        <v>0</v>
      </c>
      <c r="AH81">
        <v>44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44</v>
      </c>
      <c r="AS81" s="1">
        <v>1000120</v>
      </c>
      <c r="AT81">
        <v>0</v>
      </c>
      <c r="AU81" s="1">
        <v>6344844</v>
      </c>
      <c r="AV81" s="1">
        <v>7344964</v>
      </c>
      <c r="AW81">
        <v>0</v>
      </c>
      <c r="AX81">
        <v>0</v>
      </c>
      <c r="AY81" s="1">
        <v>306636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 s="1">
        <v>306636</v>
      </c>
      <c r="BK81" s="1">
        <v>7247677</v>
      </c>
      <c r="BL81" s="1">
        <v>6393205</v>
      </c>
      <c r="BM81" s="1">
        <v>854472</v>
      </c>
      <c r="BN81">
        <v>31</v>
      </c>
      <c r="BO81" s="1">
        <v>-28006008</v>
      </c>
      <c r="BP81">
        <v>-999.99</v>
      </c>
      <c r="BQ81">
        <v>12.4</v>
      </c>
      <c r="BR81">
        <v>0</v>
      </c>
    </row>
    <row r="82" spans="1:70" s="3" customFormat="1" x14ac:dyDescent="0.3">
      <c r="A82" s="3" t="s">
        <v>151</v>
      </c>
      <c r="B82" s="3">
        <v>10011567</v>
      </c>
      <c r="C82" s="3" t="s">
        <v>152</v>
      </c>
      <c r="D82" s="3" t="s">
        <v>78</v>
      </c>
      <c r="E82" s="3">
        <v>89</v>
      </c>
      <c r="F82" s="4">
        <v>59768000</v>
      </c>
      <c r="G82" s="3">
        <v>0</v>
      </c>
      <c r="H82" s="3">
        <v>0</v>
      </c>
      <c r="I82" s="3">
        <v>0</v>
      </c>
      <c r="J82" s="3">
        <v>11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11</v>
      </c>
      <c r="AG82" s="3">
        <v>0</v>
      </c>
      <c r="AH82" s="3">
        <v>44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44</v>
      </c>
      <c r="AS82" s="4">
        <v>1000120</v>
      </c>
      <c r="AT82" s="3">
        <v>0</v>
      </c>
      <c r="AU82" s="4">
        <v>6344844</v>
      </c>
      <c r="AV82" s="4">
        <v>7344964</v>
      </c>
      <c r="AW82" s="3">
        <v>0</v>
      </c>
      <c r="AX82" s="3">
        <v>0</v>
      </c>
      <c r="AY82" s="4">
        <v>306636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4">
        <v>306636</v>
      </c>
      <c r="BK82" s="4">
        <v>7247677</v>
      </c>
      <c r="BL82" s="4">
        <v>6393205</v>
      </c>
      <c r="BM82" s="4">
        <v>854472</v>
      </c>
      <c r="BN82" s="3">
        <v>31</v>
      </c>
      <c r="BO82" s="4">
        <v>-57449568</v>
      </c>
      <c r="BP82" s="3">
        <v>-999.99</v>
      </c>
      <c r="BQ82" s="3">
        <v>12.4</v>
      </c>
      <c r="BR82" s="3">
        <v>0</v>
      </c>
    </row>
    <row r="83" spans="1:70" hidden="1" x14ac:dyDescent="0.3">
      <c r="A83" t="s">
        <v>153</v>
      </c>
      <c r="B83">
        <v>10011568</v>
      </c>
      <c r="D83" t="s">
        <v>72</v>
      </c>
      <c r="F83" s="1">
        <v>18392000</v>
      </c>
      <c r="G83">
        <v>0</v>
      </c>
      <c r="H83">
        <v>0</v>
      </c>
      <c r="I83">
        <v>0</v>
      </c>
      <c r="J83">
        <v>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8</v>
      </c>
      <c r="AG83">
        <v>0</v>
      </c>
      <c r="AH83">
        <v>32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32</v>
      </c>
      <c r="AS83" s="1">
        <v>727360</v>
      </c>
      <c r="AT83">
        <v>0</v>
      </c>
      <c r="AU83" s="1">
        <v>2311328</v>
      </c>
      <c r="AV83" s="1">
        <v>3038688</v>
      </c>
      <c r="AW83">
        <v>0</v>
      </c>
      <c r="AX83">
        <v>0</v>
      </c>
      <c r="AY83" s="1">
        <v>223008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 s="1">
        <v>223008</v>
      </c>
      <c r="BK83" s="1">
        <v>5271034</v>
      </c>
      <c r="BL83" s="1">
        <v>4649601</v>
      </c>
      <c r="BM83" s="1">
        <v>621433</v>
      </c>
      <c r="BN83">
        <v>1</v>
      </c>
      <c r="BO83" s="1">
        <v>9993086</v>
      </c>
      <c r="BP83">
        <v>0.02</v>
      </c>
      <c r="BQ83">
        <v>18.2</v>
      </c>
      <c r="BR83">
        <v>0</v>
      </c>
    </row>
    <row r="84" spans="1:70" hidden="1" x14ac:dyDescent="0.3">
      <c r="A84" t="s">
        <v>154</v>
      </c>
      <c r="B84">
        <v>10011569</v>
      </c>
      <c r="D84" t="s">
        <v>72</v>
      </c>
      <c r="F84" s="1">
        <v>28006000</v>
      </c>
      <c r="G84">
        <v>0</v>
      </c>
      <c r="H84">
        <v>0</v>
      </c>
      <c r="I84">
        <v>0</v>
      </c>
      <c r="J84">
        <v>15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15</v>
      </c>
      <c r="AG84">
        <v>0</v>
      </c>
      <c r="AH84">
        <v>48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48</v>
      </c>
      <c r="AS84" s="1">
        <v>1091040</v>
      </c>
      <c r="AT84">
        <v>0</v>
      </c>
      <c r="AU84" s="1">
        <v>3578112</v>
      </c>
      <c r="AV84" s="1">
        <v>4669152</v>
      </c>
      <c r="AW84">
        <v>0</v>
      </c>
      <c r="AX84">
        <v>0</v>
      </c>
      <c r="AY84" s="1">
        <v>422839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 s="1">
        <v>422839</v>
      </c>
      <c r="BK84" s="1">
        <v>8572904</v>
      </c>
      <c r="BL84" s="1">
        <v>7562196</v>
      </c>
      <c r="BM84" s="1">
        <v>1010708</v>
      </c>
      <c r="BN84">
        <v>1</v>
      </c>
      <c r="BO84" s="1">
        <v>11261691</v>
      </c>
      <c r="BP84">
        <v>0.43</v>
      </c>
      <c r="BQ84">
        <v>17.899999999999999</v>
      </c>
      <c r="BR84">
        <v>0</v>
      </c>
    </row>
    <row r="85" spans="1:70" hidden="1" x14ac:dyDescent="0.3">
      <c r="A85" t="s">
        <v>155</v>
      </c>
      <c r="B85">
        <v>10011570</v>
      </c>
      <c r="D85" t="s">
        <v>72</v>
      </c>
      <c r="F85" s="1">
        <v>6270000</v>
      </c>
      <c r="G85">
        <v>0</v>
      </c>
      <c r="H85">
        <v>0</v>
      </c>
      <c r="I85">
        <v>0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1</v>
      </c>
      <c r="AG85">
        <v>0</v>
      </c>
      <c r="AH85">
        <v>4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4</v>
      </c>
      <c r="AS85" s="1">
        <v>90920</v>
      </c>
      <c r="AT85">
        <v>0</v>
      </c>
      <c r="AU85" s="1">
        <v>1344512</v>
      </c>
      <c r="AV85" s="1">
        <v>1435432</v>
      </c>
      <c r="AW85">
        <v>0</v>
      </c>
      <c r="AX85">
        <v>0</v>
      </c>
      <c r="AY85" s="1">
        <v>27876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 s="1">
        <v>27876</v>
      </c>
      <c r="BK85" s="1">
        <v>658879</v>
      </c>
      <c r="BL85" s="1">
        <v>581200</v>
      </c>
      <c r="BM85" s="1">
        <v>77679</v>
      </c>
      <c r="BN85">
        <v>1</v>
      </c>
      <c r="BO85" s="1">
        <v>2304723</v>
      </c>
      <c r="BP85">
        <v>-5.14</v>
      </c>
      <c r="BQ85">
        <v>6.7</v>
      </c>
      <c r="BR85">
        <v>0</v>
      </c>
    </row>
    <row r="86" spans="1:70" hidden="1" x14ac:dyDescent="0.3">
      <c r="A86" t="s">
        <v>156</v>
      </c>
      <c r="B86">
        <v>10011571</v>
      </c>
      <c r="C86" t="s">
        <v>157</v>
      </c>
      <c r="D86" t="s">
        <v>72</v>
      </c>
      <c r="E86">
        <v>90</v>
      </c>
      <c r="F86" s="1">
        <v>47153380</v>
      </c>
      <c r="G86">
        <v>0</v>
      </c>
      <c r="H86">
        <v>0</v>
      </c>
      <c r="I86">
        <v>0</v>
      </c>
      <c r="J86">
        <v>22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22</v>
      </c>
      <c r="AG86">
        <v>0</v>
      </c>
      <c r="AH86">
        <v>90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90</v>
      </c>
      <c r="AS86" s="1">
        <v>2045700</v>
      </c>
      <c r="AT86">
        <v>0</v>
      </c>
      <c r="AU86" s="1">
        <v>7977420</v>
      </c>
      <c r="AV86" s="1">
        <v>10023120</v>
      </c>
      <c r="AW86">
        <v>0</v>
      </c>
      <c r="AX86">
        <v>0</v>
      </c>
      <c r="AY86" s="1">
        <v>613272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 s="1">
        <v>613272</v>
      </c>
      <c r="BK86" s="1">
        <v>14495343</v>
      </c>
      <c r="BL86" s="1">
        <v>12786404</v>
      </c>
      <c r="BM86" s="1">
        <v>1708939</v>
      </c>
      <c r="BN86">
        <v>31</v>
      </c>
      <c r="BO86" s="1">
        <v>-16760477</v>
      </c>
      <c r="BP86">
        <v>-12.58</v>
      </c>
      <c r="BQ86">
        <v>16.5</v>
      </c>
      <c r="BR86">
        <v>0</v>
      </c>
    </row>
    <row r="87" spans="1:70" s="3" customFormat="1" x14ac:dyDescent="0.3">
      <c r="A87" s="3" t="s">
        <v>156</v>
      </c>
      <c r="B87" s="3">
        <v>10011571</v>
      </c>
      <c r="C87" s="3" t="s">
        <v>157</v>
      </c>
      <c r="D87" s="3" t="s">
        <v>78</v>
      </c>
      <c r="E87" s="3">
        <v>90</v>
      </c>
      <c r="F87" s="4">
        <v>49380000</v>
      </c>
      <c r="G87" s="3">
        <v>0</v>
      </c>
      <c r="H87" s="3">
        <v>0</v>
      </c>
      <c r="I87" s="3">
        <v>0</v>
      </c>
      <c r="J87" s="3">
        <v>22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22</v>
      </c>
      <c r="AG87" s="3">
        <v>0</v>
      </c>
      <c r="AH87" s="3">
        <v>90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90</v>
      </c>
      <c r="AS87" s="4">
        <v>2045700</v>
      </c>
      <c r="AT87" s="3">
        <v>0</v>
      </c>
      <c r="AU87" s="4">
        <v>7977420</v>
      </c>
      <c r="AV87" s="4">
        <v>10023120</v>
      </c>
      <c r="AW87" s="3">
        <v>0</v>
      </c>
      <c r="AX87" s="3">
        <v>0</v>
      </c>
      <c r="AY87" s="4">
        <v>613272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4">
        <v>613272</v>
      </c>
      <c r="BK87" s="4">
        <v>14495343</v>
      </c>
      <c r="BL87" s="4">
        <v>12786404</v>
      </c>
      <c r="BM87" s="4">
        <v>1708939</v>
      </c>
      <c r="BN87" s="3">
        <v>31</v>
      </c>
      <c r="BO87" s="4">
        <v>-36083742</v>
      </c>
      <c r="BP87" s="3">
        <v>-8.65</v>
      </c>
      <c r="BQ87" s="3">
        <v>16.5</v>
      </c>
      <c r="BR87" s="3">
        <v>0</v>
      </c>
    </row>
    <row r="88" spans="1:70" hidden="1" x14ac:dyDescent="0.3">
      <c r="A88" t="s">
        <v>158</v>
      </c>
      <c r="B88">
        <v>10011572</v>
      </c>
      <c r="D88" t="s">
        <v>72</v>
      </c>
      <c r="F88" s="1">
        <v>11704000</v>
      </c>
      <c r="G88">
        <v>0</v>
      </c>
      <c r="H88">
        <v>0</v>
      </c>
      <c r="I88">
        <v>0</v>
      </c>
      <c r="J88">
        <v>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4</v>
      </c>
      <c r="AG88">
        <v>0</v>
      </c>
      <c r="AH88">
        <v>16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16</v>
      </c>
      <c r="AS88" s="1">
        <v>363680</v>
      </c>
      <c r="AT88">
        <v>0</v>
      </c>
      <c r="AU88" s="1">
        <v>1822352</v>
      </c>
      <c r="AV88" s="1">
        <v>2186032</v>
      </c>
      <c r="AW88">
        <v>0</v>
      </c>
      <c r="AX88">
        <v>0</v>
      </c>
      <c r="AY88" s="1">
        <v>111504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 s="1">
        <v>111504</v>
      </c>
      <c r="BK88" s="1">
        <v>2635518</v>
      </c>
      <c r="BL88" s="1">
        <v>2324801</v>
      </c>
      <c r="BM88" s="1">
        <v>310717</v>
      </c>
      <c r="BN88">
        <v>1</v>
      </c>
      <c r="BO88" s="1">
        <v>5663238</v>
      </c>
      <c r="BP88">
        <v>-1.32</v>
      </c>
      <c r="BQ88">
        <v>14.3</v>
      </c>
      <c r="BR88">
        <v>0</v>
      </c>
    </row>
    <row r="89" spans="1:70" hidden="1" x14ac:dyDescent="0.3">
      <c r="A89" t="s">
        <v>159</v>
      </c>
      <c r="B89">
        <v>10011575</v>
      </c>
      <c r="D89" t="s">
        <v>72</v>
      </c>
      <c r="F89" s="1">
        <v>5016000</v>
      </c>
      <c r="G89">
        <v>0</v>
      </c>
      <c r="H89">
        <v>0</v>
      </c>
      <c r="I89">
        <v>0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</v>
      </c>
      <c r="AG89">
        <v>0</v>
      </c>
      <c r="AH89">
        <v>4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4</v>
      </c>
      <c r="AS89" s="1">
        <v>90920</v>
      </c>
      <c r="AT89">
        <v>0</v>
      </c>
      <c r="AU89" s="1">
        <v>1011164</v>
      </c>
      <c r="AV89" s="1">
        <v>1102084</v>
      </c>
      <c r="AW89">
        <v>0</v>
      </c>
      <c r="AX89">
        <v>0</v>
      </c>
      <c r="AY89" s="1">
        <v>27876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 s="1">
        <v>27876</v>
      </c>
      <c r="BK89" s="1">
        <v>658879</v>
      </c>
      <c r="BL89" s="1">
        <v>581200</v>
      </c>
      <c r="BM89" s="1">
        <v>77679</v>
      </c>
      <c r="BN89">
        <v>1</v>
      </c>
      <c r="BO89" s="1">
        <v>1971375</v>
      </c>
      <c r="BP89">
        <v>-4.08</v>
      </c>
      <c r="BQ89">
        <v>8.3000000000000007</v>
      </c>
      <c r="BR89">
        <v>0</v>
      </c>
    </row>
  </sheetData>
  <autoFilter ref="A4:BR89" xr:uid="{581C2385-3503-4C2A-9EAA-22C7344CC7D9}">
    <filterColumn colId="3">
      <filters>
        <filter val="기본설계후"/>
      </filters>
    </filterColumn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</vt:lpstr>
      <vt:lpstr>raw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최 한엽</cp:lastModifiedBy>
  <dcterms:created xsi:type="dcterms:W3CDTF">2026-06-19T03:54:39Z</dcterms:created>
  <dcterms:modified xsi:type="dcterms:W3CDTF">2026-06-23T06:51:39Z</dcterms:modified>
</cp:coreProperties>
</file>