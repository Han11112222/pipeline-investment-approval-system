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본부투자_결재 대시보드\"/>
    </mc:Choice>
  </mc:AlternateContent>
  <xr:revisionPtr revIDLastSave="0" documentId="13_ncr:1_{2D291626-0D84-4D1D-9D66-8BE57E6EB9A1}" xr6:coauthVersionLast="47" xr6:coauthVersionMax="47" xr10:uidLastSave="{00000000-0000-0000-0000-000000000000}"/>
  <bookViews>
    <workbookView xWindow="-28920" yWindow="3900" windowWidth="29040" windowHeight="15720" activeTab="1" xr2:uid="{47B8FEA7-9807-4F15-BAC4-78C12FB537B1}"/>
  </bookViews>
  <sheets>
    <sheet name="2" sheetId="1" r:id="rId1"/>
    <sheet name="Sheet1" sheetId="2" r:id="rId2"/>
  </sheets>
  <definedNames>
    <definedName name="_xlnm._FilterDatabase" localSheetId="0" hidden="1">'2'!$A$4:$BR$42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F7" i="2"/>
</calcChain>
</file>

<file path=xl/sharedStrings.xml><?xml version="1.0" encoding="utf-8"?>
<sst xmlns="http://schemas.openxmlformats.org/spreadsheetml/2006/main" count="303" uniqueCount="141">
  <si>
    <t xml:space="preserve">  구간명</t>
  </si>
  <si>
    <t xml:space="preserve">  분석시행번호</t>
  </si>
  <si>
    <t xml:space="preserve">  관리번호</t>
  </si>
  <si>
    <t xml:space="preserve">  분석단계</t>
  </si>
  <si>
    <t>투자내역</t>
  </si>
  <si>
    <t>가    정    용  [ (전,월) ]</t>
  </si>
  <si>
    <t>일    반    용  [ MJ / (전,월) ]</t>
  </si>
  <si>
    <t>산  업  용 [ MJ / (전,월) ]</t>
  </si>
  <si>
    <t>연 료 전 지 [ MJ / (전,월) ]</t>
  </si>
  <si>
    <t>열  병  합 [ MJ / (전,월) ]</t>
  </si>
  <si>
    <t>열전용설비 [ MJ / (전,월) ]</t>
  </si>
  <si>
    <t>수 요  전 수 계</t>
  </si>
  <si>
    <t>용도별 표준가스 소비량 합계</t>
  </si>
  <si>
    <t xml:space="preserve">  계</t>
  </si>
  <si>
    <t xml:space="preserve"> 시설분담금</t>
  </si>
  <si>
    <t>기타이익 (수요가부담   공사비 등)</t>
  </si>
  <si>
    <t>연    간        판    매    량 [ MJ / 년 ]</t>
  </si>
  <si>
    <t>연    간 판 매 액 [원 / 년]</t>
  </si>
  <si>
    <t>연    간 판매원가 [원 / 년]</t>
  </si>
  <si>
    <t>연    간 판매수익 [원 / 년]</t>
  </si>
  <si>
    <t>경제성분석</t>
  </si>
  <si>
    <t xml:space="preserve">길이  (m) </t>
  </si>
  <si>
    <t xml:space="preserve">배관투자금액  (원) </t>
  </si>
  <si>
    <t>공동주택전수</t>
  </si>
  <si>
    <t>단독주택전수</t>
  </si>
  <si>
    <t>원룸전수</t>
  </si>
  <si>
    <t>중앙난방(중집)</t>
  </si>
  <si>
    <t>일반용(영업1)</t>
  </si>
  <si>
    <t>일반용(영업2)</t>
  </si>
  <si>
    <t>업무난방</t>
  </si>
  <si>
    <t>냉난방</t>
  </si>
  <si>
    <t>주  택  용</t>
  </si>
  <si>
    <t>주  택  용  외</t>
  </si>
  <si>
    <t>가정용</t>
  </si>
  <si>
    <t>일반용</t>
  </si>
  <si>
    <t xml:space="preserve"> 산업용(MJ)</t>
  </si>
  <si>
    <t xml:space="preserve"> 연료전지(MJ)</t>
  </si>
  <si>
    <t xml:space="preserve"> 열병합(MJ)</t>
  </si>
  <si>
    <t xml:space="preserve"> 열전용설비(MJ)</t>
  </si>
  <si>
    <t xml:space="preserve"> 계 (MJ)</t>
  </si>
  <si>
    <t>회 수 년 수</t>
  </si>
  <si>
    <t>NPV (원)</t>
  </si>
  <si>
    <t>IRR (%)</t>
  </si>
  <si>
    <t>100m 환산 세대수</t>
  </si>
  <si>
    <t>주택용 인입관비 배분액</t>
  </si>
  <si>
    <t>취사</t>
  </si>
  <si>
    <t>난방</t>
  </si>
  <si>
    <t>전수</t>
  </si>
  <si>
    <t>판매열량(MJ)</t>
  </si>
  <si>
    <t>난방판매(MJ)</t>
  </si>
  <si>
    <t>냉방판매(MJ)</t>
  </si>
  <si>
    <t>중앙</t>
  </si>
  <si>
    <t>일반용1</t>
  </si>
  <si>
    <t>일반용2</t>
  </si>
  <si>
    <t>냉난방용</t>
  </si>
  <si>
    <t>산업용</t>
  </si>
  <si>
    <t>연료전지</t>
  </si>
  <si>
    <t>열병합</t>
  </si>
  <si>
    <t>열전용설비</t>
  </si>
  <si>
    <t>일반</t>
  </si>
  <si>
    <t>취사전용</t>
  </si>
  <si>
    <t>수요가부담금</t>
  </si>
  <si>
    <t>총시설분담금</t>
  </si>
  <si>
    <t>취사용(MJ)</t>
  </si>
  <si>
    <t>개별난방용(MJ)</t>
  </si>
  <si>
    <t>중앙난방용(MJ)</t>
  </si>
  <si>
    <t>일반용(영업1)(MJ)</t>
  </si>
  <si>
    <t>일반용(영업2)(MJ)</t>
  </si>
  <si>
    <t>업무난방용(MJ)</t>
  </si>
  <si>
    <t>냉방용난방(MJ)</t>
  </si>
  <si>
    <t>냉방용냉방(MJ)</t>
  </si>
  <si>
    <t>칠성동2가 302-301번지 (K구간)</t>
  </si>
  <si>
    <t>수요조사후분석</t>
  </si>
  <si>
    <t>산격동 1195-111번지(L구간)</t>
  </si>
  <si>
    <t>남산동 2267-2번지(K구간)</t>
  </si>
  <si>
    <t>월성주공5단지 개별난방 전환</t>
  </si>
  <si>
    <t>2026-2A00008</t>
  </si>
  <si>
    <t>한도초과</t>
  </si>
  <si>
    <t>기본설계후</t>
  </si>
  <si>
    <t>가창면 용계리 45-2번지(K구간)</t>
  </si>
  <si>
    <t>사정동 191-1번지R</t>
  </si>
  <si>
    <t>2026-2A00010</t>
  </si>
  <si>
    <t>압량읍 부적리 278-4번지R</t>
  </si>
  <si>
    <t>2026-2A00013</t>
  </si>
  <si>
    <t>중방동 438-22번지R</t>
  </si>
  <si>
    <t>2026-2A00014</t>
  </si>
  <si>
    <t>대평동 424-1번지R</t>
  </si>
  <si>
    <t>2026-2A00015</t>
  </si>
  <si>
    <t>방촌동 974-10번지R</t>
  </si>
  <si>
    <t>2026-2A00006</t>
  </si>
  <si>
    <t>신기동 41-2번지R</t>
  </si>
  <si>
    <t>2026-2A00009</t>
  </si>
  <si>
    <t>인교동 164-4번지R</t>
  </si>
  <si>
    <t>2026-2A00020</t>
  </si>
  <si>
    <t>송현동 1970-20번지R</t>
  </si>
  <si>
    <t>2026-2A00012</t>
  </si>
  <si>
    <t>내당동 417-13번지R</t>
  </si>
  <si>
    <t>2026-2A00017</t>
  </si>
  <si>
    <t>신천동 194-15번지R</t>
  </si>
  <si>
    <t>2026-2A00007</t>
  </si>
  <si>
    <t>비산동 409-29번지R</t>
  </si>
  <si>
    <t>2026-2A00019</t>
  </si>
  <si>
    <t>율하동 율하스마트산단 연료전지</t>
  </si>
  <si>
    <t>2026-2A00030</t>
  </si>
  <si>
    <t>어반폴트레마리스 인입</t>
  </si>
  <si>
    <t>2026-2A00031</t>
  </si>
  <si>
    <t>이곡동 1000-346번지 R</t>
  </si>
  <si>
    <t>2026-2A00011</t>
  </si>
  <si>
    <t>봉덕동 1383번지(L구간)</t>
  </si>
  <si>
    <t>만촌동 994-42번지(K구간)</t>
  </si>
  <si>
    <t>학정동 두산위브더제니스센트럴시티</t>
  </si>
  <si>
    <t>2026-2A00022</t>
  </si>
  <si>
    <t>수성동3가 369번지R</t>
  </si>
  <si>
    <t>2026-2A00032</t>
  </si>
  <si>
    <t>파동 110-74번지R</t>
  </si>
  <si>
    <t>2026-2A00023</t>
  </si>
  <si>
    <t>방촌우방강촌마을A</t>
  </si>
  <si>
    <t>2026-2C00069</t>
  </si>
  <si>
    <t>방촌우방강촌마을B</t>
  </si>
  <si>
    <t>2026-2C00067</t>
  </si>
  <si>
    <t>중리동 헬스앤키즈드림센터 인입</t>
  </si>
  <si>
    <t>2026-2C00054</t>
  </si>
  <si>
    <t>수성동4가 1134-2번지(K구간)</t>
  </si>
  <si>
    <t>점촌동 134-42번지(L구간)</t>
  </si>
  <si>
    <t>진량읍 상림길 25번지(L구간)</t>
  </si>
  <si>
    <t>산격동 1434-28번지(K구간)</t>
  </si>
  <si>
    <t>대명동 486-9번지(L구간)</t>
  </si>
  <si>
    <t>대천동 대명빌딩 인입</t>
  </si>
  <si>
    <t>현풍읍 중리 110번지 (K구간)</t>
  </si>
  <si>
    <t>복현대백맨션 개별난방전환</t>
  </si>
  <si>
    <t>2026-2C00080</t>
  </si>
  <si>
    <t>비산동 729-17번지R</t>
  </si>
  <si>
    <t>2026-2A00018</t>
  </si>
  <si>
    <t>용도</t>
  </si>
  <si>
    <t>구청</t>
  </si>
  <si>
    <t>공동주택</t>
    <phoneticPr fontId="18" type="noConversion"/>
  </si>
  <si>
    <t>ROE</t>
    <phoneticPr fontId="18" type="noConversion"/>
  </si>
  <si>
    <t>북구</t>
    <phoneticPr fontId="18" type="noConversion"/>
  </si>
  <si>
    <t>서구</t>
    <phoneticPr fontId="18" type="noConversion"/>
  </si>
  <si>
    <t>복현대백맨션개별난방전환</t>
  </si>
  <si>
    <t>비산동729-17번지R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</si>
</sst>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4" fontId="0" fillId="33" borderId="0" xfId="0" applyNumberFormat="1" applyFill="1">
      <alignment vertical="center"/>
    </xf>
    <xf numFmtId="41" fontId="0" fillId="33" borderId="0" xfId="43" applyFont="1" applyFill="1">
      <alignment vertical="center"/>
    </xf>
    <xf numFmtId="41" fontId="0" fillId="0" borderId="0" xfId="43" applyFon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 xr:uid="{902F59C3-79CC-4912-8C96-CC7786F7B994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0EC0-85D9-427B-AF19-3219E1BEF8C5}">
  <sheetPr filterMode="1"/>
  <dimension ref="A1:BR42"/>
  <sheetViews>
    <sheetView topLeftCell="BN1" workbookViewId="0">
      <selection sqref="A1:BS42"/>
    </sheetView>
  </sheetViews>
  <sheetFormatPr defaultRowHeight="16.5" x14ac:dyDescent="0.3"/>
  <cols>
    <col min="1" max="1" width="28.75" customWidth="1"/>
    <col min="4" max="4" width="13.375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O1" t="s">
        <v>6</v>
      </c>
      <c r="X1" t="s">
        <v>7</v>
      </c>
      <c r="Z1" t="s">
        <v>8</v>
      </c>
      <c r="AB1" t="s">
        <v>9</v>
      </c>
      <c r="AD1" t="s">
        <v>10</v>
      </c>
      <c r="AF1" t="s">
        <v>11</v>
      </c>
      <c r="AG1" t="s">
        <v>12</v>
      </c>
      <c r="AR1" t="s">
        <v>13</v>
      </c>
      <c r="AS1" t="s">
        <v>14</v>
      </c>
      <c r="AW1" t="s">
        <v>15</v>
      </c>
      <c r="AX1" t="s">
        <v>16</v>
      </c>
      <c r="BK1" t="s">
        <v>17</v>
      </c>
      <c r="BL1" t="s">
        <v>18</v>
      </c>
      <c r="BM1" t="s">
        <v>19</v>
      </c>
      <c r="BN1" t="s">
        <v>20</v>
      </c>
    </row>
    <row r="2" spans="1:70" x14ac:dyDescent="0.3">
      <c r="E2" t="s">
        <v>21</v>
      </c>
      <c r="F2" t="s">
        <v>22</v>
      </c>
      <c r="G2" t="s">
        <v>23</v>
      </c>
      <c r="I2" t="s">
        <v>24</v>
      </c>
      <c r="K2" t="s">
        <v>25</v>
      </c>
      <c r="M2" t="s">
        <v>26</v>
      </c>
      <c r="O2" t="s">
        <v>27</v>
      </c>
      <c r="Q2" t="s">
        <v>28</v>
      </c>
      <c r="S2" t="s">
        <v>29</v>
      </c>
      <c r="U2" t="s">
        <v>30</v>
      </c>
      <c r="AG2" t="s">
        <v>31</v>
      </c>
      <c r="AJ2" t="s">
        <v>32</v>
      </c>
      <c r="AX2" t="s">
        <v>33</v>
      </c>
      <c r="BA2" t="s">
        <v>34</v>
      </c>
      <c r="BF2" t="s">
        <v>35</v>
      </c>
      <c r="BG2" t="s">
        <v>36</v>
      </c>
      <c r="BH2" t="s">
        <v>37</v>
      </c>
      <c r="BI2" t="s">
        <v>38</v>
      </c>
      <c r="BJ2" t="s">
        <v>39</v>
      </c>
      <c r="BN2" t="s">
        <v>40</v>
      </c>
      <c r="BO2" t="s">
        <v>41</v>
      </c>
      <c r="BP2" t="s">
        <v>42</v>
      </c>
      <c r="BQ2" t="s">
        <v>43</v>
      </c>
      <c r="BR2" t="s">
        <v>44</v>
      </c>
    </row>
    <row r="4" spans="1:70" x14ac:dyDescent="0.3">
      <c r="G4" t="s">
        <v>45</v>
      </c>
      <c r="H4" t="s">
        <v>46</v>
      </c>
      <c r="I4" t="s">
        <v>45</v>
      </c>
      <c r="J4" t="s">
        <v>46</v>
      </c>
      <c r="K4" t="s">
        <v>45</v>
      </c>
      <c r="L4" t="s">
        <v>46</v>
      </c>
      <c r="M4" t="s">
        <v>47</v>
      </c>
      <c r="N4" t="s">
        <v>48</v>
      </c>
      <c r="O4" t="s">
        <v>47</v>
      </c>
      <c r="P4" t="s">
        <v>48</v>
      </c>
      <c r="Q4" t="s">
        <v>47</v>
      </c>
      <c r="R4" t="s">
        <v>48</v>
      </c>
      <c r="S4" t="s">
        <v>47</v>
      </c>
      <c r="T4" t="s">
        <v>49</v>
      </c>
      <c r="U4" t="s">
        <v>47</v>
      </c>
      <c r="V4" t="s">
        <v>49</v>
      </c>
      <c r="W4" t="s">
        <v>50</v>
      </c>
      <c r="X4" t="s">
        <v>47</v>
      </c>
      <c r="Y4" t="s">
        <v>48</v>
      </c>
      <c r="Z4" t="s">
        <v>47</v>
      </c>
      <c r="AA4" t="s">
        <v>48</v>
      </c>
      <c r="AB4" t="s">
        <v>47</v>
      </c>
      <c r="AC4" t="s">
        <v>48</v>
      </c>
      <c r="AD4" t="s">
        <v>47</v>
      </c>
      <c r="AE4" t="s">
        <v>48</v>
      </c>
      <c r="AG4" t="s">
        <v>45</v>
      </c>
      <c r="AH4" t="s">
        <v>46</v>
      </c>
      <c r="AI4" t="s">
        <v>51</v>
      </c>
      <c r="AJ4" t="s">
        <v>52</v>
      </c>
      <c r="AK4" t="s">
        <v>53</v>
      </c>
      <c r="AL4" t="s">
        <v>29</v>
      </c>
      <c r="AM4" t="s">
        <v>54</v>
      </c>
      <c r="AN4" t="s">
        <v>55</v>
      </c>
      <c r="AO4" t="s">
        <v>56</v>
      </c>
      <c r="AP4" t="s">
        <v>57</v>
      </c>
      <c r="AQ4" t="s">
        <v>58</v>
      </c>
      <c r="AS4" t="s">
        <v>59</v>
      </c>
      <c r="AT4" t="s">
        <v>60</v>
      </c>
      <c r="AU4" t="s">
        <v>61</v>
      </c>
      <c r="AV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  <c r="BE4" t="s">
        <v>70</v>
      </c>
    </row>
    <row r="5" spans="1:70" hidden="1" x14ac:dyDescent="0.3">
      <c r="A5" t="s">
        <v>71</v>
      </c>
      <c r="B5">
        <v>10011505</v>
      </c>
      <c r="D5" t="s">
        <v>72</v>
      </c>
      <c r="F5" s="1">
        <v>4598000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</v>
      </c>
      <c r="AG5">
        <v>0</v>
      </c>
      <c r="AH5">
        <v>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8</v>
      </c>
      <c r="AS5" s="1">
        <v>181840</v>
      </c>
      <c r="AT5">
        <v>0</v>
      </c>
      <c r="AU5" s="1">
        <v>577832</v>
      </c>
      <c r="AV5" s="1">
        <v>759672</v>
      </c>
      <c r="AW5">
        <v>0</v>
      </c>
      <c r="AX5">
        <v>0</v>
      </c>
      <c r="AY5" s="1">
        <v>55752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s="1">
        <v>55752</v>
      </c>
      <c r="BK5" s="1">
        <v>1317759</v>
      </c>
      <c r="BL5" s="1">
        <v>1162401</v>
      </c>
      <c r="BM5" s="1">
        <v>155358</v>
      </c>
      <c r="BN5">
        <v>1</v>
      </c>
      <c r="BO5" s="1">
        <v>2498268</v>
      </c>
      <c r="BP5">
        <v>0.02</v>
      </c>
      <c r="BQ5">
        <v>18.2</v>
      </c>
      <c r="BR5">
        <v>0</v>
      </c>
    </row>
    <row r="6" spans="1:70" hidden="1" x14ac:dyDescent="0.3">
      <c r="A6" t="s">
        <v>73</v>
      </c>
      <c r="B6">
        <v>10011506</v>
      </c>
      <c r="D6" t="s">
        <v>72</v>
      </c>
      <c r="F6" s="1">
        <v>11286000</v>
      </c>
      <c r="G6">
        <v>0</v>
      </c>
      <c r="H6">
        <v>0</v>
      </c>
      <c r="I6">
        <v>0</v>
      </c>
      <c r="J6">
        <v>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9</v>
      </c>
      <c r="AG6">
        <v>0</v>
      </c>
      <c r="AH6">
        <v>36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36</v>
      </c>
      <c r="AS6" s="1">
        <v>818280</v>
      </c>
      <c r="AT6">
        <v>0</v>
      </c>
      <c r="AU6" s="1">
        <v>100152</v>
      </c>
      <c r="AV6" s="1">
        <v>918432</v>
      </c>
      <c r="AW6">
        <v>0</v>
      </c>
      <c r="AX6">
        <v>0</v>
      </c>
      <c r="AY6" s="1">
        <v>250884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s="1">
        <v>250884</v>
      </c>
      <c r="BK6" s="1">
        <v>5929916</v>
      </c>
      <c r="BL6" s="1">
        <v>5230804</v>
      </c>
      <c r="BM6" s="1">
        <v>699112</v>
      </c>
      <c r="BN6">
        <v>1</v>
      </c>
      <c r="BO6" s="1">
        <v>8742135</v>
      </c>
      <c r="BP6">
        <v>3.69</v>
      </c>
      <c r="BQ6">
        <v>33.299999999999997</v>
      </c>
      <c r="BR6">
        <v>0</v>
      </c>
    </row>
    <row r="7" spans="1:70" hidden="1" x14ac:dyDescent="0.3">
      <c r="A7" t="s">
        <v>74</v>
      </c>
      <c r="B7">
        <v>10011507</v>
      </c>
      <c r="D7" t="s">
        <v>72</v>
      </c>
      <c r="F7" s="1">
        <v>9614000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10</v>
      </c>
      <c r="AS7" s="1">
        <v>227300</v>
      </c>
      <c r="AT7">
        <v>0</v>
      </c>
      <c r="AU7" s="1">
        <v>2097050</v>
      </c>
      <c r="AV7" s="1">
        <v>2324350</v>
      </c>
      <c r="AW7">
        <v>0</v>
      </c>
      <c r="AX7">
        <v>0</v>
      </c>
      <c r="AY7" s="1">
        <v>27876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 s="1">
        <v>27876</v>
      </c>
      <c r="BK7" s="1">
        <v>658879</v>
      </c>
      <c r="BL7" s="1">
        <v>581200</v>
      </c>
      <c r="BM7" s="1">
        <v>77679</v>
      </c>
      <c r="BN7">
        <v>1</v>
      </c>
      <c r="BO7" s="1">
        <v>3193641</v>
      </c>
      <c r="BP7">
        <v>-7.08</v>
      </c>
      <c r="BQ7">
        <v>10.9</v>
      </c>
      <c r="BR7">
        <v>0</v>
      </c>
    </row>
    <row r="8" spans="1:70" hidden="1" x14ac:dyDescent="0.3">
      <c r="A8" t="s">
        <v>75</v>
      </c>
      <c r="B8">
        <v>10011509</v>
      </c>
      <c r="C8" t="s">
        <v>76</v>
      </c>
      <c r="D8" t="s">
        <v>72</v>
      </c>
      <c r="E8">
        <v>25</v>
      </c>
      <c r="F8" s="1">
        <v>17975160</v>
      </c>
      <c r="G8">
        <v>0</v>
      </c>
      <c r="H8" s="1">
        <v>1740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1">
        <v>1740</v>
      </c>
      <c r="AG8">
        <v>0</v>
      </c>
      <c r="AH8" s="1">
        <v>6960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1">
        <v>6960</v>
      </c>
      <c r="AS8" s="1">
        <v>158200800</v>
      </c>
      <c r="AT8">
        <v>0</v>
      </c>
      <c r="AU8">
        <v>0</v>
      </c>
      <c r="AV8" s="1">
        <v>158200800</v>
      </c>
      <c r="AW8" s="1">
        <v>-158200800</v>
      </c>
      <c r="AX8">
        <v>0</v>
      </c>
      <c r="AY8" s="1">
        <v>45560160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s="1">
        <v>45560160</v>
      </c>
      <c r="BK8" s="1">
        <v>1076864497</v>
      </c>
      <c r="BL8" s="1">
        <v>949906555</v>
      </c>
      <c r="BM8" s="1">
        <v>126957942</v>
      </c>
      <c r="BN8">
        <v>1</v>
      </c>
      <c r="BO8" s="1">
        <v>1562144687</v>
      </c>
      <c r="BP8" t="s">
        <v>77</v>
      </c>
      <c r="BQ8" s="2">
        <v>6960</v>
      </c>
      <c r="BR8">
        <v>0</v>
      </c>
    </row>
    <row r="9" spans="1:70" hidden="1" x14ac:dyDescent="0.3">
      <c r="A9" t="s">
        <v>79</v>
      </c>
      <c r="B9">
        <v>10011510</v>
      </c>
      <c r="D9" t="s">
        <v>72</v>
      </c>
      <c r="F9" s="1">
        <v>3762000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4</v>
      </c>
      <c r="AS9" s="1">
        <v>90920</v>
      </c>
      <c r="AT9">
        <v>0</v>
      </c>
      <c r="AU9" s="1">
        <v>677820</v>
      </c>
      <c r="AV9" s="1">
        <v>768740</v>
      </c>
      <c r="AW9">
        <v>0</v>
      </c>
      <c r="AX9">
        <v>0</v>
      </c>
      <c r="AY9" s="1">
        <v>27876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 s="1">
        <v>27876</v>
      </c>
      <c r="BK9" s="1">
        <v>658879</v>
      </c>
      <c r="BL9" s="1">
        <v>581200</v>
      </c>
      <c r="BM9" s="1">
        <v>77679</v>
      </c>
      <c r="BN9">
        <v>1</v>
      </c>
      <c r="BO9" s="1">
        <v>1638031</v>
      </c>
      <c r="BP9">
        <v>-2.64</v>
      </c>
      <c r="BQ9">
        <v>11.1</v>
      </c>
      <c r="BR9">
        <v>0</v>
      </c>
    </row>
    <row r="10" spans="1:70" hidden="1" x14ac:dyDescent="0.3">
      <c r="A10" t="s">
        <v>80</v>
      </c>
      <c r="B10">
        <v>10011512</v>
      </c>
      <c r="C10" t="s">
        <v>81</v>
      </c>
      <c r="D10" t="s">
        <v>72</v>
      </c>
      <c r="E10">
        <v>151</v>
      </c>
      <c r="F10" s="1">
        <v>46749598</v>
      </c>
      <c r="G10">
        <v>0</v>
      </c>
      <c r="H10">
        <v>0</v>
      </c>
      <c r="I10">
        <v>0</v>
      </c>
      <c r="J10">
        <v>17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17</v>
      </c>
      <c r="AG10">
        <v>0</v>
      </c>
      <c r="AH10">
        <v>70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70</v>
      </c>
      <c r="AS10" s="1">
        <v>1591100</v>
      </c>
      <c r="AT10">
        <v>0</v>
      </c>
      <c r="AU10" s="1">
        <v>11255230</v>
      </c>
      <c r="AV10" s="1">
        <v>12846330</v>
      </c>
      <c r="AW10">
        <v>0</v>
      </c>
      <c r="AX10">
        <v>0</v>
      </c>
      <c r="AY10" s="1">
        <v>473892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s="1">
        <v>473892</v>
      </c>
      <c r="BK10" s="1">
        <v>11200946</v>
      </c>
      <c r="BL10" s="1">
        <v>9880402</v>
      </c>
      <c r="BM10" s="1">
        <v>1320544</v>
      </c>
      <c r="BN10">
        <v>31</v>
      </c>
      <c r="BO10" s="1">
        <v>-49306563</v>
      </c>
      <c r="BP10">
        <v>-999.99</v>
      </c>
      <c r="BQ10">
        <v>11.6</v>
      </c>
      <c r="BR10">
        <v>0</v>
      </c>
    </row>
    <row r="11" spans="1:70" hidden="1" x14ac:dyDescent="0.3">
      <c r="A11" t="s">
        <v>82</v>
      </c>
      <c r="B11">
        <v>10011513</v>
      </c>
      <c r="C11" t="s">
        <v>83</v>
      </c>
      <c r="D11" t="s">
        <v>72</v>
      </c>
      <c r="E11">
        <v>63</v>
      </c>
      <c r="F11" s="1">
        <v>19166742</v>
      </c>
      <c r="G11">
        <v>0</v>
      </c>
      <c r="H11">
        <v>0</v>
      </c>
      <c r="I11">
        <v>0</v>
      </c>
      <c r="J11">
        <v>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9</v>
      </c>
      <c r="AG11">
        <v>0</v>
      </c>
      <c r="AH11">
        <v>38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38</v>
      </c>
      <c r="AS11" s="1">
        <v>863740</v>
      </c>
      <c r="AT11">
        <v>0</v>
      </c>
      <c r="AU11" s="1">
        <v>4054828</v>
      </c>
      <c r="AV11" s="1">
        <v>4918568</v>
      </c>
      <c r="AW11">
        <v>0</v>
      </c>
      <c r="AX11">
        <v>0</v>
      </c>
      <c r="AY11" s="1">
        <v>250884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s="1">
        <v>250884</v>
      </c>
      <c r="BK11" s="1">
        <v>5929917</v>
      </c>
      <c r="BL11" s="1">
        <v>5230804</v>
      </c>
      <c r="BM11" s="1">
        <v>699113</v>
      </c>
      <c r="BN11">
        <v>31</v>
      </c>
      <c r="BO11" s="1">
        <v>-19050282</v>
      </c>
      <c r="BP11">
        <v>-999.99</v>
      </c>
      <c r="BQ11">
        <v>15.1</v>
      </c>
      <c r="BR11">
        <v>0</v>
      </c>
    </row>
    <row r="12" spans="1:70" hidden="1" x14ac:dyDescent="0.3">
      <c r="A12" t="s">
        <v>84</v>
      </c>
      <c r="B12">
        <v>10011514</v>
      </c>
      <c r="C12" t="s">
        <v>85</v>
      </c>
      <c r="D12" t="s">
        <v>72</v>
      </c>
      <c r="E12">
        <v>101</v>
      </c>
      <c r="F12" s="1">
        <v>33128946</v>
      </c>
      <c r="G12">
        <v>0</v>
      </c>
      <c r="H12">
        <v>0</v>
      </c>
      <c r="I12">
        <v>0</v>
      </c>
      <c r="J12">
        <v>19</v>
      </c>
      <c r="K12">
        <v>0</v>
      </c>
      <c r="L12">
        <v>0</v>
      </c>
      <c r="M12">
        <v>0</v>
      </c>
      <c r="N12">
        <v>0</v>
      </c>
      <c r="O12">
        <v>1</v>
      </c>
      <c r="P12" s="1">
        <v>23157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20</v>
      </c>
      <c r="AG12">
        <v>0</v>
      </c>
      <c r="AH12">
        <v>76</v>
      </c>
      <c r="AI12">
        <v>0</v>
      </c>
      <c r="AJ12">
        <v>16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92</v>
      </c>
      <c r="AS12" s="1">
        <v>2091160</v>
      </c>
      <c r="AT12">
        <v>0</v>
      </c>
      <c r="AU12" s="1">
        <v>3337024</v>
      </c>
      <c r="AV12" s="1">
        <v>5428184</v>
      </c>
      <c r="AW12">
        <v>0</v>
      </c>
      <c r="AX12">
        <v>0</v>
      </c>
      <c r="AY12" s="1">
        <v>529644</v>
      </c>
      <c r="AZ12">
        <v>0</v>
      </c>
      <c r="BA12" s="1">
        <v>277885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s="1">
        <v>807529</v>
      </c>
      <c r="BK12" s="1">
        <v>18850072</v>
      </c>
      <c r="BL12" s="1">
        <v>16347743</v>
      </c>
      <c r="BM12" s="1">
        <v>2502329</v>
      </c>
      <c r="BN12">
        <v>31</v>
      </c>
      <c r="BO12" s="1">
        <v>-20406854</v>
      </c>
      <c r="BP12">
        <v>-3.18</v>
      </c>
      <c r="BQ12">
        <v>22.8</v>
      </c>
      <c r="BR12">
        <v>0</v>
      </c>
    </row>
    <row r="13" spans="1:70" hidden="1" x14ac:dyDescent="0.3">
      <c r="A13" t="s">
        <v>86</v>
      </c>
      <c r="B13">
        <v>10011515</v>
      </c>
      <c r="C13" t="s">
        <v>87</v>
      </c>
      <c r="D13" t="s">
        <v>72</v>
      </c>
      <c r="E13">
        <v>98</v>
      </c>
      <c r="F13" s="1">
        <v>55847456</v>
      </c>
      <c r="G13">
        <v>0</v>
      </c>
      <c r="H13">
        <v>0</v>
      </c>
      <c r="I13">
        <v>0</v>
      </c>
      <c r="J13">
        <v>11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11</v>
      </c>
      <c r="AG13">
        <v>0</v>
      </c>
      <c r="AH13">
        <v>44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44</v>
      </c>
      <c r="AS13" s="1">
        <v>1000120</v>
      </c>
      <c r="AT13">
        <v>0</v>
      </c>
      <c r="AU13" s="1">
        <v>7344920</v>
      </c>
      <c r="AV13" s="1">
        <v>8345040</v>
      </c>
      <c r="AW13">
        <v>0</v>
      </c>
      <c r="AX13">
        <v>0</v>
      </c>
      <c r="AY13" s="1">
        <v>306636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 s="1">
        <v>306636</v>
      </c>
      <c r="BK13" s="1">
        <v>7247674</v>
      </c>
      <c r="BL13" s="1">
        <v>6393203</v>
      </c>
      <c r="BM13" s="1">
        <v>854471</v>
      </c>
      <c r="BN13">
        <v>31</v>
      </c>
      <c r="BO13" s="1">
        <v>-54994132</v>
      </c>
      <c r="BP13">
        <v>-999.99</v>
      </c>
      <c r="BQ13">
        <v>11.2</v>
      </c>
      <c r="BR13">
        <v>0</v>
      </c>
    </row>
    <row r="14" spans="1:70" hidden="1" x14ac:dyDescent="0.3">
      <c r="A14" t="s">
        <v>88</v>
      </c>
      <c r="B14">
        <v>10011516</v>
      </c>
      <c r="C14" t="s">
        <v>89</v>
      </c>
      <c r="D14" t="s">
        <v>72</v>
      </c>
      <c r="E14">
        <v>34</v>
      </c>
      <c r="F14" s="1">
        <v>23111906</v>
      </c>
      <c r="G14">
        <v>0</v>
      </c>
      <c r="H14">
        <v>0</v>
      </c>
      <c r="I14">
        <v>0</v>
      </c>
      <c r="J14">
        <v>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6</v>
      </c>
      <c r="AG14">
        <v>0</v>
      </c>
      <c r="AH14">
        <v>24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24</v>
      </c>
      <c r="AS14" s="1">
        <v>545520</v>
      </c>
      <c r="AT14">
        <v>0</v>
      </c>
      <c r="AU14" s="1">
        <v>4622496</v>
      </c>
      <c r="AV14" s="1">
        <v>5168016</v>
      </c>
      <c r="AW14">
        <v>0</v>
      </c>
      <c r="AX14">
        <v>0</v>
      </c>
      <c r="AY14" s="1">
        <v>167256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s="1">
        <v>167256</v>
      </c>
      <c r="BK14" s="1">
        <v>3953275</v>
      </c>
      <c r="BL14" s="1">
        <v>3487201</v>
      </c>
      <c r="BM14" s="1">
        <v>466074</v>
      </c>
      <c r="BN14">
        <v>31</v>
      </c>
      <c r="BO14" s="1">
        <v>-8861747</v>
      </c>
      <c r="BP14">
        <v>-999.99</v>
      </c>
      <c r="BQ14">
        <v>10.199999999999999</v>
      </c>
      <c r="BR14">
        <v>0</v>
      </c>
    </row>
    <row r="15" spans="1:70" hidden="1" x14ac:dyDescent="0.3">
      <c r="A15" t="s">
        <v>90</v>
      </c>
      <c r="B15">
        <v>10011518</v>
      </c>
      <c r="C15" t="s">
        <v>91</v>
      </c>
      <c r="D15" t="s">
        <v>72</v>
      </c>
      <c r="E15">
        <v>179</v>
      </c>
      <c r="F15" s="1">
        <v>51423718</v>
      </c>
      <c r="G15">
        <v>0</v>
      </c>
      <c r="H15">
        <v>0</v>
      </c>
      <c r="I15">
        <v>0</v>
      </c>
      <c r="J15">
        <v>28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28</v>
      </c>
      <c r="AG15">
        <v>0</v>
      </c>
      <c r="AH15">
        <v>112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112</v>
      </c>
      <c r="AS15" s="1">
        <v>2545760</v>
      </c>
      <c r="AT15">
        <v>0</v>
      </c>
      <c r="AU15" s="1">
        <v>10867584</v>
      </c>
      <c r="AV15" s="1">
        <v>13413344</v>
      </c>
      <c r="AW15">
        <v>0</v>
      </c>
      <c r="AX15">
        <v>0</v>
      </c>
      <c r="AY15" s="1">
        <v>780528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s="1">
        <v>780528</v>
      </c>
      <c r="BK15" s="1">
        <v>18448625</v>
      </c>
      <c r="BL15" s="1">
        <v>16273610</v>
      </c>
      <c r="BM15" s="1">
        <v>2175015</v>
      </c>
      <c r="BN15">
        <v>31</v>
      </c>
      <c r="BO15" s="1">
        <v>-49844753</v>
      </c>
      <c r="BP15">
        <v>-999.99</v>
      </c>
      <c r="BQ15">
        <v>15.6</v>
      </c>
      <c r="BR15">
        <v>0</v>
      </c>
    </row>
    <row r="16" spans="1:70" hidden="1" x14ac:dyDescent="0.3">
      <c r="A16" t="s">
        <v>92</v>
      </c>
      <c r="B16">
        <v>10011519</v>
      </c>
      <c r="C16" t="s">
        <v>93</v>
      </c>
      <c r="D16" t="s">
        <v>72</v>
      </c>
      <c r="E16">
        <v>64</v>
      </c>
      <c r="F16" s="1">
        <v>19470976</v>
      </c>
      <c r="G16">
        <v>0</v>
      </c>
      <c r="H16">
        <v>0</v>
      </c>
      <c r="I16">
        <v>0</v>
      </c>
      <c r="J16">
        <v>21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21</v>
      </c>
      <c r="AG16">
        <v>0</v>
      </c>
      <c r="AH16">
        <v>84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84</v>
      </c>
      <c r="AS16" s="1">
        <v>1909320</v>
      </c>
      <c r="AT16">
        <v>0</v>
      </c>
      <c r="AU16" s="1">
        <v>344820</v>
      </c>
      <c r="AV16" s="1">
        <v>2254140</v>
      </c>
      <c r="AW16">
        <v>0</v>
      </c>
      <c r="AX16">
        <v>0</v>
      </c>
      <c r="AY16" s="1">
        <v>585396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s="1">
        <v>585396</v>
      </c>
      <c r="BK16" s="1">
        <v>13836474</v>
      </c>
      <c r="BL16" s="1">
        <v>12205211</v>
      </c>
      <c r="BM16" s="1">
        <v>1631263</v>
      </c>
      <c r="BN16">
        <v>31</v>
      </c>
      <c r="BO16" s="1">
        <v>-11787734</v>
      </c>
      <c r="BP16">
        <v>-2.1800000000000002</v>
      </c>
      <c r="BQ16">
        <v>32.799999999999997</v>
      </c>
      <c r="BR16">
        <v>0</v>
      </c>
    </row>
    <row r="17" spans="1:70" hidden="1" x14ac:dyDescent="0.3">
      <c r="A17" t="s">
        <v>94</v>
      </c>
      <c r="B17">
        <v>10011521</v>
      </c>
      <c r="C17" t="s">
        <v>95</v>
      </c>
      <c r="D17" t="s">
        <v>72</v>
      </c>
      <c r="E17">
        <v>38</v>
      </c>
      <c r="F17" s="1">
        <v>14412450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</v>
      </c>
      <c r="AG17">
        <v>0</v>
      </c>
      <c r="AH17">
        <v>14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14</v>
      </c>
      <c r="AS17" s="1">
        <v>318220</v>
      </c>
      <c r="AT17">
        <v>0</v>
      </c>
      <c r="AU17" s="1">
        <v>3210270</v>
      </c>
      <c r="AV17" s="1">
        <v>3528490</v>
      </c>
      <c r="AW17">
        <v>0</v>
      </c>
      <c r="AX17">
        <v>0</v>
      </c>
      <c r="AY17" s="1">
        <v>83628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 s="1">
        <v>83628</v>
      </c>
      <c r="BK17" s="1">
        <v>1976638</v>
      </c>
      <c r="BL17" s="1">
        <v>1743601</v>
      </c>
      <c r="BM17" s="1">
        <v>233037</v>
      </c>
      <c r="BN17">
        <v>31</v>
      </c>
      <c r="BO17" s="1">
        <v>-15608356</v>
      </c>
      <c r="BP17">
        <v>-999.99</v>
      </c>
      <c r="BQ17">
        <v>9.1999999999999993</v>
      </c>
      <c r="BR17">
        <v>0</v>
      </c>
    </row>
    <row r="18" spans="1:70" hidden="1" x14ac:dyDescent="0.3">
      <c r="A18" t="s">
        <v>96</v>
      </c>
      <c r="B18">
        <v>10011522</v>
      </c>
      <c r="C18" t="s">
        <v>97</v>
      </c>
      <c r="D18" t="s">
        <v>72</v>
      </c>
      <c r="E18">
        <v>150</v>
      </c>
      <c r="F18" s="1">
        <v>41167800</v>
      </c>
      <c r="G18">
        <v>0</v>
      </c>
      <c r="H18">
        <v>0</v>
      </c>
      <c r="I18">
        <v>0</v>
      </c>
      <c r="J18">
        <v>11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11</v>
      </c>
      <c r="AG18">
        <v>0</v>
      </c>
      <c r="AH18">
        <v>48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48</v>
      </c>
      <c r="AS18" s="1">
        <v>1091040</v>
      </c>
      <c r="AT18">
        <v>0</v>
      </c>
      <c r="AU18" s="1">
        <v>13031952</v>
      </c>
      <c r="AV18" s="1">
        <v>14122992</v>
      </c>
      <c r="AW18">
        <v>0</v>
      </c>
      <c r="AX18">
        <v>0</v>
      </c>
      <c r="AY18" s="1">
        <v>306636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 s="1">
        <v>306636</v>
      </c>
      <c r="BK18" s="1">
        <v>7247673</v>
      </c>
      <c r="BL18" s="1">
        <v>6393204</v>
      </c>
      <c r="BM18" s="1">
        <v>854469</v>
      </c>
      <c r="BN18">
        <v>31</v>
      </c>
      <c r="BO18" s="1">
        <v>-47987792</v>
      </c>
      <c r="BP18">
        <v>-999.99</v>
      </c>
      <c r="BQ18">
        <v>8</v>
      </c>
      <c r="BR18">
        <v>0</v>
      </c>
    </row>
    <row r="19" spans="1:70" hidden="1" x14ac:dyDescent="0.3">
      <c r="A19" t="s">
        <v>98</v>
      </c>
      <c r="B19">
        <v>10011526</v>
      </c>
      <c r="C19" t="s">
        <v>99</v>
      </c>
      <c r="D19" t="s">
        <v>72</v>
      </c>
      <c r="E19">
        <v>90</v>
      </c>
      <c r="F19" s="1">
        <v>27381060</v>
      </c>
      <c r="G19">
        <v>0</v>
      </c>
      <c r="H19">
        <v>0</v>
      </c>
      <c r="I19">
        <v>0</v>
      </c>
      <c r="J19">
        <v>16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16</v>
      </c>
      <c r="AG19">
        <v>0</v>
      </c>
      <c r="AH19">
        <v>64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64</v>
      </c>
      <c r="AS19" s="1">
        <v>1454720</v>
      </c>
      <c r="AT19">
        <v>0</v>
      </c>
      <c r="AU19" s="1">
        <v>4844864</v>
      </c>
      <c r="AV19" s="1">
        <v>6299584</v>
      </c>
      <c r="AW19">
        <v>0</v>
      </c>
      <c r="AX19">
        <v>0</v>
      </c>
      <c r="AY19" s="1">
        <v>446016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s="1">
        <v>446016</v>
      </c>
      <c r="BK19" s="1">
        <v>10542070</v>
      </c>
      <c r="BL19" s="1">
        <v>9299206</v>
      </c>
      <c r="BM19" s="1">
        <v>1242864</v>
      </c>
      <c r="BN19">
        <v>31</v>
      </c>
      <c r="BO19" s="1">
        <v>-30721709</v>
      </c>
      <c r="BP19">
        <v>-999.99</v>
      </c>
      <c r="BQ19">
        <v>17.8</v>
      </c>
      <c r="BR19">
        <v>0</v>
      </c>
    </row>
    <row r="20" spans="1:70" hidden="1" x14ac:dyDescent="0.3">
      <c r="A20" t="s">
        <v>100</v>
      </c>
      <c r="B20">
        <v>10011527</v>
      </c>
      <c r="C20" t="s">
        <v>101</v>
      </c>
      <c r="D20" t="s">
        <v>72</v>
      </c>
      <c r="E20">
        <v>54</v>
      </c>
      <c r="F20" s="1">
        <v>25206636</v>
      </c>
      <c r="G20">
        <v>0</v>
      </c>
      <c r="H20">
        <v>0</v>
      </c>
      <c r="I20">
        <v>0</v>
      </c>
      <c r="J20">
        <v>18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18</v>
      </c>
      <c r="AG20">
        <v>0</v>
      </c>
      <c r="AH20">
        <v>72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72</v>
      </c>
      <c r="AS20" s="1">
        <v>1636560</v>
      </c>
      <c r="AT20">
        <v>0</v>
      </c>
      <c r="AU20" s="1">
        <v>2533752</v>
      </c>
      <c r="AV20" s="1">
        <v>4170312</v>
      </c>
      <c r="AW20">
        <v>0</v>
      </c>
      <c r="AX20">
        <v>0</v>
      </c>
      <c r="AY20" s="1">
        <v>501768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 s="1">
        <v>501768</v>
      </c>
      <c r="BK20" s="1">
        <v>11859830</v>
      </c>
      <c r="BL20" s="1">
        <v>10461607</v>
      </c>
      <c r="BM20" s="1">
        <v>1398223</v>
      </c>
      <c r="BN20">
        <v>31</v>
      </c>
      <c r="BO20" s="1">
        <v>-7433057</v>
      </c>
      <c r="BP20">
        <v>-3.91</v>
      </c>
      <c r="BQ20">
        <v>24</v>
      </c>
      <c r="BR20">
        <v>0</v>
      </c>
    </row>
    <row r="21" spans="1:70" hidden="1" x14ac:dyDescent="0.3">
      <c r="A21" t="s">
        <v>102</v>
      </c>
      <c r="B21">
        <v>10011529</v>
      </c>
      <c r="C21" t="s">
        <v>103</v>
      </c>
      <c r="D21" t="s">
        <v>72</v>
      </c>
      <c r="E21">
        <v>470</v>
      </c>
      <c r="F21" s="1">
        <v>175301070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 s="1">
        <v>43621788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1">
        <v>1567</v>
      </c>
      <c r="AP21">
        <v>0</v>
      </c>
      <c r="AQ21">
        <v>0</v>
      </c>
      <c r="AR21" s="1">
        <v>1567</v>
      </c>
      <c r="AS21" s="1">
        <v>35617910</v>
      </c>
      <c r="AT21">
        <v>0</v>
      </c>
      <c r="AU21">
        <v>0</v>
      </c>
      <c r="AV21" s="1">
        <v>35617910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 s="1">
        <v>523461466</v>
      </c>
      <c r="BH21">
        <v>0</v>
      </c>
      <c r="BI21">
        <v>0</v>
      </c>
      <c r="BJ21" s="1">
        <v>523461466</v>
      </c>
      <c r="BK21" s="1">
        <v>8240173359</v>
      </c>
      <c r="BL21" s="1">
        <v>7761467848</v>
      </c>
      <c r="BM21" s="1">
        <v>478705511</v>
      </c>
      <c r="BN21">
        <v>1</v>
      </c>
      <c r="BO21" s="1">
        <v>4827472241</v>
      </c>
      <c r="BP21">
        <v>262.5</v>
      </c>
      <c r="BQ21">
        <v>83.4</v>
      </c>
      <c r="BR21">
        <v>0</v>
      </c>
    </row>
    <row r="22" spans="1:70" hidden="1" x14ac:dyDescent="0.3">
      <c r="A22" t="s">
        <v>104</v>
      </c>
      <c r="B22">
        <v>10011530</v>
      </c>
      <c r="C22" t="s">
        <v>105</v>
      </c>
      <c r="D22" t="s">
        <v>72</v>
      </c>
      <c r="E22">
        <v>35</v>
      </c>
      <c r="F22" s="1">
        <v>15809005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 s="1">
        <v>132941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78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78</v>
      </c>
      <c r="AS22" s="1">
        <v>1772940</v>
      </c>
      <c r="AT22">
        <v>0</v>
      </c>
      <c r="AU22">
        <v>0</v>
      </c>
      <c r="AV22" s="1">
        <v>1772940</v>
      </c>
      <c r="AW22">
        <v>0</v>
      </c>
      <c r="AX22">
        <v>0</v>
      </c>
      <c r="AY22">
        <v>0</v>
      </c>
      <c r="AZ22">
        <v>0</v>
      </c>
      <c r="BA22" s="1">
        <v>1595293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 s="1">
        <v>1595293</v>
      </c>
      <c r="BK22" s="1">
        <v>43889490</v>
      </c>
      <c r="BL22" s="1">
        <v>36774238</v>
      </c>
      <c r="BM22" s="1">
        <v>7115252</v>
      </c>
      <c r="BN22">
        <v>4</v>
      </c>
      <c r="BO22" s="1">
        <v>54579410</v>
      </c>
      <c r="BP22">
        <v>36.08</v>
      </c>
      <c r="BQ22">
        <v>55.7</v>
      </c>
      <c r="BR22">
        <v>0</v>
      </c>
    </row>
    <row r="23" spans="1:70" hidden="1" x14ac:dyDescent="0.3">
      <c r="A23" t="s">
        <v>106</v>
      </c>
      <c r="B23">
        <v>10011531</v>
      </c>
      <c r="C23" t="s">
        <v>107</v>
      </c>
      <c r="D23" t="s">
        <v>72</v>
      </c>
      <c r="E23">
        <v>50</v>
      </c>
      <c r="F23" s="1">
        <v>43611000</v>
      </c>
      <c r="G23">
        <v>0</v>
      </c>
      <c r="H23">
        <v>0</v>
      </c>
      <c r="I23">
        <v>0</v>
      </c>
      <c r="J23">
        <v>10</v>
      </c>
      <c r="K23">
        <v>0</v>
      </c>
      <c r="L23">
        <v>0</v>
      </c>
      <c r="M23">
        <v>0</v>
      </c>
      <c r="N23">
        <v>0</v>
      </c>
      <c r="O23">
        <v>1</v>
      </c>
      <c r="P23" s="1">
        <v>16306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11</v>
      </c>
      <c r="AG23">
        <v>0</v>
      </c>
      <c r="AH23">
        <v>40</v>
      </c>
      <c r="AI23">
        <v>0</v>
      </c>
      <c r="AJ23">
        <v>10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50</v>
      </c>
      <c r="AS23" s="1">
        <v>1136500</v>
      </c>
      <c r="AT23">
        <v>0</v>
      </c>
      <c r="AU23" s="1">
        <v>1231400</v>
      </c>
      <c r="AV23" s="1">
        <v>2367900</v>
      </c>
      <c r="AW23">
        <v>0</v>
      </c>
      <c r="AX23">
        <v>0</v>
      </c>
      <c r="AY23" s="1">
        <v>278760</v>
      </c>
      <c r="AZ23">
        <v>0</v>
      </c>
      <c r="BA23" s="1">
        <v>195681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 s="1">
        <v>474441</v>
      </c>
      <c r="BK23" s="1">
        <v>11047211</v>
      </c>
      <c r="BL23" s="1">
        <v>9547632</v>
      </c>
      <c r="BM23" s="1">
        <v>1499579</v>
      </c>
      <c r="BN23">
        <v>31</v>
      </c>
      <c r="BO23" s="1">
        <v>-32177653</v>
      </c>
      <c r="BP23">
        <v>-4.13</v>
      </c>
      <c r="BQ23">
        <v>25</v>
      </c>
      <c r="BR23">
        <v>0</v>
      </c>
    </row>
    <row r="24" spans="1:70" hidden="1" x14ac:dyDescent="0.3">
      <c r="A24" t="s">
        <v>108</v>
      </c>
      <c r="B24">
        <v>10011532</v>
      </c>
      <c r="D24" t="s">
        <v>72</v>
      </c>
      <c r="F24" s="1">
        <v>22990000</v>
      </c>
      <c r="G24">
        <v>0</v>
      </c>
      <c r="H24">
        <v>0</v>
      </c>
      <c r="I24">
        <v>0</v>
      </c>
      <c r="J24">
        <v>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6</v>
      </c>
      <c r="AG24">
        <v>0</v>
      </c>
      <c r="AH24">
        <v>24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24</v>
      </c>
      <c r="AS24" s="1">
        <v>545520</v>
      </c>
      <c r="AT24">
        <v>0</v>
      </c>
      <c r="AU24" s="1">
        <v>4178040</v>
      </c>
      <c r="AV24" s="1">
        <v>4723560</v>
      </c>
      <c r="AW24">
        <v>0</v>
      </c>
      <c r="AX24">
        <v>0</v>
      </c>
      <c r="AY24" s="1">
        <v>167256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 s="1">
        <v>167256</v>
      </c>
      <c r="BK24" s="1">
        <v>3953274</v>
      </c>
      <c r="BL24" s="1">
        <v>3487200</v>
      </c>
      <c r="BM24" s="1">
        <v>466074</v>
      </c>
      <c r="BN24">
        <v>1</v>
      </c>
      <c r="BO24" s="1">
        <v>9939348</v>
      </c>
      <c r="BP24">
        <v>-2.73</v>
      </c>
      <c r="BQ24">
        <v>10.9</v>
      </c>
      <c r="BR24">
        <v>0</v>
      </c>
    </row>
    <row r="25" spans="1:70" hidden="1" x14ac:dyDescent="0.3">
      <c r="A25" t="s">
        <v>109</v>
      </c>
      <c r="B25">
        <v>10011534</v>
      </c>
      <c r="D25" t="s">
        <v>72</v>
      </c>
      <c r="F25" s="1">
        <v>11286000</v>
      </c>
      <c r="G25">
        <v>0</v>
      </c>
      <c r="H25">
        <v>0</v>
      </c>
      <c r="I25">
        <v>0</v>
      </c>
      <c r="J25">
        <v>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5</v>
      </c>
      <c r="AG25">
        <v>0</v>
      </c>
      <c r="AH25">
        <v>20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20</v>
      </c>
      <c r="AS25" s="1">
        <v>454600</v>
      </c>
      <c r="AT25">
        <v>0</v>
      </c>
      <c r="AU25" s="1">
        <v>1389020</v>
      </c>
      <c r="AV25" s="1">
        <v>1843620</v>
      </c>
      <c r="AW25">
        <v>0</v>
      </c>
      <c r="AX25">
        <v>0</v>
      </c>
      <c r="AY25" s="1">
        <v>139380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 s="1">
        <v>139380</v>
      </c>
      <c r="BK25" s="1">
        <v>3294398</v>
      </c>
      <c r="BL25" s="1">
        <v>2906002</v>
      </c>
      <c r="BM25" s="1">
        <v>388396</v>
      </c>
      <c r="BN25">
        <v>1</v>
      </c>
      <c r="BO25" s="1">
        <v>6190117</v>
      </c>
      <c r="BP25">
        <v>0.12</v>
      </c>
      <c r="BQ25">
        <v>18.5</v>
      </c>
      <c r="BR25">
        <v>0</v>
      </c>
    </row>
    <row r="26" spans="1:70" hidden="1" x14ac:dyDescent="0.3">
      <c r="A26" t="s">
        <v>110</v>
      </c>
      <c r="B26">
        <v>10011535</v>
      </c>
      <c r="C26" t="s">
        <v>111</v>
      </c>
      <c r="D26" t="s">
        <v>72</v>
      </c>
      <c r="E26">
        <v>1</v>
      </c>
      <c r="F26" s="1">
        <v>1112388</v>
      </c>
      <c r="G26">
        <v>0</v>
      </c>
      <c r="H26" s="1">
        <v>1098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s="1">
        <v>1098</v>
      </c>
      <c r="AG26">
        <v>0</v>
      </c>
      <c r="AH26" s="1">
        <v>4898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1">
        <v>4898</v>
      </c>
      <c r="AS26" s="1">
        <v>111331540</v>
      </c>
      <c r="AT26">
        <v>0</v>
      </c>
      <c r="AU26">
        <v>0</v>
      </c>
      <c r="AV26" s="1">
        <v>111331540</v>
      </c>
      <c r="AW26">
        <v>0</v>
      </c>
      <c r="AX26">
        <v>0</v>
      </c>
      <c r="AY26" s="1">
        <v>28750032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 s="1">
        <v>28750032</v>
      </c>
      <c r="BK26" s="1">
        <v>679538631</v>
      </c>
      <c r="BL26" s="1">
        <v>599423792</v>
      </c>
      <c r="BM26" s="1">
        <v>80114839</v>
      </c>
      <c r="BN26">
        <v>1</v>
      </c>
      <c r="BO26" s="1">
        <v>1009890575</v>
      </c>
      <c r="BP26" t="s">
        <v>77</v>
      </c>
      <c r="BQ26" s="2">
        <v>122450</v>
      </c>
      <c r="BR26">
        <v>0</v>
      </c>
    </row>
    <row r="27" spans="1:70" hidden="1" x14ac:dyDescent="0.3">
      <c r="A27" t="s">
        <v>112</v>
      </c>
      <c r="B27">
        <v>10011536</v>
      </c>
      <c r="C27" t="s">
        <v>113</v>
      </c>
      <c r="D27" t="s">
        <v>72</v>
      </c>
      <c r="E27">
        <v>33</v>
      </c>
      <c r="F27" s="1">
        <v>20040075</v>
      </c>
      <c r="G27">
        <v>0</v>
      </c>
      <c r="H27">
        <v>0</v>
      </c>
      <c r="I27">
        <v>0</v>
      </c>
      <c r="J27">
        <v>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8</v>
      </c>
      <c r="AG27">
        <v>0</v>
      </c>
      <c r="AH27">
        <v>32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32</v>
      </c>
      <c r="AS27" s="1">
        <v>727360</v>
      </c>
      <c r="AT27">
        <v>0</v>
      </c>
      <c r="AU27" s="1">
        <v>3089152</v>
      </c>
      <c r="AV27" s="1">
        <v>3816512</v>
      </c>
      <c r="AW27">
        <v>0</v>
      </c>
      <c r="AX27">
        <v>0</v>
      </c>
      <c r="AY27" s="1">
        <v>223008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s="1">
        <v>223008</v>
      </c>
      <c r="BK27" s="1">
        <v>5271034</v>
      </c>
      <c r="BL27" s="1">
        <v>4649602</v>
      </c>
      <c r="BM27" s="1">
        <v>621432</v>
      </c>
      <c r="BN27">
        <v>31</v>
      </c>
      <c r="BO27" s="1">
        <v>-8112686</v>
      </c>
      <c r="BP27">
        <v>-11.97</v>
      </c>
      <c r="BQ27">
        <v>15.7</v>
      </c>
      <c r="BR27">
        <v>0</v>
      </c>
    </row>
    <row r="28" spans="1:70" hidden="1" x14ac:dyDescent="0.3">
      <c r="A28" t="s">
        <v>114</v>
      </c>
      <c r="B28">
        <v>10011537</v>
      </c>
      <c r="C28" t="s">
        <v>115</v>
      </c>
      <c r="D28" t="s">
        <v>72</v>
      </c>
      <c r="E28">
        <v>120</v>
      </c>
      <c r="F28" s="1">
        <v>52553310</v>
      </c>
      <c r="G28">
        <v>0</v>
      </c>
      <c r="H28">
        <v>0</v>
      </c>
      <c r="I28">
        <v>0</v>
      </c>
      <c r="J28">
        <v>25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25</v>
      </c>
      <c r="AG28">
        <v>0</v>
      </c>
      <c r="AH28">
        <v>100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100</v>
      </c>
      <c r="AS28" s="1">
        <v>2273000</v>
      </c>
      <c r="AT28">
        <v>0</v>
      </c>
      <c r="AU28" s="1">
        <v>8945200</v>
      </c>
      <c r="AV28" s="1">
        <v>11218200</v>
      </c>
      <c r="AW28">
        <v>0</v>
      </c>
      <c r="AX28">
        <v>0</v>
      </c>
      <c r="AY28" s="1">
        <v>696900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 s="1">
        <v>696900</v>
      </c>
      <c r="BK28" s="1">
        <v>16471981</v>
      </c>
      <c r="BL28" s="1">
        <v>14530004</v>
      </c>
      <c r="BM28" s="1">
        <v>1941977</v>
      </c>
      <c r="BN28">
        <v>31</v>
      </c>
      <c r="BO28" s="1">
        <v>-29634142</v>
      </c>
      <c r="BP28">
        <v>-999.99</v>
      </c>
      <c r="BQ28">
        <v>16.3</v>
      </c>
      <c r="BR28">
        <v>0</v>
      </c>
    </row>
    <row r="29" spans="1:70" hidden="1" x14ac:dyDescent="0.3">
      <c r="A29" t="s">
        <v>116</v>
      </c>
      <c r="B29">
        <v>10011538</v>
      </c>
      <c r="C29" t="s">
        <v>117</v>
      </c>
      <c r="D29" t="s">
        <v>72</v>
      </c>
      <c r="E29">
        <v>4</v>
      </c>
      <c r="F29" s="1">
        <v>4449552</v>
      </c>
      <c r="G29">
        <v>0</v>
      </c>
      <c r="H29" s="1">
        <v>1336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s="1">
        <v>1336</v>
      </c>
      <c r="AG29">
        <v>0</v>
      </c>
      <c r="AH29" s="1">
        <v>5344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1">
        <v>5344</v>
      </c>
      <c r="AS29" s="1">
        <v>121469120</v>
      </c>
      <c r="AT29">
        <v>0</v>
      </c>
      <c r="AU29">
        <v>0</v>
      </c>
      <c r="AV29" s="1">
        <v>121469120</v>
      </c>
      <c r="AW29" s="1">
        <v>-121469120</v>
      </c>
      <c r="AX29">
        <v>0</v>
      </c>
      <c r="AY29" s="1">
        <v>34981824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 s="1">
        <v>34981824</v>
      </c>
      <c r="BK29" s="1">
        <v>826833890</v>
      </c>
      <c r="BL29" s="1">
        <v>729353539</v>
      </c>
      <c r="BM29" s="1">
        <v>97480351</v>
      </c>
      <c r="BN29">
        <v>1</v>
      </c>
      <c r="BO29" s="1">
        <v>1211367400</v>
      </c>
      <c r="BP29" t="s">
        <v>77</v>
      </c>
      <c r="BQ29" s="2">
        <v>33400</v>
      </c>
      <c r="BR29">
        <v>0</v>
      </c>
    </row>
    <row r="30" spans="1:70" hidden="1" x14ac:dyDescent="0.3">
      <c r="A30" t="s">
        <v>118</v>
      </c>
      <c r="B30">
        <v>10011539</v>
      </c>
      <c r="C30" t="s">
        <v>119</v>
      </c>
      <c r="D30" t="s">
        <v>72</v>
      </c>
      <c r="E30">
        <v>7</v>
      </c>
      <c r="F30" s="1">
        <v>4662798</v>
      </c>
      <c r="G30">
        <v>0</v>
      </c>
      <c r="H30">
        <v>168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168</v>
      </c>
      <c r="AG30">
        <v>0</v>
      </c>
      <c r="AH30">
        <v>672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672</v>
      </c>
      <c r="AS30" s="1">
        <v>15274560</v>
      </c>
      <c r="AT30">
        <v>0</v>
      </c>
      <c r="AU30">
        <v>0</v>
      </c>
      <c r="AV30" s="1">
        <v>15274560</v>
      </c>
      <c r="AW30" s="1">
        <v>-15274560</v>
      </c>
      <c r="AX30">
        <v>0</v>
      </c>
      <c r="AY30" s="1">
        <v>4398912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 s="1">
        <v>4398912</v>
      </c>
      <c r="BK30" s="1">
        <v>103973123</v>
      </c>
      <c r="BL30" s="1">
        <v>91715115</v>
      </c>
      <c r="BM30" s="1">
        <v>12258008</v>
      </c>
      <c r="BN30">
        <v>1</v>
      </c>
      <c r="BO30" s="1">
        <v>147133556</v>
      </c>
      <c r="BP30" t="s">
        <v>77</v>
      </c>
      <c r="BQ30" s="2">
        <v>2400</v>
      </c>
      <c r="BR30">
        <v>0</v>
      </c>
    </row>
    <row r="31" spans="1:70" hidden="1" x14ac:dyDescent="0.3">
      <c r="A31" t="s">
        <v>120</v>
      </c>
      <c r="B31">
        <v>10011540</v>
      </c>
      <c r="C31" t="s">
        <v>121</v>
      </c>
      <c r="D31" t="s">
        <v>72</v>
      </c>
      <c r="E31">
        <v>7</v>
      </c>
      <c r="F31" s="1">
        <v>19000000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 s="1">
        <v>461052</v>
      </c>
      <c r="S31">
        <v>0</v>
      </c>
      <c r="T31">
        <v>0</v>
      </c>
      <c r="U31">
        <v>1</v>
      </c>
      <c r="V31" s="1">
        <v>17765</v>
      </c>
      <c r="W31" s="1">
        <v>22206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</v>
      </c>
      <c r="AG31">
        <v>0</v>
      </c>
      <c r="AH31">
        <v>0</v>
      </c>
      <c r="AI31">
        <v>0</v>
      </c>
      <c r="AJ31">
        <v>0</v>
      </c>
      <c r="AK31">
        <v>198</v>
      </c>
      <c r="AL31">
        <v>0</v>
      </c>
      <c r="AM31">
        <v>40</v>
      </c>
      <c r="AN31">
        <v>0</v>
      </c>
      <c r="AO31">
        <v>0</v>
      </c>
      <c r="AP31">
        <v>0</v>
      </c>
      <c r="AQ31">
        <v>0</v>
      </c>
      <c r="AR31">
        <v>238</v>
      </c>
      <c r="AS31" s="1">
        <v>5409740</v>
      </c>
      <c r="AT31">
        <v>0</v>
      </c>
      <c r="AU31">
        <v>0</v>
      </c>
      <c r="AV31" s="1">
        <v>5409740</v>
      </c>
      <c r="AW31">
        <v>0</v>
      </c>
      <c r="AX31">
        <v>0</v>
      </c>
      <c r="AY31">
        <v>0</v>
      </c>
      <c r="AZ31">
        <v>0</v>
      </c>
      <c r="BA31">
        <v>0</v>
      </c>
      <c r="BB31" s="1">
        <v>5532629</v>
      </c>
      <c r="BC31">
        <v>0</v>
      </c>
      <c r="BD31" s="1">
        <v>213181</v>
      </c>
      <c r="BE31" s="1">
        <v>266477</v>
      </c>
      <c r="BF31">
        <v>0</v>
      </c>
      <c r="BG31">
        <v>0</v>
      </c>
      <c r="BH31">
        <v>0</v>
      </c>
      <c r="BI31">
        <v>0</v>
      </c>
      <c r="BJ31" s="1">
        <v>6012287</v>
      </c>
      <c r="BK31" s="1">
        <v>134255717</v>
      </c>
      <c r="BL31" s="1">
        <v>112408836</v>
      </c>
      <c r="BM31" s="1">
        <v>21846881</v>
      </c>
      <c r="BN31">
        <v>1</v>
      </c>
      <c r="BO31" s="1">
        <v>217329318</v>
      </c>
      <c r="BP31">
        <v>125.43</v>
      </c>
      <c r="BQ31">
        <v>850</v>
      </c>
      <c r="BR31">
        <v>0</v>
      </c>
    </row>
    <row r="32" spans="1:70" hidden="1" x14ac:dyDescent="0.3">
      <c r="A32" t="s">
        <v>122</v>
      </c>
      <c r="B32">
        <v>10011541</v>
      </c>
      <c r="D32" t="s">
        <v>72</v>
      </c>
      <c r="F32" s="1">
        <v>4598000</v>
      </c>
      <c r="G32">
        <v>0</v>
      </c>
      <c r="H32">
        <v>0</v>
      </c>
      <c r="I32">
        <v>0</v>
      </c>
      <c r="J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4</v>
      </c>
      <c r="AG32">
        <v>0</v>
      </c>
      <c r="AH32">
        <v>16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16</v>
      </c>
      <c r="AS32" s="1">
        <v>363680</v>
      </c>
      <c r="AT32">
        <v>0</v>
      </c>
      <c r="AU32">
        <v>0</v>
      </c>
      <c r="AV32" s="1">
        <v>363680</v>
      </c>
      <c r="AW32">
        <v>0</v>
      </c>
      <c r="AX32">
        <v>0</v>
      </c>
      <c r="AY32" s="1">
        <v>111504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 s="1">
        <v>111504</v>
      </c>
      <c r="BK32" s="1">
        <v>2635519</v>
      </c>
      <c r="BL32" s="1">
        <v>2324802</v>
      </c>
      <c r="BM32" s="1">
        <v>310717</v>
      </c>
      <c r="BN32">
        <v>2</v>
      </c>
      <c r="BO32" s="1">
        <v>3558154</v>
      </c>
      <c r="BP32">
        <v>4.57</v>
      </c>
      <c r="BQ32">
        <v>0</v>
      </c>
      <c r="BR32">
        <v>0</v>
      </c>
    </row>
    <row r="33" spans="1:70" hidden="1" x14ac:dyDescent="0.3">
      <c r="A33" t="s">
        <v>123</v>
      </c>
      <c r="B33">
        <v>10011542</v>
      </c>
      <c r="D33" t="s">
        <v>72</v>
      </c>
      <c r="F33" s="1">
        <v>19228000</v>
      </c>
      <c r="G33">
        <v>0</v>
      </c>
      <c r="H33">
        <v>0</v>
      </c>
      <c r="I33">
        <v>0</v>
      </c>
      <c r="J33">
        <v>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6</v>
      </c>
      <c r="AG33">
        <v>0</v>
      </c>
      <c r="AH33">
        <v>24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24</v>
      </c>
      <c r="AS33" s="1">
        <v>545520</v>
      </c>
      <c r="AT33">
        <v>0</v>
      </c>
      <c r="AU33" s="1">
        <v>3178008</v>
      </c>
      <c r="AV33" s="1">
        <v>3723528</v>
      </c>
      <c r="AW33">
        <v>0</v>
      </c>
      <c r="AX33">
        <v>0</v>
      </c>
      <c r="AY33" s="1">
        <v>167256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s="1">
        <v>167256</v>
      </c>
      <c r="BK33" s="1">
        <v>4238754</v>
      </c>
      <c r="BL33" s="1">
        <v>3739020</v>
      </c>
      <c r="BM33" s="1">
        <v>499734</v>
      </c>
      <c r="BN33">
        <v>1</v>
      </c>
      <c r="BO33" s="1">
        <v>5571457</v>
      </c>
      <c r="BP33">
        <v>-1.41</v>
      </c>
      <c r="BQ33">
        <v>13</v>
      </c>
      <c r="BR33">
        <v>0</v>
      </c>
    </row>
    <row r="34" spans="1:70" hidden="1" x14ac:dyDescent="0.3">
      <c r="A34" t="s">
        <v>124</v>
      </c>
      <c r="B34">
        <v>10011543</v>
      </c>
      <c r="D34" t="s">
        <v>72</v>
      </c>
      <c r="F34" s="1">
        <v>9196000</v>
      </c>
      <c r="G34">
        <v>0</v>
      </c>
      <c r="H34">
        <v>0</v>
      </c>
      <c r="I34">
        <v>0</v>
      </c>
      <c r="J34">
        <v>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12</v>
      </c>
      <c r="AG34">
        <v>0</v>
      </c>
      <c r="AH34">
        <v>30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30</v>
      </c>
      <c r="AS34" s="1">
        <v>681900</v>
      </c>
      <c r="AT34">
        <v>0</v>
      </c>
      <c r="AU34">
        <v>0</v>
      </c>
      <c r="AV34" s="1">
        <v>681900</v>
      </c>
      <c r="AW34">
        <v>0</v>
      </c>
      <c r="AX34">
        <v>0</v>
      </c>
      <c r="AY34" s="1">
        <v>418929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 s="1">
        <v>418929</v>
      </c>
      <c r="BK34" s="1">
        <v>9901847</v>
      </c>
      <c r="BL34" s="1">
        <v>8734460</v>
      </c>
      <c r="BM34" s="1">
        <v>1167387</v>
      </c>
      <c r="BN34">
        <v>1</v>
      </c>
      <c r="BO34" s="1">
        <v>13599119</v>
      </c>
      <c r="BP34">
        <v>10.66</v>
      </c>
      <c r="BQ34">
        <v>34.1</v>
      </c>
      <c r="BR34">
        <v>0</v>
      </c>
    </row>
    <row r="35" spans="1:70" hidden="1" x14ac:dyDescent="0.3">
      <c r="A35" t="s">
        <v>125</v>
      </c>
      <c r="B35">
        <v>10011544</v>
      </c>
      <c r="D35" t="s">
        <v>72</v>
      </c>
      <c r="F35" s="1">
        <v>6270000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0</v>
      </c>
      <c r="AH35">
        <v>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8</v>
      </c>
      <c r="AS35" s="1">
        <v>181840</v>
      </c>
      <c r="AT35">
        <v>0</v>
      </c>
      <c r="AU35" s="1">
        <v>1022296</v>
      </c>
      <c r="AV35" s="1">
        <v>1204136</v>
      </c>
      <c r="AW35">
        <v>0</v>
      </c>
      <c r="AX35">
        <v>0</v>
      </c>
      <c r="AY35" s="1">
        <v>55752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 s="1">
        <v>55752</v>
      </c>
      <c r="BK35" s="1">
        <v>1317759</v>
      </c>
      <c r="BL35" s="1">
        <v>1162401</v>
      </c>
      <c r="BM35" s="1">
        <v>155358</v>
      </c>
      <c r="BN35">
        <v>1</v>
      </c>
      <c r="BO35" s="1">
        <v>2942732</v>
      </c>
      <c r="BP35">
        <v>-1.69</v>
      </c>
      <c r="BQ35">
        <v>13.3</v>
      </c>
      <c r="BR35">
        <v>0</v>
      </c>
    </row>
    <row r="36" spans="1:70" hidden="1" x14ac:dyDescent="0.3">
      <c r="A36" t="s">
        <v>126</v>
      </c>
      <c r="B36">
        <v>10011546</v>
      </c>
      <c r="D36" t="s">
        <v>72</v>
      </c>
      <c r="F36" s="1">
        <v>26334000</v>
      </c>
      <c r="G36">
        <v>0</v>
      </c>
      <c r="H36">
        <v>0</v>
      </c>
      <c r="I36">
        <v>0</v>
      </c>
      <c r="J36">
        <v>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8</v>
      </c>
      <c r="AG36">
        <v>0</v>
      </c>
      <c r="AH36">
        <v>32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32</v>
      </c>
      <c r="AS36" s="1">
        <v>727360</v>
      </c>
      <c r="AT36">
        <v>0</v>
      </c>
      <c r="AU36" s="1">
        <v>4422528</v>
      </c>
      <c r="AV36" s="1">
        <v>5149888</v>
      </c>
      <c r="AW36">
        <v>0</v>
      </c>
      <c r="AX36">
        <v>0</v>
      </c>
      <c r="AY36" s="1">
        <v>223008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 s="1">
        <v>223008</v>
      </c>
      <c r="BK36" s="1">
        <v>5271034</v>
      </c>
      <c r="BL36" s="1">
        <v>4649602</v>
      </c>
      <c r="BM36" s="1">
        <v>621432</v>
      </c>
      <c r="BN36">
        <v>1</v>
      </c>
      <c r="BO36" s="1">
        <v>9529329</v>
      </c>
      <c r="BP36">
        <v>-1.94</v>
      </c>
      <c r="BQ36">
        <v>12.7</v>
      </c>
      <c r="BR36">
        <v>0</v>
      </c>
    </row>
    <row r="37" spans="1:70" hidden="1" x14ac:dyDescent="0.3">
      <c r="A37" t="s">
        <v>127</v>
      </c>
      <c r="B37">
        <v>10011547</v>
      </c>
      <c r="D37" t="s">
        <v>72</v>
      </c>
      <c r="E37">
        <v>29</v>
      </c>
      <c r="F37" s="1">
        <v>35000000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 s="1">
        <v>86278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</v>
      </c>
      <c r="AG37">
        <v>0</v>
      </c>
      <c r="AH37">
        <v>0</v>
      </c>
      <c r="AI37">
        <v>0</v>
      </c>
      <c r="AJ37">
        <v>66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66</v>
      </c>
      <c r="AS37" s="1">
        <v>1500180</v>
      </c>
      <c r="AT37">
        <v>0</v>
      </c>
      <c r="AU37">
        <v>0</v>
      </c>
      <c r="AV37" s="1">
        <v>1500180</v>
      </c>
      <c r="AW37">
        <v>0</v>
      </c>
      <c r="AX37">
        <v>0</v>
      </c>
      <c r="AY37">
        <v>0</v>
      </c>
      <c r="AZ37">
        <v>0</v>
      </c>
      <c r="BA37" s="1">
        <v>1035337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 s="1">
        <v>1035337</v>
      </c>
      <c r="BK37" s="1">
        <v>23589221</v>
      </c>
      <c r="BL37" s="1">
        <v>19764997</v>
      </c>
      <c r="BM37" s="1">
        <v>3824224</v>
      </c>
      <c r="BN37">
        <v>24</v>
      </c>
      <c r="BO37" s="1">
        <v>3500326</v>
      </c>
      <c r="BP37">
        <v>7.12</v>
      </c>
      <c r="BQ37">
        <v>56.9</v>
      </c>
      <c r="BR37">
        <v>0</v>
      </c>
    </row>
    <row r="38" spans="1:70" hidden="1" x14ac:dyDescent="0.3">
      <c r="A38" t="s">
        <v>128</v>
      </c>
      <c r="B38">
        <v>10011548</v>
      </c>
      <c r="D38" t="s">
        <v>72</v>
      </c>
      <c r="F38" s="1">
        <v>7524000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4</v>
      </c>
      <c r="AS38" s="1">
        <v>90920</v>
      </c>
      <c r="AT38">
        <v>0</v>
      </c>
      <c r="AU38" s="1">
        <v>1677856</v>
      </c>
      <c r="AV38" s="1">
        <v>1768776</v>
      </c>
      <c r="AW38">
        <v>0</v>
      </c>
      <c r="AX38">
        <v>0</v>
      </c>
      <c r="AY38" s="1">
        <v>27876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 s="1">
        <v>27876</v>
      </c>
      <c r="BK38" s="1">
        <v>658879</v>
      </c>
      <c r="BL38" s="1">
        <v>581200</v>
      </c>
      <c r="BM38" s="1">
        <v>77679</v>
      </c>
      <c r="BN38">
        <v>1</v>
      </c>
      <c r="BO38" s="1">
        <v>2638067</v>
      </c>
      <c r="BP38">
        <v>-5.98</v>
      </c>
      <c r="BQ38">
        <v>5.6</v>
      </c>
      <c r="BR38">
        <v>0</v>
      </c>
    </row>
    <row r="39" spans="1:70" hidden="1" x14ac:dyDescent="0.3">
      <c r="A39" t="s">
        <v>129</v>
      </c>
      <c r="B39">
        <v>10011549</v>
      </c>
      <c r="C39" t="s">
        <v>130</v>
      </c>
      <c r="D39" t="s">
        <v>72</v>
      </c>
      <c r="E39">
        <v>8</v>
      </c>
      <c r="F39" s="1">
        <v>8899104</v>
      </c>
      <c r="G39">
        <v>0</v>
      </c>
      <c r="H39">
        <v>450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450</v>
      </c>
      <c r="AG39">
        <v>0</v>
      </c>
      <c r="AH39" s="1">
        <v>1908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1">
        <v>1908</v>
      </c>
      <c r="AS39" s="1">
        <v>43368840</v>
      </c>
      <c r="AT39">
        <v>0</v>
      </c>
      <c r="AU39">
        <v>0</v>
      </c>
      <c r="AV39" s="1">
        <v>43368840</v>
      </c>
      <c r="AW39" s="1">
        <v>-43368840</v>
      </c>
      <c r="AX39">
        <v>0</v>
      </c>
      <c r="AY39" s="1">
        <v>11782800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 s="1">
        <v>11782800</v>
      </c>
      <c r="BK39" s="1">
        <v>278499439</v>
      </c>
      <c r="BL39" s="1">
        <v>245665488</v>
      </c>
      <c r="BM39" s="1">
        <v>32833951</v>
      </c>
      <c r="BN39">
        <v>1</v>
      </c>
      <c r="BO39" s="1">
        <v>402275756</v>
      </c>
      <c r="BP39" t="s">
        <v>77</v>
      </c>
      <c r="BQ39" s="2">
        <v>5962.5</v>
      </c>
      <c r="BR39">
        <v>0</v>
      </c>
    </row>
    <row r="40" spans="1:70" s="3" customFormat="1" x14ac:dyDescent="0.3">
      <c r="A40" s="3" t="s">
        <v>129</v>
      </c>
      <c r="B40" s="3">
        <v>10011549</v>
      </c>
      <c r="C40" s="3" t="s">
        <v>130</v>
      </c>
      <c r="D40" s="3" t="s">
        <v>78</v>
      </c>
      <c r="E40" s="3">
        <v>8</v>
      </c>
      <c r="F40" s="4">
        <v>33889000</v>
      </c>
      <c r="G40" s="3">
        <v>0</v>
      </c>
      <c r="H40" s="3">
        <v>450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450</v>
      </c>
      <c r="AG40" s="3">
        <v>0</v>
      </c>
      <c r="AH40" s="4">
        <v>1908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4">
        <v>1908</v>
      </c>
      <c r="AS40" s="4">
        <v>43368840</v>
      </c>
      <c r="AT40" s="3">
        <v>0</v>
      </c>
      <c r="AU40" s="3">
        <v>0</v>
      </c>
      <c r="AV40" s="4">
        <v>43368840</v>
      </c>
      <c r="AW40" s="4">
        <v>-43368840</v>
      </c>
      <c r="AX40" s="3">
        <v>0</v>
      </c>
      <c r="AY40" s="4">
        <v>11782800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4">
        <v>11782800</v>
      </c>
      <c r="BK40" s="4">
        <v>278499439</v>
      </c>
      <c r="BL40" s="4">
        <v>245665488</v>
      </c>
      <c r="BM40" s="4">
        <v>32833951</v>
      </c>
      <c r="BN40" s="3">
        <v>2</v>
      </c>
      <c r="BO40" s="4">
        <v>336399581</v>
      </c>
      <c r="BP40" s="3">
        <v>80.66</v>
      </c>
      <c r="BQ40" s="5">
        <v>5962.5</v>
      </c>
      <c r="BR40" s="3">
        <v>0</v>
      </c>
    </row>
    <row r="41" spans="1:70" hidden="1" x14ac:dyDescent="0.3">
      <c r="A41" t="s">
        <v>131</v>
      </c>
      <c r="B41">
        <v>10011552</v>
      </c>
      <c r="C41" t="s">
        <v>132</v>
      </c>
      <c r="D41" t="s">
        <v>72</v>
      </c>
      <c r="E41">
        <v>51</v>
      </c>
      <c r="F41" s="1">
        <v>20410041</v>
      </c>
      <c r="G41">
        <v>0</v>
      </c>
      <c r="H41">
        <v>0</v>
      </c>
      <c r="I41">
        <v>0</v>
      </c>
      <c r="J41">
        <v>18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18</v>
      </c>
      <c r="AG41">
        <v>0</v>
      </c>
      <c r="AH41">
        <v>72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72</v>
      </c>
      <c r="AS41" s="1">
        <v>1636560</v>
      </c>
      <c r="AT41">
        <v>0</v>
      </c>
      <c r="AU41" s="1">
        <v>89208</v>
      </c>
      <c r="AV41" s="1">
        <v>1725768</v>
      </c>
      <c r="AW41">
        <v>0</v>
      </c>
      <c r="AX41">
        <v>0</v>
      </c>
      <c r="AY41" s="1">
        <v>501768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s="1">
        <v>501768</v>
      </c>
      <c r="BK41" s="1">
        <v>11859830</v>
      </c>
      <c r="BL41" s="1">
        <v>10461605</v>
      </c>
      <c r="BM41" s="1">
        <v>1398225</v>
      </c>
      <c r="BN41">
        <v>31</v>
      </c>
      <c r="BO41" s="1">
        <v>-12196932</v>
      </c>
      <c r="BP41">
        <v>-2.2200000000000002</v>
      </c>
      <c r="BQ41">
        <v>34</v>
      </c>
      <c r="BR41">
        <v>0</v>
      </c>
    </row>
    <row r="42" spans="1:70" s="3" customFormat="1" x14ac:dyDescent="0.3">
      <c r="A42" s="3" t="s">
        <v>131</v>
      </c>
      <c r="B42" s="3">
        <v>10011552</v>
      </c>
      <c r="C42" s="3" t="s">
        <v>132</v>
      </c>
      <c r="D42" s="3" t="s">
        <v>78</v>
      </c>
      <c r="E42" s="3">
        <v>51</v>
      </c>
      <c r="F42" s="4">
        <v>35554000</v>
      </c>
      <c r="G42" s="3">
        <v>0</v>
      </c>
      <c r="H42" s="3">
        <v>0</v>
      </c>
      <c r="I42" s="3">
        <v>0</v>
      </c>
      <c r="J42" s="3">
        <v>18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18</v>
      </c>
      <c r="AG42" s="3">
        <v>0</v>
      </c>
      <c r="AH42" s="3">
        <v>72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72</v>
      </c>
      <c r="AS42" s="4">
        <v>1636560</v>
      </c>
      <c r="AT42" s="3">
        <v>0</v>
      </c>
      <c r="AU42" s="4">
        <v>89208</v>
      </c>
      <c r="AV42" s="4">
        <v>1725768</v>
      </c>
      <c r="AW42" s="3">
        <v>0</v>
      </c>
      <c r="AX42" s="3">
        <v>0</v>
      </c>
      <c r="AY42" s="4">
        <v>501768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4">
        <v>501768</v>
      </c>
      <c r="BK42" s="4">
        <v>11859830</v>
      </c>
      <c r="BL42" s="4">
        <v>10461605</v>
      </c>
      <c r="BM42" s="4">
        <v>1398225</v>
      </c>
      <c r="BN42" s="3">
        <v>31</v>
      </c>
      <c r="BO42" s="4">
        <v>-26411074</v>
      </c>
      <c r="BP42" s="3">
        <v>-4.1500000000000004</v>
      </c>
      <c r="BQ42" s="3">
        <v>34</v>
      </c>
      <c r="BR42" s="3">
        <v>0</v>
      </c>
    </row>
  </sheetData>
  <autoFilter ref="A4:BR42" xr:uid="{AA590EC0-85D9-427B-AF19-3219E1BEF8C5}">
    <filterColumn colId="3">
      <filters>
        <filter val="기본설계후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4CFD-2AE6-4D06-85EC-1A9FD817598D}">
  <dimension ref="A1:BT8"/>
  <sheetViews>
    <sheetView tabSelected="1" topLeftCell="C1" workbookViewId="0">
      <selection activeCell="K8" sqref="K8"/>
    </sheetView>
  </sheetViews>
  <sheetFormatPr defaultRowHeight="16.5" x14ac:dyDescent="0.3"/>
  <cols>
    <col min="3" max="3" width="16" customWidth="1"/>
    <col min="7" max="7" width="17.5" customWidth="1"/>
    <col min="50" max="50" width="23.875" customWidth="1"/>
    <col min="64" max="66" width="17.25" customWidth="1"/>
    <col min="68" max="68" width="21.375" customWidth="1"/>
  </cols>
  <sheetData>
    <row r="1" spans="1:72" x14ac:dyDescent="0.3">
      <c r="C1" t="s">
        <v>0</v>
      </c>
      <c r="D1" t="s">
        <v>2</v>
      </c>
      <c r="E1" t="s">
        <v>3</v>
      </c>
      <c r="F1" t="s">
        <v>4</v>
      </c>
      <c r="H1" t="s">
        <v>5</v>
      </c>
      <c r="P1" t="s">
        <v>6</v>
      </c>
      <c r="Y1" t="s">
        <v>7</v>
      </c>
      <c r="AA1" t="s">
        <v>8</v>
      </c>
      <c r="AC1" t="s">
        <v>9</v>
      </c>
      <c r="AE1" t="s">
        <v>10</v>
      </c>
      <c r="AG1" t="s">
        <v>11</v>
      </c>
      <c r="AH1" t="s">
        <v>12</v>
      </c>
      <c r="AS1" t="s">
        <v>13</v>
      </c>
      <c r="AT1" t="s">
        <v>14</v>
      </c>
      <c r="AX1" t="s">
        <v>15</v>
      </c>
      <c r="AY1" t="s">
        <v>16</v>
      </c>
      <c r="BL1" t="s">
        <v>17</v>
      </c>
      <c r="BM1" t="s">
        <v>18</v>
      </c>
      <c r="BN1" t="s">
        <v>19</v>
      </c>
      <c r="BO1" t="s">
        <v>20</v>
      </c>
    </row>
    <row r="2" spans="1:72" x14ac:dyDescent="0.3">
      <c r="F2" t="s">
        <v>21</v>
      </c>
      <c r="G2" t="s">
        <v>22</v>
      </c>
      <c r="H2" t="s">
        <v>23</v>
      </c>
      <c r="J2" t="s">
        <v>24</v>
      </c>
      <c r="L2" t="s">
        <v>25</v>
      </c>
      <c r="N2" t="s">
        <v>26</v>
      </c>
      <c r="P2" t="s">
        <v>27</v>
      </c>
      <c r="R2" t="s">
        <v>28</v>
      </c>
      <c r="T2" t="s">
        <v>29</v>
      </c>
      <c r="V2" t="s">
        <v>30</v>
      </c>
      <c r="AH2" t="s">
        <v>31</v>
      </c>
      <c r="AK2" t="s">
        <v>32</v>
      </c>
      <c r="AY2" t="s">
        <v>33</v>
      </c>
      <c r="BB2" t="s">
        <v>34</v>
      </c>
      <c r="BG2" t="s">
        <v>35</v>
      </c>
      <c r="BH2" t="s">
        <v>36</v>
      </c>
      <c r="BI2" t="s">
        <v>37</v>
      </c>
      <c r="BJ2" t="s">
        <v>38</v>
      </c>
      <c r="BK2" t="s">
        <v>39</v>
      </c>
      <c r="BO2" t="s">
        <v>40</v>
      </c>
      <c r="BP2" t="s">
        <v>41</v>
      </c>
      <c r="BQ2" t="s">
        <v>42</v>
      </c>
      <c r="BR2" t="s">
        <v>43</v>
      </c>
      <c r="BS2" t="s">
        <v>44</v>
      </c>
    </row>
    <row r="4" spans="1:72" x14ac:dyDescent="0.3">
      <c r="A4" t="s">
        <v>133</v>
      </c>
      <c r="B4" t="s">
        <v>134</v>
      </c>
      <c r="H4" t="s">
        <v>45</v>
      </c>
      <c r="I4" t="s">
        <v>46</v>
      </c>
      <c r="J4" t="s">
        <v>45</v>
      </c>
      <c r="K4" t="s">
        <v>46</v>
      </c>
      <c r="L4" t="s">
        <v>45</v>
      </c>
      <c r="M4" t="s">
        <v>46</v>
      </c>
      <c r="N4" t="s">
        <v>47</v>
      </c>
      <c r="O4" t="s">
        <v>48</v>
      </c>
      <c r="P4" t="s">
        <v>47</v>
      </c>
      <c r="Q4" t="s">
        <v>48</v>
      </c>
      <c r="R4" t="s">
        <v>47</v>
      </c>
      <c r="S4" t="s">
        <v>48</v>
      </c>
      <c r="T4" t="s">
        <v>47</v>
      </c>
      <c r="U4" t="s">
        <v>49</v>
      </c>
      <c r="V4" t="s">
        <v>47</v>
      </c>
      <c r="W4" t="s">
        <v>49</v>
      </c>
      <c r="X4" t="s">
        <v>50</v>
      </c>
      <c r="Y4" t="s">
        <v>47</v>
      </c>
      <c r="Z4" t="s">
        <v>48</v>
      </c>
      <c r="AA4" t="s">
        <v>47</v>
      </c>
      <c r="AB4" t="s">
        <v>48</v>
      </c>
      <c r="AC4" t="s">
        <v>47</v>
      </c>
      <c r="AD4" t="s">
        <v>48</v>
      </c>
      <c r="AE4" t="s">
        <v>47</v>
      </c>
      <c r="AF4" t="s">
        <v>48</v>
      </c>
      <c r="AH4" t="s">
        <v>45</v>
      </c>
      <c r="AI4" t="s">
        <v>46</v>
      </c>
      <c r="AJ4" t="s">
        <v>51</v>
      </c>
      <c r="AK4" t="s">
        <v>52</v>
      </c>
      <c r="AL4" t="s">
        <v>53</v>
      </c>
      <c r="AM4" t="s">
        <v>29</v>
      </c>
      <c r="AN4" t="s">
        <v>54</v>
      </c>
      <c r="AO4" t="s">
        <v>55</v>
      </c>
      <c r="AP4" t="s">
        <v>56</v>
      </c>
      <c r="AQ4" t="s">
        <v>57</v>
      </c>
      <c r="AR4" t="s">
        <v>58</v>
      </c>
      <c r="AT4" t="s">
        <v>59</v>
      </c>
      <c r="AU4" t="s">
        <v>60</v>
      </c>
      <c r="AV4" t="s">
        <v>61</v>
      </c>
      <c r="AW4" t="s">
        <v>62</v>
      </c>
      <c r="AY4" t="s">
        <v>63</v>
      </c>
      <c r="AZ4" t="s">
        <v>64</v>
      </c>
      <c r="BA4" t="s">
        <v>65</v>
      </c>
      <c r="BB4" t="s">
        <v>66</v>
      </c>
      <c r="BC4" t="s">
        <v>67</v>
      </c>
      <c r="BD4" t="s">
        <v>68</v>
      </c>
      <c r="BE4" t="s">
        <v>69</v>
      </c>
      <c r="BF4" t="s">
        <v>70</v>
      </c>
    </row>
    <row r="5" spans="1:72" x14ac:dyDescent="0.3">
      <c r="A5" t="s">
        <v>135</v>
      </c>
      <c r="B5" t="s">
        <v>137</v>
      </c>
      <c r="C5" s="3" t="s">
        <v>139</v>
      </c>
      <c r="D5" s="3" t="s">
        <v>130</v>
      </c>
      <c r="E5" s="3" t="s">
        <v>78</v>
      </c>
      <c r="F5" s="3">
        <v>8</v>
      </c>
      <c r="G5" s="6">
        <v>33889000</v>
      </c>
      <c r="H5" s="3">
        <v>0</v>
      </c>
      <c r="I5" s="3">
        <v>450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450</v>
      </c>
      <c r="AH5" s="3">
        <v>0</v>
      </c>
      <c r="AI5" s="4">
        <v>1908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v>1908</v>
      </c>
      <c r="AT5" s="4">
        <v>43368840</v>
      </c>
      <c r="AU5" s="3">
        <v>0</v>
      </c>
      <c r="AV5" s="3">
        <v>0</v>
      </c>
      <c r="AW5" s="4">
        <v>43368840</v>
      </c>
      <c r="AX5" s="4">
        <v>-43368840</v>
      </c>
      <c r="AY5" s="3">
        <v>0</v>
      </c>
      <c r="AZ5" s="4">
        <v>11782800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4">
        <v>11782800</v>
      </c>
      <c r="BL5" s="4">
        <v>278499439</v>
      </c>
      <c r="BM5" s="4">
        <v>245665488</v>
      </c>
      <c r="BN5" s="4">
        <v>32833951</v>
      </c>
      <c r="BO5" s="3">
        <v>2</v>
      </c>
      <c r="BP5" s="4">
        <v>336399581</v>
      </c>
      <c r="BQ5" s="3">
        <v>80.66</v>
      </c>
      <c r="BR5" s="5">
        <v>5962.5</v>
      </c>
      <c r="BS5" s="3">
        <v>0</v>
      </c>
      <c r="BT5" s="3"/>
    </row>
    <row r="6" spans="1:72" x14ac:dyDescent="0.3">
      <c r="A6" t="s">
        <v>136</v>
      </c>
      <c r="B6" t="s">
        <v>138</v>
      </c>
      <c r="C6" s="3" t="s">
        <v>140</v>
      </c>
      <c r="D6" s="3" t="s">
        <v>132</v>
      </c>
      <c r="E6" s="3" t="s">
        <v>78</v>
      </c>
      <c r="F6" s="3">
        <v>51</v>
      </c>
      <c r="G6" s="6">
        <v>35554000</v>
      </c>
      <c r="H6" s="3">
        <v>0</v>
      </c>
      <c r="I6" s="3">
        <v>0</v>
      </c>
      <c r="J6" s="3">
        <v>0</v>
      </c>
      <c r="K6" s="3">
        <v>18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18</v>
      </c>
      <c r="AH6" s="3">
        <v>0</v>
      </c>
      <c r="AI6" s="3">
        <v>72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72</v>
      </c>
      <c r="AT6" s="4">
        <v>1636560</v>
      </c>
      <c r="AU6" s="3">
        <v>0</v>
      </c>
      <c r="AV6" s="4">
        <v>89208</v>
      </c>
      <c r="AW6" s="4">
        <v>1725768</v>
      </c>
      <c r="AX6" s="3">
        <v>0</v>
      </c>
      <c r="AY6" s="3">
        <v>0</v>
      </c>
      <c r="AZ6" s="4">
        <v>501768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4">
        <v>501768</v>
      </c>
      <c r="BL6" s="4">
        <v>11859830</v>
      </c>
      <c r="BM6" s="4">
        <v>10461605</v>
      </c>
      <c r="BN6" s="4">
        <v>1398225</v>
      </c>
      <c r="BO6" s="3">
        <v>31</v>
      </c>
      <c r="BP6" s="4">
        <v>-26411074</v>
      </c>
      <c r="BQ6" s="3">
        <v>-4.1500000000000004</v>
      </c>
      <c r="BR6" s="3">
        <v>34</v>
      </c>
      <c r="BS6" s="3">
        <v>0</v>
      </c>
      <c r="BT6" s="3"/>
    </row>
    <row r="7" spans="1:72" x14ac:dyDescent="0.3">
      <c r="F7">
        <f>SUM(F5:F6)</f>
        <v>59</v>
      </c>
      <c r="G7" s="7">
        <f>SUM(G5:G6)</f>
        <v>69443000</v>
      </c>
    </row>
    <row r="8" spans="1:72" x14ac:dyDescent="0.3">
      <c r="G8" s="7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2026-05-26T01:50:07Z</dcterms:created>
  <dcterms:modified xsi:type="dcterms:W3CDTF">2026-05-26T05:49:52Z</dcterms:modified>
</cp:coreProperties>
</file>